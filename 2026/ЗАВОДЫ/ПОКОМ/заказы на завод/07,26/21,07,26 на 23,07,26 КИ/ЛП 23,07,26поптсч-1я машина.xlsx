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0C009BB-3327-4434-9534-8D479FC299D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BP529" i="2" s="1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P504" i="2"/>
  <c r="X502" i="2"/>
  <c r="X501" i="2"/>
  <c r="BP500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N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N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Y455" i="2" s="1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Z310" i="2"/>
  <c r="Y310" i="2"/>
  <c r="BP310" i="2" s="1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Z244" i="2"/>
  <c r="Z245" i="2" s="1"/>
  <c r="Y244" i="2"/>
  <c r="Y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X236" i="2"/>
  <c r="X235" i="2"/>
  <c r="BP234" i="2"/>
  <c r="BO234" i="2"/>
  <c r="BN234" i="2"/>
  <c r="BM234" i="2"/>
  <c r="Z234" i="2"/>
  <c r="Y234" i="2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Y202" i="2"/>
  <c r="Z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Y194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BN188" i="2" s="1"/>
  <c r="P188" i="2"/>
  <c r="BO187" i="2"/>
  <c r="BM187" i="2"/>
  <c r="Y187" i="2"/>
  <c r="BN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Z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BN162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Z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N133" i="2" s="1"/>
  <c r="P133" i="2"/>
  <c r="BO132" i="2"/>
  <c r="BM132" i="2"/>
  <c r="Y132" i="2"/>
  <c r="H55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Z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Z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H9" i="2" s="1"/>
  <c r="D7" i="2"/>
  <c r="Q6" i="2"/>
  <c r="P2" i="2"/>
  <c r="BN62" i="2" l="1"/>
  <c r="BN97" i="2"/>
  <c r="BN108" i="2"/>
  <c r="BN123" i="2"/>
  <c r="BN175" i="2"/>
  <c r="BN199" i="2"/>
  <c r="BN222" i="2"/>
  <c r="BN238" i="2"/>
  <c r="BN270" i="2"/>
  <c r="BN291" i="2"/>
  <c r="BN301" i="2"/>
  <c r="BN347" i="2"/>
  <c r="BN420" i="2"/>
  <c r="BN443" i="2"/>
  <c r="BN64" i="2"/>
  <c r="BP71" i="2"/>
  <c r="BN72" i="2"/>
  <c r="BN106" i="2"/>
  <c r="Y190" i="2"/>
  <c r="BN271" i="2"/>
  <c r="BN296" i="2"/>
  <c r="Z332" i="2"/>
  <c r="BN332" i="2"/>
  <c r="BN334" i="2"/>
  <c r="BN373" i="2"/>
  <c r="BN437" i="2"/>
  <c r="BP453" i="2"/>
  <c r="BN463" i="2"/>
  <c r="Z479" i="2"/>
  <c r="BP520" i="2"/>
  <c r="BP400" i="2"/>
  <c r="Y139" i="2"/>
  <c r="Z201" i="2"/>
  <c r="Z225" i="2"/>
  <c r="BP225" i="2"/>
  <c r="Z255" i="2"/>
  <c r="Z277" i="2"/>
  <c r="Z400" i="2"/>
  <c r="Z488" i="2"/>
  <c r="BP488" i="2"/>
  <c r="Z529" i="2"/>
  <c r="Z530" i="2" s="1"/>
  <c r="Y530" i="2"/>
  <c r="Y241" i="2"/>
  <c r="Z78" i="2"/>
  <c r="Z133" i="2"/>
  <c r="Y163" i="2"/>
  <c r="BP188" i="2"/>
  <c r="Z204" i="2"/>
  <c r="BP204" i="2"/>
  <c r="Z213" i="2"/>
  <c r="BP213" i="2"/>
  <c r="Z30" i="2"/>
  <c r="Y79" i="2"/>
  <c r="BP77" i="2"/>
  <c r="Z103" i="2"/>
  <c r="Z123" i="2"/>
  <c r="I552" i="2"/>
  <c r="BP149" i="2"/>
  <c r="Z188" i="2"/>
  <c r="BP192" i="2"/>
  <c r="BP203" i="2"/>
  <c r="Y211" i="2"/>
  <c r="BP215" i="2"/>
  <c r="BN217" i="2"/>
  <c r="Z222" i="2"/>
  <c r="Z281" i="2"/>
  <c r="BN326" i="2"/>
  <c r="Z393" i="2"/>
  <c r="Z443" i="2"/>
  <c r="Z463" i="2"/>
  <c r="BN474" i="2"/>
  <c r="BP487" i="2"/>
  <c r="BP490" i="2"/>
  <c r="BN493" i="2"/>
  <c r="BN534" i="2"/>
  <c r="BP133" i="2"/>
  <c r="BP201" i="2"/>
  <c r="BP255" i="2"/>
  <c r="BP30" i="2"/>
  <c r="Z43" i="2"/>
  <c r="B552" i="2"/>
  <c r="Z77" i="2"/>
  <c r="Z79" i="2" s="1"/>
  <c r="BN78" i="2"/>
  <c r="Y80" i="2"/>
  <c r="F552" i="2"/>
  <c r="BN95" i="2"/>
  <c r="Y135" i="2"/>
  <c r="BP162" i="2"/>
  <c r="Y164" i="2"/>
  <c r="BN173" i="2"/>
  <c r="BP177" i="2"/>
  <c r="Z192" i="2"/>
  <c r="Z193" i="2" s="1"/>
  <c r="BN230" i="2"/>
  <c r="Y337" i="2"/>
  <c r="Y350" i="2"/>
  <c r="BN425" i="2"/>
  <c r="BP462" i="2"/>
  <c r="BP479" i="2"/>
  <c r="BN525" i="2"/>
  <c r="BN278" i="2"/>
  <c r="Y329" i="2"/>
  <c r="Z388" i="2"/>
  <c r="BP388" i="2"/>
  <c r="Z122" i="2"/>
  <c r="Y409" i="2"/>
  <c r="BN365" i="2"/>
  <c r="BN53" i="2"/>
  <c r="Y75" i="2"/>
  <c r="BN261" i="2"/>
  <c r="BP103" i="2"/>
  <c r="Z169" i="2"/>
  <c r="Z357" i="2"/>
  <c r="BN51" i="2"/>
  <c r="Z215" i="2"/>
  <c r="BN170" i="2"/>
  <c r="BP170" i="2"/>
  <c r="Z166" i="2"/>
  <c r="Z491" i="2"/>
  <c r="Z66" i="2"/>
  <c r="BN381" i="2"/>
  <c r="BN460" i="2"/>
  <c r="BN260" i="2"/>
  <c r="BN451" i="2"/>
  <c r="Z451" i="2"/>
  <c r="Y454" i="2"/>
  <c r="BP451" i="2"/>
  <c r="Y433" i="2"/>
  <c r="BN431" i="2"/>
  <c r="Y511" i="2"/>
  <c r="Z506" i="2"/>
  <c r="Y383" i="2"/>
  <c r="BN380" i="2"/>
  <c r="BN415" i="2"/>
  <c r="BP491" i="2"/>
  <c r="Z417" i="2"/>
  <c r="V552" i="2"/>
  <c r="BP498" i="2"/>
  <c r="BN498" i="2"/>
  <c r="Z552" i="2"/>
  <c r="Y501" i="2"/>
  <c r="BN285" i="2"/>
  <c r="X544" i="2"/>
  <c r="Y252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Z287" i="2" s="1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Z312" i="2" s="1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56" i="2" s="1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Z444" i="2" s="1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BN414" i="2"/>
  <c r="BN424" i="2"/>
  <c r="Y427" i="2"/>
  <c r="BP436" i="2"/>
  <c r="BN447" i="2"/>
  <c r="Z459" i="2"/>
  <c r="Z469" i="2"/>
  <c r="Z470" i="2" s="1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Z159" i="2" s="1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Z24" i="2" s="1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43" i="2"/>
  <c r="Z167" i="2"/>
  <c r="Z187" i="2"/>
  <c r="Z189" i="2" s="1"/>
  <c r="Y235" i="2"/>
  <c r="BP244" i="2"/>
  <c r="Z341" i="2"/>
  <c r="Z385" i="2"/>
  <c r="Z430" i="2"/>
  <c r="BP432" i="2"/>
  <c r="Z453" i="2"/>
  <c r="Y470" i="2"/>
  <c r="Z478" i="2"/>
  <c r="BP480" i="2"/>
  <c r="Z490" i="2"/>
  <c r="Z500" i="2"/>
  <c r="Z510" i="2"/>
  <c r="Y517" i="2"/>
  <c r="Z524" i="2"/>
  <c r="Z526" i="2" s="1"/>
  <c r="BP539" i="2"/>
  <c r="C552" i="2"/>
  <c r="Z88" i="2"/>
  <c r="BP90" i="2"/>
  <c r="Z132" i="2"/>
  <c r="Z134" i="2" s="1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30" i="2"/>
  <c r="Z235" i="2" s="1"/>
  <c r="Z240" i="2"/>
  <c r="Z263" i="2"/>
  <c r="Z273" i="2"/>
  <c r="Z294" i="2"/>
  <c r="Z317" i="2"/>
  <c r="Z353" i="2"/>
  <c r="Z363" i="2"/>
  <c r="Z373" i="2"/>
  <c r="Z406" i="2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241" i="2" l="1"/>
  <c r="Z227" i="2"/>
  <c r="Z454" i="2"/>
  <c r="Z124" i="2"/>
  <c r="Z109" i="2"/>
  <c r="Z298" i="2"/>
  <c r="Z495" i="2"/>
  <c r="Z395" i="2"/>
  <c r="Z401" i="2"/>
  <c r="Z144" i="2"/>
  <c r="Z465" i="2"/>
  <c r="Z433" i="2"/>
  <c r="Z408" i="2"/>
  <c r="Z74" i="2"/>
  <c r="X545" i="2"/>
  <c r="Z369" i="2"/>
  <c r="Z535" i="2"/>
  <c r="Z359" i="2"/>
  <c r="Z389" i="2"/>
  <c r="Z32" i="2"/>
  <c r="Z251" i="2"/>
  <c r="Y543" i="2"/>
  <c r="Z282" i="2"/>
  <c r="Y544" i="2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Y545" i="2" l="1"/>
  <c r="Z547" i="2"/>
</calcChain>
</file>

<file path=xl/sharedStrings.xml><?xml version="1.0" encoding="utf-8"?>
<sst xmlns="http://schemas.openxmlformats.org/spreadsheetml/2006/main" count="4118" uniqueCount="878">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</sst>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 t="s">
        <v>877</v>
      </c>
      <c r="I5" s="976"/>
      <c r="J5" s="976"/>
      <c r="K5" s="976"/>
      <c r="L5" s="976"/>
      <c r="M5" s="976"/>
      <c r="N5" s="72"/>
      <c r="P5" s="27" t="s">
        <v>4</v>
      </c>
      <c r="Q5" s="978">
        <v>46226</v>
      </c>
      <c r="R5" s="978"/>
      <c r="T5" s="979" t="s">
        <v>3</v>
      </c>
      <c r="U5" s="980"/>
      <c r="V5" s="981" t="s">
        <v>853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860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Четверг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0.41666666666666669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1" t="s">
        <v>76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hidden="1" customHeight="1" x14ac:dyDescent="0.25">
      <c r="A20" s="646" t="s">
        <v>76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hidden="1" customHeight="1" x14ac:dyDescent="0.25">
      <c r="A21" s="630" t="s">
        <v>77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30" t="s">
        <v>86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30" t="s">
        <v>104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hidden="1" customHeight="1" x14ac:dyDescent="0.25">
      <c r="A39" s="646" t="s">
        <v>110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hidden="1" customHeight="1" x14ac:dyDescent="0.25">
      <c r="A40" s="630" t="s">
        <v>86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51" t="s">
        <v>126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hidden="1" customHeight="1" x14ac:dyDescent="0.25">
      <c r="A49" s="646" t="s">
        <v>127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hidden="1" customHeight="1" x14ac:dyDescent="0.25">
      <c r="A50" s="630" t="s">
        <v>128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70</v>
      </c>
      <c r="Y51" s="55">
        <f>IFERROR(IF(X51="",0,CEILING((X51/$H51),1)*$H51),"")</f>
        <v>75.600000000000009</v>
      </c>
      <c r="Z51" s="41">
        <f>IFERROR(IF(Y51=0,"",ROUNDUP(Y51/H51,0)*0.01898),"")</f>
        <v>0.13286000000000001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72.657407407407405</v>
      </c>
      <c r="BN51" s="78">
        <f>IFERROR(Y51*I51/H51,"0")</f>
        <v>78.47</v>
      </c>
      <c r="BO51" s="78">
        <f>IFERROR(1/J51*(X51/H51),"0")</f>
        <v>0.10127314814814814</v>
      </c>
      <c r="BP51" s="78">
        <f>IFERROR(1/J51*(Y51/H51),"0")</f>
        <v>0.109375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24</v>
      </c>
      <c r="Y53" s="55">
        <f>IFERROR(IF(X53="",0,CEILING((X53/$H53),1)*$H53),"")</f>
        <v>24</v>
      </c>
      <c r="Z53" s="41">
        <f>IFERROR(IF(Y53=0,"",ROUNDUP(Y53/H53,0)*0.00902),"")</f>
        <v>5.4120000000000001E-2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25.14</v>
      </c>
      <c r="BN53" s="78">
        <f>IFERROR(Y53*I53/H53,"0")</f>
        <v>25.14</v>
      </c>
      <c r="BO53" s="78">
        <f>IFERROR(1/J53*(X53/H53),"0")</f>
        <v>4.5454545454545456E-2</v>
      </c>
      <c r="BP53" s="78">
        <f>IFERROR(1/J53*(Y53/H53),"0")</f>
        <v>4.5454545454545456E-2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12.481481481481481</v>
      </c>
      <c r="Y55" s="43">
        <f>IFERROR(Y51/H51,"0")+IFERROR(Y52/H52,"0")+IFERROR(Y53/H53,"0")+IFERROR(Y54/H54,"0")</f>
        <v>13</v>
      </c>
      <c r="Z55" s="43">
        <f>IFERROR(IF(Z51="",0,Z51),"0")+IFERROR(IF(Z52="",0,Z52),"0")+IFERROR(IF(Z53="",0,Z53),"0")+IFERROR(IF(Z54="",0,Z54),"0")</f>
        <v>0.18698000000000001</v>
      </c>
      <c r="AA55" s="67"/>
      <c r="AB55" s="67"/>
      <c r="AC55" s="67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94</v>
      </c>
      <c r="Y56" s="43">
        <f>IFERROR(SUM(Y51:Y54),"0")</f>
        <v>99.600000000000009</v>
      </c>
      <c r="Z56" s="42"/>
      <c r="AA56" s="67"/>
      <c r="AB56" s="67"/>
      <c r="AC56" s="67"/>
    </row>
    <row r="57" spans="1:68" ht="16.5" hidden="1" customHeight="1" x14ac:dyDescent="0.25">
      <c r="A57" s="646" t="s">
        <v>143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hidden="1" customHeight="1" x14ac:dyDescent="0.25">
      <c r="A58" s="630" t="s">
        <v>128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540</v>
      </c>
      <c r="Y61" s="55">
        <f t="shared" si="0"/>
        <v>540</v>
      </c>
      <c r="Z61" s="41">
        <f>IFERROR(IF(Y61=0,"",ROUNDUP(Y61/H61,0)*0.01898),"")</f>
        <v>0.94900000000000007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560.5</v>
      </c>
      <c r="BN61" s="78">
        <f t="shared" si="2"/>
        <v>560.5</v>
      </c>
      <c r="BO61" s="78">
        <f t="shared" si="3"/>
        <v>0.78125</v>
      </c>
      <c r="BP61" s="78">
        <f t="shared" si="4"/>
        <v>0.78125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110</v>
      </c>
      <c r="Y66" s="55">
        <f t="shared" si="0"/>
        <v>112.5</v>
      </c>
      <c r="Z66" s="41">
        <f>IFERROR(IF(Y66=0,"",ROUNDUP(Y66/H66,0)*0.00902),"")</f>
        <v>0.22550000000000001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114.64444444444446</v>
      </c>
      <c r="BN66" s="78">
        <f t="shared" si="2"/>
        <v>117.25</v>
      </c>
      <c r="BO66" s="78">
        <f t="shared" si="3"/>
        <v>0.18518518518518517</v>
      </c>
      <c r="BP66" s="78">
        <f t="shared" si="4"/>
        <v>0.18939393939393939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74.444444444444443</v>
      </c>
      <c r="Y67" s="43">
        <f>IFERROR(Y59/H59,"0")+IFERROR(Y60/H60,"0")+IFERROR(Y61/H61,"0")+IFERROR(Y62/H62,"0")+IFERROR(Y63/H63,"0")+IFERROR(Y64/H64,"0")+IFERROR(Y65/H65,"0")+IFERROR(Y66/H66,"0")</f>
        <v>75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1.1745000000000001</v>
      </c>
      <c r="AA67" s="67"/>
      <c r="AB67" s="67"/>
      <c r="AC67" s="67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650</v>
      </c>
      <c r="Y68" s="43">
        <f>IFERROR(SUM(Y59:Y66),"0")</f>
        <v>652.5</v>
      </c>
      <c r="Z68" s="42"/>
      <c r="AA68" s="67"/>
      <c r="AB68" s="67"/>
      <c r="AC68" s="67"/>
    </row>
    <row r="69" spans="1:68" ht="14.25" hidden="1" customHeight="1" x14ac:dyDescent="0.25">
      <c r="A69" s="630" t="s">
        <v>164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710</v>
      </c>
      <c r="Y70" s="55">
        <f>IFERROR(IF(X70="",0,CEILING((X70/$H70),1)*$H70),"")</f>
        <v>712.80000000000007</v>
      </c>
      <c r="Z70" s="41">
        <f>IFERROR(IF(Y70=0,"",ROUNDUP(Y70/H70,0)*0.01898),"")</f>
        <v>1.25268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736.9537037037037</v>
      </c>
      <c r="BN70" s="78">
        <f>IFERROR(Y70*I70/H70,"0")</f>
        <v>739.86</v>
      </c>
      <c r="BO70" s="78">
        <f>IFERROR(1/J70*(X70/H70),"0")</f>
        <v>1.027199074074074</v>
      </c>
      <c r="BP70" s="78">
        <f>IFERROR(1/J70*(Y70/H70),"0")</f>
        <v>1.03125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35</v>
      </c>
      <c r="Y73" s="55">
        <f>IFERROR(IF(X73="",0,CEILING((X73/$H73),1)*$H73),"")</f>
        <v>35.1</v>
      </c>
      <c r="Z73" s="41">
        <f>IFERROR(IF(Y73=0,"",ROUNDUP(Y73/H73,0)*0.00651),"")</f>
        <v>8.4629999999999997E-2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37.333333333333329</v>
      </c>
      <c r="BN73" s="78">
        <f>IFERROR(Y73*I73/H73,"0")</f>
        <v>37.44</v>
      </c>
      <c r="BO73" s="78">
        <f>IFERROR(1/J73*(X73/H73),"0")</f>
        <v>7.1225071225071226E-2</v>
      </c>
      <c r="BP73" s="78">
        <f>IFERROR(1/J73*(Y73/H73),"0")</f>
        <v>7.1428571428571438E-2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78.703703703703695</v>
      </c>
      <c r="Y74" s="43">
        <f>IFERROR(Y70/H70,"0")+IFERROR(Y71/H71,"0")+IFERROR(Y72/H72,"0")+IFERROR(Y73/H73,"0")</f>
        <v>79</v>
      </c>
      <c r="Z74" s="43">
        <f>IFERROR(IF(Z70="",0,Z70),"0")+IFERROR(IF(Z71="",0,Z71),"0")+IFERROR(IF(Z72="",0,Z72),"0")+IFERROR(IF(Z73="",0,Z73),"0")</f>
        <v>1.33731</v>
      </c>
      <c r="AA74" s="67"/>
      <c r="AB74" s="67"/>
      <c r="AC74" s="67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745</v>
      </c>
      <c r="Y75" s="43">
        <f>IFERROR(SUM(Y70:Y73),"0")</f>
        <v>747.90000000000009</v>
      </c>
      <c r="Z75" s="42"/>
      <c r="AA75" s="67"/>
      <c r="AB75" s="67"/>
      <c r="AC75" s="67"/>
    </row>
    <row r="76" spans="1:68" ht="14.25" hidden="1" customHeight="1" x14ac:dyDescent="0.25">
      <c r="A76" s="630" t="s">
        <v>86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30" t="s">
        <v>181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120</v>
      </c>
      <c r="Y82" s="55">
        <f>IFERROR(IF(X82="",0,CEILING((X82/$H82),1)*$H82),"")</f>
        <v>124.8</v>
      </c>
      <c r="Z82" s="41">
        <f>IFERROR(IF(Y82=0,"",ROUNDUP(Y82/H82,0)*0.01898),"")</f>
        <v>0.30368000000000001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126.30769230769232</v>
      </c>
      <c r="BN82" s="78">
        <f>IFERROR(Y82*I82/H82,"0")</f>
        <v>131.36000000000001</v>
      </c>
      <c r="BO82" s="78">
        <f>IFERROR(1/J82*(X82/H82),"0")</f>
        <v>0.24038461538461539</v>
      </c>
      <c r="BP82" s="78">
        <f>IFERROR(1/J82*(Y82/H82),"0")</f>
        <v>0.25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15.384615384615385</v>
      </c>
      <c r="Y84" s="43">
        <f>IFERROR(Y82/H82,"0")+IFERROR(Y83/H83,"0")</f>
        <v>16</v>
      </c>
      <c r="Z84" s="43">
        <f>IFERROR(IF(Z82="",0,Z82),"0")+IFERROR(IF(Z83="",0,Z83),"0")</f>
        <v>0.30368000000000001</v>
      </c>
      <c r="AA84" s="67"/>
      <c r="AB84" s="67"/>
      <c r="AC84" s="67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120</v>
      </c>
      <c r="Y85" s="43">
        <f>IFERROR(SUM(Y82:Y83),"0")</f>
        <v>124.8</v>
      </c>
      <c r="Z85" s="42"/>
      <c r="AA85" s="67"/>
      <c r="AB85" s="67"/>
      <c r="AC85" s="67"/>
    </row>
    <row r="86" spans="1:68" ht="16.5" hidden="1" customHeight="1" x14ac:dyDescent="0.25">
      <c r="A86" s="646" t="s">
        <v>188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hidden="1" customHeight="1" x14ac:dyDescent="0.25">
      <c r="A87" s="630" t="s">
        <v>128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70</v>
      </c>
      <c r="Y88" s="55">
        <f>IFERROR(IF(X88="",0,CEILING((X88/$H88),1)*$H88),"")</f>
        <v>75.600000000000009</v>
      </c>
      <c r="Z88" s="41">
        <f>IFERROR(IF(Y88=0,"",ROUNDUP(Y88/H88,0)*0.01898),"")</f>
        <v>0.13286000000000001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72.657407407407405</v>
      </c>
      <c r="BN88" s="78">
        <f>IFERROR(Y88*I88/H88,"0")</f>
        <v>78.47</v>
      </c>
      <c r="BO88" s="78">
        <f>IFERROR(1/J88*(X88/H88),"0")</f>
        <v>0.10127314814814814</v>
      </c>
      <c r="BP88" s="78">
        <f>IFERROR(1/J88*(Y88/H88),"0")</f>
        <v>0.109375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20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20.844444444444449</v>
      </c>
      <c r="BN91" s="78">
        <f>IFERROR(Y91*I91/H91,"0")</f>
        <v>23.450000000000003</v>
      </c>
      <c r="BO91" s="78">
        <f>IFERROR(1/J91*(X91/H91),"0")</f>
        <v>3.3670033670033669E-2</v>
      </c>
      <c r="BP91" s="78">
        <f>IFERROR(1/J91*(Y91/H91),"0")</f>
        <v>3.787878787878788E-2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10.925925925925926</v>
      </c>
      <c r="Y92" s="43">
        <f>IFERROR(Y88/H88,"0")+IFERROR(Y89/H89,"0")+IFERROR(Y90/H90,"0")+IFERROR(Y91/H91,"0")</f>
        <v>12</v>
      </c>
      <c r="Z92" s="43">
        <f>IFERROR(IF(Z88="",0,Z88),"0")+IFERROR(IF(Z89="",0,Z89),"0")+IFERROR(IF(Z90="",0,Z90),"0")+IFERROR(IF(Z91="",0,Z91),"0")</f>
        <v>0.17796000000000001</v>
      </c>
      <c r="AA92" s="67"/>
      <c r="AB92" s="67"/>
      <c r="AC92" s="67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90</v>
      </c>
      <c r="Y93" s="43">
        <f>IFERROR(SUM(Y88:Y91),"0")</f>
        <v>98.100000000000009</v>
      </c>
      <c r="Z93" s="42"/>
      <c r="AA93" s="67"/>
      <c r="AB93" s="67"/>
      <c r="AC93" s="67"/>
    </row>
    <row r="94" spans="1:68" ht="14.25" hidden="1" customHeight="1" x14ac:dyDescent="0.25">
      <c r="A94" s="630" t="s">
        <v>86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64</v>
      </c>
      <c r="Y95" s="55">
        <f>IFERROR(IF(X95="",0,CEILING((X95/$H95),1)*$H95),"")</f>
        <v>64.8</v>
      </c>
      <c r="Z95" s="41">
        <f>IFERROR(IF(Y95=0,"",ROUNDUP(Y95/H95,0)*0.01898),"")</f>
        <v>0.15184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67.903209876543215</v>
      </c>
      <c r="BN95" s="78">
        <f>IFERROR(Y95*I95/H95,"0")</f>
        <v>68.751999999999995</v>
      </c>
      <c r="BO95" s="78">
        <f>IFERROR(1/J95*(X95/H95),"0")</f>
        <v>0.1234567901234568</v>
      </c>
      <c r="BP95" s="78">
        <f>IFERROR(1/J95*(Y95/H95),"0")</f>
        <v>0.125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7.901234567901235</v>
      </c>
      <c r="Y99" s="43">
        <f>IFERROR(Y95/H95,"0")+IFERROR(Y96/H96,"0")+IFERROR(Y97/H97,"0")+IFERROR(Y98/H98,"0")</f>
        <v>8</v>
      </c>
      <c r="Z99" s="43">
        <f>IFERROR(IF(Z95="",0,Z95),"0")+IFERROR(IF(Z96="",0,Z96),"0")+IFERROR(IF(Z97="",0,Z97),"0")+IFERROR(IF(Z98="",0,Z98),"0")</f>
        <v>0.15184</v>
      </c>
      <c r="AA99" s="67"/>
      <c r="AB99" s="67"/>
      <c r="AC99" s="67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64</v>
      </c>
      <c r="Y100" s="43">
        <f>IFERROR(SUM(Y95:Y98),"0")</f>
        <v>64.8</v>
      </c>
      <c r="Z100" s="42"/>
      <c r="AA100" s="67"/>
      <c r="AB100" s="67"/>
      <c r="AC100" s="67"/>
    </row>
    <row r="101" spans="1:68" ht="16.5" hidden="1" customHeight="1" x14ac:dyDescent="0.25">
      <c r="A101" s="646" t="s">
        <v>209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hidden="1" customHeight="1" x14ac:dyDescent="0.25">
      <c r="A102" s="630" t="s">
        <v>128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31.138888888888889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4.3402777777777776E-2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2.7777777777777777</v>
      </c>
      <c r="Y109" s="43">
        <f>IFERROR(Y103/H103,"0")+IFERROR(Y104/H104,"0")+IFERROR(Y105/H105,"0")+IFERROR(Y106/H106,"0")+IFERROR(Y107/H107,"0")+IFERROR(Y108/H108,"0")</f>
        <v>3.0000000000000004</v>
      </c>
      <c r="Z109" s="43">
        <f>IFERROR(IF(Z103="",0,Z103),"0")+IFERROR(IF(Z104="",0,Z104),"0")+IFERROR(IF(Z105="",0,Z105),"0")+IFERROR(IF(Z106="",0,Z106),"0")+IFERROR(IF(Z107="",0,Z107),"0")+IFERROR(IF(Z108="",0,Z108),"0")</f>
        <v>5.6940000000000004E-2</v>
      </c>
      <c r="AA109" s="67"/>
      <c r="AB109" s="67"/>
      <c r="AC109" s="67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30</v>
      </c>
      <c r="Y110" s="43">
        <f>IFERROR(SUM(Y103:Y108),"0")</f>
        <v>32.400000000000006</v>
      </c>
      <c r="Z110" s="42"/>
      <c r="AA110" s="67"/>
      <c r="AB110" s="67"/>
      <c r="AC110" s="67"/>
    </row>
    <row r="111" spans="1:68" ht="14.25" hidden="1" customHeight="1" x14ac:dyDescent="0.25">
      <c r="A111" s="630" t="s">
        <v>164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30" t="s">
        <v>86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440</v>
      </c>
      <c r="Y120" s="55">
        <f>IFERROR(IF(X120="",0,CEILING((X120/$H120),1)*$H120),"")</f>
        <v>445.5</v>
      </c>
      <c r="Z120" s="41">
        <f>IFERROR(IF(Y120=0,"",ROUNDUP(Y120/H120,0)*0.01898),"")</f>
        <v>1.0439000000000001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466.50864197530865</v>
      </c>
      <c r="BN120" s="78">
        <f>IFERROR(Y120*I120/H120,"0")</f>
        <v>472.34</v>
      </c>
      <c r="BO120" s="78">
        <f>IFERROR(1/J120*(X120/H120),"0")</f>
        <v>0.84876543209876543</v>
      </c>
      <c r="BP120" s="78">
        <f>IFERROR(1/J120*(Y120/H120),"0")</f>
        <v>0.859375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26</v>
      </c>
      <c r="Y122" s="55">
        <f>IFERROR(IF(X122="",0,CEILING((X122/$H122),1)*$H122),"")</f>
        <v>27</v>
      </c>
      <c r="Z122" s="41">
        <f>IFERROR(IF(Y122=0,"",ROUNDUP(Y122/H122,0)*0.00651),"")</f>
        <v>6.5100000000000005E-2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28.426666666666662</v>
      </c>
      <c r="BN122" s="78">
        <f>IFERROR(Y122*I122/H122,"0")</f>
        <v>29.519999999999996</v>
      </c>
      <c r="BO122" s="78">
        <f>IFERROR(1/J122*(X122/H122),"0")</f>
        <v>5.2910052910052914E-2</v>
      </c>
      <c r="BP122" s="78">
        <f>IFERROR(1/J122*(Y122/H122),"0")</f>
        <v>5.4945054945054951E-2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63.950617283950621</v>
      </c>
      <c r="Y124" s="43">
        <f>IFERROR(Y120/H120,"0")+IFERROR(Y121/H121,"0")+IFERROR(Y122/H122,"0")+IFERROR(Y123/H123,"0")</f>
        <v>65</v>
      </c>
      <c r="Z124" s="43">
        <f>IFERROR(IF(Z120="",0,Z120),"0")+IFERROR(IF(Z121="",0,Z121),"0")+IFERROR(IF(Z122="",0,Z122),"0")+IFERROR(IF(Z123="",0,Z123),"0")</f>
        <v>1.109</v>
      </c>
      <c r="AA124" s="67"/>
      <c r="AB124" s="67"/>
      <c r="AC124" s="67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466</v>
      </c>
      <c r="Y125" s="43">
        <f>IFERROR(SUM(Y120:Y123),"0")</f>
        <v>472.5</v>
      </c>
      <c r="Z125" s="42"/>
      <c r="AA125" s="67"/>
      <c r="AB125" s="67"/>
      <c r="AC125" s="67"/>
    </row>
    <row r="126" spans="1:68" ht="14.25" hidden="1" customHeight="1" x14ac:dyDescent="0.25">
      <c r="A126" s="630" t="s">
        <v>181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46" t="s">
        <v>248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hidden="1" customHeight="1" x14ac:dyDescent="0.25">
      <c r="A131" s="630" t="s">
        <v>128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249</v>
      </c>
      <c r="B133" s="63" t="s">
        <v>252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30" t="s">
        <v>77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hidden="1" customHeight="1" x14ac:dyDescent="0.25">
      <c r="A137" s="63" t="s">
        <v>253</v>
      </c>
      <c r="B137" s="63" t="s">
        <v>254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30" t="s">
        <v>86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hidden="1" customHeight="1" x14ac:dyDescent="0.25">
      <c r="A142" s="63" t="s">
        <v>257</v>
      </c>
      <c r="B142" s="63" t="s">
        <v>258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46" t="s">
        <v>260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hidden="1" customHeight="1" x14ac:dyDescent="0.25">
      <c r="A147" s="630" t="s">
        <v>86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46" t="s">
        <v>126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hidden="1" customHeight="1" x14ac:dyDescent="0.25">
      <c r="A155" s="630" t="s">
        <v>128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30" t="s">
        <v>164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hidden="1" customHeight="1" x14ac:dyDescent="0.25">
      <c r="A162" s="63" t="s">
        <v>283</v>
      </c>
      <c r="B162" s="63" t="s">
        <v>284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30" t="s">
        <v>77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90</v>
      </c>
      <c r="Y166" s="55">
        <f t="shared" ref="Y166:Y177" si="10">IFERROR(IF(X166="",0,CEILING((X166/$H166),1)*$H166),"")</f>
        <v>91</v>
      </c>
      <c r="Z166" s="41">
        <f>IFERROR(IF(Y166=0,"",ROUNDUP(Y166/H166,0)*0.00902),"")</f>
        <v>0.23452000000000001</v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94.885714285714286</v>
      </c>
      <c r="BN166" s="78">
        <f t="shared" ref="BN166:BN177" si="12">IFERROR(Y166*I166/H166,"0")</f>
        <v>95.940000000000012</v>
      </c>
      <c r="BO166" s="78">
        <f t="shared" ref="BO166:BO177" si="13">IFERROR(1/J166*(X166/H166),"0")</f>
        <v>0.19480519480519481</v>
      </c>
      <c r="BP166" s="78">
        <f t="shared" ref="BP166:BP177" si="14">IFERROR(1/J166*(Y166/H166),"0")</f>
        <v>0.19696969696969696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60</v>
      </c>
      <c r="Y169" s="55">
        <f t="shared" si="10"/>
        <v>63</v>
      </c>
      <c r="Z169" s="41">
        <f>IFERROR(IF(Y169=0,"",ROUNDUP(Y169/H169,0)*0.00902),"")</f>
        <v>0.16236</v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63.25714285714286</v>
      </c>
      <c r="BN169" s="78">
        <f t="shared" si="12"/>
        <v>66.42</v>
      </c>
      <c r="BO169" s="78">
        <f t="shared" si="13"/>
        <v>0.12987012987012986</v>
      </c>
      <c r="BP169" s="78">
        <f t="shared" si="14"/>
        <v>0.13636363636363635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50</v>
      </c>
      <c r="Y170" s="55">
        <f t="shared" si="10"/>
        <v>52.5</v>
      </c>
      <c r="Z170" s="41">
        <f>IFERROR(IF(Y170=0,"",ROUNDUP(Y170/H170,0)*0.00902),"")</f>
        <v>0.1353</v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52.714285714285715</v>
      </c>
      <c r="BN170" s="78">
        <f t="shared" si="12"/>
        <v>55.35</v>
      </c>
      <c r="BO170" s="78">
        <f t="shared" si="13"/>
        <v>0.10822510822510824</v>
      </c>
      <c r="BP170" s="78">
        <f t="shared" si="14"/>
        <v>0.11363636363636365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315</v>
      </c>
      <c r="B177" s="63" t="s">
        <v>316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x14ac:dyDescent="0.2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57.142857142857146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59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0.53217999999999999</v>
      </c>
      <c r="AA178" s="67"/>
      <c r="AB178" s="67"/>
      <c r="AC178" s="67"/>
    </row>
    <row r="179" spans="1:68" x14ac:dyDescent="0.2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200</v>
      </c>
      <c r="Y179" s="43">
        <f>IFERROR(SUM(Y166:Y177),"0")</f>
        <v>206.5</v>
      </c>
      <c r="Z179" s="42"/>
      <c r="AA179" s="67"/>
      <c r="AB179" s="67"/>
      <c r="AC179" s="67"/>
    </row>
    <row r="180" spans="1:68" ht="14.25" hidden="1" customHeight="1" x14ac:dyDescent="0.25">
      <c r="A180" s="630" t="s">
        <v>86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30" t="s">
        <v>104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30" t="s">
        <v>334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51" t="s">
        <v>338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hidden="1" customHeight="1" x14ac:dyDescent="0.25">
      <c r="A196" s="646" t="s">
        <v>339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hidden="1" customHeight="1" x14ac:dyDescent="0.25">
      <c r="A197" s="630" t="s">
        <v>128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46" t="s">
        <v>360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hidden="1" customHeight="1" x14ac:dyDescent="0.25">
      <c r="A208" s="630" t="s">
        <v>164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30" t="s">
        <v>77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hidden="1" customHeight="1" x14ac:dyDescent="0.25">
      <c r="A213" s="63" t="s">
        <v>364</v>
      </c>
      <c r="B213" s="63" t="s">
        <v>365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4</v>
      </c>
      <c r="Y214" s="55">
        <f t="shared" si="21"/>
        <v>4.2</v>
      </c>
      <c r="Z214" s="41">
        <f>IFERROR(IF(Y214=0,"",ROUNDUP(Y214/H214,0)*0.00902),"")</f>
        <v>9.0200000000000002E-3</v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4.2380952380952381</v>
      </c>
      <c r="BN214" s="78">
        <f t="shared" si="23"/>
        <v>4.45</v>
      </c>
      <c r="BO214" s="78">
        <f t="shared" si="24"/>
        <v>7.215007215007215E-3</v>
      </c>
      <c r="BP214" s="78">
        <f t="shared" si="25"/>
        <v>7.575757575757576E-3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140</v>
      </c>
      <c r="Y215" s="55">
        <f t="shared" si="21"/>
        <v>142.80000000000001</v>
      </c>
      <c r="Z215" s="41">
        <f>IFERROR(IF(Y215=0,"",ROUNDUP(Y215/H215,0)*0.00902),"")</f>
        <v>0.30668000000000001</v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146.33333333333331</v>
      </c>
      <c r="BN215" s="78">
        <f t="shared" si="23"/>
        <v>149.26000000000002</v>
      </c>
      <c r="BO215" s="78">
        <f t="shared" si="24"/>
        <v>0.25252525252525249</v>
      </c>
      <c r="BP215" s="78">
        <f t="shared" si="25"/>
        <v>0.25757575757575757</v>
      </c>
    </row>
    <row r="216" spans="1:68" ht="37.5" hidden="1" customHeight="1" x14ac:dyDescent="0.25">
      <c r="A216" s="63" t="s">
        <v>373</v>
      </c>
      <c r="B216" s="63" t="s">
        <v>374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395</v>
      </c>
      <c r="B224" s="63" t="s">
        <v>396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34.285714285714278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35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0.31569999999999998</v>
      </c>
      <c r="AA227" s="67"/>
      <c r="AB227" s="67"/>
      <c r="AC227" s="67"/>
    </row>
    <row r="228" spans="1:68" x14ac:dyDescent="0.2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144</v>
      </c>
      <c r="Y228" s="43">
        <f>IFERROR(SUM(Y213:Y226),"0")</f>
        <v>147</v>
      </c>
      <c r="Z228" s="42"/>
      <c r="AA228" s="67"/>
      <c r="AB228" s="67"/>
      <c r="AC228" s="67"/>
    </row>
    <row r="229" spans="1:68" ht="14.25" hidden="1" customHeight="1" x14ac:dyDescent="0.25">
      <c r="A229" s="630" t="s">
        <v>86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30" t="s">
        <v>104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30" t="s">
        <v>424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6" t="s">
        <v>427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hidden="1" customHeight="1" x14ac:dyDescent="0.25">
      <c r="A248" s="630" t="s">
        <v>128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431</v>
      </c>
      <c r="B250" s="63" t="s">
        <v>432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27</v>
      </c>
      <c r="Y250" s="55">
        <f>IFERROR(IF(X250="",0,CEILING((X250/$H250),1)*$H250),"")</f>
        <v>27</v>
      </c>
      <c r="Z250" s="41">
        <f>IFERROR(IF(Y250=0,"",ROUNDUP(Y250/H250,0)*0.00651),"")</f>
        <v>6.5100000000000005E-2</v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28.799999999999994</v>
      </c>
      <c r="BN250" s="78">
        <f>IFERROR(Y250*I250/H250,"0")</f>
        <v>28.799999999999994</v>
      </c>
      <c r="BO250" s="78">
        <f>IFERROR(1/J250*(X250/H250),"0")</f>
        <v>5.4945054945054951E-2</v>
      </c>
      <c r="BP250" s="78">
        <f>IFERROR(1/J250*(Y250/H250),"0")</f>
        <v>5.4945054945054951E-2</v>
      </c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10</v>
      </c>
      <c r="Y251" s="43">
        <f>IFERROR(Y249/H249,"0")+IFERROR(Y250/H250,"0")</f>
        <v>10</v>
      </c>
      <c r="Z251" s="43">
        <f>IFERROR(IF(Z249="",0,Z249),"0")+IFERROR(IF(Z250="",0,Z250),"0")</f>
        <v>6.5100000000000005E-2</v>
      </c>
      <c r="AA251" s="67"/>
      <c r="AB251" s="67"/>
      <c r="AC251" s="67"/>
    </row>
    <row r="252" spans="1:68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27</v>
      </c>
      <c r="Y252" s="43">
        <f>IFERROR(SUM(Y249:Y250),"0")</f>
        <v>27</v>
      </c>
      <c r="Z252" s="42"/>
      <c r="AA252" s="67"/>
      <c r="AB252" s="67"/>
      <c r="AC252" s="67"/>
    </row>
    <row r="253" spans="1:68" ht="14.25" hidden="1" customHeight="1" x14ac:dyDescent="0.25">
      <c r="A253" s="630" t="s">
        <v>164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30" t="s">
        <v>77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380</v>
      </c>
      <c r="Y259" s="55">
        <f t="shared" ref="Y259:Y266" si="27">IFERROR(IF(X259="",0,CEILING((X259/$H259),1)*$H259),"")</f>
        <v>383.40000000000003</v>
      </c>
      <c r="Z259" s="41">
        <f>IFERROR(IF(Y259=0,"",ROUNDUP(Y259/H259,0)*0.00902),"")</f>
        <v>0.64041999999999999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393.37037037037032</v>
      </c>
      <c r="BN259" s="78">
        <f t="shared" ref="BN259:BN266" si="29">IFERROR(Y259*I259/H259,"0")</f>
        <v>396.89</v>
      </c>
      <c r="BO259" s="78">
        <f t="shared" ref="BO259:BO266" si="30">IFERROR(1/J259*(X259/H259),"0")</f>
        <v>0.53310886644219979</v>
      </c>
      <c r="BP259" s="78">
        <f t="shared" ref="BP259:BP266" si="31">IFERROR(1/J259*(Y259/H259),"0")</f>
        <v>0.53787878787878785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255</v>
      </c>
      <c r="Y260" s="55">
        <f t="shared" si="27"/>
        <v>259.20000000000005</v>
      </c>
      <c r="Z260" s="41">
        <f>IFERROR(IF(Y260=0,"",ROUNDUP(Y260/H260,0)*0.00902),"")</f>
        <v>0.43296000000000001</v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263.97222222222223</v>
      </c>
      <c r="BN260" s="78">
        <f t="shared" si="29"/>
        <v>268.32</v>
      </c>
      <c r="BO260" s="78">
        <f t="shared" si="30"/>
        <v>0.35774410774410775</v>
      </c>
      <c r="BP260" s="78">
        <f t="shared" si="31"/>
        <v>0.3636363636363637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320</v>
      </c>
      <c r="Y261" s="55">
        <f t="shared" si="27"/>
        <v>324</v>
      </c>
      <c r="Z261" s="41">
        <f>IFERROR(IF(Y261=0,"",ROUNDUP(Y261/H261,0)*0.00902),"")</f>
        <v>0.54120000000000001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331.25925925925924</v>
      </c>
      <c r="BN261" s="78">
        <f t="shared" si="29"/>
        <v>335.4</v>
      </c>
      <c r="BO261" s="78">
        <f t="shared" si="30"/>
        <v>0.44893378226711556</v>
      </c>
      <c r="BP261" s="78">
        <f t="shared" si="31"/>
        <v>0.45454545454545453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430</v>
      </c>
      <c r="Y262" s="55">
        <f t="shared" si="27"/>
        <v>432</v>
      </c>
      <c r="Z262" s="41">
        <f>IFERROR(IF(Y262=0,"",ROUNDUP(Y262/H262,0)*0.00902),"")</f>
        <v>0.72160000000000002</v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445.12962962962956</v>
      </c>
      <c r="BN262" s="78">
        <f t="shared" si="29"/>
        <v>447.2</v>
      </c>
      <c r="BO262" s="78">
        <f t="shared" si="30"/>
        <v>0.60325476992143656</v>
      </c>
      <c r="BP262" s="78">
        <f t="shared" si="31"/>
        <v>0.60606060606060608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5</v>
      </c>
      <c r="Y263" s="55">
        <f t="shared" si="27"/>
        <v>5.4</v>
      </c>
      <c r="Z263" s="41">
        <f>IFERROR(IF(Y263=0,"",ROUNDUP(Y263/H263,0)*0.00502),"")</f>
        <v>1.506E-2</v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5.3611111111111116</v>
      </c>
      <c r="BN263" s="78">
        <f t="shared" si="29"/>
        <v>5.79</v>
      </c>
      <c r="BO263" s="78">
        <f t="shared" si="30"/>
        <v>1.1870845204178538E-2</v>
      </c>
      <c r="BP263" s="78">
        <f t="shared" si="31"/>
        <v>1.2820512820512822E-2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5</v>
      </c>
      <c r="Y264" s="55">
        <f t="shared" si="27"/>
        <v>5.4</v>
      </c>
      <c r="Z264" s="41">
        <f>IFERROR(IF(Y264=0,"",ROUNDUP(Y264/H264,0)*0.00502),"")</f>
        <v>1.506E-2</v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5.2777777777777777</v>
      </c>
      <c r="BN264" s="78">
        <f t="shared" si="29"/>
        <v>5.7</v>
      </c>
      <c r="BO264" s="78">
        <f t="shared" si="30"/>
        <v>1.1870845204178538E-2</v>
      </c>
      <c r="BP264" s="78">
        <f t="shared" si="31"/>
        <v>1.2820512820512822E-2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5</v>
      </c>
      <c r="Y265" s="55">
        <f t="shared" si="27"/>
        <v>5.4</v>
      </c>
      <c r="Z265" s="41">
        <f>IFERROR(IF(Y265=0,"",ROUNDUP(Y265/H265,0)*0.00502),"")</f>
        <v>1.506E-2</v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5.2777777777777777</v>
      </c>
      <c r="BN265" s="78">
        <f t="shared" si="29"/>
        <v>5.7</v>
      </c>
      <c r="BO265" s="78">
        <f t="shared" si="30"/>
        <v>1.1870845204178538E-2</v>
      </c>
      <c r="BP265" s="78">
        <f t="shared" si="31"/>
        <v>1.2820512820512822E-2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5</v>
      </c>
      <c r="Y266" s="55">
        <f t="shared" si="27"/>
        <v>5.4</v>
      </c>
      <c r="Z266" s="41">
        <f>IFERROR(IF(Y266=0,"",ROUNDUP(Y266/H266,0)*0.00502),"")</f>
        <v>1.506E-2</v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5.2777777777777777</v>
      </c>
      <c r="BN266" s="78">
        <f t="shared" si="29"/>
        <v>5.7</v>
      </c>
      <c r="BO266" s="78">
        <f t="shared" si="30"/>
        <v>1.1870845204178538E-2</v>
      </c>
      <c r="BP266" s="78">
        <f t="shared" si="31"/>
        <v>1.2820512820512822E-2</v>
      </c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267.59259259259255</v>
      </c>
      <c r="Y267" s="43">
        <f>IFERROR(Y259/H259,"0")+IFERROR(Y260/H260,"0")+IFERROR(Y261/H261,"0")+IFERROR(Y262/H262,"0")+IFERROR(Y263/H263,"0")+IFERROR(Y264/H264,"0")+IFERROR(Y265/H265,"0")+IFERROR(Y266/H266,"0")</f>
        <v>271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2.3964200000000004</v>
      </c>
      <c r="AA267" s="67"/>
      <c r="AB267" s="67"/>
      <c r="AC267" s="67"/>
    </row>
    <row r="268" spans="1:68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1405</v>
      </c>
      <c r="Y268" s="43">
        <f>IFERROR(SUM(Y259:Y266),"0")</f>
        <v>1420.2000000000005</v>
      </c>
      <c r="Z268" s="42"/>
      <c r="AA268" s="67"/>
      <c r="AB268" s="67"/>
      <c r="AC268" s="67"/>
    </row>
    <row r="269" spans="1:68" ht="14.25" hidden="1" customHeight="1" x14ac:dyDescent="0.25">
      <c r="A269" s="630" t="s">
        <v>86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220</v>
      </c>
      <c r="Y272" s="55">
        <f t="shared" si="32"/>
        <v>226.2</v>
      </c>
      <c r="Z272" s="41">
        <f>IFERROR(IF(Y272=0,"",ROUNDUP(Y272/H272,0)*0.01898),"")</f>
        <v>0.49348000000000003</v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232.49195402298855</v>
      </c>
      <c r="BN272" s="78">
        <f t="shared" si="34"/>
        <v>239.04400000000001</v>
      </c>
      <c r="BO272" s="78">
        <f t="shared" si="35"/>
        <v>0.39511494252873569</v>
      </c>
      <c r="BP272" s="78">
        <f t="shared" si="36"/>
        <v>0.40625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2</v>
      </c>
      <c r="Y273" s="55">
        <f t="shared" si="32"/>
        <v>2.4</v>
      </c>
      <c r="Z273" s="41">
        <f>IFERROR(IF(Y273=0,"",ROUNDUP(Y273/H273,0)*0.00651),"")</f>
        <v>6.5100000000000002E-3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2.2250000000000001</v>
      </c>
      <c r="BN273" s="78">
        <f t="shared" si="34"/>
        <v>2.67</v>
      </c>
      <c r="BO273" s="78">
        <f t="shared" si="35"/>
        <v>4.578754578754579E-3</v>
      </c>
      <c r="BP273" s="78">
        <f t="shared" si="36"/>
        <v>5.4945054945054949E-3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148</v>
      </c>
      <c r="Y276" s="55">
        <f t="shared" si="32"/>
        <v>148.79999999999998</v>
      </c>
      <c r="Z276" s="41">
        <f>IFERROR(IF(Y276=0,"",ROUNDUP(Y276/H276,0)*0.00651),"")</f>
        <v>0.40362000000000003</v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163.54000000000002</v>
      </c>
      <c r="BN276" s="78">
        <f t="shared" si="34"/>
        <v>164.42400000000001</v>
      </c>
      <c r="BO276" s="78">
        <f t="shared" si="35"/>
        <v>0.3388278388278389</v>
      </c>
      <c r="BP276" s="78">
        <f t="shared" si="36"/>
        <v>0.34065934065934067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 x14ac:dyDescent="0.25">
      <c r="A278" s="63" t="s">
        <v>478</v>
      </c>
      <c r="B278" s="63" t="s">
        <v>479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2</v>
      </c>
      <c r="Y278" s="55">
        <f t="shared" si="32"/>
        <v>2.4</v>
      </c>
      <c r="Z278" s="41">
        <f>IFERROR(IF(Y278=0,"",ROUNDUP(Y278/H278,0)*0.00651),"")</f>
        <v>6.5100000000000002E-3</v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2.2100000000000004</v>
      </c>
      <c r="BN278" s="78">
        <f t="shared" si="34"/>
        <v>2.6520000000000001</v>
      </c>
      <c r="BO278" s="78">
        <f t="shared" si="35"/>
        <v>4.578754578754579E-3</v>
      </c>
      <c r="BP278" s="78">
        <f t="shared" si="36"/>
        <v>5.4945054945054949E-3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132</v>
      </c>
      <c r="Y279" s="55">
        <f t="shared" si="32"/>
        <v>132</v>
      </c>
      <c r="Z279" s="41">
        <f>IFERROR(IF(Y279=0,"",ROUNDUP(Y279/H279,0)*0.00651),"")</f>
        <v>0.35805000000000003</v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145.86000000000001</v>
      </c>
      <c r="BN279" s="78">
        <f t="shared" si="34"/>
        <v>145.86000000000001</v>
      </c>
      <c r="BO279" s="78">
        <f t="shared" si="35"/>
        <v>0.30219780219780223</v>
      </c>
      <c r="BP279" s="78">
        <f t="shared" si="36"/>
        <v>0.30219780219780223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122</v>
      </c>
      <c r="Y280" s="55">
        <f t="shared" si="32"/>
        <v>122.39999999999999</v>
      </c>
      <c r="Z280" s="41">
        <f>IFERROR(IF(Y280=0,"",ROUNDUP(Y280/H280,0)*0.00651),"")</f>
        <v>0.33201000000000003</v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135.11500000000001</v>
      </c>
      <c r="BN280" s="78">
        <f t="shared" si="34"/>
        <v>135.55799999999999</v>
      </c>
      <c r="BO280" s="78">
        <f t="shared" si="35"/>
        <v>0.27930402930402937</v>
      </c>
      <c r="BP280" s="78">
        <f t="shared" si="36"/>
        <v>0.28021978021978022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194.45402298850576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196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1.6001799999999999</v>
      </c>
      <c r="AA282" s="67"/>
      <c r="AB282" s="67"/>
      <c r="AC282" s="67"/>
    </row>
    <row r="283" spans="1:68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626</v>
      </c>
      <c r="Y283" s="43">
        <f>IFERROR(SUM(Y270:Y281),"0")</f>
        <v>634.19999999999993</v>
      </c>
      <c r="Z283" s="42"/>
      <c r="AA283" s="67"/>
      <c r="AB283" s="67"/>
      <c r="AC283" s="67"/>
    </row>
    <row r="284" spans="1:68" ht="14.25" hidden="1" customHeight="1" x14ac:dyDescent="0.25">
      <c r="A284" s="630" t="s">
        <v>181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36</v>
      </c>
      <c r="Y285" s="55">
        <f>IFERROR(IF(X285="",0,CEILING((X285/$H285),1)*$H285),"")</f>
        <v>36</v>
      </c>
      <c r="Z285" s="41">
        <f>IFERROR(IF(Y285=0,"",ROUNDUP(Y285/H285,0)*0.00651),"")</f>
        <v>9.7650000000000001E-2</v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39.780000000000008</v>
      </c>
      <c r="BN285" s="78">
        <f>IFERROR(Y285*I285/H285,"0")</f>
        <v>39.780000000000008</v>
      </c>
      <c r="BO285" s="78">
        <f>IFERROR(1/J285*(X285/H285),"0")</f>
        <v>8.241758241758243E-2</v>
      </c>
      <c r="BP285" s="78">
        <f>IFERROR(1/J285*(Y285/H285),"0")</f>
        <v>8.241758241758243E-2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15</v>
      </c>
      <c r="Y287" s="43">
        <f>IFERROR(Y285/H285,"0")+IFERROR(Y286/H286,"0")</f>
        <v>15</v>
      </c>
      <c r="Z287" s="43">
        <f>IFERROR(IF(Z285="",0,Z285),"0")+IFERROR(IF(Z286="",0,Z286),"0")</f>
        <v>9.7650000000000001E-2</v>
      </c>
      <c r="AA287" s="67"/>
      <c r="AB287" s="67"/>
      <c r="AC287" s="67"/>
    </row>
    <row r="288" spans="1:68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36</v>
      </c>
      <c r="Y288" s="43">
        <f>IFERROR(SUM(Y285:Y286),"0")</f>
        <v>36</v>
      </c>
      <c r="Z288" s="42"/>
      <c r="AA288" s="67"/>
      <c r="AB288" s="67"/>
      <c r="AC288" s="67"/>
    </row>
    <row r="289" spans="1:68" ht="16.5" hidden="1" customHeight="1" x14ac:dyDescent="0.25">
      <c r="A289" s="646" t="s">
        <v>495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hidden="1" customHeight="1" x14ac:dyDescent="0.25">
      <c r="A290" s="630" t="s">
        <v>128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502</v>
      </c>
      <c r="B293" s="63" t="s">
        <v>503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504</v>
      </c>
      <c r="B294" s="63" t="s">
        <v>505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512</v>
      </c>
      <c r="B297" s="63" t="s">
        <v>513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30" t="s">
        <v>164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30" t="s">
        <v>517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hidden="1" customHeight="1" x14ac:dyDescent="0.25">
      <c r="A305" s="63" t="s">
        <v>518</v>
      </c>
      <c r="B305" s="63" t="s">
        <v>519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30" t="s">
        <v>334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524</v>
      </c>
      <c r="B310" s="63" t="s">
        <v>525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46" t="s">
        <v>528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hidden="1" customHeight="1" x14ac:dyDescent="0.25">
      <c r="A315" s="630" t="s">
        <v>128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customHeight="1" x14ac:dyDescent="0.25">
      <c r="A316" s="63" t="s">
        <v>529</v>
      </c>
      <c r="B316" s="63" t="s">
        <v>530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30</v>
      </c>
      <c r="Y316" s="55">
        <f>IFERROR(IF(X316="",0,CEILING((X316/$H316),1)*$H316),"")</f>
        <v>32.400000000000006</v>
      </c>
      <c r="Z316" s="41">
        <f>IFERROR(IF(Y316=0,"",ROUNDUP(Y316/H316,0)*0.01898),"")</f>
        <v>5.6940000000000004E-2</v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31.138888888888889</v>
      </c>
      <c r="BN316" s="78">
        <f>IFERROR(Y316*I316/H316,"0")</f>
        <v>33.630000000000003</v>
      </c>
      <c r="BO316" s="78">
        <f>IFERROR(1/J316*(X316/H316),"0")</f>
        <v>4.3402777777777776E-2</v>
      </c>
      <c r="BP316" s="78">
        <f>IFERROR(1/J316*(Y316/H316),"0")</f>
        <v>4.6875000000000007E-2</v>
      </c>
    </row>
    <row r="317" spans="1:68" ht="37.5" customHeight="1" x14ac:dyDescent="0.25">
      <c r="A317" s="63" t="s">
        <v>532</v>
      </c>
      <c r="B317" s="63" t="s">
        <v>533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10</v>
      </c>
      <c r="Y317" s="55">
        <f>IFERROR(IF(X317="",0,CEILING((X317/$H317),1)*$H317),"")</f>
        <v>10.8</v>
      </c>
      <c r="Z317" s="41">
        <f>IFERROR(IF(Y317=0,"",ROUNDUP(Y317/H317,0)*0.01898),"")</f>
        <v>1.898E-2</v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10.37962962962963</v>
      </c>
      <c r="BN317" s="78">
        <f>IFERROR(Y317*I317/H317,"0")</f>
        <v>11.21</v>
      </c>
      <c r="BO317" s="78">
        <f>IFERROR(1/J317*(X317/H317),"0")</f>
        <v>1.4467592592592591E-2</v>
      </c>
      <c r="BP317" s="78">
        <f>IFERROR(1/J317*(Y317/H317),"0")</f>
        <v>1.5625E-2</v>
      </c>
    </row>
    <row r="318" spans="1:68" ht="27" customHeight="1" x14ac:dyDescent="0.25">
      <c r="A318" s="63" t="s">
        <v>535</v>
      </c>
      <c r="B318" s="63" t="s">
        <v>536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60</v>
      </c>
      <c r="Y318" s="55">
        <f>IFERROR(IF(X318="",0,CEILING((X318/$H318),1)*$H318),"")</f>
        <v>64.800000000000011</v>
      </c>
      <c r="Z318" s="41">
        <f>IFERROR(IF(Y318=0,"",ROUNDUP(Y318/H318,0)*0.01898),"")</f>
        <v>0.11388000000000001</v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62.277777777777779</v>
      </c>
      <c r="BN318" s="78">
        <f>IFERROR(Y318*I318/H318,"0")</f>
        <v>67.260000000000005</v>
      </c>
      <c r="BO318" s="78">
        <f>IFERROR(1/J318*(X318/H318),"0")</f>
        <v>8.6805555555555552E-2</v>
      </c>
      <c r="BP318" s="78">
        <f>IFERROR(1/J318*(Y318/H318),"0")</f>
        <v>9.3750000000000014E-2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9.2592592592592595</v>
      </c>
      <c r="Y321" s="43">
        <f>IFERROR(Y316/H316,"0")+IFERROR(Y317/H317,"0")+IFERROR(Y318/H318,"0")+IFERROR(Y319/H319,"0")+IFERROR(Y320/H320,"0")</f>
        <v>10</v>
      </c>
      <c r="Z321" s="43">
        <f>IFERROR(IF(Z316="",0,Z316),"0")+IFERROR(IF(Z317="",0,Z317),"0")+IFERROR(IF(Z318="",0,Z318),"0")+IFERROR(IF(Z319="",0,Z319),"0")+IFERROR(IF(Z320="",0,Z320),"0")</f>
        <v>0.18980000000000002</v>
      </c>
      <c r="AA321" s="67"/>
      <c r="AB321" s="67"/>
      <c r="AC321" s="67"/>
    </row>
    <row r="322" spans="1:68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100</v>
      </c>
      <c r="Y322" s="43">
        <f>IFERROR(SUM(Y316:Y320),"0")</f>
        <v>108.00000000000001</v>
      </c>
      <c r="Z322" s="42"/>
      <c r="AA322" s="67"/>
      <c r="AB322" s="67"/>
      <c r="AC322" s="67"/>
    </row>
    <row r="323" spans="1:68" ht="16.5" hidden="1" customHeight="1" x14ac:dyDescent="0.25">
      <c r="A323" s="646" t="s">
        <v>544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hidden="1" customHeight="1" x14ac:dyDescent="0.25">
      <c r="A324" s="630" t="s">
        <v>86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2</v>
      </c>
      <c r="Y326" s="55">
        <f>IFERROR(IF(X326="",0,CEILING((X326/$H326),1)*$H326),"")</f>
        <v>2.4</v>
      </c>
      <c r="Z326" s="41">
        <f>IFERROR(IF(Y326=0,"",ROUNDUP(Y326/H326,0)*0.00651),"")</f>
        <v>6.5100000000000002E-3</v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2.2100000000000004</v>
      </c>
      <c r="BN326" s="78">
        <f>IFERROR(Y326*I326/H326,"0")</f>
        <v>2.6520000000000001</v>
      </c>
      <c r="BO326" s="78">
        <f>IFERROR(1/J326*(X326/H326),"0")</f>
        <v>4.578754578754579E-3</v>
      </c>
      <c r="BP326" s="78">
        <f>IFERROR(1/J326*(Y326/H326),"0")</f>
        <v>5.4945054945054949E-3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2</v>
      </c>
      <c r="Y327" s="55">
        <f>IFERROR(IF(X327="",0,CEILING((X327/$H327),1)*$H327),"")</f>
        <v>2.4</v>
      </c>
      <c r="Z327" s="41">
        <f>IFERROR(IF(Y327=0,"",ROUNDUP(Y327/H327,0)*0.00651),"")</f>
        <v>6.5100000000000002E-3</v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2.1500000000000004</v>
      </c>
      <c r="BN327" s="78">
        <f>IFERROR(Y327*I327/H327,"0")</f>
        <v>2.58</v>
      </c>
      <c r="BO327" s="78">
        <f>IFERROR(1/J327*(X327/H327),"0")</f>
        <v>4.578754578754579E-3</v>
      </c>
      <c r="BP327" s="78">
        <f>IFERROR(1/J327*(Y327/H327),"0")</f>
        <v>5.4945054945054949E-3</v>
      </c>
    </row>
    <row r="328" spans="1:68" x14ac:dyDescent="0.2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1.6666666666666667</v>
      </c>
      <c r="Y328" s="43">
        <f>IFERROR(Y325/H325,"0")+IFERROR(Y326/H326,"0")+IFERROR(Y327/H327,"0")</f>
        <v>2</v>
      </c>
      <c r="Z328" s="43">
        <f>IFERROR(IF(Z325="",0,Z325),"0")+IFERROR(IF(Z326="",0,Z326),"0")+IFERROR(IF(Z327="",0,Z327),"0")</f>
        <v>1.302E-2</v>
      </c>
      <c r="AA328" s="67"/>
      <c r="AB328" s="67"/>
      <c r="AC328" s="67"/>
    </row>
    <row r="329" spans="1:68" x14ac:dyDescent="0.2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4</v>
      </c>
      <c r="Y329" s="43">
        <f>IFERROR(SUM(Y325:Y327),"0")</f>
        <v>4.8</v>
      </c>
      <c r="Z329" s="42"/>
      <c r="AA329" s="67"/>
      <c r="AB329" s="67"/>
      <c r="AC329" s="67"/>
    </row>
    <row r="330" spans="1:68" ht="16.5" hidden="1" customHeight="1" x14ac:dyDescent="0.25">
      <c r="A330" s="646" t="s">
        <v>553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hidden="1" customHeight="1" x14ac:dyDescent="0.25">
      <c r="A331" s="630" t="s">
        <v>77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30" t="s">
        <v>86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6" t="s">
        <v>574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hidden="1" customHeight="1" x14ac:dyDescent="0.25">
      <c r="A345" s="630" t="s">
        <v>128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hidden="1" customHeight="1" x14ac:dyDescent="0.25">
      <c r="A346" s="63" t="s">
        <v>575</v>
      </c>
      <c r="B346" s="63" t="s">
        <v>576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46" t="s">
        <v>583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hidden="1" customHeight="1" x14ac:dyDescent="0.25">
      <c r="A352" s="630" t="s">
        <v>128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220</v>
      </c>
      <c r="Y353" s="55">
        <f t="shared" ref="Y353:Y358" si="42">IFERROR(IF(X353="",0,CEILING((X353/$H353),1)*$H353),"")</f>
        <v>226.8</v>
      </c>
      <c r="Z353" s="41">
        <f>IFERROR(IF(Y353=0,"",ROUNDUP(Y353/H353,0)*0.01898),"")</f>
        <v>0.39857999999999999</v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228.35185185185188</v>
      </c>
      <c r="BN353" s="78">
        <f t="shared" ref="BN353:BN358" si="44">IFERROR(Y353*I353/H353,"0")</f>
        <v>235.41000000000003</v>
      </c>
      <c r="BO353" s="78">
        <f t="shared" ref="BO353:BO358" si="45">IFERROR(1/J353*(X353/H353),"0")</f>
        <v>0.31828703703703703</v>
      </c>
      <c r="BP353" s="78">
        <f t="shared" ref="BP353:BP358" si="46">IFERROR(1/J353*(Y353/H353),"0")</f>
        <v>0.328125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customHeight="1" x14ac:dyDescent="0.25">
      <c r="A355" s="63" t="s">
        <v>590</v>
      </c>
      <c r="B355" s="63" t="s">
        <v>591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10</v>
      </c>
      <c r="Y355" s="55">
        <f t="shared" si="42"/>
        <v>10.8</v>
      </c>
      <c r="Z355" s="41">
        <f>IFERROR(IF(Y355=0,"",ROUNDUP(Y355/H355,0)*0.01898),"")</f>
        <v>1.898E-2</v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10.37962962962963</v>
      </c>
      <c r="BN355" s="78">
        <f t="shared" si="44"/>
        <v>11.21</v>
      </c>
      <c r="BO355" s="78">
        <f t="shared" si="45"/>
        <v>1.4467592592592591E-2</v>
      </c>
      <c r="BP355" s="78">
        <f t="shared" si="46"/>
        <v>1.5625E-2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customHeight="1" x14ac:dyDescent="0.25">
      <c r="A357" s="63" t="s">
        <v>596</v>
      </c>
      <c r="B357" s="63" t="s">
        <v>597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4</v>
      </c>
      <c r="Y357" s="55">
        <f t="shared" si="42"/>
        <v>4</v>
      </c>
      <c r="Z357" s="41">
        <f>IFERROR(IF(Y357=0,"",ROUNDUP(Y357/H357,0)*0.00902),"")</f>
        <v>9.0200000000000002E-3</v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4.1900000000000004</v>
      </c>
      <c r="BN357" s="78">
        <f t="shared" si="44"/>
        <v>4.1900000000000004</v>
      </c>
      <c r="BO357" s="78">
        <f t="shared" si="45"/>
        <v>7.575757575757576E-3</v>
      </c>
      <c r="BP357" s="78">
        <f t="shared" si="46"/>
        <v>7.575757575757576E-3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22.296296296296298</v>
      </c>
      <c r="Y359" s="43">
        <f>IFERROR(Y353/H353,"0")+IFERROR(Y354/H354,"0")+IFERROR(Y355/H355,"0")+IFERROR(Y356/H356,"0")+IFERROR(Y357/H357,"0")+IFERROR(Y358/H358,"0")</f>
        <v>23</v>
      </c>
      <c r="Z359" s="43">
        <f>IFERROR(IF(Z353="",0,Z353),"0")+IFERROR(IF(Z354="",0,Z354),"0")+IFERROR(IF(Z355="",0,Z355),"0")+IFERROR(IF(Z356="",0,Z356),"0")+IFERROR(IF(Z357="",0,Z357),"0")+IFERROR(IF(Z358="",0,Z358),"0")</f>
        <v>0.42657999999999996</v>
      </c>
      <c r="AA359" s="67"/>
      <c r="AB359" s="67"/>
      <c r="AC359" s="67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234</v>
      </c>
      <c r="Y360" s="43">
        <f>IFERROR(SUM(Y353:Y358),"0")</f>
        <v>241.60000000000002</v>
      </c>
      <c r="Z360" s="42"/>
      <c r="AA360" s="67"/>
      <c r="AB360" s="67"/>
      <c r="AC360" s="67"/>
    </row>
    <row r="361" spans="1:68" ht="14.25" hidden="1" customHeight="1" x14ac:dyDescent="0.25">
      <c r="A361" s="630" t="s">
        <v>77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customHeight="1" x14ac:dyDescent="0.25">
      <c r="A362" s="63" t="s">
        <v>601</v>
      </c>
      <c r="B362" s="63" t="s">
        <v>602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90</v>
      </c>
      <c r="Y362" s="55">
        <f t="shared" ref="Y362:Y368" si="47">IFERROR(IF(X362="",0,CEILING((X362/$H362),1)*$H362),"")</f>
        <v>92.4</v>
      </c>
      <c r="Z362" s="41">
        <f>IFERROR(IF(Y362=0,"",ROUNDUP(Y362/H362,0)*0.00902),"")</f>
        <v>0.19844000000000001</v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95.357142857142847</v>
      </c>
      <c r="BN362" s="78">
        <f t="shared" ref="BN362:BN368" si="49">IFERROR(Y362*I362/H362,"0")</f>
        <v>97.9</v>
      </c>
      <c r="BO362" s="78">
        <f t="shared" ref="BO362:BO368" si="50">IFERROR(1/J362*(X362/H362),"0")</f>
        <v>0.16233766233766234</v>
      </c>
      <c r="BP362" s="78">
        <f t="shared" ref="BP362:BP368" si="51">IFERROR(1/J362*(Y362/H362),"0")</f>
        <v>0.16666666666666669</v>
      </c>
    </row>
    <row r="363" spans="1:68" ht="27" customHeight="1" x14ac:dyDescent="0.25">
      <c r="A363" s="63" t="s">
        <v>604</v>
      </c>
      <c r="B363" s="63" t="s">
        <v>605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350</v>
      </c>
      <c r="Y363" s="55">
        <f t="shared" si="47"/>
        <v>352.8</v>
      </c>
      <c r="Z363" s="41">
        <f>IFERROR(IF(Y363=0,"",ROUNDUP(Y363/H363,0)*0.00902),"")</f>
        <v>0.75768000000000002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370.83333333333331</v>
      </c>
      <c r="BN363" s="78">
        <f t="shared" si="49"/>
        <v>373.8</v>
      </c>
      <c r="BO363" s="78">
        <f t="shared" si="50"/>
        <v>0.63131313131313127</v>
      </c>
      <c r="BP363" s="78">
        <f t="shared" si="51"/>
        <v>0.63636363636363635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14</v>
      </c>
      <c r="Y365" s="55">
        <f t="shared" si="47"/>
        <v>14.700000000000001</v>
      </c>
      <c r="Z365" s="41">
        <f>IFERROR(IF(Y365=0,"",ROUNDUP(Y365/H365,0)*0.00502),"")</f>
        <v>3.5140000000000005E-2</v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14.866666666666665</v>
      </c>
      <c r="BN365" s="78">
        <f t="shared" si="49"/>
        <v>15.61</v>
      </c>
      <c r="BO365" s="78">
        <f t="shared" si="50"/>
        <v>2.8490028490028491E-2</v>
      </c>
      <c r="BP365" s="78">
        <f t="shared" si="51"/>
        <v>2.9914529914529919E-2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111.42857142857143</v>
      </c>
      <c r="Y369" s="43">
        <f>IFERROR(Y362/H362,"0")+IFERROR(Y363/H363,"0")+IFERROR(Y364/H364,"0")+IFERROR(Y365/H365,"0")+IFERROR(Y366/H366,"0")+IFERROR(Y367/H367,"0")+IFERROR(Y368/H368,"0")</f>
        <v>113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0.99126000000000003</v>
      </c>
      <c r="AA369" s="67"/>
      <c r="AB369" s="67"/>
      <c r="AC369" s="67"/>
    </row>
    <row r="370" spans="1:68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454</v>
      </c>
      <c r="Y370" s="43">
        <f>IFERROR(SUM(Y362:Y368),"0")</f>
        <v>459.90000000000003</v>
      </c>
      <c r="Z370" s="42"/>
      <c r="AA370" s="67"/>
      <c r="AB370" s="67"/>
      <c r="AC370" s="67"/>
    </row>
    <row r="371" spans="1:68" ht="14.25" hidden="1" customHeight="1" x14ac:dyDescent="0.25">
      <c r="A371" s="630" t="s">
        <v>86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1200</v>
      </c>
      <c r="Y372" s="55">
        <f>IFERROR(IF(X372="",0,CEILING((X372/$H372),1)*$H372),"")</f>
        <v>1201.2</v>
      </c>
      <c r="Z372" s="41">
        <f>IFERROR(IF(Y372=0,"",ROUNDUP(Y372/H372,0)*0.01898),"")</f>
        <v>2.92292</v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1275.0769230769231</v>
      </c>
      <c r="BN372" s="78">
        <f>IFERROR(Y372*I372/H372,"0")</f>
        <v>1276.3520000000001</v>
      </c>
      <c r="BO372" s="78">
        <f>IFERROR(1/J372*(X372/H372),"0")</f>
        <v>2.4038461538461537</v>
      </c>
      <c r="BP372" s="78">
        <f>IFERROR(1/J372*(Y372/H372),"0")</f>
        <v>2.40625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153.84615384615384</v>
      </c>
      <c r="Y376" s="43">
        <f>IFERROR(Y372/H372,"0")+IFERROR(Y373/H373,"0")+IFERROR(Y374/H374,"0")+IFERROR(Y375/H375,"0")</f>
        <v>154</v>
      </c>
      <c r="Z376" s="43">
        <f>IFERROR(IF(Z372="",0,Z372),"0")+IFERROR(IF(Z373="",0,Z373),"0")+IFERROR(IF(Z374="",0,Z374),"0")+IFERROR(IF(Z375="",0,Z375),"0")</f>
        <v>2.92292</v>
      </c>
      <c r="AA376" s="67"/>
      <c r="AB376" s="67"/>
      <c r="AC376" s="67"/>
    </row>
    <row r="377" spans="1:68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1200</v>
      </c>
      <c r="Y377" s="43">
        <f>IFERROR(SUM(Y372:Y375),"0")</f>
        <v>1201.2</v>
      </c>
      <c r="Z377" s="42"/>
      <c r="AA377" s="67"/>
      <c r="AB377" s="67"/>
      <c r="AC377" s="67"/>
    </row>
    <row r="378" spans="1:68" ht="14.25" hidden="1" customHeight="1" x14ac:dyDescent="0.25">
      <c r="A378" s="630" t="s">
        <v>181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200</v>
      </c>
      <c r="Y379" s="55">
        <f>IFERROR(IF(X379="",0,CEILING((X379/$H379),1)*$H379),"")</f>
        <v>201.60000000000002</v>
      </c>
      <c r="Z379" s="41">
        <f>IFERROR(IF(Y379=0,"",ROUNDUP(Y379/H379,0)*0.01898),"")</f>
        <v>0.45552000000000004</v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211.76190476190476</v>
      </c>
      <c r="BN379" s="78">
        <f>IFERROR(Y379*I379/H379,"0")</f>
        <v>213.45600000000002</v>
      </c>
      <c r="BO379" s="78">
        <f>IFERROR(1/J379*(X379/H379),"0")</f>
        <v>0.37202380952380953</v>
      </c>
      <c r="BP379" s="78">
        <f>IFERROR(1/J379*(Y379/H379),"0")</f>
        <v>0.375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700</v>
      </c>
      <c r="Y380" s="55">
        <f>IFERROR(IF(X380="",0,CEILING((X380/$H380),1)*$H380),"")</f>
        <v>702</v>
      </c>
      <c r="Z380" s="41">
        <f>IFERROR(IF(Y380=0,"",ROUNDUP(Y380/H380,0)*0.01898),"")</f>
        <v>1.7081999999999999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744.33333333333337</v>
      </c>
      <c r="BN380" s="78">
        <f>IFERROR(Y380*I380/H380,"0")</f>
        <v>746.46</v>
      </c>
      <c r="BO380" s="78">
        <f>IFERROR(1/J380*(X380/H380),"0")</f>
        <v>1.4022435897435899</v>
      </c>
      <c r="BP380" s="78">
        <f>IFERROR(1/J380*(Y380/H380),"0")</f>
        <v>1.40625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170</v>
      </c>
      <c r="Y381" s="55">
        <f>IFERROR(IF(X381="",0,CEILING((X381/$H381),1)*$H381),"")</f>
        <v>176.4</v>
      </c>
      <c r="Z381" s="41">
        <f>IFERROR(IF(Y381=0,"",ROUNDUP(Y381/H381,0)*0.01898),"")</f>
        <v>0.39857999999999999</v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179.99761904761905</v>
      </c>
      <c r="BN381" s="78">
        <f>IFERROR(Y381*I381/H381,"0")</f>
        <v>186.774</v>
      </c>
      <c r="BO381" s="78">
        <f>IFERROR(1/J381*(X381/H381),"0")</f>
        <v>0.31622023809523808</v>
      </c>
      <c r="BP381" s="78">
        <f>IFERROR(1/J381*(Y381/H381),"0")</f>
        <v>0.328125</v>
      </c>
    </row>
    <row r="382" spans="1:68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133.79120879120879</v>
      </c>
      <c r="Y382" s="43">
        <f>IFERROR(Y379/H379,"0")+IFERROR(Y380/H380,"0")+IFERROR(Y381/H381,"0")</f>
        <v>135</v>
      </c>
      <c r="Z382" s="43">
        <f>IFERROR(IF(Z379="",0,Z379),"0")+IFERROR(IF(Z380="",0,Z380),"0")+IFERROR(IF(Z381="",0,Z381),"0")</f>
        <v>2.5623</v>
      </c>
      <c r="AA382" s="67"/>
      <c r="AB382" s="67"/>
      <c r="AC382" s="67"/>
    </row>
    <row r="383" spans="1:68" x14ac:dyDescent="0.2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1070</v>
      </c>
      <c r="Y383" s="43">
        <f>IFERROR(SUM(Y379:Y381),"0")</f>
        <v>1080</v>
      </c>
      <c r="Z383" s="42"/>
      <c r="AA383" s="67"/>
      <c r="AB383" s="67"/>
      <c r="AC383" s="67"/>
    </row>
    <row r="384" spans="1:68" ht="14.25" hidden="1" customHeight="1" x14ac:dyDescent="0.25">
      <c r="A384" s="630" t="s">
        <v>104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7</v>
      </c>
      <c r="Y388" s="55">
        <f>IFERROR(IF(X388="",0,CEILING((X388/$H388),1)*$H388),"")</f>
        <v>7.6499999999999995</v>
      </c>
      <c r="Z388" s="41">
        <f>IFERROR(IF(Y388=0,"",ROUNDUP(Y388/H388,0)*0.00651),"")</f>
        <v>1.9529999999999999E-2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7.9058823529411768</v>
      </c>
      <c r="BN388" s="78">
        <f>IFERROR(Y388*I388/H388,"0")</f>
        <v>8.6399999999999988</v>
      </c>
      <c r="BO388" s="78">
        <f>IFERROR(1/J388*(X388/H388),"0")</f>
        <v>1.508295625942685E-2</v>
      </c>
      <c r="BP388" s="78">
        <f>IFERROR(1/J388*(Y388/H388),"0")</f>
        <v>1.6483516483516484E-2</v>
      </c>
    </row>
    <row r="389" spans="1:68" x14ac:dyDescent="0.2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2.7450980392156863</v>
      </c>
      <c r="Y389" s="43">
        <f>IFERROR(Y385/H385,"0")+IFERROR(Y386/H386,"0")+IFERROR(Y387/H387,"0")+IFERROR(Y388/H388,"0")</f>
        <v>3</v>
      </c>
      <c r="Z389" s="43">
        <f>IFERROR(IF(Z385="",0,Z385),"0")+IFERROR(IF(Z386="",0,Z386),"0")+IFERROR(IF(Z387="",0,Z387),"0")+IFERROR(IF(Z388="",0,Z388),"0")</f>
        <v>1.9529999999999999E-2</v>
      </c>
      <c r="AA389" s="67"/>
      <c r="AB389" s="67"/>
      <c r="AC389" s="67"/>
    </row>
    <row r="390" spans="1:68" x14ac:dyDescent="0.2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7</v>
      </c>
      <c r="Y390" s="43">
        <f>IFERROR(SUM(Y385:Y388),"0")</f>
        <v>7.6499999999999995</v>
      </c>
      <c r="Z390" s="42"/>
      <c r="AA390" s="67"/>
      <c r="AB390" s="67"/>
      <c r="AC390" s="67"/>
    </row>
    <row r="391" spans="1:68" ht="14.25" hidden="1" customHeight="1" x14ac:dyDescent="0.25">
      <c r="A391" s="630" t="s">
        <v>649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30" t="s">
        <v>658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46" t="s">
        <v>667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hidden="1" customHeight="1" x14ac:dyDescent="0.25">
      <c r="A404" s="630" t="s">
        <v>86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customHeight="1" x14ac:dyDescent="0.25">
      <c r="A405" s="63" t="s">
        <v>668</v>
      </c>
      <c r="B405" s="63" t="s">
        <v>669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170</v>
      </c>
      <c r="Y405" s="55">
        <f>IFERROR(IF(X405="",0,CEILING((X405/$H405),1)*$H405),"")</f>
        <v>170.1</v>
      </c>
      <c r="Z405" s="41">
        <f>IFERROR(IF(Y405=0,"",ROUNDUP(Y405/H405,0)*0.01898),"")</f>
        <v>0.39857999999999999</v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180.36790123456788</v>
      </c>
      <c r="BN405" s="78">
        <f>IFERROR(Y405*I405/H405,"0")</f>
        <v>180.47399999999999</v>
      </c>
      <c r="BO405" s="78">
        <f>IFERROR(1/J405*(X405/H405),"0")</f>
        <v>0.32793209876543211</v>
      </c>
      <c r="BP405" s="78">
        <f>IFERROR(1/J405*(Y405/H405),"0")</f>
        <v>0.328125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39</v>
      </c>
      <c r="Y406" s="55">
        <f>IFERROR(IF(X406="",0,CEILING((X406/$H406),1)*$H406),"")</f>
        <v>39.9</v>
      </c>
      <c r="Z406" s="41">
        <f>IFERROR(IF(Y406=0,"",ROUNDUP(Y406/H406,0)*0.00651),"")</f>
        <v>0.12369000000000001</v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43.679999999999993</v>
      </c>
      <c r="BN406" s="78">
        <f>IFERROR(Y406*I406/H406,"0")</f>
        <v>44.687999999999995</v>
      </c>
      <c r="BO406" s="78">
        <f>IFERROR(1/J406*(X406/H406),"0")</f>
        <v>0.10204081632653061</v>
      </c>
      <c r="BP406" s="78">
        <f>IFERROR(1/J406*(Y406/H406),"0")</f>
        <v>0.1043956043956044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42</v>
      </c>
      <c r="Y407" s="55">
        <f>IFERROR(IF(X407="",0,CEILING((X407/$H407),1)*$H407),"")</f>
        <v>42</v>
      </c>
      <c r="Z407" s="41">
        <f>IFERROR(IF(Y407=0,"",ROUNDUP(Y407/H407,0)*0.00651),"")</f>
        <v>0.13020000000000001</v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46.8</v>
      </c>
      <c r="BN407" s="78">
        <f>IFERROR(Y407*I407/H407,"0")</f>
        <v>46.8</v>
      </c>
      <c r="BO407" s="78">
        <f>IFERROR(1/J407*(X407/H407),"0")</f>
        <v>0.1098901098901099</v>
      </c>
      <c r="BP407" s="78">
        <f>IFERROR(1/J407*(Y407/H407),"0")</f>
        <v>0.1098901098901099</v>
      </c>
    </row>
    <row r="408" spans="1:68" x14ac:dyDescent="0.2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59.559082892416228</v>
      </c>
      <c r="Y408" s="43">
        <f>IFERROR(Y405/H405,"0")+IFERROR(Y406/H406,"0")+IFERROR(Y407/H407,"0")</f>
        <v>60</v>
      </c>
      <c r="Z408" s="43">
        <f>IFERROR(IF(Z405="",0,Z405),"0")+IFERROR(IF(Z406="",0,Z406),"0")+IFERROR(IF(Z407="",0,Z407),"0")</f>
        <v>0.65246999999999999</v>
      </c>
      <c r="AA408" s="67"/>
      <c r="AB408" s="67"/>
      <c r="AC408" s="67"/>
    </row>
    <row r="409" spans="1:68" x14ac:dyDescent="0.2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251</v>
      </c>
      <c r="Y409" s="43">
        <f>IFERROR(SUM(Y405:Y407),"0")</f>
        <v>252</v>
      </c>
      <c r="Z409" s="42"/>
      <c r="AA409" s="67"/>
      <c r="AB409" s="67"/>
      <c r="AC409" s="67"/>
    </row>
    <row r="410" spans="1:68" ht="27.75" hidden="1" customHeight="1" x14ac:dyDescent="0.2">
      <c r="A410" s="651" t="s">
        <v>677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hidden="1" customHeight="1" x14ac:dyDescent="0.25">
      <c r="A411" s="646" t="s">
        <v>678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hidden="1" customHeight="1" x14ac:dyDescent="0.25">
      <c r="A412" s="630" t="s">
        <v>128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hidden="1" customHeight="1" x14ac:dyDescent="0.25">
      <c r="A413" s="63" t="s">
        <v>679</v>
      </c>
      <c r="B413" s="63" t="s">
        <v>680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1050</v>
      </c>
      <c r="Y414" s="55">
        <f t="shared" si="52"/>
        <v>1050</v>
      </c>
      <c r="Z414" s="41">
        <f>IFERROR(IF(Y414=0,"",ROUNDUP(Y414/H414,0)*0.02175),"")</f>
        <v>1.5225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1082.9000000000001</v>
      </c>
      <c r="BN414" s="78">
        <f t="shared" si="54"/>
        <v>1082.9000000000001</v>
      </c>
      <c r="BO414" s="78">
        <f t="shared" si="55"/>
        <v>1.4583333333333333</v>
      </c>
      <c r="BP414" s="78">
        <f t="shared" si="56"/>
        <v>1.4583333333333333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1650</v>
      </c>
      <c r="Y415" s="55">
        <f t="shared" si="52"/>
        <v>1650</v>
      </c>
      <c r="Z415" s="41">
        <f>IFERROR(IF(Y415=0,"",ROUNDUP(Y415/H415,0)*0.02175),"")</f>
        <v>2.3924999999999996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1701.7</v>
      </c>
      <c r="BN415" s="78">
        <f t="shared" si="54"/>
        <v>1701.7</v>
      </c>
      <c r="BO415" s="78">
        <f t="shared" si="55"/>
        <v>2.2916666666666665</v>
      </c>
      <c r="BP415" s="78">
        <f t="shared" si="56"/>
        <v>2.2916666666666665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1700</v>
      </c>
      <c r="Y417" s="55">
        <f t="shared" si="52"/>
        <v>1710</v>
      </c>
      <c r="Z417" s="41">
        <f>IFERROR(IF(Y417=0,"",ROUNDUP(Y417/H417,0)*0.02175),"")</f>
        <v>2.4794999999999998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1753.2666666666667</v>
      </c>
      <c r="BN417" s="78">
        <f t="shared" si="54"/>
        <v>1763.5800000000002</v>
      </c>
      <c r="BO417" s="78">
        <f t="shared" si="55"/>
        <v>2.3611111111111107</v>
      </c>
      <c r="BP417" s="78">
        <f t="shared" si="56"/>
        <v>2.375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700</v>
      </c>
      <c r="B420" s="63" t="s">
        <v>701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293.33333333333331</v>
      </c>
      <c r="Y421" s="43">
        <f>IFERROR(Y413/H413,"0")+IFERROR(Y414/H414,"0")+IFERROR(Y415/H415,"0")+IFERROR(Y416/H416,"0")+IFERROR(Y417/H417,"0")+IFERROR(Y418/H418,"0")+IFERROR(Y419/H419,"0")+IFERROR(Y420/H420,"0")</f>
        <v>294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6.394499999999999</v>
      </c>
      <c r="AA421" s="67"/>
      <c r="AB421" s="67"/>
      <c r="AC421" s="67"/>
    </row>
    <row r="422" spans="1:68" x14ac:dyDescent="0.2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4400</v>
      </c>
      <c r="Y422" s="43">
        <f>IFERROR(SUM(Y413:Y420),"0")</f>
        <v>4410</v>
      </c>
      <c r="Z422" s="42"/>
      <c r="AA422" s="67"/>
      <c r="AB422" s="67"/>
      <c r="AC422" s="67"/>
    </row>
    <row r="423" spans="1:68" ht="14.25" hidden="1" customHeight="1" x14ac:dyDescent="0.25">
      <c r="A423" s="630" t="s">
        <v>164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1500</v>
      </c>
      <c r="Y424" s="55">
        <f>IFERROR(IF(X424="",0,CEILING((X424/$H424),1)*$H424),"")</f>
        <v>1500</v>
      </c>
      <c r="Z424" s="41">
        <f>IFERROR(IF(Y424=0,"",ROUNDUP(Y424/H424,0)*0.02175),"")</f>
        <v>2.1749999999999998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1547</v>
      </c>
      <c r="BN424" s="78">
        <f>IFERROR(Y424*I424/H424,"0")</f>
        <v>1547</v>
      </c>
      <c r="BO424" s="78">
        <f>IFERROR(1/J424*(X424/H424),"0")</f>
        <v>2.083333333333333</v>
      </c>
      <c r="BP424" s="78">
        <f>IFERROR(1/J424*(Y424/H424),"0")</f>
        <v>2.083333333333333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100</v>
      </c>
      <c r="Y427" s="43">
        <f>IFERROR(Y424/H424,"0")+IFERROR(Y425/H425,"0")+IFERROR(Y426/H426,"0")</f>
        <v>100</v>
      </c>
      <c r="Z427" s="43">
        <f>IFERROR(IF(Z424="",0,Z424),"0")+IFERROR(IF(Z425="",0,Z425),"0")+IFERROR(IF(Z426="",0,Z426),"0")</f>
        <v>2.1749999999999998</v>
      </c>
      <c r="AA427" s="67"/>
      <c r="AB427" s="67"/>
      <c r="AC427" s="67"/>
    </row>
    <row r="428" spans="1:68" x14ac:dyDescent="0.2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1500</v>
      </c>
      <c r="Y428" s="43">
        <f>IFERROR(SUM(Y424:Y426),"0")</f>
        <v>1500</v>
      </c>
      <c r="Z428" s="42"/>
      <c r="AA428" s="67"/>
      <c r="AB428" s="67"/>
      <c r="AC428" s="67"/>
    </row>
    <row r="429" spans="1:68" ht="14.25" hidden="1" customHeight="1" x14ac:dyDescent="0.25">
      <c r="A429" s="630" t="s">
        <v>86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1000</v>
      </c>
      <c r="Y431" s="55">
        <f>IFERROR(IF(X431="",0,CEILING((X431/$H431),1)*$H431),"")</f>
        <v>1008</v>
      </c>
      <c r="Z431" s="41">
        <f>IFERROR(IF(Y431=0,"",ROUNDUP(Y431/H431,0)*0.01898),"")</f>
        <v>2.1257600000000001</v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1055.5555555555557</v>
      </c>
      <c r="BN431" s="78">
        <f>IFERROR(Y431*I431/H431,"0")</f>
        <v>1064</v>
      </c>
      <c r="BO431" s="78">
        <f>IFERROR(1/J431*(X431/H431),"0")</f>
        <v>1.7361111111111112</v>
      </c>
      <c r="BP431" s="78">
        <f>IFERROR(1/J431*(Y431/H431),"0")</f>
        <v>1.75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120</v>
      </c>
      <c r="Y432" s="55">
        <f>IFERROR(IF(X432="",0,CEILING((X432/$H432),1)*$H432),"")</f>
        <v>126</v>
      </c>
      <c r="Z432" s="41">
        <f>IFERROR(IF(Y432=0,"",ROUNDUP(Y432/H432,0)*0.01898),"")</f>
        <v>0.26572000000000001</v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126.58666666666666</v>
      </c>
      <c r="BN432" s="78">
        <f>IFERROR(Y432*I432/H432,"0")</f>
        <v>132.916</v>
      </c>
      <c r="BO432" s="78">
        <f>IFERROR(1/J432*(X432/H432),"0")</f>
        <v>0.20833333333333334</v>
      </c>
      <c r="BP432" s="78">
        <f>IFERROR(1/J432*(Y432/H432),"0")</f>
        <v>0.21875</v>
      </c>
    </row>
    <row r="433" spans="1:68" x14ac:dyDescent="0.2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124.44444444444444</v>
      </c>
      <c r="Y433" s="43">
        <f>IFERROR(Y430/H430,"0")+IFERROR(Y431/H431,"0")+IFERROR(Y432/H432,"0")</f>
        <v>126</v>
      </c>
      <c r="Z433" s="43">
        <f>IFERROR(IF(Z430="",0,Z430),"0")+IFERROR(IF(Z431="",0,Z431),"0")+IFERROR(IF(Z432="",0,Z432),"0")</f>
        <v>2.3914800000000001</v>
      </c>
      <c r="AA433" s="67"/>
      <c r="AB433" s="67"/>
      <c r="AC433" s="67"/>
    </row>
    <row r="434" spans="1:68" x14ac:dyDescent="0.2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1120</v>
      </c>
      <c r="Y434" s="43">
        <f>IFERROR(SUM(Y430:Y432),"0")</f>
        <v>1134</v>
      </c>
      <c r="Z434" s="42"/>
      <c r="AA434" s="67"/>
      <c r="AB434" s="67"/>
      <c r="AC434" s="67"/>
    </row>
    <row r="435" spans="1:68" ht="14.25" hidden="1" customHeight="1" x14ac:dyDescent="0.25">
      <c r="A435" s="630" t="s">
        <v>181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300</v>
      </c>
      <c r="Y437" s="55">
        <f>IFERROR(IF(X437="",0,CEILING((X437/$H437),1)*$H437),"")</f>
        <v>306</v>
      </c>
      <c r="Z437" s="41">
        <f>IFERROR(IF(Y437=0,"",ROUNDUP(Y437/H437,0)*0.01898),"")</f>
        <v>0.64532</v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316.46666666666664</v>
      </c>
      <c r="BN437" s="78">
        <f>IFERROR(Y437*I437/H437,"0")</f>
        <v>322.79599999999999</v>
      </c>
      <c r="BO437" s="78">
        <f>IFERROR(1/J437*(X437/H437),"0")</f>
        <v>0.52083333333333337</v>
      </c>
      <c r="BP437" s="78">
        <f>IFERROR(1/J437*(Y437/H437),"0")</f>
        <v>0.53125</v>
      </c>
    </row>
    <row r="438" spans="1:68" x14ac:dyDescent="0.2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33.333333333333336</v>
      </c>
      <c r="Y438" s="43">
        <f>IFERROR(Y436/H436,"0")+IFERROR(Y437/H437,"0")</f>
        <v>34</v>
      </c>
      <c r="Z438" s="43">
        <f>IFERROR(IF(Z436="",0,Z436),"0")+IFERROR(IF(Z437="",0,Z437),"0")</f>
        <v>0.64532</v>
      </c>
      <c r="AA438" s="67"/>
      <c r="AB438" s="67"/>
      <c r="AC438" s="67"/>
    </row>
    <row r="439" spans="1:68" x14ac:dyDescent="0.2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300</v>
      </c>
      <c r="Y439" s="43">
        <f>IFERROR(SUM(Y436:Y437),"0")</f>
        <v>306</v>
      </c>
      <c r="Z439" s="42"/>
      <c r="AA439" s="67"/>
      <c r="AB439" s="67"/>
      <c r="AC439" s="67"/>
    </row>
    <row r="440" spans="1:68" ht="16.5" hidden="1" customHeight="1" x14ac:dyDescent="0.25">
      <c r="A440" s="646" t="s">
        <v>727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hidden="1" customHeight="1" x14ac:dyDescent="0.25">
      <c r="A441" s="630" t="s">
        <v>128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30" t="s">
        <v>77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customHeight="1" x14ac:dyDescent="0.25">
      <c r="A447" s="63" t="s">
        <v>733</v>
      </c>
      <c r="B447" s="63" t="s">
        <v>734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20</v>
      </c>
      <c r="Y447" s="55">
        <f>IFERROR(IF(X447="",0,CEILING((X447/$H447),1)*$H447),"")</f>
        <v>21</v>
      </c>
      <c r="Z447" s="41">
        <f>IFERROR(IF(Y447=0,"",ROUNDUP(Y447/H447,0)*0.00902),"")</f>
        <v>4.5100000000000001E-2</v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21.19047619047619</v>
      </c>
      <c r="BN447" s="78">
        <f>IFERROR(Y447*I447/H447,"0")</f>
        <v>22.25</v>
      </c>
      <c r="BO447" s="78">
        <f>IFERROR(1/J447*(X447/H447),"0")</f>
        <v>3.6075036075036072E-2</v>
      </c>
      <c r="BP447" s="78">
        <f>IFERROR(1/J447*(Y447/H447),"0")</f>
        <v>3.787878787878788E-2</v>
      </c>
    </row>
    <row r="448" spans="1:68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4.7619047619047619</v>
      </c>
      <c r="Y448" s="43">
        <f>IFERROR(Y447/H447,"0")</f>
        <v>5</v>
      </c>
      <c r="Z448" s="43">
        <f>IFERROR(IF(Z447="",0,Z447),"0")</f>
        <v>4.5100000000000001E-2</v>
      </c>
      <c r="AA448" s="67"/>
      <c r="AB448" s="67"/>
      <c r="AC448" s="67"/>
    </row>
    <row r="449" spans="1:68" x14ac:dyDescent="0.2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20</v>
      </c>
      <c r="Y449" s="43">
        <f>IFERROR(SUM(Y447:Y447),"0")</f>
        <v>21</v>
      </c>
      <c r="Z449" s="42"/>
      <c r="AA449" s="67"/>
      <c r="AB449" s="67"/>
      <c r="AC449" s="67"/>
    </row>
    <row r="450" spans="1:68" ht="14.25" hidden="1" customHeight="1" x14ac:dyDescent="0.25">
      <c r="A450" s="630" t="s">
        <v>86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350</v>
      </c>
      <c r="Y451" s="55">
        <f>IFERROR(IF(X451="",0,CEILING((X451/$H451),1)*$H451),"")</f>
        <v>351</v>
      </c>
      <c r="Z451" s="41">
        <f>IFERROR(IF(Y451=0,"",ROUNDUP(Y451/H451,0)*0.01898),"")</f>
        <v>0.74021999999999999</v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369.21111111111111</v>
      </c>
      <c r="BN451" s="78">
        <f>IFERROR(Y451*I451/H451,"0")</f>
        <v>370.26599999999996</v>
      </c>
      <c r="BO451" s="78">
        <f>IFERROR(1/J451*(X451/H451),"0")</f>
        <v>0.60763888888888884</v>
      </c>
      <c r="BP451" s="78">
        <f>IFERROR(1/J451*(Y451/H451),"0")</f>
        <v>0.609375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38.888888888888886</v>
      </c>
      <c r="Y454" s="43">
        <f>IFERROR(Y451/H451,"0")+IFERROR(Y452/H452,"0")+IFERROR(Y453/H453,"0")</f>
        <v>39</v>
      </c>
      <c r="Z454" s="43">
        <f>IFERROR(IF(Z451="",0,Z451),"0")+IFERROR(IF(Z452="",0,Z452),"0")+IFERROR(IF(Z453="",0,Z453),"0")</f>
        <v>0.74021999999999999</v>
      </c>
      <c r="AA454" s="67"/>
      <c r="AB454" s="67"/>
      <c r="AC454" s="67"/>
    </row>
    <row r="455" spans="1:68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350</v>
      </c>
      <c r="Y455" s="43">
        <f>IFERROR(SUM(Y451:Y453),"0")</f>
        <v>351</v>
      </c>
      <c r="Z455" s="42"/>
      <c r="AA455" s="67"/>
      <c r="AB455" s="67"/>
      <c r="AC455" s="67"/>
    </row>
    <row r="456" spans="1:68" ht="27.75" hidden="1" customHeight="1" x14ac:dyDescent="0.2">
      <c r="A456" s="651" t="s">
        <v>743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hidden="1" customHeight="1" x14ac:dyDescent="0.25">
      <c r="A457" s="646" t="s">
        <v>744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hidden="1" customHeight="1" x14ac:dyDescent="0.25">
      <c r="A458" s="630" t="s">
        <v>77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customHeight="1" x14ac:dyDescent="0.25">
      <c r="A459" s="63" t="s">
        <v>745</v>
      </c>
      <c r="B459" s="63" t="s">
        <v>746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87</v>
      </c>
      <c r="Y459" s="55">
        <f t="shared" ref="Y459:Y464" si="57">IFERROR(IF(X459="",0,CEILING((X459/$H459),1)*$H459),"")</f>
        <v>91.800000000000011</v>
      </c>
      <c r="Z459" s="41">
        <f>IFERROR(IF(Y459=0,"",ROUNDUP(Y459/H459,0)*0.00902),"")</f>
        <v>0.15334</v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90.061111111111103</v>
      </c>
      <c r="BN459" s="78">
        <f t="shared" ref="BN459:BN464" si="59">IFERROR(Y459*I459/H459,"0")</f>
        <v>95.03</v>
      </c>
      <c r="BO459" s="78">
        <f t="shared" ref="BO459:BO464" si="60">IFERROR(1/J459*(X459/H459),"0")</f>
        <v>0.12205387205387205</v>
      </c>
      <c r="BP459" s="78">
        <f t="shared" ref="BP459:BP464" si="61">IFERROR(1/J459*(Y459/H459),"0")</f>
        <v>0.12878787878787878</v>
      </c>
    </row>
    <row r="460" spans="1:68" ht="27" customHeight="1" x14ac:dyDescent="0.25">
      <c r="A460" s="63" t="s">
        <v>748</v>
      </c>
      <c r="B460" s="63" t="s">
        <v>749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115</v>
      </c>
      <c r="Y460" s="55">
        <f t="shared" si="57"/>
        <v>118.80000000000001</v>
      </c>
      <c r="Z460" s="41">
        <f>IFERROR(IF(Y460=0,"",ROUNDUP(Y460/H460,0)*0.00902),"")</f>
        <v>0.19844000000000001</v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119.04629629629629</v>
      </c>
      <c r="BN460" s="78">
        <f t="shared" si="59"/>
        <v>122.98</v>
      </c>
      <c r="BO460" s="78">
        <f t="shared" si="60"/>
        <v>0.16133557800224466</v>
      </c>
      <c r="BP460" s="78">
        <f t="shared" si="61"/>
        <v>0.16666666666666669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756</v>
      </c>
      <c r="B463" s="63" t="s">
        <v>757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37.407407407407405</v>
      </c>
      <c r="Y465" s="43">
        <f>IFERROR(Y459/H459,"0")+IFERROR(Y460/H460,"0")+IFERROR(Y461/H461,"0")+IFERROR(Y462/H462,"0")+IFERROR(Y463/H463,"0")+IFERROR(Y464/H464,"0")</f>
        <v>39</v>
      </c>
      <c r="Z465" s="43">
        <f>IFERROR(IF(Z459="",0,Z459),"0")+IFERROR(IF(Z460="",0,Z460),"0")+IFERROR(IF(Z461="",0,Z461),"0")+IFERROR(IF(Z462="",0,Z462),"0")+IFERROR(IF(Z463="",0,Z463),"0")+IFERROR(IF(Z464="",0,Z464),"0")</f>
        <v>0.35177999999999998</v>
      </c>
      <c r="AA465" s="67"/>
      <c r="AB465" s="67"/>
      <c r="AC465" s="67"/>
    </row>
    <row r="466" spans="1:68" x14ac:dyDescent="0.2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202</v>
      </c>
      <c r="Y466" s="43">
        <f>IFERROR(SUM(Y459:Y464),"0")</f>
        <v>210.60000000000002</v>
      </c>
      <c r="Z466" s="42"/>
      <c r="AA466" s="67"/>
      <c r="AB466" s="67"/>
      <c r="AC466" s="67"/>
    </row>
    <row r="467" spans="1:68" ht="14.25" hidden="1" customHeight="1" x14ac:dyDescent="0.25">
      <c r="A467" s="630" t="s">
        <v>86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46" t="s">
        <v>767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hidden="1" customHeight="1" x14ac:dyDescent="0.25">
      <c r="A473" s="630" t="s">
        <v>164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30" t="s">
        <v>77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customHeight="1" x14ac:dyDescent="0.25">
      <c r="A478" s="63" t="s">
        <v>771</v>
      </c>
      <c r="B478" s="63" t="s">
        <v>772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325</v>
      </c>
      <c r="Y478" s="55">
        <f>IFERROR(IF(X478="",0,CEILING((X478/$H478),1)*$H478),"")</f>
        <v>329.40000000000003</v>
      </c>
      <c r="Z478" s="41">
        <f>IFERROR(IF(Y478=0,"",ROUNDUP(Y478/H478,0)*0.00902),"")</f>
        <v>0.55022000000000004</v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336.43518518518516</v>
      </c>
      <c r="BN478" s="78">
        <f>IFERROR(Y478*I478/H478,"0")</f>
        <v>340.99</v>
      </c>
      <c r="BO478" s="78">
        <f>IFERROR(1/J478*(X478/H478),"0")</f>
        <v>0.45594837261503929</v>
      </c>
      <c r="BP478" s="78">
        <f>IFERROR(1/J478*(Y478/H478),"0")</f>
        <v>0.46212121212121215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60.185185185185183</v>
      </c>
      <c r="Y481" s="43">
        <f>IFERROR(Y478/H478,"0")+IFERROR(Y479/H479,"0")+IFERROR(Y480/H480,"0")</f>
        <v>61</v>
      </c>
      <c r="Z481" s="43">
        <f>IFERROR(IF(Z478="",0,Z478),"0")+IFERROR(IF(Z479="",0,Z479),"0")+IFERROR(IF(Z480="",0,Z480),"0")</f>
        <v>0.55022000000000004</v>
      </c>
      <c r="AA481" s="67"/>
      <c r="AB481" s="67"/>
      <c r="AC481" s="67"/>
    </row>
    <row r="482" spans="1:68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325</v>
      </c>
      <c r="Y482" s="43">
        <f>IFERROR(SUM(Y478:Y480),"0")</f>
        <v>329.40000000000003</v>
      </c>
      <c r="Z482" s="42"/>
      <c r="AA482" s="67"/>
      <c r="AB482" s="67"/>
      <c r="AC482" s="67"/>
    </row>
    <row r="483" spans="1:68" ht="27.75" hidden="1" customHeight="1" x14ac:dyDescent="0.2">
      <c r="A483" s="651" t="s">
        <v>779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hidden="1" customHeight="1" x14ac:dyDescent="0.25">
      <c r="A484" s="646" t="s">
        <v>779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hidden="1" customHeight="1" x14ac:dyDescent="0.25">
      <c r="A485" s="630" t="s">
        <v>128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hidden="1" customHeight="1" x14ac:dyDescent="0.25">
      <c r="A486" s="63" t="s">
        <v>780</v>
      </c>
      <c r="B486" s="63" t="s">
        <v>781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425</v>
      </c>
      <c r="Y489" s="55">
        <f t="shared" si="62"/>
        <v>427.68</v>
      </c>
      <c r="Z489" s="41">
        <f t="shared" si="63"/>
        <v>0.96876000000000007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453.17234848484844</v>
      </c>
      <c r="BN489" s="78">
        <f t="shared" si="65"/>
        <v>456.03</v>
      </c>
      <c r="BO489" s="78">
        <f t="shared" si="66"/>
        <v>0.77396561771561767</v>
      </c>
      <c r="BP489" s="78">
        <f t="shared" si="67"/>
        <v>0.77884615384615385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350</v>
      </c>
      <c r="Y491" s="55">
        <f t="shared" si="62"/>
        <v>353.76</v>
      </c>
      <c r="Z491" s="41">
        <f t="shared" si="63"/>
        <v>0.80132000000000003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373.20075757575756</v>
      </c>
      <c r="BN491" s="78">
        <f t="shared" si="65"/>
        <v>377.21</v>
      </c>
      <c r="BO491" s="78">
        <f t="shared" si="66"/>
        <v>0.63738344988344986</v>
      </c>
      <c r="BP491" s="78">
        <f t="shared" si="67"/>
        <v>0.64423076923076927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801</v>
      </c>
      <c r="B494" s="63" t="s">
        <v>802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146.780303030303</v>
      </c>
      <c r="Y495" s="43">
        <f>IFERROR(Y486/H486,"0")+IFERROR(Y487/H487,"0")+IFERROR(Y488/H488,"0")+IFERROR(Y489/H489,"0")+IFERROR(Y490/H490,"0")+IFERROR(Y491/H491,"0")+IFERROR(Y492/H492,"0")+IFERROR(Y493/H493,"0")+IFERROR(Y494/H494,"0")</f>
        <v>148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1.7700800000000001</v>
      </c>
      <c r="AA495" s="67"/>
      <c r="AB495" s="67"/>
      <c r="AC495" s="67"/>
    </row>
    <row r="496" spans="1:68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775</v>
      </c>
      <c r="Y496" s="43">
        <f>IFERROR(SUM(Y486:Y494),"0")</f>
        <v>781.44</v>
      </c>
      <c r="Z496" s="42"/>
      <c r="AA496" s="67"/>
      <c r="AB496" s="67"/>
      <c r="AC496" s="67"/>
    </row>
    <row r="497" spans="1:68" ht="14.25" hidden="1" customHeight="1" x14ac:dyDescent="0.25">
      <c r="A497" s="630" t="s">
        <v>164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260</v>
      </c>
      <c r="Y498" s="55">
        <f>IFERROR(IF(X498="",0,CEILING((X498/$H498),1)*$H498),"")</f>
        <v>264</v>
      </c>
      <c r="Z498" s="41">
        <f>IFERROR(IF(Y498=0,"",ROUNDUP(Y498/H498,0)*0.01196),"")</f>
        <v>0.59799999999999998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277.23484848484844</v>
      </c>
      <c r="BN498" s="78">
        <f>IFERROR(Y498*I498/H498,"0")</f>
        <v>281.5</v>
      </c>
      <c r="BO498" s="78">
        <f>IFERROR(1/J498*(X498/H498),"0")</f>
        <v>0.47348484848484851</v>
      </c>
      <c r="BP498" s="78">
        <f>IFERROR(1/J498*(Y498/H498),"0")</f>
        <v>0.48076923076923078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808</v>
      </c>
      <c r="B500" s="63" t="s">
        <v>809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49.242424242424242</v>
      </c>
      <c r="Y501" s="43">
        <f>IFERROR(Y498/H498,"0")+IFERROR(Y499/H499,"0")+IFERROR(Y500/H500,"0")</f>
        <v>50</v>
      </c>
      <c r="Z501" s="43">
        <f>IFERROR(IF(Z498="",0,Z498),"0")+IFERROR(IF(Z499="",0,Z499),"0")+IFERROR(IF(Z500="",0,Z500),"0")</f>
        <v>0.59799999999999998</v>
      </c>
      <c r="AA501" s="67"/>
      <c r="AB501" s="67"/>
      <c r="AC501" s="67"/>
    </row>
    <row r="502" spans="1:68" x14ac:dyDescent="0.2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260</v>
      </c>
      <c r="Y502" s="43">
        <f>IFERROR(SUM(Y498:Y500),"0")</f>
        <v>264</v>
      </c>
      <c r="Z502" s="42"/>
      <c r="AA502" s="67"/>
      <c r="AB502" s="67"/>
      <c r="AC502" s="67"/>
    </row>
    <row r="503" spans="1:68" ht="14.25" hidden="1" customHeight="1" x14ac:dyDescent="0.25">
      <c r="A503" s="630" t="s">
        <v>77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215</v>
      </c>
      <c r="Y504" s="55">
        <f t="shared" ref="Y504:Y510" si="68">IFERROR(IF(X504="",0,CEILING((X504/$H504),1)*$H504),"")</f>
        <v>216.48000000000002</v>
      </c>
      <c r="Z504" s="41">
        <f>IFERROR(IF(Y504=0,"",ROUNDUP(Y504/H504,0)*0.01196),"")</f>
        <v>0.49036000000000002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229.25189393939394</v>
      </c>
      <c r="BN504" s="78">
        <f t="shared" ref="BN504:BN510" si="70">IFERROR(Y504*I504/H504,"0")</f>
        <v>230.83</v>
      </c>
      <c r="BO504" s="78">
        <f t="shared" ref="BO504:BO510" si="71">IFERROR(1/J504*(X504/H504),"0")</f>
        <v>0.39153554778554778</v>
      </c>
      <c r="BP504" s="78">
        <f t="shared" ref="BP504:BP510" si="72">IFERROR(1/J504*(Y504/H504),"0")</f>
        <v>0.39423076923076927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195</v>
      </c>
      <c r="Y505" s="55">
        <f t="shared" si="68"/>
        <v>195.36</v>
      </c>
      <c r="Z505" s="41">
        <f>IFERROR(IF(Y505=0,"",ROUNDUP(Y505/H505,0)*0.01196),"")</f>
        <v>0.44252000000000002</v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207.92613636363635</v>
      </c>
      <c r="BN505" s="78">
        <f t="shared" si="70"/>
        <v>208.31</v>
      </c>
      <c r="BO505" s="78">
        <f t="shared" si="71"/>
        <v>0.35511363636363635</v>
      </c>
      <c r="BP505" s="78">
        <f t="shared" si="72"/>
        <v>0.35576923076923078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195</v>
      </c>
      <c r="Y506" s="55">
        <f t="shared" si="68"/>
        <v>195.36</v>
      </c>
      <c r="Z506" s="41">
        <f>IFERROR(IF(Y506=0,"",ROUNDUP(Y506/H506,0)*0.01196),"")</f>
        <v>0.44252000000000002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207.92613636363635</v>
      </c>
      <c r="BN506" s="78">
        <f t="shared" si="70"/>
        <v>208.31</v>
      </c>
      <c r="BO506" s="78">
        <f t="shared" si="71"/>
        <v>0.35511363636363635</v>
      </c>
      <c r="BP506" s="78">
        <f t="shared" si="72"/>
        <v>0.35576923076923078</v>
      </c>
    </row>
    <row r="507" spans="1:68" ht="27" hidden="1" customHeight="1" x14ac:dyDescent="0.25">
      <c r="A507" s="63" t="s">
        <v>819</v>
      </c>
      <c r="B507" s="63" t="s">
        <v>820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821</v>
      </c>
      <c r="B509" s="63" t="s">
        <v>823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824</v>
      </c>
      <c r="B510" s="63" t="s">
        <v>825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114.58333333333334</v>
      </c>
      <c r="Y511" s="43">
        <f>IFERROR(Y504/H504,"0")+IFERROR(Y505/H505,"0")+IFERROR(Y506/H506,"0")+IFERROR(Y507/H507,"0")+IFERROR(Y508/H508,"0")+IFERROR(Y509/H509,"0")+IFERROR(Y510/H510,"0")</f>
        <v>115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1.3754</v>
      </c>
      <c r="AA511" s="67"/>
      <c r="AB511" s="67"/>
      <c r="AC511" s="67"/>
    </row>
    <row r="512" spans="1:68" x14ac:dyDescent="0.2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605</v>
      </c>
      <c r="Y512" s="43">
        <f>IFERROR(SUM(Y504:Y510),"0")</f>
        <v>607.20000000000005</v>
      </c>
      <c r="Z512" s="42"/>
      <c r="AA512" s="67"/>
      <c r="AB512" s="67"/>
      <c r="AC512" s="67"/>
    </row>
    <row r="513" spans="1:68" ht="27.75" hidden="1" customHeight="1" x14ac:dyDescent="0.2">
      <c r="A513" s="651" t="s">
        <v>826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hidden="1" customHeight="1" x14ac:dyDescent="0.25">
      <c r="A514" s="646" t="s">
        <v>826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hidden="1" customHeight="1" x14ac:dyDescent="0.25">
      <c r="A515" s="630" t="s">
        <v>128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40</v>
      </c>
      <c r="Y516" s="55">
        <f>IFERROR(IF(X516="",0,CEILING((X516/$H516),1)*$H516),"")</f>
        <v>48</v>
      </c>
      <c r="Z516" s="41">
        <f>IFERROR(IF(Y516=0,"",ROUNDUP(Y516/H516,0)*0.01898),"")</f>
        <v>7.5920000000000001E-2</v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41.366666666666667</v>
      </c>
      <c r="BN516" s="78">
        <f>IFERROR(Y516*I516/H516,"0")</f>
        <v>49.640000000000008</v>
      </c>
      <c r="BO516" s="78">
        <f>IFERROR(1/J516*(X516/H516),"0")</f>
        <v>5.2083333333333336E-2</v>
      </c>
      <c r="BP516" s="78">
        <f>IFERROR(1/J516*(Y516/H516),"0")</f>
        <v>6.25E-2</v>
      </c>
    </row>
    <row r="517" spans="1:68" x14ac:dyDescent="0.2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3.3333333333333335</v>
      </c>
      <c r="Y517" s="43">
        <f>IFERROR(Y516/H516,"0")</f>
        <v>4</v>
      </c>
      <c r="Z517" s="43">
        <f>IFERROR(IF(Z516="",0,Z516),"0")</f>
        <v>7.5920000000000001E-2</v>
      </c>
      <c r="AA517" s="67"/>
      <c r="AB517" s="67"/>
      <c r="AC517" s="67"/>
    </row>
    <row r="518" spans="1:68" x14ac:dyDescent="0.2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40</v>
      </c>
      <c r="Y518" s="43">
        <f>IFERROR(SUM(Y516:Y516),"0")</f>
        <v>48</v>
      </c>
      <c r="Z518" s="42"/>
      <c r="AA518" s="67"/>
      <c r="AB518" s="67"/>
      <c r="AC518" s="67"/>
    </row>
    <row r="519" spans="1:68" ht="14.25" hidden="1" customHeight="1" x14ac:dyDescent="0.25">
      <c r="A519" s="630" t="s">
        <v>164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30" t="s">
        <v>77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customHeight="1" x14ac:dyDescent="0.25">
      <c r="A524" s="63" t="s">
        <v>833</v>
      </c>
      <c r="B524" s="63" t="s">
        <v>834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70</v>
      </c>
      <c r="Y524" s="55">
        <f>IFERROR(IF(X524="",0,CEILING((X524/$H524),1)*$H524),"")</f>
        <v>72</v>
      </c>
      <c r="Z524" s="41">
        <f>IFERROR(IF(Y524=0,"",ROUNDUP(Y524/H524,0)*0.00902),"")</f>
        <v>0.1353</v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73.645833333333343</v>
      </c>
      <c r="BN524" s="78">
        <f>IFERROR(Y524*I524/H524,"0")</f>
        <v>75.75</v>
      </c>
      <c r="BO524" s="78">
        <f>IFERROR(1/J524*(X524/H524),"0")</f>
        <v>0.11047979797979798</v>
      </c>
      <c r="BP524" s="78">
        <f>IFERROR(1/J524*(Y524/H524),"0")</f>
        <v>0.11363636363636365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14.583333333333334</v>
      </c>
      <c r="Y526" s="43">
        <f>IFERROR(Y524/H524,"0")+IFERROR(Y525/H525,"0")</f>
        <v>15</v>
      </c>
      <c r="Z526" s="43">
        <f>IFERROR(IF(Z524="",0,Z524),"0")+IFERROR(IF(Z525="",0,Z525),"0")</f>
        <v>0.1353</v>
      </c>
      <c r="AA526" s="67"/>
      <c r="AB526" s="67"/>
      <c r="AC526" s="67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70</v>
      </c>
      <c r="Y527" s="43">
        <f>IFERROR(SUM(Y524:Y525),"0")</f>
        <v>72</v>
      </c>
      <c r="Z527" s="42"/>
      <c r="AA527" s="67"/>
      <c r="AB527" s="67"/>
      <c r="AC527" s="67"/>
    </row>
    <row r="528" spans="1:68" ht="14.25" hidden="1" customHeight="1" x14ac:dyDescent="0.25">
      <c r="A528" s="630" t="s">
        <v>86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hidden="1" customHeight="1" x14ac:dyDescent="0.25">
      <c r="A529" s="63" t="s">
        <v>838</v>
      </c>
      <c r="B529" s="63" t="s">
        <v>839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30" t="s">
        <v>181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46" t="s">
        <v>847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hidden="1" customHeight="1" x14ac:dyDescent="0.25">
      <c r="A538" s="630" t="s">
        <v>164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17984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18153.29</v>
      </c>
      <c r="Z542" s="42"/>
      <c r="AA542" s="67"/>
      <c r="AB542" s="67"/>
      <c r="AC542" s="67"/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18832.595132937382</v>
      </c>
      <c r="Y543" s="43">
        <f>IFERROR(SUM(BN22:BN539),"0")</f>
        <v>19010.173999999999</v>
      </c>
      <c r="Z543" s="42"/>
      <c r="AA543" s="67"/>
      <c r="AB543" s="67"/>
      <c r="AC543" s="67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30</v>
      </c>
      <c r="Y544" s="44">
        <f>ROUNDUP(SUM(BP22:BP539),0)</f>
        <v>30</v>
      </c>
      <c r="Z544" s="42"/>
      <c r="AA544" s="67"/>
      <c r="AB544" s="67"/>
      <c r="AC544" s="67"/>
    </row>
    <row r="545" spans="1:32" x14ac:dyDescent="0.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19582.595132937382</v>
      </c>
      <c r="Y545" s="43">
        <f>GrossWeightTotalR+PalletQtyTotalR*25</f>
        <v>19760.173999999999</v>
      </c>
      <c r="Z545" s="42"/>
      <c r="AA545" s="67"/>
      <c r="AB545" s="67"/>
      <c r="AC545" s="67"/>
    </row>
    <row r="546" spans="1:32" x14ac:dyDescent="0.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2360.5145494264834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2387</v>
      </c>
      <c r="Z546" s="42"/>
      <c r="AA546" s="67"/>
      <c r="AB546" s="67"/>
      <c r="AC546" s="67"/>
    </row>
    <row r="547" spans="1:32" ht="14.25" hidden="1" x14ac:dyDescent="0.2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34.531640000000003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626" t="s">
        <v>126</v>
      </c>
      <c r="E549" s="626" t="s">
        <v>126</v>
      </c>
      <c r="F549" s="626" t="s">
        <v>126</v>
      </c>
      <c r="G549" s="626" t="s">
        <v>126</v>
      </c>
      <c r="H549" s="626" t="s">
        <v>126</v>
      </c>
      <c r="I549" s="626" t="s">
        <v>126</v>
      </c>
      <c r="J549" s="626" t="s">
        <v>126</v>
      </c>
      <c r="K549" s="626" t="s">
        <v>338</v>
      </c>
      <c r="L549" s="626" t="s">
        <v>338</v>
      </c>
      <c r="M549" s="626" t="s">
        <v>338</v>
      </c>
      <c r="N549" s="627"/>
      <c r="O549" s="626" t="s">
        <v>338</v>
      </c>
      <c r="P549" s="626" t="s">
        <v>338</v>
      </c>
      <c r="Q549" s="626" t="s">
        <v>338</v>
      </c>
      <c r="R549" s="626" t="s">
        <v>338</v>
      </c>
      <c r="S549" s="626" t="s">
        <v>338</v>
      </c>
      <c r="T549" s="626" t="s">
        <v>338</v>
      </c>
      <c r="U549" s="626" t="s">
        <v>338</v>
      </c>
      <c r="V549" s="626" t="s">
        <v>677</v>
      </c>
      <c r="W549" s="626" t="s">
        <v>677</v>
      </c>
      <c r="X549" s="626" t="s">
        <v>743</v>
      </c>
      <c r="Y549" s="626" t="s">
        <v>743</v>
      </c>
      <c r="Z549" s="85" t="s">
        <v>779</v>
      </c>
      <c r="AA549" s="626" t="s">
        <v>826</v>
      </c>
      <c r="AB549" s="626" t="s">
        <v>826</v>
      </c>
      <c r="AC549" s="60"/>
      <c r="AF549" s="1"/>
    </row>
    <row r="550" spans="1:32" ht="14.25" customHeight="1" thickTop="1" x14ac:dyDescent="0.2">
      <c r="A550" s="628" t="s">
        <v>10</v>
      </c>
      <c r="B550" s="626" t="s">
        <v>76</v>
      </c>
      <c r="C550" s="626" t="s">
        <v>110</v>
      </c>
      <c r="D550" s="626" t="s">
        <v>127</v>
      </c>
      <c r="E550" s="626" t="s">
        <v>143</v>
      </c>
      <c r="F550" s="626" t="s">
        <v>188</v>
      </c>
      <c r="G550" s="626" t="s">
        <v>209</v>
      </c>
      <c r="H550" s="626" t="s">
        <v>248</v>
      </c>
      <c r="I550" s="626" t="s">
        <v>260</v>
      </c>
      <c r="J550" s="626" t="s">
        <v>126</v>
      </c>
      <c r="K550" s="626" t="s">
        <v>339</v>
      </c>
      <c r="L550" s="626" t="s">
        <v>360</v>
      </c>
      <c r="M550" s="626" t="s">
        <v>427</v>
      </c>
      <c r="N550" s="1"/>
      <c r="O550" s="626" t="s">
        <v>495</v>
      </c>
      <c r="P550" s="626" t="s">
        <v>528</v>
      </c>
      <c r="Q550" s="626" t="s">
        <v>544</v>
      </c>
      <c r="R550" s="626" t="s">
        <v>553</v>
      </c>
      <c r="S550" s="626" t="s">
        <v>574</v>
      </c>
      <c r="T550" s="626" t="s">
        <v>583</v>
      </c>
      <c r="U550" s="626" t="s">
        <v>667</v>
      </c>
      <c r="V550" s="626" t="s">
        <v>678</v>
      </c>
      <c r="W550" s="626" t="s">
        <v>727</v>
      </c>
      <c r="X550" s="626" t="s">
        <v>744</v>
      </c>
      <c r="Y550" s="626" t="s">
        <v>767</v>
      </c>
      <c r="Z550" s="626" t="s">
        <v>779</v>
      </c>
      <c r="AA550" s="626" t="s">
        <v>826</v>
      </c>
      <c r="AB550" s="626" t="s">
        <v>847</v>
      </c>
      <c r="AC550" s="60"/>
      <c r="AF550" s="1"/>
    </row>
    <row r="551" spans="1:32" ht="13.5" thickBot="1" x14ac:dyDescent="0.25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99.600000000000009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1525.2</v>
      </c>
      <c r="F552" s="52">
        <f>IFERROR(Y88*1,"0")+IFERROR(Y89*1,"0")+IFERROR(Y90*1,"0")+IFERROR(Y91*1,"0")+IFERROR(Y95*1,"0")+IFERROR(Y96*1,"0")+IFERROR(Y97*1,"0")+IFERROR(Y98*1,"0")</f>
        <v>162.9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504.9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206.5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147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2117.4000000000005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108.00000000000001</v>
      </c>
      <c r="Q552" s="52">
        <f>IFERROR(Y325*1,"0")+IFERROR(Y326*1,"0")+IFERROR(Y327*1,"0")</f>
        <v>4.8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2990.3500000000004</v>
      </c>
      <c r="U552" s="52">
        <f>IFERROR(Y405*1,"0")+IFERROR(Y406*1,"0")+IFERROR(Y407*1,"0")</f>
        <v>252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7350</v>
      </c>
      <c r="W552" s="52">
        <f>IFERROR(Y442*1,"0")+IFERROR(Y443*1,"0")+IFERROR(Y447*1,"0")+IFERROR(Y451*1,"0")+IFERROR(Y452*1,"0")+IFERROR(Y453*1,"0")</f>
        <v>372</v>
      </c>
      <c r="X552" s="52">
        <f>IFERROR(Y459*1,"0")+IFERROR(Y460*1,"0")+IFERROR(Y461*1,"0")+IFERROR(Y462*1,"0")+IFERROR(Y463*1,"0")+IFERROR(Y464*1,"0")+IFERROR(Y468*1,"0")+IFERROR(Y469*1,"0")</f>
        <v>210.60000000000002</v>
      </c>
      <c r="Y552" s="52">
        <f>IFERROR(Y474*1,"0")+IFERROR(Y478*1,"0")+IFERROR(Y479*1,"0")+IFERROR(Y480*1,"0")</f>
        <v>329.40000000000003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1652.6400000000003</v>
      </c>
      <c r="AA552" s="52">
        <f>IFERROR(Y516*1,"0")+IFERROR(Y520*1,"0")+IFERROR(Y524*1,"0")+IFERROR(Y525*1,"0")+IFERROR(Y529*1,"0")+IFERROR(Y533*1,"0")+IFERROR(Y534*1,"0")</f>
        <v>120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070,00"/>
        <filter val="1 120,00"/>
        <filter val="1 200,00"/>
        <filter val="1 405,00"/>
        <filter val="1 500,00"/>
        <filter val="1 650,00"/>
        <filter val="1 700,00"/>
        <filter val="1,67"/>
        <filter val="10,00"/>
        <filter val="10,93"/>
        <filter val="100,00"/>
        <filter val="110,00"/>
        <filter val="111,43"/>
        <filter val="114,58"/>
        <filter val="115,00"/>
        <filter val="12,48"/>
        <filter val="120,00"/>
        <filter val="122,00"/>
        <filter val="124,44"/>
        <filter val="132,00"/>
        <filter val="133,79"/>
        <filter val="14,00"/>
        <filter val="14,58"/>
        <filter val="140,00"/>
        <filter val="144,00"/>
        <filter val="146,78"/>
        <filter val="148,00"/>
        <filter val="15,00"/>
        <filter val="15,38"/>
        <filter val="153,85"/>
        <filter val="17 984,00"/>
        <filter val="170,00"/>
        <filter val="18 832,60"/>
        <filter val="19 582,60"/>
        <filter val="194,45"/>
        <filter val="195,00"/>
        <filter val="2 360,51"/>
        <filter val="2,00"/>
        <filter val="2,75"/>
        <filter val="2,78"/>
        <filter val="20,00"/>
        <filter val="200,00"/>
        <filter val="202,00"/>
        <filter val="215,00"/>
        <filter val="22,30"/>
        <filter val="220,00"/>
        <filter val="234,00"/>
        <filter val="24,00"/>
        <filter val="251,00"/>
        <filter val="255,00"/>
        <filter val="26,00"/>
        <filter val="260,00"/>
        <filter val="267,59"/>
        <filter val="27,00"/>
        <filter val="293,33"/>
        <filter val="3,33"/>
        <filter val="30"/>
        <filter val="30,00"/>
        <filter val="300,00"/>
        <filter val="320,00"/>
        <filter val="325,00"/>
        <filter val="33,33"/>
        <filter val="34,29"/>
        <filter val="35,00"/>
        <filter val="350,00"/>
        <filter val="36,00"/>
        <filter val="37,41"/>
        <filter val="38,89"/>
        <filter val="380,00"/>
        <filter val="39,00"/>
        <filter val="4 400,00"/>
        <filter val="4,00"/>
        <filter val="4,76"/>
        <filter val="40,00"/>
        <filter val="42,00"/>
        <filter val="425,00"/>
        <filter val="430,00"/>
        <filter val="440,00"/>
        <filter val="454,00"/>
        <filter val="466,00"/>
        <filter val="49,24"/>
        <filter val="5,00"/>
        <filter val="50,00"/>
        <filter val="540,00"/>
        <filter val="57,14"/>
        <filter val="59,56"/>
        <filter val="60,00"/>
        <filter val="60,19"/>
        <filter val="605,00"/>
        <filter val="626,00"/>
        <filter val="63,95"/>
        <filter val="64,00"/>
        <filter val="650,00"/>
        <filter val="7,00"/>
        <filter val="7,90"/>
        <filter val="70,00"/>
        <filter val="700,00"/>
        <filter val="710,00"/>
        <filter val="74,44"/>
        <filter val="745,00"/>
        <filter val="775,00"/>
        <filter val="78,70"/>
        <filter val="87,00"/>
        <filter val="9,26"/>
        <filter val="90,00"/>
        <filter val="94,00"/>
      </filters>
    </filterColumn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2026-07-21T10:09:12Z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