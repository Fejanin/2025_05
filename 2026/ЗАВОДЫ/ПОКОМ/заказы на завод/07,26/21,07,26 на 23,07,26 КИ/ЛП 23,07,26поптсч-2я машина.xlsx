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C1446F-7632-42C1-86D0-0314D060CD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BN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N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Z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Z192" i="2"/>
  <c r="Z193" i="2" s="1"/>
  <c r="Y192" i="2"/>
  <c r="Y193" i="2" s="1"/>
  <c r="P192" i="2"/>
  <c r="X190" i="2"/>
  <c r="X189" i="2"/>
  <c r="BO188" i="2"/>
  <c r="BM188" i="2"/>
  <c r="Z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I552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BN97" i="2" l="1"/>
  <c r="Y163" i="2"/>
  <c r="BN175" i="2"/>
  <c r="BN217" i="2"/>
  <c r="BN230" i="2"/>
  <c r="BN260" i="2"/>
  <c r="BN301" i="2"/>
  <c r="BN365" i="2"/>
  <c r="BN425" i="2"/>
  <c r="BN460" i="2"/>
  <c r="BN488" i="2"/>
  <c r="Z31" i="2"/>
  <c r="BN64" i="2"/>
  <c r="BP71" i="2"/>
  <c r="BN72" i="2"/>
  <c r="BN103" i="2"/>
  <c r="Z122" i="2"/>
  <c r="BN173" i="2"/>
  <c r="Y190" i="2"/>
  <c r="Z203" i="2"/>
  <c r="BN204" i="2"/>
  <c r="Y211" i="2"/>
  <c r="BN213" i="2"/>
  <c r="BP222" i="2"/>
  <c r="BN271" i="2"/>
  <c r="Z277" i="2"/>
  <c r="BN291" i="2"/>
  <c r="BN332" i="2"/>
  <c r="BN373" i="2"/>
  <c r="Z393" i="2"/>
  <c r="BN415" i="2"/>
  <c r="BN431" i="2"/>
  <c r="BN463" i="2"/>
  <c r="BN491" i="2"/>
  <c r="BP520" i="2"/>
  <c r="BP215" i="2"/>
  <c r="BP479" i="2"/>
  <c r="Z112" i="2"/>
  <c r="BP149" i="2"/>
  <c r="Z177" i="2"/>
  <c r="Y139" i="2"/>
  <c r="BP30" i="2"/>
  <c r="Z43" i="2"/>
  <c r="Z78" i="2"/>
  <c r="Z123" i="2"/>
  <c r="BP123" i="2"/>
  <c r="Z166" i="2"/>
  <c r="BP201" i="2"/>
  <c r="Z215" i="2"/>
  <c r="Z234" i="2"/>
  <c r="BP234" i="2"/>
  <c r="Z310" i="2"/>
  <c r="Y337" i="2"/>
  <c r="Z357" i="2"/>
  <c r="BP400" i="2"/>
  <c r="Z443" i="2"/>
  <c r="BP443" i="2"/>
  <c r="Z451" i="2"/>
  <c r="BP451" i="2"/>
  <c r="Y455" i="2"/>
  <c r="Z479" i="2"/>
  <c r="Z529" i="2"/>
  <c r="Z530" i="2" s="1"/>
  <c r="Y530" i="2"/>
  <c r="Z30" i="2"/>
  <c r="Y79" i="2"/>
  <c r="BP77" i="2"/>
  <c r="Z103" i="2"/>
  <c r="BN106" i="2"/>
  <c r="Z149" i="2"/>
  <c r="BP162" i="2"/>
  <c r="Y164" i="2"/>
  <c r="BP188" i="2"/>
  <c r="Y194" i="2"/>
  <c r="BN199" i="2"/>
  <c r="Z201" i="2"/>
  <c r="Z204" i="2"/>
  <c r="Z213" i="2"/>
  <c r="Y241" i="2"/>
  <c r="Z244" i="2"/>
  <c r="Z245" i="2" s="1"/>
  <c r="BP255" i="2"/>
  <c r="BN278" i="2"/>
  <c r="Z281" i="2"/>
  <c r="BN285" i="2"/>
  <c r="BN296" i="2"/>
  <c r="Z332" i="2"/>
  <c r="BN334" i="2"/>
  <c r="Y396" i="2"/>
  <c r="Z400" i="2"/>
  <c r="BN420" i="2"/>
  <c r="Y433" i="2"/>
  <c r="BP453" i="2"/>
  <c r="Z463" i="2"/>
  <c r="BN474" i="2"/>
  <c r="Z488" i="2"/>
  <c r="Z491" i="2"/>
  <c r="BN493" i="2"/>
  <c r="BP500" i="2"/>
  <c r="BN534" i="2"/>
  <c r="BP177" i="2"/>
  <c r="B552" i="2"/>
  <c r="BN62" i="2"/>
  <c r="Z79" i="2"/>
  <c r="BN78" i="2"/>
  <c r="Y80" i="2"/>
  <c r="F552" i="2"/>
  <c r="BN95" i="2"/>
  <c r="BN108" i="2"/>
  <c r="H552" i="2"/>
  <c r="BP133" i="2"/>
  <c r="BN170" i="2"/>
  <c r="BP192" i="2"/>
  <c r="BP203" i="2"/>
  <c r="BN238" i="2"/>
  <c r="BN270" i="2"/>
  <c r="BN326" i="2"/>
  <c r="Y329" i="2"/>
  <c r="BN347" i="2"/>
  <c r="BN380" i="2"/>
  <c r="BN437" i="2"/>
  <c r="Y454" i="2"/>
  <c r="BP462" i="2"/>
  <c r="BP487" i="2"/>
  <c r="BP490" i="2"/>
  <c r="BN525" i="2"/>
  <c r="Z417" i="2"/>
  <c r="Y383" i="2"/>
  <c r="BN381" i="2"/>
  <c r="Z388" i="2"/>
  <c r="BP388" i="2"/>
  <c r="BN261" i="2"/>
  <c r="Y409" i="2"/>
  <c r="Z170" i="2"/>
  <c r="Z506" i="2"/>
  <c r="Z169" i="2"/>
  <c r="Y511" i="2"/>
  <c r="X544" i="2"/>
  <c r="Z66" i="2"/>
  <c r="BN53" i="2"/>
  <c r="BN51" i="2"/>
  <c r="V552" i="2"/>
  <c r="BP498" i="2"/>
  <c r="BN498" i="2"/>
  <c r="Z552" i="2"/>
  <c r="Y501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Z470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Z444" i="2" s="1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Z144" i="2" s="1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24" i="2" s="1"/>
  <c r="Z143" i="2"/>
  <c r="Z167" i="2"/>
  <c r="Z187" i="2"/>
  <c r="Z189" i="2" s="1"/>
  <c r="Y235" i="2"/>
  <c r="BP244" i="2"/>
  <c r="Z341" i="2"/>
  <c r="Z385" i="2"/>
  <c r="Z430" i="2"/>
  <c r="Z433" i="2" s="1"/>
  <c r="BP432" i="2"/>
  <c r="Z453" i="2"/>
  <c r="Z454" i="2" s="1"/>
  <c r="Y470" i="2"/>
  <c r="Z478" i="2"/>
  <c r="BP480" i="2"/>
  <c r="Z490" i="2"/>
  <c r="Z500" i="2"/>
  <c r="Z510" i="2"/>
  <c r="Y517" i="2"/>
  <c r="Z524" i="2"/>
  <c r="Z526" i="2" s="1"/>
  <c r="BP539" i="2"/>
  <c r="C552" i="2"/>
  <c r="Z88" i="2"/>
  <c r="BP90" i="2"/>
  <c r="Z132" i="2"/>
  <c r="Z134" i="2" s="1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27" i="2" s="1"/>
  <c r="Z230" i="2"/>
  <c r="Z240" i="2"/>
  <c r="Z241" i="2" s="1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495" i="2" l="1"/>
  <c r="Z465" i="2"/>
  <c r="Z235" i="2"/>
  <c r="Z24" i="2"/>
  <c r="Z312" i="2"/>
  <c r="Z74" i="2"/>
  <c r="Z109" i="2"/>
  <c r="Z298" i="2"/>
  <c r="X545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Y545" i="2" l="1"/>
  <c r="Z547" i="2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<sst xmlns="http://schemas.openxmlformats.org/spreadsheetml/2006/main" count="4118" uniqueCount="878">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</sst>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877</v>
      </c>
      <c r="I5" s="976"/>
      <c r="J5" s="976"/>
      <c r="K5" s="976"/>
      <c r="L5" s="976"/>
      <c r="M5" s="976"/>
      <c r="N5" s="72"/>
      <c r="P5" s="27" t="s">
        <v>4</v>
      </c>
      <c r="Q5" s="978">
        <v>46226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0.45833333333333331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68.518518518518519</v>
      </c>
      <c r="Y55" s="43">
        <f>IFERROR(Y51/H51,"0")+IFERROR(Y52/H52,"0")+IFERROR(Y53/H53,"0")+IFERROR(Y54/H54,"0")</f>
        <v>69</v>
      </c>
      <c r="Z55" s="43">
        <f>IFERROR(IF(Z51="",0,Z51),"0")+IFERROR(IF(Z52="",0,Z52),"0")+IFERROR(IF(Z53="",0,Z53),"0")+IFERROR(IF(Z54="",0,Z54),"0")</f>
        <v>0.81162000000000001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400</v>
      </c>
      <c r="Y56" s="43">
        <f>IFERROR(SUM(Y51:Y54),"0")</f>
        <v>405.20000000000005</v>
      </c>
      <c r="Z56" s="42"/>
      <c r="AA56" s="67"/>
      <c r="AB56" s="67"/>
      <c r="AC56" s="67"/>
    </row>
    <row r="57" spans="1:68" ht="16.5" hidden="1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100</v>
      </c>
      <c r="Y59" s="55">
        <f t="shared" ref="Y59:Y66" si="0">IFERROR(IF(X59="",0,CEILING((X59/$H59),1)*$H59),"")</f>
        <v>100.8</v>
      </c>
      <c r="Z59" s="41">
        <f>IFERROR(IF(Y59=0,"",ROUNDUP(Y59/H59,0)*0.01898),"")</f>
        <v>0.17082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103.66071428571429</v>
      </c>
      <c r="BN59" s="78">
        <f t="shared" ref="BN59:BN66" si="2">IFERROR(Y59*I59/H59,"0")</f>
        <v>104.49000000000001</v>
      </c>
      <c r="BO59" s="78">
        <f t="shared" ref="BO59:BO66" si="3">IFERROR(1/J59*(X59/H59),"0")</f>
        <v>0.13950892857142858</v>
      </c>
      <c r="BP59" s="78">
        <f t="shared" ref="BP59:BP66" si="4">IFERROR(1/J59*(Y59/H59),"0")</f>
        <v>0.140625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1300</v>
      </c>
      <c r="Y61" s="55">
        <f t="shared" si="0"/>
        <v>1306.8000000000002</v>
      </c>
      <c r="Z61" s="41">
        <f>IFERROR(IF(Y61=0,"",ROUNDUP(Y61/H61,0)*0.01898),"")</f>
        <v>2.2965800000000001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1349.351851851852</v>
      </c>
      <c r="BN61" s="78">
        <f t="shared" si="2"/>
        <v>1356.41</v>
      </c>
      <c r="BO61" s="78">
        <f t="shared" si="3"/>
        <v>1.880787037037037</v>
      </c>
      <c r="BP61" s="78">
        <f t="shared" si="4"/>
        <v>1.8906250000000002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35</v>
      </c>
      <c r="Y65" s="55">
        <f t="shared" si="0"/>
        <v>35.700000000000003</v>
      </c>
      <c r="Z65" s="41">
        <f>IFERROR(IF(Y65=0,"",ROUNDUP(Y65/H65,0)*0.00651),"")</f>
        <v>0.11067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38</v>
      </c>
      <c r="BN65" s="78">
        <f t="shared" si="2"/>
        <v>38.76</v>
      </c>
      <c r="BO65" s="78">
        <f t="shared" si="3"/>
        <v>9.1575091575091569E-2</v>
      </c>
      <c r="BP65" s="78">
        <f t="shared" si="4"/>
        <v>9.3406593406593408E-2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1080</v>
      </c>
      <c r="Y66" s="55">
        <f t="shared" si="0"/>
        <v>1080</v>
      </c>
      <c r="Z66" s="41">
        <f>IFERROR(IF(Y66=0,"",ROUNDUP(Y66/H66,0)*0.00902),"")</f>
        <v>2.1648000000000001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1125.6000000000001</v>
      </c>
      <c r="BN66" s="78">
        <f t="shared" si="2"/>
        <v>1125.6000000000001</v>
      </c>
      <c r="BO66" s="78">
        <f t="shared" si="3"/>
        <v>1.8181818181818183</v>
      </c>
      <c r="BP66" s="78">
        <f t="shared" si="4"/>
        <v>1.8181818181818183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385.96560846560845</v>
      </c>
      <c r="Y67" s="43">
        <f>IFERROR(Y59/H59,"0")+IFERROR(Y60/H60,"0")+IFERROR(Y61/H61,"0")+IFERROR(Y62/H62,"0")+IFERROR(Y63/H63,"0")+IFERROR(Y64/H64,"0")+IFERROR(Y65/H65,"0")+IFERROR(Y66/H66,"0")</f>
        <v>387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4.7428699999999999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2515</v>
      </c>
      <c r="Y68" s="43">
        <f>IFERROR(SUM(Y59:Y66),"0")</f>
        <v>2523.3000000000002</v>
      </c>
      <c r="Z68" s="42"/>
      <c r="AA68" s="67"/>
      <c r="AB68" s="67"/>
      <c r="AC68" s="67"/>
    </row>
    <row r="69" spans="1:68" ht="14.25" hidden="1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670</v>
      </c>
      <c r="Y70" s="55">
        <f>IFERROR(IF(X70="",0,CEILING((X70/$H70),1)*$H70),"")</f>
        <v>680.40000000000009</v>
      </c>
      <c r="Z70" s="41">
        <f>IFERROR(IF(Y70=0,"",ROUNDUP(Y70/H70,0)*0.01898),"")</f>
        <v>1.19574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695.43518518518522</v>
      </c>
      <c r="BN70" s="78">
        <f>IFERROR(Y70*I70/H70,"0")</f>
        <v>706.23000000000013</v>
      </c>
      <c r="BO70" s="78">
        <f>IFERROR(1/J70*(X70/H70),"0")</f>
        <v>0.96932870370370361</v>
      </c>
      <c r="BP70" s="78">
        <f>IFERROR(1/J70*(Y70/H70),"0")</f>
        <v>0.98437500000000011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62.037037037037031</v>
      </c>
      <c r="Y74" s="43">
        <f>IFERROR(Y70/H70,"0")+IFERROR(Y71/H71,"0")+IFERROR(Y72/H72,"0")+IFERROR(Y73/H73,"0")</f>
        <v>63.000000000000007</v>
      </c>
      <c r="Z74" s="43">
        <f>IFERROR(IF(Z70="",0,Z70),"0")+IFERROR(IF(Z71="",0,Z71),"0")+IFERROR(IF(Z72="",0,Z72),"0")+IFERROR(IF(Z73="",0,Z73),"0")</f>
        <v>1.19574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670</v>
      </c>
      <c r="Y75" s="43">
        <f>IFERROR(SUM(Y70:Y73),"0")</f>
        <v>680.40000000000009</v>
      </c>
      <c r="Z75" s="42"/>
      <c r="AA75" s="67"/>
      <c r="AB75" s="67"/>
      <c r="AC75" s="67"/>
    </row>
    <row r="76" spans="1:68" ht="14.25" hidden="1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225</v>
      </c>
      <c r="Y91" s="55">
        <f>IFERROR(IF(X91="",0,CEILING((X91/$H91),1)*$H91),"")</f>
        <v>225</v>
      </c>
      <c r="Z91" s="41">
        <f>IFERROR(IF(Y91=0,"",ROUNDUP(Y91/H91,0)*0.00902),"")</f>
        <v>0.45100000000000001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234.5</v>
      </c>
      <c r="BN91" s="78">
        <f>IFERROR(Y91*I91/H91,"0")</f>
        <v>234.5</v>
      </c>
      <c r="BO91" s="78">
        <f>IFERROR(1/J91*(X91/H91),"0")</f>
        <v>0.37878787878787878</v>
      </c>
      <c r="BP91" s="78">
        <f>IFERROR(1/J91*(Y91/H91),"0")</f>
        <v>0.37878787878787878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50</v>
      </c>
      <c r="Y92" s="43">
        <f>IFERROR(Y88/H88,"0")+IFERROR(Y89/H89,"0")+IFERROR(Y90/H90,"0")+IFERROR(Y91/H91,"0")</f>
        <v>50</v>
      </c>
      <c r="Z92" s="43">
        <f>IFERROR(IF(Z88="",0,Z88),"0")+IFERROR(IF(Z89="",0,Z89),"0")+IFERROR(IF(Z90="",0,Z90),"0")+IFERROR(IF(Z91="",0,Z91),"0")</f>
        <v>0.45100000000000001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225</v>
      </c>
      <c r="Y93" s="43">
        <f>IFERROR(SUM(Y88:Y91),"0")</f>
        <v>225</v>
      </c>
      <c r="Z93" s="42"/>
      <c r="AA93" s="67"/>
      <c r="AB93" s="67"/>
      <c r="AC93" s="67"/>
    </row>
    <row r="94" spans="1:68" ht="14.25" hidden="1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300</v>
      </c>
      <c r="Y120" s="55">
        <f>IFERROR(IF(X120="",0,CEILING((X120/$H120),1)*$H120),"")</f>
        <v>307.8</v>
      </c>
      <c r="Z120" s="41">
        <f>IFERROR(IF(Y120=0,"",ROUNDUP(Y120/H120,0)*0.01898),"")</f>
        <v>0.72123999999999999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318.07407407407402</v>
      </c>
      <c r="BN120" s="78">
        <f>IFERROR(Y120*I120/H120,"0")</f>
        <v>326.34399999999999</v>
      </c>
      <c r="BO120" s="78">
        <f>IFERROR(1/J120*(X120/H120),"0")</f>
        <v>0.57870370370370372</v>
      </c>
      <c r="BP120" s="78">
        <f>IFERROR(1/J120*(Y120/H120),"0")</f>
        <v>0.59375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37.037037037037038</v>
      </c>
      <c r="Y124" s="43">
        <f>IFERROR(Y120/H120,"0")+IFERROR(Y121/H121,"0")+IFERROR(Y122/H122,"0")+IFERROR(Y123/H123,"0")</f>
        <v>38</v>
      </c>
      <c r="Z124" s="43">
        <f>IFERROR(IF(Z120="",0,Z120),"0")+IFERROR(IF(Z121="",0,Z121),"0")+IFERROR(IF(Z122="",0,Z122),"0")+IFERROR(IF(Z123="",0,Z123),"0")</f>
        <v>0.72123999999999999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300</v>
      </c>
      <c r="Y125" s="43">
        <f>IFERROR(SUM(Y120:Y123),"0")</f>
        <v>307.8</v>
      </c>
      <c r="Z125" s="42"/>
      <c r="AA125" s="67"/>
      <c r="AB125" s="67"/>
      <c r="AC125" s="67"/>
    </row>
    <row r="126" spans="1:68" ht="14.25" hidden="1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100</v>
      </c>
      <c r="Y168" s="55">
        <f t="shared" si="10"/>
        <v>101.5</v>
      </c>
      <c r="Z168" s="41">
        <f>IFERROR(IF(Y168=0,"",ROUNDUP(Y168/H168,0)*0.00902),"")</f>
        <v>0.26158000000000003</v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107.57142857142857</v>
      </c>
      <c r="BN168" s="78">
        <f t="shared" si="12"/>
        <v>109.18500000000002</v>
      </c>
      <c r="BO168" s="78">
        <f t="shared" si="13"/>
        <v>0.21645021645021648</v>
      </c>
      <c r="BP168" s="78">
        <f t="shared" si="14"/>
        <v>0.2196969696969697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100</v>
      </c>
      <c r="Y169" s="55">
        <f t="shared" si="10"/>
        <v>101.5</v>
      </c>
      <c r="Z169" s="41">
        <f>IFERROR(IF(Y169=0,"",ROUNDUP(Y169/H169,0)*0.00902),"")</f>
        <v>0.26158000000000003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105.42857142857143</v>
      </c>
      <c r="BN169" s="78">
        <f t="shared" si="12"/>
        <v>107.00999999999999</v>
      </c>
      <c r="BO169" s="78">
        <f t="shared" si="13"/>
        <v>0.21645021645021648</v>
      </c>
      <c r="BP169" s="78">
        <f t="shared" si="14"/>
        <v>0.2196969696969697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10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105.42857142857143</v>
      </c>
      <c r="BN170" s="78">
        <f t="shared" si="12"/>
        <v>107.00999999999999</v>
      </c>
      <c r="BO170" s="78">
        <f t="shared" si="13"/>
        <v>0.21645021645021648</v>
      </c>
      <c r="BP170" s="78">
        <f t="shared" si="14"/>
        <v>0.2196969696969697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85.714285714285722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87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0.7847400000000001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300</v>
      </c>
      <c r="Y179" s="43">
        <f>IFERROR(SUM(Y166:Y177),"0")</f>
        <v>304.5</v>
      </c>
      <c r="Z179" s="42"/>
      <c r="AA179" s="67"/>
      <c r="AB179" s="67"/>
      <c r="AC179" s="67"/>
    </row>
    <row r="180" spans="1:68" ht="14.25" hidden="1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27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207.03703703703701</v>
      </c>
      <c r="BN259" s="78">
        <f t="shared" ref="BN259:BN266" si="29">IFERROR(Y259*I259/H259,"0")</f>
        <v>212.42</v>
      </c>
      <c r="BO259" s="78">
        <f t="shared" ref="BO259:BO266" si="30">IFERROR(1/J259*(X259/H259),"0")</f>
        <v>0.28058361391694725</v>
      </c>
      <c r="BP259" s="78">
        <f t="shared" ref="BP259:BP266" si="31">IFERROR(1/J259*(Y259/H259),"0")</f>
        <v>0.2878787878787879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100</v>
      </c>
      <c r="Y260" s="55">
        <f t="shared" si="27"/>
        <v>102.60000000000001</v>
      </c>
      <c r="Z260" s="41">
        <f>IFERROR(IF(Y260=0,"",ROUNDUP(Y260/H260,0)*0.00902),"")</f>
        <v>0.17138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103.5185185185185</v>
      </c>
      <c r="BN260" s="78">
        <f t="shared" si="29"/>
        <v>106.21</v>
      </c>
      <c r="BO260" s="78">
        <f t="shared" si="30"/>
        <v>0.14029180695847362</v>
      </c>
      <c r="BP260" s="78">
        <f t="shared" si="31"/>
        <v>0.14393939393939395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200</v>
      </c>
      <c r="Y261" s="55">
        <f t="shared" si="27"/>
        <v>205.20000000000002</v>
      </c>
      <c r="Z261" s="41">
        <f>IFERROR(IF(Y261=0,"",ROUNDUP(Y261/H261,0)*0.00902),"")</f>
        <v>0.34276000000000001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207.03703703703701</v>
      </c>
      <c r="BN261" s="78">
        <f t="shared" si="29"/>
        <v>212.42</v>
      </c>
      <c r="BO261" s="78">
        <f t="shared" si="30"/>
        <v>0.28058361391694725</v>
      </c>
      <c r="BP261" s="78">
        <f t="shared" si="31"/>
        <v>0.2878787878787879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27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103.5185185185185</v>
      </c>
      <c r="BN262" s="78">
        <f t="shared" si="29"/>
        <v>106.21</v>
      </c>
      <c r="BO262" s="78">
        <f t="shared" si="30"/>
        <v>0.14029180695847362</v>
      </c>
      <c r="BP262" s="78">
        <f t="shared" si="31"/>
        <v>0.14393939393939395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111.11111111111111</v>
      </c>
      <c r="Y267" s="43">
        <f>IFERROR(Y259/H259,"0")+IFERROR(Y260/H260,"0")+IFERROR(Y261/H261,"0")+IFERROR(Y262/H262,"0")+IFERROR(Y263/H263,"0")+IFERROR(Y264/H264,"0")+IFERROR(Y265/H265,"0")+IFERROR(Y266/H266,"0")</f>
        <v>114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1.0282800000000001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600</v>
      </c>
      <c r="Y268" s="43">
        <f>IFERROR(SUM(Y259:Y266),"0")</f>
        <v>615.6</v>
      </c>
      <c r="Z268" s="42"/>
      <c r="AA268" s="67"/>
      <c r="AB268" s="67"/>
      <c r="AC268" s="67"/>
    </row>
    <row r="269" spans="1:68" ht="14.25" hidden="1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36</v>
      </c>
      <c r="Y340" s="55">
        <f>IFERROR(IF(X340="",0,CEILING((X340/$H340),1)*$H340),"")</f>
        <v>36</v>
      </c>
      <c r="Z340" s="41">
        <f>IFERROR(IF(Y340=0,"",ROUNDUP(Y340/H340,0)*0.00902),"")</f>
        <v>9.0200000000000002E-2</v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37.9</v>
      </c>
      <c r="BN340" s="78">
        <f>IFERROR(Y340*I340/H340,"0")</f>
        <v>37.9</v>
      </c>
      <c r="BO340" s="78">
        <f>IFERROR(1/J340*(X340/H340),"0")</f>
        <v>7.575757575757576E-2</v>
      </c>
      <c r="BP340" s="78">
        <f>IFERROR(1/J340*(Y340/H340),"0")</f>
        <v>7.575757575757576E-2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10</v>
      </c>
      <c r="Y342" s="43">
        <f>IFERROR(Y340/H340,"0")+IFERROR(Y341/H341,"0")</f>
        <v>10</v>
      </c>
      <c r="Z342" s="43">
        <f>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36</v>
      </c>
      <c r="Y343" s="43">
        <f>IFERROR(SUM(Y340:Y341),"0")</f>
        <v>36</v>
      </c>
      <c r="Z343" s="42"/>
      <c r="AA343" s="67"/>
      <c r="AB343" s="67"/>
      <c r="AC343" s="67"/>
    </row>
    <row r="344" spans="1:68" ht="16.5" hidden="1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1200</v>
      </c>
      <c r="Y353" s="55">
        <f t="shared" ref="Y353:Y358" si="42">IFERROR(IF(X353="",0,CEILING((X353/$H353),1)*$H353),"")</f>
        <v>1209.6000000000001</v>
      </c>
      <c r="Z353" s="41">
        <f>IFERROR(IF(Y353=0,"",ROUNDUP(Y353/H353,0)*0.01898),"")</f>
        <v>2.1257600000000001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1245.5555555555557</v>
      </c>
      <c r="BN353" s="78">
        <f t="shared" ref="BN353:BN358" si="44">IFERROR(Y353*I353/H353,"0")</f>
        <v>1255.52</v>
      </c>
      <c r="BO353" s="78">
        <f t="shared" ref="BO353:BO358" si="45">IFERROR(1/J353*(X353/H353),"0")</f>
        <v>1.7361111111111109</v>
      </c>
      <c r="BP353" s="78">
        <f t="shared" ref="BP353:BP358" si="46">IFERROR(1/J353*(Y353/H353),"0")</f>
        <v>1.75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100</v>
      </c>
      <c r="Y354" s="55">
        <f t="shared" si="42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103.79629629629629</v>
      </c>
      <c r="BN354" s="78">
        <f t="shared" si="44"/>
        <v>112.1</v>
      </c>
      <c r="BO354" s="78">
        <f t="shared" si="45"/>
        <v>0.14467592592592593</v>
      </c>
      <c r="BP354" s="78">
        <f t="shared" si="46"/>
        <v>0.15625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250</v>
      </c>
      <c r="Y355" s="55">
        <f t="shared" si="42"/>
        <v>259.20000000000005</v>
      </c>
      <c r="Z355" s="41">
        <f>IFERROR(IF(Y355=0,"",ROUNDUP(Y355/H355,0)*0.01898),"")</f>
        <v>0.45552000000000004</v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259.4907407407407</v>
      </c>
      <c r="BN355" s="78">
        <f t="shared" si="44"/>
        <v>269.04000000000002</v>
      </c>
      <c r="BO355" s="78">
        <f t="shared" si="45"/>
        <v>0.36168981481481477</v>
      </c>
      <c r="BP355" s="78">
        <f t="shared" si="46"/>
        <v>0.37500000000000006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528</v>
      </c>
      <c r="Y358" s="55">
        <f t="shared" si="42"/>
        <v>528</v>
      </c>
      <c r="Z358" s="41">
        <f>IFERROR(IF(Y358=0,"",ROUNDUP(Y358/H358,0)*0.00902),"")</f>
        <v>1.1906400000000001</v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553.08000000000004</v>
      </c>
      <c r="BN358" s="78">
        <f t="shared" si="44"/>
        <v>553.08000000000004</v>
      </c>
      <c r="BO358" s="78">
        <f t="shared" si="45"/>
        <v>1</v>
      </c>
      <c r="BP358" s="78">
        <f t="shared" si="46"/>
        <v>1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275.51851851851848</v>
      </c>
      <c r="Y359" s="43">
        <f>IFERROR(Y353/H353,"0")+IFERROR(Y354/H354,"0")+IFERROR(Y355/H355,"0")+IFERROR(Y356/H356,"0")+IFERROR(Y357/H357,"0")+IFERROR(Y358/H358,"0")</f>
        <v>278</v>
      </c>
      <c r="Z359" s="43">
        <f>IFERROR(IF(Z353="",0,Z353),"0")+IFERROR(IF(Z354="",0,Z354),"0")+IFERROR(IF(Z355="",0,Z355),"0")+IFERROR(IF(Z356="",0,Z356),"0")+IFERROR(IF(Z357="",0,Z357),"0")+IFERROR(IF(Z358="",0,Z358),"0")</f>
        <v>3.9617200000000001</v>
      </c>
      <c r="AA359" s="67"/>
      <c r="AB359" s="67"/>
      <c r="AC359" s="67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2078</v>
      </c>
      <c r="Y360" s="43">
        <f>IFERROR(SUM(Y353:Y358),"0")</f>
        <v>2104.8000000000002</v>
      </c>
      <c r="Z360" s="42"/>
      <c r="AA360" s="67"/>
      <c r="AB360" s="67"/>
      <c r="AC360" s="67"/>
    </row>
    <row r="361" spans="1:68" ht="14.25" hidden="1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300</v>
      </c>
      <c r="Y362" s="55">
        <f t="shared" ref="Y362:Y368" si="47">IFERROR(IF(X362="",0,CEILING((X362/$H362),1)*$H362),"")</f>
        <v>302.40000000000003</v>
      </c>
      <c r="Z362" s="41">
        <f>IFERROR(IF(Y362=0,"",ROUNDUP(Y362/H362,0)*0.00902),"")</f>
        <v>0.64944000000000002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317.85714285714283</v>
      </c>
      <c r="BN362" s="78">
        <f t="shared" ref="BN362:BN368" si="49">IFERROR(Y362*I362/H362,"0")</f>
        <v>320.40000000000003</v>
      </c>
      <c r="BO362" s="78">
        <f t="shared" ref="BO362:BO368" si="50">IFERROR(1/J362*(X362/H362),"0")</f>
        <v>0.54112554112554112</v>
      </c>
      <c r="BP362" s="78">
        <f t="shared" ref="BP362:BP368" si="51">IFERROR(1/J362*(Y362/H362),"0")</f>
        <v>0.54545454545454541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47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370.83333333333331</v>
      </c>
      <c r="BN363" s="78">
        <f t="shared" si="49"/>
        <v>373.8</v>
      </c>
      <c r="BO363" s="78">
        <f t="shared" si="50"/>
        <v>0.63131313131313127</v>
      </c>
      <c r="BP363" s="78">
        <f t="shared" si="51"/>
        <v>0.63636363636363635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35</v>
      </c>
      <c r="Y365" s="55">
        <f t="shared" si="47"/>
        <v>35.700000000000003</v>
      </c>
      <c r="Z365" s="41">
        <f>IFERROR(IF(Y365=0,"",ROUNDUP(Y365/H365,0)*0.00502),"")</f>
        <v>8.5339999999999999E-2</v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37.166666666666664</v>
      </c>
      <c r="BN365" s="78">
        <f t="shared" si="49"/>
        <v>37.910000000000004</v>
      </c>
      <c r="BO365" s="78">
        <f t="shared" si="50"/>
        <v>7.1225071225071226E-2</v>
      </c>
      <c r="BP365" s="78">
        <f t="shared" si="51"/>
        <v>7.2649572649572655E-2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171.42857142857142</v>
      </c>
      <c r="Y369" s="43">
        <f>IFERROR(Y362/H362,"0")+IFERROR(Y363/H363,"0")+IFERROR(Y364/H364,"0")+IFERROR(Y365/H365,"0")+IFERROR(Y366/H366,"0")+IFERROR(Y367/H367,"0")+IFERROR(Y368/H368,"0")</f>
        <v>173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1.4924599999999999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685</v>
      </c>
      <c r="Y370" s="43">
        <f>IFERROR(SUM(Y362:Y368),"0")</f>
        <v>690.90000000000009</v>
      </c>
      <c r="Z370" s="42"/>
      <c r="AA370" s="67"/>
      <c r="AB370" s="67"/>
      <c r="AC370" s="67"/>
    </row>
    <row r="371" spans="1:68" ht="14.25" hidden="1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60</v>
      </c>
      <c r="Y375" s="55">
        <f>IFERROR(IF(X375="",0,CEILING((X375/$H375),1)*$H375),"")</f>
        <v>60</v>
      </c>
      <c r="Z375" s="41">
        <f>IFERROR(IF(Y375=0,"",ROUNDUP(Y375/H375,0)*0.00651),"")</f>
        <v>0.13020000000000001</v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64.92</v>
      </c>
      <c r="BN375" s="78">
        <f>IFERROR(Y375*I375/H375,"0")</f>
        <v>64.92</v>
      </c>
      <c r="BO375" s="78">
        <f>IFERROR(1/J375*(X375/H375),"0")</f>
        <v>0.1098901098901099</v>
      </c>
      <c r="BP375" s="78">
        <f>IFERROR(1/J375*(Y375/H375),"0")</f>
        <v>0.1098901098901099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20</v>
      </c>
      <c r="Y376" s="43">
        <f>IFERROR(Y372/H372,"0")+IFERROR(Y373/H373,"0")+IFERROR(Y374/H374,"0")+IFERROR(Y375/H375,"0")</f>
        <v>20</v>
      </c>
      <c r="Z376" s="43">
        <f>IFERROR(IF(Z372="",0,Z372),"0")+IFERROR(IF(Z373="",0,Z373),"0")+IFERROR(IF(Z374="",0,Z374),"0")+IFERROR(IF(Z375="",0,Z375),"0")</f>
        <v>0.13020000000000001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60</v>
      </c>
      <c r="Y377" s="43">
        <f>IFERROR(SUM(Y372:Y375),"0")</f>
        <v>60</v>
      </c>
      <c r="Z377" s="42"/>
      <c r="AA377" s="67"/>
      <c r="AB377" s="67"/>
      <c r="AC377" s="67"/>
    </row>
    <row r="378" spans="1:68" ht="14.25" hidden="1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1100</v>
      </c>
      <c r="Y380" s="55">
        <f>IFERROR(IF(X380="",0,CEILING((X380/$H380),1)*$H380),"")</f>
        <v>1107.5999999999999</v>
      </c>
      <c r="Z380" s="41">
        <f>IFERROR(IF(Y380=0,"",ROUNDUP(Y380/H380,0)*0.01898),"")</f>
        <v>2.69516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1169.6666666666667</v>
      </c>
      <c r="BN380" s="78">
        <f>IFERROR(Y380*I380/H380,"0")</f>
        <v>1177.748</v>
      </c>
      <c r="BO380" s="78">
        <f>IFERROR(1/J380*(X380/H380),"0")</f>
        <v>2.203525641025641</v>
      </c>
      <c r="BP380" s="78">
        <f>IFERROR(1/J380*(Y380/H380),"0")</f>
        <v>2.21875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250</v>
      </c>
      <c r="Y381" s="55">
        <f>IFERROR(IF(X381="",0,CEILING((X381/$H381),1)*$H381),"")</f>
        <v>252</v>
      </c>
      <c r="Z381" s="41">
        <f>IFERROR(IF(Y381=0,"",ROUNDUP(Y381/H381,0)*0.01898),"")</f>
        <v>0.56940000000000002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264.70238095238096</v>
      </c>
      <c r="BN381" s="78">
        <f>IFERROR(Y381*I381/H381,"0")</f>
        <v>266.82</v>
      </c>
      <c r="BO381" s="78">
        <f>IFERROR(1/J381*(X381/H381),"0")</f>
        <v>0.46502976190476186</v>
      </c>
      <c r="BP381" s="78">
        <f>IFERROR(1/J381*(Y381/H381),"0")</f>
        <v>0.46875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170.78754578754578</v>
      </c>
      <c r="Y382" s="43">
        <f>IFERROR(Y379/H379,"0")+IFERROR(Y380/H380,"0")+IFERROR(Y381/H381,"0")</f>
        <v>172</v>
      </c>
      <c r="Z382" s="43">
        <f>IFERROR(IF(Z379="",0,Z379),"0")+IFERROR(IF(Z380="",0,Z380),"0")+IFERROR(IF(Z381="",0,Z381),"0")</f>
        <v>3.2645599999999999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1350</v>
      </c>
      <c r="Y383" s="43">
        <f>IFERROR(SUM(Y379:Y381),"0")</f>
        <v>1359.6</v>
      </c>
      <c r="Z383" s="42"/>
      <c r="AA383" s="67"/>
      <c r="AB383" s="67"/>
      <c r="AC383" s="67"/>
    </row>
    <row r="384" spans="1:68" ht="14.25" hidden="1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12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13.55294117647059</v>
      </c>
      <c r="BN388" s="78">
        <f>IFERROR(Y388*I388/H388,"0")</f>
        <v>14.4</v>
      </c>
      <c r="BO388" s="78">
        <f>IFERROR(1/J388*(X388/H388),"0")</f>
        <v>2.5856496444731741E-2</v>
      </c>
      <c r="BP388" s="78">
        <f>IFERROR(1/J388*(Y388/H388),"0")</f>
        <v>2.7472527472527476E-2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4.7058823529411766</v>
      </c>
      <c r="Y389" s="43">
        <f>IFERROR(Y385/H385,"0")+IFERROR(Y386/H386,"0")+IFERROR(Y387/H387,"0")+IFERROR(Y388/H388,"0")</f>
        <v>5</v>
      </c>
      <c r="Z389" s="43">
        <f>IFERROR(IF(Z385="",0,Z385),"0")+IFERROR(IF(Z386="",0,Z386),"0")+IFERROR(IF(Z387="",0,Z387),"0")+IFERROR(IF(Z388="",0,Z388),"0")</f>
        <v>3.2550000000000003E-2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12</v>
      </c>
      <c r="Y390" s="43">
        <f>IFERROR(SUM(Y385:Y388),"0")</f>
        <v>12.75</v>
      </c>
      <c r="Z390" s="42"/>
      <c r="AA390" s="67"/>
      <c r="AB390" s="67"/>
      <c r="AC390" s="67"/>
    </row>
    <row r="391" spans="1:68" ht="14.25" hidden="1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400</v>
      </c>
      <c r="Y405" s="55">
        <f>IFERROR(IF(X405="",0,CEILING((X405/$H405),1)*$H405),"")</f>
        <v>405</v>
      </c>
      <c r="Z405" s="41">
        <f>IFERROR(IF(Y405=0,"",ROUNDUP(Y405/H405,0)*0.01898),"")</f>
        <v>0.94900000000000007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424.39506172839509</v>
      </c>
      <c r="BN405" s="78">
        <f>IFERROR(Y405*I405/H405,"0")</f>
        <v>429.7</v>
      </c>
      <c r="BO405" s="78">
        <f>IFERROR(1/J405*(X405/H405),"0")</f>
        <v>0.77160493827160492</v>
      </c>
      <c r="BP405" s="78">
        <f>IFERROR(1/J405*(Y405/H405),"0")</f>
        <v>0.78125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140</v>
      </c>
      <c r="Y406" s="55">
        <f>IFERROR(IF(X406="",0,CEILING((X406/$H406),1)*$H406),"")</f>
        <v>140.70000000000002</v>
      </c>
      <c r="Z406" s="41">
        <f>IFERROR(IF(Y406=0,"",ROUNDUP(Y406/H406,0)*0.00651),"")</f>
        <v>0.43617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156.79999999999998</v>
      </c>
      <c r="BN406" s="78">
        <f>IFERROR(Y406*I406/H406,"0")</f>
        <v>157.584</v>
      </c>
      <c r="BO406" s="78">
        <f>IFERROR(1/J406*(X406/H406),"0")</f>
        <v>0.36630036630036628</v>
      </c>
      <c r="BP406" s="78">
        <f>IFERROR(1/J406*(Y406/H406),"0")</f>
        <v>0.36813186813186816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70</v>
      </c>
      <c r="Y407" s="55">
        <f>IFERROR(IF(X407="",0,CEILING((X407/$H407),1)*$H407),"")</f>
        <v>71.400000000000006</v>
      </c>
      <c r="Z407" s="41">
        <f>IFERROR(IF(Y407=0,"",ROUNDUP(Y407/H407,0)*0.00651),"")</f>
        <v>0.22134000000000001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77.999999999999986</v>
      </c>
      <c r="BN407" s="78">
        <f>IFERROR(Y407*I407/H407,"0")</f>
        <v>79.559999999999988</v>
      </c>
      <c r="BO407" s="78">
        <f>IFERROR(1/J407*(X407/H407),"0")</f>
        <v>0.18315018315018314</v>
      </c>
      <c r="BP407" s="78">
        <f>IFERROR(1/J407*(Y407/H407),"0")</f>
        <v>0.18681318681318682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149.38271604938268</v>
      </c>
      <c r="Y408" s="43">
        <f>IFERROR(Y405/H405,"0")+IFERROR(Y406/H406,"0")+IFERROR(Y407/H407,"0")</f>
        <v>151</v>
      </c>
      <c r="Z408" s="43">
        <f>IFERROR(IF(Z405="",0,Z405),"0")+IFERROR(IF(Z406="",0,Z406),"0")+IFERROR(IF(Z407="",0,Z407),"0")</f>
        <v>1.6065100000000001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610</v>
      </c>
      <c r="Y409" s="43">
        <f>IFERROR(SUM(Y405:Y407),"0")</f>
        <v>617.1</v>
      </c>
      <c r="Z409" s="42"/>
      <c r="AA409" s="67"/>
      <c r="AB409" s="67"/>
      <c r="AC409" s="67"/>
    </row>
    <row r="410" spans="1:68" ht="27.75" hidden="1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1500</v>
      </c>
      <c r="Y414" s="55">
        <f t="shared" si="52"/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1547</v>
      </c>
      <c r="BN414" s="78">
        <f t="shared" si="54"/>
        <v>1547</v>
      </c>
      <c r="BO414" s="78">
        <f t="shared" si="55"/>
        <v>2.083333333333333</v>
      </c>
      <c r="BP414" s="78">
        <f t="shared" si="56"/>
        <v>2.083333333333333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2250</v>
      </c>
      <c r="Y415" s="55">
        <f t="shared" si="52"/>
        <v>2250</v>
      </c>
      <c r="Z415" s="41">
        <f>IFERROR(IF(Y415=0,"",ROUNDUP(Y415/H415,0)*0.02175),"")</f>
        <v>3.2624999999999997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2320.5</v>
      </c>
      <c r="BN415" s="78">
        <f t="shared" si="54"/>
        <v>2320.5</v>
      </c>
      <c r="BO415" s="78">
        <f t="shared" si="55"/>
        <v>3.125</v>
      </c>
      <c r="BP415" s="78">
        <f t="shared" si="56"/>
        <v>3.125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400</v>
      </c>
      <c r="Y417" s="55">
        <f t="shared" si="52"/>
        <v>405</v>
      </c>
      <c r="Z417" s="41">
        <f>IFERROR(IF(Y417=0,"",ROUNDUP(Y417/H417,0)*0.02175),"")</f>
        <v>0.58724999999999994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412.53333333333336</v>
      </c>
      <c r="BN417" s="78">
        <f t="shared" si="54"/>
        <v>417.69</v>
      </c>
      <c r="BO417" s="78">
        <f t="shared" si="55"/>
        <v>0.55555555555555558</v>
      </c>
      <c r="BP417" s="78">
        <f t="shared" si="56"/>
        <v>0.5625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276.66666666666669</v>
      </c>
      <c r="Y421" s="43">
        <f>IFERROR(Y413/H413,"0")+IFERROR(Y414/H414,"0")+IFERROR(Y415/H415,"0")+IFERROR(Y416/H416,"0")+IFERROR(Y417/H417,"0")+IFERROR(Y418/H418,"0")+IFERROR(Y419/H419,"0")+IFERROR(Y420/H420,"0")</f>
        <v>277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6.02475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4150</v>
      </c>
      <c r="Y422" s="43">
        <f>IFERROR(SUM(Y413:Y420),"0")</f>
        <v>4155</v>
      </c>
      <c r="Z422" s="42"/>
      <c r="AA422" s="67"/>
      <c r="AB422" s="67"/>
      <c r="AC422" s="67"/>
    </row>
    <row r="423" spans="1:68" ht="14.25" hidden="1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900</v>
      </c>
      <c r="Y431" s="55">
        <f>IFERROR(IF(X431="",0,CEILING((X431/$H431),1)*$H431),"")</f>
        <v>900</v>
      </c>
      <c r="Z431" s="41">
        <f>IFERROR(IF(Y431=0,"",ROUNDUP(Y431/H431,0)*0.01898),"")</f>
        <v>1.8980000000000001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950</v>
      </c>
      <c r="BN431" s="78">
        <f>IFERROR(Y431*I431/H431,"0")</f>
        <v>950</v>
      </c>
      <c r="BO431" s="78">
        <f>IFERROR(1/J431*(X431/H431),"0")</f>
        <v>1.5625</v>
      </c>
      <c r="BP431" s="78">
        <f>IFERROR(1/J431*(Y431/H431),"0")</f>
        <v>1.5625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100</v>
      </c>
      <c r="Y433" s="43">
        <f>IFERROR(Y430/H430,"0")+IFERROR(Y431/H431,"0")+IFERROR(Y432/H432,"0")</f>
        <v>100</v>
      </c>
      <c r="Z433" s="43">
        <f>IFERROR(IF(Z430="",0,Z430),"0")+IFERROR(IF(Z431="",0,Z431),"0")+IFERROR(IF(Z432="",0,Z432),"0")</f>
        <v>1.8980000000000001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900</v>
      </c>
      <c r="Y434" s="43">
        <f>IFERROR(SUM(Y430:Y432),"0")</f>
        <v>900</v>
      </c>
      <c r="Z434" s="42"/>
      <c r="AA434" s="67"/>
      <c r="AB434" s="67"/>
      <c r="AC434" s="67"/>
    </row>
    <row r="435" spans="1:68" ht="14.25" hidden="1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550</v>
      </c>
      <c r="Y489" s="55">
        <f t="shared" si="62"/>
        <v>554.4</v>
      </c>
      <c r="Z489" s="41">
        <f t="shared" si="63"/>
        <v>1.2558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586.45833333333326</v>
      </c>
      <c r="BN489" s="78">
        <f t="shared" si="65"/>
        <v>591.15</v>
      </c>
      <c r="BO489" s="78">
        <f t="shared" si="66"/>
        <v>1.0016025641025641</v>
      </c>
      <c r="BP489" s="78">
        <f t="shared" si="67"/>
        <v>1.0096153846153846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200</v>
      </c>
      <c r="Y491" s="55">
        <f t="shared" si="62"/>
        <v>200.64000000000001</v>
      </c>
      <c r="Z491" s="41">
        <f t="shared" si="63"/>
        <v>0.45448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213.25757575757575</v>
      </c>
      <c r="BN491" s="78">
        <f t="shared" si="65"/>
        <v>213.94</v>
      </c>
      <c r="BO491" s="78">
        <f t="shared" si="66"/>
        <v>0.36421911421911418</v>
      </c>
      <c r="BP491" s="78">
        <f t="shared" si="67"/>
        <v>0.36538461538461542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142.04545454545453</v>
      </c>
      <c r="Y495" s="43">
        <f>IFERROR(Y486/H486,"0")+IFERROR(Y487/H487,"0")+IFERROR(Y488/H488,"0")+IFERROR(Y489/H489,"0")+IFERROR(Y490/H490,"0")+IFERROR(Y491/H491,"0")+IFERROR(Y492/H492,"0")+IFERROR(Y493/H493,"0")+IFERROR(Y494/H494,"0")</f>
        <v>143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1.71028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750</v>
      </c>
      <c r="Y496" s="43">
        <f>IFERROR(SUM(Y486:Y494),"0")</f>
        <v>755.04</v>
      </c>
      <c r="Z496" s="42"/>
      <c r="AA496" s="67"/>
      <c r="AB496" s="67"/>
      <c r="AC496" s="67"/>
    </row>
    <row r="497" spans="1:68" ht="14.25" hidden="1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1100</v>
      </c>
      <c r="Y498" s="55">
        <f>IFERROR(IF(X498="",0,CEILING((X498/$H498),1)*$H498),"")</f>
        <v>1103.52</v>
      </c>
      <c r="Z498" s="41">
        <f>IFERROR(IF(Y498=0,"",ROUNDUP(Y498/H498,0)*0.01196),"")</f>
        <v>2.4996399999999999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1172.9166666666665</v>
      </c>
      <c r="BN498" s="78">
        <f>IFERROR(Y498*I498/H498,"0")</f>
        <v>1176.6699999999998</v>
      </c>
      <c r="BO498" s="78">
        <f>IFERROR(1/J498*(X498/H498),"0")</f>
        <v>2.0032051282051282</v>
      </c>
      <c r="BP498" s="78">
        <f>IFERROR(1/J498*(Y498/H498),"0")</f>
        <v>2.0096153846153846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208.33333333333331</v>
      </c>
      <c r="Y501" s="43">
        <f>IFERROR(Y498/H498,"0")+IFERROR(Y499/H499,"0")+IFERROR(Y500/H500,"0")</f>
        <v>209</v>
      </c>
      <c r="Z501" s="43">
        <f>IFERROR(IF(Z498="",0,Z498),"0")+IFERROR(IF(Z499="",0,Z499),"0")+IFERROR(IF(Z500="",0,Z500),"0")</f>
        <v>2.4996399999999999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1100</v>
      </c>
      <c r="Y502" s="43">
        <f>IFERROR(SUM(Y498:Y500),"0")</f>
        <v>1103.52</v>
      </c>
      <c r="Z502" s="42"/>
      <c r="AA502" s="67"/>
      <c r="AB502" s="67"/>
      <c r="AC502" s="67"/>
    </row>
    <row r="503" spans="1:68" ht="14.25" hidden="1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250</v>
      </c>
      <c r="Y504" s="55">
        <f t="shared" ref="Y504:Y510" si="68">IFERROR(IF(X504="",0,CEILING((X504/$H504),1)*$H504),"")</f>
        <v>253.44</v>
      </c>
      <c r="Z504" s="41">
        <f>IFERROR(IF(Y504=0,"",ROUNDUP(Y504/H504,0)*0.01196),"")</f>
        <v>0.57408000000000003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266.57196969696969</v>
      </c>
      <c r="BN504" s="78">
        <f t="shared" ref="BN504:BN510" si="70">IFERROR(Y504*I504/H504,"0")</f>
        <v>270.23999999999995</v>
      </c>
      <c r="BO504" s="78">
        <f t="shared" ref="BO504:BO510" si="71">IFERROR(1/J504*(X504/H504),"0")</f>
        <v>0.45527389277389274</v>
      </c>
      <c r="BP504" s="78">
        <f t="shared" ref="BP504:BP510" si="72">IFERROR(1/J504*(Y504/H504),"0")</f>
        <v>0.46153846153846156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si="68"/>
        <v>253.44</v>
      </c>
      <c r="Z505" s="41">
        <f>IFERROR(IF(Y505=0,"",ROUNDUP(Y505/H505,0)*0.01196),"")</f>
        <v>0.57408000000000003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266.57196969696969</v>
      </c>
      <c r="BN505" s="78">
        <f t="shared" si="70"/>
        <v>270.23999999999995</v>
      </c>
      <c r="BO505" s="78">
        <f t="shared" si="71"/>
        <v>0.45527389277389274</v>
      </c>
      <c r="BP505" s="78">
        <f t="shared" si="72"/>
        <v>0.46153846153846156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100</v>
      </c>
      <c r="Y506" s="55">
        <f t="shared" si="68"/>
        <v>100.32000000000001</v>
      </c>
      <c r="Z506" s="41">
        <f>IFERROR(IF(Y506=0,"",ROUNDUP(Y506/H506,0)*0.01196),"")</f>
        <v>0.22724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106.62878787878788</v>
      </c>
      <c r="BN506" s="78">
        <f t="shared" si="70"/>
        <v>106.97</v>
      </c>
      <c r="BO506" s="78">
        <f t="shared" si="71"/>
        <v>0.18210955710955709</v>
      </c>
      <c r="BP506" s="78">
        <f t="shared" si="72"/>
        <v>0.18269230769230771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113.63636363636363</v>
      </c>
      <c r="Y511" s="43">
        <f>IFERROR(Y504/H504,"0")+IFERROR(Y505/H505,"0")+IFERROR(Y506/H506,"0")+IFERROR(Y507/H507,"0")+IFERROR(Y508/H508,"0")+IFERROR(Y509/H509,"0")+IFERROR(Y510/H510,"0")</f>
        <v>115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1.3754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600</v>
      </c>
      <c r="Y512" s="43">
        <f>IFERROR(SUM(Y504:Y510),"0")</f>
        <v>607.20000000000005</v>
      </c>
      <c r="Z512" s="42"/>
      <c r="AA512" s="67"/>
      <c r="AB512" s="67"/>
      <c r="AC512" s="67"/>
    </row>
    <row r="513" spans="1:68" ht="27.75" hidden="1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670</v>
      </c>
      <c r="Y524" s="55">
        <f>IFERROR(IF(X524="",0,CEILING((X524/$H524),1)*$H524),"")</f>
        <v>672</v>
      </c>
      <c r="Z524" s="41">
        <f>IFERROR(IF(Y524=0,"",ROUNDUP(Y524/H524,0)*0.00902),"")</f>
        <v>1.2627999999999999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704.89583333333337</v>
      </c>
      <c r="BN524" s="78">
        <f>IFERROR(Y524*I524/H524,"0")</f>
        <v>707</v>
      </c>
      <c r="BO524" s="78">
        <f>IFERROR(1/J524*(X524/H524),"0")</f>
        <v>1.057449494949495</v>
      </c>
      <c r="BP524" s="78">
        <f>IFERROR(1/J524*(Y524/H524),"0")</f>
        <v>1.0606060606060606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139.58333333333334</v>
      </c>
      <c r="Y526" s="43">
        <f>IFERROR(Y524/H524,"0")+IFERROR(Y525/H525,"0")</f>
        <v>140</v>
      </c>
      <c r="Z526" s="43">
        <f>IFERROR(IF(Z524="",0,Z524),"0")+IFERROR(IF(Z525="",0,Z525),"0")</f>
        <v>1.2627999999999999</v>
      </c>
      <c r="AA526" s="67"/>
      <c r="AB526" s="67"/>
      <c r="AC526" s="67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670</v>
      </c>
      <c r="Y527" s="43">
        <f>IFERROR(SUM(Y524:Y525),"0")</f>
        <v>672</v>
      </c>
      <c r="Z527" s="42"/>
      <c r="AA527" s="67"/>
      <c r="AB527" s="67"/>
      <c r="AC527" s="67"/>
    </row>
    <row r="528" spans="1:68" ht="14.25" hidden="1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18011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18135.710000000003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18866.305356199715</v>
      </c>
      <c r="Y543" s="43">
        <f>IFERROR(SUM(BN22:BN539),"0")</f>
        <v>18997.171000000002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30</v>
      </c>
      <c r="Y544" s="44">
        <f>ROUNDUP(SUM(BP22:BP539),0)</f>
        <v>30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19616.305356199715</v>
      </c>
      <c r="Y545" s="43">
        <f>GrossWeightTotalR+PalletQtyTotalR*25</f>
        <v>19747.171000000002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2582.4719835357091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2601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35.084559999999996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405.20000000000005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3203.7000000000003</v>
      </c>
      <c r="F552" s="52">
        <f>IFERROR(Y88*1,"0")+IFERROR(Y89*1,"0")+IFERROR(Y90*1,"0")+IFERROR(Y91*1,"0")+IFERROR(Y95*1,"0")+IFERROR(Y96*1,"0")+IFERROR(Y97*1,"0")+IFERROR(Y98*1,"0")</f>
        <v>225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307.8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304.5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615.6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36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4228.05</v>
      </c>
      <c r="U552" s="52">
        <f>IFERROR(Y405*1,"0")+IFERROR(Y406*1,"0")+IFERROR(Y407*1,"0")</f>
        <v>617.1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5055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2465.7600000000002</v>
      </c>
      <c r="AA552" s="52">
        <f>IFERROR(Y516*1,"0")+IFERROR(Y520*1,"0")+IFERROR(Y524*1,"0")+IFERROR(Y525*1,"0")+IFERROR(Y529*1,"0")+IFERROR(Y533*1,"0")+IFERROR(Y534*1,"0")</f>
        <v>672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00,00"/>
        <filter val="1 200,00"/>
        <filter val="1 300,00"/>
        <filter val="1 350,00"/>
        <filter val="1 500,00"/>
        <filter val="10,00"/>
        <filter val="100,00"/>
        <filter val="111,11"/>
        <filter val="113,64"/>
        <filter val="12,00"/>
        <filter val="139,58"/>
        <filter val="140,00"/>
        <filter val="142,05"/>
        <filter val="149,38"/>
        <filter val="170,79"/>
        <filter val="171,43"/>
        <filter val="18 011,00"/>
        <filter val="18 866,31"/>
        <filter val="19 616,31"/>
        <filter val="2 078,00"/>
        <filter val="2 250,00"/>
        <filter val="2 515,00"/>
        <filter val="2 582,47"/>
        <filter val="20,00"/>
        <filter val="200,00"/>
        <filter val="208,33"/>
        <filter val="225,00"/>
        <filter val="250,00"/>
        <filter val="275,52"/>
        <filter val="276,67"/>
        <filter val="30"/>
        <filter val="300,00"/>
        <filter val="35,00"/>
        <filter val="350,00"/>
        <filter val="36,00"/>
        <filter val="37,04"/>
        <filter val="385,97"/>
        <filter val="4 150,00"/>
        <filter val="4,71"/>
        <filter val="400,00"/>
        <filter val="50,00"/>
        <filter val="528,00"/>
        <filter val="550,00"/>
        <filter val="60,00"/>
        <filter val="600,00"/>
        <filter val="610,00"/>
        <filter val="62,04"/>
        <filter val="670,00"/>
        <filter val="68,52"/>
        <filter val="685,00"/>
        <filter val="70,00"/>
        <filter val="750,00"/>
        <filter val="85,71"/>
        <filter val="900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2026-07-21T10:10:03Z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