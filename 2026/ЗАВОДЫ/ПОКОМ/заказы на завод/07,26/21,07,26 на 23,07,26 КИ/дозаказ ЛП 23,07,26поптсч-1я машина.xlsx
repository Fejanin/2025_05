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37ED2D-4CFE-4A42-9F33-080F1685C01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6" i="2"/>
  <c r="X505" i="2"/>
  <c r="BO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P478" i="2"/>
  <c r="BO478" i="2"/>
  <c r="BN478" i="2"/>
  <c r="BM478" i="2"/>
  <c r="Z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Z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Z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Y412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Z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P342" i="2"/>
  <c r="BO342" i="2"/>
  <c r="BN342" i="2"/>
  <c r="BM342" i="2"/>
  <c r="Z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Z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Z280" i="2"/>
  <c r="Y280" i="2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P269" i="2"/>
  <c r="BO269" i="2"/>
  <c r="BN269" i="2"/>
  <c r="BM269" i="2"/>
  <c r="Z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Z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P229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Z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Z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Z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Z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Z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264" i="2" l="1"/>
  <c r="BN396" i="2"/>
  <c r="BN429" i="2"/>
  <c r="BN470" i="2"/>
  <c r="BN504" i="2"/>
  <c r="BN30" i="2"/>
  <c r="Z41" i="2"/>
  <c r="BN41" i="2"/>
  <c r="BN42" i="2"/>
  <c r="BN52" i="2"/>
  <c r="Z53" i="2"/>
  <c r="BN53" i="2"/>
  <c r="BN54" i="2"/>
  <c r="Z64" i="2"/>
  <c r="BN64" i="2"/>
  <c r="BN65" i="2"/>
  <c r="Z72" i="2"/>
  <c r="Y85" i="2"/>
  <c r="Z95" i="2"/>
  <c r="BN121" i="2"/>
  <c r="Z166" i="2"/>
  <c r="BN166" i="2"/>
  <c r="Y170" i="2"/>
  <c r="Z178" i="2"/>
  <c r="Z185" i="2"/>
  <c r="BN185" i="2"/>
  <c r="Z208" i="2"/>
  <c r="Z226" i="2"/>
  <c r="BP234" i="2"/>
  <c r="BP244" i="2"/>
  <c r="Z273" i="2"/>
  <c r="BN273" i="2"/>
  <c r="Z283" i="2"/>
  <c r="BN290" i="2"/>
  <c r="Z295" i="2"/>
  <c r="BN295" i="2"/>
  <c r="Z307" i="2"/>
  <c r="BN307" i="2"/>
  <c r="Z311" i="2"/>
  <c r="Z312" i="2" s="1"/>
  <c r="Z346" i="2"/>
  <c r="Y370" i="2"/>
  <c r="BN364" i="2"/>
  <c r="Z367" i="2"/>
  <c r="BN375" i="2"/>
  <c r="Z383" i="2"/>
  <c r="BN383" i="2"/>
  <c r="BN384" i="2"/>
  <c r="Z423" i="2"/>
  <c r="BN423" i="2"/>
  <c r="Z457" i="2"/>
  <c r="Z458" i="2" s="1"/>
  <c r="BP484" i="2"/>
  <c r="BN489" i="2"/>
  <c r="BP428" i="2"/>
  <c r="BP98" i="2"/>
  <c r="BP363" i="2"/>
  <c r="BP408" i="2"/>
  <c r="X555" i="2"/>
  <c r="Z28" i="2"/>
  <c r="D561" i="2"/>
  <c r="Z88" i="2"/>
  <c r="BP88" i="2"/>
  <c r="Z91" i="2"/>
  <c r="Z98" i="2"/>
  <c r="Z139" i="2"/>
  <c r="Z142" i="2"/>
  <c r="BP142" i="2"/>
  <c r="Z161" i="2"/>
  <c r="Z162" i="2" s="1"/>
  <c r="Y203" i="2"/>
  <c r="BP225" i="2"/>
  <c r="BN230" i="2"/>
  <c r="Z265" i="2"/>
  <c r="Z266" i="2" s="1"/>
  <c r="Z319" i="2"/>
  <c r="Z330" i="2"/>
  <c r="Z337" i="2"/>
  <c r="BN344" i="2"/>
  <c r="Z363" i="2"/>
  <c r="BP366" i="2"/>
  <c r="Z377" i="2"/>
  <c r="Z408" i="2"/>
  <c r="Z428" i="2"/>
  <c r="BP434" i="2"/>
  <c r="Z503" i="2"/>
  <c r="BP503" i="2"/>
  <c r="Y531" i="2"/>
  <c r="BN77" i="2"/>
  <c r="BP416" i="2"/>
  <c r="BP441" i="2"/>
  <c r="BP161" i="2"/>
  <c r="BP141" i="2"/>
  <c r="BP187" i="2"/>
  <c r="BN202" i="2"/>
  <c r="BN235" i="2"/>
  <c r="BN260" i="2"/>
  <c r="BP329" i="2"/>
  <c r="BN417" i="2"/>
  <c r="BN453" i="2"/>
  <c r="BN479" i="2"/>
  <c r="BP501" i="2"/>
  <c r="Y512" i="2"/>
  <c r="BN515" i="2"/>
  <c r="BN29" i="2"/>
  <c r="Y47" i="2"/>
  <c r="Y55" i="2"/>
  <c r="Z62" i="2"/>
  <c r="BP83" i="2"/>
  <c r="Y93" i="2"/>
  <c r="Z116" i="2"/>
  <c r="BN120" i="2"/>
  <c r="H561" i="2"/>
  <c r="BP132" i="2"/>
  <c r="BN140" i="2"/>
  <c r="Z141" i="2"/>
  <c r="Y143" i="2"/>
  <c r="Z149" i="2"/>
  <c r="BN156" i="2"/>
  <c r="Y163" i="2"/>
  <c r="Z184" i="2"/>
  <c r="Z187" i="2"/>
  <c r="Z191" i="2"/>
  <c r="Y204" i="2"/>
  <c r="BP226" i="2"/>
  <c r="Z230" i="2"/>
  <c r="BN231" i="2"/>
  <c r="Z232" i="2"/>
  <c r="BP240" i="2"/>
  <c r="BN241" i="2"/>
  <c r="Z242" i="2"/>
  <c r="Z272" i="2"/>
  <c r="Z275" i="2"/>
  <c r="Z282" i="2"/>
  <c r="BP283" i="2"/>
  <c r="BN284" i="2"/>
  <c r="Y298" i="2"/>
  <c r="BP304" i="2"/>
  <c r="BN305" i="2"/>
  <c r="Z306" i="2"/>
  <c r="Y331" i="2"/>
  <c r="BP327" i="2"/>
  <c r="BN328" i="2"/>
  <c r="Z329" i="2"/>
  <c r="Z344" i="2"/>
  <c r="Y369" i="2"/>
  <c r="BP365" i="2"/>
  <c r="Z372" i="2"/>
  <c r="Y387" i="2"/>
  <c r="BP385" i="2"/>
  <c r="BP391" i="2"/>
  <c r="Z409" i="2"/>
  <c r="Z416" i="2"/>
  <c r="Z418" i="2" s="1"/>
  <c r="Z425" i="2"/>
  <c r="Y437" i="2"/>
  <c r="Z441" i="2"/>
  <c r="BP457" i="2"/>
  <c r="Z501" i="2"/>
  <c r="Z538" i="2"/>
  <c r="Z539" i="2" s="1"/>
  <c r="BP426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1" i="2" s="1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22" i="2" l="1"/>
  <c r="Z454" i="2"/>
  <c r="Z437" i="2"/>
  <c r="Z369" i="2"/>
  <c r="Z347" i="2"/>
  <c r="Z143" i="2"/>
  <c r="Z292" i="2"/>
  <c r="Z277" i="2"/>
  <c r="Z136" i="2"/>
  <c r="Z411" i="2"/>
  <c r="Z379" i="2"/>
  <c r="Z331" i="2"/>
  <c r="X554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<sst xmlns="http://schemas.openxmlformats.org/spreadsheetml/2006/main" count="4202" uniqueCount="896">
  <si>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</si>
  <si>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</si>
  <si>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</si>
  <si>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</si>
  <si>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</si>
  <si>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</si>
  <si>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</si>
  <si>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</si>
  <si>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</si>
  <si>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</si>
  <si>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</si>
  <si>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</si>
  <si>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</si>
  <si>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</si>
  <si>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</si>
  <si>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</si>
  <si>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</si>
  <si>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</si>
  <si>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</si>
  <si>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</si>
  <si>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</si>
  <si>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</si>
  <si>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</si>
  <si>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</si>
  <si>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</si>
  <si>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</si>
  <si>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</si>
  <si>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</si>
  <si>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</si>
  <si>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</si>
  <si>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</si>
  <si>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</si>
  <si>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</si>
  <si>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</si>
  <si>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</si>
  <si>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</si>
  <si>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</si>
  <si>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</si>
  <si>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</si>
  <si>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</si>
  <si>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</si>
  <si>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</si>
  <si>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</si>
  <si>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</si>
  <si>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</si>
  <si>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</si>
  <si>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</si>
  <si>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</si>
  <si>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</si>
  <si>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</si>
  <si>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</si>
  <si>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</si>
  <si>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</si>
  <si>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</si>
  <si>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</si>
  <si>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</si>
  <si>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</si>
  <si>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</si>
  <si>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</si>
  <si>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</si>
  <si>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</si>
  <si>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</si>
  <si>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</si>
  <si>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</si>
  <si>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</si>
  <si>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</si>
  <si>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</si>
  <si>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</si>
  <si>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</si>
  <si>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</si>
  <si>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</si>
  <si>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</si>
  <si>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</si>
  <si>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</si>
  <si>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</si>
  <si>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</si>
  <si>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</si>
  <si>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</si>
  <si>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</si>
  <si>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</si>
  <si>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</si>
  <si>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</si>
  <si>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</si>
  <si>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</si>
  <si>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</si>
  <si>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</si>
  <si>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</si>
  <si>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</si>
  <si>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</si>
  <si>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</si>
  <si>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</si>
  <si>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</si>
  <si>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</si>
  <si>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</si>
  <si>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</si>
  <si>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</si>
  <si>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</si>
  <si>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</si>
  <si>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</si>
  <si>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</si>
  <si>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</si>
  <si>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</si>
  <si>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</si>
  <si>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</si>
  <si>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</si>
  <si>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</si>
  <si>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</si>
  <si>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</si>
  <si>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</si>
  <si>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</si>
  <si>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</si>
  <si>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</si>
  <si>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</si>
  <si>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</si>
  <si>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</si>
  <si>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</si>
  <si>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</si>
  <si>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</si>
  <si>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</si>
  <si>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</si>
  <si>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</si>
  <si>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</si>
  <si>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</si>
  <si>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</si>
  <si>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</si>
  <si>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</si>
  <si>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</si>
  <si>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</si>
  <si>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</si>
  <si>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</si>
  <si>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</si>
  <si>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</si>
  <si>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</si>
  <si>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</si>
  <si>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</si>
  <si>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</si>
  <si>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</si>
  <si>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</si>
  <si>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</si>
  <si>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</si>
  <si>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</si>
  <si>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</si>
  <si>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</si>
  <si>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</si>
  <si>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</si>
  <si>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</si>
  <si>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</si>
  <si>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</si>
  <si>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</si>
  <si>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</si>
  <si>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</si>
  <si>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</si>
  <si>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</si>
  <si>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</si>
  <si>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</si>
  <si>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</si>
  <si>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</si>
  <si>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</si>
  <si>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</si>
  <si>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</si>
  <si>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</si>
  <si>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</si>
  <si>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</si>
  <si>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</si>
  <si>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</si>
  <si>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</si>
  <si>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</si>
  <si>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</si>
  <si>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</si>
  <si>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</si>
  <si>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</si>
  <si>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</si>
  <si>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</si>
  <si>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</si>
  <si>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</si>
  <si>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</si>
  <si>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</si>
  <si>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</si>
  <si>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</si>
  <si>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</si>
  <si>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</si>
  <si>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</si>
  <si>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</si>
  <si>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</si>
  <si>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</si>
  <si>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</si>
  <si>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</si>
  <si>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</si>
  <si>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</si>
  <si>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</si>
  <si>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</si>
  <si>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</si>
  <si>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</si>
  <si>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</si>
  <si>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</si>
  <si>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</si>
  <si>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</si>
  <si>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</si>
  <si>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</si>
  <si>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</si>
  <si>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</si>
  <si>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</si>
  <si>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</si>
  <si>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</si>
  <si>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</si>
  <si>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</si>
  <si>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</si>
  <si>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</si>
  <si>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</si>
  <si>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</si>
  <si>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</si>
  <si>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</si>
  <si>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</si>
  <si>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</si>
  <si>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</si>
  <si>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</si>
  <si>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</si>
  <si>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</si>
  <si>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</si>
  <si>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</si>
  <si>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</si>
  <si>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</si>
  <si>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</si>
  <si>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</si>
  <si>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</si>
  <si>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</si>
  <si>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</si>
  <si>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</si>
  <si>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</si>
  <si>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</si>
  <si>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</si>
  <si>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</si>
  <si>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</si>
  <si>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</si>
  <si>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</si>
  <si>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</si>
  <si>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</si>
  <si>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</si>
  <si>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</si>
  <si>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</si>
  <si>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</si>
  <si>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</si>
  <si>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</si>
  <si>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</si>
  <si>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</si>
  <si>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</si>
  <si>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</si>
  <si>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</si>
  <si>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</si>
  <si>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</si>
  <si>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</si>
  <si>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</si>
  <si>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</si>
  <si>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</si>
  <si>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</si>
  <si>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</si>
  <si>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</si>
  <si>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</si>
  <si>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</si>
  <si>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</si>
  <si>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</si>
  <si>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</si>
  <si>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</si>
  <si>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</si>
  <si>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</si>
  <si>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</si>
  <si>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</si>
  <si>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</si>
  <si>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</si>
  <si>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</si>
  <si>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</si>
  <si>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</si>
  <si>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</si>
  <si>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</si>
  <si>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</si>
  <si>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</si>
  <si>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</si>
  <si>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</si>
  <si>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</si>
  <si>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</si>
  <si>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</si>
  <si>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</si>
  <si>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</si>
  <si>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</si>
  <si>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</si>
  <si>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</si>
  <si>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</si>
  <si>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</si>
  <si>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</si>
  <si>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</si>
  <si>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</si>
  <si>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</si>
  <si>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</si>
  <si>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</si>
  <si>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</si>
  <si>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</si>
  <si>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</si>
  <si>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</si>
  <si>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</si>
  <si>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</si>
  <si>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</si>
  <si>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</si>
  <si>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</si>
  <si>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</si>
  <si>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</si>
  <si>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</si>
  <si>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</si>
  <si>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</si>
  <si>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</si>
  <si>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</si>
  <si>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</si>
  <si>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</si>
  <si>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</si>
  <si>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</si>
  <si>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</si>
  <si>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</si>
  <si>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</si>
  <si>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</si>
  <si>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</si>
  <si>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</si>
  <si>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</si>
  <si>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</si>
  <si>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</si>
  <si>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</si>
  <si>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</si>
  <si>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</si>
  <si>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</si>
  <si>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</si>
  <si>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</si>
  <si>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</si>
  <si>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</si>
  <si>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</si>
  <si>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</si>
  <si>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</si>
  <si>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</si>
  <si>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</si>
  <si>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</si>
  <si>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</si>
  <si>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</si>
  <si>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</si>
  <si>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</si>
  <si>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</si>
  <si>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</si>
  <si>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</si>
  <si>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</si>
  <si>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</si>
  <si>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</si>
  <si>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</si>
  <si>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</si>
  <si>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</si>
  <si>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</si>
  <si>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</si>
  <si>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</si>
  <si>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</si>
  <si>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</si>
  <si>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</si>
  <si>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</si>
  <si>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</si>
  <si>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</si>
  <si>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</si>
  <si>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</si>
  <si>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</si>
  <si>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</si>
  <si>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</si>
  <si>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</si>
  <si>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</si>
  <si>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</si>
  <si>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</si>
  <si>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</si>
  <si>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</si>
  <si>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</si>
  <si>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</si>
  <si>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</si>
  <si>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</si>
  <si>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</si>
  <si>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</si>
  <si>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</si>
  <si>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</si>
  <si>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</si>
  <si>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</si>
  <si>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</si>
  <si>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</si>
  <si>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</si>
  <si>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</si>
  <si>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</si>
  <si>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</si>
  <si>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</si>
  <si>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</si>
  <si>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</si>
  <si>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</si>
  <si>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</si>
  <si>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</si>
  <si>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</si>
  <si>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</si>
  <si>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</si>
  <si>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</si>
  <si>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</si>
  <si>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</si>
  <si>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</si>
  <si>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</si>
  <si>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</si>
  <si>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</si>
  <si>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</si>
  <si>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</si>
  <si>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</si>
  <si>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</si>
  <si>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</si>
  <si>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</si>
  <si>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</si>
  <si>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</si>
  <si>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</si>
  <si>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</si>
  <si>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</si>
  <si>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</si>
  <si>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</si>
  <si>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</si>
  <si>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</si>
  <si>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</si>
  <si>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</si>
  <si>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</si>
  <si>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</si>
  <si>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</si>
  <si>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</si>
  <si>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</si>
  <si>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</si>
  <si>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</si>
  <si>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</si>
  <si>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</si>
  <si>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</si>
  <si>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</si>
  <si>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</si>
  <si>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</si>
  <si>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</si>
  <si>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</si>
  <si>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</si>
  <si>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</si>
  <si>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</si>
  <si>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</si>
  <si>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</si>
  <si>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</si>
  <si>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</si>
  <si>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</si>
  <si>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</si>
  <si>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</si>
  <si>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</si>
  <si>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</si>
  <si>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</si>
  <si>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</si>
  <si>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</si>
  <si>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</si>
  <si>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</si>
  <si>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</si>
  <si>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</si>
  <si>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</si>
  <si>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</si>
  <si>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</si>
  <si>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</si>
  <si>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</si>
  <si>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</si>
  <si>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</si>
  <si>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</si>
  <si>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</si>
  <si>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</si>
  <si>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</si>
  <si>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</si>
  <si>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</si>
  <si>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</si>
  <si>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</si>
  <si>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</si>
  <si>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</si>
  <si>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</si>
  <si>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</si>
  <si>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</si>
  <si>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</si>
  <si>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</si>
  <si>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</si>
  <si>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</si>
  <si>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</si>
  <si>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</si>
  <si>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</si>
  <si>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</si>
  <si>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</si>
  <si>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</si>
  <si>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</si>
  <si>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</si>
  <si>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</si>
  <si>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</si>
  <si>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</si>
  <si>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</si>
  <si>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</si>
  <si>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</si>
  <si>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</si>
  <si>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</si>
  <si>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</si>
  <si>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</si>
  <si>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</si>
  <si>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</si>
  <si>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</si>
  <si>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</si>
  <si>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</si>
  <si>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</si>
  <si>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</si>
  <si>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</si>
  <si>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</si>
  <si>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</si>
  <si>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</si>
  <si>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</si>
  <si>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</si>
  <si>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</si>
  <si>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</si>
  <si>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</si>
  <si>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</si>
  <si>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</si>
  <si>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</si>
  <si>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</si>
  <si>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</si>
  <si>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</si>
  <si>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</si>
  <si>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</si>
  <si>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</si>
  <si>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</si>
  <si>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</si>
  <si>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</si>
  <si>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</si>
  <si>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</si>
  <si>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</si>
  <si>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</si>
  <si>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</si>
  <si>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</si>
  <si>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</si>
  <si>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</si>
  <si>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</si>
  <si>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</si>
  <si>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</si>
  <si>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</si>
  <si>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</si>
  <si>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</si>
  <si>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</si>
  <si>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</si>
  <si>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</si>
  <si>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</si>
  <si>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</si>
  <si>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</si>
  <si>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</si>
  <si>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</si>
  <si>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</si>
  <si>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</si>
  <si>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</si>
  <si>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</si>
  <si>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</si>
  <si>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</si>
  <si>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</si>
  <si>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</si>
  <si>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</si>
  <si>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</si>
  <si>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</si>
  <si>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</si>
  <si>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</si>
  <si>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</si>
  <si>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</si>
  <si>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</si>
  <si>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</si>
  <si>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</si>
  <si>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</si>
  <si>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</si>
  <si>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</si>
  <si>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</si>
  <si>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</si>
  <si>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</si>
  <si>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</si>
  <si>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</si>
  <si>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</si>
  <si>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</si>
  <si>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</si>
  <si>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</si>
  <si>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</si>
  <si>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</si>
  <si>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</si>
  <si>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</si>
  <si>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</si>
  <si>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</si>
  <si>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</si>
  <si>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</si>
  <si>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</si>
  <si>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</si>
  <si>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</si>
  <si>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</si>
  <si>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</si>
  <si>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</si>
  <si>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</si>
  <si>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</si>
  <si>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</si>
  <si>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</si>
  <si>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</si>
  <si>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</si>
  <si>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</si>
  <si>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</si>
  <si>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</si>
  <si>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</si>
  <si>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</si>
  <si>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</si>
  <si>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</si>
  <si>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</si>
  <si>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</si>
  <si>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</si>
  <si>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</si>
  <si>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</si>
  <si>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</si>
  <si>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</si>
  <si>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</si>
  <si>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</si>
  <si>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</si>
  <si>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</si>
  <si>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</si>
  <si>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</si>
  <si>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</si>
  <si>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</si>
  <si>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</si>
  <si>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</si>
  <si>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</si>
  <si>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</si>
  <si>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</si>
  <si>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</si>
  <si>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</si>
  <si>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</si>
  <si>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</si>
  <si>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</si>
  <si>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</si>
  <si>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</si>
  <si>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</si>
  <si>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</si>
  <si>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</si>
  <si>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</si>
  <si>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</si>
  <si>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</si>
  <si>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</si>
  <si>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</si>
  <si>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</si>
  <si>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</si>
  <si>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</si>
  <si>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</si>
  <si>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</si>
  <si>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</si>
  <si>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</si>
  <si>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</si>
  <si>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</si>
  <si>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</si>
  <si>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</si>
  <si>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</si>
  <si>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</si>
  <si>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</si>
  <si>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</si>
  <si>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</si>
  <si>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</si>
  <si>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</si>
  <si>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</si>
  <si>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</si>
  <si>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</si>
  <si>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</si>
  <si>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</si>
  <si>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</si>
  <si>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</si>
  <si>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</si>
  <si>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</si>
  <si>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</si>
  <si>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</si>
  <si>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</si>
  <si>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</si>
  <si>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</si>
  <si>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</si>
  <si>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</si>
  <si>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</si>
  <si>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</si>
  <si>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</si>
  <si>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</si>
  <si>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</si>
  <si>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</si>
  <si>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</si>
  <si>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</si>
  <si>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</si>
  <si>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</si>
  <si>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</si>
  <si>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</si>
  <si>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</si>
  <si>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</si>
  <si>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</si>
  <si>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</si>
  <si>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</si>
  <si>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</si>
  <si>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</si>
  <si>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</si>
  <si>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</si>
  <si>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</si>
  <si>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</si>
  <si>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</si>
  <si>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</si>
  <si>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</si>
  <si>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</si>
  <si>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</si>
  <si>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</si>
  <si>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</si>
  <si>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</si>
  <si>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</si>
  <si>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</si>
  <si>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</si>
  <si>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</si>
  <si>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</si>
  <si>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</si>
  <si>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</si>
  <si>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</si>
  <si>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</si>
  <si>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</si>
  <si>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</si>
  <si>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</si>
  <si>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</si>
  <si>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</si>
  <si>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</si>
  <si>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</si>
  <si>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</si>
  <si>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</si>
  <si>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</si>
  <si>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</si>
  <si>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</si>
  <si>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</si>
  <si>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</si>
  <si>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</si>
  <si>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</si>
  <si>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</si>
  <si>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</si>
  <si>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</si>
  <si>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</si>
  <si>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</si>
  <si>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</si>
  <si>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</si>
  <si>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</si>
  <si>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</si>
  <si>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</si>
  <si>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</si>
  <si>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</si>
  <si>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</si>
  <si>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</si>
  <si>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</si>
  <si>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</si>
  <si>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</si>
  <si>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</si>
  <si>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</si>
  <si>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</si>
  <si>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</si>
  <si>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</si>
  <si>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</si>
  <si>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</si>
  <si>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</si>
  <si>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</si>
  <si>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</si>
  <si>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</si>
  <si>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</si>
  <si>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</si>
  <si>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</si>
  <si>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</si>
  <si>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</si>
  <si>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</si>
  <si>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</si>
  <si>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</si>
  <si>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</si>
  <si>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</si>
  <si>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</si>
  <si>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</si>
  <si>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</si>
  <si>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</si>
  <si>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</si>
  <si>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</si>
  <si>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</si>
  <si>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</si>
  <si>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</si>
  <si>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</si>
  <si>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</si>
  <si>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</si>
  <si>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</si>
  <si>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</si>
  <si>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</si>
  <si>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</si>
  <si>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</si>
  <si>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</si>
  <si>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</si>
  <si>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</si>
  <si>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</si>
  <si>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</si>
  <si>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</si>
  <si>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</si>
  <si>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</si>
  <si>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</si>
  <si>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</si>
  <si>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</si>
  <si>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</si>
  <si>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</si>
  <si>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</si>
  <si>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</si>
  <si>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</si>
  <si>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</si>
  <si>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</si>
  <si>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</si>
  <si>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</si>
  <si>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</si>
  <si>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</si>
  <si>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</si>
  <si>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</si>
  <si>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</si>
  <si>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</si>
  <si>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</si>
  <si>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</si>
  <si>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</si>
  <si>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</si>
  <si>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</si>
  <si>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</si>
  <si>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</si>
  <si>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</si>
  <si>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</si>
  <si>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</si>
  <si>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</si>
  <si>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</si>
  <si>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</si>
  <si>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</si>
  <si>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</si>
  <si>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</si>
  <si>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</si>
  <si>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</si>
  <si>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</si>
  <si>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</si>
  <si>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</si>
  <si>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</si>
  <si>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</si>
  <si>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</si>
  <si>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</si>
  <si>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</si>
  <si>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</si>
  <si>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</si>
  <si>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</si>
  <si>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</si>
  <si>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</si>
  <si>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</si>
  <si>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</si>
  <si>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</si>
  <si>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</si>
  <si>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</si>
  <si>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</si>
  <si>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</si>
  <si>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</si>
  <si>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</si>
  <si>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</si>
  <si>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</si>
  <si>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</si>
  <si>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</si>
  <si>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</si>
  <si>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</si>
  <si>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</si>
  <si>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</si>
  <si>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</si>
  <si>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</si>
  <si>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</si>
  <si>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</si>
  <si>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</si>
  <si>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</si>
  <si>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</si>
  <si>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</si>
  <si>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</si>
  <si>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</si>
  <si>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</si>
  <si>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</si>
  <si>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</si>
  <si>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</si>
  <si>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</si>
  <si>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</si>
  <si>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</si>
  <si>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</si>
  <si>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</si>
  <si>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</si>
  <si>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</si>
  <si>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</si>
  <si>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</si>
  <si>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</si>
  <si>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</si>
  <si>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</si>
  <si>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</si>
  <si>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</si>
  <si>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</si>
  <si>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</si>
  <si>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</si>
  <si>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</si>
  <si>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</si>
  <si>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</si>
  <si>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</si>
  <si>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</si>
  <si>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</si>
  <si>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</si>
  <si>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</si>
  <si>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№6277119,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</si>
</sst>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46226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877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894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600</v>
      </c>
      <c r="Y424" s="55">
        <f t="shared" si="52"/>
        <v>600</v>
      </c>
      <c r="Z424" s="41">
        <f>IFERROR(IF(Y424=0,"",ROUNDUP(Y424/H424,0)*0.02175),"")</f>
        <v>0.86999999999999988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618.79999999999995</v>
      </c>
      <c r="BN424" s="78">
        <f t="shared" si="54"/>
        <v>618.79999999999995</v>
      </c>
      <c r="BO424" s="78">
        <f t="shared" si="55"/>
        <v>0.83333333333333326</v>
      </c>
      <c r="BP424" s="78">
        <f t="shared" si="56"/>
        <v>0.83333333333333326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1700</v>
      </c>
      <c r="Y426" s="55">
        <f t="shared" si="52"/>
        <v>1710</v>
      </c>
      <c r="Z426" s="41">
        <f>IFERROR(IF(Y426=0,"",ROUNDUP(Y426/H426,0)*0.02175),"")</f>
        <v>2.4794999999999998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1753.2666666666667</v>
      </c>
      <c r="BN426" s="78">
        <f t="shared" si="54"/>
        <v>1763.5800000000002</v>
      </c>
      <c r="BO426" s="78">
        <f t="shared" si="55"/>
        <v>2.3611111111111107</v>
      </c>
      <c r="BP426" s="78">
        <f t="shared" si="56"/>
        <v>2.375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153.33333333333331</v>
      </c>
      <c r="Y431" s="43">
        <f>IFERROR(Y423/H423,"0")+IFERROR(Y424/H424,"0")+IFERROR(Y425/H425,"0")+IFERROR(Y426/H426,"0")+IFERROR(Y427/H427,"0")+IFERROR(Y428/H428,"0")+IFERROR(Y429/H429,"0")+IFERROR(Y430/H430,"0")</f>
        <v>154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2300</v>
      </c>
      <c r="Y432" s="43">
        <f>IFERROR(SUM(Y423:Y430),"0")</f>
        <v>2310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2310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2372.0666666666666</v>
      </c>
      <c r="Y552" s="43">
        <f>IFERROR(SUM(BN22:BN548),"0")</f>
        <v>2382.38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2472.0666666666666</v>
      </c>
      <c r="Y554" s="43">
        <f>GrossWeightTotalR+PalletQtyTotalR*25</f>
        <v>2482.38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153.33333333333331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154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3.3494999999999999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53,33"/>
        <filter val="2 300,00"/>
        <filter val="2 372,07"/>
        <filter val="2 472,07"/>
        <filter val="4"/>
        <filter val="6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8" spans="2:8" x14ac:dyDescent="0.2">
      <c r="B8" s="53" t="s">
        <v>877</v>
      </c>
      <c r="C8" s="53" t="s">
        <v>878</v>
      </c>
      <c r="D8" s="53" t="s">
        <v>879</v>
      </c>
      <c r="E8" s="53" t="s">
        <v>46</v>
      </c>
    </row>
    <row r="10" spans="2:8" x14ac:dyDescent="0.2">
      <c r="B10" s="53" t="s">
        <v>880</v>
      </c>
      <c r="C10" s="53" t="s">
        <v>872</v>
      </c>
      <c r="D10" s="53" t="s">
        <v>46</v>
      </c>
      <c r="E10" s="53" t="s">
        <v>46</v>
      </c>
    </row>
    <row r="12" spans="2:8" x14ac:dyDescent="0.2">
      <c r="B12" s="53" t="s">
        <v>881</v>
      </c>
      <c r="C12" s="53" t="s">
        <v>875</v>
      </c>
      <c r="D12" s="53" t="s">
        <v>46</v>
      </c>
      <c r="E12" s="53" t="s">
        <v>46</v>
      </c>
    </row>
    <row r="14" spans="2:8" x14ac:dyDescent="0.2">
      <c r="B14" s="53" t="s">
        <v>882</v>
      </c>
      <c r="C14" s="53" t="s">
        <v>878</v>
      </c>
      <c r="D14" s="53" t="s">
        <v>46</v>
      </c>
      <c r="E14" s="53" t="s">
        <v>46</v>
      </c>
    </row>
    <row r="16" spans="2:8" x14ac:dyDescent="0.2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893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