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6F3B8D6-77AA-42D0-98CD-B25D46FC3A7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5" i="2" l="1"/>
  <c r="X524" i="2"/>
  <c r="BO523" i="2"/>
  <c r="BM523" i="2"/>
  <c r="Y523" i="2"/>
  <c r="AB536" i="2" s="1"/>
  <c r="P523" i="2"/>
  <c r="X520" i="2"/>
  <c r="X519" i="2"/>
  <c r="BO518" i="2"/>
  <c r="BM518" i="2"/>
  <c r="Y518" i="2"/>
  <c r="BP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BN513" i="2" s="1"/>
  <c r="P513" i="2"/>
  <c r="X511" i="2"/>
  <c r="X510" i="2"/>
  <c r="BO509" i="2"/>
  <c r="BM509" i="2"/>
  <c r="Y509" i="2"/>
  <c r="BP509" i="2" s="1"/>
  <c r="P509" i="2"/>
  <c r="BO508" i="2"/>
  <c r="BM508" i="2"/>
  <c r="Y508" i="2"/>
  <c r="BP508" i="2" s="1"/>
  <c r="P508" i="2"/>
  <c r="X506" i="2"/>
  <c r="X505" i="2"/>
  <c r="BO504" i="2"/>
  <c r="BM504" i="2"/>
  <c r="Y504" i="2"/>
  <c r="Z504" i="2" s="1"/>
  <c r="Z505" i="2" s="1"/>
  <c r="P504" i="2"/>
  <c r="X502" i="2"/>
  <c r="X501" i="2"/>
  <c r="BO500" i="2"/>
  <c r="BM500" i="2"/>
  <c r="Y500" i="2"/>
  <c r="P500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P484" i="2"/>
  <c r="BO483" i="2"/>
  <c r="BM483" i="2"/>
  <c r="Y483" i="2"/>
  <c r="BN483" i="2" s="1"/>
  <c r="P483" i="2"/>
  <c r="BO482" i="2"/>
  <c r="BM482" i="2"/>
  <c r="Y482" i="2"/>
  <c r="P482" i="2"/>
  <c r="X480" i="2"/>
  <c r="X479" i="2"/>
  <c r="BO478" i="2"/>
  <c r="BM478" i="2"/>
  <c r="Y478" i="2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BN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P470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P453" i="2"/>
  <c r="BO452" i="2"/>
  <c r="BM452" i="2"/>
  <c r="Y452" i="2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N446" i="2" s="1"/>
  <c r="P446" i="2"/>
  <c r="BO445" i="2"/>
  <c r="BM445" i="2"/>
  <c r="Y445" i="2"/>
  <c r="BN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P435" i="2"/>
  <c r="X433" i="2"/>
  <c r="X432" i="2"/>
  <c r="BO431" i="2"/>
  <c r="BM431" i="2"/>
  <c r="Y431" i="2"/>
  <c r="Y433" i="2" s="1"/>
  <c r="P431" i="2"/>
  <c r="X429" i="2"/>
  <c r="X428" i="2"/>
  <c r="BO427" i="2"/>
  <c r="BM427" i="2"/>
  <c r="Y427" i="2"/>
  <c r="BP427" i="2" s="1"/>
  <c r="P427" i="2"/>
  <c r="BO426" i="2"/>
  <c r="BM426" i="2"/>
  <c r="Y426" i="2"/>
  <c r="Y428" i="2" s="1"/>
  <c r="P426" i="2"/>
  <c r="X423" i="2"/>
  <c r="X422" i="2"/>
  <c r="BO421" i="2"/>
  <c r="BM421" i="2"/>
  <c r="Y421" i="2"/>
  <c r="Y422" i="2" s="1"/>
  <c r="P421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X414" i="2"/>
  <c r="X413" i="2"/>
  <c r="BO412" i="2"/>
  <c r="BM412" i="2"/>
  <c r="Y412" i="2"/>
  <c r="BN412" i="2" s="1"/>
  <c r="P412" i="2"/>
  <c r="BO411" i="2"/>
  <c r="BM411" i="2"/>
  <c r="Y411" i="2"/>
  <c r="P411" i="2"/>
  <c r="BO410" i="2"/>
  <c r="BM410" i="2"/>
  <c r="Y410" i="2"/>
  <c r="Z410" i="2" s="1"/>
  <c r="P410" i="2"/>
  <c r="X408" i="2"/>
  <c r="X407" i="2"/>
  <c r="BO406" i="2"/>
  <c r="BM406" i="2"/>
  <c r="Y406" i="2"/>
  <c r="P406" i="2"/>
  <c r="BO405" i="2"/>
  <c r="BM405" i="2"/>
  <c r="Y405" i="2"/>
  <c r="BN405" i="2" s="1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BO401" i="2"/>
  <c r="BM401" i="2"/>
  <c r="Y401" i="2"/>
  <c r="BP401" i="2" s="1"/>
  <c r="P401" i="2"/>
  <c r="BO400" i="2"/>
  <c r="BM400" i="2"/>
  <c r="Y400" i="2"/>
  <c r="Z400" i="2" s="1"/>
  <c r="P400" i="2"/>
  <c r="BO399" i="2"/>
  <c r="BM399" i="2"/>
  <c r="Y399" i="2"/>
  <c r="P399" i="2"/>
  <c r="X395" i="2"/>
  <c r="X394" i="2"/>
  <c r="BO393" i="2"/>
  <c r="BM393" i="2"/>
  <c r="Y393" i="2"/>
  <c r="Z393" i="2" s="1"/>
  <c r="P393" i="2"/>
  <c r="BO392" i="2"/>
  <c r="BM392" i="2"/>
  <c r="Y392" i="2"/>
  <c r="BN392" i="2" s="1"/>
  <c r="P392" i="2"/>
  <c r="BO391" i="2"/>
  <c r="BM391" i="2"/>
  <c r="Y391" i="2"/>
  <c r="U536" i="2" s="1"/>
  <c r="P391" i="2"/>
  <c r="X388" i="2"/>
  <c r="X387" i="2"/>
  <c r="BO386" i="2"/>
  <c r="BM386" i="2"/>
  <c r="Y386" i="2"/>
  <c r="P386" i="2"/>
  <c r="BO385" i="2"/>
  <c r="BM385" i="2"/>
  <c r="Y385" i="2"/>
  <c r="BN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P377" i="2"/>
  <c r="X375" i="2"/>
  <c r="X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Y375" i="2" s="1"/>
  <c r="P371" i="2"/>
  <c r="X369" i="2"/>
  <c r="X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X362" i="2"/>
  <c r="X361" i="2"/>
  <c r="BO360" i="2"/>
  <c r="BM360" i="2"/>
  <c r="Y360" i="2"/>
  <c r="Z360" i="2" s="1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BP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Z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BP340" i="2" s="1"/>
  <c r="P340" i="2"/>
  <c r="BO339" i="2"/>
  <c r="BM339" i="2"/>
  <c r="Y339" i="2"/>
  <c r="Z339" i="2" s="1"/>
  <c r="P339" i="2"/>
  <c r="X336" i="2"/>
  <c r="X335" i="2"/>
  <c r="BO334" i="2"/>
  <c r="BM334" i="2"/>
  <c r="Y334" i="2"/>
  <c r="BN334" i="2" s="1"/>
  <c r="P334" i="2"/>
  <c r="BO333" i="2"/>
  <c r="BM333" i="2"/>
  <c r="Y333" i="2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P319" i="2" s="1"/>
  <c r="P319" i="2"/>
  <c r="BO318" i="2"/>
  <c r="BM318" i="2"/>
  <c r="Y318" i="2"/>
  <c r="BP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Y306" i="2" s="1"/>
  <c r="P301" i="2"/>
  <c r="X299" i="2"/>
  <c r="X298" i="2"/>
  <c r="BO297" i="2"/>
  <c r="BM297" i="2"/>
  <c r="Y297" i="2"/>
  <c r="Y298" i="2" s="1"/>
  <c r="P297" i="2"/>
  <c r="X295" i="2"/>
  <c r="X294" i="2"/>
  <c r="BO293" i="2"/>
  <c r="BM293" i="2"/>
  <c r="Y293" i="2"/>
  <c r="BN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0" i="2"/>
  <c r="X279" i="2"/>
  <c r="BO278" i="2"/>
  <c r="BM278" i="2"/>
  <c r="Y278" i="2"/>
  <c r="BP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N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Z255" i="2" s="1"/>
  <c r="P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BN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X244" i="2"/>
  <c r="X243" i="2"/>
  <c r="BO242" i="2"/>
  <c r="BM242" i="2"/>
  <c r="Y242" i="2"/>
  <c r="BN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Y237" i="2" s="1"/>
  <c r="P236" i="2"/>
  <c r="X234" i="2"/>
  <c r="X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Y227" i="2" s="1"/>
  <c r="P225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P208" i="2" s="1"/>
  <c r="P208" i="2"/>
  <c r="X206" i="2"/>
  <c r="X205" i="2"/>
  <c r="BO204" i="2"/>
  <c r="BM204" i="2"/>
  <c r="Y204" i="2"/>
  <c r="BP204" i="2" s="1"/>
  <c r="P204" i="2"/>
  <c r="X201" i="2"/>
  <c r="X200" i="2"/>
  <c r="BO199" i="2"/>
  <c r="BM199" i="2"/>
  <c r="Y199" i="2"/>
  <c r="BP199" i="2" s="1"/>
  <c r="P199" i="2"/>
  <c r="BO198" i="2"/>
  <c r="BM198" i="2"/>
  <c r="Y198" i="2"/>
  <c r="BN198" i="2" s="1"/>
  <c r="P198" i="2"/>
  <c r="BO197" i="2"/>
  <c r="BM197" i="2"/>
  <c r="Y197" i="2"/>
  <c r="BP197" i="2" s="1"/>
  <c r="P197" i="2"/>
  <c r="BO196" i="2"/>
  <c r="BM196" i="2"/>
  <c r="Y196" i="2"/>
  <c r="Z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Y187" i="2" s="1"/>
  <c r="P185" i="2"/>
  <c r="X183" i="2"/>
  <c r="X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X177" i="2"/>
  <c r="X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P168" i="2"/>
  <c r="BO167" i="2"/>
  <c r="BM167" i="2"/>
  <c r="Y167" i="2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P158" i="2"/>
  <c r="BO157" i="2"/>
  <c r="BM157" i="2"/>
  <c r="Y157" i="2"/>
  <c r="P157" i="2"/>
  <c r="X154" i="2"/>
  <c r="X153" i="2"/>
  <c r="BO152" i="2"/>
  <c r="BM152" i="2"/>
  <c r="Y152" i="2"/>
  <c r="BP152" i="2" s="1"/>
  <c r="P152" i="2"/>
  <c r="BO151" i="2"/>
  <c r="BM151" i="2"/>
  <c r="Y151" i="2"/>
  <c r="BN151" i="2" s="1"/>
  <c r="P151" i="2"/>
  <c r="BO150" i="2"/>
  <c r="BM150" i="2"/>
  <c r="Y150" i="2"/>
  <c r="P150" i="2"/>
  <c r="BO149" i="2"/>
  <c r="BM149" i="2"/>
  <c r="Y149" i="2"/>
  <c r="Z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Y136" i="2" s="1"/>
  <c r="P133" i="2"/>
  <c r="X130" i="2"/>
  <c r="X129" i="2"/>
  <c r="BO128" i="2"/>
  <c r="BM128" i="2"/>
  <c r="Y128" i="2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N81" i="2" s="1"/>
  <c r="P81" i="2"/>
  <c r="X79" i="2"/>
  <c r="X78" i="2"/>
  <c r="BO77" i="2"/>
  <c r="BM77" i="2"/>
  <c r="Y77" i="2"/>
  <c r="P77" i="2"/>
  <c r="BO76" i="2"/>
  <c r="BM76" i="2"/>
  <c r="Y76" i="2"/>
  <c r="BN76" i="2" s="1"/>
  <c r="P76" i="2"/>
  <c r="X74" i="2"/>
  <c r="X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BO69" i="2"/>
  <c r="BM69" i="2"/>
  <c r="Y69" i="2"/>
  <c r="Y74" i="2" s="1"/>
  <c r="P69" i="2"/>
  <c r="X67" i="2"/>
  <c r="X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P44" i="2"/>
  <c r="BO43" i="2"/>
  <c r="BM43" i="2"/>
  <c r="Y43" i="2"/>
  <c r="P43" i="2"/>
  <c r="BO42" i="2"/>
  <c r="BM42" i="2"/>
  <c r="Y42" i="2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Y496" i="2" l="1"/>
  <c r="BP446" i="2"/>
  <c r="BN297" i="2"/>
  <c r="Y299" i="2"/>
  <c r="Y159" i="2"/>
  <c r="BP297" i="2"/>
  <c r="BN517" i="2"/>
  <c r="BN509" i="2"/>
  <c r="BN508" i="2"/>
  <c r="Y506" i="2"/>
  <c r="BN494" i="2"/>
  <c r="BN492" i="2"/>
  <c r="BN491" i="2"/>
  <c r="BP490" i="2"/>
  <c r="BN489" i="2"/>
  <c r="Z483" i="2"/>
  <c r="BP482" i="2"/>
  <c r="Z482" i="2"/>
  <c r="BN474" i="2"/>
  <c r="BP472" i="2"/>
  <c r="BN472" i="2"/>
  <c r="BN416" i="2"/>
  <c r="BN410" i="2"/>
  <c r="BN371" i="2"/>
  <c r="Z446" i="2"/>
  <c r="Z444" i="2"/>
  <c r="BN437" i="2"/>
  <c r="BN435" i="2"/>
  <c r="BP421" i="2"/>
  <c r="Z421" i="2"/>
  <c r="Z422" i="2" s="1"/>
  <c r="BN365" i="2"/>
  <c r="BN364" i="2"/>
  <c r="BP359" i="2"/>
  <c r="BN354" i="2"/>
  <c r="BN346" i="2"/>
  <c r="Z334" i="2"/>
  <c r="BN327" i="2"/>
  <c r="BN325" i="2"/>
  <c r="BN320" i="2"/>
  <c r="BN319" i="2"/>
  <c r="BN310" i="2"/>
  <c r="BN246" i="2"/>
  <c r="Z297" i="2"/>
  <c r="Z298" i="2" s="1"/>
  <c r="BN287" i="2"/>
  <c r="BN285" i="2"/>
  <c r="Z285" i="2"/>
  <c r="Z272" i="2"/>
  <c r="BN264" i="2"/>
  <c r="BN256" i="2"/>
  <c r="BN255" i="2"/>
  <c r="BN251" i="2"/>
  <c r="Y238" i="2"/>
  <c r="BN231" i="2"/>
  <c r="Z231" i="2"/>
  <c r="Z384" i="2"/>
  <c r="BN379" i="2"/>
  <c r="BN212" i="2"/>
  <c r="BN211" i="2"/>
  <c r="BN208" i="2"/>
  <c r="Z198" i="2"/>
  <c r="Y192" i="2"/>
  <c r="Z190" i="2"/>
  <c r="Z191" i="2" s="1"/>
  <c r="Y188" i="2"/>
  <c r="BN186" i="2"/>
  <c r="Z186" i="2"/>
  <c r="BP174" i="2"/>
  <c r="BN168" i="2"/>
  <c r="BN167" i="2"/>
  <c r="BN166" i="2"/>
  <c r="Z166" i="2"/>
  <c r="Z96" i="2"/>
  <c r="BN94" i="2"/>
  <c r="Z90" i="2"/>
  <c r="BP402" i="2"/>
  <c r="BN401" i="2"/>
  <c r="BP386" i="2"/>
  <c r="BN377" i="2"/>
  <c r="Z371" i="2"/>
  <c r="BN158" i="2"/>
  <c r="BN157" i="2"/>
  <c r="Y154" i="2"/>
  <c r="BP151" i="2"/>
  <c r="BP150" i="2"/>
  <c r="BN150" i="2"/>
  <c r="Z150" i="2"/>
  <c r="BN144" i="2"/>
  <c r="BN138" i="2"/>
  <c r="BP134" i="2"/>
  <c r="BN134" i="2"/>
  <c r="Z134" i="2"/>
  <c r="BN121" i="2"/>
  <c r="BN400" i="2"/>
  <c r="Z386" i="2"/>
  <c r="BN71" i="2"/>
  <c r="BN61" i="2"/>
  <c r="BN43" i="2"/>
  <c r="BN30" i="2"/>
  <c r="BP29" i="2"/>
  <c r="BN29" i="2"/>
  <c r="Z29" i="2"/>
  <c r="Z27" i="2"/>
  <c r="X526" i="2"/>
  <c r="BN476" i="2"/>
  <c r="Z472" i="2"/>
  <c r="BP471" i="2"/>
  <c r="Z471" i="2"/>
  <c r="BN464" i="2"/>
  <c r="Y459" i="2"/>
  <c r="BN458" i="2"/>
  <c r="Z452" i="2"/>
  <c r="Y450" i="2"/>
  <c r="BP447" i="2"/>
  <c r="BN447" i="2"/>
  <c r="Z447" i="2"/>
  <c r="Z405" i="2"/>
  <c r="BP392" i="2"/>
  <c r="BN386" i="2"/>
  <c r="BP371" i="2"/>
  <c r="X528" i="2"/>
  <c r="BP36" i="2"/>
  <c r="Y46" i="2"/>
  <c r="BP42" i="2"/>
  <c r="BP43" i="2"/>
  <c r="Z43" i="2"/>
  <c r="Y56" i="2"/>
  <c r="BN51" i="2"/>
  <c r="BN54" i="2"/>
  <c r="BP54" i="2"/>
  <c r="Z63" i="2"/>
  <c r="Z82" i="2"/>
  <c r="Z89" i="2"/>
  <c r="Z115" i="2"/>
  <c r="BN115" i="2"/>
  <c r="Z133" i="2"/>
  <c r="BN143" i="2"/>
  <c r="BP254" i="2"/>
  <c r="BN254" i="2"/>
  <c r="Z254" i="2"/>
  <c r="Y336" i="2"/>
  <c r="BN333" i="2"/>
  <c r="Y335" i="2"/>
  <c r="BP333" i="2"/>
  <c r="Z333" i="2"/>
  <c r="BP380" i="2"/>
  <c r="BN380" i="2"/>
  <c r="BN436" i="2"/>
  <c r="Z436" i="2"/>
  <c r="Y485" i="2"/>
  <c r="BN484" i="2"/>
  <c r="Y519" i="2"/>
  <c r="F9" i="2"/>
  <c r="BN44" i="2"/>
  <c r="BP44" i="2"/>
  <c r="Z45" i="2"/>
  <c r="BN45" i="2"/>
  <c r="BP96" i="2"/>
  <c r="Z105" i="2"/>
  <c r="BN105" i="2"/>
  <c r="BN107" i="2"/>
  <c r="Z107" i="2"/>
  <c r="Y129" i="2"/>
  <c r="Y130" i="2"/>
  <c r="BP158" i="2"/>
  <c r="Z158" i="2"/>
  <c r="Z162" i="2"/>
  <c r="Z163" i="2" s="1"/>
  <c r="BN162" i="2"/>
  <c r="BP167" i="2"/>
  <c r="Z167" i="2"/>
  <c r="Y191" i="2"/>
  <c r="BN190" i="2"/>
  <c r="BP190" i="2"/>
  <c r="Z265" i="2"/>
  <c r="BN265" i="2"/>
  <c r="Z355" i="2"/>
  <c r="BN355" i="2"/>
  <c r="BN402" i="2"/>
  <c r="Z402" i="2"/>
  <c r="BP462" i="2"/>
  <c r="Y466" i="2"/>
  <c r="BN462" i="2"/>
  <c r="Y465" i="2"/>
  <c r="Y486" i="2"/>
  <c r="H9" i="2"/>
  <c r="BP28" i="2"/>
  <c r="Z28" i="2"/>
  <c r="Y79" i="2"/>
  <c r="BP76" i="2"/>
  <c r="Z76" i="2"/>
  <c r="Y84" i="2"/>
  <c r="Y83" i="2"/>
  <c r="BP81" i="2"/>
  <c r="Z81" i="2"/>
  <c r="BP143" i="2"/>
  <c r="Y146" i="2"/>
  <c r="Z143" i="2"/>
  <c r="Z213" i="2"/>
  <c r="BN213" i="2"/>
  <c r="BP366" i="2"/>
  <c r="BN366" i="2"/>
  <c r="BN378" i="2"/>
  <c r="Z378" i="2"/>
  <c r="BP411" i="2"/>
  <c r="BN411" i="2"/>
  <c r="BP475" i="2"/>
  <c r="BN475" i="2"/>
  <c r="Y495" i="2"/>
  <c r="Z488" i="2"/>
  <c r="BN493" i="2"/>
  <c r="Z493" i="2"/>
  <c r="A10" i="2"/>
  <c r="X527" i="2"/>
  <c r="Y25" i="2"/>
  <c r="BP63" i="2"/>
  <c r="BP77" i="2"/>
  <c r="BN77" i="2"/>
  <c r="Y78" i="2"/>
  <c r="BP82" i="2"/>
  <c r="BP89" i="2"/>
  <c r="H536" i="2"/>
  <c r="BN133" i="2"/>
  <c r="Y135" i="2"/>
  <c r="BP133" i="2"/>
  <c r="I536" i="2"/>
  <c r="BN149" i="2"/>
  <c r="BP149" i="2"/>
  <c r="Z172" i="2"/>
  <c r="BN172" i="2"/>
  <c r="BN174" i="2"/>
  <c r="Z174" i="2"/>
  <c r="BP220" i="2"/>
  <c r="Z220" i="2"/>
  <c r="Y408" i="2"/>
  <c r="BN399" i="2"/>
  <c r="Z399" i="2"/>
  <c r="BP406" i="2"/>
  <c r="Z406" i="2"/>
  <c r="BP436" i="2"/>
  <c r="Y439" i="2"/>
  <c r="BP453" i="2"/>
  <c r="Z453" i="2"/>
  <c r="BP478" i="2"/>
  <c r="BN478" i="2"/>
  <c r="BN490" i="2"/>
  <c r="Z490" i="2"/>
  <c r="Y223" i="2"/>
  <c r="BP221" i="2"/>
  <c r="BP236" i="2"/>
  <c r="BP273" i="2"/>
  <c r="Y322" i="2"/>
  <c r="Y381" i="2"/>
  <c r="BP385" i="2"/>
  <c r="BP412" i="2"/>
  <c r="BP445" i="2"/>
  <c r="BP448" i="2"/>
  <c r="Z536" i="2"/>
  <c r="BP470" i="2"/>
  <c r="BP473" i="2"/>
  <c r="BP23" i="2"/>
  <c r="BP52" i="2"/>
  <c r="BP65" i="2"/>
  <c r="F536" i="2"/>
  <c r="BP88" i="2"/>
  <c r="BP117" i="2"/>
  <c r="J536" i="2"/>
  <c r="Y160" i="2"/>
  <c r="Z199" i="2"/>
  <c r="Z211" i="2"/>
  <c r="BP219" i="2"/>
  <c r="Z221" i="2"/>
  <c r="BP242" i="2"/>
  <c r="Z251" i="2"/>
  <c r="Z273" i="2"/>
  <c r="Z319" i="2"/>
  <c r="Y331" i="2"/>
  <c r="Z340" i="2"/>
  <c r="BP341" i="2"/>
  <c r="BP349" i="2"/>
  <c r="Z364" i="2"/>
  <c r="Z377" i="2"/>
  <c r="BP377" i="2"/>
  <c r="BP379" i="2"/>
  <c r="Z385" i="2"/>
  <c r="BP405" i="2"/>
  <c r="Z412" i="2"/>
  <c r="BN421" i="2"/>
  <c r="Z435" i="2"/>
  <c r="Y438" i="2"/>
  <c r="X536" i="2"/>
  <c r="Z445" i="2"/>
  <c r="Z448" i="2"/>
  <c r="Y455" i="2"/>
  <c r="BP452" i="2"/>
  <c r="Y460" i="2"/>
  <c r="Z470" i="2"/>
  <c r="Z473" i="2"/>
  <c r="Z476" i="2"/>
  <c r="BN482" i="2"/>
  <c r="BP483" i="2"/>
  <c r="Z489" i="2"/>
  <c r="Z492" i="2"/>
  <c r="AA536" i="2"/>
  <c r="Y505" i="2"/>
  <c r="BP513" i="2"/>
  <c r="X530" i="2"/>
  <c r="Y34" i="2"/>
  <c r="BP27" i="2"/>
  <c r="Z52" i="2"/>
  <c r="Y67" i="2"/>
  <c r="Z65" i="2"/>
  <c r="Z88" i="2"/>
  <c r="BP90" i="2"/>
  <c r="Z117" i="2"/>
  <c r="Z157" i="2"/>
  <c r="BP157" i="2"/>
  <c r="Y177" i="2"/>
  <c r="BP198" i="2"/>
  <c r="Z208" i="2"/>
  <c r="Z219" i="2"/>
  <c r="BN232" i="2"/>
  <c r="Y234" i="2"/>
  <c r="BN236" i="2"/>
  <c r="Z242" i="2"/>
  <c r="Z264" i="2"/>
  <c r="BN266" i="2"/>
  <c r="Z271" i="2"/>
  <c r="BP272" i="2"/>
  <c r="BN286" i="2"/>
  <c r="Z304" i="2"/>
  <c r="BN309" i="2"/>
  <c r="BP325" i="2"/>
  <c r="BN326" i="2"/>
  <c r="Z327" i="2"/>
  <c r="BP334" i="2"/>
  <c r="Z341" i="2"/>
  <c r="Z354" i="2"/>
  <c r="BN356" i="2"/>
  <c r="Y387" i="2"/>
  <c r="BP384" i="2"/>
  <c r="Y388" i="2"/>
  <c r="Y413" i="2"/>
  <c r="Z416" i="2"/>
  <c r="Y423" i="2"/>
  <c r="Z443" i="2"/>
  <c r="BP444" i="2"/>
  <c r="BN463" i="2"/>
  <c r="Z464" i="2"/>
  <c r="Z491" i="2"/>
  <c r="Z500" i="2"/>
  <c r="Z501" i="2" s="1"/>
  <c r="BN504" i="2"/>
  <c r="Z513" i="2"/>
  <c r="Z514" i="2" s="1"/>
  <c r="Y183" i="2"/>
  <c r="BN196" i="2"/>
  <c r="BP209" i="2"/>
  <c r="BN217" i="2"/>
  <c r="Y228" i="2"/>
  <c r="Y243" i="2"/>
  <c r="BP252" i="2"/>
  <c r="BP262" i="2"/>
  <c r="BN270" i="2"/>
  <c r="BP283" i="2"/>
  <c r="BP293" i="2"/>
  <c r="BN303" i="2"/>
  <c r="Y315" i="2"/>
  <c r="Z326" i="2"/>
  <c r="BP328" i="2"/>
  <c r="BN339" i="2"/>
  <c r="Y342" i="2"/>
  <c r="BN350" i="2"/>
  <c r="BN360" i="2"/>
  <c r="BP372" i="2"/>
  <c r="Z380" i="2"/>
  <c r="BN393" i="2"/>
  <c r="BP417" i="2"/>
  <c r="Y429" i="2"/>
  <c r="BN452" i="2"/>
  <c r="Z463" i="2"/>
  <c r="Z475" i="2"/>
  <c r="BP477" i="2"/>
  <c r="Z509" i="2"/>
  <c r="Y514" i="2"/>
  <c r="Z97" i="2"/>
  <c r="Y368" i="2"/>
  <c r="K536" i="2"/>
  <c r="Z175" i="2"/>
  <c r="Y205" i="2"/>
  <c r="Z22" i="2"/>
  <c r="Z32" i="2"/>
  <c r="Y37" i="2"/>
  <c r="Y47" i="2"/>
  <c r="Z59" i="2"/>
  <c r="BP61" i="2"/>
  <c r="Z69" i="2"/>
  <c r="BP71" i="2"/>
  <c r="BP94" i="2"/>
  <c r="Z103" i="2"/>
  <c r="BP105" i="2"/>
  <c r="Z113" i="2"/>
  <c r="BP115" i="2"/>
  <c r="Z123" i="2"/>
  <c r="BP138" i="2"/>
  <c r="BP162" i="2"/>
  <c r="Z170" i="2"/>
  <c r="BP172" i="2"/>
  <c r="Z180" i="2"/>
  <c r="BP196" i="2"/>
  <c r="Z215" i="2"/>
  <c r="BP217" i="2"/>
  <c r="Z225" i="2"/>
  <c r="Z258" i="2"/>
  <c r="Z268" i="2"/>
  <c r="BP270" i="2"/>
  <c r="Z278" i="2"/>
  <c r="Z289" i="2"/>
  <c r="Y294" i="2"/>
  <c r="Z301" i="2"/>
  <c r="BP303" i="2"/>
  <c r="Z312" i="2"/>
  <c r="BP339" i="2"/>
  <c r="Z348" i="2"/>
  <c r="BP350" i="2"/>
  <c r="Z358" i="2"/>
  <c r="BP360" i="2"/>
  <c r="Z391" i="2"/>
  <c r="BP393" i="2"/>
  <c r="Z403" i="2"/>
  <c r="Y418" i="2"/>
  <c r="Z426" i="2"/>
  <c r="L536" i="2"/>
  <c r="BN64" i="2"/>
  <c r="BN87" i="2"/>
  <c r="BN97" i="2"/>
  <c r="BN108" i="2"/>
  <c r="Y119" i="2"/>
  <c r="Z128" i="2"/>
  <c r="Z129" i="2" s="1"/>
  <c r="Z152" i="2"/>
  <c r="BN175" i="2"/>
  <c r="Z185" i="2"/>
  <c r="BN199" i="2"/>
  <c r="Z210" i="2"/>
  <c r="BP212" i="2"/>
  <c r="BN220" i="2"/>
  <c r="Z230" i="2"/>
  <c r="BP232" i="2"/>
  <c r="Y244" i="2"/>
  <c r="Z253" i="2"/>
  <c r="BP255" i="2"/>
  <c r="Z263" i="2"/>
  <c r="BP265" i="2"/>
  <c r="Z284" i="2"/>
  <c r="BP286" i="2"/>
  <c r="BP309" i="2"/>
  <c r="Z318" i="2"/>
  <c r="BP320" i="2"/>
  <c r="Z329" i="2"/>
  <c r="Y343" i="2"/>
  <c r="BP355" i="2"/>
  <c r="BP365" i="2"/>
  <c r="Z373" i="2"/>
  <c r="BP400" i="2"/>
  <c r="BP410" i="2"/>
  <c r="Z431" i="2"/>
  <c r="Z432" i="2" s="1"/>
  <c r="BP458" i="2"/>
  <c r="BN470" i="2"/>
  <c r="Z478" i="2"/>
  <c r="BP504" i="2"/>
  <c r="Y515" i="2"/>
  <c r="M536" i="2"/>
  <c r="BN123" i="2"/>
  <c r="Y163" i="2"/>
  <c r="BN170" i="2"/>
  <c r="BN180" i="2"/>
  <c r="Y206" i="2"/>
  <c r="BN215" i="2"/>
  <c r="BN225" i="2"/>
  <c r="Y249" i="2"/>
  <c r="BN258" i="2"/>
  <c r="BN268" i="2"/>
  <c r="BN278" i="2"/>
  <c r="BN289" i="2"/>
  <c r="BN301" i="2"/>
  <c r="BN312" i="2"/>
  <c r="BN348" i="2"/>
  <c r="Y351" i="2"/>
  <c r="BN358" i="2"/>
  <c r="Y361" i="2"/>
  <c r="Y369" i="2"/>
  <c r="BN391" i="2"/>
  <c r="Y394" i="2"/>
  <c r="BN403" i="2"/>
  <c r="Y414" i="2"/>
  <c r="BN426" i="2"/>
  <c r="Y520" i="2"/>
  <c r="O536" i="2"/>
  <c r="BN22" i="2"/>
  <c r="BN59" i="2"/>
  <c r="BN69" i="2"/>
  <c r="BN103" i="2"/>
  <c r="BN113" i="2"/>
  <c r="BN27" i="2"/>
  <c r="Z51" i="2"/>
  <c r="BP53" i="2"/>
  <c r="Z62" i="2"/>
  <c r="Z72" i="2"/>
  <c r="BP87" i="2"/>
  <c r="Z95" i="2"/>
  <c r="Z106" i="2"/>
  <c r="BP108" i="2"/>
  <c r="Z116" i="2"/>
  <c r="BN128" i="2"/>
  <c r="Z139" i="2"/>
  <c r="Z140" i="2" s="1"/>
  <c r="BN152" i="2"/>
  <c r="Z173" i="2"/>
  <c r="BN185" i="2"/>
  <c r="Z197" i="2"/>
  <c r="BN210" i="2"/>
  <c r="Z218" i="2"/>
  <c r="BN230" i="2"/>
  <c r="Y233" i="2"/>
  <c r="Z241" i="2"/>
  <c r="BN253" i="2"/>
  <c r="BN263" i="2"/>
  <c r="BN284" i="2"/>
  <c r="Y295" i="2"/>
  <c r="BN318" i="2"/>
  <c r="Y321" i="2"/>
  <c r="BN329" i="2"/>
  <c r="BN373" i="2"/>
  <c r="Y419" i="2"/>
  <c r="BN431" i="2"/>
  <c r="P536" i="2"/>
  <c r="Z53" i="2"/>
  <c r="Y248" i="2"/>
  <c r="BN32" i="2"/>
  <c r="Z44" i="2"/>
  <c r="Y38" i="2"/>
  <c r="BP64" i="2"/>
  <c r="BP22" i="2"/>
  <c r="Z30" i="2"/>
  <c r="BP59" i="2"/>
  <c r="BP69" i="2"/>
  <c r="Z77" i="2"/>
  <c r="Z121" i="2"/>
  <c r="Z144" i="2"/>
  <c r="Z145" i="2" s="1"/>
  <c r="Z168" i="2"/>
  <c r="BP225" i="2"/>
  <c r="Z246" i="2"/>
  <c r="Z256" i="2"/>
  <c r="Z266" i="2"/>
  <c r="Z287" i="2"/>
  <c r="BP301" i="2"/>
  <c r="Z310" i="2"/>
  <c r="Z346" i="2"/>
  <c r="Z356" i="2"/>
  <c r="Z366" i="2"/>
  <c r="BP391" i="2"/>
  <c r="Z401" i="2"/>
  <c r="Z411" i="2"/>
  <c r="BP426" i="2"/>
  <c r="Y510" i="2"/>
  <c r="Z517" i="2"/>
  <c r="Q536" i="2"/>
  <c r="BN62" i="2"/>
  <c r="BN72" i="2"/>
  <c r="BN95" i="2"/>
  <c r="Y98" i="2"/>
  <c r="BN106" i="2"/>
  <c r="Y109" i="2"/>
  <c r="BN116" i="2"/>
  <c r="BP128" i="2"/>
  <c r="BN139" i="2"/>
  <c r="Y164" i="2"/>
  <c r="BN173" i="2"/>
  <c r="Y176" i="2"/>
  <c r="BP185" i="2"/>
  <c r="BN197" i="2"/>
  <c r="Y200" i="2"/>
  <c r="BN218" i="2"/>
  <c r="BN241" i="2"/>
  <c r="BN271" i="2"/>
  <c r="Y274" i="2"/>
  <c r="BN304" i="2"/>
  <c r="BN340" i="2"/>
  <c r="Y352" i="2"/>
  <c r="Y362" i="2"/>
  <c r="Y395" i="2"/>
  <c r="BN406" i="2"/>
  <c r="BP431" i="2"/>
  <c r="BN443" i="2"/>
  <c r="BN453" i="2"/>
  <c r="BN488" i="2"/>
  <c r="BN500" i="2"/>
  <c r="Z523" i="2"/>
  <c r="Z524" i="2" s="1"/>
  <c r="R536" i="2"/>
  <c r="Z54" i="2"/>
  <c r="Y259" i="2"/>
  <c r="Y290" i="2"/>
  <c r="S536" i="2"/>
  <c r="Y118" i="2"/>
  <c r="Y126" i="2"/>
  <c r="Y279" i="2"/>
  <c r="Z23" i="2"/>
  <c r="BP51" i="2"/>
  <c r="Z60" i="2"/>
  <c r="Z70" i="2"/>
  <c r="Z104" i="2"/>
  <c r="Z114" i="2"/>
  <c r="Z124" i="2"/>
  <c r="Y153" i="2"/>
  <c r="Z171" i="2"/>
  <c r="Z181" i="2"/>
  <c r="Z216" i="2"/>
  <c r="Z226" i="2"/>
  <c r="Z269" i="2"/>
  <c r="Z302" i="2"/>
  <c r="Z313" i="2"/>
  <c r="Y330" i="2"/>
  <c r="Z349" i="2"/>
  <c r="Z359" i="2"/>
  <c r="Y374" i="2"/>
  <c r="Y382" i="2"/>
  <c r="Z392" i="2"/>
  <c r="Z404" i="2"/>
  <c r="Z427" i="2"/>
  <c r="Y432" i="2"/>
  <c r="BP443" i="2"/>
  <c r="Y479" i="2"/>
  <c r="BP488" i="2"/>
  <c r="BP500" i="2"/>
  <c r="Y511" i="2"/>
  <c r="BN523" i="2"/>
  <c r="T536" i="2"/>
  <c r="Y33" i="2"/>
  <c r="BN42" i="2"/>
  <c r="Y91" i="2"/>
  <c r="Y99" i="2"/>
  <c r="Y110" i="2"/>
  <c r="BP168" i="2"/>
  <c r="Y201" i="2"/>
  <c r="Y275" i="2"/>
  <c r="Y449" i="2"/>
  <c r="B536" i="2"/>
  <c r="Z87" i="2"/>
  <c r="Z42" i="2"/>
  <c r="BN60" i="2"/>
  <c r="BN70" i="2"/>
  <c r="Y73" i="2"/>
  <c r="BN104" i="2"/>
  <c r="BN114" i="2"/>
  <c r="BN124" i="2"/>
  <c r="Y140" i="2"/>
  <c r="BN171" i="2"/>
  <c r="BN181" i="2"/>
  <c r="BN216" i="2"/>
  <c r="BN226" i="2"/>
  <c r="Z236" i="2"/>
  <c r="Z237" i="2" s="1"/>
  <c r="Y260" i="2"/>
  <c r="BN269" i="2"/>
  <c r="Y280" i="2"/>
  <c r="Y291" i="2"/>
  <c r="BN302" i="2"/>
  <c r="Y305" i="2"/>
  <c r="BN313" i="2"/>
  <c r="BN404" i="2"/>
  <c r="Y407" i="2"/>
  <c r="BN427" i="2"/>
  <c r="Z437" i="2"/>
  <c r="Y454" i="2"/>
  <c r="Z462" i="2"/>
  <c r="Z474" i="2"/>
  <c r="Z484" i="2"/>
  <c r="Z494" i="2"/>
  <c r="Y501" i="2"/>
  <c r="Z508" i="2"/>
  <c r="BP523" i="2"/>
  <c r="C536" i="2"/>
  <c r="V536" i="2"/>
  <c r="Y480" i="2"/>
  <c r="D536" i="2"/>
  <c r="W536" i="2"/>
  <c r="Y92" i="2"/>
  <c r="Z102" i="2"/>
  <c r="Z169" i="2"/>
  <c r="Z179" i="2"/>
  <c r="Z214" i="2"/>
  <c r="Z247" i="2"/>
  <c r="Z357" i="2"/>
  <c r="Z518" i="2"/>
  <c r="Y524" i="2"/>
  <c r="E536" i="2"/>
  <c r="Z31" i="2"/>
  <c r="Z112" i="2"/>
  <c r="Z122" i="2"/>
  <c r="Z204" i="2"/>
  <c r="Z205" i="2" s="1"/>
  <c r="Z257" i="2"/>
  <c r="Z267" i="2"/>
  <c r="Z277" i="2"/>
  <c r="Z288" i="2"/>
  <c r="Z311" i="2"/>
  <c r="Z347" i="2"/>
  <c r="Z367" i="2"/>
  <c r="J9" i="2"/>
  <c r="Z36" i="2"/>
  <c r="Z37" i="2" s="1"/>
  <c r="Y55" i="2"/>
  <c r="Y66" i="2"/>
  <c r="Y141" i="2"/>
  <c r="Z151" i="2"/>
  <c r="Z209" i="2"/>
  <c r="Y222" i="2"/>
  <c r="Z252" i="2"/>
  <c r="Z262" i="2"/>
  <c r="Z283" i="2"/>
  <c r="Z293" i="2"/>
  <c r="Z294" i="2" s="1"/>
  <c r="Z328" i="2"/>
  <c r="Z372" i="2"/>
  <c r="BN384" i="2"/>
  <c r="BP399" i="2"/>
  <c r="Z417" i="2"/>
  <c r="Z477" i="2"/>
  <c r="Y502" i="2"/>
  <c r="Y536" i="2"/>
  <c r="BN31" i="2"/>
  <c r="BN102" i="2"/>
  <c r="BN112" i="2"/>
  <c r="BN122" i="2"/>
  <c r="Y125" i="2"/>
  <c r="BN169" i="2"/>
  <c r="BN179" i="2"/>
  <c r="Y182" i="2"/>
  <c r="BN204" i="2"/>
  <c r="BN214" i="2"/>
  <c r="BN247" i="2"/>
  <c r="BN257" i="2"/>
  <c r="BN267" i="2"/>
  <c r="Y314" i="2"/>
  <c r="BN347" i="2"/>
  <c r="BN357" i="2"/>
  <c r="BN367" i="2"/>
  <c r="BP437" i="2"/>
  <c r="BP484" i="2"/>
  <c r="BN518" i="2"/>
  <c r="G536" i="2"/>
  <c r="BN277" i="2"/>
  <c r="BN288" i="2"/>
  <c r="BN311" i="2"/>
  <c r="BN209" i="2"/>
  <c r="Y525" i="2"/>
  <c r="Z335" i="2" l="1"/>
  <c r="Z387" i="2"/>
  <c r="Z413" i="2"/>
  <c r="Z485" i="2"/>
  <c r="Z418" i="2"/>
  <c r="Z135" i="2"/>
  <c r="Z454" i="2"/>
  <c r="Z374" i="2"/>
  <c r="Z91" i="2"/>
  <c r="Z83" i="2"/>
  <c r="Z187" i="2"/>
  <c r="Z233" i="2"/>
  <c r="Z321" i="2"/>
  <c r="Z243" i="2"/>
  <c r="Z78" i="2"/>
  <c r="Z368" i="2"/>
  <c r="X529" i="2"/>
  <c r="Z342" i="2"/>
  <c r="Z159" i="2"/>
  <c r="Z381" i="2"/>
  <c r="Z98" i="2"/>
  <c r="Z200" i="2"/>
  <c r="Z438" i="2"/>
  <c r="Z465" i="2"/>
  <c r="Z495" i="2"/>
  <c r="Z361" i="2"/>
  <c r="Z153" i="2"/>
  <c r="Z479" i="2"/>
  <c r="Y530" i="2"/>
  <c r="Z407" i="2"/>
  <c r="Z176" i="2"/>
  <c r="Z330" i="2"/>
  <c r="Z449" i="2"/>
  <c r="Z259" i="2"/>
  <c r="Z222" i="2"/>
  <c r="Z182" i="2"/>
  <c r="Z46" i="2"/>
  <c r="Z314" i="2"/>
  <c r="Y526" i="2"/>
  <c r="Z125" i="2"/>
  <c r="Z33" i="2"/>
  <c r="Z519" i="2"/>
  <c r="Z305" i="2"/>
  <c r="Y528" i="2"/>
  <c r="Z55" i="2"/>
  <c r="Z73" i="2"/>
  <c r="Z428" i="2"/>
  <c r="Z351" i="2"/>
  <c r="Z227" i="2"/>
  <c r="Z66" i="2"/>
  <c r="Z109" i="2"/>
  <c r="Z279" i="2"/>
  <c r="Z394" i="2"/>
  <c r="Y527" i="2"/>
  <c r="Z24" i="2"/>
  <c r="Z290" i="2"/>
  <c r="Z274" i="2"/>
  <c r="Z118" i="2"/>
  <c r="Z510" i="2"/>
  <c r="Z248" i="2"/>
  <c r="Y529" i="2" l="1"/>
  <c r="Z531" i="2"/>
</calcChain>
</file>

<file path=xl/sharedStrings.xml><?xml version="1.0" encoding="utf-8"?>
<sst xmlns="http://schemas.openxmlformats.org/spreadsheetml/2006/main" count="3976" uniqueCount="858">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</sst>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9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29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0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0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zoomScaleNormal="100" zoomScaleSheetLayoutView="100" workbookViewId="0">
      <selection activeCell="AA87" sqref="AA8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28" t="s">
        <v>26</v>
      </c>
      <c r="E1" s="928"/>
      <c r="F1" s="928"/>
      <c r="G1" s="14" t="s">
        <v>67</v>
      </c>
      <c r="H1" s="928" t="s">
        <v>47</v>
      </c>
      <c r="I1" s="928"/>
      <c r="J1" s="928"/>
      <c r="K1" s="928"/>
      <c r="L1" s="928"/>
      <c r="M1" s="928"/>
      <c r="N1" s="928"/>
      <c r="O1" s="928"/>
      <c r="P1" s="928"/>
      <c r="Q1" s="928"/>
      <c r="R1" s="929" t="s">
        <v>68</v>
      </c>
      <c r="S1" s="930"/>
      <c r="T1" s="93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1"/>
      <c r="R2" s="931"/>
      <c r="S2" s="931"/>
      <c r="T2" s="931"/>
      <c r="U2" s="931"/>
      <c r="V2" s="931"/>
      <c r="W2" s="93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1"/>
      <c r="Q3" s="931"/>
      <c r="R3" s="931"/>
      <c r="S3" s="931"/>
      <c r="T3" s="931"/>
      <c r="U3" s="931"/>
      <c r="V3" s="931"/>
      <c r="W3" s="93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0" t="s">
        <v>8</v>
      </c>
      <c r="B5" s="910"/>
      <c r="C5" s="910"/>
      <c r="D5" s="932"/>
      <c r="E5" s="932"/>
      <c r="F5" s="933" t="s">
        <v>14</v>
      </c>
      <c r="G5" s="933"/>
      <c r="H5" s="932" t="s">
        <v>857</v>
      </c>
      <c r="I5" s="932"/>
      <c r="J5" s="932"/>
      <c r="K5" s="932"/>
      <c r="L5" s="932"/>
      <c r="M5" s="932"/>
      <c r="N5" s="69"/>
      <c r="P5" s="26" t="s">
        <v>4</v>
      </c>
      <c r="Q5" s="934">
        <v>46208</v>
      </c>
      <c r="R5" s="934"/>
      <c r="T5" s="935" t="s">
        <v>3</v>
      </c>
      <c r="U5" s="936"/>
      <c r="V5" s="937" t="s">
        <v>817</v>
      </c>
      <c r="W5" s="938"/>
      <c r="AB5" s="57"/>
      <c r="AC5" s="57"/>
      <c r="AD5" s="57"/>
      <c r="AE5" s="57"/>
    </row>
    <row r="6" spans="1:32" s="17" customFormat="1" ht="24" customHeight="1" x14ac:dyDescent="0.2">
      <c r="A6" s="910" t="s">
        <v>1</v>
      </c>
      <c r="B6" s="910"/>
      <c r="C6" s="910"/>
      <c r="D6" s="911" t="s">
        <v>830</v>
      </c>
      <c r="E6" s="911"/>
      <c r="F6" s="911"/>
      <c r="G6" s="911"/>
      <c r="H6" s="911"/>
      <c r="I6" s="911"/>
      <c r="J6" s="911"/>
      <c r="K6" s="911"/>
      <c r="L6" s="911"/>
      <c r="M6" s="911"/>
      <c r="N6" s="70"/>
      <c r="P6" s="26" t="s">
        <v>27</v>
      </c>
      <c r="Q6" s="912" t="str">
        <f>IF(Q5=0," ",CHOOSE(WEEKDAY(Q5,2),"Понедельник","Вторник","Среда","Четверг","Пятница","Суббота","Воскресенье"))</f>
        <v>Воскресенье</v>
      </c>
      <c r="R6" s="912"/>
      <c r="T6" s="913" t="s">
        <v>5</v>
      </c>
      <c r="U6" s="914"/>
      <c r="V6" s="915" t="s">
        <v>70</v>
      </c>
      <c r="W6" s="91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1" t="str">
        <f>IFERROR(VLOOKUP(DeliveryAddress,Table,3,0),1)</f>
        <v>5</v>
      </c>
      <c r="E7" s="922"/>
      <c r="F7" s="922"/>
      <c r="G7" s="922"/>
      <c r="H7" s="922"/>
      <c r="I7" s="922"/>
      <c r="J7" s="922"/>
      <c r="K7" s="922"/>
      <c r="L7" s="922"/>
      <c r="M7" s="923"/>
      <c r="N7" s="71"/>
      <c r="P7" s="26"/>
      <c r="Q7" s="46"/>
      <c r="R7" s="46"/>
      <c r="T7" s="913"/>
      <c r="U7" s="914"/>
      <c r="V7" s="917"/>
      <c r="W7" s="918"/>
      <c r="AB7" s="57"/>
      <c r="AC7" s="57"/>
      <c r="AD7" s="57"/>
      <c r="AE7" s="57"/>
    </row>
    <row r="8" spans="1:32" s="17" customFormat="1" ht="25.5" customHeight="1" x14ac:dyDescent="0.2">
      <c r="A8" s="924" t="s">
        <v>58</v>
      </c>
      <c r="B8" s="924"/>
      <c r="C8" s="924"/>
      <c r="D8" s="925"/>
      <c r="E8" s="925"/>
      <c r="F8" s="925"/>
      <c r="G8" s="925"/>
      <c r="H8" s="925"/>
      <c r="I8" s="925"/>
      <c r="J8" s="925"/>
      <c r="K8" s="925"/>
      <c r="L8" s="925"/>
      <c r="M8" s="925"/>
      <c r="N8" s="72"/>
      <c r="P8" s="26" t="s">
        <v>11</v>
      </c>
      <c r="Q8" s="908">
        <v>0.41666666666666669</v>
      </c>
      <c r="R8" s="908"/>
      <c r="T8" s="913"/>
      <c r="U8" s="914"/>
      <c r="V8" s="917"/>
      <c r="W8" s="918"/>
      <c r="AB8" s="57"/>
      <c r="AC8" s="57"/>
      <c r="AD8" s="57"/>
      <c r="AE8" s="57"/>
    </row>
    <row r="9" spans="1:32" s="17" customFormat="1" ht="39.950000000000003" customHeight="1" x14ac:dyDescent="0.2">
      <c r="A9" s="9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0"/>
      <c r="C9" s="900"/>
      <c r="D9" s="901" t="s">
        <v>46</v>
      </c>
      <c r="E9" s="902"/>
      <c r="F9" s="9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0"/>
      <c r="H9" s="926" t="str">
        <f>IF(AND($A$9="Тип доверенности/получателя при получении в адресе перегруза:",$D$9="Разовая доверенность"),"Введите ФИО","")</f>
        <v/>
      </c>
      <c r="I9" s="926"/>
      <c r="J9" s="9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6"/>
      <c r="L9" s="926"/>
      <c r="M9" s="926"/>
      <c r="N9" s="67"/>
      <c r="P9" s="29" t="s">
        <v>15</v>
      </c>
      <c r="Q9" s="927"/>
      <c r="R9" s="927"/>
      <c r="T9" s="913"/>
      <c r="U9" s="914"/>
      <c r="V9" s="919"/>
      <c r="W9" s="92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0"/>
      <c r="C10" s="900"/>
      <c r="D10" s="901"/>
      <c r="E10" s="902"/>
      <c r="F10" s="9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0"/>
      <c r="H10" s="903" t="str">
        <f>IFERROR(VLOOKUP($D$10,Proxy,2,FALSE),"")</f>
        <v/>
      </c>
      <c r="I10" s="903"/>
      <c r="J10" s="903"/>
      <c r="K10" s="903"/>
      <c r="L10" s="903"/>
      <c r="M10" s="903"/>
      <c r="N10" s="68"/>
      <c r="P10" s="29" t="s">
        <v>32</v>
      </c>
      <c r="Q10" s="904"/>
      <c r="R10" s="904"/>
      <c r="U10" s="26" t="s">
        <v>12</v>
      </c>
      <c r="V10" s="905" t="s">
        <v>71</v>
      </c>
      <c r="W10" s="90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07"/>
      <c r="R11" s="907"/>
      <c r="U11" s="26" t="s">
        <v>28</v>
      </c>
      <c r="V11" s="886" t="s">
        <v>55</v>
      </c>
      <c r="W11" s="88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5" t="s">
        <v>72</v>
      </c>
      <c r="B12" s="885"/>
      <c r="C12" s="885"/>
      <c r="D12" s="885"/>
      <c r="E12" s="885"/>
      <c r="F12" s="885"/>
      <c r="G12" s="885"/>
      <c r="H12" s="885"/>
      <c r="I12" s="885"/>
      <c r="J12" s="885"/>
      <c r="K12" s="885"/>
      <c r="L12" s="885"/>
      <c r="M12" s="885"/>
      <c r="N12" s="73"/>
      <c r="P12" s="26" t="s">
        <v>30</v>
      </c>
      <c r="Q12" s="908"/>
      <c r="R12" s="908"/>
      <c r="S12" s="27"/>
      <c r="T12"/>
      <c r="U12" s="26" t="s">
        <v>46</v>
      </c>
      <c r="V12" s="909"/>
      <c r="W12" s="909"/>
      <c r="X12"/>
      <c r="AB12" s="57"/>
      <c r="AC12" s="57"/>
      <c r="AD12" s="57"/>
      <c r="AE12" s="57"/>
    </row>
    <row r="13" spans="1:32" s="17" customFormat="1" ht="23.25" customHeight="1" x14ac:dyDescent="0.2">
      <c r="A13" s="885" t="s">
        <v>73</v>
      </c>
      <c r="B13" s="885"/>
      <c r="C13" s="885"/>
      <c r="D13" s="885"/>
      <c r="E13" s="885"/>
      <c r="F13" s="885"/>
      <c r="G13" s="885"/>
      <c r="H13" s="885"/>
      <c r="I13" s="885"/>
      <c r="J13" s="885"/>
      <c r="K13" s="885"/>
      <c r="L13" s="885"/>
      <c r="M13" s="885"/>
      <c r="N13" s="73"/>
      <c r="O13" s="29"/>
      <c r="P13" s="29" t="s">
        <v>31</v>
      </c>
      <c r="Q13" s="886"/>
      <c r="R13" s="88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5" t="s">
        <v>74</v>
      </c>
      <c r="B14" s="885"/>
      <c r="C14" s="885"/>
      <c r="D14" s="885"/>
      <c r="E14" s="885"/>
      <c r="F14" s="885"/>
      <c r="G14" s="885"/>
      <c r="H14" s="885"/>
      <c r="I14" s="885"/>
      <c r="J14" s="885"/>
      <c r="K14" s="885"/>
      <c r="L14" s="885"/>
      <c r="M14" s="88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87" t="s">
        <v>75</v>
      </c>
      <c r="B15" s="887"/>
      <c r="C15" s="887"/>
      <c r="D15" s="887"/>
      <c r="E15" s="887"/>
      <c r="F15" s="887"/>
      <c r="G15" s="887"/>
      <c r="H15" s="887"/>
      <c r="I15" s="887"/>
      <c r="J15" s="887"/>
      <c r="K15" s="887"/>
      <c r="L15" s="887"/>
      <c r="M15" s="887"/>
      <c r="N15" s="74"/>
      <c r="O15"/>
      <c r="P15" s="888" t="s">
        <v>61</v>
      </c>
      <c r="Q15" s="888"/>
      <c r="R15" s="888"/>
      <c r="S15" s="888"/>
      <c r="T15" s="888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89"/>
      <c r="Q16" s="889"/>
      <c r="R16" s="889"/>
      <c r="S16" s="889"/>
      <c r="T16" s="88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1" t="s">
        <v>59</v>
      </c>
      <c r="B17" s="871" t="s">
        <v>49</v>
      </c>
      <c r="C17" s="892" t="s">
        <v>48</v>
      </c>
      <c r="D17" s="894" t="s">
        <v>50</v>
      </c>
      <c r="E17" s="895"/>
      <c r="F17" s="871" t="s">
        <v>21</v>
      </c>
      <c r="G17" s="871" t="s">
        <v>24</v>
      </c>
      <c r="H17" s="871" t="s">
        <v>22</v>
      </c>
      <c r="I17" s="871" t="s">
        <v>23</v>
      </c>
      <c r="J17" s="871" t="s">
        <v>16</v>
      </c>
      <c r="K17" s="871" t="s">
        <v>66</v>
      </c>
      <c r="L17" s="871" t="s">
        <v>64</v>
      </c>
      <c r="M17" s="871" t="s">
        <v>2</v>
      </c>
      <c r="N17" s="871" t="s">
        <v>63</v>
      </c>
      <c r="O17" s="871" t="s">
        <v>25</v>
      </c>
      <c r="P17" s="894" t="s">
        <v>17</v>
      </c>
      <c r="Q17" s="898"/>
      <c r="R17" s="898"/>
      <c r="S17" s="898"/>
      <c r="T17" s="895"/>
      <c r="U17" s="890" t="s">
        <v>56</v>
      </c>
      <c r="V17" s="891"/>
      <c r="W17" s="871" t="s">
        <v>6</v>
      </c>
      <c r="X17" s="871" t="s">
        <v>41</v>
      </c>
      <c r="Y17" s="873" t="s">
        <v>54</v>
      </c>
      <c r="Z17" s="875" t="s">
        <v>18</v>
      </c>
      <c r="AA17" s="877" t="s">
        <v>60</v>
      </c>
      <c r="AB17" s="877" t="s">
        <v>19</v>
      </c>
      <c r="AC17" s="877" t="s">
        <v>65</v>
      </c>
      <c r="AD17" s="879" t="s">
        <v>57</v>
      </c>
      <c r="AE17" s="880"/>
      <c r="AF17" s="881"/>
      <c r="AG17" s="77"/>
      <c r="BD17" s="76" t="s">
        <v>62</v>
      </c>
    </row>
    <row r="18" spans="1:68" ht="14.25" customHeight="1" x14ac:dyDescent="0.2">
      <c r="A18" s="872"/>
      <c r="B18" s="872"/>
      <c r="C18" s="893"/>
      <c r="D18" s="896"/>
      <c r="E18" s="897"/>
      <c r="F18" s="872"/>
      <c r="G18" s="872"/>
      <c r="H18" s="872"/>
      <c r="I18" s="872"/>
      <c r="J18" s="872"/>
      <c r="K18" s="872"/>
      <c r="L18" s="872"/>
      <c r="M18" s="872"/>
      <c r="N18" s="872"/>
      <c r="O18" s="872"/>
      <c r="P18" s="896"/>
      <c r="Q18" s="899"/>
      <c r="R18" s="899"/>
      <c r="S18" s="899"/>
      <c r="T18" s="897"/>
      <c r="U18" s="78" t="s">
        <v>44</v>
      </c>
      <c r="V18" s="78" t="s">
        <v>43</v>
      </c>
      <c r="W18" s="872"/>
      <c r="X18" s="872"/>
      <c r="Y18" s="874"/>
      <c r="Z18" s="876"/>
      <c r="AA18" s="878"/>
      <c r="AB18" s="878"/>
      <c r="AC18" s="878"/>
      <c r="AD18" s="882"/>
      <c r="AE18" s="883"/>
      <c r="AF18" s="884"/>
      <c r="AG18" s="77"/>
      <c r="BD18" s="76"/>
    </row>
    <row r="19" spans="1:68" ht="27.75" hidden="1" customHeight="1" x14ac:dyDescent="0.2">
      <c r="A19" s="620" t="s">
        <v>76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2"/>
      <c r="AB19" s="52"/>
      <c r="AC19" s="52"/>
    </row>
    <row r="20" spans="1:68" ht="16.5" hidden="1" customHeight="1" x14ac:dyDescent="0.25">
      <c r="A20" s="615" t="s">
        <v>76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2"/>
      <c r="AB20" s="62"/>
      <c r="AC20" s="62"/>
    </row>
    <row r="21" spans="1:68" ht="14.25" hidden="1" customHeight="1" x14ac:dyDescent="0.25">
      <c r="A21" s="599" t="s">
        <v>77</v>
      </c>
      <c r="B21" s="599"/>
      <c r="C21" s="599"/>
      <c r="D21" s="599"/>
      <c r="E21" s="599"/>
      <c r="F21" s="599"/>
      <c r="G21" s="599"/>
      <c r="H21" s="599"/>
      <c r="I21" s="599"/>
      <c r="J21" s="599"/>
      <c r="K21" s="599"/>
      <c r="L21" s="599"/>
      <c r="M21" s="599"/>
      <c r="N21" s="599"/>
      <c r="O21" s="599"/>
      <c r="P21" s="599"/>
      <c r="Q21" s="599"/>
      <c r="R21" s="599"/>
      <c r="S21" s="599"/>
      <c r="T21" s="599"/>
      <c r="U21" s="599"/>
      <c r="V21" s="599"/>
      <c r="W21" s="599"/>
      <c r="X21" s="599"/>
      <c r="Y21" s="599"/>
      <c r="Z21" s="59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00">
        <v>4680115886643</v>
      </c>
      <c r="E22" s="60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2"/>
      <c r="R22" s="602"/>
      <c r="S22" s="602"/>
      <c r="T22" s="60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00">
        <v>4680115889071</v>
      </c>
      <c r="E23" s="60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2"/>
      <c r="R23" s="602"/>
      <c r="S23" s="602"/>
      <c r="T23" s="60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7"/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08"/>
      <c r="P24" s="604" t="s">
        <v>40</v>
      </c>
      <c r="Q24" s="605"/>
      <c r="R24" s="605"/>
      <c r="S24" s="605"/>
      <c r="T24" s="605"/>
      <c r="U24" s="605"/>
      <c r="V24" s="606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607"/>
      <c r="N25" s="607"/>
      <c r="O25" s="608"/>
      <c r="P25" s="604" t="s">
        <v>40</v>
      </c>
      <c r="Q25" s="605"/>
      <c r="R25" s="605"/>
      <c r="S25" s="605"/>
      <c r="T25" s="605"/>
      <c r="U25" s="605"/>
      <c r="V25" s="606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99" t="s">
        <v>86</v>
      </c>
      <c r="B26" s="599"/>
      <c r="C26" s="599"/>
      <c r="D26" s="599"/>
      <c r="E26" s="599"/>
      <c r="F26" s="599"/>
      <c r="G26" s="599"/>
      <c r="H26" s="599"/>
      <c r="I26" s="599"/>
      <c r="J26" s="599"/>
      <c r="K26" s="599"/>
      <c r="L26" s="599"/>
      <c r="M26" s="599"/>
      <c r="N26" s="599"/>
      <c r="O26" s="599"/>
      <c r="P26" s="599"/>
      <c r="Q26" s="599"/>
      <c r="R26" s="599"/>
      <c r="S26" s="599"/>
      <c r="T26" s="599"/>
      <c r="U26" s="599"/>
      <c r="V26" s="599"/>
      <c r="W26" s="599"/>
      <c r="X26" s="599"/>
      <c r="Y26" s="599"/>
      <c r="Z26" s="59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00">
        <v>4680115885912</v>
      </c>
      <c r="E27" s="60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2"/>
      <c r="R27" s="602"/>
      <c r="S27" s="602"/>
      <c r="T27" s="603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00">
        <v>4607091388237</v>
      </c>
      <c r="E28" s="60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2"/>
      <c r="R28" s="602"/>
      <c r="S28" s="602"/>
      <c r="T28" s="603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00">
        <v>4680115887350</v>
      </c>
      <c r="E29" s="60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2"/>
      <c r="R29" s="602"/>
      <c r="S29" s="602"/>
      <c r="T29" s="603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00">
        <v>4680115885905</v>
      </c>
      <c r="E30" s="60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2"/>
      <c r="R30" s="602"/>
      <c r="S30" s="602"/>
      <c r="T30" s="603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00">
        <v>4680115887657</v>
      </c>
      <c r="E31" s="60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6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2"/>
      <c r="R31" s="602"/>
      <c r="S31" s="602"/>
      <c r="T31" s="603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00">
        <v>4680115887619</v>
      </c>
      <c r="E32" s="60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6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2"/>
      <c r="R32" s="602"/>
      <c r="S32" s="602"/>
      <c r="T32" s="603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7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08"/>
      <c r="P33" s="604" t="s">
        <v>40</v>
      </c>
      <c r="Q33" s="605"/>
      <c r="R33" s="605"/>
      <c r="S33" s="605"/>
      <c r="T33" s="605"/>
      <c r="U33" s="605"/>
      <c r="V33" s="606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7"/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  <c r="O34" s="608"/>
      <c r="P34" s="604" t="s">
        <v>40</v>
      </c>
      <c r="Q34" s="605"/>
      <c r="R34" s="605"/>
      <c r="S34" s="605"/>
      <c r="T34" s="605"/>
      <c r="U34" s="605"/>
      <c r="V34" s="606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99" t="s">
        <v>107</v>
      </c>
      <c r="B35" s="599"/>
      <c r="C35" s="599"/>
      <c r="D35" s="599"/>
      <c r="E35" s="599"/>
      <c r="F35" s="599"/>
      <c r="G35" s="599"/>
      <c r="H35" s="599"/>
      <c r="I35" s="599"/>
      <c r="J35" s="599"/>
      <c r="K35" s="599"/>
      <c r="L35" s="599"/>
      <c r="M35" s="599"/>
      <c r="N35" s="599"/>
      <c r="O35" s="599"/>
      <c r="P35" s="599"/>
      <c r="Q35" s="599"/>
      <c r="R35" s="599"/>
      <c r="S35" s="599"/>
      <c r="T35" s="599"/>
      <c r="U35" s="599"/>
      <c r="V35" s="599"/>
      <c r="W35" s="599"/>
      <c r="X35" s="599"/>
      <c r="Y35" s="599"/>
      <c r="Z35" s="599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00">
        <v>4607091388503</v>
      </c>
      <c r="E36" s="60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2"/>
      <c r="R36" s="602"/>
      <c r="S36" s="602"/>
      <c r="T36" s="603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7"/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8"/>
      <c r="P37" s="604" t="s">
        <v>40</v>
      </c>
      <c r="Q37" s="605"/>
      <c r="R37" s="605"/>
      <c r="S37" s="605"/>
      <c r="T37" s="605"/>
      <c r="U37" s="605"/>
      <c r="V37" s="606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7"/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8"/>
      <c r="P38" s="604" t="s">
        <v>40</v>
      </c>
      <c r="Q38" s="605"/>
      <c r="R38" s="605"/>
      <c r="S38" s="605"/>
      <c r="T38" s="605"/>
      <c r="U38" s="605"/>
      <c r="V38" s="606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20" t="s">
        <v>45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52"/>
      <c r="AB39" s="52"/>
      <c r="AC39" s="52"/>
    </row>
    <row r="40" spans="1:68" ht="16.5" hidden="1" customHeight="1" x14ac:dyDescent="0.25">
      <c r="A40" s="615" t="s">
        <v>113</v>
      </c>
      <c r="B40" s="615"/>
      <c r="C40" s="615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615"/>
      <c r="Y40" s="615"/>
      <c r="Z40" s="615"/>
      <c r="AA40" s="62"/>
      <c r="AB40" s="62"/>
      <c r="AC40" s="62"/>
    </row>
    <row r="41" spans="1:68" ht="14.25" hidden="1" customHeight="1" x14ac:dyDescent="0.25">
      <c r="A41" s="599" t="s">
        <v>86</v>
      </c>
      <c r="B41" s="599"/>
      <c r="C41" s="599"/>
      <c r="D41" s="599"/>
      <c r="E41" s="599"/>
      <c r="F41" s="599"/>
      <c r="G41" s="599"/>
      <c r="H41" s="599"/>
      <c r="I41" s="599"/>
      <c r="J41" s="599"/>
      <c r="K41" s="599"/>
      <c r="L41" s="599"/>
      <c r="M41" s="599"/>
      <c r="N41" s="599"/>
      <c r="O41" s="599"/>
      <c r="P41" s="599"/>
      <c r="Q41" s="599"/>
      <c r="R41" s="599"/>
      <c r="S41" s="599"/>
      <c r="T41" s="599"/>
      <c r="U41" s="599"/>
      <c r="V41" s="599"/>
      <c r="W41" s="599"/>
      <c r="X41" s="599"/>
      <c r="Y41" s="599"/>
      <c r="Z41" s="599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00">
        <v>4680115888463</v>
      </c>
      <c r="E42" s="600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2"/>
      <c r="R42" s="602"/>
      <c r="S42" s="602"/>
      <c r="T42" s="603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00">
        <v>4680115888494</v>
      </c>
      <c r="E43" s="600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2"/>
      <c r="R43" s="602"/>
      <c r="S43" s="602"/>
      <c r="T43" s="603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00">
        <v>4680115888272</v>
      </c>
      <c r="E44" s="600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5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2"/>
      <c r="R44" s="602"/>
      <c r="S44" s="602"/>
      <c r="T44" s="603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00">
        <v>4680115888364</v>
      </c>
      <c r="E45" s="600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5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2"/>
      <c r="R45" s="602"/>
      <c r="S45" s="602"/>
      <c r="T45" s="603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07"/>
      <c r="B46" s="607"/>
      <c r="C46" s="607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8"/>
      <c r="P46" s="604" t="s">
        <v>40</v>
      </c>
      <c r="Q46" s="605"/>
      <c r="R46" s="605"/>
      <c r="S46" s="605"/>
      <c r="T46" s="605"/>
      <c r="U46" s="605"/>
      <c r="V46" s="606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07"/>
      <c r="B47" s="607"/>
      <c r="C47" s="607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8"/>
      <c r="P47" s="604" t="s">
        <v>40</v>
      </c>
      <c r="Q47" s="605"/>
      <c r="R47" s="605"/>
      <c r="S47" s="605"/>
      <c r="T47" s="605"/>
      <c r="U47" s="605"/>
      <c r="V47" s="606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20" t="s">
        <v>126</v>
      </c>
      <c r="B48" s="620"/>
      <c r="C48" s="620"/>
      <c r="D48" s="620"/>
      <c r="E48" s="620"/>
      <c r="F48" s="620"/>
      <c r="G48" s="620"/>
      <c r="H48" s="620"/>
      <c r="I48" s="620"/>
      <c r="J48" s="620"/>
      <c r="K48" s="620"/>
      <c r="L48" s="620"/>
      <c r="M48" s="620"/>
      <c r="N48" s="620"/>
      <c r="O48" s="620"/>
      <c r="P48" s="620"/>
      <c r="Q48" s="620"/>
      <c r="R48" s="620"/>
      <c r="S48" s="620"/>
      <c r="T48" s="620"/>
      <c r="U48" s="620"/>
      <c r="V48" s="620"/>
      <c r="W48" s="620"/>
      <c r="X48" s="620"/>
      <c r="Y48" s="620"/>
      <c r="Z48" s="620"/>
      <c r="AA48" s="52"/>
      <c r="AB48" s="52"/>
      <c r="AC48" s="52"/>
    </row>
    <row r="49" spans="1:68" ht="16.5" hidden="1" customHeight="1" x14ac:dyDescent="0.25">
      <c r="A49" s="615" t="s">
        <v>127</v>
      </c>
      <c r="B49" s="615"/>
      <c r="C49" s="615"/>
      <c r="D49" s="615"/>
      <c r="E49" s="615"/>
      <c r="F49" s="615"/>
      <c r="G49" s="615"/>
      <c r="H49" s="615"/>
      <c r="I49" s="615"/>
      <c r="J49" s="615"/>
      <c r="K49" s="615"/>
      <c r="L49" s="615"/>
      <c r="M49" s="615"/>
      <c r="N49" s="615"/>
      <c r="O49" s="615"/>
      <c r="P49" s="615"/>
      <c r="Q49" s="615"/>
      <c r="R49" s="615"/>
      <c r="S49" s="615"/>
      <c r="T49" s="615"/>
      <c r="U49" s="615"/>
      <c r="V49" s="615"/>
      <c r="W49" s="615"/>
      <c r="X49" s="615"/>
      <c r="Y49" s="615"/>
      <c r="Z49" s="615"/>
      <c r="AA49" s="62"/>
      <c r="AB49" s="62"/>
      <c r="AC49" s="62"/>
    </row>
    <row r="50" spans="1:68" ht="14.25" hidden="1" customHeight="1" x14ac:dyDescent="0.25">
      <c r="A50" s="599" t="s">
        <v>128</v>
      </c>
      <c r="B50" s="599"/>
      <c r="C50" s="599"/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599"/>
      <c r="V50" s="599"/>
      <c r="W50" s="599"/>
      <c r="X50" s="599"/>
      <c r="Y50" s="599"/>
      <c r="Z50" s="599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00">
        <v>4607091385670</v>
      </c>
      <c r="E51" s="600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2"/>
      <c r="R51" s="602"/>
      <c r="S51" s="602"/>
      <c r="T51" s="603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00">
        <v>4680115887725</v>
      </c>
      <c r="E52" s="600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2"/>
      <c r="R52" s="602"/>
      <c r="S52" s="602"/>
      <c r="T52" s="603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00">
        <v>4607091385687</v>
      </c>
      <c r="E53" s="600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2"/>
      <c r="R53" s="602"/>
      <c r="S53" s="602"/>
      <c r="T53" s="603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00">
        <v>4680115882539</v>
      </c>
      <c r="E54" s="600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2"/>
      <c r="R54" s="602"/>
      <c r="S54" s="602"/>
      <c r="T54" s="603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07"/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607"/>
      <c r="N55" s="607"/>
      <c r="O55" s="608"/>
      <c r="P55" s="604" t="s">
        <v>40</v>
      </c>
      <c r="Q55" s="605"/>
      <c r="R55" s="605"/>
      <c r="S55" s="605"/>
      <c r="T55" s="605"/>
      <c r="U55" s="605"/>
      <c r="V55" s="606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7"/>
      <c r="O56" s="608"/>
      <c r="P56" s="604" t="s">
        <v>40</v>
      </c>
      <c r="Q56" s="605"/>
      <c r="R56" s="605"/>
      <c r="S56" s="605"/>
      <c r="T56" s="605"/>
      <c r="U56" s="605"/>
      <c r="V56" s="606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15" t="s">
        <v>143</v>
      </c>
      <c r="B57" s="615"/>
      <c r="C57" s="615"/>
      <c r="D57" s="615"/>
      <c r="E57" s="615"/>
      <c r="F57" s="615"/>
      <c r="G57" s="615"/>
      <c r="H57" s="615"/>
      <c r="I57" s="615"/>
      <c r="J57" s="615"/>
      <c r="K57" s="615"/>
      <c r="L57" s="615"/>
      <c r="M57" s="615"/>
      <c r="N57" s="615"/>
      <c r="O57" s="615"/>
      <c r="P57" s="615"/>
      <c r="Q57" s="615"/>
      <c r="R57" s="615"/>
      <c r="S57" s="615"/>
      <c r="T57" s="615"/>
      <c r="U57" s="615"/>
      <c r="V57" s="615"/>
      <c r="W57" s="615"/>
      <c r="X57" s="615"/>
      <c r="Y57" s="615"/>
      <c r="Z57" s="615"/>
      <c r="AA57" s="62"/>
      <c r="AB57" s="62"/>
      <c r="AC57" s="62"/>
    </row>
    <row r="58" spans="1:68" ht="14.25" hidden="1" customHeight="1" x14ac:dyDescent="0.25">
      <c r="A58" s="599" t="s">
        <v>128</v>
      </c>
      <c r="B58" s="599"/>
      <c r="C58" s="599"/>
      <c r="D58" s="599"/>
      <c r="E58" s="599"/>
      <c r="F58" s="599"/>
      <c r="G58" s="599"/>
      <c r="H58" s="599"/>
      <c r="I58" s="599"/>
      <c r="J58" s="599"/>
      <c r="K58" s="599"/>
      <c r="L58" s="599"/>
      <c r="M58" s="599"/>
      <c r="N58" s="599"/>
      <c r="O58" s="599"/>
      <c r="P58" s="599"/>
      <c r="Q58" s="599"/>
      <c r="R58" s="599"/>
      <c r="S58" s="599"/>
      <c r="T58" s="599"/>
      <c r="U58" s="599"/>
      <c r="V58" s="599"/>
      <c r="W58" s="599"/>
      <c r="X58" s="599"/>
      <c r="Y58" s="599"/>
      <c r="Z58" s="599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00">
        <v>4680115885882</v>
      </c>
      <c r="E59" s="600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5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2"/>
      <c r="R59" s="602"/>
      <c r="S59" s="602"/>
      <c r="T59" s="60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00">
        <v>4680115885882</v>
      </c>
      <c r="E60" s="600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2"/>
      <c r="R60" s="602"/>
      <c r="S60" s="602"/>
      <c r="T60" s="60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00">
        <v>4680115881426</v>
      </c>
      <c r="E61" s="600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2"/>
      <c r="R61" s="602"/>
      <c r="S61" s="602"/>
      <c r="T61" s="60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00">
        <v>4680115880283</v>
      </c>
      <c r="E62" s="600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2"/>
      <c r="R62" s="602"/>
      <c r="S62" s="602"/>
      <c r="T62" s="603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00">
        <v>4680115881525</v>
      </c>
      <c r="E63" s="600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2"/>
      <c r="R63" s="602"/>
      <c r="S63" s="602"/>
      <c r="T63" s="603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00">
        <v>4680115885899</v>
      </c>
      <c r="E64" s="600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2"/>
      <c r="R64" s="602"/>
      <c r="S64" s="602"/>
      <c r="T64" s="603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00">
        <v>4680115881419</v>
      </c>
      <c r="E65" s="600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2"/>
      <c r="R65" s="602"/>
      <c r="S65" s="602"/>
      <c r="T65" s="603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07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8"/>
      <c r="P66" s="604" t="s">
        <v>40</v>
      </c>
      <c r="Q66" s="605"/>
      <c r="R66" s="605"/>
      <c r="S66" s="605"/>
      <c r="T66" s="605"/>
      <c r="U66" s="605"/>
      <c r="V66" s="606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08"/>
      <c r="P67" s="604" t="s">
        <v>40</v>
      </c>
      <c r="Q67" s="605"/>
      <c r="R67" s="605"/>
      <c r="S67" s="605"/>
      <c r="T67" s="605"/>
      <c r="U67" s="605"/>
      <c r="V67" s="606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599" t="s">
        <v>163</v>
      </c>
      <c r="B68" s="599"/>
      <c r="C68" s="599"/>
      <c r="D68" s="599"/>
      <c r="E68" s="599"/>
      <c r="F68" s="599"/>
      <c r="G68" s="599"/>
      <c r="H68" s="599"/>
      <c r="I68" s="599"/>
      <c r="J68" s="599"/>
      <c r="K68" s="599"/>
      <c r="L68" s="599"/>
      <c r="M68" s="599"/>
      <c r="N68" s="599"/>
      <c r="O68" s="599"/>
      <c r="P68" s="599"/>
      <c r="Q68" s="599"/>
      <c r="R68" s="599"/>
      <c r="S68" s="599"/>
      <c r="T68" s="599"/>
      <c r="U68" s="599"/>
      <c r="V68" s="599"/>
      <c r="W68" s="599"/>
      <c r="X68" s="599"/>
      <c r="Y68" s="599"/>
      <c r="Z68" s="599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00">
        <v>4680115881440</v>
      </c>
      <c r="E69" s="600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2"/>
      <c r="R69" s="602"/>
      <c r="S69" s="602"/>
      <c r="T69" s="603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00">
        <v>4680115885950</v>
      </c>
      <c r="E70" s="600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2"/>
      <c r="R70" s="602"/>
      <c r="S70" s="602"/>
      <c r="T70" s="603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00">
        <v>4680115887688</v>
      </c>
      <c r="E71" s="600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2"/>
      <c r="R71" s="602"/>
      <c r="S71" s="602"/>
      <c r="T71" s="60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00">
        <v>4680115881433</v>
      </c>
      <c r="E72" s="600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2"/>
      <c r="R72" s="602"/>
      <c r="S72" s="602"/>
      <c r="T72" s="60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07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08"/>
      <c r="P73" s="604" t="s">
        <v>40</v>
      </c>
      <c r="Q73" s="605"/>
      <c r="R73" s="605"/>
      <c r="S73" s="605"/>
      <c r="T73" s="605"/>
      <c r="U73" s="605"/>
      <c r="V73" s="606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8"/>
      <c r="P74" s="604" t="s">
        <v>40</v>
      </c>
      <c r="Q74" s="605"/>
      <c r="R74" s="605"/>
      <c r="S74" s="605"/>
      <c r="T74" s="605"/>
      <c r="U74" s="605"/>
      <c r="V74" s="606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599" t="s">
        <v>86</v>
      </c>
      <c r="B75" s="599"/>
      <c r="C75" s="599"/>
      <c r="D75" s="599"/>
      <c r="E75" s="599"/>
      <c r="F75" s="599"/>
      <c r="G75" s="599"/>
      <c r="H75" s="599"/>
      <c r="I75" s="599"/>
      <c r="J75" s="599"/>
      <c r="K75" s="599"/>
      <c r="L75" s="599"/>
      <c r="M75" s="599"/>
      <c r="N75" s="599"/>
      <c r="O75" s="599"/>
      <c r="P75" s="599"/>
      <c r="Q75" s="599"/>
      <c r="R75" s="599"/>
      <c r="S75" s="599"/>
      <c r="T75" s="599"/>
      <c r="U75" s="599"/>
      <c r="V75" s="599"/>
      <c r="W75" s="599"/>
      <c r="X75" s="599"/>
      <c r="Y75" s="599"/>
      <c r="Z75" s="599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00">
        <v>4680115884311</v>
      </c>
      <c r="E76" s="600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2"/>
      <c r="R76" s="602"/>
      <c r="S76" s="602"/>
      <c r="T76" s="603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00">
        <v>4680115884403</v>
      </c>
      <c r="E77" s="600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2"/>
      <c r="R77" s="602"/>
      <c r="S77" s="602"/>
      <c r="T77" s="60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7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08"/>
      <c r="P78" s="604" t="s">
        <v>40</v>
      </c>
      <c r="Q78" s="605"/>
      <c r="R78" s="605"/>
      <c r="S78" s="605"/>
      <c r="T78" s="605"/>
      <c r="U78" s="605"/>
      <c r="V78" s="606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  <c r="N79" s="607"/>
      <c r="O79" s="608"/>
      <c r="P79" s="604" t="s">
        <v>40</v>
      </c>
      <c r="Q79" s="605"/>
      <c r="R79" s="605"/>
      <c r="S79" s="605"/>
      <c r="T79" s="605"/>
      <c r="U79" s="605"/>
      <c r="V79" s="606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599" t="s">
        <v>180</v>
      </c>
      <c r="B80" s="599"/>
      <c r="C80" s="599"/>
      <c r="D80" s="599"/>
      <c r="E80" s="599"/>
      <c r="F80" s="599"/>
      <c r="G80" s="599"/>
      <c r="H80" s="599"/>
      <c r="I80" s="599"/>
      <c r="J80" s="599"/>
      <c r="K80" s="599"/>
      <c r="L80" s="599"/>
      <c r="M80" s="599"/>
      <c r="N80" s="599"/>
      <c r="O80" s="599"/>
      <c r="P80" s="599"/>
      <c r="Q80" s="599"/>
      <c r="R80" s="599"/>
      <c r="S80" s="599"/>
      <c r="T80" s="599"/>
      <c r="U80" s="599"/>
      <c r="V80" s="599"/>
      <c r="W80" s="599"/>
      <c r="X80" s="599"/>
      <c r="Y80" s="599"/>
      <c r="Z80" s="599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00">
        <v>4680115881532</v>
      </c>
      <c r="E81" s="600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2"/>
      <c r="R81" s="602"/>
      <c r="S81" s="602"/>
      <c r="T81" s="603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00">
        <v>4680115881464</v>
      </c>
      <c r="E82" s="600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4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2"/>
      <c r="R82" s="602"/>
      <c r="S82" s="602"/>
      <c r="T82" s="603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07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8"/>
      <c r="P83" s="604" t="s">
        <v>40</v>
      </c>
      <c r="Q83" s="605"/>
      <c r="R83" s="605"/>
      <c r="S83" s="605"/>
      <c r="T83" s="605"/>
      <c r="U83" s="605"/>
      <c r="V83" s="606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  <c r="N84" s="607"/>
      <c r="O84" s="608"/>
      <c r="P84" s="604" t="s">
        <v>40</v>
      </c>
      <c r="Q84" s="605"/>
      <c r="R84" s="605"/>
      <c r="S84" s="605"/>
      <c r="T84" s="605"/>
      <c r="U84" s="605"/>
      <c r="V84" s="606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15" t="s">
        <v>187</v>
      </c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15"/>
      <c r="P85" s="615"/>
      <c r="Q85" s="615"/>
      <c r="R85" s="615"/>
      <c r="S85" s="615"/>
      <c r="T85" s="615"/>
      <c r="U85" s="615"/>
      <c r="V85" s="615"/>
      <c r="W85" s="615"/>
      <c r="X85" s="615"/>
      <c r="Y85" s="615"/>
      <c r="Z85" s="615"/>
      <c r="AA85" s="62"/>
      <c r="AB85" s="62"/>
      <c r="AC85" s="62"/>
    </row>
    <row r="86" spans="1:68" ht="14.25" hidden="1" customHeight="1" x14ac:dyDescent="0.25">
      <c r="A86" s="599" t="s">
        <v>128</v>
      </c>
      <c r="B86" s="599"/>
      <c r="C86" s="599"/>
      <c r="D86" s="599"/>
      <c r="E86" s="599"/>
      <c r="F86" s="599"/>
      <c r="G86" s="599"/>
      <c r="H86" s="599"/>
      <c r="I86" s="599"/>
      <c r="J86" s="599"/>
      <c r="K86" s="599"/>
      <c r="L86" s="599"/>
      <c r="M86" s="599"/>
      <c r="N86" s="599"/>
      <c r="O86" s="599"/>
      <c r="P86" s="599"/>
      <c r="Q86" s="599"/>
      <c r="R86" s="599"/>
      <c r="S86" s="599"/>
      <c r="T86" s="599"/>
      <c r="U86" s="599"/>
      <c r="V86" s="599"/>
      <c r="W86" s="599"/>
      <c r="X86" s="599"/>
      <c r="Y86" s="599"/>
      <c r="Z86" s="599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00">
        <v>4680115881327</v>
      </c>
      <c r="E87" s="600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3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2"/>
      <c r="R87" s="602"/>
      <c r="S87" s="602"/>
      <c r="T87" s="603"/>
      <c r="U87" s="37" t="s">
        <v>46</v>
      </c>
      <c r="V87" s="37" t="s">
        <v>46</v>
      </c>
      <c r="W87" s="38" t="s">
        <v>0</v>
      </c>
      <c r="X87" s="56">
        <v>40</v>
      </c>
      <c r="Y87" s="53">
        <f>IFERROR(IF(X87="",0,CEILING((X87/$H87),1)*$H87),"")</f>
        <v>43.2</v>
      </c>
      <c r="Z87" s="39">
        <f>IFERROR(IF(Y87=0,"",ROUNDUP(Y87/H87,0)*0.01898),"")</f>
        <v>7.5920000000000001E-2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41.518518518518519</v>
      </c>
      <c r="BN87" s="75">
        <f>IFERROR(Y87*I87/H87,"0")</f>
        <v>44.84</v>
      </c>
      <c r="BO87" s="75">
        <f>IFERROR(1/J87*(X87/H87),"0")</f>
        <v>5.7870370370370364E-2</v>
      </c>
      <c r="BP87" s="75">
        <f>IFERROR(1/J87*(Y87/H87),"0")</f>
        <v>6.25E-2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00">
        <v>4680115887732</v>
      </c>
      <c r="E88" s="600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2"/>
      <c r="R88" s="602"/>
      <c r="S88" s="602"/>
      <c r="T88" s="60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00">
        <v>4680115881518</v>
      </c>
      <c r="E89" s="600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2"/>
      <c r="R89" s="602"/>
      <c r="S89" s="602"/>
      <c r="T89" s="60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00">
        <v>4680115881303</v>
      </c>
      <c r="E90" s="600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2"/>
      <c r="R90" s="602"/>
      <c r="S90" s="602"/>
      <c r="T90" s="603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07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8"/>
      <c r="P91" s="604" t="s">
        <v>40</v>
      </c>
      <c r="Q91" s="605"/>
      <c r="R91" s="605"/>
      <c r="S91" s="605"/>
      <c r="T91" s="605"/>
      <c r="U91" s="605"/>
      <c r="V91" s="606"/>
      <c r="W91" s="40" t="s">
        <v>39</v>
      </c>
      <c r="X91" s="41">
        <f>IFERROR(X87/H87,"0")+IFERROR(X88/H88,"0")+IFERROR(X89/H89,"0")+IFERROR(X90/H90,"0")</f>
        <v>3.7037037037037033</v>
      </c>
      <c r="Y91" s="41">
        <f>IFERROR(Y87/H87,"0")+IFERROR(Y88/H88,"0")+IFERROR(Y89/H89,"0")+IFERROR(Y90/H90,"0")</f>
        <v>4</v>
      </c>
      <c r="Z91" s="41">
        <f>IFERROR(IF(Z87="",0,Z87),"0")+IFERROR(IF(Z88="",0,Z88),"0")+IFERROR(IF(Z89="",0,Z89),"0")+IFERROR(IF(Z90="",0,Z90),"0")</f>
        <v>7.5920000000000001E-2</v>
      </c>
      <c r="AA91" s="64"/>
      <c r="AB91" s="64"/>
      <c r="AC91" s="64"/>
    </row>
    <row r="92" spans="1:68" x14ac:dyDescent="0.2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8"/>
      <c r="P92" s="604" t="s">
        <v>40</v>
      </c>
      <c r="Q92" s="605"/>
      <c r="R92" s="605"/>
      <c r="S92" s="605"/>
      <c r="T92" s="605"/>
      <c r="U92" s="605"/>
      <c r="V92" s="606"/>
      <c r="W92" s="40" t="s">
        <v>0</v>
      </c>
      <c r="X92" s="41">
        <f>IFERROR(SUM(X87:X90),"0")</f>
        <v>40</v>
      </c>
      <c r="Y92" s="41">
        <f>IFERROR(SUM(Y87:Y90),"0")</f>
        <v>43.2</v>
      </c>
      <c r="Z92" s="40"/>
      <c r="AA92" s="64"/>
      <c r="AB92" s="64"/>
      <c r="AC92" s="64"/>
    </row>
    <row r="93" spans="1:68" ht="14.25" hidden="1" customHeight="1" x14ac:dyDescent="0.25">
      <c r="A93" s="599" t="s">
        <v>86</v>
      </c>
      <c r="B93" s="599"/>
      <c r="C93" s="599"/>
      <c r="D93" s="599"/>
      <c r="E93" s="599"/>
      <c r="F93" s="599"/>
      <c r="G93" s="599"/>
      <c r="H93" s="599"/>
      <c r="I93" s="599"/>
      <c r="J93" s="599"/>
      <c r="K93" s="599"/>
      <c r="L93" s="599"/>
      <c r="M93" s="599"/>
      <c r="N93" s="599"/>
      <c r="O93" s="599"/>
      <c r="P93" s="599"/>
      <c r="Q93" s="599"/>
      <c r="R93" s="599"/>
      <c r="S93" s="599"/>
      <c r="T93" s="599"/>
      <c r="U93" s="599"/>
      <c r="V93" s="599"/>
      <c r="W93" s="599"/>
      <c r="X93" s="599"/>
      <c r="Y93" s="599"/>
      <c r="Z93" s="599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600">
        <v>4607091386967</v>
      </c>
      <c r="E94" s="60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2"/>
      <c r="R94" s="602"/>
      <c r="S94" s="602"/>
      <c r="T94" s="603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00">
        <v>4680115884953</v>
      </c>
      <c r="E95" s="60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2"/>
      <c r="R95" s="602"/>
      <c r="S95" s="602"/>
      <c r="T95" s="603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00">
        <v>4607091385731</v>
      </c>
      <c r="E96" s="60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2"/>
      <c r="R96" s="602"/>
      <c r="S96" s="602"/>
      <c r="T96" s="603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00">
        <v>4680115880894</v>
      </c>
      <c r="E97" s="600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2"/>
      <c r="R97" s="602"/>
      <c r="S97" s="602"/>
      <c r="T97" s="603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07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8"/>
      <c r="P98" s="604" t="s">
        <v>40</v>
      </c>
      <c r="Q98" s="605"/>
      <c r="R98" s="605"/>
      <c r="S98" s="605"/>
      <c r="T98" s="605"/>
      <c r="U98" s="605"/>
      <c r="V98" s="606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8"/>
      <c r="P99" s="604" t="s">
        <v>40</v>
      </c>
      <c r="Q99" s="605"/>
      <c r="R99" s="605"/>
      <c r="S99" s="605"/>
      <c r="T99" s="605"/>
      <c r="U99" s="605"/>
      <c r="V99" s="606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15" t="s">
        <v>208</v>
      </c>
      <c r="B100" s="615"/>
      <c r="C100" s="615"/>
      <c r="D100" s="615"/>
      <c r="E100" s="615"/>
      <c r="F100" s="615"/>
      <c r="G100" s="615"/>
      <c r="H100" s="615"/>
      <c r="I100" s="615"/>
      <c r="J100" s="615"/>
      <c r="K100" s="615"/>
      <c r="L100" s="615"/>
      <c r="M100" s="615"/>
      <c r="N100" s="615"/>
      <c r="O100" s="615"/>
      <c r="P100" s="615"/>
      <c r="Q100" s="615"/>
      <c r="R100" s="615"/>
      <c r="S100" s="615"/>
      <c r="T100" s="615"/>
      <c r="U100" s="615"/>
      <c r="V100" s="615"/>
      <c r="W100" s="615"/>
      <c r="X100" s="615"/>
      <c r="Y100" s="615"/>
      <c r="Z100" s="615"/>
      <c r="AA100" s="62"/>
      <c r="AB100" s="62"/>
      <c r="AC100" s="62"/>
    </row>
    <row r="101" spans="1:68" ht="14.25" hidden="1" customHeight="1" x14ac:dyDescent="0.25">
      <c r="A101" s="599" t="s">
        <v>128</v>
      </c>
      <c r="B101" s="599"/>
      <c r="C101" s="599"/>
      <c r="D101" s="599"/>
      <c r="E101" s="599"/>
      <c r="F101" s="599"/>
      <c r="G101" s="599"/>
      <c r="H101" s="599"/>
      <c r="I101" s="599"/>
      <c r="J101" s="599"/>
      <c r="K101" s="599"/>
      <c r="L101" s="599"/>
      <c r="M101" s="599"/>
      <c r="N101" s="599"/>
      <c r="O101" s="599"/>
      <c r="P101" s="599"/>
      <c r="Q101" s="599"/>
      <c r="R101" s="599"/>
      <c r="S101" s="599"/>
      <c r="T101" s="599"/>
      <c r="U101" s="599"/>
      <c r="V101" s="599"/>
      <c r="W101" s="599"/>
      <c r="X101" s="599"/>
      <c r="Y101" s="599"/>
      <c r="Z101" s="599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00">
        <v>4680115882133</v>
      </c>
      <c r="E102" s="600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2"/>
      <c r="R102" s="602"/>
      <c r="S102" s="602"/>
      <c r="T102" s="603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00">
        <v>4680115887718</v>
      </c>
      <c r="E103" s="600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2"/>
      <c r="R103" s="602"/>
      <c r="S103" s="602"/>
      <c r="T103" s="60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00">
        <v>4680115887718</v>
      </c>
      <c r="E104" s="600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2"/>
      <c r="R104" s="602"/>
      <c r="S104" s="602"/>
      <c r="T104" s="60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00">
        <v>4680115887749</v>
      </c>
      <c r="E105" s="600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2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2"/>
      <c r="R105" s="602"/>
      <c r="S105" s="602"/>
      <c r="T105" s="60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00">
        <v>4680115880269</v>
      </c>
      <c r="E106" s="600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2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2"/>
      <c r="R106" s="602"/>
      <c r="S106" s="602"/>
      <c r="T106" s="60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00">
        <v>4680115880429</v>
      </c>
      <c r="E107" s="600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2"/>
      <c r="R107" s="602"/>
      <c r="S107" s="602"/>
      <c r="T107" s="60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00">
        <v>4680115881457</v>
      </c>
      <c r="E108" s="600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2"/>
      <c r="R108" s="602"/>
      <c r="S108" s="602"/>
      <c r="T108" s="60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07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8"/>
      <c r="P109" s="604" t="s">
        <v>40</v>
      </c>
      <c r="Q109" s="605"/>
      <c r="R109" s="605"/>
      <c r="S109" s="605"/>
      <c r="T109" s="605"/>
      <c r="U109" s="605"/>
      <c r="V109" s="606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8"/>
      <c r="P110" s="604" t="s">
        <v>40</v>
      </c>
      <c r="Q110" s="605"/>
      <c r="R110" s="605"/>
      <c r="S110" s="605"/>
      <c r="T110" s="605"/>
      <c r="U110" s="605"/>
      <c r="V110" s="606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599" t="s">
        <v>163</v>
      </c>
      <c r="B111" s="599"/>
      <c r="C111" s="599"/>
      <c r="D111" s="599"/>
      <c r="E111" s="599"/>
      <c r="F111" s="599"/>
      <c r="G111" s="599"/>
      <c r="H111" s="599"/>
      <c r="I111" s="599"/>
      <c r="J111" s="599"/>
      <c r="K111" s="599"/>
      <c r="L111" s="599"/>
      <c r="M111" s="599"/>
      <c r="N111" s="599"/>
      <c r="O111" s="599"/>
      <c r="P111" s="599"/>
      <c r="Q111" s="599"/>
      <c r="R111" s="599"/>
      <c r="S111" s="599"/>
      <c r="T111" s="599"/>
      <c r="U111" s="599"/>
      <c r="V111" s="599"/>
      <c r="W111" s="599"/>
      <c r="X111" s="599"/>
      <c r="Y111" s="599"/>
      <c r="Z111" s="599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00">
        <v>4680115881488</v>
      </c>
      <c r="E112" s="600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2"/>
      <c r="R112" s="602"/>
      <c r="S112" s="602"/>
      <c r="T112" s="603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00">
        <v>4680115881488</v>
      </c>
      <c r="E113" s="600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2"/>
      <c r="R113" s="602"/>
      <c r="S113" s="602"/>
      <c r="T113" s="603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00">
        <v>4680115887664</v>
      </c>
      <c r="E114" s="600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1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2"/>
      <c r="R114" s="602"/>
      <c r="S114" s="602"/>
      <c r="T114" s="603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00">
        <v>4680115887664</v>
      </c>
      <c r="E115" s="600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2"/>
      <c r="R115" s="602"/>
      <c r="S115" s="602"/>
      <c r="T115" s="603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00">
        <v>4680115882775</v>
      </c>
      <c r="E116" s="600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2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2"/>
      <c r="R116" s="602"/>
      <c r="S116" s="602"/>
      <c r="T116" s="603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00">
        <v>4680115880658</v>
      </c>
      <c r="E117" s="600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2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2"/>
      <c r="R117" s="602"/>
      <c r="S117" s="602"/>
      <c r="T117" s="603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07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08"/>
      <c r="P118" s="604" t="s">
        <v>40</v>
      </c>
      <c r="Q118" s="605"/>
      <c r="R118" s="605"/>
      <c r="S118" s="605"/>
      <c r="T118" s="605"/>
      <c r="U118" s="605"/>
      <c r="V118" s="606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8"/>
      <c r="P119" s="604" t="s">
        <v>40</v>
      </c>
      <c r="Q119" s="605"/>
      <c r="R119" s="605"/>
      <c r="S119" s="605"/>
      <c r="T119" s="605"/>
      <c r="U119" s="605"/>
      <c r="V119" s="606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599" t="s">
        <v>86</v>
      </c>
      <c r="B120" s="599"/>
      <c r="C120" s="599"/>
      <c r="D120" s="599"/>
      <c r="E120" s="599"/>
      <c r="F120" s="599"/>
      <c r="G120" s="599"/>
      <c r="H120" s="599"/>
      <c r="I120" s="599"/>
      <c r="J120" s="599"/>
      <c r="K120" s="599"/>
      <c r="L120" s="599"/>
      <c r="M120" s="599"/>
      <c r="N120" s="599"/>
      <c r="O120" s="599"/>
      <c r="P120" s="599"/>
      <c r="Q120" s="599"/>
      <c r="R120" s="599"/>
      <c r="S120" s="599"/>
      <c r="T120" s="599"/>
      <c r="U120" s="599"/>
      <c r="V120" s="599"/>
      <c r="W120" s="599"/>
      <c r="X120" s="599"/>
      <c r="Y120" s="599"/>
      <c r="Z120" s="599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00">
        <v>4607091385168</v>
      </c>
      <c r="E121" s="600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81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2"/>
      <c r="R121" s="602"/>
      <c r="S121" s="602"/>
      <c r="T121" s="603"/>
      <c r="U121" s="37" t="s">
        <v>46</v>
      </c>
      <c r="V121" s="37" t="s">
        <v>46</v>
      </c>
      <c r="W121" s="38" t="s">
        <v>0</v>
      </c>
      <c r="X121" s="56">
        <v>50</v>
      </c>
      <c r="Y121" s="53">
        <f>IFERROR(IF(X121="",0,CEILING((X121/$H121),1)*$H121),"")</f>
        <v>56.699999999999996</v>
      </c>
      <c r="Z121" s="39">
        <f>IFERROR(IF(Y121=0,"",ROUNDUP(Y121/H121,0)*0.01898),"")</f>
        <v>0.13286000000000001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53.012345679012348</v>
      </c>
      <c r="BN121" s="75">
        <f>IFERROR(Y121*I121/H121,"0")</f>
        <v>60.115999999999993</v>
      </c>
      <c r="BO121" s="75">
        <f>IFERROR(1/J121*(X121/H121),"0")</f>
        <v>9.6450617283950615E-2</v>
      </c>
      <c r="BP121" s="75">
        <f>IFERROR(1/J121*(Y121/H121),"0")</f>
        <v>0.109375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00">
        <v>4607091383256</v>
      </c>
      <c r="E122" s="600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1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2"/>
      <c r="R122" s="602"/>
      <c r="S122" s="602"/>
      <c r="T122" s="603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600">
        <v>4607091385748</v>
      </c>
      <c r="E123" s="600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1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2"/>
      <c r="R123" s="602"/>
      <c r="S123" s="602"/>
      <c r="T123" s="603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00">
        <v>4680115884533</v>
      </c>
      <c r="E124" s="600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2"/>
      <c r="R124" s="602"/>
      <c r="S124" s="602"/>
      <c r="T124" s="60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7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08"/>
      <c r="P125" s="604" t="s">
        <v>40</v>
      </c>
      <c r="Q125" s="605"/>
      <c r="R125" s="605"/>
      <c r="S125" s="605"/>
      <c r="T125" s="605"/>
      <c r="U125" s="605"/>
      <c r="V125" s="606"/>
      <c r="W125" s="40" t="s">
        <v>39</v>
      </c>
      <c r="X125" s="41">
        <f>IFERROR(X121/H121,"0")+IFERROR(X122/H122,"0")+IFERROR(X123/H123,"0")+IFERROR(X124/H124,"0")</f>
        <v>6.1728395061728394</v>
      </c>
      <c r="Y125" s="41">
        <f>IFERROR(Y121/H121,"0")+IFERROR(Y122/H122,"0")+IFERROR(Y123/H123,"0")+IFERROR(Y124/H124,"0")</f>
        <v>7</v>
      </c>
      <c r="Z125" s="41">
        <f>IFERROR(IF(Z121="",0,Z121),"0")+IFERROR(IF(Z122="",0,Z122),"0")+IFERROR(IF(Z123="",0,Z123),"0")+IFERROR(IF(Z124="",0,Z124),"0")</f>
        <v>0.13286000000000001</v>
      </c>
      <c r="AA125" s="64"/>
      <c r="AB125" s="64"/>
      <c r="AC125" s="64"/>
    </row>
    <row r="126" spans="1:68" x14ac:dyDescent="0.2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8"/>
      <c r="P126" s="604" t="s">
        <v>40</v>
      </c>
      <c r="Q126" s="605"/>
      <c r="R126" s="605"/>
      <c r="S126" s="605"/>
      <c r="T126" s="605"/>
      <c r="U126" s="605"/>
      <c r="V126" s="606"/>
      <c r="W126" s="40" t="s">
        <v>0</v>
      </c>
      <c r="X126" s="41">
        <f>IFERROR(SUM(X121:X124),"0")</f>
        <v>50</v>
      </c>
      <c r="Y126" s="41">
        <f>IFERROR(SUM(Y121:Y124),"0")</f>
        <v>56.699999999999996</v>
      </c>
      <c r="Z126" s="40"/>
      <c r="AA126" s="64"/>
      <c r="AB126" s="64"/>
      <c r="AC126" s="64"/>
    </row>
    <row r="127" spans="1:68" ht="14.25" hidden="1" customHeight="1" x14ac:dyDescent="0.25">
      <c r="A127" s="599" t="s">
        <v>180</v>
      </c>
      <c r="B127" s="599"/>
      <c r="C127" s="599"/>
      <c r="D127" s="599"/>
      <c r="E127" s="599"/>
      <c r="F127" s="599"/>
      <c r="G127" s="599"/>
      <c r="H127" s="599"/>
      <c r="I127" s="599"/>
      <c r="J127" s="599"/>
      <c r="K127" s="599"/>
      <c r="L127" s="599"/>
      <c r="M127" s="599"/>
      <c r="N127" s="599"/>
      <c r="O127" s="599"/>
      <c r="P127" s="599"/>
      <c r="Q127" s="599"/>
      <c r="R127" s="599"/>
      <c r="S127" s="599"/>
      <c r="T127" s="599"/>
      <c r="U127" s="599"/>
      <c r="V127" s="599"/>
      <c r="W127" s="599"/>
      <c r="X127" s="599"/>
      <c r="Y127" s="599"/>
      <c r="Z127" s="599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00">
        <v>4680115880238</v>
      </c>
      <c r="E128" s="600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2"/>
      <c r="R128" s="602"/>
      <c r="S128" s="602"/>
      <c r="T128" s="603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07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08"/>
      <c r="P129" s="604" t="s">
        <v>40</v>
      </c>
      <c r="Q129" s="605"/>
      <c r="R129" s="605"/>
      <c r="S129" s="605"/>
      <c r="T129" s="605"/>
      <c r="U129" s="605"/>
      <c r="V129" s="606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8"/>
      <c r="P130" s="604" t="s">
        <v>40</v>
      </c>
      <c r="Q130" s="605"/>
      <c r="R130" s="605"/>
      <c r="S130" s="605"/>
      <c r="T130" s="605"/>
      <c r="U130" s="605"/>
      <c r="V130" s="606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15" t="s">
        <v>251</v>
      </c>
      <c r="B131" s="615"/>
      <c r="C131" s="615"/>
      <c r="D131" s="615"/>
      <c r="E131" s="615"/>
      <c r="F131" s="615"/>
      <c r="G131" s="615"/>
      <c r="H131" s="615"/>
      <c r="I131" s="615"/>
      <c r="J131" s="615"/>
      <c r="K131" s="615"/>
      <c r="L131" s="615"/>
      <c r="M131" s="615"/>
      <c r="N131" s="615"/>
      <c r="O131" s="615"/>
      <c r="P131" s="615"/>
      <c r="Q131" s="615"/>
      <c r="R131" s="615"/>
      <c r="S131" s="615"/>
      <c r="T131" s="615"/>
      <c r="U131" s="615"/>
      <c r="V131" s="615"/>
      <c r="W131" s="615"/>
      <c r="X131" s="615"/>
      <c r="Y131" s="615"/>
      <c r="Z131" s="615"/>
      <c r="AA131" s="62"/>
      <c r="AB131" s="62"/>
      <c r="AC131" s="62"/>
    </row>
    <row r="132" spans="1:68" ht="14.25" hidden="1" customHeight="1" x14ac:dyDescent="0.25">
      <c r="A132" s="599" t="s">
        <v>128</v>
      </c>
      <c r="B132" s="599"/>
      <c r="C132" s="599"/>
      <c r="D132" s="599"/>
      <c r="E132" s="599"/>
      <c r="F132" s="599"/>
      <c r="G132" s="599"/>
      <c r="H132" s="599"/>
      <c r="I132" s="599"/>
      <c r="J132" s="599"/>
      <c r="K132" s="599"/>
      <c r="L132" s="599"/>
      <c r="M132" s="599"/>
      <c r="N132" s="599"/>
      <c r="O132" s="599"/>
      <c r="P132" s="599"/>
      <c r="Q132" s="599"/>
      <c r="R132" s="599"/>
      <c r="S132" s="599"/>
      <c r="T132" s="599"/>
      <c r="U132" s="599"/>
      <c r="V132" s="599"/>
      <c r="W132" s="599"/>
      <c r="X132" s="599"/>
      <c r="Y132" s="599"/>
      <c r="Z132" s="599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00">
        <v>4680115882577</v>
      </c>
      <c r="E133" s="600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81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2"/>
      <c r="R133" s="602"/>
      <c r="S133" s="602"/>
      <c r="T133" s="60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00">
        <v>4680115882577</v>
      </c>
      <c r="E134" s="600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2"/>
      <c r="R134" s="602"/>
      <c r="S134" s="602"/>
      <c r="T134" s="603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07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08"/>
      <c r="P135" s="604" t="s">
        <v>40</v>
      </c>
      <c r="Q135" s="605"/>
      <c r="R135" s="605"/>
      <c r="S135" s="605"/>
      <c r="T135" s="605"/>
      <c r="U135" s="605"/>
      <c r="V135" s="606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8"/>
      <c r="P136" s="604" t="s">
        <v>40</v>
      </c>
      <c r="Q136" s="605"/>
      <c r="R136" s="605"/>
      <c r="S136" s="605"/>
      <c r="T136" s="605"/>
      <c r="U136" s="605"/>
      <c r="V136" s="606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599" t="s">
        <v>77</v>
      </c>
      <c r="B137" s="599"/>
      <c r="C137" s="599"/>
      <c r="D137" s="599"/>
      <c r="E137" s="599"/>
      <c r="F137" s="599"/>
      <c r="G137" s="599"/>
      <c r="H137" s="599"/>
      <c r="I137" s="599"/>
      <c r="J137" s="599"/>
      <c r="K137" s="599"/>
      <c r="L137" s="599"/>
      <c r="M137" s="599"/>
      <c r="N137" s="599"/>
      <c r="O137" s="599"/>
      <c r="P137" s="599"/>
      <c r="Q137" s="599"/>
      <c r="R137" s="599"/>
      <c r="S137" s="599"/>
      <c r="T137" s="599"/>
      <c r="U137" s="599"/>
      <c r="V137" s="599"/>
      <c r="W137" s="599"/>
      <c r="X137" s="599"/>
      <c r="Y137" s="599"/>
      <c r="Z137" s="599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00">
        <v>4680115883444</v>
      </c>
      <c r="E138" s="600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2"/>
      <c r="R138" s="602"/>
      <c r="S138" s="602"/>
      <c r="T138" s="60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00">
        <v>4680115883444</v>
      </c>
      <c r="E139" s="600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2"/>
      <c r="R139" s="602"/>
      <c r="S139" s="602"/>
      <c r="T139" s="60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07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8"/>
      <c r="P140" s="604" t="s">
        <v>40</v>
      </c>
      <c r="Q140" s="605"/>
      <c r="R140" s="605"/>
      <c r="S140" s="605"/>
      <c r="T140" s="605"/>
      <c r="U140" s="605"/>
      <c r="V140" s="606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8"/>
      <c r="P141" s="604" t="s">
        <v>40</v>
      </c>
      <c r="Q141" s="605"/>
      <c r="R141" s="605"/>
      <c r="S141" s="605"/>
      <c r="T141" s="605"/>
      <c r="U141" s="605"/>
      <c r="V141" s="606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599" t="s">
        <v>86</v>
      </c>
      <c r="B142" s="599"/>
      <c r="C142" s="599"/>
      <c r="D142" s="599"/>
      <c r="E142" s="599"/>
      <c r="F142" s="599"/>
      <c r="G142" s="599"/>
      <c r="H142" s="599"/>
      <c r="I142" s="599"/>
      <c r="J142" s="599"/>
      <c r="K142" s="599"/>
      <c r="L142" s="599"/>
      <c r="M142" s="599"/>
      <c r="N142" s="599"/>
      <c r="O142" s="599"/>
      <c r="P142" s="599"/>
      <c r="Q142" s="599"/>
      <c r="R142" s="599"/>
      <c r="S142" s="599"/>
      <c r="T142" s="599"/>
      <c r="U142" s="599"/>
      <c r="V142" s="599"/>
      <c r="W142" s="599"/>
      <c r="X142" s="599"/>
      <c r="Y142" s="599"/>
      <c r="Z142" s="599"/>
      <c r="AA142" s="63"/>
      <c r="AB142" s="63"/>
      <c r="AC142" s="63"/>
    </row>
    <row r="143" spans="1:68" ht="16.5" hidden="1" customHeight="1" x14ac:dyDescent="0.25">
      <c r="A143" s="60" t="s">
        <v>260</v>
      </c>
      <c r="B143" s="60" t="s">
        <v>261</v>
      </c>
      <c r="C143" s="34">
        <v>4301051476</v>
      </c>
      <c r="D143" s="600">
        <v>4680115882584</v>
      </c>
      <c r="E143" s="600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2"/>
      <c r="R143" s="602"/>
      <c r="S143" s="602"/>
      <c r="T143" s="60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00">
        <v>4680115882584</v>
      </c>
      <c r="E144" s="600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0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2"/>
      <c r="R144" s="602"/>
      <c r="S144" s="602"/>
      <c r="T144" s="60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07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08"/>
      <c r="P145" s="604" t="s">
        <v>40</v>
      </c>
      <c r="Q145" s="605"/>
      <c r="R145" s="605"/>
      <c r="S145" s="605"/>
      <c r="T145" s="605"/>
      <c r="U145" s="605"/>
      <c r="V145" s="606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8"/>
      <c r="P146" s="604" t="s">
        <v>40</v>
      </c>
      <c r="Q146" s="605"/>
      <c r="R146" s="605"/>
      <c r="S146" s="605"/>
      <c r="T146" s="605"/>
      <c r="U146" s="605"/>
      <c r="V146" s="606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15" t="s">
        <v>263</v>
      </c>
      <c r="B147" s="615"/>
      <c r="C147" s="615"/>
      <c r="D147" s="615"/>
      <c r="E147" s="615"/>
      <c r="F147" s="615"/>
      <c r="G147" s="615"/>
      <c r="H147" s="615"/>
      <c r="I147" s="615"/>
      <c r="J147" s="615"/>
      <c r="K147" s="615"/>
      <c r="L147" s="615"/>
      <c r="M147" s="615"/>
      <c r="N147" s="615"/>
      <c r="O147" s="615"/>
      <c r="P147" s="615"/>
      <c r="Q147" s="615"/>
      <c r="R147" s="615"/>
      <c r="S147" s="615"/>
      <c r="T147" s="615"/>
      <c r="U147" s="615"/>
      <c r="V147" s="615"/>
      <c r="W147" s="615"/>
      <c r="X147" s="615"/>
      <c r="Y147" s="615"/>
      <c r="Z147" s="615"/>
      <c r="AA147" s="62"/>
      <c r="AB147" s="62"/>
      <c r="AC147" s="62"/>
    </row>
    <row r="148" spans="1:68" ht="14.25" hidden="1" customHeight="1" x14ac:dyDescent="0.25">
      <c r="A148" s="599" t="s">
        <v>86</v>
      </c>
      <c r="B148" s="599"/>
      <c r="C148" s="599"/>
      <c r="D148" s="599"/>
      <c r="E148" s="599"/>
      <c r="F148" s="599"/>
      <c r="G148" s="599"/>
      <c r="H148" s="599"/>
      <c r="I148" s="599"/>
      <c r="J148" s="599"/>
      <c r="K148" s="599"/>
      <c r="L148" s="599"/>
      <c r="M148" s="599"/>
      <c r="N148" s="599"/>
      <c r="O148" s="599"/>
      <c r="P148" s="599"/>
      <c r="Q148" s="599"/>
      <c r="R148" s="599"/>
      <c r="S148" s="599"/>
      <c r="T148" s="599"/>
      <c r="U148" s="599"/>
      <c r="V148" s="599"/>
      <c r="W148" s="599"/>
      <c r="X148" s="599"/>
      <c r="Y148" s="599"/>
      <c r="Z148" s="599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00">
        <v>4680115888203</v>
      </c>
      <c r="E149" s="600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2"/>
      <c r="R149" s="602"/>
      <c r="S149" s="602"/>
      <c r="T149" s="60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00">
        <v>4680115888180</v>
      </c>
      <c r="E150" s="600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2"/>
      <c r="R150" s="602"/>
      <c r="S150" s="602"/>
      <c r="T150" s="603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00">
        <v>4680115888197</v>
      </c>
      <c r="E151" s="600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2"/>
      <c r="R151" s="602"/>
      <c r="S151" s="602"/>
      <c r="T151" s="603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00">
        <v>4680115888210</v>
      </c>
      <c r="E152" s="600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2"/>
      <c r="R152" s="602"/>
      <c r="S152" s="602"/>
      <c r="T152" s="603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7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08"/>
      <c r="P153" s="604" t="s">
        <v>40</v>
      </c>
      <c r="Q153" s="605"/>
      <c r="R153" s="605"/>
      <c r="S153" s="605"/>
      <c r="T153" s="605"/>
      <c r="U153" s="605"/>
      <c r="V153" s="606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8"/>
      <c r="P154" s="604" t="s">
        <v>40</v>
      </c>
      <c r="Q154" s="605"/>
      <c r="R154" s="605"/>
      <c r="S154" s="605"/>
      <c r="T154" s="605"/>
      <c r="U154" s="605"/>
      <c r="V154" s="606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15" t="s">
        <v>126</v>
      </c>
      <c r="B155" s="615"/>
      <c r="C155" s="615"/>
      <c r="D155" s="615"/>
      <c r="E155" s="615"/>
      <c r="F155" s="615"/>
      <c r="G155" s="615"/>
      <c r="H155" s="615"/>
      <c r="I155" s="615"/>
      <c r="J155" s="615"/>
      <c r="K155" s="615"/>
      <c r="L155" s="615"/>
      <c r="M155" s="615"/>
      <c r="N155" s="615"/>
      <c r="O155" s="615"/>
      <c r="P155" s="615"/>
      <c r="Q155" s="615"/>
      <c r="R155" s="615"/>
      <c r="S155" s="615"/>
      <c r="T155" s="615"/>
      <c r="U155" s="615"/>
      <c r="V155" s="615"/>
      <c r="W155" s="615"/>
      <c r="X155" s="615"/>
      <c r="Y155" s="615"/>
      <c r="Z155" s="615"/>
      <c r="AA155" s="62"/>
      <c r="AB155" s="62"/>
      <c r="AC155" s="62"/>
    </row>
    <row r="156" spans="1:68" ht="14.25" hidden="1" customHeight="1" x14ac:dyDescent="0.25">
      <c r="A156" s="599" t="s">
        <v>128</v>
      </c>
      <c r="B156" s="599"/>
      <c r="C156" s="599"/>
      <c r="D156" s="599"/>
      <c r="E156" s="599"/>
      <c r="F156" s="599"/>
      <c r="G156" s="599"/>
      <c r="H156" s="599"/>
      <c r="I156" s="599"/>
      <c r="J156" s="599"/>
      <c r="K156" s="599"/>
      <c r="L156" s="599"/>
      <c r="M156" s="599"/>
      <c r="N156" s="599"/>
      <c r="O156" s="599"/>
      <c r="P156" s="599"/>
      <c r="Q156" s="599"/>
      <c r="R156" s="599"/>
      <c r="S156" s="599"/>
      <c r="T156" s="599"/>
      <c r="U156" s="599"/>
      <c r="V156" s="599"/>
      <c r="W156" s="599"/>
      <c r="X156" s="599"/>
      <c r="Y156" s="599"/>
      <c r="Z156" s="599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00">
        <v>4680115887374</v>
      </c>
      <c r="E157" s="600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0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2"/>
      <c r="R157" s="602"/>
      <c r="S157" s="602"/>
      <c r="T157" s="603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00">
        <v>4607091384604</v>
      </c>
      <c r="E158" s="600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2"/>
      <c r="R158" s="602"/>
      <c r="S158" s="602"/>
      <c r="T158" s="603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07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8"/>
      <c r="P159" s="604" t="s">
        <v>40</v>
      </c>
      <c r="Q159" s="605"/>
      <c r="R159" s="605"/>
      <c r="S159" s="605"/>
      <c r="T159" s="605"/>
      <c r="U159" s="605"/>
      <c r="V159" s="606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8"/>
      <c r="P160" s="604" t="s">
        <v>40</v>
      </c>
      <c r="Q160" s="605"/>
      <c r="R160" s="605"/>
      <c r="S160" s="605"/>
      <c r="T160" s="605"/>
      <c r="U160" s="605"/>
      <c r="V160" s="606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599" t="s">
        <v>163</v>
      </c>
      <c r="B161" s="599"/>
      <c r="C161" s="599"/>
      <c r="D161" s="599"/>
      <c r="E161" s="599"/>
      <c r="F161" s="599"/>
      <c r="G161" s="599"/>
      <c r="H161" s="599"/>
      <c r="I161" s="599"/>
      <c r="J161" s="599"/>
      <c r="K161" s="599"/>
      <c r="L161" s="599"/>
      <c r="M161" s="599"/>
      <c r="N161" s="599"/>
      <c r="O161" s="599"/>
      <c r="P161" s="599"/>
      <c r="Q161" s="599"/>
      <c r="R161" s="599"/>
      <c r="S161" s="599"/>
      <c r="T161" s="599"/>
      <c r="U161" s="599"/>
      <c r="V161" s="599"/>
      <c r="W161" s="599"/>
      <c r="X161" s="599"/>
      <c r="Y161" s="599"/>
      <c r="Z161" s="599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00">
        <v>4680115887695</v>
      </c>
      <c r="E162" s="600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2"/>
      <c r="R162" s="602"/>
      <c r="S162" s="602"/>
      <c r="T162" s="603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07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08"/>
      <c r="P163" s="604" t="s">
        <v>40</v>
      </c>
      <c r="Q163" s="605"/>
      <c r="R163" s="605"/>
      <c r="S163" s="605"/>
      <c r="T163" s="605"/>
      <c r="U163" s="605"/>
      <c r="V163" s="606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8"/>
      <c r="P164" s="604" t="s">
        <v>40</v>
      </c>
      <c r="Q164" s="605"/>
      <c r="R164" s="605"/>
      <c r="S164" s="605"/>
      <c r="T164" s="605"/>
      <c r="U164" s="605"/>
      <c r="V164" s="606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599" t="s">
        <v>77</v>
      </c>
      <c r="B165" s="599"/>
      <c r="C165" s="599"/>
      <c r="D165" s="599"/>
      <c r="E165" s="599"/>
      <c r="F165" s="599"/>
      <c r="G165" s="599"/>
      <c r="H165" s="599"/>
      <c r="I165" s="599"/>
      <c r="J165" s="599"/>
      <c r="K165" s="599"/>
      <c r="L165" s="599"/>
      <c r="M165" s="599"/>
      <c r="N165" s="599"/>
      <c r="O165" s="599"/>
      <c r="P165" s="599"/>
      <c r="Q165" s="599"/>
      <c r="R165" s="599"/>
      <c r="S165" s="599"/>
      <c r="T165" s="599"/>
      <c r="U165" s="599"/>
      <c r="V165" s="599"/>
      <c r="W165" s="599"/>
      <c r="X165" s="599"/>
      <c r="Y165" s="599"/>
      <c r="Z165" s="599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00">
        <v>4680115887428</v>
      </c>
      <c r="E166" s="600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2"/>
      <c r="R166" s="602"/>
      <c r="S166" s="602"/>
      <c r="T166" s="603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00">
        <v>4607091382426</v>
      </c>
      <c r="E167" s="600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9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2"/>
      <c r="R167" s="602"/>
      <c r="S167" s="602"/>
      <c r="T167" s="603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00">
        <v>4680115887398</v>
      </c>
      <c r="E168" s="600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9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2"/>
      <c r="R168" s="602"/>
      <c r="S168" s="602"/>
      <c r="T168" s="603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4301031497</v>
      </c>
      <c r="D169" s="600">
        <v>4680115887336</v>
      </c>
      <c r="E169" s="600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9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2"/>
      <c r="R169" s="602"/>
      <c r="S169" s="602"/>
      <c r="T169" s="603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00">
        <v>4680115887787</v>
      </c>
      <c r="E170" s="600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9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2"/>
      <c r="R170" s="602"/>
      <c r="S170" s="602"/>
      <c r="T170" s="603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300</v>
      </c>
      <c r="B171" s="60" t="s">
        <v>301</v>
      </c>
      <c r="C171" s="34">
        <v>4301031448</v>
      </c>
      <c r="D171" s="600">
        <v>4680115887503</v>
      </c>
      <c r="E171" s="600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2"/>
      <c r="R171" s="602"/>
      <c r="S171" s="602"/>
      <c r="T171" s="603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00">
        <v>4680115887763</v>
      </c>
      <c r="E172" s="600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2"/>
      <c r="R172" s="602"/>
      <c r="S172" s="602"/>
      <c r="T172" s="603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4301031454</v>
      </c>
      <c r="D173" s="600">
        <v>4680115887480</v>
      </c>
      <c r="E173" s="600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9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2"/>
      <c r="R173" s="602"/>
      <c r="S173" s="602"/>
      <c r="T173" s="603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00">
        <v>4680115888067</v>
      </c>
      <c r="E174" s="600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2"/>
      <c r="R174" s="602"/>
      <c r="S174" s="602"/>
      <c r="T174" s="603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00">
        <v>4680115887435</v>
      </c>
      <c r="E175" s="600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9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2"/>
      <c r="R175" s="602"/>
      <c r="S175" s="602"/>
      <c r="T175" s="603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idden="1" x14ac:dyDescent="0.2">
      <c r="A176" s="607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08"/>
      <c r="P176" s="604" t="s">
        <v>40</v>
      </c>
      <c r="Q176" s="605"/>
      <c r="R176" s="605"/>
      <c r="S176" s="605"/>
      <c r="T176" s="605"/>
      <c r="U176" s="605"/>
      <c r="V176" s="606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hidden="1" x14ac:dyDescent="0.2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08"/>
      <c r="P177" s="604" t="s">
        <v>40</v>
      </c>
      <c r="Q177" s="605"/>
      <c r="R177" s="605"/>
      <c r="S177" s="605"/>
      <c r="T177" s="605"/>
      <c r="U177" s="605"/>
      <c r="V177" s="606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hidden="1" customHeight="1" x14ac:dyDescent="0.25">
      <c r="A178" s="599" t="s">
        <v>86</v>
      </c>
      <c r="B178" s="599"/>
      <c r="C178" s="599"/>
      <c r="D178" s="599"/>
      <c r="E178" s="599"/>
      <c r="F178" s="599"/>
      <c r="G178" s="599"/>
      <c r="H178" s="599"/>
      <c r="I178" s="599"/>
      <c r="J178" s="599"/>
      <c r="K178" s="599"/>
      <c r="L178" s="599"/>
      <c r="M178" s="599"/>
      <c r="N178" s="599"/>
      <c r="O178" s="599"/>
      <c r="P178" s="599"/>
      <c r="Q178" s="599"/>
      <c r="R178" s="599"/>
      <c r="S178" s="599"/>
      <c r="T178" s="599"/>
      <c r="U178" s="599"/>
      <c r="V178" s="599"/>
      <c r="W178" s="599"/>
      <c r="X178" s="599"/>
      <c r="Y178" s="599"/>
      <c r="Z178" s="599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00">
        <v>4680115888395</v>
      </c>
      <c r="E179" s="600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8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2"/>
      <c r="R179" s="602"/>
      <c r="S179" s="602"/>
      <c r="T179" s="603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00">
        <v>4680115888371</v>
      </c>
      <c r="E180" s="600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8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2"/>
      <c r="R180" s="602"/>
      <c r="S180" s="602"/>
      <c r="T180" s="603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00">
        <v>4680115887459</v>
      </c>
      <c r="E181" s="600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2"/>
      <c r="R181" s="602"/>
      <c r="S181" s="602"/>
      <c r="T181" s="603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07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08"/>
      <c r="P182" s="604" t="s">
        <v>40</v>
      </c>
      <c r="Q182" s="605"/>
      <c r="R182" s="605"/>
      <c r="S182" s="605"/>
      <c r="T182" s="605"/>
      <c r="U182" s="605"/>
      <c r="V182" s="606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08"/>
      <c r="P183" s="604" t="s">
        <v>40</v>
      </c>
      <c r="Q183" s="605"/>
      <c r="R183" s="605"/>
      <c r="S183" s="605"/>
      <c r="T183" s="605"/>
      <c r="U183" s="605"/>
      <c r="V183" s="606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599" t="s">
        <v>107</v>
      </c>
      <c r="B184" s="599"/>
      <c r="C184" s="599"/>
      <c r="D184" s="599"/>
      <c r="E184" s="599"/>
      <c r="F184" s="599"/>
      <c r="G184" s="599"/>
      <c r="H184" s="599"/>
      <c r="I184" s="599"/>
      <c r="J184" s="599"/>
      <c r="K184" s="599"/>
      <c r="L184" s="599"/>
      <c r="M184" s="599"/>
      <c r="N184" s="599"/>
      <c r="O184" s="599"/>
      <c r="P184" s="599"/>
      <c r="Q184" s="599"/>
      <c r="R184" s="599"/>
      <c r="S184" s="599"/>
      <c r="T184" s="599"/>
      <c r="U184" s="599"/>
      <c r="V184" s="599"/>
      <c r="W184" s="599"/>
      <c r="X184" s="599"/>
      <c r="Y184" s="599"/>
      <c r="Z184" s="599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00">
        <v>4680115889026</v>
      </c>
      <c r="E185" s="600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2"/>
      <c r="R185" s="602"/>
      <c r="S185" s="602"/>
      <c r="T185" s="603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00">
        <v>4680115889088</v>
      </c>
      <c r="E186" s="600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8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2"/>
      <c r="R186" s="602"/>
      <c r="S186" s="602"/>
      <c r="T186" s="603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7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08"/>
      <c r="P187" s="604" t="s">
        <v>40</v>
      </c>
      <c r="Q187" s="605"/>
      <c r="R187" s="605"/>
      <c r="S187" s="605"/>
      <c r="T187" s="605"/>
      <c r="U187" s="605"/>
      <c r="V187" s="606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8"/>
      <c r="P188" s="604" t="s">
        <v>40</v>
      </c>
      <c r="Q188" s="605"/>
      <c r="R188" s="605"/>
      <c r="S188" s="605"/>
      <c r="T188" s="605"/>
      <c r="U188" s="605"/>
      <c r="V188" s="606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599" t="s">
        <v>329</v>
      </c>
      <c r="B189" s="599"/>
      <c r="C189" s="599"/>
      <c r="D189" s="599"/>
      <c r="E189" s="599"/>
      <c r="F189" s="599"/>
      <c r="G189" s="599"/>
      <c r="H189" s="599"/>
      <c r="I189" s="599"/>
      <c r="J189" s="599"/>
      <c r="K189" s="599"/>
      <c r="L189" s="599"/>
      <c r="M189" s="599"/>
      <c r="N189" s="599"/>
      <c r="O189" s="599"/>
      <c r="P189" s="599"/>
      <c r="Q189" s="599"/>
      <c r="R189" s="599"/>
      <c r="S189" s="599"/>
      <c r="T189" s="599"/>
      <c r="U189" s="599"/>
      <c r="V189" s="599"/>
      <c r="W189" s="599"/>
      <c r="X189" s="599"/>
      <c r="Y189" s="599"/>
      <c r="Z189" s="599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00">
        <v>4680115889033</v>
      </c>
      <c r="E190" s="600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2"/>
      <c r="R190" s="602"/>
      <c r="S190" s="602"/>
      <c r="T190" s="603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7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8"/>
      <c r="P191" s="604" t="s">
        <v>40</v>
      </c>
      <c r="Q191" s="605"/>
      <c r="R191" s="605"/>
      <c r="S191" s="605"/>
      <c r="T191" s="605"/>
      <c r="U191" s="605"/>
      <c r="V191" s="606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08"/>
      <c r="P192" s="604" t="s">
        <v>40</v>
      </c>
      <c r="Q192" s="605"/>
      <c r="R192" s="605"/>
      <c r="S192" s="605"/>
      <c r="T192" s="605"/>
      <c r="U192" s="605"/>
      <c r="V192" s="606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20" t="s">
        <v>333</v>
      </c>
      <c r="B193" s="620"/>
      <c r="C193" s="620"/>
      <c r="D193" s="620"/>
      <c r="E193" s="620"/>
      <c r="F193" s="620"/>
      <c r="G193" s="620"/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20"/>
      <c r="W193" s="620"/>
      <c r="X193" s="620"/>
      <c r="Y193" s="620"/>
      <c r="Z193" s="620"/>
      <c r="AA193" s="52"/>
      <c r="AB193" s="52"/>
      <c r="AC193" s="52"/>
    </row>
    <row r="194" spans="1:68" ht="16.5" hidden="1" customHeight="1" x14ac:dyDescent="0.25">
      <c r="A194" s="615" t="s">
        <v>334</v>
      </c>
      <c r="B194" s="615"/>
      <c r="C194" s="615"/>
      <c r="D194" s="615"/>
      <c r="E194" s="615"/>
      <c r="F194" s="615"/>
      <c r="G194" s="615"/>
      <c r="H194" s="615"/>
      <c r="I194" s="615"/>
      <c r="J194" s="615"/>
      <c r="K194" s="615"/>
      <c r="L194" s="615"/>
      <c r="M194" s="615"/>
      <c r="N194" s="615"/>
      <c r="O194" s="615"/>
      <c r="P194" s="615"/>
      <c r="Q194" s="615"/>
      <c r="R194" s="615"/>
      <c r="S194" s="615"/>
      <c r="T194" s="615"/>
      <c r="U194" s="615"/>
      <c r="V194" s="615"/>
      <c r="W194" s="615"/>
      <c r="X194" s="615"/>
      <c r="Y194" s="615"/>
      <c r="Z194" s="615"/>
      <c r="AA194" s="62"/>
      <c r="AB194" s="62"/>
      <c r="AC194" s="62"/>
    </row>
    <row r="195" spans="1:68" ht="14.25" hidden="1" customHeight="1" x14ac:dyDescent="0.25">
      <c r="A195" s="599" t="s">
        <v>128</v>
      </c>
      <c r="B195" s="599"/>
      <c r="C195" s="599"/>
      <c r="D195" s="599"/>
      <c r="E195" s="599"/>
      <c r="F195" s="599"/>
      <c r="G195" s="599"/>
      <c r="H195" s="599"/>
      <c r="I195" s="599"/>
      <c r="J195" s="599"/>
      <c r="K195" s="599"/>
      <c r="L195" s="599"/>
      <c r="M195" s="599"/>
      <c r="N195" s="599"/>
      <c r="O195" s="599"/>
      <c r="P195" s="599"/>
      <c r="Q195" s="599"/>
      <c r="R195" s="599"/>
      <c r="S195" s="599"/>
      <c r="T195" s="599"/>
      <c r="U195" s="599"/>
      <c r="V195" s="599"/>
      <c r="W195" s="599"/>
      <c r="X195" s="599"/>
      <c r="Y195" s="599"/>
      <c r="Z195" s="599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00">
        <v>4607091383423</v>
      </c>
      <c r="E196" s="600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8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2"/>
      <c r="R196" s="602"/>
      <c r="S196" s="602"/>
      <c r="T196" s="60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00">
        <v>4680115886957</v>
      </c>
      <c r="E197" s="600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8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2"/>
      <c r="R197" s="602"/>
      <c r="S197" s="602"/>
      <c r="T197" s="60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00">
        <v>4680115885660</v>
      </c>
      <c r="E198" s="600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2"/>
      <c r="R198" s="602"/>
      <c r="S198" s="602"/>
      <c r="T198" s="603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00">
        <v>4680115886773</v>
      </c>
      <c r="E199" s="600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8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2"/>
      <c r="R199" s="602"/>
      <c r="S199" s="602"/>
      <c r="T199" s="603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7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08"/>
      <c r="P200" s="604" t="s">
        <v>40</v>
      </c>
      <c r="Q200" s="605"/>
      <c r="R200" s="605"/>
      <c r="S200" s="605"/>
      <c r="T200" s="605"/>
      <c r="U200" s="605"/>
      <c r="V200" s="606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08"/>
      <c r="P201" s="604" t="s">
        <v>40</v>
      </c>
      <c r="Q201" s="605"/>
      <c r="R201" s="605"/>
      <c r="S201" s="605"/>
      <c r="T201" s="605"/>
      <c r="U201" s="605"/>
      <c r="V201" s="606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15" t="s">
        <v>346</v>
      </c>
      <c r="B202" s="615"/>
      <c r="C202" s="615"/>
      <c r="D202" s="615"/>
      <c r="E202" s="615"/>
      <c r="F202" s="615"/>
      <c r="G202" s="615"/>
      <c r="H202" s="615"/>
      <c r="I202" s="615"/>
      <c r="J202" s="615"/>
      <c r="K202" s="615"/>
      <c r="L202" s="615"/>
      <c r="M202" s="615"/>
      <c r="N202" s="615"/>
      <c r="O202" s="615"/>
      <c r="P202" s="615"/>
      <c r="Q202" s="615"/>
      <c r="R202" s="615"/>
      <c r="S202" s="615"/>
      <c r="T202" s="615"/>
      <c r="U202" s="615"/>
      <c r="V202" s="615"/>
      <c r="W202" s="615"/>
      <c r="X202" s="615"/>
      <c r="Y202" s="615"/>
      <c r="Z202" s="615"/>
      <c r="AA202" s="62"/>
      <c r="AB202" s="62"/>
      <c r="AC202" s="62"/>
    </row>
    <row r="203" spans="1:68" ht="14.25" hidden="1" customHeight="1" x14ac:dyDescent="0.25">
      <c r="A203" s="599" t="s">
        <v>163</v>
      </c>
      <c r="B203" s="599"/>
      <c r="C203" s="599"/>
      <c r="D203" s="599"/>
      <c r="E203" s="599"/>
      <c r="F203" s="599"/>
      <c r="G203" s="599"/>
      <c r="H203" s="599"/>
      <c r="I203" s="599"/>
      <c r="J203" s="599"/>
      <c r="K203" s="599"/>
      <c r="L203" s="599"/>
      <c r="M203" s="599"/>
      <c r="N203" s="599"/>
      <c r="O203" s="599"/>
      <c r="P203" s="599"/>
      <c r="Q203" s="599"/>
      <c r="R203" s="599"/>
      <c r="S203" s="599"/>
      <c r="T203" s="599"/>
      <c r="U203" s="599"/>
      <c r="V203" s="599"/>
      <c r="W203" s="599"/>
      <c r="X203" s="599"/>
      <c r="Y203" s="599"/>
      <c r="Z203" s="599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00">
        <v>4680115886223</v>
      </c>
      <c r="E204" s="600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7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2"/>
      <c r="R204" s="602"/>
      <c r="S204" s="602"/>
      <c r="T204" s="603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7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8"/>
      <c r="P205" s="604" t="s">
        <v>40</v>
      </c>
      <c r="Q205" s="605"/>
      <c r="R205" s="605"/>
      <c r="S205" s="605"/>
      <c r="T205" s="605"/>
      <c r="U205" s="605"/>
      <c r="V205" s="606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8"/>
      <c r="P206" s="604" t="s">
        <v>40</v>
      </c>
      <c r="Q206" s="605"/>
      <c r="R206" s="605"/>
      <c r="S206" s="605"/>
      <c r="T206" s="605"/>
      <c r="U206" s="605"/>
      <c r="V206" s="606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599" t="s">
        <v>77</v>
      </c>
      <c r="B207" s="599"/>
      <c r="C207" s="599"/>
      <c r="D207" s="599"/>
      <c r="E207" s="599"/>
      <c r="F207" s="599"/>
      <c r="G207" s="599"/>
      <c r="H207" s="599"/>
      <c r="I207" s="599"/>
      <c r="J207" s="599"/>
      <c r="K207" s="599"/>
      <c r="L207" s="599"/>
      <c r="M207" s="599"/>
      <c r="N207" s="599"/>
      <c r="O207" s="599"/>
      <c r="P207" s="599"/>
      <c r="Q207" s="599"/>
      <c r="R207" s="599"/>
      <c r="S207" s="599"/>
      <c r="T207" s="599"/>
      <c r="U207" s="599"/>
      <c r="V207" s="599"/>
      <c r="W207" s="599"/>
      <c r="X207" s="599"/>
      <c r="Y207" s="599"/>
      <c r="Z207" s="599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00">
        <v>4680115880993</v>
      </c>
      <c r="E208" s="600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2"/>
      <c r="R208" s="602"/>
      <c r="S208" s="602"/>
      <c r="T208" s="60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00">
        <v>4680115881761</v>
      </c>
      <c r="E209" s="600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2"/>
      <c r="R209" s="602"/>
      <c r="S209" s="602"/>
      <c r="T209" s="60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00">
        <v>4680115881563</v>
      </c>
      <c r="E210" s="600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2"/>
      <c r="R210" s="602"/>
      <c r="S210" s="602"/>
      <c r="T210" s="60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00">
        <v>4680115887565</v>
      </c>
      <c r="E211" s="600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2"/>
      <c r="R211" s="602"/>
      <c r="S211" s="602"/>
      <c r="T211" s="60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00">
        <v>4680115880986</v>
      </c>
      <c r="E212" s="600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2"/>
      <c r="R212" s="602"/>
      <c r="S212" s="602"/>
      <c r="T212" s="60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00">
        <v>4680115887213</v>
      </c>
      <c r="E213" s="60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2"/>
      <c r="R213" s="602"/>
      <c r="S213" s="602"/>
      <c r="T213" s="60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00">
        <v>4680115881785</v>
      </c>
      <c r="E214" s="600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2"/>
      <c r="R214" s="602"/>
      <c r="S214" s="602"/>
      <c r="T214" s="60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00">
        <v>4680115888432</v>
      </c>
      <c r="E215" s="600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2"/>
      <c r="R215" s="602"/>
      <c r="S215" s="602"/>
      <c r="T215" s="60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00">
        <v>4680115888104</v>
      </c>
      <c r="E216" s="600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2"/>
      <c r="R216" s="602"/>
      <c r="S216" s="602"/>
      <c r="T216" s="60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00">
        <v>4680115886537</v>
      </c>
      <c r="E217" s="600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2"/>
      <c r="R217" s="602"/>
      <c r="S217" s="602"/>
      <c r="T217" s="60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4301031279</v>
      </c>
      <c r="D218" s="600">
        <v>4680115887596</v>
      </c>
      <c r="E218" s="600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2"/>
      <c r="R218" s="602"/>
      <c r="S218" s="602"/>
      <c r="T218" s="603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00">
        <v>4680115881679</v>
      </c>
      <c r="E219" s="600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2"/>
      <c r="R219" s="602"/>
      <c r="S219" s="602"/>
      <c r="T219" s="603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00">
        <v>4680115880191</v>
      </c>
      <c r="E220" s="600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2"/>
      <c r="R220" s="602"/>
      <c r="S220" s="602"/>
      <c r="T220" s="603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00">
        <v>4680115883963</v>
      </c>
      <c r="E221" s="600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6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2"/>
      <c r="R221" s="602"/>
      <c r="S221" s="602"/>
      <c r="T221" s="603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07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08"/>
      <c r="P222" s="604" t="s">
        <v>40</v>
      </c>
      <c r="Q222" s="605"/>
      <c r="R222" s="605"/>
      <c r="S222" s="605"/>
      <c r="T222" s="605"/>
      <c r="U222" s="605"/>
      <c r="V222" s="606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08"/>
      <c r="P223" s="604" t="s">
        <v>40</v>
      </c>
      <c r="Q223" s="605"/>
      <c r="R223" s="605"/>
      <c r="S223" s="605"/>
      <c r="T223" s="605"/>
      <c r="U223" s="605"/>
      <c r="V223" s="606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599" t="s">
        <v>86</v>
      </c>
      <c r="B224" s="599"/>
      <c r="C224" s="599"/>
      <c r="D224" s="599"/>
      <c r="E224" s="599"/>
      <c r="F224" s="599"/>
      <c r="G224" s="599"/>
      <c r="H224" s="599"/>
      <c r="I224" s="599"/>
      <c r="J224" s="599"/>
      <c r="K224" s="599"/>
      <c r="L224" s="599"/>
      <c r="M224" s="599"/>
      <c r="N224" s="599"/>
      <c r="O224" s="599"/>
      <c r="P224" s="599"/>
      <c r="Q224" s="599"/>
      <c r="R224" s="599"/>
      <c r="S224" s="599"/>
      <c r="T224" s="599"/>
      <c r="U224" s="599"/>
      <c r="V224" s="599"/>
      <c r="W224" s="599"/>
      <c r="X224" s="599"/>
      <c r="Y224" s="599"/>
      <c r="Z224" s="599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00">
        <v>4680115888951</v>
      </c>
      <c r="E225" s="600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6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2"/>
      <c r="R225" s="602"/>
      <c r="S225" s="602"/>
      <c r="T225" s="603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00">
        <v>4680115888982</v>
      </c>
      <c r="E226" s="600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6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2"/>
      <c r="R226" s="602"/>
      <c r="S226" s="602"/>
      <c r="T226" s="603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7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08"/>
      <c r="P227" s="604" t="s">
        <v>40</v>
      </c>
      <c r="Q227" s="605"/>
      <c r="R227" s="605"/>
      <c r="S227" s="605"/>
      <c r="T227" s="605"/>
      <c r="U227" s="605"/>
      <c r="V227" s="606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08"/>
      <c r="P228" s="604" t="s">
        <v>40</v>
      </c>
      <c r="Q228" s="605"/>
      <c r="R228" s="605"/>
      <c r="S228" s="605"/>
      <c r="T228" s="605"/>
      <c r="U228" s="605"/>
      <c r="V228" s="606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599" t="s">
        <v>107</v>
      </c>
      <c r="B229" s="599"/>
      <c r="C229" s="599"/>
      <c r="D229" s="599"/>
      <c r="E229" s="599"/>
      <c r="F229" s="599"/>
      <c r="G229" s="599"/>
      <c r="H229" s="599"/>
      <c r="I229" s="599"/>
      <c r="J229" s="599"/>
      <c r="K229" s="599"/>
      <c r="L229" s="599"/>
      <c r="M229" s="599"/>
      <c r="N229" s="599"/>
      <c r="O229" s="599"/>
      <c r="P229" s="599"/>
      <c r="Q229" s="599"/>
      <c r="R229" s="599"/>
      <c r="S229" s="599"/>
      <c r="T229" s="599"/>
      <c r="U229" s="599"/>
      <c r="V229" s="599"/>
      <c r="W229" s="599"/>
      <c r="X229" s="599"/>
      <c r="Y229" s="599"/>
      <c r="Z229" s="599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00">
        <v>4680115886780</v>
      </c>
      <c r="E230" s="600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2"/>
      <c r="R230" s="602"/>
      <c r="S230" s="602"/>
      <c r="T230" s="603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00">
        <v>4680115886742</v>
      </c>
      <c r="E231" s="600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2"/>
      <c r="R231" s="602"/>
      <c r="S231" s="602"/>
      <c r="T231" s="603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00">
        <v>4680115886766</v>
      </c>
      <c r="E232" s="600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2"/>
      <c r="R232" s="602"/>
      <c r="S232" s="602"/>
      <c r="T232" s="603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7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8"/>
      <c r="P233" s="604" t="s">
        <v>40</v>
      </c>
      <c r="Q233" s="605"/>
      <c r="R233" s="605"/>
      <c r="S233" s="605"/>
      <c r="T233" s="605"/>
      <c r="U233" s="605"/>
      <c r="V233" s="606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08"/>
      <c r="P234" s="604" t="s">
        <v>40</v>
      </c>
      <c r="Q234" s="605"/>
      <c r="R234" s="605"/>
      <c r="S234" s="605"/>
      <c r="T234" s="605"/>
      <c r="U234" s="605"/>
      <c r="V234" s="606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599" t="s">
        <v>402</v>
      </c>
      <c r="B235" s="599"/>
      <c r="C235" s="599"/>
      <c r="D235" s="599"/>
      <c r="E235" s="599"/>
      <c r="F235" s="599"/>
      <c r="G235" s="599"/>
      <c r="H235" s="599"/>
      <c r="I235" s="599"/>
      <c r="J235" s="599"/>
      <c r="K235" s="599"/>
      <c r="L235" s="599"/>
      <c r="M235" s="599"/>
      <c r="N235" s="599"/>
      <c r="O235" s="599"/>
      <c r="P235" s="599"/>
      <c r="Q235" s="599"/>
      <c r="R235" s="599"/>
      <c r="S235" s="599"/>
      <c r="T235" s="599"/>
      <c r="U235" s="599"/>
      <c r="V235" s="599"/>
      <c r="W235" s="599"/>
      <c r="X235" s="599"/>
      <c r="Y235" s="599"/>
      <c r="Z235" s="599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00">
        <v>4680115886797</v>
      </c>
      <c r="E236" s="600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2"/>
      <c r="R236" s="602"/>
      <c r="S236" s="602"/>
      <c r="T236" s="603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7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8"/>
      <c r="P237" s="604" t="s">
        <v>40</v>
      </c>
      <c r="Q237" s="605"/>
      <c r="R237" s="605"/>
      <c r="S237" s="605"/>
      <c r="T237" s="605"/>
      <c r="U237" s="605"/>
      <c r="V237" s="606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8"/>
      <c r="P238" s="604" t="s">
        <v>40</v>
      </c>
      <c r="Q238" s="605"/>
      <c r="R238" s="605"/>
      <c r="S238" s="605"/>
      <c r="T238" s="605"/>
      <c r="U238" s="605"/>
      <c r="V238" s="606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15" t="s">
        <v>405</v>
      </c>
      <c r="B239" s="615"/>
      <c r="C239" s="615"/>
      <c r="D239" s="615"/>
      <c r="E239" s="615"/>
      <c r="F239" s="615"/>
      <c r="G239" s="615"/>
      <c r="H239" s="615"/>
      <c r="I239" s="615"/>
      <c r="J239" s="615"/>
      <c r="K239" s="615"/>
      <c r="L239" s="615"/>
      <c r="M239" s="615"/>
      <c r="N239" s="615"/>
      <c r="O239" s="615"/>
      <c r="P239" s="615"/>
      <c r="Q239" s="615"/>
      <c r="R239" s="615"/>
      <c r="S239" s="615"/>
      <c r="T239" s="615"/>
      <c r="U239" s="615"/>
      <c r="V239" s="615"/>
      <c r="W239" s="615"/>
      <c r="X239" s="615"/>
      <c r="Y239" s="615"/>
      <c r="Z239" s="615"/>
      <c r="AA239" s="62"/>
      <c r="AB239" s="62"/>
      <c r="AC239" s="62"/>
    </row>
    <row r="240" spans="1:68" ht="14.25" hidden="1" customHeight="1" x14ac:dyDescent="0.25">
      <c r="A240" s="599" t="s">
        <v>128</v>
      </c>
      <c r="B240" s="599"/>
      <c r="C240" s="599"/>
      <c r="D240" s="599"/>
      <c r="E240" s="599"/>
      <c r="F240" s="599"/>
      <c r="G240" s="599"/>
      <c r="H240" s="599"/>
      <c r="I240" s="599"/>
      <c r="J240" s="599"/>
      <c r="K240" s="599"/>
      <c r="L240" s="599"/>
      <c r="M240" s="599"/>
      <c r="N240" s="599"/>
      <c r="O240" s="599"/>
      <c r="P240" s="599"/>
      <c r="Q240" s="599"/>
      <c r="R240" s="599"/>
      <c r="S240" s="599"/>
      <c r="T240" s="599"/>
      <c r="U240" s="599"/>
      <c r="V240" s="599"/>
      <c r="W240" s="599"/>
      <c r="X240" s="599"/>
      <c r="Y240" s="599"/>
      <c r="Z240" s="599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00">
        <v>4680115881402</v>
      </c>
      <c r="E241" s="600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2"/>
      <c r="R241" s="602"/>
      <c r="S241" s="602"/>
      <c r="T241" s="603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00">
        <v>4680115881396</v>
      </c>
      <c r="E242" s="600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2"/>
      <c r="R242" s="602"/>
      <c r="S242" s="602"/>
      <c r="T242" s="603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7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8"/>
      <c r="P243" s="604" t="s">
        <v>40</v>
      </c>
      <c r="Q243" s="605"/>
      <c r="R243" s="605"/>
      <c r="S243" s="605"/>
      <c r="T243" s="605"/>
      <c r="U243" s="605"/>
      <c r="V243" s="606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8"/>
      <c r="P244" s="604" t="s">
        <v>40</v>
      </c>
      <c r="Q244" s="605"/>
      <c r="R244" s="605"/>
      <c r="S244" s="605"/>
      <c r="T244" s="605"/>
      <c r="U244" s="605"/>
      <c r="V244" s="606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599" t="s">
        <v>163</v>
      </c>
      <c r="B245" s="599"/>
      <c r="C245" s="599"/>
      <c r="D245" s="599"/>
      <c r="E245" s="599"/>
      <c r="F245" s="599"/>
      <c r="G245" s="599"/>
      <c r="H245" s="599"/>
      <c r="I245" s="599"/>
      <c r="J245" s="599"/>
      <c r="K245" s="599"/>
      <c r="L245" s="599"/>
      <c r="M245" s="599"/>
      <c r="N245" s="599"/>
      <c r="O245" s="599"/>
      <c r="P245" s="599"/>
      <c r="Q245" s="599"/>
      <c r="R245" s="599"/>
      <c r="S245" s="599"/>
      <c r="T245" s="599"/>
      <c r="U245" s="599"/>
      <c r="V245" s="599"/>
      <c r="W245" s="599"/>
      <c r="X245" s="599"/>
      <c r="Y245" s="599"/>
      <c r="Z245" s="599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00">
        <v>4680115882935</v>
      </c>
      <c r="E246" s="600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2"/>
      <c r="R246" s="602"/>
      <c r="S246" s="602"/>
      <c r="T246" s="60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00">
        <v>4680115880764</v>
      </c>
      <c r="E247" s="600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2"/>
      <c r="R247" s="602"/>
      <c r="S247" s="602"/>
      <c r="T247" s="60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8"/>
      <c r="P248" s="604" t="s">
        <v>40</v>
      </c>
      <c r="Q248" s="605"/>
      <c r="R248" s="605"/>
      <c r="S248" s="605"/>
      <c r="T248" s="605"/>
      <c r="U248" s="605"/>
      <c r="V248" s="606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8"/>
      <c r="P249" s="604" t="s">
        <v>40</v>
      </c>
      <c r="Q249" s="605"/>
      <c r="R249" s="605"/>
      <c r="S249" s="605"/>
      <c r="T249" s="605"/>
      <c r="U249" s="605"/>
      <c r="V249" s="606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599" t="s">
        <v>77</v>
      </c>
      <c r="B250" s="599"/>
      <c r="C250" s="599"/>
      <c r="D250" s="599"/>
      <c r="E250" s="599"/>
      <c r="F250" s="599"/>
      <c r="G250" s="599"/>
      <c r="H250" s="599"/>
      <c r="I250" s="599"/>
      <c r="J250" s="599"/>
      <c r="K250" s="599"/>
      <c r="L250" s="599"/>
      <c r="M250" s="599"/>
      <c r="N250" s="599"/>
      <c r="O250" s="599"/>
      <c r="P250" s="599"/>
      <c r="Q250" s="599"/>
      <c r="R250" s="599"/>
      <c r="S250" s="599"/>
      <c r="T250" s="599"/>
      <c r="U250" s="599"/>
      <c r="V250" s="599"/>
      <c r="W250" s="599"/>
      <c r="X250" s="599"/>
      <c r="Y250" s="599"/>
      <c r="Z250" s="599"/>
      <c r="AA250" s="63"/>
      <c r="AB250" s="63"/>
      <c r="AC250" s="63"/>
    </row>
    <row r="251" spans="1:68" ht="27" hidden="1" customHeight="1" x14ac:dyDescent="0.25">
      <c r="A251" s="60" t="s">
        <v>416</v>
      </c>
      <c r="B251" s="60" t="s">
        <v>417</v>
      </c>
      <c r="C251" s="34">
        <v>4301031224</v>
      </c>
      <c r="D251" s="600">
        <v>4680115882683</v>
      </c>
      <c r="E251" s="600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5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2"/>
      <c r="R251" s="602"/>
      <c r="S251" s="602"/>
      <c r="T251" s="603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00">
        <v>4680115882690</v>
      </c>
      <c r="E252" s="600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2"/>
      <c r="R252" s="602"/>
      <c r="S252" s="602"/>
      <c r="T252" s="603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00">
        <v>4680115882669</v>
      </c>
      <c r="E253" s="600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2"/>
      <c r="R253" s="602"/>
      <c r="S253" s="602"/>
      <c r="T253" s="603"/>
      <c r="U253" s="37" t="s">
        <v>46</v>
      </c>
      <c r="V253" s="37" t="s">
        <v>46</v>
      </c>
      <c r="W253" s="38" t="s">
        <v>0</v>
      </c>
      <c r="X253" s="56">
        <v>20</v>
      </c>
      <c r="Y253" s="53">
        <f t="shared" si="32"/>
        <v>21.6</v>
      </c>
      <c r="Z253" s="39">
        <f>IFERROR(IF(Y253=0,"",ROUNDUP(Y253/H253,0)*0.00902),"")</f>
        <v>3.6080000000000001E-2</v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20.703703703703702</v>
      </c>
      <c r="BN253" s="75">
        <f t="shared" si="34"/>
        <v>22.36</v>
      </c>
      <c r="BO253" s="75">
        <f t="shared" si="35"/>
        <v>2.8058361391694722E-2</v>
      </c>
      <c r="BP253" s="75">
        <f t="shared" si="36"/>
        <v>3.0303030303030304E-2</v>
      </c>
    </row>
    <row r="254" spans="1:68" ht="27" hidden="1" customHeight="1" x14ac:dyDescent="0.25">
      <c r="A254" s="60" t="s">
        <v>425</v>
      </c>
      <c r="B254" s="60" t="s">
        <v>426</v>
      </c>
      <c r="C254" s="34">
        <v>4301031221</v>
      </c>
      <c r="D254" s="600">
        <v>4680115882676</v>
      </c>
      <c r="E254" s="600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2"/>
      <c r="R254" s="602"/>
      <c r="S254" s="602"/>
      <c r="T254" s="603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hidden="1" customHeight="1" x14ac:dyDescent="0.25">
      <c r="A255" s="60" t="s">
        <v>428</v>
      </c>
      <c r="B255" s="60" t="s">
        <v>429</v>
      </c>
      <c r="C255" s="34">
        <v>4301031223</v>
      </c>
      <c r="D255" s="600">
        <v>4680115884014</v>
      </c>
      <c r="E255" s="600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4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2"/>
      <c r="R255" s="602"/>
      <c r="S255" s="602"/>
      <c r="T255" s="603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00">
        <v>4680115884007</v>
      </c>
      <c r="E256" s="600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2"/>
      <c r="R256" s="602"/>
      <c r="S256" s="602"/>
      <c r="T256" s="603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4301031229</v>
      </c>
      <c r="D257" s="600">
        <v>4680115884038</v>
      </c>
      <c r="E257" s="600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2"/>
      <c r="R257" s="602"/>
      <c r="S257" s="602"/>
      <c r="T257" s="603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00">
        <v>4680115884021</v>
      </c>
      <c r="E258" s="600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5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2"/>
      <c r="R258" s="602"/>
      <c r="S258" s="602"/>
      <c r="T258" s="603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07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08"/>
      <c r="P259" s="604" t="s">
        <v>40</v>
      </c>
      <c r="Q259" s="605"/>
      <c r="R259" s="605"/>
      <c r="S259" s="605"/>
      <c r="T259" s="605"/>
      <c r="U259" s="605"/>
      <c r="V259" s="606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3.7037037037037033</v>
      </c>
      <c r="Y259" s="41">
        <f>IFERROR(Y251/H251,"0")+IFERROR(Y252/H252,"0")+IFERROR(Y253/H253,"0")+IFERROR(Y254/H254,"0")+IFERROR(Y255/H255,"0")+IFERROR(Y256/H256,"0")+IFERROR(Y257/H257,"0")+IFERROR(Y258/H258,"0")</f>
        <v>4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3.6080000000000001E-2</v>
      </c>
      <c r="AA259" s="64"/>
      <c r="AB259" s="64"/>
      <c r="AC259" s="64"/>
    </row>
    <row r="260" spans="1:68" x14ac:dyDescent="0.2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8"/>
      <c r="P260" s="604" t="s">
        <v>40</v>
      </c>
      <c r="Q260" s="605"/>
      <c r="R260" s="605"/>
      <c r="S260" s="605"/>
      <c r="T260" s="605"/>
      <c r="U260" s="605"/>
      <c r="V260" s="606"/>
      <c r="W260" s="40" t="s">
        <v>0</v>
      </c>
      <c r="X260" s="41">
        <f>IFERROR(SUM(X251:X258),"0")</f>
        <v>20</v>
      </c>
      <c r="Y260" s="41">
        <f>IFERROR(SUM(Y251:Y258),"0")</f>
        <v>21.6</v>
      </c>
      <c r="Z260" s="40"/>
      <c r="AA260" s="64"/>
      <c r="AB260" s="64"/>
      <c r="AC260" s="64"/>
    </row>
    <row r="261" spans="1:68" ht="14.25" hidden="1" customHeight="1" x14ac:dyDescent="0.25">
      <c r="A261" s="599" t="s">
        <v>86</v>
      </c>
      <c r="B261" s="599"/>
      <c r="C261" s="599"/>
      <c r="D261" s="599"/>
      <c r="E261" s="599"/>
      <c r="F261" s="599"/>
      <c r="G261" s="599"/>
      <c r="H261" s="599"/>
      <c r="I261" s="599"/>
      <c r="J261" s="599"/>
      <c r="K261" s="599"/>
      <c r="L261" s="599"/>
      <c r="M261" s="599"/>
      <c r="N261" s="599"/>
      <c r="O261" s="599"/>
      <c r="P261" s="599"/>
      <c r="Q261" s="599"/>
      <c r="R261" s="599"/>
      <c r="S261" s="599"/>
      <c r="T261" s="599"/>
      <c r="U261" s="599"/>
      <c r="V261" s="599"/>
      <c r="W261" s="599"/>
      <c r="X261" s="599"/>
      <c r="Y261" s="599"/>
      <c r="Z261" s="599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00">
        <v>4680115881594</v>
      </c>
      <c r="E262" s="600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2"/>
      <c r="R262" s="602"/>
      <c r="S262" s="602"/>
      <c r="T262" s="603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00">
        <v>4680115881617</v>
      </c>
      <c r="E263" s="600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2"/>
      <c r="R263" s="602"/>
      <c r="S263" s="602"/>
      <c r="T263" s="603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00">
        <v>4680115880573</v>
      </c>
      <c r="E264" s="600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74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2"/>
      <c r="R264" s="602"/>
      <c r="S264" s="602"/>
      <c r="T264" s="603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445</v>
      </c>
      <c r="B265" s="60" t="s">
        <v>446</v>
      </c>
      <c r="C265" s="34">
        <v>4301051407</v>
      </c>
      <c r="D265" s="600">
        <v>4680115882195</v>
      </c>
      <c r="E265" s="600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7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2"/>
      <c r="R265" s="602"/>
      <c r="S265" s="602"/>
      <c r="T265" s="603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00">
        <v>4680115882607</v>
      </c>
      <c r="E266" s="600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7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2"/>
      <c r="R266" s="602"/>
      <c r="S266" s="602"/>
      <c r="T266" s="603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00">
        <v>4680115882607</v>
      </c>
      <c r="E267" s="600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7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2"/>
      <c r="R267" s="602"/>
      <c r="S267" s="602"/>
      <c r="T267" s="603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00">
        <v>4680115880092</v>
      </c>
      <c r="E268" s="600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2"/>
      <c r="R268" s="602"/>
      <c r="S268" s="602"/>
      <c r="T268" s="603"/>
      <c r="U268" s="37" t="s">
        <v>46</v>
      </c>
      <c r="V268" s="37" t="s">
        <v>46</v>
      </c>
      <c r="W268" s="38" t="s">
        <v>0</v>
      </c>
      <c r="X268" s="56">
        <v>48</v>
      </c>
      <c r="Y268" s="53">
        <f t="shared" si="37"/>
        <v>48</v>
      </c>
      <c r="Z268" s="39">
        <f>IFERROR(IF(Y268=0,"",ROUNDUP(Y268/H268,0)*0.00651),"")</f>
        <v>0.13020000000000001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53.040000000000006</v>
      </c>
      <c r="BN268" s="75">
        <f t="shared" si="39"/>
        <v>53.040000000000006</v>
      </c>
      <c r="BO268" s="75">
        <f t="shared" si="40"/>
        <v>0.1098901098901099</v>
      </c>
      <c r="BP268" s="75">
        <f t="shared" si="41"/>
        <v>0.1098901098901099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00">
        <v>4680115889064</v>
      </c>
      <c r="E269" s="600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74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2"/>
      <c r="R269" s="602"/>
      <c r="S269" s="602"/>
      <c r="T269" s="603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00">
        <v>4680115880221</v>
      </c>
      <c r="E270" s="600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7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2"/>
      <c r="R270" s="602"/>
      <c r="S270" s="602"/>
      <c r="T270" s="603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458</v>
      </c>
      <c r="B271" s="60" t="s">
        <v>459</v>
      </c>
      <c r="C271" s="34">
        <v>4301051945</v>
      </c>
      <c r="D271" s="600">
        <v>4680115880504</v>
      </c>
      <c r="E271" s="600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7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2"/>
      <c r="R271" s="602"/>
      <c r="S271" s="602"/>
      <c r="T271" s="603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461</v>
      </c>
      <c r="B272" s="60" t="s">
        <v>462</v>
      </c>
      <c r="C272" s="34">
        <v>4301051410</v>
      </c>
      <c r="D272" s="600">
        <v>4680115882164</v>
      </c>
      <c r="E272" s="600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2"/>
      <c r="R272" s="602"/>
      <c r="S272" s="602"/>
      <c r="T272" s="60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00">
        <v>4680115888340</v>
      </c>
      <c r="E273" s="600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7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2"/>
      <c r="R273" s="602"/>
      <c r="S273" s="602"/>
      <c r="T273" s="60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7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08"/>
      <c r="P274" s="604" t="s">
        <v>40</v>
      </c>
      <c r="Q274" s="605"/>
      <c r="R274" s="605"/>
      <c r="S274" s="605"/>
      <c r="T274" s="605"/>
      <c r="U274" s="605"/>
      <c r="V274" s="606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20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20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0.13020000000000001</v>
      </c>
      <c r="AA274" s="64"/>
      <c r="AB274" s="64"/>
      <c r="AC274" s="64"/>
    </row>
    <row r="275" spans="1:68" x14ac:dyDescent="0.2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08"/>
      <c r="P275" s="604" t="s">
        <v>40</v>
      </c>
      <c r="Q275" s="605"/>
      <c r="R275" s="605"/>
      <c r="S275" s="605"/>
      <c r="T275" s="605"/>
      <c r="U275" s="605"/>
      <c r="V275" s="606"/>
      <c r="W275" s="40" t="s">
        <v>0</v>
      </c>
      <c r="X275" s="41">
        <f>IFERROR(SUM(X262:X273),"0")</f>
        <v>48</v>
      </c>
      <c r="Y275" s="41">
        <f>IFERROR(SUM(Y262:Y273),"0")</f>
        <v>48</v>
      </c>
      <c r="Z275" s="40"/>
      <c r="AA275" s="64"/>
      <c r="AB275" s="64"/>
      <c r="AC275" s="64"/>
    </row>
    <row r="276" spans="1:68" ht="14.25" hidden="1" customHeight="1" x14ac:dyDescent="0.25">
      <c r="A276" s="599" t="s">
        <v>180</v>
      </c>
      <c r="B276" s="599"/>
      <c r="C276" s="599"/>
      <c r="D276" s="599"/>
      <c r="E276" s="599"/>
      <c r="F276" s="599"/>
      <c r="G276" s="599"/>
      <c r="H276" s="599"/>
      <c r="I276" s="599"/>
      <c r="J276" s="599"/>
      <c r="K276" s="599"/>
      <c r="L276" s="599"/>
      <c r="M276" s="599"/>
      <c r="N276" s="599"/>
      <c r="O276" s="599"/>
      <c r="P276" s="599"/>
      <c r="Q276" s="599"/>
      <c r="R276" s="599"/>
      <c r="S276" s="599"/>
      <c r="T276" s="599"/>
      <c r="U276" s="599"/>
      <c r="V276" s="599"/>
      <c r="W276" s="599"/>
      <c r="X276" s="599"/>
      <c r="Y276" s="599"/>
      <c r="Z276" s="599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00">
        <v>4680115880818</v>
      </c>
      <c r="E277" s="600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7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2"/>
      <c r="R277" s="602"/>
      <c r="S277" s="602"/>
      <c r="T277" s="603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00">
        <v>4680115880801</v>
      </c>
      <c r="E278" s="600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7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2"/>
      <c r="R278" s="602"/>
      <c r="S278" s="602"/>
      <c r="T278" s="603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8"/>
      <c r="P279" s="604" t="s">
        <v>40</v>
      </c>
      <c r="Q279" s="605"/>
      <c r="R279" s="605"/>
      <c r="S279" s="605"/>
      <c r="T279" s="605"/>
      <c r="U279" s="605"/>
      <c r="V279" s="606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8"/>
      <c r="P280" s="604" t="s">
        <v>40</v>
      </c>
      <c r="Q280" s="605"/>
      <c r="R280" s="605"/>
      <c r="S280" s="605"/>
      <c r="T280" s="605"/>
      <c r="U280" s="605"/>
      <c r="V280" s="606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15" t="s">
        <v>473</v>
      </c>
      <c r="B281" s="615"/>
      <c r="C281" s="615"/>
      <c r="D281" s="615"/>
      <c r="E281" s="615"/>
      <c r="F281" s="615"/>
      <c r="G281" s="615"/>
      <c r="H281" s="615"/>
      <c r="I281" s="615"/>
      <c r="J281" s="615"/>
      <c r="K281" s="615"/>
      <c r="L281" s="615"/>
      <c r="M281" s="615"/>
      <c r="N281" s="615"/>
      <c r="O281" s="615"/>
      <c r="P281" s="615"/>
      <c r="Q281" s="615"/>
      <c r="R281" s="615"/>
      <c r="S281" s="615"/>
      <c r="T281" s="615"/>
      <c r="U281" s="615"/>
      <c r="V281" s="615"/>
      <c r="W281" s="615"/>
      <c r="X281" s="615"/>
      <c r="Y281" s="615"/>
      <c r="Z281" s="615"/>
      <c r="AA281" s="62"/>
      <c r="AB281" s="62"/>
      <c r="AC281" s="62"/>
    </row>
    <row r="282" spans="1:68" ht="14.25" hidden="1" customHeight="1" x14ac:dyDescent="0.25">
      <c r="A282" s="599" t="s">
        <v>128</v>
      </c>
      <c r="B282" s="599"/>
      <c r="C282" s="599"/>
      <c r="D282" s="599"/>
      <c r="E282" s="599"/>
      <c r="F282" s="599"/>
      <c r="G282" s="599"/>
      <c r="H282" s="599"/>
      <c r="I282" s="599"/>
      <c r="J282" s="599"/>
      <c r="K282" s="599"/>
      <c r="L282" s="599"/>
      <c r="M282" s="599"/>
      <c r="N282" s="599"/>
      <c r="O282" s="599"/>
      <c r="P282" s="599"/>
      <c r="Q282" s="599"/>
      <c r="R282" s="599"/>
      <c r="S282" s="599"/>
      <c r="T282" s="599"/>
      <c r="U282" s="599"/>
      <c r="V282" s="599"/>
      <c r="W282" s="599"/>
      <c r="X282" s="599"/>
      <c r="Y282" s="599"/>
      <c r="Z282" s="599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00">
        <v>4680115884137</v>
      </c>
      <c r="E283" s="600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7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2"/>
      <c r="R283" s="602"/>
      <c r="S283" s="602"/>
      <c r="T283" s="60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00">
        <v>4680115884236</v>
      </c>
      <c r="E284" s="600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7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2"/>
      <c r="R284" s="602"/>
      <c r="S284" s="602"/>
      <c r="T284" s="60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00">
        <v>4680115884175</v>
      </c>
      <c r="E285" s="600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7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2"/>
      <c r="R285" s="602"/>
      <c r="S285" s="602"/>
      <c r="T285" s="60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4301011824</v>
      </c>
      <c r="D286" s="600">
        <v>4680115884144</v>
      </c>
      <c r="E286" s="600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2"/>
      <c r="R286" s="602"/>
      <c r="S286" s="602"/>
      <c r="T286" s="60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00">
        <v>4680115886551</v>
      </c>
      <c r="E287" s="600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7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2"/>
      <c r="R287" s="602"/>
      <c r="S287" s="602"/>
      <c r="T287" s="60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00">
        <v>4680115887282</v>
      </c>
      <c r="E288" s="600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72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2"/>
      <c r="R288" s="602"/>
      <c r="S288" s="602"/>
      <c r="T288" s="60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4301011722</v>
      </c>
      <c r="D289" s="600">
        <v>4680115884205</v>
      </c>
      <c r="E289" s="600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2"/>
      <c r="R289" s="602"/>
      <c r="S289" s="602"/>
      <c r="T289" s="60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07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08"/>
      <c r="P290" s="604" t="s">
        <v>40</v>
      </c>
      <c r="Q290" s="605"/>
      <c r="R290" s="605"/>
      <c r="S290" s="605"/>
      <c r="T290" s="605"/>
      <c r="U290" s="605"/>
      <c r="V290" s="606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08"/>
      <c r="P291" s="604" t="s">
        <v>40</v>
      </c>
      <c r="Q291" s="605"/>
      <c r="R291" s="605"/>
      <c r="S291" s="605"/>
      <c r="T291" s="605"/>
      <c r="U291" s="605"/>
      <c r="V291" s="606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599" t="s">
        <v>163</v>
      </c>
      <c r="B292" s="599"/>
      <c r="C292" s="599"/>
      <c r="D292" s="599"/>
      <c r="E292" s="599"/>
      <c r="F292" s="599"/>
      <c r="G292" s="599"/>
      <c r="H292" s="599"/>
      <c r="I292" s="599"/>
      <c r="J292" s="599"/>
      <c r="K292" s="599"/>
      <c r="L292" s="599"/>
      <c r="M292" s="599"/>
      <c r="N292" s="599"/>
      <c r="O292" s="599"/>
      <c r="P292" s="599"/>
      <c r="Q292" s="599"/>
      <c r="R292" s="599"/>
      <c r="S292" s="599"/>
      <c r="T292" s="599"/>
      <c r="U292" s="599"/>
      <c r="V292" s="599"/>
      <c r="W292" s="599"/>
      <c r="X292" s="599"/>
      <c r="Y292" s="599"/>
      <c r="Z292" s="599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00">
        <v>4680115885981</v>
      </c>
      <c r="E293" s="600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7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2"/>
      <c r="R293" s="602"/>
      <c r="S293" s="602"/>
      <c r="T293" s="603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7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8"/>
      <c r="P294" s="604" t="s">
        <v>40</v>
      </c>
      <c r="Q294" s="605"/>
      <c r="R294" s="605"/>
      <c r="S294" s="605"/>
      <c r="T294" s="605"/>
      <c r="U294" s="605"/>
      <c r="V294" s="606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8"/>
      <c r="P295" s="604" t="s">
        <v>40</v>
      </c>
      <c r="Q295" s="605"/>
      <c r="R295" s="605"/>
      <c r="S295" s="605"/>
      <c r="T295" s="605"/>
      <c r="U295" s="605"/>
      <c r="V295" s="606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599" t="s">
        <v>495</v>
      </c>
      <c r="B296" s="599"/>
      <c r="C296" s="599"/>
      <c r="D296" s="599"/>
      <c r="E296" s="599"/>
      <c r="F296" s="599"/>
      <c r="G296" s="599"/>
      <c r="H296" s="599"/>
      <c r="I296" s="599"/>
      <c r="J296" s="599"/>
      <c r="K296" s="599"/>
      <c r="L296" s="599"/>
      <c r="M296" s="599"/>
      <c r="N296" s="599"/>
      <c r="O296" s="599"/>
      <c r="P296" s="599"/>
      <c r="Q296" s="599"/>
      <c r="R296" s="599"/>
      <c r="S296" s="599"/>
      <c r="T296" s="599"/>
      <c r="U296" s="599"/>
      <c r="V296" s="599"/>
      <c r="W296" s="599"/>
      <c r="X296" s="599"/>
      <c r="Y296" s="599"/>
      <c r="Z296" s="599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00">
        <v>4680115886803</v>
      </c>
      <c r="E297" s="600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7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2"/>
      <c r="R297" s="602"/>
      <c r="S297" s="602"/>
      <c r="T297" s="603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07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8"/>
      <c r="P298" s="604" t="s">
        <v>40</v>
      </c>
      <c r="Q298" s="605"/>
      <c r="R298" s="605"/>
      <c r="S298" s="605"/>
      <c r="T298" s="605"/>
      <c r="U298" s="605"/>
      <c r="V298" s="606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8"/>
      <c r="P299" s="604" t="s">
        <v>40</v>
      </c>
      <c r="Q299" s="605"/>
      <c r="R299" s="605"/>
      <c r="S299" s="605"/>
      <c r="T299" s="605"/>
      <c r="U299" s="605"/>
      <c r="V299" s="606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599" t="s">
        <v>329</v>
      </c>
      <c r="B300" s="599"/>
      <c r="C300" s="599"/>
      <c r="D300" s="599"/>
      <c r="E300" s="599"/>
      <c r="F300" s="599"/>
      <c r="G300" s="599"/>
      <c r="H300" s="599"/>
      <c r="I300" s="599"/>
      <c r="J300" s="599"/>
      <c r="K300" s="599"/>
      <c r="L300" s="599"/>
      <c r="M300" s="599"/>
      <c r="N300" s="599"/>
      <c r="O300" s="599"/>
      <c r="P300" s="599"/>
      <c r="Q300" s="599"/>
      <c r="R300" s="599"/>
      <c r="S300" s="599"/>
      <c r="T300" s="599"/>
      <c r="U300" s="599"/>
      <c r="V300" s="599"/>
      <c r="W300" s="599"/>
      <c r="X300" s="599"/>
      <c r="Y300" s="599"/>
      <c r="Z300" s="599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00">
        <v>4680115886704</v>
      </c>
      <c r="E301" s="600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72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2"/>
      <c r="R301" s="602"/>
      <c r="S301" s="602"/>
      <c r="T301" s="603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00">
        <v>4680115886681</v>
      </c>
      <c r="E302" s="600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72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2"/>
      <c r="R302" s="602"/>
      <c r="S302" s="602"/>
      <c r="T302" s="603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00">
        <v>4680115886735</v>
      </c>
      <c r="E303" s="600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72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2"/>
      <c r="R303" s="602"/>
      <c r="S303" s="602"/>
      <c r="T303" s="603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00">
        <v>4680115886711</v>
      </c>
      <c r="E304" s="600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71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2"/>
      <c r="R304" s="602"/>
      <c r="S304" s="602"/>
      <c r="T304" s="603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07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08"/>
      <c r="P305" s="604" t="s">
        <v>40</v>
      </c>
      <c r="Q305" s="605"/>
      <c r="R305" s="605"/>
      <c r="S305" s="605"/>
      <c r="T305" s="605"/>
      <c r="U305" s="605"/>
      <c r="V305" s="606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08"/>
      <c r="P306" s="604" t="s">
        <v>40</v>
      </c>
      <c r="Q306" s="605"/>
      <c r="R306" s="605"/>
      <c r="S306" s="605"/>
      <c r="T306" s="605"/>
      <c r="U306" s="605"/>
      <c r="V306" s="606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15" t="s">
        <v>509</v>
      </c>
      <c r="B307" s="615"/>
      <c r="C307" s="615"/>
      <c r="D307" s="615"/>
      <c r="E307" s="615"/>
      <c r="F307" s="615"/>
      <c r="G307" s="615"/>
      <c r="H307" s="615"/>
      <c r="I307" s="615"/>
      <c r="J307" s="615"/>
      <c r="K307" s="615"/>
      <c r="L307" s="615"/>
      <c r="M307" s="615"/>
      <c r="N307" s="615"/>
      <c r="O307" s="615"/>
      <c r="P307" s="615"/>
      <c r="Q307" s="615"/>
      <c r="R307" s="615"/>
      <c r="S307" s="615"/>
      <c r="T307" s="615"/>
      <c r="U307" s="615"/>
      <c r="V307" s="615"/>
      <c r="W307" s="615"/>
      <c r="X307" s="615"/>
      <c r="Y307" s="615"/>
      <c r="Z307" s="615"/>
      <c r="AA307" s="62"/>
      <c r="AB307" s="62"/>
      <c r="AC307" s="62"/>
    </row>
    <row r="308" spans="1:68" ht="14.25" hidden="1" customHeight="1" x14ac:dyDescent="0.25">
      <c r="A308" s="599" t="s">
        <v>128</v>
      </c>
      <c r="B308" s="599"/>
      <c r="C308" s="599"/>
      <c r="D308" s="599"/>
      <c r="E308" s="599"/>
      <c r="F308" s="599"/>
      <c r="G308" s="599"/>
      <c r="H308" s="599"/>
      <c r="I308" s="599"/>
      <c r="J308" s="599"/>
      <c r="K308" s="599"/>
      <c r="L308" s="599"/>
      <c r="M308" s="599"/>
      <c r="N308" s="599"/>
      <c r="O308" s="599"/>
      <c r="P308" s="599"/>
      <c r="Q308" s="599"/>
      <c r="R308" s="599"/>
      <c r="S308" s="599"/>
      <c r="T308" s="599"/>
      <c r="U308" s="599"/>
      <c r="V308" s="599"/>
      <c r="W308" s="599"/>
      <c r="X308" s="599"/>
      <c r="Y308" s="599"/>
      <c r="Z308" s="599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00">
        <v>4680115885837</v>
      </c>
      <c r="E309" s="600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72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2"/>
      <c r="R309" s="602"/>
      <c r="S309" s="602"/>
      <c r="T309" s="603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00">
        <v>4680115887237</v>
      </c>
      <c r="E310" s="600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71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2"/>
      <c r="R310" s="602"/>
      <c r="S310" s="602"/>
      <c r="T310" s="603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00">
        <v>4680115885806</v>
      </c>
      <c r="E311" s="600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2"/>
      <c r="R311" s="602"/>
      <c r="S311" s="602"/>
      <c r="T311" s="603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00">
        <v>4680115885844</v>
      </c>
      <c r="E312" s="600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7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2"/>
      <c r="R312" s="602"/>
      <c r="S312" s="602"/>
      <c r="T312" s="603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00">
        <v>4680115885820</v>
      </c>
      <c r="E313" s="600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7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2"/>
      <c r="R313" s="602"/>
      <c r="S313" s="602"/>
      <c r="T313" s="603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07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08"/>
      <c r="P314" s="604" t="s">
        <v>40</v>
      </c>
      <c r="Q314" s="605"/>
      <c r="R314" s="605"/>
      <c r="S314" s="605"/>
      <c r="T314" s="605"/>
      <c r="U314" s="605"/>
      <c r="V314" s="606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08"/>
      <c r="P315" s="604" t="s">
        <v>40</v>
      </c>
      <c r="Q315" s="605"/>
      <c r="R315" s="605"/>
      <c r="S315" s="605"/>
      <c r="T315" s="605"/>
      <c r="U315" s="605"/>
      <c r="V315" s="606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15" t="s">
        <v>525</v>
      </c>
      <c r="B316" s="615"/>
      <c r="C316" s="615"/>
      <c r="D316" s="615"/>
      <c r="E316" s="615"/>
      <c r="F316" s="615"/>
      <c r="G316" s="615"/>
      <c r="H316" s="615"/>
      <c r="I316" s="615"/>
      <c r="J316" s="615"/>
      <c r="K316" s="615"/>
      <c r="L316" s="615"/>
      <c r="M316" s="615"/>
      <c r="N316" s="615"/>
      <c r="O316" s="615"/>
      <c r="P316" s="615"/>
      <c r="Q316" s="615"/>
      <c r="R316" s="615"/>
      <c r="S316" s="615"/>
      <c r="T316" s="615"/>
      <c r="U316" s="615"/>
      <c r="V316" s="615"/>
      <c r="W316" s="615"/>
      <c r="X316" s="615"/>
      <c r="Y316" s="615"/>
      <c r="Z316" s="615"/>
      <c r="AA316" s="62"/>
      <c r="AB316" s="62"/>
      <c r="AC316" s="62"/>
    </row>
    <row r="317" spans="1:68" ht="14.25" hidden="1" customHeight="1" x14ac:dyDescent="0.25">
      <c r="A317" s="599" t="s">
        <v>86</v>
      </c>
      <c r="B317" s="599"/>
      <c r="C317" s="599"/>
      <c r="D317" s="599"/>
      <c r="E317" s="599"/>
      <c r="F317" s="599"/>
      <c r="G317" s="599"/>
      <c r="H317" s="599"/>
      <c r="I317" s="599"/>
      <c r="J317" s="599"/>
      <c r="K317" s="599"/>
      <c r="L317" s="599"/>
      <c r="M317" s="599"/>
      <c r="N317" s="599"/>
      <c r="O317" s="599"/>
      <c r="P317" s="599"/>
      <c r="Q317" s="599"/>
      <c r="R317" s="599"/>
      <c r="S317" s="599"/>
      <c r="T317" s="599"/>
      <c r="U317" s="599"/>
      <c r="V317" s="599"/>
      <c r="W317" s="599"/>
      <c r="X317" s="599"/>
      <c r="Y317" s="599"/>
      <c r="Z317" s="599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00">
        <v>4680115886186</v>
      </c>
      <c r="E318" s="600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7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2"/>
      <c r="R318" s="602"/>
      <c r="S318" s="602"/>
      <c r="T318" s="60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4301051795</v>
      </c>
      <c r="D319" s="600">
        <v>4680115881228</v>
      </c>
      <c r="E319" s="600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7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2"/>
      <c r="R319" s="602"/>
      <c r="S319" s="602"/>
      <c r="T319" s="603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00">
        <v>4680115881211</v>
      </c>
      <c r="E320" s="600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2"/>
      <c r="R320" s="602"/>
      <c r="S320" s="602"/>
      <c r="T320" s="603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07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08"/>
      <c r="P321" s="604" t="s">
        <v>40</v>
      </c>
      <c r="Q321" s="605"/>
      <c r="R321" s="605"/>
      <c r="S321" s="605"/>
      <c r="T321" s="605"/>
      <c r="U321" s="605"/>
      <c r="V321" s="606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08"/>
      <c r="P322" s="604" t="s">
        <v>40</v>
      </c>
      <c r="Q322" s="605"/>
      <c r="R322" s="605"/>
      <c r="S322" s="605"/>
      <c r="T322" s="605"/>
      <c r="U322" s="605"/>
      <c r="V322" s="606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15" t="s">
        <v>534</v>
      </c>
      <c r="B323" s="615"/>
      <c r="C323" s="615"/>
      <c r="D323" s="615"/>
      <c r="E323" s="615"/>
      <c r="F323" s="615"/>
      <c r="G323" s="615"/>
      <c r="H323" s="615"/>
      <c r="I323" s="615"/>
      <c r="J323" s="615"/>
      <c r="K323" s="615"/>
      <c r="L323" s="615"/>
      <c r="M323" s="615"/>
      <c r="N323" s="615"/>
      <c r="O323" s="615"/>
      <c r="P323" s="615"/>
      <c r="Q323" s="615"/>
      <c r="R323" s="615"/>
      <c r="S323" s="615"/>
      <c r="T323" s="615"/>
      <c r="U323" s="615"/>
      <c r="V323" s="615"/>
      <c r="W323" s="615"/>
      <c r="X323" s="615"/>
      <c r="Y323" s="615"/>
      <c r="Z323" s="615"/>
      <c r="AA323" s="62"/>
      <c r="AB323" s="62"/>
      <c r="AC323" s="62"/>
    </row>
    <row r="324" spans="1:68" ht="14.25" hidden="1" customHeight="1" x14ac:dyDescent="0.25">
      <c r="A324" s="599" t="s">
        <v>77</v>
      </c>
      <c r="B324" s="599"/>
      <c r="C324" s="599"/>
      <c r="D324" s="599"/>
      <c r="E324" s="599"/>
      <c r="F324" s="599"/>
      <c r="G324" s="599"/>
      <c r="H324" s="599"/>
      <c r="I324" s="599"/>
      <c r="J324" s="599"/>
      <c r="K324" s="599"/>
      <c r="L324" s="599"/>
      <c r="M324" s="599"/>
      <c r="N324" s="599"/>
      <c r="O324" s="599"/>
      <c r="P324" s="599"/>
      <c r="Q324" s="599"/>
      <c r="R324" s="599"/>
      <c r="S324" s="599"/>
      <c r="T324" s="599"/>
      <c r="U324" s="599"/>
      <c r="V324" s="599"/>
      <c r="W324" s="599"/>
      <c r="X324" s="599"/>
      <c r="Y324" s="599"/>
      <c r="Z324" s="599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00">
        <v>4680115888319</v>
      </c>
      <c r="E325" s="600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7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2"/>
      <c r="R325" s="602"/>
      <c r="S325" s="602"/>
      <c r="T325" s="603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00">
        <v>4680115884700</v>
      </c>
      <c r="E326" s="600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70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2"/>
      <c r="R326" s="602"/>
      <c r="S326" s="602"/>
      <c r="T326" s="603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00">
        <v>4680115880344</v>
      </c>
      <c r="E327" s="600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7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2"/>
      <c r="R327" s="602"/>
      <c r="S327" s="602"/>
      <c r="T327" s="603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00">
        <v>4680115886919</v>
      </c>
      <c r="E328" s="600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71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2"/>
      <c r="R328" s="602"/>
      <c r="S328" s="602"/>
      <c r="T328" s="603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00">
        <v>4680115883970</v>
      </c>
      <c r="E329" s="600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0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2"/>
      <c r="R329" s="602"/>
      <c r="S329" s="602"/>
      <c r="T329" s="60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7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08"/>
      <c r="P330" s="604" t="s">
        <v>40</v>
      </c>
      <c r="Q330" s="605"/>
      <c r="R330" s="605"/>
      <c r="S330" s="605"/>
      <c r="T330" s="605"/>
      <c r="U330" s="605"/>
      <c r="V330" s="606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08"/>
      <c r="P331" s="604" t="s">
        <v>40</v>
      </c>
      <c r="Q331" s="605"/>
      <c r="R331" s="605"/>
      <c r="S331" s="605"/>
      <c r="T331" s="605"/>
      <c r="U331" s="605"/>
      <c r="V331" s="606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599" t="s">
        <v>86</v>
      </c>
      <c r="B332" s="599"/>
      <c r="C332" s="599"/>
      <c r="D332" s="599"/>
      <c r="E332" s="599"/>
      <c r="F332" s="599"/>
      <c r="G332" s="599"/>
      <c r="H332" s="599"/>
      <c r="I332" s="599"/>
      <c r="J332" s="599"/>
      <c r="K332" s="599"/>
      <c r="L332" s="599"/>
      <c r="M332" s="599"/>
      <c r="N332" s="599"/>
      <c r="O332" s="599"/>
      <c r="P332" s="599"/>
      <c r="Q332" s="599"/>
      <c r="R332" s="599"/>
      <c r="S332" s="599"/>
      <c r="T332" s="599"/>
      <c r="U332" s="599"/>
      <c r="V332" s="599"/>
      <c r="W332" s="599"/>
      <c r="X332" s="599"/>
      <c r="Y332" s="599"/>
      <c r="Z332" s="599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00">
        <v>4680115884618</v>
      </c>
      <c r="E333" s="600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2"/>
      <c r="R333" s="602"/>
      <c r="S333" s="602"/>
      <c r="T333" s="60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00">
        <v>4680115887114</v>
      </c>
      <c r="E334" s="600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70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2"/>
      <c r="R334" s="602"/>
      <c r="S334" s="602"/>
      <c r="T334" s="603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7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8"/>
      <c r="P335" s="604" t="s">
        <v>40</v>
      </c>
      <c r="Q335" s="605"/>
      <c r="R335" s="605"/>
      <c r="S335" s="605"/>
      <c r="T335" s="605"/>
      <c r="U335" s="605"/>
      <c r="V335" s="606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08"/>
      <c r="P336" s="604" t="s">
        <v>40</v>
      </c>
      <c r="Q336" s="605"/>
      <c r="R336" s="605"/>
      <c r="S336" s="605"/>
      <c r="T336" s="605"/>
      <c r="U336" s="605"/>
      <c r="V336" s="606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15" t="s">
        <v>555</v>
      </c>
      <c r="B337" s="615"/>
      <c r="C337" s="615"/>
      <c r="D337" s="615"/>
      <c r="E337" s="615"/>
      <c r="F337" s="615"/>
      <c r="G337" s="615"/>
      <c r="H337" s="615"/>
      <c r="I337" s="615"/>
      <c r="J337" s="615"/>
      <c r="K337" s="615"/>
      <c r="L337" s="615"/>
      <c r="M337" s="615"/>
      <c r="N337" s="615"/>
      <c r="O337" s="615"/>
      <c r="P337" s="615"/>
      <c r="Q337" s="615"/>
      <c r="R337" s="615"/>
      <c r="S337" s="615"/>
      <c r="T337" s="615"/>
      <c r="U337" s="615"/>
      <c r="V337" s="615"/>
      <c r="W337" s="615"/>
      <c r="X337" s="615"/>
      <c r="Y337" s="615"/>
      <c r="Z337" s="615"/>
      <c r="AA337" s="62"/>
      <c r="AB337" s="62"/>
      <c r="AC337" s="62"/>
    </row>
    <row r="338" spans="1:68" ht="14.25" hidden="1" customHeight="1" x14ac:dyDescent="0.25">
      <c r="A338" s="599" t="s">
        <v>128</v>
      </c>
      <c r="B338" s="599"/>
      <c r="C338" s="599"/>
      <c r="D338" s="599"/>
      <c r="E338" s="599"/>
      <c r="F338" s="599"/>
      <c r="G338" s="599"/>
      <c r="H338" s="599"/>
      <c r="I338" s="599"/>
      <c r="J338" s="599"/>
      <c r="K338" s="599"/>
      <c r="L338" s="599"/>
      <c r="M338" s="599"/>
      <c r="N338" s="599"/>
      <c r="O338" s="599"/>
      <c r="P338" s="599"/>
      <c r="Q338" s="599"/>
      <c r="R338" s="599"/>
      <c r="S338" s="599"/>
      <c r="T338" s="599"/>
      <c r="U338" s="599"/>
      <c r="V338" s="599"/>
      <c r="W338" s="599"/>
      <c r="X338" s="599"/>
      <c r="Y338" s="599"/>
      <c r="Z338" s="599"/>
      <c r="AA338" s="63"/>
      <c r="AB338" s="63"/>
      <c r="AC338" s="63"/>
    </row>
    <row r="339" spans="1:68" ht="27" hidden="1" customHeight="1" x14ac:dyDescent="0.25">
      <c r="A339" s="60" t="s">
        <v>556</v>
      </c>
      <c r="B339" s="60" t="s">
        <v>557</v>
      </c>
      <c r="C339" s="34">
        <v>4301012324</v>
      </c>
      <c r="D339" s="600">
        <v>4680115887947</v>
      </c>
      <c r="E339" s="600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70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2"/>
      <c r="R339" s="602"/>
      <c r="S339" s="602"/>
      <c r="T339" s="60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00">
        <v>4680115887978</v>
      </c>
      <c r="E340" s="600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70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2"/>
      <c r="R340" s="602"/>
      <c r="S340" s="602"/>
      <c r="T340" s="60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00">
        <v>4680115887992</v>
      </c>
      <c r="E341" s="600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70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2"/>
      <c r="R341" s="602"/>
      <c r="S341" s="602"/>
      <c r="T341" s="603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07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08"/>
      <c r="P342" s="604" t="s">
        <v>40</v>
      </c>
      <c r="Q342" s="605"/>
      <c r="R342" s="605"/>
      <c r="S342" s="605"/>
      <c r="T342" s="605"/>
      <c r="U342" s="605"/>
      <c r="V342" s="606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08"/>
      <c r="P343" s="604" t="s">
        <v>40</v>
      </c>
      <c r="Q343" s="605"/>
      <c r="R343" s="605"/>
      <c r="S343" s="605"/>
      <c r="T343" s="605"/>
      <c r="U343" s="605"/>
      <c r="V343" s="606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15" t="s">
        <v>565</v>
      </c>
      <c r="B344" s="615"/>
      <c r="C344" s="615"/>
      <c r="D344" s="615"/>
      <c r="E344" s="615"/>
      <c r="F344" s="615"/>
      <c r="G344" s="615"/>
      <c r="H344" s="615"/>
      <c r="I344" s="615"/>
      <c r="J344" s="615"/>
      <c r="K344" s="615"/>
      <c r="L344" s="615"/>
      <c r="M344" s="615"/>
      <c r="N344" s="615"/>
      <c r="O344" s="615"/>
      <c r="P344" s="615"/>
      <c r="Q344" s="615"/>
      <c r="R344" s="615"/>
      <c r="S344" s="615"/>
      <c r="T344" s="615"/>
      <c r="U344" s="615"/>
      <c r="V344" s="615"/>
      <c r="W344" s="615"/>
      <c r="X344" s="615"/>
      <c r="Y344" s="615"/>
      <c r="Z344" s="615"/>
      <c r="AA344" s="62"/>
      <c r="AB344" s="62"/>
      <c r="AC344" s="62"/>
    </row>
    <row r="345" spans="1:68" ht="14.25" hidden="1" customHeight="1" x14ac:dyDescent="0.25">
      <c r="A345" s="599" t="s">
        <v>128</v>
      </c>
      <c r="B345" s="599"/>
      <c r="C345" s="599"/>
      <c r="D345" s="599"/>
      <c r="E345" s="599"/>
      <c r="F345" s="599"/>
      <c r="G345" s="599"/>
      <c r="H345" s="599"/>
      <c r="I345" s="599"/>
      <c r="J345" s="599"/>
      <c r="K345" s="599"/>
      <c r="L345" s="599"/>
      <c r="M345" s="599"/>
      <c r="N345" s="599"/>
      <c r="O345" s="599"/>
      <c r="P345" s="599"/>
      <c r="Q345" s="599"/>
      <c r="R345" s="599"/>
      <c r="S345" s="599"/>
      <c r="T345" s="599"/>
      <c r="U345" s="599"/>
      <c r="V345" s="599"/>
      <c r="W345" s="599"/>
      <c r="X345" s="599"/>
      <c r="Y345" s="599"/>
      <c r="Z345" s="599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4301012235</v>
      </c>
      <c r="D346" s="600">
        <v>4680115887190</v>
      </c>
      <c r="E346" s="600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7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2"/>
      <c r="R346" s="602"/>
      <c r="S346" s="602"/>
      <c r="T346" s="60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hidden="1" customHeight="1" x14ac:dyDescent="0.25">
      <c r="A347" s="60" t="s">
        <v>569</v>
      </c>
      <c r="B347" s="60" t="s">
        <v>570</v>
      </c>
      <c r="C347" s="34">
        <v>4301012233</v>
      </c>
      <c r="D347" s="600">
        <v>4680115887138</v>
      </c>
      <c r="E347" s="600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6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2"/>
      <c r="R347" s="602"/>
      <c r="S347" s="602"/>
      <c r="T347" s="60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572</v>
      </c>
      <c r="B348" s="60" t="s">
        <v>573</v>
      </c>
      <c r="C348" s="34">
        <v>4301012016</v>
      </c>
      <c r="D348" s="600">
        <v>4680115885554</v>
      </c>
      <c r="E348" s="600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90</v>
      </c>
      <c r="N348" s="36"/>
      <c r="O348" s="35">
        <v>55</v>
      </c>
      <c r="P348" s="6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2"/>
      <c r="R348" s="602"/>
      <c r="S348" s="602"/>
      <c r="T348" s="60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4301012236</v>
      </c>
      <c r="D349" s="600">
        <v>4680115887220</v>
      </c>
      <c r="E349" s="600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140</v>
      </c>
      <c r="L349" s="35" t="s">
        <v>46</v>
      </c>
      <c r="M349" s="36" t="s">
        <v>132</v>
      </c>
      <c r="N349" s="36"/>
      <c r="O349" s="35">
        <v>55</v>
      </c>
      <c r="P349" s="6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2"/>
      <c r="R349" s="602"/>
      <c r="S349" s="602"/>
      <c r="T349" s="60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568</v>
      </c>
      <c r="AG349" s="75"/>
      <c r="AJ349" s="79" t="s">
        <v>46</v>
      </c>
      <c r="AK349" s="79">
        <v>0</v>
      </c>
      <c r="BB349" s="426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577</v>
      </c>
      <c r="B350" s="60" t="s">
        <v>578</v>
      </c>
      <c r="C350" s="34">
        <v>4301011859</v>
      </c>
      <c r="D350" s="600">
        <v>4680115885608</v>
      </c>
      <c r="E350" s="600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7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2"/>
      <c r="R350" s="602"/>
      <c r="S350" s="602"/>
      <c r="T350" s="603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579</v>
      </c>
      <c r="AG350" s="75"/>
      <c r="AJ350" s="79" t="s">
        <v>46</v>
      </c>
      <c r="AK350" s="79">
        <v>0</v>
      </c>
      <c r="BB350" s="42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idden="1" x14ac:dyDescent="0.2">
      <c r="A351" s="607"/>
      <c r="B351" s="607"/>
      <c r="C351" s="607"/>
      <c r="D351" s="607"/>
      <c r="E351" s="607"/>
      <c r="F351" s="607"/>
      <c r="G351" s="607"/>
      <c r="H351" s="607"/>
      <c r="I351" s="607"/>
      <c r="J351" s="607"/>
      <c r="K351" s="607"/>
      <c r="L351" s="607"/>
      <c r="M351" s="607"/>
      <c r="N351" s="607"/>
      <c r="O351" s="608"/>
      <c r="P351" s="604" t="s">
        <v>40</v>
      </c>
      <c r="Q351" s="605"/>
      <c r="R351" s="605"/>
      <c r="S351" s="605"/>
      <c r="T351" s="605"/>
      <c r="U351" s="605"/>
      <c r="V351" s="606"/>
      <c r="W351" s="40" t="s">
        <v>39</v>
      </c>
      <c r="X351" s="41">
        <f>IFERROR(X346/H346,"0")+IFERROR(X347/H347,"0")+IFERROR(X348/H348,"0")+IFERROR(X349/H349,"0")+IFERROR(X350/H350,"0")</f>
        <v>0</v>
      </c>
      <c r="Y351" s="41">
        <f>IFERROR(Y346/H346,"0")+IFERROR(Y347/H347,"0")+IFERROR(Y348/H348,"0")+IFERROR(Y349/H349,"0")+IFERROR(Y350/H350,"0")</f>
        <v>0</v>
      </c>
      <c r="Z351" s="41">
        <f>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07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08"/>
      <c r="P352" s="604" t="s">
        <v>40</v>
      </c>
      <c r="Q352" s="605"/>
      <c r="R352" s="605"/>
      <c r="S352" s="605"/>
      <c r="T352" s="605"/>
      <c r="U352" s="605"/>
      <c r="V352" s="606"/>
      <c r="W352" s="40" t="s">
        <v>0</v>
      </c>
      <c r="X352" s="41">
        <f>IFERROR(SUM(X346:X350),"0")</f>
        <v>0</v>
      </c>
      <c r="Y352" s="41">
        <f>IFERROR(SUM(Y346:Y350),"0")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599" t="s">
        <v>77</v>
      </c>
      <c r="B353" s="599"/>
      <c r="C353" s="599"/>
      <c r="D353" s="599"/>
      <c r="E353" s="599"/>
      <c r="F353" s="599"/>
      <c r="G353" s="599"/>
      <c r="H353" s="599"/>
      <c r="I353" s="599"/>
      <c r="J353" s="599"/>
      <c r="K353" s="599"/>
      <c r="L353" s="599"/>
      <c r="M353" s="599"/>
      <c r="N353" s="599"/>
      <c r="O353" s="599"/>
      <c r="P353" s="599"/>
      <c r="Q353" s="599"/>
      <c r="R353" s="599"/>
      <c r="S353" s="599"/>
      <c r="T353" s="599"/>
      <c r="U353" s="599"/>
      <c r="V353" s="599"/>
      <c r="W353" s="599"/>
      <c r="X353" s="599"/>
      <c r="Y353" s="599"/>
      <c r="Z353" s="599"/>
      <c r="AA353" s="63"/>
      <c r="AB353" s="63"/>
      <c r="AC353" s="63"/>
    </row>
    <row r="354" spans="1:68" ht="27" hidden="1" customHeight="1" x14ac:dyDescent="0.25">
      <c r="A354" s="60" t="s">
        <v>580</v>
      </c>
      <c r="B354" s="60" t="s">
        <v>581</v>
      </c>
      <c r="C354" s="34">
        <v>4301030878</v>
      </c>
      <c r="D354" s="600">
        <v>4607091387193</v>
      </c>
      <c r="E354" s="600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140</v>
      </c>
      <c r="L354" s="35" t="s">
        <v>46</v>
      </c>
      <c r="M354" s="36" t="s">
        <v>81</v>
      </c>
      <c r="N354" s="36"/>
      <c r="O354" s="35">
        <v>35</v>
      </c>
      <c r="P354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2"/>
      <c r="R354" s="602"/>
      <c r="S354" s="602"/>
      <c r="T354" s="603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29" t="s">
        <v>582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hidden="1" customHeight="1" x14ac:dyDescent="0.25">
      <c r="A355" s="60" t="s">
        <v>583</v>
      </c>
      <c r="B355" s="60" t="s">
        <v>584</v>
      </c>
      <c r="C355" s="34">
        <v>4301031153</v>
      </c>
      <c r="D355" s="600">
        <v>4607091387230</v>
      </c>
      <c r="E355" s="600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40</v>
      </c>
      <c r="P355" s="69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2"/>
      <c r="R355" s="602"/>
      <c r="S355" s="602"/>
      <c r="T355" s="603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4301031154</v>
      </c>
      <c r="D356" s="600">
        <v>4607091387292</v>
      </c>
      <c r="E356" s="600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45</v>
      </c>
      <c r="P356" s="6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2"/>
      <c r="R356" s="602"/>
      <c r="S356" s="602"/>
      <c r="T356" s="603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4301031152</v>
      </c>
      <c r="D357" s="600">
        <v>4607091387285</v>
      </c>
      <c r="E357" s="600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82</v>
      </c>
      <c r="L357" s="35" t="s">
        <v>46</v>
      </c>
      <c r="M357" s="36" t="s">
        <v>81</v>
      </c>
      <c r="N357" s="36"/>
      <c r="O357" s="35">
        <v>40</v>
      </c>
      <c r="P357" s="69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2"/>
      <c r="R357" s="602"/>
      <c r="S357" s="602"/>
      <c r="T357" s="603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585</v>
      </c>
      <c r="AG357" s="75"/>
      <c r="AJ357" s="79" t="s">
        <v>46</v>
      </c>
      <c r="AK357" s="79">
        <v>0</v>
      </c>
      <c r="BB357" s="436" t="s">
        <v>67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hidden="1" customHeight="1" x14ac:dyDescent="0.25">
      <c r="A358" s="60" t="s">
        <v>591</v>
      </c>
      <c r="B358" s="60" t="s">
        <v>592</v>
      </c>
      <c r="C358" s="34">
        <v>4301031305</v>
      </c>
      <c r="D358" s="600">
        <v>4607091389845</v>
      </c>
      <c r="E358" s="600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69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2"/>
      <c r="R358" s="602"/>
      <c r="S358" s="602"/>
      <c r="T358" s="603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593</v>
      </c>
      <c r="AG358" s="75"/>
      <c r="AJ358" s="79" t="s">
        <v>46</v>
      </c>
      <c r="AK358" s="79">
        <v>0</v>
      </c>
      <c r="BB358" s="438" t="s">
        <v>67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4301031460</v>
      </c>
      <c r="D359" s="600">
        <v>4680115887442</v>
      </c>
      <c r="E359" s="600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140</v>
      </c>
      <c r="L359" s="35" t="s">
        <v>46</v>
      </c>
      <c r="M359" s="36" t="s">
        <v>81</v>
      </c>
      <c r="N359" s="36"/>
      <c r="O359" s="35">
        <v>45</v>
      </c>
      <c r="P359" s="69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2"/>
      <c r="R359" s="602"/>
      <c r="S359" s="602"/>
      <c r="T359" s="603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588</v>
      </c>
      <c r="AG359" s="75"/>
      <c r="AJ359" s="79" t="s">
        <v>46</v>
      </c>
      <c r="AK359" s="79">
        <v>0</v>
      </c>
      <c r="BB359" s="440" t="s">
        <v>67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hidden="1" customHeight="1" x14ac:dyDescent="0.25">
      <c r="A360" s="60" t="s">
        <v>596</v>
      </c>
      <c r="B360" s="60" t="s">
        <v>597</v>
      </c>
      <c r="C360" s="34">
        <v>4301031066</v>
      </c>
      <c r="D360" s="600">
        <v>4607091383836</v>
      </c>
      <c r="E360" s="600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91</v>
      </c>
      <c r="L360" s="35" t="s">
        <v>46</v>
      </c>
      <c r="M360" s="36" t="s">
        <v>81</v>
      </c>
      <c r="N360" s="36"/>
      <c r="O360" s="35">
        <v>40</v>
      </c>
      <c r="P360" s="6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2"/>
      <c r="R360" s="602"/>
      <c r="S360" s="602"/>
      <c r="T360" s="603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598</v>
      </c>
      <c r="AG360" s="75"/>
      <c r="AJ360" s="79" t="s">
        <v>46</v>
      </c>
      <c r="AK360" s="79">
        <v>0</v>
      </c>
      <c r="BB360" s="442" t="s">
        <v>67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hidden="1" x14ac:dyDescent="0.2">
      <c r="A361" s="607"/>
      <c r="B361" s="607"/>
      <c r="C361" s="607"/>
      <c r="D361" s="607"/>
      <c r="E361" s="607"/>
      <c r="F361" s="607"/>
      <c r="G361" s="607"/>
      <c r="H361" s="607"/>
      <c r="I361" s="607"/>
      <c r="J361" s="607"/>
      <c r="K361" s="607"/>
      <c r="L361" s="607"/>
      <c r="M361" s="607"/>
      <c r="N361" s="607"/>
      <c r="O361" s="608"/>
      <c r="P361" s="604" t="s">
        <v>40</v>
      </c>
      <c r="Q361" s="605"/>
      <c r="R361" s="605"/>
      <c r="S361" s="605"/>
      <c r="T361" s="605"/>
      <c r="U361" s="605"/>
      <c r="V361" s="606"/>
      <c r="W361" s="40" t="s">
        <v>39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hidden="1" x14ac:dyDescent="0.2">
      <c r="A362" s="607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08"/>
      <c r="P362" s="604" t="s">
        <v>40</v>
      </c>
      <c r="Q362" s="605"/>
      <c r="R362" s="605"/>
      <c r="S362" s="605"/>
      <c r="T362" s="605"/>
      <c r="U362" s="605"/>
      <c r="V362" s="606"/>
      <c r="W362" s="40" t="s">
        <v>0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hidden="1" customHeight="1" x14ac:dyDescent="0.25">
      <c r="A363" s="599" t="s">
        <v>86</v>
      </c>
      <c r="B363" s="599"/>
      <c r="C363" s="599"/>
      <c r="D363" s="599"/>
      <c r="E363" s="599"/>
      <c r="F363" s="599"/>
      <c r="G363" s="599"/>
      <c r="H363" s="599"/>
      <c r="I363" s="599"/>
      <c r="J363" s="599"/>
      <c r="K363" s="599"/>
      <c r="L363" s="599"/>
      <c r="M363" s="599"/>
      <c r="N363" s="599"/>
      <c r="O363" s="599"/>
      <c r="P363" s="599"/>
      <c r="Q363" s="599"/>
      <c r="R363" s="599"/>
      <c r="S363" s="599"/>
      <c r="T363" s="599"/>
      <c r="U363" s="599"/>
      <c r="V363" s="599"/>
      <c r="W363" s="599"/>
      <c r="X363" s="599"/>
      <c r="Y363" s="599"/>
      <c r="Z363" s="599"/>
      <c r="AA363" s="63"/>
      <c r="AB363" s="63"/>
      <c r="AC363" s="63"/>
    </row>
    <row r="364" spans="1:68" ht="27" hidden="1" customHeight="1" x14ac:dyDescent="0.25">
      <c r="A364" s="60" t="s">
        <v>599</v>
      </c>
      <c r="B364" s="60" t="s">
        <v>600</v>
      </c>
      <c r="C364" s="34">
        <v>4301051100</v>
      </c>
      <c r="D364" s="600">
        <v>4607091387766</v>
      </c>
      <c r="E364" s="600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133</v>
      </c>
      <c r="L364" s="35" t="s">
        <v>46</v>
      </c>
      <c r="M364" s="36" t="s">
        <v>90</v>
      </c>
      <c r="N364" s="36"/>
      <c r="O364" s="35">
        <v>40</v>
      </c>
      <c r="P364" s="6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2"/>
      <c r="R364" s="602"/>
      <c r="S364" s="602"/>
      <c r="T364" s="603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601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602</v>
      </c>
      <c r="B365" s="60" t="s">
        <v>603</v>
      </c>
      <c r="C365" s="34">
        <v>4301051818</v>
      </c>
      <c r="D365" s="600">
        <v>4607091387957</v>
      </c>
      <c r="E365" s="600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6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2"/>
      <c r="R365" s="602"/>
      <c r="S365" s="602"/>
      <c r="T365" s="603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605</v>
      </c>
      <c r="B366" s="60" t="s">
        <v>606</v>
      </c>
      <c r="C366" s="34">
        <v>4301051819</v>
      </c>
      <c r="D366" s="600">
        <v>4607091387964</v>
      </c>
      <c r="E366" s="600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6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2"/>
      <c r="R366" s="602"/>
      <c r="S366" s="602"/>
      <c r="T366" s="603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4301051734</v>
      </c>
      <c r="D367" s="600">
        <v>4680115884588</v>
      </c>
      <c r="E367" s="600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91</v>
      </c>
      <c r="L367" s="35" t="s">
        <v>46</v>
      </c>
      <c r="M367" s="36" t="s">
        <v>90</v>
      </c>
      <c r="N367" s="36"/>
      <c r="O367" s="35">
        <v>40</v>
      </c>
      <c r="P367" s="68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2"/>
      <c r="R367" s="602"/>
      <c r="S367" s="602"/>
      <c r="T367" s="603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601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07"/>
      <c r="B368" s="607"/>
      <c r="C368" s="607"/>
      <c r="D368" s="607"/>
      <c r="E368" s="607"/>
      <c r="F368" s="607"/>
      <c r="G368" s="607"/>
      <c r="H368" s="607"/>
      <c r="I368" s="607"/>
      <c r="J368" s="607"/>
      <c r="K368" s="607"/>
      <c r="L368" s="607"/>
      <c r="M368" s="607"/>
      <c r="N368" s="607"/>
      <c r="O368" s="608"/>
      <c r="P368" s="604" t="s">
        <v>40</v>
      </c>
      <c r="Q368" s="605"/>
      <c r="R368" s="605"/>
      <c r="S368" s="605"/>
      <c r="T368" s="605"/>
      <c r="U368" s="605"/>
      <c r="V368" s="606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07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08"/>
      <c r="P369" s="604" t="s">
        <v>40</v>
      </c>
      <c r="Q369" s="605"/>
      <c r="R369" s="605"/>
      <c r="S369" s="605"/>
      <c r="T369" s="605"/>
      <c r="U369" s="605"/>
      <c r="V369" s="606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599" t="s">
        <v>180</v>
      </c>
      <c r="B370" s="599"/>
      <c r="C370" s="599"/>
      <c r="D370" s="599"/>
      <c r="E370" s="599"/>
      <c r="F370" s="599"/>
      <c r="G370" s="599"/>
      <c r="H370" s="599"/>
      <c r="I370" s="599"/>
      <c r="J370" s="599"/>
      <c r="K370" s="599"/>
      <c r="L370" s="599"/>
      <c r="M370" s="599"/>
      <c r="N370" s="599"/>
      <c r="O370" s="599"/>
      <c r="P370" s="599"/>
      <c r="Q370" s="599"/>
      <c r="R370" s="599"/>
      <c r="S370" s="599"/>
      <c r="T370" s="599"/>
      <c r="U370" s="599"/>
      <c r="V370" s="599"/>
      <c r="W370" s="599"/>
      <c r="X370" s="599"/>
      <c r="Y370" s="599"/>
      <c r="Z370" s="599"/>
      <c r="AA370" s="63"/>
      <c r="AB370" s="63"/>
      <c r="AC370" s="63"/>
    </row>
    <row r="371" spans="1:68" ht="27" hidden="1" customHeight="1" x14ac:dyDescent="0.25">
      <c r="A371" s="60" t="s">
        <v>610</v>
      </c>
      <c r="B371" s="60" t="s">
        <v>611</v>
      </c>
      <c r="C371" s="34">
        <v>4301060387</v>
      </c>
      <c r="D371" s="600">
        <v>4607091380880</v>
      </c>
      <c r="E371" s="600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133</v>
      </c>
      <c r="L371" s="35" t="s">
        <v>46</v>
      </c>
      <c r="M371" s="36" t="s">
        <v>90</v>
      </c>
      <c r="N371" s="36"/>
      <c r="O371" s="35">
        <v>30</v>
      </c>
      <c r="P371" s="6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2"/>
      <c r="R371" s="602"/>
      <c r="S371" s="602"/>
      <c r="T371" s="603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51" t="s">
        <v>612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hidden="1" customHeight="1" x14ac:dyDescent="0.25">
      <c r="A372" s="60" t="s">
        <v>613</v>
      </c>
      <c r="B372" s="60" t="s">
        <v>614</v>
      </c>
      <c r="C372" s="34">
        <v>4301060406</v>
      </c>
      <c r="D372" s="600">
        <v>4607091384482</v>
      </c>
      <c r="E372" s="600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6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2"/>
      <c r="R372" s="602"/>
      <c r="S372" s="602"/>
      <c r="T372" s="603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16.5" hidden="1" customHeight="1" x14ac:dyDescent="0.25">
      <c r="A373" s="60" t="s">
        <v>616</v>
      </c>
      <c r="B373" s="60" t="s">
        <v>617</v>
      </c>
      <c r="C373" s="34">
        <v>4301060484</v>
      </c>
      <c r="D373" s="600">
        <v>4607091380897</v>
      </c>
      <c r="E373" s="600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133</v>
      </c>
      <c r="L373" s="35" t="s">
        <v>46</v>
      </c>
      <c r="M373" s="36" t="s">
        <v>97</v>
      </c>
      <c r="N373" s="36"/>
      <c r="O373" s="35">
        <v>30</v>
      </c>
      <c r="P373" s="6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2"/>
      <c r="R373" s="602"/>
      <c r="S373" s="602"/>
      <c r="T373" s="603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idden="1" x14ac:dyDescent="0.2">
      <c r="A374" s="607"/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8"/>
      <c r="P374" s="604" t="s">
        <v>40</v>
      </c>
      <c r="Q374" s="605"/>
      <c r="R374" s="605"/>
      <c r="S374" s="605"/>
      <c r="T374" s="605"/>
      <c r="U374" s="605"/>
      <c r="V374" s="606"/>
      <c r="W374" s="40" t="s">
        <v>39</v>
      </c>
      <c r="X374" s="41">
        <f>IFERROR(X371/H371,"0")+IFERROR(X372/H372,"0")+IFERROR(X373/H373,"0")</f>
        <v>0</v>
      </c>
      <c r="Y374" s="41">
        <f>IFERROR(Y371/H371,"0")+IFERROR(Y372/H372,"0")+IFERROR(Y373/H373,"0")</f>
        <v>0</v>
      </c>
      <c r="Z374" s="41">
        <f>IFERROR(IF(Z371="",0,Z371),"0")+IFERROR(IF(Z372="",0,Z372),"0")+IFERROR(IF(Z373="",0,Z373),"0")</f>
        <v>0</v>
      </c>
      <c r="AA374" s="64"/>
      <c r="AB374" s="64"/>
      <c r="AC374" s="64"/>
    </row>
    <row r="375" spans="1:68" hidden="1" x14ac:dyDescent="0.2">
      <c r="A375" s="607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08"/>
      <c r="P375" s="604" t="s">
        <v>40</v>
      </c>
      <c r="Q375" s="605"/>
      <c r="R375" s="605"/>
      <c r="S375" s="605"/>
      <c r="T375" s="605"/>
      <c r="U375" s="605"/>
      <c r="V375" s="606"/>
      <c r="W375" s="40" t="s">
        <v>0</v>
      </c>
      <c r="X375" s="41">
        <f>IFERROR(SUM(X371:X373),"0")</f>
        <v>0</v>
      </c>
      <c r="Y375" s="41">
        <f>IFERROR(SUM(Y371:Y373),"0")</f>
        <v>0</v>
      </c>
      <c r="Z375" s="40"/>
      <c r="AA375" s="64"/>
      <c r="AB375" s="64"/>
      <c r="AC375" s="64"/>
    </row>
    <row r="376" spans="1:68" ht="14.25" hidden="1" customHeight="1" x14ac:dyDescent="0.25">
      <c r="A376" s="599" t="s">
        <v>107</v>
      </c>
      <c r="B376" s="599"/>
      <c r="C376" s="599"/>
      <c r="D376" s="599"/>
      <c r="E376" s="599"/>
      <c r="F376" s="599"/>
      <c r="G376" s="599"/>
      <c r="H376" s="599"/>
      <c r="I376" s="599"/>
      <c r="J376" s="599"/>
      <c r="K376" s="599"/>
      <c r="L376" s="599"/>
      <c r="M376" s="599"/>
      <c r="N376" s="599"/>
      <c r="O376" s="599"/>
      <c r="P376" s="599"/>
      <c r="Q376" s="599"/>
      <c r="R376" s="599"/>
      <c r="S376" s="599"/>
      <c r="T376" s="599"/>
      <c r="U376" s="599"/>
      <c r="V376" s="599"/>
      <c r="W376" s="599"/>
      <c r="X376" s="599"/>
      <c r="Y376" s="599"/>
      <c r="Z376" s="599"/>
      <c r="AA376" s="63"/>
      <c r="AB376" s="63"/>
      <c r="AC376" s="63"/>
    </row>
    <row r="377" spans="1:68" ht="27" hidden="1" customHeight="1" x14ac:dyDescent="0.25">
      <c r="A377" s="60" t="s">
        <v>619</v>
      </c>
      <c r="B377" s="60" t="s">
        <v>620</v>
      </c>
      <c r="C377" s="34">
        <v>4301030235</v>
      </c>
      <c r="D377" s="600">
        <v>4607091388381</v>
      </c>
      <c r="E377" s="600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140</v>
      </c>
      <c r="L377" s="35" t="s">
        <v>46</v>
      </c>
      <c r="M377" s="36" t="s">
        <v>112</v>
      </c>
      <c r="N377" s="36"/>
      <c r="O377" s="35">
        <v>180</v>
      </c>
      <c r="P377" s="6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2"/>
      <c r="R377" s="602"/>
      <c r="S377" s="602"/>
      <c r="T377" s="603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621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622</v>
      </c>
      <c r="B378" s="60" t="s">
        <v>623</v>
      </c>
      <c r="C378" s="34">
        <v>4301030232</v>
      </c>
      <c r="D378" s="600">
        <v>4607091388374</v>
      </c>
      <c r="E378" s="600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68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2"/>
      <c r="R378" s="602"/>
      <c r="S378" s="602"/>
      <c r="T378" s="603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621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624</v>
      </c>
      <c r="B379" s="60" t="s">
        <v>625</v>
      </c>
      <c r="C379" s="34">
        <v>4301032015</v>
      </c>
      <c r="D379" s="600">
        <v>4607091383102</v>
      </c>
      <c r="E379" s="600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91</v>
      </c>
      <c r="L379" s="35" t="s">
        <v>46</v>
      </c>
      <c r="M379" s="36" t="s">
        <v>112</v>
      </c>
      <c r="N379" s="36"/>
      <c r="O379" s="35">
        <v>180</v>
      </c>
      <c r="P379" s="6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2"/>
      <c r="R379" s="602"/>
      <c r="S379" s="602"/>
      <c r="T379" s="603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621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626</v>
      </c>
      <c r="B380" s="60" t="s">
        <v>627</v>
      </c>
      <c r="C380" s="34">
        <v>4301030233</v>
      </c>
      <c r="D380" s="600">
        <v>4607091388404</v>
      </c>
      <c r="E380" s="600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6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2"/>
      <c r="R380" s="602"/>
      <c r="S380" s="602"/>
      <c r="T380" s="603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621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07"/>
      <c r="B381" s="607"/>
      <c r="C381" s="607"/>
      <c r="D381" s="607"/>
      <c r="E381" s="607"/>
      <c r="F381" s="607"/>
      <c r="G381" s="607"/>
      <c r="H381" s="607"/>
      <c r="I381" s="607"/>
      <c r="J381" s="607"/>
      <c r="K381" s="607"/>
      <c r="L381" s="607"/>
      <c r="M381" s="607"/>
      <c r="N381" s="607"/>
      <c r="O381" s="608"/>
      <c r="P381" s="604" t="s">
        <v>40</v>
      </c>
      <c r="Q381" s="605"/>
      <c r="R381" s="605"/>
      <c r="S381" s="605"/>
      <c r="T381" s="605"/>
      <c r="U381" s="605"/>
      <c r="V381" s="606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07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08"/>
      <c r="P382" s="604" t="s">
        <v>40</v>
      </c>
      <c r="Q382" s="605"/>
      <c r="R382" s="605"/>
      <c r="S382" s="605"/>
      <c r="T382" s="605"/>
      <c r="U382" s="605"/>
      <c r="V382" s="606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599" t="s">
        <v>628</v>
      </c>
      <c r="B383" s="599"/>
      <c r="C383" s="599"/>
      <c r="D383" s="599"/>
      <c r="E383" s="599"/>
      <c r="F383" s="599"/>
      <c r="G383" s="599"/>
      <c r="H383" s="599"/>
      <c r="I383" s="599"/>
      <c r="J383" s="599"/>
      <c r="K383" s="599"/>
      <c r="L383" s="599"/>
      <c r="M383" s="599"/>
      <c r="N383" s="599"/>
      <c r="O383" s="599"/>
      <c r="P383" s="599"/>
      <c r="Q383" s="599"/>
      <c r="R383" s="599"/>
      <c r="S383" s="599"/>
      <c r="T383" s="599"/>
      <c r="U383" s="599"/>
      <c r="V383" s="599"/>
      <c r="W383" s="599"/>
      <c r="X383" s="599"/>
      <c r="Y383" s="599"/>
      <c r="Z383" s="599"/>
      <c r="AA383" s="63"/>
      <c r="AB383" s="63"/>
      <c r="AC383" s="63"/>
    </row>
    <row r="384" spans="1:68" ht="16.5" hidden="1" customHeight="1" x14ac:dyDescent="0.25">
      <c r="A384" s="60" t="s">
        <v>629</v>
      </c>
      <c r="B384" s="60" t="s">
        <v>630</v>
      </c>
      <c r="C384" s="34">
        <v>4301180007</v>
      </c>
      <c r="D384" s="600">
        <v>4680115881808</v>
      </c>
      <c r="E384" s="600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91</v>
      </c>
      <c r="L384" s="35" t="s">
        <v>46</v>
      </c>
      <c r="M384" s="36" t="s">
        <v>632</v>
      </c>
      <c r="N384" s="36"/>
      <c r="O384" s="35">
        <v>731</v>
      </c>
      <c r="P384" s="6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2"/>
      <c r="R384" s="602"/>
      <c r="S384" s="602"/>
      <c r="T384" s="603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631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633</v>
      </c>
      <c r="B385" s="60" t="s">
        <v>634</v>
      </c>
      <c r="C385" s="34">
        <v>4301180006</v>
      </c>
      <c r="D385" s="600">
        <v>4680115881822</v>
      </c>
      <c r="E385" s="600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632</v>
      </c>
      <c r="N385" s="36"/>
      <c r="O385" s="35">
        <v>731</v>
      </c>
      <c r="P385" s="6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2"/>
      <c r="R385" s="602"/>
      <c r="S385" s="602"/>
      <c r="T385" s="60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631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635</v>
      </c>
      <c r="B386" s="60" t="s">
        <v>636</v>
      </c>
      <c r="C386" s="34">
        <v>4301180001</v>
      </c>
      <c r="D386" s="600">
        <v>4680115880016</v>
      </c>
      <c r="E386" s="600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632</v>
      </c>
      <c r="N386" s="36"/>
      <c r="O386" s="35">
        <v>731</v>
      </c>
      <c r="P386" s="6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2"/>
      <c r="R386" s="602"/>
      <c r="S386" s="602"/>
      <c r="T386" s="60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631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07"/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8"/>
      <c r="P387" s="604" t="s">
        <v>40</v>
      </c>
      <c r="Q387" s="605"/>
      <c r="R387" s="605"/>
      <c r="S387" s="605"/>
      <c r="T387" s="605"/>
      <c r="U387" s="605"/>
      <c r="V387" s="606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07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8"/>
      <c r="P388" s="604" t="s">
        <v>40</v>
      </c>
      <c r="Q388" s="605"/>
      <c r="R388" s="605"/>
      <c r="S388" s="605"/>
      <c r="T388" s="605"/>
      <c r="U388" s="605"/>
      <c r="V388" s="606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15" t="s">
        <v>637</v>
      </c>
      <c r="B389" s="615"/>
      <c r="C389" s="615"/>
      <c r="D389" s="615"/>
      <c r="E389" s="615"/>
      <c r="F389" s="615"/>
      <c r="G389" s="615"/>
      <c r="H389" s="615"/>
      <c r="I389" s="615"/>
      <c r="J389" s="615"/>
      <c r="K389" s="615"/>
      <c r="L389" s="615"/>
      <c r="M389" s="615"/>
      <c r="N389" s="615"/>
      <c r="O389" s="615"/>
      <c r="P389" s="615"/>
      <c r="Q389" s="615"/>
      <c r="R389" s="615"/>
      <c r="S389" s="615"/>
      <c r="T389" s="615"/>
      <c r="U389" s="615"/>
      <c r="V389" s="615"/>
      <c r="W389" s="615"/>
      <c r="X389" s="615"/>
      <c r="Y389" s="615"/>
      <c r="Z389" s="615"/>
      <c r="AA389" s="62"/>
      <c r="AB389" s="62"/>
      <c r="AC389" s="62"/>
    </row>
    <row r="390" spans="1:68" ht="14.25" hidden="1" customHeight="1" x14ac:dyDescent="0.25">
      <c r="A390" s="599" t="s">
        <v>86</v>
      </c>
      <c r="B390" s="599"/>
      <c r="C390" s="599"/>
      <c r="D390" s="599"/>
      <c r="E390" s="599"/>
      <c r="F390" s="599"/>
      <c r="G390" s="599"/>
      <c r="H390" s="599"/>
      <c r="I390" s="599"/>
      <c r="J390" s="599"/>
      <c r="K390" s="599"/>
      <c r="L390" s="599"/>
      <c r="M390" s="599"/>
      <c r="N390" s="599"/>
      <c r="O390" s="599"/>
      <c r="P390" s="599"/>
      <c r="Q390" s="599"/>
      <c r="R390" s="599"/>
      <c r="S390" s="599"/>
      <c r="T390" s="599"/>
      <c r="U390" s="599"/>
      <c r="V390" s="599"/>
      <c r="W390" s="599"/>
      <c r="X390" s="599"/>
      <c r="Y390" s="599"/>
      <c r="Z390" s="599"/>
      <c r="AA390" s="63"/>
      <c r="AB390" s="63"/>
      <c r="AC390" s="63"/>
    </row>
    <row r="391" spans="1:68" ht="37.5" hidden="1" customHeight="1" x14ac:dyDescent="0.25">
      <c r="A391" s="60" t="s">
        <v>638</v>
      </c>
      <c r="B391" s="60" t="s">
        <v>639</v>
      </c>
      <c r="C391" s="34">
        <v>4301051489</v>
      </c>
      <c r="D391" s="600">
        <v>4607091387919</v>
      </c>
      <c r="E391" s="600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45</v>
      </c>
      <c r="P391" s="67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2"/>
      <c r="R391" s="602"/>
      <c r="S391" s="602"/>
      <c r="T391" s="603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640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hidden="1" customHeight="1" x14ac:dyDescent="0.25">
      <c r="A392" s="60" t="s">
        <v>641</v>
      </c>
      <c r="B392" s="60" t="s">
        <v>642</v>
      </c>
      <c r="C392" s="34">
        <v>4301051461</v>
      </c>
      <c r="D392" s="600">
        <v>4680115883604</v>
      </c>
      <c r="E392" s="600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91</v>
      </c>
      <c r="L392" s="35" t="s">
        <v>46</v>
      </c>
      <c r="M392" s="36" t="s">
        <v>90</v>
      </c>
      <c r="N392" s="36"/>
      <c r="O392" s="35">
        <v>45</v>
      </c>
      <c r="P392" s="6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2"/>
      <c r="R392" s="602"/>
      <c r="S392" s="602"/>
      <c r="T392" s="60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644</v>
      </c>
      <c r="B393" s="60" t="s">
        <v>645</v>
      </c>
      <c r="C393" s="34">
        <v>4301051864</v>
      </c>
      <c r="D393" s="600">
        <v>4680115883567</v>
      </c>
      <c r="E393" s="600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91</v>
      </c>
      <c r="L393" s="35" t="s">
        <v>46</v>
      </c>
      <c r="M393" s="36" t="s">
        <v>97</v>
      </c>
      <c r="N393" s="36"/>
      <c r="O393" s="35">
        <v>40</v>
      </c>
      <c r="P393" s="6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2"/>
      <c r="R393" s="602"/>
      <c r="S393" s="602"/>
      <c r="T393" s="60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07"/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8"/>
      <c r="P394" s="604" t="s">
        <v>40</v>
      </c>
      <c r="Q394" s="605"/>
      <c r="R394" s="605"/>
      <c r="S394" s="605"/>
      <c r="T394" s="605"/>
      <c r="U394" s="605"/>
      <c r="V394" s="606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07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08"/>
      <c r="P395" s="604" t="s">
        <v>40</v>
      </c>
      <c r="Q395" s="605"/>
      <c r="R395" s="605"/>
      <c r="S395" s="605"/>
      <c r="T395" s="605"/>
      <c r="U395" s="605"/>
      <c r="V395" s="606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hidden="1" customHeight="1" x14ac:dyDescent="0.2">
      <c r="A396" s="620" t="s">
        <v>647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52"/>
      <c r="AB396" s="52"/>
      <c r="AC396" s="52"/>
    </row>
    <row r="397" spans="1:68" ht="16.5" hidden="1" customHeight="1" x14ac:dyDescent="0.25">
      <c r="A397" s="615" t="s">
        <v>648</v>
      </c>
      <c r="B397" s="615"/>
      <c r="C397" s="615"/>
      <c r="D397" s="615"/>
      <c r="E397" s="615"/>
      <c r="F397" s="615"/>
      <c r="G397" s="615"/>
      <c r="H397" s="615"/>
      <c r="I397" s="615"/>
      <c r="J397" s="615"/>
      <c r="K397" s="615"/>
      <c r="L397" s="615"/>
      <c r="M397" s="615"/>
      <c r="N397" s="615"/>
      <c r="O397" s="615"/>
      <c r="P397" s="615"/>
      <c r="Q397" s="615"/>
      <c r="R397" s="615"/>
      <c r="S397" s="615"/>
      <c r="T397" s="615"/>
      <c r="U397" s="615"/>
      <c r="V397" s="615"/>
      <c r="W397" s="615"/>
      <c r="X397" s="615"/>
      <c r="Y397" s="615"/>
      <c r="Z397" s="615"/>
      <c r="AA397" s="62"/>
      <c r="AB397" s="62"/>
      <c r="AC397" s="62"/>
    </row>
    <row r="398" spans="1:68" ht="14.25" hidden="1" customHeight="1" x14ac:dyDescent="0.25">
      <c r="A398" s="599" t="s">
        <v>128</v>
      </c>
      <c r="B398" s="599"/>
      <c r="C398" s="599"/>
      <c r="D398" s="599"/>
      <c r="E398" s="599"/>
      <c r="F398" s="599"/>
      <c r="G398" s="599"/>
      <c r="H398" s="599"/>
      <c r="I398" s="599"/>
      <c r="J398" s="599"/>
      <c r="K398" s="599"/>
      <c r="L398" s="599"/>
      <c r="M398" s="599"/>
      <c r="N398" s="599"/>
      <c r="O398" s="599"/>
      <c r="P398" s="599"/>
      <c r="Q398" s="599"/>
      <c r="R398" s="599"/>
      <c r="S398" s="599"/>
      <c r="T398" s="599"/>
      <c r="U398" s="599"/>
      <c r="V398" s="599"/>
      <c r="W398" s="599"/>
      <c r="X398" s="599"/>
      <c r="Y398" s="599"/>
      <c r="Z398" s="599"/>
      <c r="AA398" s="63"/>
      <c r="AB398" s="63"/>
      <c r="AC398" s="63"/>
    </row>
    <row r="399" spans="1:68" ht="27" hidden="1" customHeight="1" x14ac:dyDescent="0.25">
      <c r="A399" s="60" t="s">
        <v>649</v>
      </c>
      <c r="B399" s="60" t="s">
        <v>650</v>
      </c>
      <c r="C399" s="34">
        <v>4301012332</v>
      </c>
      <c r="D399" s="600">
        <v>4680115888401</v>
      </c>
      <c r="E399" s="600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133</v>
      </c>
      <c r="L399" s="35" t="s">
        <v>46</v>
      </c>
      <c r="M399" s="36" t="s">
        <v>97</v>
      </c>
      <c r="N399" s="36"/>
      <c r="O399" s="35">
        <v>60</v>
      </c>
      <c r="P399" s="6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2"/>
      <c r="R399" s="602"/>
      <c r="S399" s="602"/>
      <c r="T399" s="603"/>
      <c r="U399" s="37" t="s">
        <v>46</v>
      </c>
      <c r="V399" s="37" t="s">
        <v>46</v>
      </c>
      <c r="W399" s="38" t="s">
        <v>0</v>
      </c>
      <c r="X399" s="56">
        <v>0</v>
      </c>
      <c r="Y399" s="53">
        <f t="shared" ref="Y399:Y406" si="52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651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3">IFERROR(X399*I399/H399,"0")</f>
        <v>0</v>
      </c>
      <c r="BN399" s="75">
        <f t="shared" ref="BN399:BN406" si="54">IFERROR(Y399*I399/H399,"0")</f>
        <v>0</v>
      </c>
      <c r="BO399" s="75">
        <f t="shared" ref="BO399:BO406" si="55">IFERROR(1/J399*(X399/H399),"0")</f>
        <v>0</v>
      </c>
      <c r="BP399" s="75">
        <f t="shared" ref="BP399:BP406" si="56">IFERROR(1/J399*(Y399/H399),"0")</f>
        <v>0</v>
      </c>
    </row>
    <row r="400" spans="1:68" ht="37.5" hidden="1" customHeight="1" x14ac:dyDescent="0.25">
      <c r="A400" s="60" t="s">
        <v>652</v>
      </c>
      <c r="B400" s="60" t="s">
        <v>653</v>
      </c>
      <c r="C400" s="34">
        <v>4301011869</v>
      </c>
      <c r="D400" s="600">
        <v>4680115884847</v>
      </c>
      <c r="E400" s="600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81</v>
      </c>
      <c r="N400" s="36"/>
      <c r="O400" s="35">
        <v>60</v>
      </c>
      <c r="P400" s="6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2"/>
      <c r="R400" s="602"/>
      <c r="S400" s="602"/>
      <c r="T400" s="603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si="52"/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si="53"/>
        <v>0</v>
      </c>
      <c r="BN400" s="75">
        <f t="shared" si="54"/>
        <v>0</v>
      </c>
      <c r="BO400" s="75">
        <f t="shared" si="55"/>
        <v>0</v>
      </c>
      <c r="BP400" s="75">
        <f t="shared" si="56"/>
        <v>0</v>
      </c>
    </row>
    <row r="401" spans="1:68" ht="27" customHeight="1" x14ac:dyDescent="0.25">
      <c r="A401" s="60" t="s">
        <v>655</v>
      </c>
      <c r="B401" s="60" t="s">
        <v>656</v>
      </c>
      <c r="C401" s="34">
        <v>4301012083</v>
      </c>
      <c r="D401" s="600">
        <v>4680115884854</v>
      </c>
      <c r="E401" s="600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132</v>
      </c>
      <c r="N401" s="36"/>
      <c r="O401" s="35">
        <v>60</v>
      </c>
      <c r="P401" s="6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2"/>
      <c r="R401" s="602"/>
      <c r="S401" s="602"/>
      <c r="T401" s="603"/>
      <c r="U401" s="37" t="s">
        <v>46</v>
      </c>
      <c r="V401" s="37" t="s">
        <v>46</v>
      </c>
      <c r="W401" s="38" t="s">
        <v>0</v>
      </c>
      <c r="X401" s="56">
        <v>70</v>
      </c>
      <c r="Y401" s="53">
        <f t="shared" si="52"/>
        <v>75</v>
      </c>
      <c r="Z401" s="39">
        <f>IFERROR(IF(Y401=0,"",ROUNDUP(Y401/H401,0)*0.02175),"")</f>
        <v>0.10874999999999999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3"/>
        <v>72.193333333333342</v>
      </c>
      <c r="BN401" s="75">
        <f t="shared" si="54"/>
        <v>77.349999999999994</v>
      </c>
      <c r="BO401" s="75">
        <f t="shared" si="55"/>
        <v>9.7222222222222224E-2</v>
      </c>
      <c r="BP401" s="75">
        <f t="shared" si="56"/>
        <v>0.10416666666666666</v>
      </c>
    </row>
    <row r="402" spans="1:68" ht="27" customHeight="1" x14ac:dyDescent="0.25">
      <c r="A402" s="60" t="s">
        <v>658</v>
      </c>
      <c r="B402" s="60" t="s">
        <v>659</v>
      </c>
      <c r="C402" s="34">
        <v>4301011867</v>
      </c>
      <c r="D402" s="600">
        <v>4680115884830</v>
      </c>
      <c r="E402" s="600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81</v>
      </c>
      <c r="N402" s="36"/>
      <c r="O402" s="35">
        <v>60</v>
      </c>
      <c r="P402" s="6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2"/>
      <c r="R402" s="602"/>
      <c r="S402" s="602"/>
      <c r="T402" s="603"/>
      <c r="U402" s="37" t="s">
        <v>46</v>
      </c>
      <c r="V402" s="37" t="s">
        <v>46</v>
      </c>
      <c r="W402" s="38" t="s">
        <v>0</v>
      </c>
      <c r="X402" s="56">
        <v>120</v>
      </c>
      <c r="Y402" s="53">
        <f t="shared" si="52"/>
        <v>120</v>
      </c>
      <c r="Z402" s="39">
        <f>IFERROR(IF(Y402=0,"",ROUNDUP(Y402/H402,0)*0.02175),"")</f>
        <v>0.17399999999999999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3"/>
        <v>123.76</v>
      </c>
      <c r="BN402" s="75">
        <f t="shared" si="54"/>
        <v>123.76</v>
      </c>
      <c r="BO402" s="75">
        <f t="shared" si="55"/>
        <v>0.16666666666666666</v>
      </c>
      <c r="BP402" s="75">
        <f t="shared" si="56"/>
        <v>0.16666666666666666</v>
      </c>
    </row>
    <row r="403" spans="1:68" ht="27" hidden="1" customHeight="1" x14ac:dyDescent="0.25">
      <c r="A403" s="60" t="s">
        <v>661</v>
      </c>
      <c r="B403" s="60" t="s">
        <v>662</v>
      </c>
      <c r="C403" s="34">
        <v>4301012356</v>
      </c>
      <c r="D403" s="600">
        <v>4680115889231</v>
      </c>
      <c r="E403" s="600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97</v>
      </c>
      <c r="N403" s="36"/>
      <c r="O403" s="35">
        <v>60</v>
      </c>
      <c r="P403" s="66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2"/>
      <c r="R403" s="602"/>
      <c r="S403" s="602"/>
      <c r="T403" s="603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2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3"/>
        <v>0</v>
      </c>
      <c r="BN403" s="75">
        <f t="shared" si="54"/>
        <v>0</v>
      </c>
      <c r="BO403" s="75">
        <f t="shared" si="55"/>
        <v>0</v>
      </c>
      <c r="BP403" s="75">
        <f t="shared" si="56"/>
        <v>0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4301011433</v>
      </c>
      <c r="D404" s="600">
        <v>4680115882638</v>
      </c>
      <c r="E404" s="600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140</v>
      </c>
      <c r="L404" s="35" t="s">
        <v>46</v>
      </c>
      <c r="M404" s="36" t="s">
        <v>132</v>
      </c>
      <c r="N404" s="36"/>
      <c r="O404" s="35">
        <v>90</v>
      </c>
      <c r="P404" s="6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2"/>
      <c r="R404" s="602"/>
      <c r="S404" s="602"/>
      <c r="T404" s="603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4301011952</v>
      </c>
      <c r="D405" s="600">
        <v>4680115884922</v>
      </c>
      <c r="E405" s="600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140</v>
      </c>
      <c r="L405" s="35" t="s">
        <v>46</v>
      </c>
      <c r="M405" s="36" t="s">
        <v>81</v>
      </c>
      <c r="N405" s="36"/>
      <c r="O405" s="35">
        <v>60</v>
      </c>
      <c r="P405" s="6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2"/>
      <c r="R405" s="602"/>
      <c r="S405" s="602"/>
      <c r="T405" s="603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hidden="1" customHeight="1" x14ac:dyDescent="0.25">
      <c r="A406" s="60" t="s">
        <v>670</v>
      </c>
      <c r="B406" s="60" t="s">
        <v>671</v>
      </c>
      <c r="C406" s="34">
        <v>4301011868</v>
      </c>
      <c r="D406" s="600">
        <v>4680115884861</v>
      </c>
      <c r="E406" s="600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66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2"/>
      <c r="R406" s="602"/>
      <c r="S406" s="602"/>
      <c r="T406" s="603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607"/>
      <c r="B407" s="607"/>
      <c r="C407" s="607"/>
      <c r="D407" s="607"/>
      <c r="E407" s="607"/>
      <c r="F407" s="607"/>
      <c r="G407" s="607"/>
      <c r="H407" s="607"/>
      <c r="I407" s="607"/>
      <c r="J407" s="607"/>
      <c r="K407" s="607"/>
      <c r="L407" s="607"/>
      <c r="M407" s="607"/>
      <c r="N407" s="607"/>
      <c r="O407" s="608"/>
      <c r="P407" s="604" t="s">
        <v>40</v>
      </c>
      <c r="Q407" s="605"/>
      <c r="R407" s="605"/>
      <c r="S407" s="605"/>
      <c r="T407" s="605"/>
      <c r="U407" s="605"/>
      <c r="V407" s="606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12.666666666666668</v>
      </c>
      <c r="Y407" s="41">
        <f>IFERROR(Y399/H399,"0")+IFERROR(Y400/H400,"0")+IFERROR(Y401/H401,"0")+IFERROR(Y402/H402,"0")+IFERROR(Y403/H403,"0")+IFERROR(Y404/H404,"0")+IFERROR(Y405/H405,"0")+IFERROR(Y406/H406,"0")</f>
        <v>13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0.28274999999999995</v>
      </c>
      <c r="AA407" s="64"/>
      <c r="AB407" s="64"/>
      <c r="AC407" s="64"/>
    </row>
    <row r="408" spans="1:68" x14ac:dyDescent="0.2">
      <c r="A408" s="607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08"/>
      <c r="P408" s="604" t="s">
        <v>40</v>
      </c>
      <c r="Q408" s="605"/>
      <c r="R408" s="605"/>
      <c r="S408" s="605"/>
      <c r="T408" s="605"/>
      <c r="U408" s="605"/>
      <c r="V408" s="606"/>
      <c r="W408" s="40" t="s">
        <v>0</v>
      </c>
      <c r="X408" s="41">
        <f>IFERROR(SUM(X399:X406),"0")</f>
        <v>190</v>
      </c>
      <c r="Y408" s="41">
        <f>IFERROR(SUM(Y399:Y406),"0")</f>
        <v>195</v>
      </c>
      <c r="Z408" s="40"/>
      <c r="AA408" s="64"/>
      <c r="AB408" s="64"/>
      <c r="AC408" s="64"/>
    </row>
    <row r="409" spans="1:68" ht="14.25" hidden="1" customHeight="1" x14ac:dyDescent="0.25">
      <c r="A409" s="599" t="s">
        <v>163</v>
      </c>
      <c r="B409" s="599"/>
      <c r="C409" s="599"/>
      <c r="D409" s="599"/>
      <c r="E409" s="599"/>
      <c r="F409" s="599"/>
      <c r="G409" s="599"/>
      <c r="H409" s="599"/>
      <c r="I409" s="599"/>
      <c r="J409" s="599"/>
      <c r="K409" s="599"/>
      <c r="L409" s="599"/>
      <c r="M409" s="599"/>
      <c r="N409" s="599"/>
      <c r="O409" s="599"/>
      <c r="P409" s="599"/>
      <c r="Q409" s="599"/>
      <c r="R409" s="599"/>
      <c r="S409" s="599"/>
      <c r="T409" s="599"/>
      <c r="U409" s="599"/>
      <c r="V409" s="599"/>
      <c r="W409" s="599"/>
      <c r="X409" s="599"/>
      <c r="Y409" s="599"/>
      <c r="Z409" s="599"/>
      <c r="AA409" s="63"/>
      <c r="AB409" s="63"/>
      <c r="AC409" s="63"/>
    </row>
    <row r="410" spans="1:68" ht="27" hidden="1" customHeight="1" x14ac:dyDescent="0.25">
      <c r="A410" s="60" t="s">
        <v>673</v>
      </c>
      <c r="B410" s="60" t="s">
        <v>674</v>
      </c>
      <c r="C410" s="34">
        <v>4301020178</v>
      </c>
      <c r="D410" s="600">
        <v>4607091383980</v>
      </c>
      <c r="E410" s="600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133</v>
      </c>
      <c r="L410" s="35" t="s">
        <v>46</v>
      </c>
      <c r="M410" s="36" t="s">
        <v>132</v>
      </c>
      <c r="N410" s="36"/>
      <c r="O410" s="35">
        <v>50</v>
      </c>
      <c r="P410" s="6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2"/>
      <c r="R410" s="602"/>
      <c r="S410" s="602"/>
      <c r="T410" s="603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IFERROR(IF(Y410=0,"",ROUNDUP(Y410/H410,0)*0.02175),"")</f>
        <v/>
      </c>
      <c r="AA410" s="65" t="s">
        <v>46</v>
      </c>
      <c r="AB410" s="66" t="s">
        <v>46</v>
      </c>
      <c r="AC410" s="493" t="s">
        <v>675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676</v>
      </c>
      <c r="B411" s="60" t="s">
        <v>677</v>
      </c>
      <c r="C411" s="34">
        <v>4301020355</v>
      </c>
      <c r="D411" s="600">
        <v>4680115888425</v>
      </c>
      <c r="E411" s="600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6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2"/>
      <c r="R411" s="602"/>
      <c r="S411" s="602"/>
      <c r="T411" s="60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4301020179</v>
      </c>
      <c r="D412" s="600">
        <v>4607091384178</v>
      </c>
      <c r="E412" s="600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140</v>
      </c>
      <c r="L412" s="35" t="s">
        <v>46</v>
      </c>
      <c r="M412" s="36" t="s">
        <v>132</v>
      </c>
      <c r="N412" s="36"/>
      <c r="O412" s="35">
        <v>50</v>
      </c>
      <c r="P412" s="6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2"/>
      <c r="R412" s="602"/>
      <c r="S412" s="602"/>
      <c r="T412" s="60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07"/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8"/>
      <c r="P413" s="604" t="s">
        <v>40</v>
      </c>
      <c r="Q413" s="605"/>
      <c r="R413" s="605"/>
      <c r="S413" s="605"/>
      <c r="T413" s="605"/>
      <c r="U413" s="605"/>
      <c r="V413" s="606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07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08"/>
      <c r="P414" s="604" t="s">
        <v>40</v>
      </c>
      <c r="Q414" s="605"/>
      <c r="R414" s="605"/>
      <c r="S414" s="605"/>
      <c r="T414" s="605"/>
      <c r="U414" s="605"/>
      <c r="V414" s="606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4.25" hidden="1" customHeight="1" x14ac:dyDescent="0.25">
      <c r="A415" s="599" t="s">
        <v>86</v>
      </c>
      <c r="B415" s="599"/>
      <c r="C415" s="599"/>
      <c r="D415" s="599"/>
      <c r="E415" s="599"/>
      <c r="F415" s="599"/>
      <c r="G415" s="599"/>
      <c r="H415" s="599"/>
      <c r="I415" s="599"/>
      <c r="J415" s="599"/>
      <c r="K415" s="599"/>
      <c r="L415" s="599"/>
      <c r="M415" s="599"/>
      <c r="N415" s="599"/>
      <c r="O415" s="599"/>
      <c r="P415" s="599"/>
      <c r="Q415" s="599"/>
      <c r="R415" s="599"/>
      <c r="S415" s="599"/>
      <c r="T415" s="599"/>
      <c r="U415" s="599"/>
      <c r="V415" s="599"/>
      <c r="W415" s="599"/>
      <c r="X415" s="599"/>
      <c r="Y415" s="599"/>
      <c r="Z415" s="599"/>
      <c r="AA415" s="63"/>
      <c r="AB415" s="63"/>
      <c r="AC415" s="63"/>
    </row>
    <row r="416" spans="1:68" ht="27" hidden="1" customHeight="1" x14ac:dyDescent="0.25">
      <c r="A416" s="60" t="s">
        <v>682</v>
      </c>
      <c r="B416" s="60" t="s">
        <v>683</v>
      </c>
      <c r="C416" s="34">
        <v>4301051903</v>
      </c>
      <c r="D416" s="600">
        <v>4607091383928</v>
      </c>
      <c r="E416" s="600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133</v>
      </c>
      <c r="L416" s="35" t="s">
        <v>46</v>
      </c>
      <c r="M416" s="36" t="s">
        <v>90</v>
      </c>
      <c r="N416" s="36"/>
      <c r="O416" s="35">
        <v>40</v>
      </c>
      <c r="P416" s="6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2"/>
      <c r="R416" s="602"/>
      <c r="S416" s="602"/>
      <c r="T416" s="603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499" t="s">
        <v>684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685</v>
      </c>
      <c r="B417" s="60" t="s">
        <v>686</v>
      </c>
      <c r="C417" s="34">
        <v>4301051897</v>
      </c>
      <c r="D417" s="600">
        <v>4607091384260</v>
      </c>
      <c r="E417" s="600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6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2"/>
      <c r="R417" s="602"/>
      <c r="S417" s="602"/>
      <c r="T417" s="603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07"/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8"/>
      <c r="P418" s="604" t="s">
        <v>40</v>
      </c>
      <c r="Q418" s="605"/>
      <c r="R418" s="605"/>
      <c r="S418" s="605"/>
      <c r="T418" s="605"/>
      <c r="U418" s="605"/>
      <c r="V418" s="606"/>
      <c r="W418" s="40" t="s">
        <v>39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hidden="1" x14ac:dyDescent="0.2">
      <c r="A419" s="607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8"/>
      <c r="P419" s="604" t="s">
        <v>40</v>
      </c>
      <c r="Q419" s="605"/>
      <c r="R419" s="605"/>
      <c r="S419" s="605"/>
      <c r="T419" s="605"/>
      <c r="U419" s="605"/>
      <c r="V419" s="606"/>
      <c r="W419" s="40" t="s">
        <v>0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hidden="1" customHeight="1" x14ac:dyDescent="0.25">
      <c r="A420" s="599" t="s">
        <v>180</v>
      </c>
      <c r="B420" s="599"/>
      <c r="C420" s="599"/>
      <c r="D420" s="599"/>
      <c r="E420" s="599"/>
      <c r="F420" s="599"/>
      <c r="G420" s="599"/>
      <c r="H420" s="599"/>
      <c r="I420" s="599"/>
      <c r="J420" s="599"/>
      <c r="K420" s="599"/>
      <c r="L420" s="599"/>
      <c r="M420" s="599"/>
      <c r="N420" s="599"/>
      <c r="O420" s="599"/>
      <c r="P420" s="599"/>
      <c r="Q420" s="599"/>
      <c r="R420" s="599"/>
      <c r="S420" s="599"/>
      <c r="T420" s="599"/>
      <c r="U420" s="599"/>
      <c r="V420" s="599"/>
      <c r="W420" s="599"/>
      <c r="X420" s="599"/>
      <c r="Y420" s="599"/>
      <c r="Z420" s="599"/>
      <c r="AA420" s="63"/>
      <c r="AB420" s="63"/>
      <c r="AC420" s="63"/>
    </row>
    <row r="421" spans="1:68" ht="16.5" hidden="1" customHeight="1" x14ac:dyDescent="0.25">
      <c r="A421" s="60" t="s">
        <v>688</v>
      </c>
      <c r="B421" s="60" t="s">
        <v>689</v>
      </c>
      <c r="C421" s="34">
        <v>4301060524</v>
      </c>
      <c r="D421" s="600">
        <v>4607091384673</v>
      </c>
      <c r="E421" s="600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133</v>
      </c>
      <c r="L421" s="35" t="s">
        <v>46</v>
      </c>
      <c r="M421" s="36" t="s">
        <v>90</v>
      </c>
      <c r="N421" s="36"/>
      <c r="O421" s="35">
        <v>40</v>
      </c>
      <c r="P421" s="6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2"/>
      <c r="R421" s="602"/>
      <c r="S421" s="602"/>
      <c r="T421" s="603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03" t="s">
        <v>690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8"/>
      <c r="P422" s="604" t="s">
        <v>40</v>
      </c>
      <c r="Q422" s="605"/>
      <c r="R422" s="605"/>
      <c r="S422" s="605"/>
      <c r="T422" s="605"/>
      <c r="U422" s="605"/>
      <c r="V422" s="606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07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8"/>
      <c r="P423" s="604" t="s">
        <v>40</v>
      </c>
      <c r="Q423" s="605"/>
      <c r="R423" s="605"/>
      <c r="S423" s="605"/>
      <c r="T423" s="605"/>
      <c r="U423" s="605"/>
      <c r="V423" s="606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hidden="1" customHeight="1" x14ac:dyDescent="0.25">
      <c r="A424" s="615" t="s">
        <v>691</v>
      </c>
      <c r="B424" s="615"/>
      <c r="C424" s="615"/>
      <c r="D424" s="615"/>
      <c r="E424" s="615"/>
      <c r="F424" s="615"/>
      <c r="G424" s="615"/>
      <c r="H424" s="615"/>
      <c r="I424" s="615"/>
      <c r="J424" s="615"/>
      <c r="K424" s="615"/>
      <c r="L424" s="615"/>
      <c r="M424" s="615"/>
      <c r="N424" s="615"/>
      <c r="O424" s="615"/>
      <c r="P424" s="615"/>
      <c r="Q424" s="615"/>
      <c r="R424" s="615"/>
      <c r="S424" s="615"/>
      <c r="T424" s="615"/>
      <c r="U424" s="615"/>
      <c r="V424" s="615"/>
      <c r="W424" s="615"/>
      <c r="X424" s="615"/>
      <c r="Y424" s="615"/>
      <c r="Z424" s="615"/>
      <c r="AA424" s="62"/>
      <c r="AB424" s="62"/>
      <c r="AC424" s="62"/>
    </row>
    <row r="425" spans="1:68" ht="14.25" hidden="1" customHeight="1" x14ac:dyDescent="0.25">
      <c r="A425" s="599" t="s">
        <v>128</v>
      </c>
      <c r="B425" s="599"/>
      <c r="C425" s="599"/>
      <c r="D425" s="599"/>
      <c r="E425" s="599"/>
      <c r="F425" s="599"/>
      <c r="G425" s="599"/>
      <c r="H425" s="599"/>
      <c r="I425" s="599"/>
      <c r="J425" s="599"/>
      <c r="K425" s="599"/>
      <c r="L425" s="599"/>
      <c r="M425" s="599"/>
      <c r="N425" s="599"/>
      <c r="O425" s="599"/>
      <c r="P425" s="599"/>
      <c r="Q425" s="599"/>
      <c r="R425" s="599"/>
      <c r="S425" s="599"/>
      <c r="T425" s="599"/>
      <c r="U425" s="599"/>
      <c r="V425" s="599"/>
      <c r="W425" s="599"/>
      <c r="X425" s="599"/>
      <c r="Y425" s="599"/>
      <c r="Z425" s="599"/>
      <c r="AA425" s="63"/>
      <c r="AB425" s="63"/>
      <c r="AC425" s="63"/>
    </row>
    <row r="426" spans="1:68" ht="27" hidden="1" customHeight="1" x14ac:dyDescent="0.25">
      <c r="A426" s="60" t="s">
        <v>692</v>
      </c>
      <c r="B426" s="60" t="s">
        <v>693</v>
      </c>
      <c r="C426" s="34">
        <v>4301011875</v>
      </c>
      <c r="D426" s="600">
        <v>4680115884885</v>
      </c>
      <c r="E426" s="600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6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2"/>
      <c r="R426" s="602"/>
      <c r="S426" s="602"/>
      <c r="T426" s="60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694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695</v>
      </c>
      <c r="B427" s="60" t="s">
        <v>696</v>
      </c>
      <c r="C427" s="34">
        <v>4301011871</v>
      </c>
      <c r="D427" s="600">
        <v>4680115884908</v>
      </c>
      <c r="E427" s="600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140</v>
      </c>
      <c r="L427" s="35" t="s">
        <v>46</v>
      </c>
      <c r="M427" s="36" t="s">
        <v>81</v>
      </c>
      <c r="N427" s="36"/>
      <c r="O427" s="35">
        <v>60</v>
      </c>
      <c r="P427" s="6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2"/>
      <c r="R427" s="602"/>
      <c r="S427" s="602"/>
      <c r="T427" s="603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694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07"/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8"/>
      <c r="P428" s="604" t="s">
        <v>40</v>
      </c>
      <c r="Q428" s="605"/>
      <c r="R428" s="605"/>
      <c r="S428" s="605"/>
      <c r="T428" s="605"/>
      <c r="U428" s="605"/>
      <c r="V428" s="606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07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8"/>
      <c r="P429" s="604" t="s">
        <v>40</v>
      </c>
      <c r="Q429" s="605"/>
      <c r="R429" s="605"/>
      <c r="S429" s="605"/>
      <c r="T429" s="605"/>
      <c r="U429" s="605"/>
      <c r="V429" s="606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599" t="s">
        <v>77</v>
      </c>
      <c r="B430" s="599"/>
      <c r="C430" s="599"/>
      <c r="D430" s="599"/>
      <c r="E430" s="599"/>
      <c r="F430" s="599"/>
      <c r="G430" s="599"/>
      <c r="H430" s="599"/>
      <c r="I430" s="599"/>
      <c r="J430" s="599"/>
      <c r="K430" s="599"/>
      <c r="L430" s="599"/>
      <c r="M430" s="599"/>
      <c r="N430" s="599"/>
      <c r="O430" s="599"/>
      <c r="P430" s="599"/>
      <c r="Q430" s="599"/>
      <c r="R430" s="599"/>
      <c r="S430" s="599"/>
      <c r="T430" s="599"/>
      <c r="U430" s="599"/>
      <c r="V430" s="599"/>
      <c r="W430" s="599"/>
      <c r="X430" s="599"/>
      <c r="Y430" s="599"/>
      <c r="Z430" s="599"/>
      <c r="AA430" s="63"/>
      <c r="AB430" s="63"/>
      <c r="AC430" s="63"/>
    </row>
    <row r="431" spans="1:68" ht="27" hidden="1" customHeight="1" x14ac:dyDescent="0.25">
      <c r="A431" s="60" t="s">
        <v>697</v>
      </c>
      <c r="B431" s="60" t="s">
        <v>698</v>
      </c>
      <c r="C431" s="34">
        <v>4301031457</v>
      </c>
      <c r="D431" s="600">
        <v>4607091384802</v>
      </c>
      <c r="E431" s="600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140</v>
      </c>
      <c r="L431" s="35" t="s">
        <v>46</v>
      </c>
      <c r="M431" s="36" t="s">
        <v>81</v>
      </c>
      <c r="N431" s="36"/>
      <c r="O431" s="35">
        <v>50</v>
      </c>
      <c r="P431" s="65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2"/>
      <c r="R431" s="602"/>
      <c r="S431" s="602"/>
      <c r="T431" s="603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699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8"/>
      <c r="P432" s="604" t="s">
        <v>40</v>
      </c>
      <c r="Q432" s="605"/>
      <c r="R432" s="605"/>
      <c r="S432" s="605"/>
      <c r="T432" s="605"/>
      <c r="U432" s="605"/>
      <c r="V432" s="606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07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8"/>
      <c r="P433" s="604" t="s">
        <v>40</v>
      </c>
      <c r="Q433" s="605"/>
      <c r="R433" s="605"/>
      <c r="S433" s="605"/>
      <c r="T433" s="605"/>
      <c r="U433" s="605"/>
      <c r="V433" s="606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599" t="s">
        <v>86</v>
      </c>
      <c r="B434" s="599"/>
      <c r="C434" s="599"/>
      <c r="D434" s="599"/>
      <c r="E434" s="599"/>
      <c r="F434" s="599"/>
      <c r="G434" s="599"/>
      <c r="H434" s="599"/>
      <c r="I434" s="599"/>
      <c r="J434" s="599"/>
      <c r="K434" s="599"/>
      <c r="L434" s="599"/>
      <c r="M434" s="599"/>
      <c r="N434" s="599"/>
      <c r="O434" s="599"/>
      <c r="P434" s="599"/>
      <c r="Q434" s="599"/>
      <c r="R434" s="599"/>
      <c r="S434" s="599"/>
      <c r="T434" s="599"/>
      <c r="U434" s="599"/>
      <c r="V434" s="599"/>
      <c r="W434" s="599"/>
      <c r="X434" s="599"/>
      <c r="Y434" s="599"/>
      <c r="Z434" s="599"/>
      <c r="AA434" s="63"/>
      <c r="AB434" s="63"/>
      <c r="AC434" s="63"/>
    </row>
    <row r="435" spans="1:68" ht="27" customHeight="1" x14ac:dyDescent="0.25">
      <c r="A435" s="60" t="s">
        <v>700</v>
      </c>
      <c r="B435" s="60" t="s">
        <v>701</v>
      </c>
      <c r="C435" s="34">
        <v>4301051899</v>
      </c>
      <c r="D435" s="600">
        <v>4607091384246</v>
      </c>
      <c r="E435" s="600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133</v>
      </c>
      <c r="L435" s="35" t="s">
        <v>46</v>
      </c>
      <c r="M435" s="36" t="s">
        <v>90</v>
      </c>
      <c r="N435" s="36"/>
      <c r="O435" s="35">
        <v>40</v>
      </c>
      <c r="P435" s="65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2"/>
      <c r="R435" s="602"/>
      <c r="S435" s="602"/>
      <c r="T435" s="603"/>
      <c r="U435" s="37" t="s">
        <v>46</v>
      </c>
      <c r="V435" s="37" t="s">
        <v>46</v>
      </c>
      <c r="W435" s="38" t="s">
        <v>0</v>
      </c>
      <c r="X435" s="56">
        <v>80</v>
      </c>
      <c r="Y435" s="53">
        <f>IFERROR(IF(X435="",0,CEILING((X435/$H435),1)*$H435),"")</f>
        <v>81</v>
      </c>
      <c r="Z435" s="39">
        <f>IFERROR(IF(Y435=0,"",ROUNDUP(Y435/H435,0)*0.01898),"")</f>
        <v>0.17082</v>
      </c>
      <c r="AA435" s="65" t="s">
        <v>46</v>
      </c>
      <c r="AB435" s="66" t="s">
        <v>46</v>
      </c>
      <c r="AC435" s="511" t="s">
        <v>702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84.391111111111115</v>
      </c>
      <c r="BN435" s="75">
        <f>IFERROR(Y435*I435/H435,"0")</f>
        <v>85.445999999999998</v>
      </c>
      <c r="BO435" s="75">
        <f>IFERROR(1/J435*(X435/H435),"0")</f>
        <v>0.1388888888888889</v>
      </c>
      <c r="BP435" s="75">
        <f>IFERROR(1/J435*(Y435/H435),"0")</f>
        <v>0.140625</v>
      </c>
    </row>
    <row r="436" spans="1:68" ht="27" hidden="1" customHeight="1" x14ac:dyDescent="0.25">
      <c r="A436" s="60" t="s">
        <v>703</v>
      </c>
      <c r="B436" s="60" t="s">
        <v>704</v>
      </c>
      <c r="C436" s="34">
        <v>4301051660</v>
      </c>
      <c r="D436" s="600">
        <v>4607091384253</v>
      </c>
      <c r="E436" s="600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91</v>
      </c>
      <c r="L436" s="35" t="s">
        <v>46</v>
      </c>
      <c r="M436" s="36" t="s">
        <v>90</v>
      </c>
      <c r="N436" s="36"/>
      <c r="O436" s="35">
        <v>40</v>
      </c>
      <c r="P436" s="6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2"/>
      <c r="R436" s="602"/>
      <c r="S436" s="602"/>
      <c r="T436" s="603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702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703</v>
      </c>
      <c r="B437" s="60" t="s">
        <v>705</v>
      </c>
      <c r="C437" s="34">
        <v>4301052069</v>
      </c>
      <c r="D437" s="600">
        <v>4607091384253</v>
      </c>
      <c r="E437" s="600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65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2"/>
      <c r="R437" s="602"/>
      <c r="S437" s="602"/>
      <c r="T437" s="603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706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7"/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8"/>
      <c r="P438" s="604" t="s">
        <v>40</v>
      </c>
      <c r="Q438" s="605"/>
      <c r="R438" s="605"/>
      <c r="S438" s="605"/>
      <c r="T438" s="605"/>
      <c r="U438" s="605"/>
      <c r="V438" s="606"/>
      <c r="W438" s="40" t="s">
        <v>39</v>
      </c>
      <c r="X438" s="41">
        <f>IFERROR(X435/H435,"0")+IFERROR(X436/H436,"0")+IFERROR(X437/H437,"0")</f>
        <v>8.8888888888888893</v>
      </c>
      <c r="Y438" s="41">
        <f>IFERROR(Y435/H435,"0")+IFERROR(Y436/H436,"0")+IFERROR(Y437/H437,"0")</f>
        <v>9</v>
      </c>
      <c r="Z438" s="41">
        <f>IFERROR(IF(Z435="",0,Z435),"0")+IFERROR(IF(Z436="",0,Z436),"0")+IFERROR(IF(Z437="",0,Z437),"0")</f>
        <v>0.17082</v>
      </c>
      <c r="AA438" s="64"/>
      <c r="AB438" s="64"/>
      <c r="AC438" s="64"/>
    </row>
    <row r="439" spans="1:68" x14ac:dyDescent="0.2">
      <c r="A439" s="607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08"/>
      <c r="P439" s="604" t="s">
        <v>40</v>
      </c>
      <c r="Q439" s="605"/>
      <c r="R439" s="605"/>
      <c r="S439" s="605"/>
      <c r="T439" s="605"/>
      <c r="U439" s="605"/>
      <c r="V439" s="606"/>
      <c r="W439" s="40" t="s">
        <v>0</v>
      </c>
      <c r="X439" s="41">
        <f>IFERROR(SUM(X435:X437),"0")</f>
        <v>80</v>
      </c>
      <c r="Y439" s="41">
        <f>IFERROR(SUM(Y435:Y437),"0")</f>
        <v>81</v>
      </c>
      <c r="Z439" s="40"/>
      <c r="AA439" s="64"/>
      <c r="AB439" s="64"/>
      <c r="AC439" s="64"/>
    </row>
    <row r="440" spans="1:68" ht="27.75" hidden="1" customHeight="1" x14ac:dyDescent="0.2">
      <c r="A440" s="620" t="s">
        <v>707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52"/>
      <c r="AB440" s="52"/>
      <c r="AC440" s="52"/>
    </row>
    <row r="441" spans="1:68" ht="16.5" hidden="1" customHeight="1" x14ac:dyDescent="0.25">
      <c r="A441" s="615" t="s">
        <v>708</v>
      </c>
      <c r="B441" s="615"/>
      <c r="C441" s="615"/>
      <c r="D441" s="615"/>
      <c r="E441" s="615"/>
      <c r="F441" s="615"/>
      <c r="G441" s="615"/>
      <c r="H441" s="615"/>
      <c r="I441" s="615"/>
      <c r="J441" s="615"/>
      <c r="K441" s="615"/>
      <c r="L441" s="615"/>
      <c r="M441" s="615"/>
      <c r="N441" s="615"/>
      <c r="O441" s="615"/>
      <c r="P441" s="615"/>
      <c r="Q441" s="615"/>
      <c r="R441" s="615"/>
      <c r="S441" s="615"/>
      <c r="T441" s="615"/>
      <c r="U441" s="615"/>
      <c r="V441" s="615"/>
      <c r="W441" s="615"/>
      <c r="X441" s="615"/>
      <c r="Y441" s="615"/>
      <c r="Z441" s="615"/>
      <c r="AA441" s="62"/>
      <c r="AB441" s="62"/>
      <c r="AC441" s="62"/>
    </row>
    <row r="442" spans="1:68" ht="14.25" hidden="1" customHeight="1" x14ac:dyDescent="0.25">
      <c r="A442" s="599" t="s">
        <v>77</v>
      </c>
      <c r="B442" s="599"/>
      <c r="C442" s="599"/>
      <c r="D442" s="599"/>
      <c r="E442" s="599"/>
      <c r="F442" s="599"/>
      <c r="G442" s="599"/>
      <c r="H442" s="599"/>
      <c r="I442" s="599"/>
      <c r="J442" s="599"/>
      <c r="K442" s="599"/>
      <c r="L442" s="599"/>
      <c r="M442" s="599"/>
      <c r="N442" s="599"/>
      <c r="O442" s="599"/>
      <c r="P442" s="599"/>
      <c r="Q442" s="599"/>
      <c r="R442" s="599"/>
      <c r="S442" s="599"/>
      <c r="T442" s="599"/>
      <c r="U442" s="599"/>
      <c r="V442" s="599"/>
      <c r="W442" s="599"/>
      <c r="X442" s="599"/>
      <c r="Y442" s="599"/>
      <c r="Z442" s="599"/>
      <c r="AA442" s="63"/>
      <c r="AB442" s="63"/>
      <c r="AC442" s="63"/>
    </row>
    <row r="443" spans="1:68" ht="27" hidden="1" customHeight="1" x14ac:dyDescent="0.25">
      <c r="A443" s="60" t="s">
        <v>709</v>
      </c>
      <c r="B443" s="60" t="s">
        <v>710</v>
      </c>
      <c r="C443" s="34">
        <v>4301031405</v>
      </c>
      <c r="D443" s="600">
        <v>4680115886100</v>
      </c>
      <c r="E443" s="600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140</v>
      </c>
      <c r="L443" s="35" t="s">
        <v>46</v>
      </c>
      <c r="M443" s="36" t="s">
        <v>81</v>
      </c>
      <c r="N443" s="36"/>
      <c r="O443" s="35">
        <v>50</v>
      </c>
      <c r="P443" s="6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2"/>
      <c r="R443" s="602"/>
      <c r="S443" s="602"/>
      <c r="T443" s="603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17" t="s">
        <v>711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hidden="1" customHeight="1" x14ac:dyDescent="0.25">
      <c r="A444" s="60" t="s">
        <v>712</v>
      </c>
      <c r="B444" s="60" t="s">
        <v>713</v>
      </c>
      <c r="C444" s="34">
        <v>4301031402</v>
      </c>
      <c r="D444" s="600">
        <v>4680115886124</v>
      </c>
      <c r="E444" s="600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6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2"/>
      <c r="R444" s="602"/>
      <c r="S444" s="602"/>
      <c r="T444" s="603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4301031362</v>
      </c>
      <c r="D445" s="600">
        <v>4607091384338</v>
      </c>
      <c r="E445" s="600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82</v>
      </c>
      <c r="L445" s="35" t="s">
        <v>46</v>
      </c>
      <c r="M445" s="36" t="s">
        <v>81</v>
      </c>
      <c r="N445" s="36"/>
      <c r="O445" s="35">
        <v>50</v>
      </c>
      <c r="P445" s="6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2"/>
      <c r="R445" s="602"/>
      <c r="S445" s="602"/>
      <c r="T445" s="603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711</v>
      </c>
      <c r="AG445" s="75"/>
      <c r="AJ445" s="79" t="s">
        <v>46</v>
      </c>
      <c r="AK445" s="79">
        <v>0</v>
      </c>
      <c r="BB445" s="522" t="s">
        <v>67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hidden="1" customHeight="1" x14ac:dyDescent="0.25">
      <c r="A446" s="60" t="s">
        <v>717</v>
      </c>
      <c r="B446" s="60" t="s">
        <v>718</v>
      </c>
      <c r="C446" s="34">
        <v>4301031364</v>
      </c>
      <c r="D446" s="600">
        <v>4680115883161</v>
      </c>
      <c r="E446" s="600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64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2"/>
      <c r="R446" s="602"/>
      <c r="S446" s="602"/>
      <c r="T446" s="603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719</v>
      </c>
      <c r="AG446" s="75"/>
      <c r="AJ446" s="79" t="s">
        <v>46</v>
      </c>
      <c r="AK446" s="79">
        <v>0</v>
      </c>
      <c r="BB446" s="524" t="s">
        <v>67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4301031358</v>
      </c>
      <c r="D447" s="600">
        <v>4607091389531</v>
      </c>
      <c r="E447" s="600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6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2"/>
      <c r="R447" s="602"/>
      <c r="S447" s="602"/>
      <c r="T447" s="603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hidden="1" customHeight="1" x14ac:dyDescent="0.25">
      <c r="A448" s="60" t="s">
        <v>723</v>
      </c>
      <c r="B448" s="60" t="s">
        <v>724</v>
      </c>
      <c r="C448" s="34">
        <v>4301031360</v>
      </c>
      <c r="D448" s="600">
        <v>4607091384345</v>
      </c>
      <c r="E448" s="600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2"/>
      <c r="R448" s="602"/>
      <c r="S448" s="602"/>
      <c r="T448" s="603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719</v>
      </c>
      <c r="AG448" s="75"/>
      <c r="AJ448" s="79" t="s">
        <v>46</v>
      </c>
      <c r="AK448" s="79">
        <v>0</v>
      </c>
      <c r="BB448" s="528" t="s">
        <v>67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hidden="1" x14ac:dyDescent="0.2">
      <c r="A449" s="607"/>
      <c r="B449" s="607"/>
      <c r="C449" s="607"/>
      <c r="D449" s="607"/>
      <c r="E449" s="607"/>
      <c r="F449" s="607"/>
      <c r="G449" s="607"/>
      <c r="H449" s="607"/>
      <c r="I449" s="607"/>
      <c r="J449" s="607"/>
      <c r="K449" s="607"/>
      <c r="L449" s="607"/>
      <c r="M449" s="607"/>
      <c r="N449" s="607"/>
      <c r="O449" s="608"/>
      <c r="P449" s="604" t="s">
        <v>40</v>
      </c>
      <c r="Q449" s="605"/>
      <c r="R449" s="605"/>
      <c r="S449" s="605"/>
      <c r="T449" s="605"/>
      <c r="U449" s="605"/>
      <c r="V449" s="606"/>
      <c r="W449" s="40" t="s">
        <v>39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07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08"/>
      <c r="P450" s="604" t="s">
        <v>40</v>
      </c>
      <c r="Q450" s="605"/>
      <c r="R450" s="605"/>
      <c r="S450" s="605"/>
      <c r="T450" s="605"/>
      <c r="U450" s="605"/>
      <c r="V450" s="606"/>
      <c r="W450" s="40" t="s">
        <v>0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599" t="s">
        <v>86</v>
      </c>
      <c r="B451" s="599"/>
      <c r="C451" s="599"/>
      <c r="D451" s="599"/>
      <c r="E451" s="599"/>
      <c r="F451" s="599"/>
      <c r="G451" s="599"/>
      <c r="H451" s="599"/>
      <c r="I451" s="599"/>
      <c r="J451" s="599"/>
      <c r="K451" s="599"/>
      <c r="L451" s="599"/>
      <c r="M451" s="599"/>
      <c r="N451" s="599"/>
      <c r="O451" s="599"/>
      <c r="P451" s="599"/>
      <c r="Q451" s="599"/>
      <c r="R451" s="599"/>
      <c r="S451" s="599"/>
      <c r="T451" s="599"/>
      <c r="U451" s="599"/>
      <c r="V451" s="599"/>
      <c r="W451" s="599"/>
      <c r="X451" s="599"/>
      <c r="Y451" s="599"/>
      <c r="Z451" s="599"/>
      <c r="AA451" s="63"/>
      <c r="AB451" s="63"/>
      <c r="AC451" s="63"/>
    </row>
    <row r="452" spans="1:68" ht="27" hidden="1" customHeight="1" x14ac:dyDescent="0.25">
      <c r="A452" s="60" t="s">
        <v>725</v>
      </c>
      <c r="B452" s="60" t="s">
        <v>726</v>
      </c>
      <c r="C452" s="34">
        <v>4301051284</v>
      </c>
      <c r="D452" s="600">
        <v>4607091384352</v>
      </c>
      <c r="E452" s="600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140</v>
      </c>
      <c r="L452" s="35" t="s">
        <v>46</v>
      </c>
      <c r="M452" s="36" t="s">
        <v>90</v>
      </c>
      <c r="N452" s="36"/>
      <c r="O452" s="35">
        <v>45</v>
      </c>
      <c r="P452" s="6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2"/>
      <c r="R452" s="602"/>
      <c r="S452" s="602"/>
      <c r="T452" s="603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727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728</v>
      </c>
      <c r="B453" s="60" t="s">
        <v>729</v>
      </c>
      <c r="C453" s="34">
        <v>4301051431</v>
      </c>
      <c r="D453" s="600">
        <v>4607091389654</v>
      </c>
      <c r="E453" s="600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91</v>
      </c>
      <c r="L453" s="35" t="s">
        <v>46</v>
      </c>
      <c r="M453" s="36" t="s">
        <v>90</v>
      </c>
      <c r="N453" s="36"/>
      <c r="O453" s="35">
        <v>45</v>
      </c>
      <c r="P453" s="64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2"/>
      <c r="R453" s="602"/>
      <c r="S453" s="602"/>
      <c r="T453" s="603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07"/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8"/>
      <c r="P454" s="604" t="s">
        <v>40</v>
      </c>
      <c r="Q454" s="605"/>
      <c r="R454" s="605"/>
      <c r="S454" s="605"/>
      <c r="T454" s="605"/>
      <c r="U454" s="605"/>
      <c r="V454" s="606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07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8"/>
      <c r="P455" s="604" t="s">
        <v>40</v>
      </c>
      <c r="Q455" s="605"/>
      <c r="R455" s="605"/>
      <c r="S455" s="605"/>
      <c r="T455" s="605"/>
      <c r="U455" s="605"/>
      <c r="V455" s="606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15" t="s">
        <v>731</v>
      </c>
      <c r="B456" s="615"/>
      <c r="C456" s="615"/>
      <c r="D456" s="615"/>
      <c r="E456" s="615"/>
      <c r="F456" s="615"/>
      <c r="G456" s="615"/>
      <c r="H456" s="615"/>
      <c r="I456" s="615"/>
      <c r="J456" s="615"/>
      <c r="K456" s="615"/>
      <c r="L456" s="615"/>
      <c r="M456" s="615"/>
      <c r="N456" s="615"/>
      <c r="O456" s="615"/>
      <c r="P456" s="615"/>
      <c r="Q456" s="615"/>
      <c r="R456" s="615"/>
      <c r="S456" s="615"/>
      <c r="T456" s="615"/>
      <c r="U456" s="615"/>
      <c r="V456" s="615"/>
      <c r="W456" s="615"/>
      <c r="X456" s="615"/>
      <c r="Y456" s="615"/>
      <c r="Z456" s="615"/>
      <c r="AA456" s="62"/>
      <c r="AB456" s="62"/>
      <c r="AC456" s="62"/>
    </row>
    <row r="457" spans="1:68" ht="14.25" hidden="1" customHeight="1" x14ac:dyDescent="0.25">
      <c r="A457" s="599" t="s">
        <v>163</v>
      </c>
      <c r="B457" s="599"/>
      <c r="C457" s="599"/>
      <c r="D457" s="599"/>
      <c r="E457" s="599"/>
      <c r="F457" s="599"/>
      <c r="G457" s="599"/>
      <c r="H457" s="599"/>
      <c r="I457" s="599"/>
      <c r="J457" s="599"/>
      <c r="K457" s="599"/>
      <c r="L457" s="599"/>
      <c r="M457" s="599"/>
      <c r="N457" s="599"/>
      <c r="O457" s="599"/>
      <c r="P457" s="599"/>
      <c r="Q457" s="599"/>
      <c r="R457" s="599"/>
      <c r="S457" s="599"/>
      <c r="T457" s="599"/>
      <c r="U457" s="599"/>
      <c r="V457" s="599"/>
      <c r="W457" s="599"/>
      <c r="X457" s="599"/>
      <c r="Y457" s="599"/>
      <c r="Z457" s="599"/>
      <c r="AA457" s="63"/>
      <c r="AB457" s="63"/>
      <c r="AC457" s="63"/>
    </row>
    <row r="458" spans="1:68" ht="27" hidden="1" customHeight="1" x14ac:dyDescent="0.25">
      <c r="A458" s="60" t="s">
        <v>732</v>
      </c>
      <c r="B458" s="60" t="s">
        <v>733</v>
      </c>
      <c r="C458" s="34">
        <v>4301020416</v>
      </c>
      <c r="D458" s="600">
        <v>4680115885240</v>
      </c>
      <c r="E458" s="600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91</v>
      </c>
      <c r="L458" s="35" t="s">
        <v>46</v>
      </c>
      <c r="M458" s="36" t="s">
        <v>81</v>
      </c>
      <c r="N458" s="36"/>
      <c r="O458" s="35">
        <v>40</v>
      </c>
      <c r="P458" s="6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2"/>
      <c r="R458" s="602"/>
      <c r="S458" s="602"/>
      <c r="T458" s="603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734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07"/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8"/>
      <c r="P459" s="604" t="s">
        <v>40</v>
      </c>
      <c r="Q459" s="605"/>
      <c r="R459" s="605"/>
      <c r="S459" s="605"/>
      <c r="T459" s="605"/>
      <c r="U459" s="605"/>
      <c r="V459" s="606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07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8"/>
      <c r="P460" s="604" t="s">
        <v>40</v>
      </c>
      <c r="Q460" s="605"/>
      <c r="R460" s="605"/>
      <c r="S460" s="605"/>
      <c r="T460" s="605"/>
      <c r="U460" s="605"/>
      <c r="V460" s="606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599" t="s">
        <v>77</v>
      </c>
      <c r="B461" s="599"/>
      <c r="C461" s="599"/>
      <c r="D461" s="599"/>
      <c r="E461" s="599"/>
      <c r="F461" s="599"/>
      <c r="G461" s="599"/>
      <c r="H461" s="599"/>
      <c r="I461" s="599"/>
      <c r="J461" s="599"/>
      <c r="K461" s="599"/>
      <c r="L461" s="599"/>
      <c r="M461" s="599"/>
      <c r="N461" s="599"/>
      <c r="O461" s="599"/>
      <c r="P461" s="599"/>
      <c r="Q461" s="599"/>
      <c r="R461" s="599"/>
      <c r="S461" s="599"/>
      <c r="T461" s="599"/>
      <c r="U461" s="599"/>
      <c r="V461" s="599"/>
      <c r="W461" s="599"/>
      <c r="X461" s="599"/>
      <c r="Y461" s="599"/>
      <c r="Z461" s="599"/>
      <c r="AA461" s="63"/>
      <c r="AB461" s="63"/>
      <c r="AC461" s="63"/>
    </row>
    <row r="462" spans="1:68" ht="27" hidden="1" customHeight="1" x14ac:dyDescent="0.25">
      <c r="A462" s="60" t="s">
        <v>735</v>
      </c>
      <c r="B462" s="60" t="s">
        <v>736</v>
      </c>
      <c r="C462" s="34">
        <v>4301031407</v>
      </c>
      <c r="D462" s="600">
        <v>4680115886094</v>
      </c>
      <c r="E462" s="600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140</v>
      </c>
      <c r="L462" s="35" t="s">
        <v>46</v>
      </c>
      <c r="M462" s="36" t="s">
        <v>81</v>
      </c>
      <c r="N462" s="36"/>
      <c r="O462" s="35">
        <v>50</v>
      </c>
      <c r="P462" s="6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2"/>
      <c r="R462" s="602"/>
      <c r="S462" s="602"/>
      <c r="T462" s="60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35" t="s">
        <v>737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738</v>
      </c>
      <c r="B463" s="60" t="s">
        <v>739</v>
      </c>
      <c r="C463" s="34">
        <v>4301031373</v>
      </c>
      <c r="D463" s="600">
        <v>4680115880771</v>
      </c>
      <c r="E463" s="600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82</v>
      </c>
      <c r="L463" s="35" t="s">
        <v>46</v>
      </c>
      <c r="M463" s="36" t="s">
        <v>81</v>
      </c>
      <c r="N463" s="36"/>
      <c r="O463" s="35">
        <v>50</v>
      </c>
      <c r="P463" s="64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2"/>
      <c r="R463" s="602"/>
      <c r="S463" s="602"/>
      <c r="T463" s="603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4301031359</v>
      </c>
      <c r="D464" s="600">
        <v>4607091389500</v>
      </c>
      <c r="E464" s="600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2"/>
      <c r="R464" s="602"/>
      <c r="S464" s="602"/>
      <c r="T464" s="603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740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idden="1" x14ac:dyDescent="0.2">
      <c r="A465" s="607"/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8"/>
      <c r="P465" s="604" t="s">
        <v>40</v>
      </c>
      <c r="Q465" s="605"/>
      <c r="R465" s="605"/>
      <c r="S465" s="605"/>
      <c r="T465" s="605"/>
      <c r="U465" s="605"/>
      <c r="V465" s="606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607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08"/>
      <c r="P466" s="604" t="s">
        <v>40</v>
      </c>
      <c r="Q466" s="605"/>
      <c r="R466" s="605"/>
      <c r="S466" s="605"/>
      <c r="T466" s="605"/>
      <c r="U466" s="605"/>
      <c r="V466" s="606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hidden="1" customHeight="1" x14ac:dyDescent="0.2">
      <c r="A467" s="620" t="s">
        <v>743</v>
      </c>
      <c r="B467" s="620"/>
      <c r="C467" s="620"/>
      <c r="D467" s="620"/>
      <c r="E467" s="620"/>
      <c r="F467" s="620"/>
      <c r="G467" s="620"/>
      <c r="H467" s="620"/>
      <c r="I467" s="620"/>
      <c r="J467" s="620"/>
      <c r="K467" s="620"/>
      <c r="L467" s="620"/>
      <c r="M467" s="620"/>
      <c r="N467" s="620"/>
      <c r="O467" s="620"/>
      <c r="P467" s="620"/>
      <c r="Q467" s="620"/>
      <c r="R467" s="620"/>
      <c r="S467" s="620"/>
      <c r="T467" s="620"/>
      <c r="U467" s="620"/>
      <c r="V467" s="620"/>
      <c r="W467" s="620"/>
      <c r="X467" s="620"/>
      <c r="Y467" s="620"/>
      <c r="Z467" s="620"/>
      <c r="AA467" s="52"/>
      <c r="AB467" s="52"/>
      <c r="AC467" s="52"/>
    </row>
    <row r="468" spans="1:68" ht="16.5" hidden="1" customHeight="1" x14ac:dyDescent="0.25">
      <c r="A468" s="615" t="s">
        <v>743</v>
      </c>
      <c r="B468" s="615"/>
      <c r="C468" s="615"/>
      <c r="D468" s="615"/>
      <c r="E468" s="615"/>
      <c r="F468" s="615"/>
      <c r="G468" s="615"/>
      <c r="H468" s="615"/>
      <c r="I468" s="615"/>
      <c r="J468" s="615"/>
      <c r="K468" s="615"/>
      <c r="L468" s="615"/>
      <c r="M468" s="615"/>
      <c r="N468" s="615"/>
      <c r="O468" s="615"/>
      <c r="P468" s="615"/>
      <c r="Q468" s="615"/>
      <c r="R468" s="615"/>
      <c r="S468" s="615"/>
      <c r="T468" s="615"/>
      <c r="U468" s="615"/>
      <c r="V468" s="615"/>
      <c r="W468" s="615"/>
      <c r="X468" s="615"/>
      <c r="Y468" s="615"/>
      <c r="Z468" s="615"/>
      <c r="AA468" s="62"/>
      <c r="AB468" s="62"/>
      <c r="AC468" s="62"/>
    </row>
    <row r="469" spans="1:68" ht="14.25" hidden="1" customHeight="1" x14ac:dyDescent="0.25">
      <c r="A469" s="599" t="s">
        <v>128</v>
      </c>
      <c r="B469" s="599"/>
      <c r="C469" s="599"/>
      <c r="D469" s="599"/>
      <c r="E469" s="599"/>
      <c r="F469" s="599"/>
      <c r="G469" s="599"/>
      <c r="H469" s="599"/>
      <c r="I469" s="599"/>
      <c r="J469" s="599"/>
      <c r="K469" s="599"/>
      <c r="L469" s="599"/>
      <c r="M469" s="599"/>
      <c r="N469" s="599"/>
      <c r="O469" s="599"/>
      <c r="P469" s="599"/>
      <c r="Q469" s="599"/>
      <c r="R469" s="599"/>
      <c r="S469" s="599"/>
      <c r="T469" s="599"/>
      <c r="U469" s="599"/>
      <c r="V469" s="599"/>
      <c r="W469" s="599"/>
      <c r="X469" s="599"/>
      <c r="Y469" s="599"/>
      <c r="Z469" s="599"/>
      <c r="AA469" s="63"/>
      <c r="AB469" s="63"/>
      <c r="AC469" s="63"/>
    </row>
    <row r="470" spans="1:68" ht="27" hidden="1" customHeight="1" x14ac:dyDescent="0.25">
      <c r="A470" s="60" t="s">
        <v>744</v>
      </c>
      <c r="B470" s="60" t="s">
        <v>745</v>
      </c>
      <c r="C470" s="34">
        <v>4301011769</v>
      </c>
      <c r="D470" s="600">
        <v>4607091389067</v>
      </c>
      <c r="E470" s="600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133</v>
      </c>
      <c r="L470" s="35" t="s">
        <v>46</v>
      </c>
      <c r="M470" s="36" t="s">
        <v>90</v>
      </c>
      <c r="N470" s="36"/>
      <c r="O470" s="35">
        <v>60</v>
      </c>
      <c r="P470" s="6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2"/>
      <c r="R470" s="602"/>
      <c r="S470" s="602"/>
      <c r="T470" s="603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ref="Y470:Y478" si="62">IFERROR(IF(X470="",0,CEILING((X470/$H470),1)*$H470),"")</f>
        <v>0</v>
      </c>
      <c r="Z470" s="39" t="str">
        <f t="shared" ref="Z470:Z475" si="63">IFERROR(IF(Y470=0,"",ROUNDUP(Y470/H470,0)*0.01196),"")</f>
        <v/>
      </c>
      <c r="AA470" s="65" t="s">
        <v>46</v>
      </c>
      <c r="AB470" s="66" t="s">
        <v>46</v>
      </c>
      <c r="AC470" s="541" t="s">
        <v>131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4">IFERROR(X470*I470/H470,"0")</f>
        <v>0</v>
      </c>
      <c r="BN470" s="75">
        <f t="shared" ref="BN470:BN478" si="65">IFERROR(Y470*I470/H470,"0")</f>
        <v>0</v>
      </c>
      <c r="BO470" s="75">
        <f t="shared" ref="BO470:BO478" si="66">IFERROR(1/J470*(X470/H470),"0")</f>
        <v>0</v>
      </c>
      <c r="BP470" s="75">
        <f t="shared" ref="BP470:BP478" si="67">IFERROR(1/J470*(Y470/H470),"0")</f>
        <v>0</v>
      </c>
    </row>
    <row r="471" spans="1:68" ht="27" hidden="1" customHeight="1" x14ac:dyDescent="0.25">
      <c r="A471" s="60" t="s">
        <v>746</v>
      </c>
      <c r="B471" s="60" t="s">
        <v>747</v>
      </c>
      <c r="C471" s="34">
        <v>4301012210</v>
      </c>
      <c r="D471" s="600">
        <v>4607091383522</v>
      </c>
      <c r="E471" s="600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132</v>
      </c>
      <c r="N471" s="36"/>
      <c r="O471" s="35">
        <v>60</v>
      </c>
      <c r="P471" s="63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2"/>
      <c r="R471" s="602"/>
      <c r="S471" s="602"/>
      <c r="T471" s="603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2"/>
        <v>0</v>
      </c>
      <c r="Z471" s="39" t="str">
        <f t="shared" si="63"/>
        <v/>
      </c>
      <c r="AA471" s="65" t="s">
        <v>46</v>
      </c>
      <c r="AB471" s="66" t="s">
        <v>46</v>
      </c>
      <c r="AC471" s="543" t="s">
        <v>748</v>
      </c>
      <c r="AG471" s="75"/>
      <c r="AJ471" s="79" t="s">
        <v>46</v>
      </c>
      <c r="AK471" s="79">
        <v>0</v>
      </c>
      <c r="BB471" s="544" t="s">
        <v>67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4301011961</v>
      </c>
      <c r="D472" s="600">
        <v>4680115885271</v>
      </c>
      <c r="E472" s="600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2"/>
      <c r="R472" s="602"/>
      <c r="S472" s="602"/>
      <c r="T472" s="603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2"/>
        <v>0</v>
      </c>
      <c r="Z472" s="39" t="str">
        <f t="shared" si="63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4"/>
        <v>0</v>
      </c>
      <c r="BN472" s="75">
        <f t="shared" si="65"/>
        <v>0</v>
      </c>
      <c r="BO472" s="75">
        <f t="shared" si="66"/>
        <v>0</v>
      </c>
      <c r="BP472" s="75">
        <f t="shared" si="67"/>
        <v>0</v>
      </c>
    </row>
    <row r="473" spans="1:68" ht="27" customHeight="1" x14ac:dyDescent="0.25">
      <c r="A473" s="60" t="s">
        <v>752</v>
      </c>
      <c r="B473" s="60" t="s">
        <v>753</v>
      </c>
      <c r="C473" s="34">
        <v>4301011369</v>
      </c>
      <c r="D473" s="600">
        <v>4680115885226</v>
      </c>
      <c r="E473" s="600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6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2"/>
      <c r="R473" s="602"/>
      <c r="S473" s="602"/>
      <c r="T473" s="603"/>
      <c r="U473" s="37" t="s">
        <v>46</v>
      </c>
      <c r="V473" s="37" t="s">
        <v>46</v>
      </c>
      <c r="W473" s="38" t="s">
        <v>0</v>
      </c>
      <c r="X473" s="56">
        <v>50</v>
      </c>
      <c r="Y473" s="53">
        <f t="shared" si="62"/>
        <v>52.800000000000004</v>
      </c>
      <c r="Z473" s="39">
        <f t="shared" si="63"/>
        <v>0.1196</v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4"/>
        <v>53.314393939393938</v>
      </c>
      <c r="BN473" s="75">
        <f t="shared" si="65"/>
        <v>56.3</v>
      </c>
      <c r="BO473" s="75">
        <f t="shared" si="66"/>
        <v>9.1054778554778545E-2</v>
      </c>
      <c r="BP473" s="75">
        <f t="shared" si="67"/>
        <v>9.6153846153846159E-2</v>
      </c>
    </row>
    <row r="474" spans="1:68" ht="16.5" hidden="1" customHeight="1" x14ac:dyDescent="0.25">
      <c r="A474" s="60" t="s">
        <v>755</v>
      </c>
      <c r="B474" s="60" t="s">
        <v>756</v>
      </c>
      <c r="C474" s="34">
        <v>4301011797</v>
      </c>
      <c r="D474" s="600">
        <v>4680115884502</v>
      </c>
      <c r="E474" s="600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90</v>
      </c>
      <c r="N474" s="36"/>
      <c r="O474" s="35">
        <v>60</v>
      </c>
      <c r="P474" s="6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2"/>
      <c r="R474" s="602"/>
      <c r="S474" s="602"/>
      <c r="T474" s="603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2"/>
        <v>0</v>
      </c>
      <c r="Z474" s="39" t="str">
        <f t="shared" si="63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hidden="1" customHeight="1" x14ac:dyDescent="0.25">
      <c r="A475" s="60" t="s">
        <v>758</v>
      </c>
      <c r="B475" s="60" t="s">
        <v>759</v>
      </c>
      <c r="C475" s="34">
        <v>4301011771</v>
      </c>
      <c r="D475" s="600">
        <v>4607091389104</v>
      </c>
      <c r="E475" s="600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132</v>
      </c>
      <c r="N475" s="36"/>
      <c r="O475" s="35">
        <v>60</v>
      </c>
      <c r="P475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2"/>
      <c r="R475" s="602"/>
      <c r="S475" s="602"/>
      <c r="T475" s="603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2"/>
        <v>0</v>
      </c>
      <c r="Z475" s="39" t="str">
        <f t="shared" si="63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4"/>
        <v>0</v>
      </c>
      <c r="BN475" s="75">
        <f t="shared" si="65"/>
        <v>0</v>
      </c>
      <c r="BO475" s="75">
        <f t="shared" si="66"/>
        <v>0</v>
      </c>
      <c r="BP475" s="75">
        <f t="shared" si="67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4301012125</v>
      </c>
      <c r="D476" s="600">
        <v>4680115886391</v>
      </c>
      <c r="E476" s="600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91</v>
      </c>
      <c r="L476" s="35" t="s">
        <v>46</v>
      </c>
      <c r="M476" s="36" t="s">
        <v>90</v>
      </c>
      <c r="N476" s="36"/>
      <c r="O476" s="35">
        <v>60</v>
      </c>
      <c r="P476" s="6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2"/>
      <c r="R476" s="602"/>
      <c r="S476" s="602"/>
      <c r="T476" s="603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131</v>
      </c>
      <c r="AG476" s="75"/>
      <c r="AJ476" s="79" t="s">
        <v>46</v>
      </c>
      <c r="AK476" s="79">
        <v>0</v>
      </c>
      <c r="BB476" s="554" t="s">
        <v>67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763</v>
      </c>
      <c r="B477" s="60" t="s">
        <v>764</v>
      </c>
      <c r="C477" s="34">
        <v>4301012048</v>
      </c>
      <c r="D477" s="600">
        <v>4680115880603</v>
      </c>
      <c r="E477" s="600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140</v>
      </c>
      <c r="L477" s="35" t="s">
        <v>46</v>
      </c>
      <c r="M477" s="36" t="s">
        <v>90</v>
      </c>
      <c r="N477" s="36"/>
      <c r="O477" s="35">
        <v>60</v>
      </c>
      <c r="P477" s="6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2"/>
      <c r="R477" s="602"/>
      <c r="S477" s="602"/>
      <c r="T477" s="603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2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27" hidden="1" customHeight="1" x14ac:dyDescent="0.25">
      <c r="A478" s="60" t="s">
        <v>765</v>
      </c>
      <c r="B478" s="60" t="s">
        <v>766</v>
      </c>
      <c r="C478" s="34">
        <v>4301012034</v>
      </c>
      <c r="D478" s="600">
        <v>4607091389982</v>
      </c>
      <c r="E478" s="600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132</v>
      </c>
      <c r="N478" s="36"/>
      <c r="O478" s="35">
        <v>60</v>
      </c>
      <c r="P478" s="6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2"/>
      <c r="R478" s="602"/>
      <c r="S478" s="602"/>
      <c r="T478" s="60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2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760</v>
      </c>
      <c r="AG478" s="75"/>
      <c r="AJ478" s="79" t="s">
        <v>46</v>
      </c>
      <c r="AK478" s="79">
        <v>0</v>
      </c>
      <c r="BB478" s="558" t="s">
        <v>67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x14ac:dyDescent="0.2">
      <c r="A479" s="607"/>
      <c r="B479" s="607"/>
      <c r="C479" s="607"/>
      <c r="D479" s="607"/>
      <c r="E479" s="607"/>
      <c r="F479" s="607"/>
      <c r="G479" s="607"/>
      <c r="H479" s="607"/>
      <c r="I479" s="607"/>
      <c r="J479" s="607"/>
      <c r="K479" s="607"/>
      <c r="L479" s="607"/>
      <c r="M479" s="607"/>
      <c r="N479" s="607"/>
      <c r="O479" s="608"/>
      <c r="P479" s="604" t="s">
        <v>40</v>
      </c>
      <c r="Q479" s="605"/>
      <c r="R479" s="605"/>
      <c r="S479" s="605"/>
      <c r="T479" s="605"/>
      <c r="U479" s="605"/>
      <c r="V479" s="606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9.4696969696969688</v>
      </c>
      <c r="Y479" s="41">
        <f>IFERROR(Y470/H470,"0")+IFERROR(Y471/H471,"0")+IFERROR(Y472/H472,"0")+IFERROR(Y473/H473,"0")+IFERROR(Y474/H474,"0")+IFERROR(Y475/H475,"0")+IFERROR(Y476/H476,"0")+IFERROR(Y477/H477,"0")+IFERROR(Y478/H478,"0")</f>
        <v>10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0.1196</v>
      </c>
      <c r="AA479" s="64"/>
      <c r="AB479" s="64"/>
      <c r="AC479" s="64"/>
    </row>
    <row r="480" spans="1:68" x14ac:dyDescent="0.2">
      <c r="A480" s="607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08"/>
      <c r="P480" s="604" t="s">
        <v>40</v>
      </c>
      <c r="Q480" s="605"/>
      <c r="R480" s="605"/>
      <c r="S480" s="605"/>
      <c r="T480" s="605"/>
      <c r="U480" s="605"/>
      <c r="V480" s="606"/>
      <c r="W480" s="40" t="s">
        <v>0</v>
      </c>
      <c r="X480" s="41">
        <f>IFERROR(SUM(X470:X478),"0")</f>
        <v>50</v>
      </c>
      <c r="Y480" s="41">
        <f>IFERROR(SUM(Y470:Y478),"0")</f>
        <v>52.800000000000004</v>
      </c>
      <c r="Z480" s="40"/>
      <c r="AA480" s="64"/>
      <c r="AB480" s="64"/>
      <c r="AC480" s="64"/>
    </row>
    <row r="481" spans="1:68" ht="14.25" hidden="1" customHeight="1" x14ac:dyDescent="0.25">
      <c r="A481" s="599" t="s">
        <v>163</v>
      </c>
      <c r="B481" s="599"/>
      <c r="C481" s="599"/>
      <c r="D481" s="599"/>
      <c r="E481" s="599"/>
      <c r="F481" s="599"/>
      <c r="G481" s="599"/>
      <c r="H481" s="599"/>
      <c r="I481" s="599"/>
      <c r="J481" s="599"/>
      <c r="K481" s="599"/>
      <c r="L481" s="599"/>
      <c r="M481" s="599"/>
      <c r="N481" s="599"/>
      <c r="O481" s="599"/>
      <c r="P481" s="599"/>
      <c r="Q481" s="599"/>
      <c r="R481" s="599"/>
      <c r="S481" s="599"/>
      <c r="T481" s="599"/>
      <c r="U481" s="599"/>
      <c r="V481" s="599"/>
      <c r="W481" s="599"/>
      <c r="X481" s="599"/>
      <c r="Y481" s="599"/>
      <c r="Z481" s="599"/>
      <c r="AA481" s="63"/>
      <c r="AB481" s="63"/>
      <c r="AC481" s="63"/>
    </row>
    <row r="482" spans="1:68" ht="16.5" customHeight="1" x14ac:dyDescent="0.25">
      <c r="A482" s="60" t="s">
        <v>767</v>
      </c>
      <c r="B482" s="60" t="s">
        <v>768</v>
      </c>
      <c r="C482" s="34">
        <v>4301020334</v>
      </c>
      <c r="D482" s="600">
        <v>4607091388930</v>
      </c>
      <c r="E482" s="600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133</v>
      </c>
      <c r="L482" s="35" t="s">
        <v>46</v>
      </c>
      <c r="M482" s="36" t="s">
        <v>90</v>
      </c>
      <c r="N482" s="36"/>
      <c r="O482" s="35">
        <v>70</v>
      </c>
      <c r="P482" s="62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2"/>
      <c r="R482" s="602"/>
      <c r="S482" s="602"/>
      <c r="T482" s="603"/>
      <c r="U482" s="37" t="s">
        <v>46</v>
      </c>
      <c r="V482" s="37" t="s">
        <v>46</v>
      </c>
      <c r="W482" s="38" t="s">
        <v>0</v>
      </c>
      <c r="X482" s="56">
        <v>50</v>
      </c>
      <c r="Y482" s="53">
        <f>IFERROR(IF(X482="",0,CEILING((X482/$H482),1)*$H482),"")</f>
        <v>52.800000000000004</v>
      </c>
      <c r="Z482" s="39">
        <f>IFERROR(IF(Y482=0,"",ROUNDUP(Y482/H482,0)*0.01196),"")</f>
        <v>0.1196</v>
      </c>
      <c r="AA482" s="65" t="s">
        <v>46</v>
      </c>
      <c r="AB482" s="66" t="s">
        <v>46</v>
      </c>
      <c r="AC482" s="559" t="s">
        <v>769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53.314393939393938</v>
      </c>
      <c r="BN482" s="75">
        <f>IFERROR(Y482*I482/H482,"0")</f>
        <v>56.3</v>
      </c>
      <c r="BO482" s="75">
        <f>IFERROR(1/J482*(X482/H482),"0")</f>
        <v>9.1054778554778545E-2</v>
      </c>
      <c r="BP482" s="75">
        <f>IFERROR(1/J482*(Y482/H482),"0")</f>
        <v>9.6153846153846159E-2</v>
      </c>
    </row>
    <row r="483" spans="1:68" ht="16.5" hidden="1" customHeight="1" x14ac:dyDescent="0.25">
      <c r="A483" s="60" t="s">
        <v>770</v>
      </c>
      <c r="B483" s="60" t="s">
        <v>771</v>
      </c>
      <c r="C483" s="34">
        <v>4301020374</v>
      </c>
      <c r="D483" s="600">
        <v>4680115886407</v>
      </c>
      <c r="E483" s="600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91</v>
      </c>
      <c r="L483" s="35" t="s">
        <v>46</v>
      </c>
      <c r="M483" s="36" t="s">
        <v>132</v>
      </c>
      <c r="N483" s="36"/>
      <c r="O483" s="35">
        <v>70</v>
      </c>
      <c r="P483" s="6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2"/>
      <c r="R483" s="602"/>
      <c r="S483" s="602"/>
      <c r="T483" s="603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769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772</v>
      </c>
      <c r="B484" s="60" t="s">
        <v>773</v>
      </c>
      <c r="C484" s="34">
        <v>4301020385</v>
      </c>
      <c r="D484" s="600">
        <v>4680115880054</v>
      </c>
      <c r="E484" s="600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140</v>
      </c>
      <c r="L484" s="35" t="s">
        <v>46</v>
      </c>
      <c r="M484" s="36" t="s">
        <v>132</v>
      </c>
      <c r="N484" s="36"/>
      <c r="O484" s="35">
        <v>70</v>
      </c>
      <c r="P484" s="63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2"/>
      <c r="R484" s="602"/>
      <c r="S484" s="602"/>
      <c r="T484" s="603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769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7"/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8"/>
      <c r="P485" s="604" t="s">
        <v>40</v>
      </c>
      <c r="Q485" s="605"/>
      <c r="R485" s="605"/>
      <c r="S485" s="605"/>
      <c r="T485" s="605"/>
      <c r="U485" s="605"/>
      <c r="V485" s="606"/>
      <c r="W485" s="40" t="s">
        <v>39</v>
      </c>
      <c r="X485" s="41">
        <f>IFERROR(X482/H482,"0")+IFERROR(X483/H483,"0")+IFERROR(X484/H484,"0")</f>
        <v>9.4696969696969688</v>
      </c>
      <c r="Y485" s="41">
        <f>IFERROR(Y482/H482,"0")+IFERROR(Y483/H483,"0")+IFERROR(Y484/H484,"0")</f>
        <v>10</v>
      </c>
      <c r="Z485" s="41">
        <f>IFERROR(IF(Z482="",0,Z482),"0")+IFERROR(IF(Z483="",0,Z483),"0")+IFERROR(IF(Z484="",0,Z484),"0")</f>
        <v>0.1196</v>
      </c>
      <c r="AA485" s="64"/>
      <c r="AB485" s="64"/>
      <c r="AC485" s="64"/>
    </row>
    <row r="486" spans="1:68" x14ac:dyDescent="0.2">
      <c r="A486" s="607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08"/>
      <c r="P486" s="604" t="s">
        <v>40</v>
      </c>
      <c r="Q486" s="605"/>
      <c r="R486" s="605"/>
      <c r="S486" s="605"/>
      <c r="T486" s="605"/>
      <c r="U486" s="605"/>
      <c r="V486" s="606"/>
      <c r="W486" s="40" t="s">
        <v>0</v>
      </c>
      <c r="X486" s="41">
        <f>IFERROR(SUM(X482:X484),"0")</f>
        <v>50</v>
      </c>
      <c r="Y486" s="41">
        <f>IFERROR(SUM(Y482:Y484),"0")</f>
        <v>52.800000000000004</v>
      </c>
      <c r="Z486" s="40"/>
      <c r="AA486" s="64"/>
      <c r="AB486" s="64"/>
      <c r="AC486" s="64"/>
    </row>
    <row r="487" spans="1:68" ht="14.25" hidden="1" customHeight="1" x14ac:dyDescent="0.25">
      <c r="A487" s="599" t="s">
        <v>77</v>
      </c>
      <c r="B487" s="599"/>
      <c r="C487" s="599"/>
      <c r="D487" s="599"/>
      <c r="E487" s="599"/>
      <c r="F487" s="599"/>
      <c r="G487" s="599"/>
      <c r="H487" s="599"/>
      <c r="I487" s="599"/>
      <c r="J487" s="599"/>
      <c r="K487" s="599"/>
      <c r="L487" s="599"/>
      <c r="M487" s="599"/>
      <c r="N487" s="599"/>
      <c r="O487" s="599"/>
      <c r="P487" s="599"/>
      <c r="Q487" s="599"/>
      <c r="R487" s="599"/>
      <c r="S487" s="599"/>
      <c r="T487" s="599"/>
      <c r="U487" s="599"/>
      <c r="V487" s="599"/>
      <c r="W487" s="599"/>
      <c r="X487" s="599"/>
      <c r="Y487" s="599"/>
      <c r="Z487" s="599"/>
      <c r="AA487" s="63"/>
      <c r="AB487" s="63"/>
      <c r="AC487" s="63"/>
    </row>
    <row r="488" spans="1:68" ht="27" customHeight="1" x14ac:dyDescent="0.25">
      <c r="A488" s="60" t="s">
        <v>774</v>
      </c>
      <c r="B488" s="60" t="s">
        <v>775</v>
      </c>
      <c r="C488" s="34">
        <v>4301031349</v>
      </c>
      <c r="D488" s="600">
        <v>4680115883116</v>
      </c>
      <c r="E488" s="600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133</v>
      </c>
      <c r="L488" s="35" t="s">
        <v>46</v>
      </c>
      <c r="M488" s="36" t="s">
        <v>132</v>
      </c>
      <c r="N488" s="36"/>
      <c r="O488" s="35">
        <v>70</v>
      </c>
      <c r="P488" s="6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2"/>
      <c r="R488" s="602"/>
      <c r="S488" s="602"/>
      <c r="T488" s="603"/>
      <c r="U488" s="37" t="s">
        <v>46</v>
      </c>
      <c r="V488" s="37" t="s">
        <v>46</v>
      </c>
      <c r="W488" s="38" t="s">
        <v>0</v>
      </c>
      <c r="X488" s="56">
        <v>30</v>
      </c>
      <c r="Y488" s="53">
        <f t="shared" ref="Y488:Y494" si="68">IFERROR(IF(X488="",0,CEILING((X488/$H488),1)*$H488),"")</f>
        <v>31.68</v>
      </c>
      <c r="Z488" s="39">
        <f>IFERROR(IF(Y488=0,"",ROUNDUP(Y488/H488,0)*0.01196),"")</f>
        <v>7.1760000000000004E-2</v>
      </c>
      <c r="AA488" s="65" t="s">
        <v>46</v>
      </c>
      <c r="AB488" s="66" t="s">
        <v>46</v>
      </c>
      <c r="AC488" s="565" t="s">
        <v>776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69">IFERROR(X488*I488/H488,"0")</f>
        <v>31.988636363636363</v>
      </c>
      <c r="BN488" s="75">
        <f t="shared" ref="BN488:BN494" si="70">IFERROR(Y488*I488/H488,"0")</f>
        <v>33.779999999999994</v>
      </c>
      <c r="BO488" s="75">
        <f t="shared" ref="BO488:BO494" si="71">IFERROR(1/J488*(X488/H488),"0")</f>
        <v>5.4632867132867136E-2</v>
      </c>
      <c r="BP488" s="75">
        <f t="shared" ref="BP488:BP494" si="72">IFERROR(1/J488*(Y488/H488),"0")</f>
        <v>5.7692307692307696E-2</v>
      </c>
    </row>
    <row r="489" spans="1:68" ht="27" hidden="1" customHeight="1" x14ac:dyDescent="0.25">
      <c r="A489" s="60" t="s">
        <v>777</v>
      </c>
      <c r="B489" s="60" t="s">
        <v>778</v>
      </c>
      <c r="C489" s="34">
        <v>4301031350</v>
      </c>
      <c r="D489" s="600">
        <v>4680115883093</v>
      </c>
      <c r="E489" s="600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81</v>
      </c>
      <c r="N489" s="36"/>
      <c r="O489" s="35">
        <v>70</v>
      </c>
      <c r="P489" s="6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2"/>
      <c r="R489" s="602"/>
      <c r="S489" s="602"/>
      <c r="T489" s="603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8"/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si="69"/>
        <v>0</v>
      </c>
      <c r="BN489" s="75">
        <f t="shared" si="70"/>
        <v>0</v>
      </c>
      <c r="BO489" s="75">
        <f t="shared" si="71"/>
        <v>0</v>
      </c>
      <c r="BP489" s="75">
        <f t="shared" si="72"/>
        <v>0</v>
      </c>
    </row>
    <row r="490" spans="1:68" ht="27" customHeight="1" x14ac:dyDescent="0.25">
      <c r="A490" s="60" t="s">
        <v>780</v>
      </c>
      <c r="B490" s="60" t="s">
        <v>781</v>
      </c>
      <c r="C490" s="34">
        <v>4301031353</v>
      </c>
      <c r="D490" s="600">
        <v>4680115883109</v>
      </c>
      <c r="E490" s="600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6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2"/>
      <c r="R490" s="602"/>
      <c r="S490" s="602"/>
      <c r="T490" s="603"/>
      <c r="U490" s="37" t="s">
        <v>46</v>
      </c>
      <c r="V490" s="37" t="s">
        <v>46</v>
      </c>
      <c r="W490" s="38" t="s">
        <v>0</v>
      </c>
      <c r="X490" s="56">
        <v>70</v>
      </c>
      <c r="Y490" s="53">
        <f t="shared" si="68"/>
        <v>73.92</v>
      </c>
      <c r="Z490" s="39">
        <f>IFERROR(IF(Y490=0,"",ROUNDUP(Y490/H490,0)*0.01196),"")</f>
        <v>0.16744000000000001</v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69"/>
        <v>74.640151515151501</v>
      </c>
      <c r="BN490" s="75">
        <f t="shared" si="70"/>
        <v>78.819999999999993</v>
      </c>
      <c r="BO490" s="75">
        <f t="shared" si="71"/>
        <v>0.12747668997668998</v>
      </c>
      <c r="BP490" s="75">
        <f t="shared" si="72"/>
        <v>0.13461538461538464</v>
      </c>
    </row>
    <row r="491" spans="1:68" ht="27" hidden="1" customHeight="1" x14ac:dyDescent="0.25">
      <c r="A491" s="60" t="s">
        <v>783</v>
      </c>
      <c r="B491" s="60" t="s">
        <v>784</v>
      </c>
      <c r="C491" s="34">
        <v>4301031419</v>
      </c>
      <c r="D491" s="600">
        <v>4680115882072</v>
      </c>
      <c r="E491" s="600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140</v>
      </c>
      <c r="L491" s="35" t="s">
        <v>46</v>
      </c>
      <c r="M491" s="36" t="s">
        <v>132</v>
      </c>
      <c r="N491" s="36"/>
      <c r="O491" s="35">
        <v>70</v>
      </c>
      <c r="P491" s="6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2"/>
      <c r="R491" s="602"/>
      <c r="S491" s="602"/>
      <c r="T491" s="603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776</v>
      </c>
      <c r="AG491" s="75"/>
      <c r="AJ491" s="79" t="s">
        <v>46</v>
      </c>
      <c r="AK491" s="79">
        <v>0</v>
      </c>
      <c r="BB491" s="572" t="s">
        <v>67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hidden="1" customHeight="1" x14ac:dyDescent="0.25">
      <c r="A492" s="60" t="s">
        <v>785</v>
      </c>
      <c r="B492" s="60" t="s">
        <v>786</v>
      </c>
      <c r="C492" s="34">
        <v>4301031352</v>
      </c>
      <c r="D492" s="600">
        <v>4680115882102</v>
      </c>
      <c r="E492" s="600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140</v>
      </c>
      <c r="L492" s="35" t="s">
        <v>46</v>
      </c>
      <c r="M492" s="36" t="s">
        <v>81</v>
      </c>
      <c r="N492" s="36"/>
      <c r="O492" s="35">
        <v>70</v>
      </c>
      <c r="P492" s="6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2"/>
      <c r="R492" s="602"/>
      <c r="S492" s="602"/>
      <c r="T492" s="603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hidden="1" customHeight="1" x14ac:dyDescent="0.25">
      <c r="A493" s="60" t="s">
        <v>785</v>
      </c>
      <c r="B493" s="60" t="s">
        <v>787</v>
      </c>
      <c r="C493" s="34">
        <v>4301031418</v>
      </c>
      <c r="D493" s="600">
        <v>4680115882102</v>
      </c>
      <c r="E493" s="600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6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2"/>
      <c r="R493" s="602"/>
      <c r="S493" s="602"/>
      <c r="T493" s="603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779</v>
      </c>
      <c r="AG493" s="75"/>
      <c r="AJ493" s="79" t="s">
        <v>46</v>
      </c>
      <c r="AK493" s="79">
        <v>0</v>
      </c>
      <c r="BB493" s="576" t="s">
        <v>67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hidden="1" customHeight="1" x14ac:dyDescent="0.25">
      <c r="A494" s="60" t="s">
        <v>788</v>
      </c>
      <c r="B494" s="60" t="s">
        <v>789</v>
      </c>
      <c r="C494" s="34">
        <v>4301031417</v>
      </c>
      <c r="D494" s="600">
        <v>4680115882096</v>
      </c>
      <c r="E494" s="600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6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2"/>
      <c r="R494" s="602"/>
      <c r="S494" s="602"/>
      <c r="T494" s="603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607"/>
      <c r="B495" s="607"/>
      <c r="C495" s="607"/>
      <c r="D495" s="607"/>
      <c r="E495" s="607"/>
      <c r="F495" s="607"/>
      <c r="G495" s="607"/>
      <c r="H495" s="607"/>
      <c r="I495" s="607"/>
      <c r="J495" s="607"/>
      <c r="K495" s="607"/>
      <c r="L495" s="607"/>
      <c r="M495" s="607"/>
      <c r="N495" s="607"/>
      <c r="O495" s="608"/>
      <c r="P495" s="604" t="s">
        <v>40</v>
      </c>
      <c r="Q495" s="605"/>
      <c r="R495" s="605"/>
      <c r="S495" s="605"/>
      <c r="T495" s="605"/>
      <c r="U495" s="605"/>
      <c r="V495" s="606"/>
      <c r="W495" s="40" t="s">
        <v>39</v>
      </c>
      <c r="X495" s="41">
        <f>IFERROR(X488/H488,"0")+IFERROR(X489/H489,"0")+IFERROR(X490/H490,"0")+IFERROR(X491/H491,"0")+IFERROR(X492/H492,"0")+IFERROR(X493/H493,"0")+IFERROR(X494/H494,"0")</f>
        <v>18.939393939393938</v>
      </c>
      <c r="Y495" s="41">
        <f>IFERROR(Y488/H488,"0")+IFERROR(Y489/H489,"0")+IFERROR(Y490/H490,"0")+IFERROR(Y491/H491,"0")+IFERROR(Y492/H492,"0")+IFERROR(Y493/H493,"0")+IFERROR(Y494/H494,"0")</f>
        <v>20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0.23920000000000002</v>
      </c>
      <c r="AA495" s="64"/>
      <c r="AB495" s="64"/>
      <c r="AC495" s="64"/>
    </row>
    <row r="496" spans="1:68" x14ac:dyDescent="0.2">
      <c r="A496" s="607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08"/>
      <c r="P496" s="604" t="s">
        <v>40</v>
      </c>
      <c r="Q496" s="605"/>
      <c r="R496" s="605"/>
      <c r="S496" s="605"/>
      <c r="T496" s="605"/>
      <c r="U496" s="605"/>
      <c r="V496" s="606"/>
      <c r="W496" s="40" t="s">
        <v>0</v>
      </c>
      <c r="X496" s="41">
        <f>IFERROR(SUM(X488:X494),"0")</f>
        <v>100</v>
      </c>
      <c r="Y496" s="41">
        <f>IFERROR(SUM(Y488:Y494),"0")</f>
        <v>105.6</v>
      </c>
      <c r="Z496" s="40"/>
      <c r="AA496" s="64"/>
      <c r="AB496" s="64"/>
      <c r="AC496" s="64"/>
    </row>
    <row r="497" spans="1:68" ht="27.75" hidden="1" customHeight="1" x14ac:dyDescent="0.2">
      <c r="A497" s="620" t="s">
        <v>790</v>
      </c>
      <c r="B497" s="620"/>
      <c r="C497" s="620"/>
      <c r="D497" s="620"/>
      <c r="E497" s="620"/>
      <c r="F497" s="620"/>
      <c r="G497" s="620"/>
      <c r="H497" s="620"/>
      <c r="I497" s="620"/>
      <c r="J497" s="620"/>
      <c r="K497" s="620"/>
      <c r="L497" s="620"/>
      <c r="M497" s="620"/>
      <c r="N497" s="620"/>
      <c r="O497" s="620"/>
      <c r="P497" s="620"/>
      <c r="Q497" s="620"/>
      <c r="R497" s="620"/>
      <c r="S497" s="620"/>
      <c r="T497" s="620"/>
      <c r="U497" s="620"/>
      <c r="V497" s="620"/>
      <c r="W497" s="620"/>
      <c r="X497" s="620"/>
      <c r="Y497" s="620"/>
      <c r="Z497" s="620"/>
      <c r="AA497" s="52"/>
      <c r="AB497" s="52"/>
      <c r="AC497" s="52"/>
    </row>
    <row r="498" spans="1:68" ht="16.5" hidden="1" customHeight="1" x14ac:dyDescent="0.25">
      <c r="A498" s="615" t="s">
        <v>790</v>
      </c>
      <c r="B498" s="615"/>
      <c r="C498" s="615"/>
      <c r="D498" s="615"/>
      <c r="E498" s="615"/>
      <c r="F498" s="615"/>
      <c r="G498" s="615"/>
      <c r="H498" s="615"/>
      <c r="I498" s="615"/>
      <c r="J498" s="615"/>
      <c r="K498" s="615"/>
      <c r="L498" s="615"/>
      <c r="M498" s="615"/>
      <c r="N498" s="615"/>
      <c r="O498" s="615"/>
      <c r="P498" s="615"/>
      <c r="Q498" s="615"/>
      <c r="R498" s="615"/>
      <c r="S498" s="615"/>
      <c r="T498" s="615"/>
      <c r="U498" s="615"/>
      <c r="V498" s="615"/>
      <c r="W498" s="615"/>
      <c r="X498" s="615"/>
      <c r="Y498" s="615"/>
      <c r="Z498" s="615"/>
      <c r="AA498" s="62"/>
      <c r="AB498" s="62"/>
      <c r="AC498" s="62"/>
    </row>
    <row r="499" spans="1:68" ht="14.25" hidden="1" customHeight="1" x14ac:dyDescent="0.25">
      <c r="A499" s="599" t="s">
        <v>128</v>
      </c>
      <c r="B499" s="599"/>
      <c r="C499" s="599"/>
      <c r="D499" s="599"/>
      <c r="E499" s="599"/>
      <c r="F499" s="599"/>
      <c r="G499" s="599"/>
      <c r="H499" s="599"/>
      <c r="I499" s="599"/>
      <c r="J499" s="599"/>
      <c r="K499" s="599"/>
      <c r="L499" s="599"/>
      <c r="M499" s="599"/>
      <c r="N499" s="599"/>
      <c r="O499" s="599"/>
      <c r="P499" s="599"/>
      <c r="Q499" s="599"/>
      <c r="R499" s="599"/>
      <c r="S499" s="599"/>
      <c r="T499" s="599"/>
      <c r="U499" s="599"/>
      <c r="V499" s="599"/>
      <c r="W499" s="599"/>
      <c r="X499" s="599"/>
      <c r="Y499" s="599"/>
      <c r="Z499" s="599"/>
      <c r="AA499" s="63"/>
      <c r="AB499" s="63"/>
      <c r="AC499" s="63"/>
    </row>
    <row r="500" spans="1:68" ht="27" hidden="1" customHeight="1" x14ac:dyDescent="0.25">
      <c r="A500" s="60" t="s">
        <v>791</v>
      </c>
      <c r="B500" s="60" t="s">
        <v>792</v>
      </c>
      <c r="C500" s="34">
        <v>4301011584</v>
      </c>
      <c r="D500" s="600">
        <v>4640242180564</v>
      </c>
      <c r="E500" s="600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133</v>
      </c>
      <c r="L500" s="35" t="s">
        <v>46</v>
      </c>
      <c r="M500" s="36" t="s">
        <v>132</v>
      </c>
      <c r="N500" s="36"/>
      <c r="O500" s="35">
        <v>50</v>
      </c>
      <c r="P500" s="6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2"/>
      <c r="R500" s="602"/>
      <c r="S500" s="602"/>
      <c r="T500" s="603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793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07"/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8"/>
      <c r="P501" s="604" t="s">
        <v>40</v>
      </c>
      <c r="Q501" s="605"/>
      <c r="R501" s="605"/>
      <c r="S501" s="605"/>
      <c r="T501" s="605"/>
      <c r="U501" s="605"/>
      <c r="V501" s="606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07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8"/>
      <c r="P502" s="604" t="s">
        <v>40</v>
      </c>
      <c r="Q502" s="605"/>
      <c r="R502" s="605"/>
      <c r="S502" s="605"/>
      <c r="T502" s="605"/>
      <c r="U502" s="605"/>
      <c r="V502" s="606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599" t="s">
        <v>163</v>
      </c>
      <c r="B503" s="599"/>
      <c r="C503" s="599"/>
      <c r="D503" s="599"/>
      <c r="E503" s="599"/>
      <c r="F503" s="599"/>
      <c r="G503" s="599"/>
      <c r="H503" s="599"/>
      <c r="I503" s="599"/>
      <c r="J503" s="599"/>
      <c r="K503" s="599"/>
      <c r="L503" s="599"/>
      <c r="M503" s="599"/>
      <c r="N503" s="599"/>
      <c r="O503" s="599"/>
      <c r="P503" s="599"/>
      <c r="Q503" s="599"/>
      <c r="R503" s="599"/>
      <c r="S503" s="599"/>
      <c r="T503" s="599"/>
      <c r="U503" s="599"/>
      <c r="V503" s="599"/>
      <c r="W503" s="599"/>
      <c r="X503" s="599"/>
      <c r="Y503" s="599"/>
      <c r="Z503" s="599"/>
      <c r="AA503" s="63"/>
      <c r="AB503" s="63"/>
      <c r="AC503" s="63"/>
    </row>
    <row r="504" spans="1:68" ht="27" hidden="1" customHeight="1" x14ac:dyDescent="0.25">
      <c r="A504" s="60" t="s">
        <v>794</v>
      </c>
      <c r="B504" s="60" t="s">
        <v>795</v>
      </c>
      <c r="C504" s="34">
        <v>4301020400</v>
      </c>
      <c r="D504" s="600">
        <v>4640242180519</v>
      </c>
      <c r="E504" s="600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133</v>
      </c>
      <c r="L504" s="35" t="s">
        <v>46</v>
      </c>
      <c r="M504" s="36" t="s">
        <v>132</v>
      </c>
      <c r="N504" s="36"/>
      <c r="O504" s="35">
        <v>50</v>
      </c>
      <c r="P504" s="61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2"/>
      <c r="R504" s="602"/>
      <c r="S504" s="602"/>
      <c r="T504" s="603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796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8"/>
      <c r="P505" s="604" t="s">
        <v>40</v>
      </c>
      <c r="Q505" s="605"/>
      <c r="R505" s="605"/>
      <c r="S505" s="605"/>
      <c r="T505" s="605"/>
      <c r="U505" s="605"/>
      <c r="V505" s="606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07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8"/>
      <c r="P506" s="604" t="s">
        <v>40</v>
      </c>
      <c r="Q506" s="605"/>
      <c r="R506" s="605"/>
      <c r="S506" s="605"/>
      <c r="T506" s="605"/>
      <c r="U506" s="605"/>
      <c r="V506" s="606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599" t="s">
        <v>77</v>
      </c>
      <c r="B507" s="599"/>
      <c r="C507" s="599"/>
      <c r="D507" s="599"/>
      <c r="E507" s="599"/>
      <c r="F507" s="599"/>
      <c r="G507" s="599"/>
      <c r="H507" s="599"/>
      <c r="I507" s="599"/>
      <c r="J507" s="599"/>
      <c r="K507" s="599"/>
      <c r="L507" s="599"/>
      <c r="M507" s="599"/>
      <c r="N507" s="599"/>
      <c r="O507" s="599"/>
      <c r="P507" s="599"/>
      <c r="Q507" s="599"/>
      <c r="R507" s="599"/>
      <c r="S507" s="599"/>
      <c r="T507" s="599"/>
      <c r="U507" s="599"/>
      <c r="V507" s="599"/>
      <c r="W507" s="599"/>
      <c r="X507" s="599"/>
      <c r="Y507" s="599"/>
      <c r="Z507" s="599"/>
      <c r="AA507" s="63"/>
      <c r="AB507" s="63"/>
      <c r="AC507" s="63"/>
    </row>
    <row r="508" spans="1:68" ht="27" hidden="1" customHeight="1" x14ac:dyDescent="0.25">
      <c r="A508" s="60" t="s">
        <v>797</v>
      </c>
      <c r="B508" s="60" t="s">
        <v>798</v>
      </c>
      <c r="C508" s="34">
        <v>4301031467</v>
      </c>
      <c r="D508" s="600">
        <v>4640242180595</v>
      </c>
      <c r="E508" s="600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140</v>
      </c>
      <c r="L508" s="35" t="s">
        <v>46</v>
      </c>
      <c r="M508" s="36" t="s">
        <v>81</v>
      </c>
      <c r="N508" s="36"/>
      <c r="O508" s="35">
        <v>40</v>
      </c>
      <c r="P508" s="61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2"/>
      <c r="R508" s="602"/>
      <c r="S508" s="602"/>
      <c r="T508" s="603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83" t="s">
        <v>799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hidden="1" customHeight="1" x14ac:dyDescent="0.25">
      <c r="A509" s="60" t="s">
        <v>797</v>
      </c>
      <c r="B509" s="60" t="s">
        <v>800</v>
      </c>
      <c r="C509" s="34">
        <v>4301031500</v>
      </c>
      <c r="D509" s="600">
        <v>4640242180595</v>
      </c>
      <c r="E509" s="600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61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2"/>
      <c r="R509" s="602"/>
      <c r="S509" s="602"/>
      <c r="T509" s="603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801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607"/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8"/>
      <c r="P510" s="604" t="s">
        <v>40</v>
      </c>
      <c r="Q510" s="605"/>
      <c r="R510" s="605"/>
      <c r="S510" s="605"/>
      <c r="T510" s="605"/>
      <c r="U510" s="605"/>
      <c r="V510" s="606"/>
      <c r="W510" s="40" t="s">
        <v>39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hidden="1" x14ac:dyDescent="0.2">
      <c r="A511" s="607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8"/>
      <c r="P511" s="604" t="s">
        <v>40</v>
      </c>
      <c r="Q511" s="605"/>
      <c r="R511" s="605"/>
      <c r="S511" s="605"/>
      <c r="T511" s="605"/>
      <c r="U511" s="605"/>
      <c r="V511" s="606"/>
      <c r="W511" s="40" t="s">
        <v>0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599" t="s">
        <v>86</v>
      </c>
      <c r="B512" s="599"/>
      <c r="C512" s="599"/>
      <c r="D512" s="599"/>
      <c r="E512" s="599"/>
      <c r="F512" s="599"/>
      <c r="G512" s="599"/>
      <c r="H512" s="599"/>
      <c r="I512" s="599"/>
      <c r="J512" s="599"/>
      <c r="K512" s="599"/>
      <c r="L512" s="599"/>
      <c r="M512" s="599"/>
      <c r="N512" s="599"/>
      <c r="O512" s="599"/>
      <c r="P512" s="599"/>
      <c r="Q512" s="599"/>
      <c r="R512" s="599"/>
      <c r="S512" s="599"/>
      <c r="T512" s="599"/>
      <c r="U512" s="599"/>
      <c r="V512" s="599"/>
      <c r="W512" s="599"/>
      <c r="X512" s="599"/>
      <c r="Y512" s="599"/>
      <c r="Z512" s="599"/>
      <c r="AA512" s="63"/>
      <c r="AB512" s="63"/>
      <c r="AC512" s="63"/>
    </row>
    <row r="513" spans="1:68" ht="27" hidden="1" customHeight="1" x14ac:dyDescent="0.25">
      <c r="A513" s="60" t="s">
        <v>802</v>
      </c>
      <c r="B513" s="60" t="s">
        <v>803</v>
      </c>
      <c r="C513" s="34">
        <v>4301052046</v>
      </c>
      <c r="D513" s="600">
        <v>4640242180533</v>
      </c>
      <c r="E513" s="600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133</v>
      </c>
      <c r="L513" s="35" t="s">
        <v>46</v>
      </c>
      <c r="M513" s="36" t="s">
        <v>97</v>
      </c>
      <c r="N513" s="36"/>
      <c r="O513" s="35">
        <v>45</v>
      </c>
      <c r="P513" s="6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2"/>
      <c r="R513" s="602"/>
      <c r="S513" s="602"/>
      <c r="T513" s="603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IFERROR(IF(Y513=0,"",ROUNDUP(Y513/H513,0)*0.01898),"")</f>
        <v/>
      </c>
      <c r="AA513" s="65" t="s">
        <v>46</v>
      </c>
      <c r="AB513" s="66" t="s">
        <v>46</v>
      </c>
      <c r="AC513" s="587" t="s">
        <v>804</v>
      </c>
      <c r="AG513" s="75"/>
      <c r="AJ513" s="79" t="s">
        <v>46</v>
      </c>
      <c r="AK513" s="79">
        <v>0</v>
      </c>
      <c r="BB513" s="588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8"/>
      <c r="P514" s="604" t="s">
        <v>40</v>
      </c>
      <c r="Q514" s="605"/>
      <c r="R514" s="605"/>
      <c r="S514" s="605"/>
      <c r="T514" s="605"/>
      <c r="U514" s="605"/>
      <c r="V514" s="606"/>
      <c r="W514" s="40" t="s">
        <v>39</v>
      </c>
      <c r="X514" s="41">
        <f>IFERROR(X513/H513,"0")</f>
        <v>0</v>
      </c>
      <c r="Y514" s="41">
        <f>IFERROR(Y513/H513,"0")</f>
        <v>0</v>
      </c>
      <c r="Z514" s="41">
        <f>IFERROR(IF(Z513="",0,Z513),"0")</f>
        <v>0</v>
      </c>
      <c r="AA514" s="64"/>
      <c r="AB514" s="64"/>
      <c r="AC514" s="64"/>
    </row>
    <row r="515" spans="1:68" hidden="1" x14ac:dyDescent="0.2">
      <c r="A515" s="607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8"/>
      <c r="P515" s="604" t="s">
        <v>40</v>
      </c>
      <c r="Q515" s="605"/>
      <c r="R515" s="605"/>
      <c r="S515" s="605"/>
      <c r="T515" s="605"/>
      <c r="U515" s="605"/>
      <c r="V515" s="606"/>
      <c r="W515" s="40" t="s">
        <v>0</v>
      </c>
      <c r="X515" s="41">
        <f>IFERROR(SUM(X513:X513),"0")</f>
        <v>0</v>
      </c>
      <c r="Y515" s="41">
        <f>IFERROR(SUM(Y513:Y513),"0")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599" t="s">
        <v>180</v>
      </c>
      <c r="B516" s="599"/>
      <c r="C516" s="599"/>
      <c r="D516" s="599"/>
      <c r="E516" s="599"/>
      <c r="F516" s="599"/>
      <c r="G516" s="599"/>
      <c r="H516" s="599"/>
      <c r="I516" s="599"/>
      <c r="J516" s="599"/>
      <c r="K516" s="599"/>
      <c r="L516" s="599"/>
      <c r="M516" s="599"/>
      <c r="N516" s="599"/>
      <c r="O516" s="599"/>
      <c r="P516" s="599"/>
      <c r="Q516" s="599"/>
      <c r="R516" s="599"/>
      <c r="S516" s="599"/>
      <c r="T516" s="599"/>
      <c r="U516" s="599"/>
      <c r="V516" s="599"/>
      <c r="W516" s="599"/>
      <c r="X516" s="599"/>
      <c r="Y516" s="599"/>
      <c r="Z516" s="599"/>
      <c r="AA516" s="63"/>
      <c r="AB516" s="63"/>
      <c r="AC516" s="63"/>
    </row>
    <row r="517" spans="1:68" ht="27" hidden="1" customHeight="1" x14ac:dyDescent="0.25">
      <c r="A517" s="60" t="s">
        <v>805</v>
      </c>
      <c r="B517" s="60" t="s">
        <v>806</v>
      </c>
      <c r="C517" s="34">
        <v>4301060535</v>
      </c>
      <c r="D517" s="600">
        <v>4640242180120</v>
      </c>
      <c r="E517" s="600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133</v>
      </c>
      <c r="L517" s="35" t="s">
        <v>46</v>
      </c>
      <c r="M517" s="36" t="s">
        <v>90</v>
      </c>
      <c r="N517" s="36"/>
      <c r="O517" s="35">
        <v>40</v>
      </c>
      <c r="P517" s="61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2"/>
      <c r="R517" s="602"/>
      <c r="S517" s="602"/>
      <c r="T517" s="60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807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hidden="1" customHeight="1" x14ac:dyDescent="0.25">
      <c r="A518" s="60" t="s">
        <v>808</v>
      </c>
      <c r="B518" s="60" t="s">
        <v>809</v>
      </c>
      <c r="C518" s="34">
        <v>4301060536</v>
      </c>
      <c r="D518" s="600">
        <v>4640242180137</v>
      </c>
      <c r="E518" s="600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6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2"/>
      <c r="R518" s="602"/>
      <c r="S518" s="602"/>
      <c r="T518" s="60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07"/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8"/>
      <c r="P519" s="604" t="s">
        <v>40</v>
      </c>
      <c r="Q519" s="605"/>
      <c r="R519" s="605"/>
      <c r="S519" s="605"/>
      <c r="T519" s="605"/>
      <c r="U519" s="605"/>
      <c r="V519" s="606"/>
      <c r="W519" s="40" t="s">
        <v>39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hidden="1" x14ac:dyDescent="0.2">
      <c r="A520" s="607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8"/>
      <c r="P520" s="604" t="s">
        <v>40</v>
      </c>
      <c r="Q520" s="605"/>
      <c r="R520" s="605"/>
      <c r="S520" s="605"/>
      <c r="T520" s="605"/>
      <c r="U520" s="605"/>
      <c r="V520" s="606"/>
      <c r="W520" s="40" t="s">
        <v>0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hidden="1" customHeight="1" x14ac:dyDescent="0.25">
      <c r="A521" s="615" t="s">
        <v>811</v>
      </c>
      <c r="B521" s="615"/>
      <c r="C521" s="615"/>
      <c r="D521" s="615"/>
      <c r="E521" s="615"/>
      <c r="F521" s="615"/>
      <c r="G521" s="615"/>
      <c r="H521" s="615"/>
      <c r="I521" s="615"/>
      <c r="J521" s="615"/>
      <c r="K521" s="615"/>
      <c r="L521" s="615"/>
      <c r="M521" s="615"/>
      <c r="N521" s="615"/>
      <c r="O521" s="615"/>
      <c r="P521" s="615"/>
      <c r="Q521" s="615"/>
      <c r="R521" s="615"/>
      <c r="S521" s="615"/>
      <c r="T521" s="615"/>
      <c r="U521" s="615"/>
      <c r="V521" s="615"/>
      <c r="W521" s="615"/>
      <c r="X521" s="615"/>
      <c r="Y521" s="615"/>
      <c r="Z521" s="615"/>
      <c r="AA521" s="62"/>
      <c r="AB521" s="62"/>
      <c r="AC521" s="62"/>
    </row>
    <row r="522" spans="1:68" ht="14.25" hidden="1" customHeight="1" x14ac:dyDescent="0.25">
      <c r="A522" s="599" t="s">
        <v>163</v>
      </c>
      <c r="B522" s="599"/>
      <c r="C522" s="599"/>
      <c r="D522" s="599"/>
      <c r="E522" s="599"/>
      <c r="F522" s="599"/>
      <c r="G522" s="599"/>
      <c r="H522" s="599"/>
      <c r="I522" s="599"/>
      <c r="J522" s="599"/>
      <c r="K522" s="599"/>
      <c r="L522" s="599"/>
      <c r="M522" s="599"/>
      <c r="N522" s="599"/>
      <c r="O522" s="599"/>
      <c r="P522" s="599"/>
      <c r="Q522" s="599"/>
      <c r="R522" s="599"/>
      <c r="S522" s="599"/>
      <c r="T522" s="599"/>
      <c r="U522" s="599"/>
      <c r="V522" s="599"/>
      <c r="W522" s="599"/>
      <c r="X522" s="599"/>
      <c r="Y522" s="599"/>
      <c r="Z522" s="599"/>
      <c r="AA522" s="63"/>
      <c r="AB522" s="63"/>
      <c r="AC522" s="63"/>
    </row>
    <row r="523" spans="1:68" ht="27" hidden="1" customHeight="1" x14ac:dyDescent="0.25">
      <c r="A523" s="60" t="s">
        <v>812</v>
      </c>
      <c r="B523" s="60" t="s">
        <v>813</v>
      </c>
      <c r="C523" s="34">
        <v>4301020428</v>
      </c>
      <c r="D523" s="600">
        <v>4640242180090</v>
      </c>
      <c r="E523" s="600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133</v>
      </c>
      <c r="L523" s="35" t="s">
        <v>46</v>
      </c>
      <c r="M523" s="36" t="s">
        <v>132</v>
      </c>
      <c r="N523" s="36"/>
      <c r="O523" s="35">
        <v>50</v>
      </c>
      <c r="P523" s="6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2"/>
      <c r="R523" s="602"/>
      <c r="S523" s="602"/>
      <c r="T523" s="603"/>
      <c r="U523" s="37" t="s">
        <v>46</v>
      </c>
      <c r="V523" s="37" t="s">
        <v>46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 t="s">
        <v>46</v>
      </c>
      <c r="AB523" s="66" t="s">
        <v>46</v>
      </c>
      <c r="AC523" s="593" t="s">
        <v>814</v>
      </c>
      <c r="AG523" s="75"/>
      <c r="AJ523" s="79" t="s">
        <v>46</v>
      </c>
      <c r="AK523" s="79">
        <v>0</v>
      </c>
      <c r="BB523" s="594" t="s">
        <v>67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607"/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8"/>
      <c r="P524" s="604" t="s">
        <v>40</v>
      </c>
      <c r="Q524" s="605"/>
      <c r="R524" s="605"/>
      <c r="S524" s="605"/>
      <c r="T524" s="605"/>
      <c r="U524" s="605"/>
      <c r="V524" s="606"/>
      <c r="W524" s="40" t="s">
        <v>39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hidden="1" x14ac:dyDescent="0.2">
      <c r="A525" s="607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8"/>
      <c r="P525" s="604" t="s">
        <v>40</v>
      </c>
      <c r="Q525" s="605"/>
      <c r="R525" s="605"/>
      <c r="S525" s="605"/>
      <c r="T525" s="605"/>
      <c r="U525" s="605"/>
      <c r="V525" s="606"/>
      <c r="W525" s="40" t="s">
        <v>0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12"/>
      <c r="P526" s="609" t="s">
        <v>33</v>
      </c>
      <c r="Q526" s="610"/>
      <c r="R526" s="610"/>
      <c r="S526" s="610"/>
      <c r="T526" s="610"/>
      <c r="U526" s="610"/>
      <c r="V526" s="611"/>
      <c r="W526" s="40" t="s">
        <v>0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628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656.7</v>
      </c>
      <c r="Z526" s="40"/>
      <c r="AA526" s="64"/>
      <c r="AB526" s="64"/>
      <c r="AC526" s="64"/>
    </row>
    <row r="527" spans="1:68" x14ac:dyDescent="0.2">
      <c r="A527" s="60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12"/>
      <c r="P527" s="609" t="s">
        <v>34</v>
      </c>
      <c r="Q527" s="610"/>
      <c r="R527" s="610"/>
      <c r="S527" s="610"/>
      <c r="T527" s="610"/>
      <c r="U527" s="610"/>
      <c r="V527" s="611"/>
      <c r="W527" s="40" t="s">
        <v>0</v>
      </c>
      <c r="X527" s="41">
        <f>IFERROR(SUM(BM22:BM523),"0")</f>
        <v>661.87658810325468</v>
      </c>
      <c r="Y527" s="41">
        <f>IFERROR(SUM(BN22:BN523),"0")</f>
        <v>692.11199999999985</v>
      </c>
      <c r="Z527" s="40"/>
      <c r="AA527" s="64"/>
      <c r="AB527" s="64"/>
      <c r="AC527" s="64"/>
    </row>
    <row r="528" spans="1:68" x14ac:dyDescent="0.2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12"/>
      <c r="P528" s="609" t="s">
        <v>35</v>
      </c>
      <c r="Q528" s="610"/>
      <c r="R528" s="610"/>
      <c r="S528" s="610"/>
      <c r="T528" s="610"/>
      <c r="U528" s="610"/>
      <c r="V528" s="611"/>
      <c r="W528" s="40" t="s">
        <v>20</v>
      </c>
      <c r="X528" s="42">
        <f>ROUNDUP(SUM(BO22:BO523),0)</f>
        <v>2</v>
      </c>
      <c r="Y528" s="42">
        <f>ROUNDUP(SUM(BP22:BP523),0)</f>
        <v>2</v>
      </c>
      <c r="Z528" s="40"/>
      <c r="AA528" s="64"/>
      <c r="AB528" s="64"/>
      <c r="AC528" s="64"/>
    </row>
    <row r="529" spans="1:32" x14ac:dyDescent="0.2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612"/>
      <c r="P529" s="609" t="s">
        <v>36</v>
      </c>
      <c r="Q529" s="610"/>
      <c r="R529" s="610"/>
      <c r="S529" s="610"/>
      <c r="T529" s="610"/>
      <c r="U529" s="610"/>
      <c r="V529" s="611"/>
      <c r="W529" s="40" t="s">
        <v>0</v>
      </c>
      <c r="X529" s="41">
        <f>GrossWeightTotal+PalletQtyTotal*25</f>
        <v>711.87658810325468</v>
      </c>
      <c r="Y529" s="41">
        <f>GrossWeightTotalR+PalletQtyTotalR*25</f>
        <v>742.11199999999985</v>
      </c>
      <c r="Z529" s="40"/>
      <c r="AA529" s="64"/>
      <c r="AB529" s="64"/>
      <c r="AC529" s="64"/>
    </row>
    <row r="530" spans="1:32" x14ac:dyDescent="0.2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612"/>
      <c r="P530" s="609" t="s">
        <v>37</v>
      </c>
      <c r="Q530" s="610"/>
      <c r="R530" s="610"/>
      <c r="S530" s="610"/>
      <c r="T530" s="610"/>
      <c r="U530" s="610"/>
      <c r="V530" s="611"/>
      <c r="W530" s="40" t="s">
        <v>20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93.014590347923672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97</v>
      </c>
      <c r="Z530" s="40"/>
      <c r="AA530" s="64"/>
      <c r="AB530" s="64"/>
      <c r="AC530" s="64"/>
    </row>
    <row r="531" spans="1:32" ht="14.25" hidden="1" x14ac:dyDescent="0.2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612"/>
      <c r="P531" s="609" t="s">
        <v>38</v>
      </c>
      <c r="Q531" s="610"/>
      <c r="R531" s="610"/>
      <c r="S531" s="610"/>
      <c r="T531" s="610"/>
      <c r="U531" s="610"/>
      <c r="V531" s="611"/>
      <c r="W531" s="43" t="s">
        <v>52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1.3070300000000001</v>
      </c>
      <c r="AA531" s="64"/>
      <c r="AB531" s="64"/>
      <c r="AC531" s="64"/>
    </row>
    <row r="532" spans="1:32" ht="13.5" thickBot="1" x14ac:dyDescent="0.25"/>
    <row r="533" spans="1:32" ht="27" thickTop="1" thickBot="1" x14ac:dyDescent="0.25">
      <c r="A533" s="44" t="s">
        <v>9</v>
      </c>
      <c r="B533" s="80" t="s">
        <v>76</v>
      </c>
      <c r="C533" s="80" t="s">
        <v>45</v>
      </c>
      <c r="D533" s="595" t="s">
        <v>126</v>
      </c>
      <c r="E533" s="595" t="s">
        <v>126</v>
      </c>
      <c r="F533" s="595" t="s">
        <v>126</v>
      </c>
      <c r="G533" s="595" t="s">
        <v>126</v>
      </c>
      <c r="H533" s="595" t="s">
        <v>126</v>
      </c>
      <c r="I533" s="595" t="s">
        <v>126</v>
      </c>
      <c r="J533" s="595" t="s">
        <v>126</v>
      </c>
      <c r="K533" s="595" t="s">
        <v>333</v>
      </c>
      <c r="L533" s="595" t="s">
        <v>333</v>
      </c>
      <c r="M533" s="595" t="s">
        <v>333</v>
      </c>
      <c r="N533" s="596"/>
      <c r="O533" s="595" t="s">
        <v>333</v>
      </c>
      <c r="P533" s="595" t="s">
        <v>333</v>
      </c>
      <c r="Q533" s="595" t="s">
        <v>333</v>
      </c>
      <c r="R533" s="595" t="s">
        <v>333</v>
      </c>
      <c r="S533" s="595" t="s">
        <v>333</v>
      </c>
      <c r="T533" s="595" t="s">
        <v>333</v>
      </c>
      <c r="U533" s="595" t="s">
        <v>333</v>
      </c>
      <c r="V533" s="595" t="s">
        <v>647</v>
      </c>
      <c r="W533" s="595" t="s">
        <v>647</v>
      </c>
      <c r="X533" s="595" t="s">
        <v>707</v>
      </c>
      <c r="Y533" s="595" t="s">
        <v>707</v>
      </c>
      <c r="Z533" s="80" t="s">
        <v>743</v>
      </c>
      <c r="AA533" s="595" t="s">
        <v>790</v>
      </c>
      <c r="AB533" s="595" t="s">
        <v>790</v>
      </c>
      <c r="AC533" s="9"/>
      <c r="AF533" s="1"/>
    </row>
    <row r="534" spans="1:32" ht="14.25" customHeight="1" thickTop="1" x14ac:dyDescent="0.2">
      <c r="A534" s="597" t="s">
        <v>10</v>
      </c>
      <c r="B534" s="595" t="s">
        <v>76</v>
      </c>
      <c r="C534" s="595" t="s">
        <v>113</v>
      </c>
      <c r="D534" s="595" t="s">
        <v>127</v>
      </c>
      <c r="E534" s="595" t="s">
        <v>143</v>
      </c>
      <c r="F534" s="595" t="s">
        <v>187</v>
      </c>
      <c r="G534" s="595" t="s">
        <v>208</v>
      </c>
      <c r="H534" s="595" t="s">
        <v>251</v>
      </c>
      <c r="I534" s="595" t="s">
        <v>263</v>
      </c>
      <c r="J534" s="595" t="s">
        <v>126</v>
      </c>
      <c r="K534" s="595" t="s">
        <v>334</v>
      </c>
      <c r="L534" s="595" t="s">
        <v>346</v>
      </c>
      <c r="M534" s="595" t="s">
        <v>405</v>
      </c>
      <c r="N534" s="1"/>
      <c r="O534" s="595" t="s">
        <v>473</v>
      </c>
      <c r="P534" s="595" t="s">
        <v>509</v>
      </c>
      <c r="Q534" s="595" t="s">
        <v>525</v>
      </c>
      <c r="R534" s="595" t="s">
        <v>534</v>
      </c>
      <c r="S534" s="595" t="s">
        <v>555</v>
      </c>
      <c r="T534" s="595" t="s">
        <v>565</v>
      </c>
      <c r="U534" s="595" t="s">
        <v>637</v>
      </c>
      <c r="V534" s="595" t="s">
        <v>648</v>
      </c>
      <c r="W534" s="595" t="s">
        <v>691</v>
      </c>
      <c r="X534" s="595" t="s">
        <v>708</v>
      </c>
      <c r="Y534" s="595" t="s">
        <v>731</v>
      </c>
      <c r="Z534" s="595" t="s">
        <v>743</v>
      </c>
      <c r="AA534" s="595" t="s">
        <v>790</v>
      </c>
      <c r="AB534" s="595" t="s">
        <v>811</v>
      </c>
      <c r="AC534" s="9"/>
      <c r="AF534" s="1"/>
    </row>
    <row r="535" spans="1:32" ht="13.5" thickBot="1" x14ac:dyDescent="0.25">
      <c r="A535" s="598"/>
      <c r="B535" s="595"/>
      <c r="C535" s="595"/>
      <c r="D535" s="595"/>
      <c r="E535" s="595"/>
      <c r="F535" s="595"/>
      <c r="G535" s="595"/>
      <c r="H535" s="595"/>
      <c r="I535" s="595"/>
      <c r="J535" s="595"/>
      <c r="K535" s="595"/>
      <c r="L535" s="595"/>
      <c r="M535" s="595"/>
      <c r="N535" s="1"/>
      <c r="O535" s="595"/>
      <c r="P535" s="595"/>
      <c r="Q535" s="595"/>
      <c r="R535" s="595"/>
      <c r="S535" s="595"/>
      <c r="T535" s="595"/>
      <c r="U535" s="595"/>
      <c r="V535" s="595"/>
      <c r="W535" s="595"/>
      <c r="X535" s="595"/>
      <c r="Y535" s="595"/>
      <c r="Z535" s="595"/>
      <c r="AA535" s="595"/>
      <c r="AB535" s="595"/>
      <c r="AC535" s="9"/>
      <c r="AF535" s="1"/>
    </row>
    <row r="536" spans="1:32" ht="18" thickTop="1" thickBot="1" x14ac:dyDescent="0.25">
      <c r="A536" s="44" t="s">
        <v>13</v>
      </c>
      <c r="B536" s="50">
        <f>IFERROR(Y22*1,"0")+IFERROR(Y23*1,"0")+IFERROR(Y27*1,"0")+IFERROR(Y28*1,"0")+IFERROR(Y29*1,"0")+IFERROR(Y30*1,"0")+IFERROR(Y31*1,"0")+IFERROR(Y32*1,"0")+IFERROR(Y36*1,"0")</f>
        <v>0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0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6" s="50">
        <f>IFERROR(Y87*1,"0")+IFERROR(Y88*1,"0")+IFERROR(Y89*1,"0")+IFERROR(Y90*1,"0")+IFERROR(Y94*1,"0")+IFERROR(Y95*1,"0")+IFERROR(Y96*1,"0")+IFERROR(Y97*1,"0")</f>
        <v>43.2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56.699999999999996</v>
      </c>
      <c r="H536" s="50">
        <f>IFERROR(Y133*1,"0")+IFERROR(Y134*1,"0")+IFERROR(Y138*1,"0")+IFERROR(Y139*1,"0")+IFERROR(Y143*1,"0")+IFERROR(Y144*1,"0")</f>
        <v>0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69.599999999999994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0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0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0</v>
      </c>
      <c r="U536" s="50">
        <f>IFERROR(Y391*1,"0")+IFERROR(Y392*1,"0")+IFERROR(Y393*1,"0")</f>
        <v>0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195</v>
      </c>
      <c r="W536" s="50">
        <f>IFERROR(Y426*1,"0")+IFERROR(Y427*1,"0")+IFERROR(Y431*1,"0")+IFERROR(Y435*1,"0")+IFERROR(Y436*1,"0")+IFERROR(Y437*1,"0")</f>
        <v>81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211.2</v>
      </c>
      <c r="AA536" s="50">
        <f>IFERROR(Y500*1,"0")+IFERROR(Y504*1,"0")+IFERROR(Y508*1,"0")+IFERROR(Y509*1,"0")+IFERROR(Y513*1,"0")+IFERROR(Y517*1,"0")+IFERROR(Y518*1,"0")</f>
        <v>0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2,67"/>
        <filter val="120,00"/>
        <filter val="18,94"/>
        <filter val="190,00"/>
        <filter val="2"/>
        <filter val="20,00"/>
        <filter val="3,70"/>
        <filter val="30,00"/>
        <filter val="40,00"/>
        <filter val="48,00"/>
        <filter val="50,00"/>
        <filter val="6,17"/>
        <filter val="628,00"/>
        <filter val="661,88"/>
        <filter val="70,00"/>
        <filter val="711,88"/>
        <filter val="8,89"/>
        <filter val="80,00"/>
        <filter val="9,47"/>
        <filter val="93,01"/>
      </filters>
    </filterColumn>
    <filterColumn colId="29" showButton="0"/>
    <filterColumn colId="30" showButton="0"/>
  </autoFilter>
  <dataConsolidate/>
  <mergeCells count="94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A522:Z522"/>
    <mergeCell ref="D523:E523"/>
    <mergeCell ref="P523:T523"/>
    <mergeCell ref="P524:V524"/>
    <mergeCell ref="A524:O525"/>
    <mergeCell ref="P525:V525"/>
    <mergeCell ref="P526:V526"/>
    <mergeCell ref="A526:O531"/>
    <mergeCell ref="P527:V527"/>
    <mergeCell ref="P528:V528"/>
    <mergeCell ref="P529:V529"/>
    <mergeCell ref="P530:V530"/>
    <mergeCell ref="P531:V531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U534:U535"/>
    <mergeCell ref="V534:V535"/>
    <mergeCell ref="W534:W535"/>
    <mergeCell ref="X534:X535"/>
    <mergeCell ref="Y534:Y535"/>
    <mergeCell ref="Z534:Z535"/>
    <mergeCell ref="AA534:AA535"/>
    <mergeCell ref="AB534:AB535"/>
    <mergeCell ref="D533:J533"/>
    <mergeCell ref="K533:U533"/>
    <mergeCell ref="V533:W533"/>
    <mergeCell ref="X533:Y533"/>
    <mergeCell ref="AA533:AB533"/>
    <mergeCell ref="J534:J535"/>
    <mergeCell ref="K534:K535"/>
    <mergeCell ref="L534:L535"/>
    <mergeCell ref="M534:M535"/>
    <mergeCell ref="O534:O535"/>
    <mergeCell ref="P534:P535"/>
    <mergeCell ref="Q534:Q535"/>
    <mergeCell ref="R534:R535"/>
    <mergeCell ref="S534:S535"/>
    <mergeCell ref="T534:T53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817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818</v>
      </c>
      <c r="C6" s="51" t="s">
        <v>819</v>
      </c>
      <c r="D6" s="51" t="s">
        <v>820</v>
      </c>
      <c r="E6" s="51" t="s">
        <v>46</v>
      </c>
    </row>
    <row r="7" spans="2:8" x14ac:dyDescent="0.2">
      <c r="B7" s="51" t="s">
        <v>821</v>
      </c>
      <c r="C7" s="51" t="s">
        <v>822</v>
      </c>
      <c r="D7" s="51" t="s">
        <v>823</v>
      </c>
      <c r="E7" s="51" t="s">
        <v>46</v>
      </c>
    </row>
    <row r="8" spans="2:8" x14ac:dyDescent="0.2">
      <c r="B8" s="51" t="s">
        <v>824</v>
      </c>
      <c r="C8" s="51" t="s">
        <v>825</v>
      </c>
      <c r="D8" s="51" t="s">
        <v>826</v>
      </c>
      <c r="E8" s="51" t="s">
        <v>46</v>
      </c>
    </row>
    <row r="9" spans="2:8" x14ac:dyDescent="0.2">
      <c r="B9" s="51" t="s">
        <v>827</v>
      </c>
      <c r="C9" s="51" t="s">
        <v>828</v>
      </c>
      <c r="D9" s="51" t="s">
        <v>829</v>
      </c>
      <c r="E9" s="51" t="s">
        <v>46</v>
      </c>
    </row>
    <row r="10" spans="2:8" x14ac:dyDescent="0.2">
      <c r="B10" s="51" t="s">
        <v>830</v>
      </c>
      <c r="C10" s="51" t="s">
        <v>831</v>
      </c>
      <c r="D10" s="51" t="s">
        <v>832</v>
      </c>
      <c r="E10" s="51" t="s">
        <v>46</v>
      </c>
    </row>
    <row r="11" spans="2:8" x14ac:dyDescent="0.2">
      <c r="B11" s="51" t="s">
        <v>833</v>
      </c>
      <c r="C11" s="51" t="s">
        <v>834</v>
      </c>
      <c r="D11" s="51" t="s">
        <v>835</v>
      </c>
      <c r="E11" s="51" t="s">
        <v>46</v>
      </c>
    </row>
    <row r="12" spans="2:8" x14ac:dyDescent="0.2">
      <c r="B12" s="51" t="s">
        <v>836</v>
      </c>
      <c r="C12" s="51" t="s">
        <v>837</v>
      </c>
      <c r="D12" s="51" t="s">
        <v>838</v>
      </c>
      <c r="E12" s="51" t="s">
        <v>46</v>
      </c>
    </row>
    <row r="14" spans="2:8" x14ac:dyDescent="0.2">
      <c r="B14" s="51" t="s">
        <v>839</v>
      </c>
      <c r="C14" s="51" t="s">
        <v>819</v>
      </c>
      <c r="D14" s="51" t="s">
        <v>46</v>
      </c>
      <c r="E14" s="51" t="s">
        <v>46</v>
      </c>
    </row>
    <row r="16" spans="2:8" x14ac:dyDescent="0.2">
      <c r="B16" s="51" t="s">
        <v>840</v>
      </c>
      <c r="C16" s="51" t="s">
        <v>822</v>
      </c>
      <c r="D16" s="51" t="s">
        <v>46</v>
      </c>
      <c r="E16" s="51" t="s">
        <v>46</v>
      </c>
    </row>
    <row r="18" spans="2:5" x14ac:dyDescent="0.2">
      <c r="B18" s="51" t="s">
        <v>841</v>
      </c>
      <c r="C18" s="51" t="s">
        <v>825</v>
      </c>
      <c r="D18" s="51" t="s">
        <v>46</v>
      </c>
      <c r="E18" s="51" t="s">
        <v>46</v>
      </c>
    </row>
    <row r="20" spans="2:5" x14ac:dyDescent="0.2">
      <c r="B20" s="51" t="s">
        <v>842</v>
      </c>
      <c r="C20" s="51" t="s">
        <v>828</v>
      </c>
      <c r="D20" s="51" t="s">
        <v>46</v>
      </c>
      <c r="E20" s="51" t="s">
        <v>46</v>
      </c>
    </row>
    <row r="22" spans="2:5" x14ac:dyDescent="0.2">
      <c r="B22" s="51" t="s">
        <v>843</v>
      </c>
      <c r="C22" s="51" t="s">
        <v>831</v>
      </c>
      <c r="D22" s="51" t="s">
        <v>46</v>
      </c>
      <c r="E22" s="51" t="s">
        <v>46</v>
      </c>
    </row>
    <row r="24" spans="2:5" x14ac:dyDescent="0.2">
      <c r="B24" s="51" t="s">
        <v>844</v>
      </c>
      <c r="C24" s="51" t="s">
        <v>834</v>
      </c>
      <c r="D24" s="51" t="s">
        <v>46</v>
      </c>
      <c r="E24" s="51" t="s">
        <v>46</v>
      </c>
    </row>
    <row r="26" spans="2:5" x14ac:dyDescent="0.2">
      <c r="B26" s="51" t="s">
        <v>845</v>
      </c>
      <c r="C26" s="51" t="s">
        <v>837</v>
      </c>
      <c r="D26" s="51" t="s">
        <v>46</v>
      </c>
      <c r="E26" s="51" t="s">
        <v>46</v>
      </c>
    </row>
    <row r="28" spans="2:5" x14ac:dyDescent="0.2">
      <c r="B28" s="51" t="s">
        <v>846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847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848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849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850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851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852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853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854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855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856</v>
      </c>
      <c r="C38" s="51" t="s">
        <v>46</v>
      </c>
      <c r="D38" s="51" t="s">
        <v>46</v>
      </c>
      <c r="E38" s="51" t="s">
        <v>46</v>
      </c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2026-07-02T11:27:39Z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