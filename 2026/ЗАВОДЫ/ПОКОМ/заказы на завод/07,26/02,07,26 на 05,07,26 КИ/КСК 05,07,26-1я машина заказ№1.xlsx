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2ABE885-5134-4E5B-B834-DA7146221FC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заказа'!$B$70:$B$70</definedName>
    <definedName name="ProductId260">'Бланк заказа'!$B$522:$B$522</definedName>
    <definedName name="ProductId261">'Бланк заказа'!$B$527:$B$527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заказа'!$X$70:$X$70</definedName>
    <definedName name="SalesQty260">'Бланк заказа'!$X$522:$X$522</definedName>
    <definedName name="SalesQty261">'Бланк заказа'!$X$527:$X$527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заказа'!$Y$70:$Y$70</definedName>
    <definedName name="SalesRoundBox260">'Бланк заказа'!$Y$522:$Y$522</definedName>
    <definedName name="SalesRoundBox261">'Бланк заказа'!$Y$527:$Y$527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заказа'!$W$70:$W$70</definedName>
    <definedName name="UnitOfMeasure260">'Бланк заказа'!$W$522:$W$522</definedName>
    <definedName name="UnitOfMeasure261">'Бланк заказа'!$W$527:$W$527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9" i="2" l="1"/>
  <c r="X528" i="2"/>
  <c r="BO527" i="2"/>
  <c r="BM527" i="2"/>
  <c r="Y527" i="2"/>
  <c r="AB540" i="2" s="1"/>
  <c r="P527" i="2"/>
  <c r="X524" i="2"/>
  <c r="X523" i="2"/>
  <c r="BO522" i="2"/>
  <c r="BM522" i="2"/>
  <c r="Y522" i="2"/>
  <c r="Z522" i="2" s="1"/>
  <c r="P522" i="2"/>
  <c r="BO521" i="2"/>
  <c r="BM521" i="2"/>
  <c r="Y521" i="2"/>
  <c r="Y523" i="2" s="1"/>
  <c r="P521" i="2"/>
  <c r="X519" i="2"/>
  <c r="X518" i="2"/>
  <c r="BO517" i="2"/>
  <c r="BM517" i="2"/>
  <c r="Y517" i="2"/>
  <c r="BP517" i="2" s="1"/>
  <c r="P517" i="2"/>
  <c r="X515" i="2"/>
  <c r="X514" i="2"/>
  <c r="BO513" i="2"/>
  <c r="BM513" i="2"/>
  <c r="Y513" i="2"/>
  <c r="P513" i="2"/>
  <c r="BO512" i="2"/>
  <c r="BM512" i="2"/>
  <c r="Y512" i="2"/>
  <c r="BN512" i="2" s="1"/>
  <c r="P512" i="2"/>
  <c r="X510" i="2"/>
  <c r="X509" i="2"/>
  <c r="BO508" i="2"/>
  <c r="BM508" i="2"/>
  <c r="Y508" i="2"/>
  <c r="BP508" i="2" s="1"/>
  <c r="P508" i="2"/>
  <c r="X506" i="2"/>
  <c r="X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P497" i="2"/>
  <c r="BO496" i="2"/>
  <c r="BM496" i="2"/>
  <c r="Y496" i="2"/>
  <c r="P496" i="2"/>
  <c r="BO495" i="2"/>
  <c r="BM495" i="2"/>
  <c r="Y495" i="2"/>
  <c r="BP495" i="2" s="1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P492" i="2"/>
  <c r="X490" i="2"/>
  <c r="X489" i="2"/>
  <c r="BO488" i="2"/>
  <c r="BM488" i="2"/>
  <c r="Y488" i="2"/>
  <c r="P488" i="2"/>
  <c r="BO487" i="2"/>
  <c r="BM487" i="2"/>
  <c r="Y487" i="2"/>
  <c r="P487" i="2"/>
  <c r="BO486" i="2"/>
  <c r="BM486" i="2"/>
  <c r="Y486" i="2"/>
  <c r="BP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BN481" i="2" s="1"/>
  <c r="P481" i="2"/>
  <c r="BO480" i="2"/>
  <c r="BM480" i="2"/>
  <c r="Y480" i="2"/>
  <c r="BP480" i="2" s="1"/>
  <c r="P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P474" i="2" s="1"/>
  <c r="P474" i="2"/>
  <c r="X470" i="2"/>
  <c r="X469" i="2"/>
  <c r="BO468" i="2"/>
  <c r="BM468" i="2"/>
  <c r="Y468" i="2"/>
  <c r="BP468" i="2" s="1"/>
  <c r="P468" i="2"/>
  <c r="BO467" i="2"/>
  <c r="BM467" i="2"/>
  <c r="Y467" i="2"/>
  <c r="BP467" i="2" s="1"/>
  <c r="P467" i="2"/>
  <c r="BO466" i="2"/>
  <c r="BM466" i="2"/>
  <c r="Y466" i="2"/>
  <c r="Z466" i="2" s="1"/>
  <c r="P466" i="2"/>
  <c r="X464" i="2"/>
  <c r="X463" i="2"/>
  <c r="BO462" i="2"/>
  <c r="BM462" i="2"/>
  <c r="Y462" i="2"/>
  <c r="Y463" i="2" s="1"/>
  <c r="P462" i="2"/>
  <c r="X459" i="2"/>
  <c r="X458" i="2"/>
  <c r="BO457" i="2"/>
  <c r="BM457" i="2"/>
  <c r="Y457" i="2"/>
  <c r="Z457" i="2" s="1"/>
  <c r="P457" i="2"/>
  <c r="BO456" i="2"/>
  <c r="BM456" i="2"/>
  <c r="Y456" i="2"/>
  <c r="Z456" i="2" s="1"/>
  <c r="P456" i="2"/>
  <c r="X454" i="2"/>
  <c r="X453" i="2"/>
  <c r="BO452" i="2"/>
  <c r="BM452" i="2"/>
  <c r="Y452" i="2"/>
  <c r="Z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BN449" i="2" s="1"/>
  <c r="P449" i="2"/>
  <c r="BO448" i="2"/>
  <c r="BM448" i="2"/>
  <c r="Y448" i="2"/>
  <c r="BP448" i="2" s="1"/>
  <c r="P448" i="2"/>
  <c r="BO447" i="2"/>
  <c r="BM447" i="2"/>
  <c r="Y447" i="2"/>
  <c r="P447" i="2"/>
  <c r="X443" i="2"/>
  <c r="X442" i="2"/>
  <c r="BO441" i="2"/>
  <c r="BM441" i="2"/>
  <c r="Y441" i="2"/>
  <c r="BP441" i="2" s="1"/>
  <c r="P441" i="2"/>
  <c r="BO440" i="2"/>
  <c r="BM440" i="2"/>
  <c r="Y440" i="2"/>
  <c r="Z440" i="2" s="1"/>
  <c r="P440" i="2"/>
  <c r="BO439" i="2"/>
  <c r="BM439" i="2"/>
  <c r="Y439" i="2"/>
  <c r="P439" i="2"/>
  <c r="X437" i="2"/>
  <c r="X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M430" i="2"/>
  <c r="Y430" i="2"/>
  <c r="P430" i="2"/>
  <c r="X427" i="2"/>
  <c r="X426" i="2"/>
  <c r="BO425" i="2"/>
  <c r="BM425" i="2"/>
  <c r="Y425" i="2"/>
  <c r="P425" i="2"/>
  <c r="X423" i="2"/>
  <c r="X422" i="2"/>
  <c r="BO421" i="2"/>
  <c r="BM421" i="2"/>
  <c r="Y421" i="2"/>
  <c r="BN421" i="2" s="1"/>
  <c r="P421" i="2"/>
  <c r="BO420" i="2"/>
  <c r="BM420" i="2"/>
  <c r="Y420" i="2"/>
  <c r="BP420" i="2" s="1"/>
  <c r="P420" i="2"/>
  <c r="X418" i="2"/>
  <c r="X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P410" i="2"/>
  <c r="BP409" i="2"/>
  <c r="BO409" i="2"/>
  <c r="BM409" i="2"/>
  <c r="Y409" i="2"/>
  <c r="Z409" i="2" s="1"/>
  <c r="P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Z406" i="2" s="1"/>
  <c r="P406" i="2"/>
  <c r="BO405" i="2"/>
  <c r="BM405" i="2"/>
  <c r="Y405" i="2"/>
  <c r="P405" i="2"/>
  <c r="BO404" i="2"/>
  <c r="BM404" i="2"/>
  <c r="Y404" i="2"/>
  <c r="P404" i="2"/>
  <c r="BO403" i="2"/>
  <c r="BM403" i="2"/>
  <c r="Y403" i="2"/>
  <c r="P403" i="2"/>
  <c r="X399" i="2"/>
  <c r="X398" i="2"/>
  <c r="BO397" i="2"/>
  <c r="BM397" i="2"/>
  <c r="Y397" i="2"/>
  <c r="P397" i="2"/>
  <c r="BO396" i="2"/>
  <c r="BM396" i="2"/>
  <c r="Y396" i="2"/>
  <c r="BN396" i="2" s="1"/>
  <c r="P396" i="2"/>
  <c r="BO395" i="2"/>
  <c r="BM395" i="2"/>
  <c r="Y395" i="2"/>
  <c r="Z395" i="2" s="1"/>
  <c r="P395" i="2"/>
  <c r="X392" i="2"/>
  <c r="X391" i="2"/>
  <c r="BO390" i="2"/>
  <c r="BM390" i="2"/>
  <c r="Y390" i="2"/>
  <c r="P390" i="2"/>
  <c r="BO389" i="2"/>
  <c r="BM389" i="2"/>
  <c r="Y389" i="2"/>
  <c r="BN389" i="2" s="1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BN383" i="2" s="1"/>
  <c r="P383" i="2"/>
  <c r="BO382" i="2"/>
  <c r="BM382" i="2"/>
  <c r="Y382" i="2"/>
  <c r="P382" i="2"/>
  <c r="BO381" i="2"/>
  <c r="BM381" i="2"/>
  <c r="Y381" i="2"/>
  <c r="BN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N370" i="2" s="1"/>
  <c r="P370" i="2"/>
  <c r="BO369" i="2"/>
  <c r="BM369" i="2"/>
  <c r="Y369" i="2"/>
  <c r="BN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BP362" i="2" s="1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BO358" i="2"/>
  <c r="BM358" i="2"/>
  <c r="Y358" i="2"/>
  <c r="P358" i="2"/>
  <c r="X356" i="2"/>
  <c r="X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X334" i="2"/>
  <c r="X333" i="2"/>
  <c r="BO332" i="2"/>
  <c r="BM332" i="2"/>
  <c r="Y332" i="2"/>
  <c r="BN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BN329" i="2" s="1"/>
  <c r="P329" i="2"/>
  <c r="BO328" i="2"/>
  <c r="BM328" i="2"/>
  <c r="Y328" i="2"/>
  <c r="P328" i="2"/>
  <c r="X325" i="2"/>
  <c r="X324" i="2"/>
  <c r="BO323" i="2"/>
  <c r="BM323" i="2"/>
  <c r="Y323" i="2"/>
  <c r="BP323" i="2" s="1"/>
  <c r="P323" i="2"/>
  <c r="BO322" i="2"/>
  <c r="BM322" i="2"/>
  <c r="Y322" i="2"/>
  <c r="Z322" i="2" s="1"/>
  <c r="P322" i="2"/>
  <c r="BO321" i="2"/>
  <c r="BM321" i="2"/>
  <c r="Y321" i="2"/>
  <c r="Z321" i="2" s="1"/>
  <c r="P321" i="2"/>
  <c r="X318" i="2"/>
  <c r="X317" i="2"/>
  <c r="BO316" i="2"/>
  <c r="BM316" i="2"/>
  <c r="Y316" i="2"/>
  <c r="BP316" i="2" s="1"/>
  <c r="P316" i="2"/>
  <c r="BO315" i="2"/>
  <c r="BM315" i="2"/>
  <c r="Y315" i="2"/>
  <c r="Z315" i="2" s="1"/>
  <c r="P315" i="2"/>
  <c r="BO314" i="2"/>
  <c r="BM314" i="2"/>
  <c r="Y314" i="2"/>
  <c r="P314" i="2"/>
  <c r="BO313" i="2"/>
  <c r="BM313" i="2"/>
  <c r="Y313" i="2"/>
  <c r="BN313" i="2" s="1"/>
  <c r="P313" i="2"/>
  <c r="BO312" i="2"/>
  <c r="BM312" i="2"/>
  <c r="Y312" i="2"/>
  <c r="BP312" i="2" s="1"/>
  <c r="P312" i="2"/>
  <c r="X309" i="2"/>
  <c r="X308" i="2"/>
  <c r="BO307" i="2"/>
  <c r="BM307" i="2"/>
  <c r="Y307" i="2"/>
  <c r="Z307" i="2" s="1"/>
  <c r="P307" i="2"/>
  <c r="BO306" i="2"/>
  <c r="BM306" i="2"/>
  <c r="Y306" i="2"/>
  <c r="Y308" i="2" s="1"/>
  <c r="P306" i="2"/>
  <c r="BO305" i="2"/>
  <c r="BM305" i="2"/>
  <c r="Z305" i="2"/>
  <c r="Y305" i="2"/>
  <c r="P305" i="2"/>
  <c r="X303" i="2"/>
  <c r="X302" i="2"/>
  <c r="BO301" i="2"/>
  <c r="BM301" i="2"/>
  <c r="Y301" i="2"/>
  <c r="Y302" i="2" s="1"/>
  <c r="P301" i="2"/>
  <c r="X299" i="2"/>
  <c r="X298" i="2"/>
  <c r="BO297" i="2"/>
  <c r="BM297" i="2"/>
  <c r="Z297" i="2"/>
  <c r="Z298" i="2" s="1"/>
  <c r="Y297" i="2"/>
  <c r="BN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P291" i="2"/>
  <c r="BO290" i="2"/>
  <c r="BM290" i="2"/>
  <c r="Y290" i="2"/>
  <c r="BN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P287" i="2" s="1"/>
  <c r="P287" i="2"/>
  <c r="X284" i="2"/>
  <c r="X283" i="2"/>
  <c r="BO282" i="2"/>
  <c r="BM282" i="2"/>
  <c r="Y282" i="2"/>
  <c r="P282" i="2"/>
  <c r="BO281" i="2"/>
  <c r="BM281" i="2"/>
  <c r="Y281" i="2"/>
  <c r="BP281" i="2" s="1"/>
  <c r="P281" i="2"/>
  <c r="X279" i="2"/>
  <c r="X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BN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BN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N256" i="2" s="1"/>
  <c r="P256" i="2"/>
  <c r="BO255" i="2"/>
  <c r="BM255" i="2"/>
  <c r="Y255" i="2"/>
  <c r="P255" i="2"/>
  <c r="X253" i="2"/>
  <c r="X252" i="2"/>
  <c r="BO251" i="2"/>
  <c r="BM251" i="2"/>
  <c r="Y251" i="2"/>
  <c r="Z251" i="2" s="1"/>
  <c r="P251" i="2"/>
  <c r="BO250" i="2"/>
  <c r="BM250" i="2"/>
  <c r="Y250" i="2"/>
  <c r="BP250" i="2" s="1"/>
  <c r="P250" i="2"/>
  <c r="X248" i="2"/>
  <c r="X247" i="2"/>
  <c r="BO246" i="2"/>
  <c r="BM246" i="2"/>
  <c r="Y246" i="2"/>
  <c r="BP246" i="2" s="1"/>
  <c r="P246" i="2"/>
  <c r="BO245" i="2"/>
  <c r="BM245" i="2"/>
  <c r="Z245" i="2"/>
  <c r="Y245" i="2"/>
  <c r="P245" i="2"/>
  <c r="X242" i="2"/>
  <c r="X241" i="2"/>
  <c r="BO240" i="2"/>
  <c r="BM240" i="2"/>
  <c r="Y240" i="2"/>
  <c r="BP240" i="2" s="1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X232" i="2"/>
  <c r="X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Z228" i="2" s="1"/>
  <c r="BO227" i="2"/>
  <c r="BM227" i="2"/>
  <c r="Y227" i="2"/>
  <c r="X225" i="2"/>
  <c r="X224" i="2"/>
  <c r="BO223" i="2"/>
  <c r="BM223" i="2"/>
  <c r="Y223" i="2"/>
  <c r="BN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P211" i="2"/>
  <c r="BO210" i="2"/>
  <c r="BM210" i="2"/>
  <c r="Y210" i="2"/>
  <c r="BN210" i="2" s="1"/>
  <c r="P210" i="2"/>
  <c r="X208" i="2"/>
  <c r="X207" i="2"/>
  <c r="BO206" i="2"/>
  <c r="BM206" i="2"/>
  <c r="Y206" i="2"/>
  <c r="P206" i="2"/>
  <c r="X203" i="2"/>
  <c r="X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Y193" i="2" s="1"/>
  <c r="P192" i="2"/>
  <c r="X190" i="2"/>
  <c r="X189" i="2"/>
  <c r="BO188" i="2"/>
  <c r="BM188" i="2"/>
  <c r="Y188" i="2"/>
  <c r="Z188" i="2" s="1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Y184" i="2" s="1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P169" i="2"/>
  <c r="BO168" i="2"/>
  <c r="BM168" i="2"/>
  <c r="Y168" i="2"/>
  <c r="BP168" i="2" s="1"/>
  <c r="P168" i="2"/>
  <c r="BO167" i="2"/>
  <c r="BM167" i="2"/>
  <c r="Y167" i="2"/>
  <c r="P167" i="2"/>
  <c r="X165" i="2"/>
  <c r="X164" i="2"/>
  <c r="BO163" i="2"/>
  <c r="BM163" i="2"/>
  <c r="Y163" i="2"/>
  <c r="P163" i="2"/>
  <c r="X161" i="2"/>
  <c r="X160" i="2"/>
  <c r="BO159" i="2"/>
  <c r="BM159" i="2"/>
  <c r="Y159" i="2"/>
  <c r="Z159" i="2" s="1"/>
  <c r="P159" i="2"/>
  <c r="BO158" i="2"/>
  <c r="BM158" i="2"/>
  <c r="Y158" i="2"/>
  <c r="BN158" i="2" s="1"/>
  <c r="P158" i="2"/>
  <c r="X155" i="2"/>
  <c r="X154" i="2"/>
  <c r="BO153" i="2"/>
  <c r="BM153" i="2"/>
  <c r="Y153" i="2"/>
  <c r="BP153" i="2" s="1"/>
  <c r="P153" i="2"/>
  <c r="BO152" i="2"/>
  <c r="BM152" i="2"/>
  <c r="Y152" i="2"/>
  <c r="Z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BP144" i="2" s="1"/>
  <c r="P144" i="2"/>
  <c r="X142" i="2"/>
  <c r="X141" i="2"/>
  <c r="BP140" i="2"/>
  <c r="BO140" i="2"/>
  <c r="BM140" i="2"/>
  <c r="Y140" i="2"/>
  <c r="BN140" i="2" s="1"/>
  <c r="P140" i="2"/>
  <c r="BO139" i="2"/>
  <c r="BM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Z134" i="2" s="1"/>
  <c r="P134" i="2"/>
  <c r="X131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BN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P103" i="2"/>
  <c r="BO102" i="2"/>
  <c r="BM102" i="2"/>
  <c r="Y102" i="2"/>
  <c r="P102" i="2"/>
  <c r="X99" i="2"/>
  <c r="X98" i="2"/>
  <c r="BO97" i="2"/>
  <c r="BM97" i="2"/>
  <c r="Y97" i="2"/>
  <c r="BN97" i="2" s="1"/>
  <c r="P97" i="2"/>
  <c r="BO96" i="2"/>
  <c r="BM96" i="2"/>
  <c r="Y96" i="2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Z90" i="2" s="1"/>
  <c r="P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Y78" i="2" s="1"/>
  <c r="P76" i="2"/>
  <c r="X74" i="2"/>
  <c r="X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N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Y38" i="2" s="1"/>
  <c r="P36" i="2"/>
  <c r="X34" i="2"/>
  <c r="X33" i="2"/>
  <c r="BO32" i="2"/>
  <c r="BM32" i="2"/>
  <c r="Y32" i="2"/>
  <c r="P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BN95" i="2" l="1"/>
  <c r="BN183" i="2"/>
  <c r="BN292" i="2"/>
  <c r="BP389" i="2"/>
  <c r="BP449" i="2"/>
  <c r="Z36" i="2"/>
  <c r="Z37" i="2" s="1"/>
  <c r="BN82" i="2"/>
  <c r="BN118" i="2"/>
  <c r="BP134" i="2"/>
  <c r="BN173" i="2"/>
  <c r="BN188" i="2"/>
  <c r="Z200" i="2"/>
  <c r="Y299" i="2"/>
  <c r="Z313" i="2"/>
  <c r="Z389" i="2"/>
  <c r="Z449" i="2"/>
  <c r="Z475" i="2"/>
  <c r="BN171" i="2"/>
  <c r="BN175" i="2"/>
  <c r="BN213" i="2"/>
  <c r="Z236" i="2"/>
  <c r="Z301" i="2"/>
  <c r="Z302" i="2" s="1"/>
  <c r="Y303" i="2"/>
  <c r="BP259" i="2"/>
  <c r="Z259" i="2"/>
  <c r="Y412" i="2"/>
  <c r="Y73" i="2"/>
  <c r="Z72" i="2"/>
  <c r="BN486" i="2"/>
  <c r="Z124" i="2"/>
  <c r="Z53" i="2"/>
  <c r="BN522" i="2"/>
  <c r="Y510" i="2"/>
  <c r="Z498" i="2"/>
  <c r="Z495" i="2"/>
  <c r="Z486" i="2"/>
  <c r="BN479" i="2"/>
  <c r="Z479" i="2"/>
  <c r="Z478" i="2"/>
  <c r="BN467" i="2"/>
  <c r="Z467" i="2"/>
  <c r="BP462" i="2"/>
  <c r="Z462" i="2"/>
  <c r="Z463" i="2" s="1"/>
  <c r="BN451" i="2"/>
  <c r="Z451" i="2"/>
  <c r="Y422" i="2"/>
  <c r="Y398" i="2"/>
  <c r="Z383" i="2"/>
  <c r="BP381" i="2"/>
  <c r="Z381" i="2"/>
  <c r="BN371" i="2"/>
  <c r="BP369" i="2"/>
  <c r="Z369" i="2"/>
  <c r="Y372" i="2"/>
  <c r="BP354" i="2"/>
  <c r="Z352" i="2"/>
  <c r="BN351" i="2"/>
  <c r="BN349" i="2"/>
  <c r="Z349" i="2"/>
  <c r="Z336" i="2"/>
  <c r="Z332" i="2"/>
  <c r="Z330" i="2"/>
  <c r="BP330" i="2"/>
  <c r="Z329" i="2"/>
  <c r="BN315" i="2"/>
  <c r="BP313" i="2"/>
  <c r="Z293" i="2"/>
  <c r="Z290" i="2"/>
  <c r="BP290" i="2"/>
  <c r="BP277" i="2"/>
  <c r="Z277" i="2"/>
  <c r="Z272" i="2"/>
  <c r="Z262" i="2"/>
  <c r="Z256" i="2"/>
  <c r="BN251" i="2"/>
  <c r="Y252" i="2"/>
  <c r="Y242" i="2"/>
  <c r="BP236" i="2"/>
  <c r="Z223" i="2"/>
  <c r="Z219" i="2"/>
  <c r="Z217" i="2"/>
  <c r="BP210" i="2"/>
  <c r="Z210" i="2"/>
  <c r="BP200" i="2"/>
  <c r="Z183" i="2"/>
  <c r="BN181" i="2"/>
  <c r="Z181" i="2"/>
  <c r="BP181" i="2"/>
  <c r="BN176" i="2"/>
  <c r="Z175" i="2"/>
  <c r="Z173" i="2"/>
  <c r="Z171" i="2"/>
  <c r="Z158" i="2"/>
  <c r="BN139" i="2"/>
  <c r="Z139" i="2"/>
  <c r="BN135" i="2"/>
  <c r="Z125" i="2"/>
  <c r="BP124" i="2"/>
  <c r="BN116" i="2"/>
  <c r="BN114" i="2"/>
  <c r="Z108" i="2"/>
  <c r="BP108" i="2"/>
  <c r="Z105" i="2"/>
  <c r="Z104" i="2"/>
  <c r="Z95" i="2"/>
  <c r="Y84" i="2"/>
  <c r="Z82" i="2"/>
  <c r="Y83" i="2"/>
  <c r="BP72" i="2"/>
  <c r="Z71" i="2"/>
  <c r="Z64" i="2"/>
  <c r="Z63" i="2"/>
  <c r="BP63" i="2"/>
  <c r="Z61" i="2"/>
  <c r="BP51" i="2"/>
  <c r="Z51" i="2"/>
  <c r="BN36" i="2"/>
  <c r="BN30" i="2"/>
  <c r="BP77" i="2"/>
  <c r="BP87" i="2"/>
  <c r="BP90" i="2"/>
  <c r="Y98" i="2"/>
  <c r="Y99" i="2"/>
  <c r="BN337" i="2"/>
  <c r="BP337" i="2"/>
  <c r="Z337" i="2"/>
  <c r="Z338" i="2" s="1"/>
  <c r="BP358" i="2"/>
  <c r="Y365" i="2"/>
  <c r="BN359" i="2"/>
  <c r="BP359" i="2"/>
  <c r="Z359" i="2"/>
  <c r="BN404" i="2"/>
  <c r="BP404" i="2"/>
  <c r="Z404" i="2"/>
  <c r="Y426" i="2"/>
  <c r="Y427" i="2"/>
  <c r="Z425" i="2"/>
  <c r="Z426" i="2" s="1"/>
  <c r="BN488" i="2"/>
  <c r="Z488" i="2"/>
  <c r="BN496" i="2"/>
  <c r="BP496" i="2"/>
  <c r="Z496" i="2"/>
  <c r="BN513" i="2"/>
  <c r="BP513" i="2"/>
  <c r="Z513" i="2"/>
  <c r="BN27" i="2"/>
  <c r="Y33" i="2"/>
  <c r="BP30" i="2"/>
  <c r="BN44" i="2"/>
  <c r="BP60" i="2"/>
  <c r="Z62" i="2"/>
  <c r="BP62" i="2"/>
  <c r="Z94" i="2"/>
  <c r="Z97" i="2"/>
  <c r="BP97" i="2"/>
  <c r="Z106" i="2"/>
  <c r="BN150" i="2"/>
  <c r="BP150" i="2"/>
  <c r="Z150" i="2"/>
  <c r="Z168" i="2"/>
  <c r="BN168" i="2"/>
  <c r="BN216" i="2"/>
  <c r="BP216" i="2"/>
  <c r="Z216" i="2"/>
  <c r="Y334" i="2"/>
  <c r="Z328" i="2"/>
  <c r="BN376" i="2"/>
  <c r="BP376" i="2"/>
  <c r="BP450" i="2"/>
  <c r="Z450" i="2"/>
  <c r="X531" i="2"/>
  <c r="BP53" i="2"/>
  <c r="BP64" i="2"/>
  <c r="BN77" i="2"/>
  <c r="Y92" i="2"/>
  <c r="BP88" i="2"/>
  <c r="BN90" i="2"/>
  <c r="Y110" i="2"/>
  <c r="Z144" i="2"/>
  <c r="BN144" i="2"/>
  <c r="Y164" i="2"/>
  <c r="BN163" i="2"/>
  <c r="Y165" i="2"/>
  <c r="BP163" i="2"/>
  <c r="Z163" i="2"/>
  <c r="Z164" i="2" s="1"/>
  <c r="BN218" i="2"/>
  <c r="BP218" i="2"/>
  <c r="Z218" i="2"/>
  <c r="Z261" i="2"/>
  <c r="BN261" i="2"/>
  <c r="BN269" i="2"/>
  <c r="BP269" i="2"/>
  <c r="Z269" i="2"/>
  <c r="BN287" i="2"/>
  <c r="Z287" i="2"/>
  <c r="BN384" i="2"/>
  <c r="BP384" i="2"/>
  <c r="Z384" i="2"/>
  <c r="Z397" i="2"/>
  <c r="BP397" i="2"/>
  <c r="Y443" i="2"/>
  <c r="BN439" i="2"/>
  <c r="BP439" i="2"/>
  <c r="Z439" i="2"/>
  <c r="BN117" i="2"/>
  <c r="BP117" i="2"/>
  <c r="X532" i="2"/>
  <c r="BP27" i="2"/>
  <c r="BP44" i="2"/>
  <c r="BN106" i="2"/>
  <c r="BP115" i="2"/>
  <c r="Z115" i="2"/>
  <c r="BN199" i="2"/>
  <c r="BP199" i="2"/>
  <c r="Z199" i="2"/>
  <c r="Y208" i="2"/>
  <c r="BN206" i="2"/>
  <c r="BP206" i="2"/>
  <c r="Z206" i="2"/>
  <c r="Z207" i="2" s="1"/>
  <c r="BN220" i="2"/>
  <c r="Z220" i="2"/>
  <c r="BN240" i="2"/>
  <c r="Y241" i="2"/>
  <c r="Z240" i="2"/>
  <c r="Z241" i="2" s="1"/>
  <c r="Z281" i="2"/>
  <c r="BN281" i="2"/>
  <c r="BP390" i="2"/>
  <c r="Z390" i="2"/>
  <c r="BN414" i="2"/>
  <c r="BP414" i="2"/>
  <c r="Z414" i="2"/>
  <c r="BN441" i="2"/>
  <c r="Z441" i="2"/>
  <c r="BP488" i="2"/>
  <c r="Y500" i="2"/>
  <c r="BN494" i="2"/>
  <c r="BP494" i="2"/>
  <c r="Z494" i="2"/>
  <c r="Y120" i="2"/>
  <c r="BN152" i="2"/>
  <c r="BP188" i="2"/>
  <c r="Y225" i="2"/>
  <c r="BP213" i="2"/>
  <c r="BN221" i="2"/>
  <c r="BP223" i="2"/>
  <c r="BN228" i="2"/>
  <c r="BP251" i="2"/>
  <c r="Y253" i="2"/>
  <c r="BN262" i="2"/>
  <c r="BN271" i="2"/>
  <c r="BP274" i="2"/>
  <c r="BP292" i="2"/>
  <c r="Y298" i="2"/>
  <c r="BP329" i="2"/>
  <c r="Y339" i="2"/>
  <c r="BP351" i="2"/>
  <c r="BN361" i="2"/>
  <c r="BP364" i="2"/>
  <c r="Y392" i="2"/>
  <c r="BN406" i="2"/>
  <c r="BN416" i="2"/>
  <c r="Y464" i="2"/>
  <c r="BN474" i="2"/>
  <c r="BN476" i="2"/>
  <c r="BP478" i="2"/>
  <c r="BP481" i="2"/>
  <c r="BN508" i="2"/>
  <c r="Y509" i="2"/>
  <c r="BP522" i="2"/>
  <c r="Y524" i="2"/>
  <c r="Z114" i="2"/>
  <c r="Z116" i="2"/>
  <c r="Z118" i="2"/>
  <c r="Z129" i="2"/>
  <c r="Z130" i="2" s="1"/>
  <c r="Z172" i="2"/>
  <c r="Z174" i="2"/>
  <c r="Z176" i="2"/>
  <c r="Z182" i="2"/>
  <c r="Y194" i="2"/>
  <c r="BP266" i="2"/>
  <c r="Y294" i="2"/>
  <c r="BN293" i="2"/>
  <c r="BP307" i="2"/>
  <c r="Y317" i="2"/>
  <c r="BP315" i="2"/>
  <c r="Y324" i="2"/>
  <c r="BP321" i="2"/>
  <c r="Y325" i="2"/>
  <c r="BP332" i="2"/>
  <c r="BP343" i="2"/>
  <c r="BN352" i="2"/>
  <c r="Z362" i="2"/>
  <c r="BP371" i="2"/>
  <c r="Y373" i="2"/>
  <c r="BP383" i="2"/>
  <c r="BP421" i="2"/>
  <c r="Y423" i="2"/>
  <c r="BP456" i="2"/>
  <c r="BN462" i="2"/>
  <c r="BP512" i="2"/>
  <c r="BP152" i="2"/>
  <c r="BP158" i="2"/>
  <c r="Z184" i="2"/>
  <c r="Y185" i="2"/>
  <c r="Z221" i="2"/>
  <c r="BP228" i="2"/>
  <c r="BP256" i="2"/>
  <c r="Z266" i="2"/>
  <c r="BP271" i="2"/>
  <c r="BP297" i="2"/>
  <c r="Y338" i="2"/>
  <c r="BP361" i="2"/>
  <c r="BP406" i="2"/>
  <c r="BP416" i="2"/>
  <c r="Z458" i="2"/>
  <c r="Y540" i="2"/>
  <c r="Y470" i="2"/>
  <c r="BP466" i="2"/>
  <c r="Z474" i="2"/>
  <c r="Z476" i="2"/>
  <c r="BP498" i="2"/>
  <c r="Z508" i="2"/>
  <c r="Z509" i="2" s="1"/>
  <c r="Z512" i="2"/>
  <c r="Y514" i="2"/>
  <c r="Y519" i="2"/>
  <c r="BP123" i="2"/>
  <c r="BN123" i="2"/>
  <c r="Z123" i="2"/>
  <c r="Y160" i="2"/>
  <c r="BP159" i="2"/>
  <c r="I540" i="2"/>
  <c r="BN187" i="2"/>
  <c r="BP187" i="2"/>
  <c r="Z187" i="2"/>
  <c r="Z189" i="2" s="1"/>
  <c r="Y190" i="2"/>
  <c r="BN212" i="2"/>
  <c r="BP212" i="2"/>
  <c r="Z212" i="2"/>
  <c r="Y231" i="2"/>
  <c r="BP227" i="2"/>
  <c r="BN227" i="2"/>
  <c r="Z227" i="2"/>
  <c r="Y232" i="2"/>
  <c r="BP245" i="2"/>
  <c r="BN245" i="2"/>
  <c r="M540" i="2"/>
  <c r="Y247" i="2"/>
  <c r="BP275" i="2"/>
  <c r="BN275" i="2"/>
  <c r="Y318" i="2"/>
  <c r="BP314" i="2"/>
  <c r="Z314" i="2"/>
  <c r="P540" i="2"/>
  <c r="Y346" i="2"/>
  <c r="Y345" i="2"/>
  <c r="BP342" i="2"/>
  <c r="BN342" i="2"/>
  <c r="Z342" i="2"/>
  <c r="S540" i="2"/>
  <c r="BP415" i="2"/>
  <c r="BN415" i="2"/>
  <c r="Z415" i="2"/>
  <c r="Y179" i="2"/>
  <c r="BN167" i="2"/>
  <c r="Y178" i="2"/>
  <c r="BP167" i="2"/>
  <c r="Z167" i="2"/>
  <c r="Z275" i="2"/>
  <c r="Y386" i="2"/>
  <c r="BP382" i="2"/>
  <c r="Y385" i="2"/>
  <c r="BN382" i="2"/>
  <c r="Y432" i="2"/>
  <c r="W540" i="2"/>
  <c r="BP430" i="2"/>
  <c r="Y433" i="2"/>
  <c r="Y489" i="2"/>
  <c r="BP487" i="2"/>
  <c r="BN487" i="2"/>
  <c r="BN129" i="2"/>
  <c r="Z153" i="2"/>
  <c r="BN159" i="2"/>
  <c r="Y263" i="2"/>
  <c r="BN314" i="2"/>
  <c r="Z382" i="2"/>
  <c r="Z430" i="2"/>
  <c r="Z487" i="2"/>
  <c r="Z489" i="2" s="1"/>
  <c r="Y203" i="2"/>
  <c r="Y202" i="2"/>
  <c r="K540" i="2"/>
  <c r="Y237" i="2"/>
  <c r="BP260" i="2"/>
  <c r="Z260" i="2"/>
  <c r="BP291" i="2"/>
  <c r="Z291" i="2"/>
  <c r="R540" i="2"/>
  <c r="BN328" i="2"/>
  <c r="U540" i="2"/>
  <c r="Y399" i="2"/>
  <c r="BP395" i="2"/>
  <c r="AA540" i="2"/>
  <c r="Y506" i="2"/>
  <c r="Y505" i="2"/>
  <c r="BP504" i="2"/>
  <c r="BN504" i="2"/>
  <c r="Z198" i="2"/>
  <c r="BP222" i="2"/>
  <c r="BN222" i="2"/>
  <c r="Z222" i="2"/>
  <c r="Y295" i="2"/>
  <c r="BP288" i="2"/>
  <c r="O540" i="2"/>
  <c r="BP353" i="2"/>
  <c r="BN353" i="2"/>
  <c r="Z353" i="2"/>
  <c r="BP410" i="2"/>
  <c r="BN410" i="2"/>
  <c r="BN430" i="2"/>
  <c r="Z504" i="2"/>
  <c r="Z505" i="2" s="1"/>
  <c r="BP31" i="2"/>
  <c r="BN31" i="2"/>
  <c r="BN153" i="2"/>
  <c r="BN219" i="2"/>
  <c r="Z234" i="2"/>
  <c r="Z257" i="2"/>
  <c r="BN260" i="2"/>
  <c r="Z288" i="2"/>
  <c r="BN291" i="2"/>
  <c r="BP350" i="2"/>
  <c r="Y356" i="2"/>
  <c r="Z350" i="2"/>
  <c r="Z377" i="2"/>
  <c r="Z410" i="2"/>
  <c r="Z482" i="2"/>
  <c r="Y55" i="2"/>
  <c r="Z70" i="2"/>
  <c r="F540" i="2"/>
  <c r="BN107" i="2"/>
  <c r="Y130" i="2"/>
  <c r="Y142" i="2"/>
  <c r="BN174" i="2"/>
  <c r="BP177" i="2"/>
  <c r="BN177" i="2"/>
  <c r="Z177" i="2"/>
  <c r="BN198" i="2"/>
  <c r="BP201" i="2"/>
  <c r="BN201" i="2"/>
  <c r="Z201" i="2"/>
  <c r="Y238" i="2"/>
  <c r="BN272" i="2"/>
  <c r="Y309" i="2"/>
  <c r="BP305" i="2"/>
  <c r="BN362" i="2"/>
  <c r="BN395" i="2"/>
  <c r="X540" i="2"/>
  <c r="Y454" i="2"/>
  <c r="Y453" i="2"/>
  <c r="BP447" i="2"/>
  <c r="BN447" i="2"/>
  <c r="Z23" i="2"/>
  <c r="Z52" i="2"/>
  <c r="BP32" i="2"/>
  <c r="BN32" i="2"/>
  <c r="Z32" i="2"/>
  <c r="BP104" i="2"/>
  <c r="Y155" i="2"/>
  <c r="BP151" i="2"/>
  <c r="BN234" i="2"/>
  <c r="BN257" i="2"/>
  <c r="Y284" i="2"/>
  <c r="BP282" i="2"/>
  <c r="BN288" i="2"/>
  <c r="BP328" i="2"/>
  <c r="BN350" i="2"/>
  <c r="BN377" i="2"/>
  <c r="Z447" i="2"/>
  <c r="BN482" i="2"/>
  <c r="BP497" i="2"/>
  <c r="BN497" i="2"/>
  <c r="BN89" i="2"/>
  <c r="Z89" i="2"/>
  <c r="Z91" i="2" s="1"/>
  <c r="BN28" i="2"/>
  <c r="C540" i="2"/>
  <c r="Y47" i="2"/>
  <c r="Y46" i="2"/>
  <c r="Z42" i="2"/>
  <c r="Z45" i="2"/>
  <c r="BN70" i="2"/>
  <c r="BP107" i="2"/>
  <c r="BP113" i="2"/>
  <c r="BN113" i="2"/>
  <c r="Z113" i="2"/>
  <c r="Y131" i="2"/>
  <c r="Z151" i="2"/>
  <c r="Y154" i="2"/>
  <c r="BP198" i="2"/>
  <c r="Z282" i="2"/>
  <c r="BP322" i="2"/>
  <c r="Q540" i="2"/>
  <c r="Z407" i="2"/>
  <c r="Z497" i="2"/>
  <c r="BN54" i="2"/>
  <c r="Z31" i="2"/>
  <c r="Y56" i="2"/>
  <c r="BP273" i="2"/>
  <c r="BN273" i="2"/>
  <c r="Z273" i="2"/>
  <c r="BN305" i="2"/>
  <c r="BP344" i="2"/>
  <c r="BN344" i="2"/>
  <c r="BP363" i="2"/>
  <c r="BN363" i="2"/>
  <c r="Z363" i="2"/>
  <c r="Z54" i="2"/>
  <c r="X534" i="2"/>
  <c r="BN42" i="2"/>
  <c r="BN45" i="2"/>
  <c r="Z65" i="2"/>
  <c r="H540" i="2"/>
  <c r="BN151" i="2"/>
  <c r="Y189" i="2"/>
  <c r="BP214" i="2"/>
  <c r="BN214" i="2"/>
  <c r="Z229" i="2"/>
  <c r="BP270" i="2"/>
  <c r="Z270" i="2"/>
  <c r="BN282" i="2"/>
  <c r="Z344" i="2"/>
  <c r="BP360" i="2"/>
  <c r="Z360" i="2"/>
  <c r="BN407" i="2"/>
  <c r="Y417" i="2"/>
  <c r="Y442" i="2"/>
  <c r="BP440" i="2"/>
  <c r="BN440" i="2"/>
  <c r="Y458" i="2"/>
  <c r="BP457" i="2"/>
  <c r="BN457" i="2"/>
  <c r="BP521" i="2"/>
  <c r="BN521" i="2"/>
  <c r="Z521" i="2"/>
  <c r="Z523" i="2" s="1"/>
  <c r="BP69" i="2"/>
  <c r="BN69" i="2"/>
  <c r="Z69" i="2"/>
  <c r="Y119" i="2"/>
  <c r="BP112" i="2"/>
  <c r="BN112" i="2"/>
  <c r="BP89" i="2"/>
  <c r="Z112" i="2"/>
  <c r="BP59" i="2"/>
  <c r="BN59" i="2"/>
  <c r="E540" i="2"/>
  <c r="Z59" i="2"/>
  <c r="Y67" i="2"/>
  <c r="BP76" i="2"/>
  <c r="Z76" i="2"/>
  <c r="Z78" i="2" s="1"/>
  <c r="Y79" i="2"/>
  <c r="Y109" i="2"/>
  <c r="G540" i="2"/>
  <c r="BP102" i="2"/>
  <c r="BN102" i="2"/>
  <c r="Z136" i="2"/>
  <c r="Y146" i="2"/>
  <c r="BP145" i="2"/>
  <c r="BN145" i="2"/>
  <c r="BP169" i="2"/>
  <c r="BN169" i="2"/>
  <c r="L540" i="2"/>
  <c r="Y248" i="2"/>
  <c r="Y278" i="2"/>
  <c r="BP267" i="2"/>
  <c r="BN322" i="2"/>
  <c r="BP22" i="2"/>
  <c r="BN22" i="2"/>
  <c r="Z22" i="2"/>
  <c r="B540" i="2"/>
  <c r="Y25" i="2"/>
  <c r="Y24" i="2"/>
  <c r="BP29" i="2"/>
  <c r="Z29" i="2"/>
  <c r="BP52" i="2"/>
  <c r="BN29" i="2"/>
  <c r="F9" i="2"/>
  <c r="X530" i="2"/>
  <c r="BP42" i="2"/>
  <c r="BN65" i="2"/>
  <c r="Y91" i="2"/>
  <c r="Z96" i="2"/>
  <c r="Z102" i="2"/>
  <c r="Y127" i="2"/>
  <c r="Y126" i="2"/>
  <c r="BP122" i="2"/>
  <c r="BN122" i="2"/>
  <c r="Z145" i="2"/>
  <c r="Z160" i="2"/>
  <c r="Z169" i="2"/>
  <c r="Z211" i="2"/>
  <c r="BN229" i="2"/>
  <c r="BP255" i="2"/>
  <c r="Y264" i="2"/>
  <c r="BN255" i="2"/>
  <c r="Z255" i="2"/>
  <c r="Z267" i="2"/>
  <c r="BN270" i="2"/>
  <c r="BP306" i="2"/>
  <c r="BN306" i="2"/>
  <c r="Z306" i="2"/>
  <c r="Z308" i="2" s="1"/>
  <c r="Z316" i="2"/>
  <c r="BN360" i="2"/>
  <c r="Z540" i="2"/>
  <c r="BN23" i="2"/>
  <c r="Y283" i="2"/>
  <c r="Y355" i="2"/>
  <c r="Z385" i="2"/>
  <c r="Y418" i="2"/>
  <c r="Y437" i="2"/>
  <c r="Y436" i="2"/>
  <c r="BP435" i="2"/>
  <c r="BP477" i="2"/>
  <c r="BN477" i="2"/>
  <c r="Y490" i="2"/>
  <c r="Z28" i="2"/>
  <c r="Y74" i="2"/>
  <c r="BN76" i="2"/>
  <c r="J9" i="2"/>
  <c r="Y34" i="2"/>
  <c r="BN43" i="2"/>
  <c r="Z43" i="2"/>
  <c r="Z60" i="2"/>
  <c r="BN96" i="2"/>
  <c r="Z117" i="2"/>
  <c r="Z140" i="2"/>
  <c r="Z141" i="2" s="1"/>
  <c r="BN211" i="2"/>
  <c r="Y224" i="2"/>
  <c r="Z250" i="2"/>
  <c r="Z252" i="2" s="1"/>
  <c r="BN267" i="2"/>
  <c r="BN316" i="2"/>
  <c r="Y333" i="2"/>
  <c r="Z435" i="2"/>
  <c r="Z436" i="2" s="1"/>
  <c r="Z477" i="2"/>
  <c r="H9" i="2"/>
  <c r="D540" i="2"/>
  <c r="BN88" i="2"/>
  <c r="BP370" i="2"/>
  <c r="Z370" i="2"/>
  <c r="Y411" i="2"/>
  <c r="V540" i="2"/>
  <c r="BP405" i="2"/>
  <c r="BN405" i="2"/>
  <c r="Z405" i="2"/>
  <c r="Y499" i="2"/>
  <c r="BP492" i="2"/>
  <c r="BN492" i="2"/>
  <c r="BP28" i="2"/>
  <c r="F10" i="2"/>
  <c r="Y37" i="2"/>
  <c r="BP36" i="2"/>
  <c r="Y66" i="2"/>
  <c r="BP96" i="2"/>
  <c r="BP103" i="2"/>
  <c r="BN103" i="2"/>
  <c r="Z103" i="2"/>
  <c r="Y136" i="2"/>
  <c r="BP135" i="2"/>
  <c r="BP211" i="2"/>
  <c r="BN230" i="2"/>
  <c r="BP230" i="2"/>
  <c r="Z230" i="2"/>
  <c r="BN250" i="2"/>
  <c r="T540" i="2"/>
  <c r="BN435" i="2"/>
  <c r="BP452" i="2"/>
  <c r="BN452" i="2"/>
  <c r="Z492" i="2"/>
  <c r="BN274" i="2"/>
  <c r="BN307" i="2"/>
  <c r="BN343" i="2"/>
  <c r="BN354" i="2"/>
  <c r="BN364" i="2"/>
  <c r="BN397" i="2"/>
  <c r="BN409" i="2"/>
  <c r="BN456" i="2"/>
  <c r="Y518" i="2"/>
  <c r="J540" i="2"/>
  <c r="Y207" i="2"/>
  <c r="Z331" i="2"/>
  <c r="Z333" i="2" s="1"/>
  <c r="Y366" i="2"/>
  <c r="Z375" i="2"/>
  <c r="Z420" i="2"/>
  <c r="Z468" i="2"/>
  <c r="Z469" i="2" s="1"/>
  <c r="Z480" i="2"/>
  <c r="Z527" i="2"/>
  <c r="Z528" i="2" s="1"/>
  <c r="BN331" i="2"/>
  <c r="BN375" i="2"/>
  <c r="Y378" i="2"/>
  <c r="Z396" i="2"/>
  <c r="Z408" i="2"/>
  <c r="BN420" i="2"/>
  <c r="Z431" i="2"/>
  <c r="BN468" i="2"/>
  <c r="BN480" i="2"/>
  <c r="Y483" i="2"/>
  <c r="Y515" i="2"/>
  <c r="BN527" i="2"/>
  <c r="BN61" i="2"/>
  <c r="BN71" i="2"/>
  <c r="Z81" i="2"/>
  <c r="Z83" i="2" s="1"/>
  <c r="BN94" i="2"/>
  <c r="BN105" i="2"/>
  <c r="BN115" i="2"/>
  <c r="BN125" i="2"/>
  <c r="Y141" i="2"/>
  <c r="BN172" i="2"/>
  <c r="BN182" i="2"/>
  <c r="Z192" i="2"/>
  <c r="Z193" i="2" s="1"/>
  <c r="BN217" i="2"/>
  <c r="Z235" i="2"/>
  <c r="Z258" i="2"/>
  <c r="Z268" i="2"/>
  <c r="Y279" i="2"/>
  <c r="Z289" i="2"/>
  <c r="BN301" i="2"/>
  <c r="Z312" i="2"/>
  <c r="Z323" i="2"/>
  <c r="Z324" i="2" s="1"/>
  <c r="BN336" i="2"/>
  <c r="Z358" i="2"/>
  <c r="Z368" i="2"/>
  <c r="BN390" i="2"/>
  <c r="Z403" i="2"/>
  <c r="BN425" i="2"/>
  <c r="BN450" i="2"/>
  <c r="BN475" i="2"/>
  <c r="BN495" i="2"/>
  <c r="BP527" i="2"/>
  <c r="BN81" i="2"/>
  <c r="Y137" i="2"/>
  <c r="Y161" i="2"/>
  <c r="Z170" i="2"/>
  <c r="BN192" i="2"/>
  <c r="Z215" i="2"/>
  <c r="BN235" i="2"/>
  <c r="Z246" i="2"/>
  <c r="Z247" i="2" s="1"/>
  <c r="BN258" i="2"/>
  <c r="BN268" i="2"/>
  <c r="Z276" i="2"/>
  <c r="BN289" i="2"/>
  <c r="BP301" i="2"/>
  <c r="BN312" i="2"/>
  <c r="BN323" i="2"/>
  <c r="BN358" i="2"/>
  <c r="BN368" i="2"/>
  <c r="Y379" i="2"/>
  <c r="Z388" i="2"/>
  <c r="Z391" i="2" s="1"/>
  <c r="BN403" i="2"/>
  <c r="BP425" i="2"/>
  <c r="Z448" i="2"/>
  <c r="Y484" i="2"/>
  <c r="Z493" i="2"/>
  <c r="Z517" i="2"/>
  <c r="Z518" i="2" s="1"/>
  <c r="BP396" i="2"/>
  <c r="BP408" i="2"/>
  <c r="BP431" i="2"/>
  <c r="BN466" i="2"/>
  <c r="Y469" i="2"/>
  <c r="Y528" i="2"/>
  <c r="BN87" i="2"/>
  <c r="Y147" i="2"/>
  <c r="BN170" i="2"/>
  <c r="BP192" i="2"/>
  <c r="BN215" i="2"/>
  <c r="BN246" i="2"/>
  <c r="BN276" i="2"/>
  <c r="Z376" i="2"/>
  <c r="BN388" i="2"/>
  <c r="Y391" i="2"/>
  <c r="BP403" i="2"/>
  <c r="Z421" i="2"/>
  <c r="BN448" i="2"/>
  <c r="Y459" i="2"/>
  <c r="Z481" i="2"/>
  <c r="BN493" i="2"/>
  <c r="BN517" i="2"/>
  <c r="BN134" i="2"/>
  <c r="BN321" i="2"/>
  <c r="BP388" i="2"/>
  <c r="Y529" i="2"/>
  <c r="Z126" i="2" l="1"/>
  <c r="Z483" i="2"/>
  <c r="Z417" i="2"/>
  <c r="Z398" i="2"/>
  <c r="X533" i="2"/>
  <c r="Z154" i="2"/>
  <c r="Z146" i="2"/>
  <c r="Z98" i="2"/>
  <c r="Z73" i="2"/>
  <c r="Z378" i="2"/>
  <c r="Z278" i="2"/>
  <c r="Z442" i="2"/>
  <c r="Z263" i="2"/>
  <c r="Y531" i="2"/>
  <c r="Z202" i="2"/>
  <c r="Z514" i="2"/>
  <c r="Z317" i="2"/>
  <c r="Z119" i="2"/>
  <c r="Z283" i="2"/>
  <c r="Z55" i="2"/>
  <c r="Z422" i="2"/>
  <c r="Z237" i="2"/>
  <c r="Z453" i="2"/>
  <c r="Z432" i="2"/>
  <c r="Z224" i="2"/>
  <c r="Z178" i="2"/>
  <c r="Y534" i="2"/>
  <c r="Y530" i="2"/>
  <c r="Z24" i="2"/>
  <c r="Z46" i="2"/>
  <c r="Y532" i="2"/>
  <c r="Z355" i="2"/>
  <c r="Z411" i="2"/>
  <c r="Z231" i="2"/>
  <c r="Z499" i="2"/>
  <c r="Z33" i="2"/>
  <c r="Z109" i="2"/>
  <c r="Z66" i="2"/>
  <c r="Z372" i="2"/>
  <c r="Z345" i="2"/>
  <c r="Z365" i="2"/>
  <c r="Z294" i="2"/>
  <c r="Y533" i="2" l="1"/>
  <c r="Z535" i="2"/>
</calcChain>
</file>

<file path=xl/sharedStrings.xml><?xml version="1.0" encoding="utf-8"?>
<sst xmlns="http://schemas.openxmlformats.org/spreadsheetml/2006/main" count="3990" uniqueCount="847">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</sst>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0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8" t="s">
        <v>26</v>
      </c>
      <c r="E1" s="608"/>
      <c r="F1" s="608"/>
      <c r="G1" s="14" t="s">
        <v>67</v>
      </c>
      <c r="H1" s="608" t="s">
        <v>47</v>
      </c>
      <c r="I1" s="608"/>
      <c r="J1" s="608"/>
      <c r="K1" s="608"/>
      <c r="L1" s="608"/>
      <c r="M1" s="608"/>
      <c r="N1" s="608"/>
      <c r="O1" s="608"/>
      <c r="P1" s="608"/>
      <c r="Q1" s="608"/>
      <c r="R1" s="609" t="s">
        <v>68</v>
      </c>
      <c r="S1" s="610"/>
      <c r="T1" s="6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1"/>
      <c r="R2" s="611"/>
      <c r="S2" s="611"/>
      <c r="T2" s="611"/>
      <c r="U2" s="611"/>
      <c r="V2" s="611"/>
      <c r="W2" s="6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1"/>
      <c r="Q3" s="611"/>
      <c r="R3" s="611"/>
      <c r="S3" s="611"/>
      <c r="T3" s="611"/>
      <c r="U3" s="611"/>
      <c r="V3" s="611"/>
      <c r="W3" s="6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2" t="s">
        <v>8</v>
      </c>
      <c r="B5" s="612"/>
      <c r="C5" s="612"/>
      <c r="D5" s="613"/>
      <c r="E5" s="613"/>
      <c r="F5" s="614" t="s">
        <v>14</v>
      </c>
      <c r="G5" s="614"/>
      <c r="H5" s="613" t="s">
        <v>846</v>
      </c>
      <c r="I5" s="613"/>
      <c r="J5" s="613"/>
      <c r="K5" s="613"/>
      <c r="L5" s="613"/>
      <c r="M5" s="613"/>
      <c r="N5" s="72"/>
      <c r="P5" s="27" t="s">
        <v>4</v>
      </c>
      <c r="Q5" s="615">
        <v>46208</v>
      </c>
      <c r="R5" s="615"/>
      <c r="T5" s="616" t="s">
        <v>3</v>
      </c>
      <c r="U5" s="617"/>
      <c r="V5" s="618" t="s">
        <v>827</v>
      </c>
      <c r="W5" s="619"/>
      <c r="AB5" s="59"/>
      <c r="AC5" s="59"/>
      <c r="AD5" s="59"/>
      <c r="AE5" s="59"/>
    </row>
    <row r="6" spans="1:32" s="17" customFormat="1" ht="24" customHeight="1" x14ac:dyDescent="0.2">
      <c r="A6" s="612" t="s">
        <v>1</v>
      </c>
      <c r="B6" s="612"/>
      <c r="C6" s="612"/>
      <c r="D6" s="620" t="s">
        <v>828</v>
      </c>
      <c r="E6" s="620"/>
      <c r="F6" s="620"/>
      <c r="G6" s="620"/>
      <c r="H6" s="620"/>
      <c r="I6" s="620"/>
      <c r="J6" s="620"/>
      <c r="K6" s="620"/>
      <c r="L6" s="620"/>
      <c r="M6" s="620"/>
      <c r="N6" s="73"/>
      <c r="P6" s="27" t="s">
        <v>27</v>
      </c>
      <c r="Q6" s="621" t="str">
        <f>IF(Q5=0," ",CHOOSE(WEEKDAY(Q5,2),"Понедельник","Вторник","Среда","Четверг","Пятница","Суббота","Воскресенье"))</f>
        <v>Воскресенье</v>
      </c>
      <c r="R6" s="621"/>
      <c r="T6" s="622" t="s">
        <v>5</v>
      </c>
      <c r="U6" s="623"/>
      <c r="V6" s="624" t="s">
        <v>70</v>
      </c>
      <c r="W6" s="6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0" t="str">
        <f>IFERROR(VLOOKUP(DeliveryAddress,Table,3,0),1)</f>
        <v>1</v>
      </c>
      <c r="E7" s="631"/>
      <c r="F7" s="631"/>
      <c r="G7" s="631"/>
      <c r="H7" s="631"/>
      <c r="I7" s="631"/>
      <c r="J7" s="631"/>
      <c r="K7" s="631"/>
      <c r="L7" s="631"/>
      <c r="M7" s="632"/>
      <c r="N7" s="74"/>
      <c r="P7" s="29"/>
      <c r="Q7" s="48"/>
      <c r="R7" s="48"/>
      <c r="T7" s="622"/>
      <c r="U7" s="623"/>
      <c r="V7" s="626"/>
      <c r="W7" s="627"/>
      <c r="AB7" s="59"/>
      <c r="AC7" s="59"/>
      <c r="AD7" s="59"/>
      <c r="AE7" s="59"/>
    </row>
    <row r="8" spans="1:32" s="17" customFormat="1" ht="25.5" customHeight="1" x14ac:dyDescent="0.2">
      <c r="A8" s="633" t="s">
        <v>58</v>
      </c>
      <c r="B8" s="633"/>
      <c r="C8" s="633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75"/>
      <c r="P8" s="27" t="s">
        <v>11</v>
      </c>
      <c r="Q8" s="635">
        <v>0.375</v>
      </c>
      <c r="R8" s="635"/>
      <c r="T8" s="622"/>
      <c r="U8" s="623"/>
      <c r="V8" s="626"/>
      <c r="W8" s="627"/>
      <c r="AB8" s="59"/>
      <c r="AC8" s="59"/>
      <c r="AD8" s="59"/>
      <c r="AE8" s="59"/>
    </row>
    <row r="9" spans="1:32" s="17" customFormat="1" ht="39.950000000000003" customHeight="1" x14ac:dyDescent="0.2">
      <c r="A9" s="6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6"/>
      <c r="C9" s="636"/>
      <c r="D9" s="637" t="s">
        <v>46</v>
      </c>
      <c r="E9" s="638"/>
      <c r="F9" s="6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6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39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9"/>
      <c r="L9" s="639"/>
      <c r="M9" s="639"/>
      <c r="N9" s="70"/>
      <c r="P9" s="31" t="s">
        <v>15</v>
      </c>
      <c r="Q9" s="640"/>
      <c r="R9" s="640"/>
      <c r="T9" s="622"/>
      <c r="U9" s="623"/>
      <c r="V9" s="628"/>
      <c r="W9" s="6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6"/>
      <c r="C10" s="636"/>
      <c r="D10" s="637"/>
      <c r="E10" s="638"/>
      <c r="F10" s="6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6"/>
      <c r="H10" s="641" t="str">
        <f>IFERROR(VLOOKUP($D$10,Proxy,2,FALSE),"")</f>
        <v/>
      </c>
      <c r="I10" s="641"/>
      <c r="J10" s="641"/>
      <c r="K10" s="641"/>
      <c r="L10" s="641"/>
      <c r="M10" s="641"/>
      <c r="N10" s="71"/>
      <c r="P10" s="31" t="s">
        <v>32</v>
      </c>
      <c r="Q10" s="642"/>
      <c r="R10" s="642"/>
      <c r="U10" s="29" t="s">
        <v>12</v>
      </c>
      <c r="V10" s="643" t="s">
        <v>71</v>
      </c>
      <c r="W10" s="64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45"/>
      <c r="R11" s="645"/>
      <c r="U11" s="29" t="s">
        <v>28</v>
      </c>
      <c r="V11" s="646" t="s">
        <v>55</v>
      </c>
      <c r="W11" s="64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7" t="s">
        <v>72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7"/>
      <c r="N12" s="76"/>
      <c r="P12" s="27" t="s">
        <v>30</v>
      </c>
      <c r="Q12" s="635"/>
      <c r="R12" s="635"/>
      <c r="S12" s="28"/>
      <c r="T12"/>
      <c r="U12" s="29" t="s">
        <v>46</v>
      </c>
      <c r="V12" s="648"/>
      <c r="W12" s="648"/>
      <c r="X12"/>
      <c r="AB12" s="59"/>
      <c r="AC12" s="59"/>
      <c r="AD12" s="59"/>
      <c r="AE12" s="59"/>
    </row>
    <row r="13" spans="1:32" s="17" customFormat="1" ht="23.25" customHeight="1" x14ac:dyDescent="0.2">
      <c r="A13" s="647" t="s">
        <v>73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7"/>
      <c r="N13" s="76"/>
      <c r="O13" s="31"/>
      <c r="P13" s="31" t="s">
        <v>31</v>
      </c>
      <c r="Q13" s="646"/>
      <c r="R13" s="64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7" t="s">
        <v>74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49" t="s">
        <v>75</v>
      </c>
      <c r="B15" s="649"/>
      <c r="C15" s="649"/>
      <c r="D15" s="649"/>
      <c r="E15" s="649"/>
      <c r="F15" s="649"/>
      <c r="G15" s="649"/>
      <c r="H15" s="649"/>
      <c r="I15" s="649"/>
      <c r="J15" s="649"/>
      <c r="K15" s="649"/>
      <c r="L15" s="649"/>
      <c r="M15" s="649"/>
      <c r="N15" s="77"/>
      <c r="O15"/>
      <c r="P15" s="650" t="s">
        <v>61</v>
      </c>
      <c r="Q15" s="650"/>
      <c r="R15" s="650"/>
      <c r="S15" s="650"/>
      <c r="T15" s="6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1"/>
      <c r="Q16" s="651"/>
      <c r="R16" s="651"/>
      <c r="S16" s="651"/>
      <c r="T16" s="6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4" t="s">
        <v>59</v>
      </c>
      <c r="B17" s="654" t="s">
        <v>49</v>
      </c>
      <c r="C17" s="656" t="s">
        <v>48</v>
      </c>
      <c r="D17" s="658" t="s">
        <v>50</v>
      </c>
      <c r="E17" s="659"/>
      <c r="F17" s="654" t="s">
        <v>21</v>
      </c>
      <c r="G17" s="654" t="s">
        <v>24</v>
      </c>
      <c r="H17" s="654" t="s">
        <v>22</v>
      </c>
      <c r="I17" s="654" t="s">
        <v>23</v>
      </c>
      <c r="J17" s="654" t="s">
        <v>16</v>
      </c>
      <c r="K17" s="654" t="s">
        <v>66</v>
      </c>
      <c r="L17" s="654" t="s">
        <v>64</v>
      </c>
      <c r="M17" s="654" t="s">
        <v>2</v>
      </c>
      <c r="N17" s="654" t="s">
        <v>63</v>
      </c>
      <c r="O17" s="654" t="s">
        <v>25</v>
      </c>
      <c r="P17" s="658" t="s">
        <v>17</v>
      </c>
      <c r="Q17" s="662"/>
      <c r="R17" s="662"/>
      <c r="S17" s="662"/>
      <c r="T17" s="659"/>
      <c r="U17" s="652" t="s">
        <v>56</v>
      </c>
      <c r="V17" s="653"/>
      <c r="W17" s="654" t="s">
        <v>6</v>
      </c>
      <c r="X17" s="654" t="s">
        <v>41</v>
      </c>
      <c r="Y17" s="664" t="s">
        <v>54</v>
      </c>
      <c r="Z17" s="666" t="s">
        <v>18</v>
      </c>
      <c r="AA17" s="668" t="s">
        <v>60</v>
      </c>
      <c r="AB17" s="668" t="s">
        <v>19</v>
      </c>
      <c r="AC17" s="668" t="s">
        <v>65</v>
      </c>
      <c r="AD17" s="670" t="s">
        <v>57</v>
      </c>
      <c r="AE17" s="671"/>
      <c r="AF17" s="672"/>
      <c r="AG17" s="82"/>
      <c r="BD17" s="81" t="s">
        <v>62</v>
      </c>
    </row>
    <row r="18" spans="1:68" ht="14.25" customHeight="1" x14ac:dyDescent="0.2">
      <c r="A18" s="655"/>
      <c r="B18" s="655"/>
      <c r="C18" s="657"/>
      <c r="D18" s="660"/>
      <c r="E18" s="661"/>
      <c r="F18" s="655"/>
      <c r="G18" s="655"/>
      <c r="H18" s="655"/>
      <c r="I18" s="655"/>
      <c r="J18" s="655"/>
      <c r="K18" s="655"/>
      <c r="L18" s="655"/>
      <c r="M18" s="655"/>
      <c r="N18" s="655"/>
      <c r="O18" s="655"/>
      <c r="P18" s="660"/>
      <c r="Q18" s="663"/>
      <c r="R18" s="663"/>
      <c r="S18" s="663"/>
      <c r="T18" s="661"/>
      <c r="U18" s="83" t="s">
        <v>44</v>
      </c>
      <c r="V18" s="83" t="s">
        <v>43</v>
      </c>
      <c r="W18" s="655"/>
      <c r="X18" s="655"/>
      <c r="Y18" s="665"/>
      <c r="Z18" s="667"/>
      <c r="AA18" s="669"/>
      <c r="AB18" s="669"/>
      <c r="AC18" s="669"/>
      <c r="AD18" s="673"/>
      <c r="AE18" s="674"/>
      <c r="AF18" s="675"/>
      <c r="AG18" s="82"/>
      <c r="BD18" s="81"/>
    </row>
    <row r="19" spans="1:68" ht="27.75" hidden="1" customHeight="1" x14ac:dyDescent="0.2">
      <c r="A19" s="676" t="s">
        <v>76</v>
      </c>
      <c r="B19" s="676"/>
      <c r="C19" s="676"/>
      <c r="D19" s="676"/>
      <c r="E19" s="676"/>
      <c r="F19" s="676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54"/>
      <c r="AB19" s="54"/>
      <c r="AC19" s="54"/>
    </row>
    <row r="20" spans="1:68" ht="16.5" hidden="1" customHeight="1" x14ac:dyDescent="0.25">
      <c r="A20" s="677" t="s">
        <v>76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5"/>
      <c r="AB20" s="65"/>
      <c r="AC20" s="79"/>
    </row>
    <row r="21" spans="1:68" ht="14.25" hidden="1" customHeight="1" x14ac:dyDescent="0.25">
      <c r="A21" s="678" t="s">
        <v>77</v>
      </c>
      <c r="B21" s="678"/>
      <c r="C21" s="678"/>
      <c r="D21" s="678"/>
      <c r="E21" s="678"/>
      <c r="F21" s="678"/>
      <c r="G21" s="678"/>
      <c r="H21" s="678"/>
      <c r="I21" s="678"/>
      <c r="J21" s="678"/>
      <c r="K21" s="678"/>
      <c r="L21" s="678"/>
      <c r="M21" s="678"/>
      <c r="N21" s="678"/>
      <c r="O21" s="678"/>
      <c r="P21" s="678"/>
      <c r="Q21" s="678"/>
      <c r="R21" s="678"/>
      <c r="S21" s="678"/>
      <c r="T21" s="678"/>
      <c r="U21" s="678"/>
      <c r="V21" s="678"/>
      <c r="W21" s="678"/>
      <c r="X21" s="678"/>
      <c r="Y21" s="678"/>
      <c r="Z21" s="67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9">
        <v>4680115886643</v>
      </c>
      <c r="E22" s="67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1"/>
      <c r="R22" s="681"/>
      <c r="S22" s="681"/>
      <c r="T22" s="68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9">
        <v>4680115889071</v>
      </c>
      <c r="E23" s="67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8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1"/>
      <c r="R23" s="681"/>
      <c r="S23" s="681"/>
      <c r="T23" s="68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87"/>
      <c r="B24" s="687"/>
      <c r="C24" s="687"/>
      <c r="D24" s="687"/>
      <c r="E24" s="687"/>
      <c r="F24" s="687"/>
      <c r="G24" s="687"/>
      <c r="H24" s="687"/>
      <c r="I24" s="687"/>
      <c r="J24" s="687"/>
      <c r="K24" s="687"/>
      <c r="L24" s="687"/>
      <c r="M24" s="687"/>
      <c r="N24" s="687"/>
      <c r="O24" s="688"/>
      <c r="P24" s="684" t="s">
        <v>40</v>
      </c>
      <c r="Q24" s="685"/>
      <c r="R24" s="685"/>
      <c r="S24" s="685"/>
      <c r="T24" s="685"/>
      <c r="U24" s="685"/>
      <c r="V24" s="68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87"/>
      <c r="B25" s="687"/>
      <c r="C25" s="687"/>
      <c r="D25" s="687"/>
      <c r="E25" s="687"/>
      <c r="F25" s="687"/>
      <c r="G25" s="687"/>
      <c r="H25" s="687"/>
      <c r="I25" s="687"/>
      <c r="J25" s="687"/>
      <c r="K25" s="687"/>
      <c r="L25" s="687"/>
      <c r="M25" s="687"/>
      <c r="N25" s="687"/>
      <c r="O25" s="688"/>
      <c r="P25" s="684" t="s">
        <v>40</v>
      </c>
      <c r="Q25" s="685"/>
      <c r="R25" s="685"/>
      <c r="S25" s="685"/>
      <c r="T25" s="685"/>
      <c r="U25" s="685"/>
      <c r="V25" s="68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8" t="s">
        <v>86</v>
      </c>
      <c r="B26" s="678"/>
      <c r="C26" s="678"/>
      <c r="D26" s="678"/>
      <c r="E26" s="678"/>
      <c r="F26" s="678"/>
      <c r="G26" s="678"/>
      <c r="H26" s="678"/>
      <c r="I26" s="678"/>
      <c r="J26" s="678"/>
      <c r="K26" s="678"/>
      <c r="L26" s="678"/>
      <c r="M26" s="678"/>
      <c r="N26" s="678"/>
      <c r="O26" s="678"/>
      <c r="P26" s="678"/>
      <c r="Q26" s="678"/>
      <c r="R26" s="678"/>
      <c r="S26" s="678"/>
      <c r="T26" s="678"/>
      <c r="U26" s="678"/>
      <c r="V26" s="678"/>
      <c r="W26" s="678"/>
      <c r="X26" s="678"/>
      <c r="Y26" s="678"/>
      <c r="Z26" s="67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9">
        <v>4680115885912</v>
      </c>
      <c r="E27" s="67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8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1"/>
      <c r="R27" s="681"/>
      <c r="S27" s="681"/>
      <c r="T27" s="682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9">
        <v>4607091388237</v>
      </c>
      <c r="E28" s="67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1"/>
      <c r="R28" s="681"/>
      <c r="S28" s="681"/>
      <c r="T28" s="682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9">
        <v>4680115887350</v>
      </c>
      <c r="E29" s="67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1"/>
      <c r="R29" s="681"/>
      <c r="S29" s="681"/>
      <c r="T29" s="682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9">
        <v>4680115885905</v>
      </c>
      <c r="E30" s="67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6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1"/>
      <c r="R30" s="681"/>
      <c r="S30" s="681"/>
      <c r="T30" s="682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79">
        <v>4680115887657</v>
      </c>
      <c r="E31" s="67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6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81"/>
      <c r="R31" s="681"/>
      <c r="S31" s="681"/>
      <c r="T31" s="682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4301052071</v>
      </c>
      <c r="D32" s="679">
        <v>4680115887619</v>
      </c>
      <c r="E32" s="679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6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81"/>
      <c r="R32" s="681"/>
      <c r="S32" s="681"/>
      <c r="T32" s="682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87"/>
      <c r="B33" s="687"/>
      <c r="C33" s="687"/>
      <c r="D33" s="687"/>
      <c r="E33" s="687"/>
      <c r="F33" s="687"/>
      <c r="G33" s="687"/>
      <c r="H33" s="687"/>
      <c r="I33" s="687"/>
      <c r="J33" s="687"/>
      <c r="K33" s="687"/>
      <c r="L33" s="687"/>
      <c r="M33" s="687"/>
      <c r="N33" s="687"/>
      <c r="O33" s="688"/>
      <c r="P33" s="684" t="s">
        <v>40</v>
      </c>
      <c r="Q33" s="685"/>
      <c r="R33" s="685"/>
      <c r="S33" s="685"/>
      <c r="T33" s="685"/>
      <c r="U33" s="685"/>
      <c r="V33" s="68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87"/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8"/>
      <c r="P34" s="684" t="s">
        <v>40</v>
      </c>
      <c r="Q34" s="685"/>
      <c r="R34" s="685"/>
      <c r="S34" s="685"/>
      <c r="T34" s="685"/>
      <c r="U34" s="685"/>
      <c r="V34" s="68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78" t="s">
        <v>107</v>
      </c>
      <c r="B35" s="678"/>
      <c r="C35" s="678"/>
      <c r="D35" s="678"/>
      <c r="E35" s="678"/>
      <c r="F35" s="678"/>
      <c r="G35" s="678"/>
      <c r="H35" s="678"/>
      <c r="I35" s="678"/>
      <c r="J35" s="678"/>
      <c r="K35" s="678"/>
      <c r="L35" s="678"/>
      <c r="M35" s="678"/>
      <c r="N35" s="678"/>
      <c r="O35" s="678"/>
      <c r="P35" s="678"/>
      <c r="Q35" s="678"/>
      <c r="R35" s="678"/>
      <c r="S35" s="678"/>
      <c r="T35" s="678"/>
      <c r="U35" s="678"/>
      <c r="V35" s="678"/>
      <c r="W35" s="678"/>
      <c r="X35" s="678"/>
      <c r="Y35" s="678"/>
      <c r="Z35" s="678"/>
      <c r="AA35" s="66"/>
      <c r="AB35" s="66"/>
      <c r="AC35" s="80"/>
    </row>
    <row r="36" spans="1:68" ht="27" hidden="1" customHeight="1" x14ac:dyDescent="0.25">
      <c r="A36" s="63" t="s">
        <v>108</v>
      </c>
      <c r="B36" s="63" t="s">
        <v>109</v>
      </c>
      <c r="C36" s="36">
        <v>4301032013</v>
      </c>
      <c r="D36" s="679">
        <v>4607091388503</v>
      </c>
      <c r="E36" s="679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6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81"/>
      <c r="R36" s="681"/>
      <c r="S36" s="681"/>
      <c r="T36" s="682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87"/>
      <c r="B37" s="687"/>
      <c r="C37" s="687"/>
      <c r="D37" s="687"/>
      <c r="E37" s="687"/>
      <c r="F37" s="687"/>
      <c r="G37" s="687"/>
      <c r="H37" s="687"/>
      <c r="I37" s="687"/>
      <c r="J37" s="687"/>
      <c r="K37" s="687"/>
      <c r="L37" s="687"/>
      <c r="M37" s="687"/>
      <c r="N37" s="687"/>
      <c r="O37" s="688"/>
      <c r="P37" s="684" t="s">
        <v>40</v>
      </c>
      <c r="Q37" s="685"/>
      <c r="R37" s="685"/>
      <c r="S37" s="685"/>
      <c r="T37" s="685"/>
      <c r="U37" s="685"/>
      <c r="V37" s="68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87"/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8"/>
      <c r="P38" s="684" t="s">
        <v>40</v>
      </c>
      <c r="Q38" s="685"/>
      <c r="R38" s="685"/>
      <c r="S38" s="685"/>
      <c r="T38" s="685"/>
      <c r="U38" s="685"/>
      <c r="V38" s="68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76" t="s">
        <v>45</v>
      </c>
      <c r="B39" s="676"/>
      <c r="C39" s="676"/>
      <c r="D39" s="676"/>
      <c r="E39" s="676"/>
      <c r="F39" s="676"/>
      <c r="G39" s="676"/>
      <c r="H39" s="676"/>
      <c r="I39" s="676"/>
      <c r="J39" s="676"/>
      <c r="K39" s="676"/>
      <c r="L39" s="676"/>
      <c r="M39" s="676"/>
      <c r="N39" s="676"/>
      <c r="O39" s="676"/>
      <c r="P39" s="676"/>
      <c r="Q39" s="676"/>
      <c r="R39" s="676"/>
      <c r="S39" s="676"/>
      <c r="T39" s="676"/>
      <c r="U39" s="676"/>
      <c r="V39" s="676"/>
      <c r="W39" s="676"/>
      <c r="X39" s="676"/>
      <c r="Y39" s="676"/>
      <c r="Z39" s="676"/>
      <c r="AA39" s="54"/>
      <c r="AB39" s="54"/>
      <c r="AC39" s="54"/>
    </row>
    <row r="40" spans="1:68" ht="16.5" hidden="1" customHeight="1" x14ac:dyDescent="0.25">
      <c r="A40" s="677" t="s">
        <v>113</v>
      </c>
      <c r="B40" s="677"/>
      <c r="C40" s="677"/>
      <c r="D40" s="677"/>
      <c r="E40" s="677"/>
      <c r="F40" s="677"/>
      <c r="G40" s="677"/>
      <c r="H40" s="677"/>
      <c r="I40" s="677"/>
      <c r="J40" s="677"/>
      <c r="K40" s="677"/>
      <c r="L40" s="677"/>
      <c r="M40" s="677"/>
      <c r="N40" s="677"/>
      <c r="O40" s="677"/>
      <c r="P40" s="677"/>
      <c r="Q40" s="677"/>
      <c r="R40" s="677"/>
      <c r="S40" s="677"/>
      <c r="T40" s="677"/>
      <c r="U40" s="677"/>
      <c r="V40" s="677"/>
      <c r="W40" s="677"/>
      <c r="X40" s="677"/>
      <c r="Y40" s="677"/>
      <c r="Z40" s="677"/>
      <c r="AA40" s="65"/>
      <c r="AB40" s="65"/>
      <c r="AC40" s="79"/>
    </row>
    <row r="41" spans="1:68" ht="14.25" hidden="1" customHeight="1" x14ac:dyDescent="0.25">
      <c r="A41" s="678" t="s">
        <v>86</v>
      </c>
      <c r="B41" s="678"/>
      <c r="C41" s="678"/>
      <c r="D41" s="678"/>
      <c r="E41" s="678"/>
      <c r="F41" s="678"/>
      <c r="G41" s="678"/>
      <c r="H41" s="678"/>
      <c r="I41" s="678"/>
      <c r="J41" s="678"/>
      <c r="K41" s="678"/>
      <c r="L41" s="678"/>
      <c r="M41" s="678"/>
      <c r="N41" s="678"/>
      <c r="O41" s="678"/>
      <c r="P41" s="678"/>
      <c r="Q41" s="678"/>
      <c r="R41" s="678"/>
      <c r="S41" s="678"/>
      <c r="T41" s="678"/>
      <c r="U41" s="678"/>
      <c r="V41" s="678"/>
      <c r="W41" s="678"/>
      <c r="X41" s="678"/>
      <c r="Y41" s="678"/>
      <c r="Z41" s="678"/>
      <c r="AA41" s="66"/>
      <c r="AB41" s="66"/>
      <c r="AC41" s="80"/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79">
        <v>4680115888463</v>
      </c>
      <c r="E42" s="67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69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81"/>
      <c r="R42" s="681"/>
      <c r="S42" s="681"/>
      <c r="T42" s="68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79">
        <v>4680115888494</v>
      </c>
      <c r="E43" s="67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69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81"/>
      <c r="R43" s="681"/>
      <c r="S43" s="681"/>
      <c r="T43" s="68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79">
        <v>4680115888272</v>
      </c>
      <c r="E44" s="67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6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81"/>
      <c r="R44" s="681"/>
      <c r="S44" s="681"/>
      <c r="T44" s="682"/>
      <c r="U44" s="39" t="s">
        <v>46</v>
      </c>
      <c r="V44" s="39" t="s">
        <v>46</v>
      </c>
      <c r="W44" s="40" t="s">
        <v>0</v>
      </c>
      <c r="X44" s="58">
        <v>12.8</v>
      </c>
      <c r="Y44" s="55">
        <f>IFERROR(IF(X44="",0,CEILING((X44/$H44),1)*$H44),"")</f>
        <v>13.44</v>
      </c>
      <c r="Z44" s="41">
        <f>IFERROR(IF(Y44=0,"",ROUNDUP(Y44/H44,0)*0.00651),"")</f>
        <v>4.5569999999999999E-2</v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14.000000000000002</v>
      </c>
      <c r="BN44" s="78">
        <f>IFERROR(Y44*I44/H44,"0")</f>
        <v>14.700000000000001</v>
      </c>
      <c r="BO44" s="78">
        <f>IFERROR(1/J44*(X44/H44),"0")</f>
        <v>3.6630036630036632E-2</v>
      </c>
      <c r="BP44" s="78">
        <f>IFERROR(1/J44*(Y44/H44),"0")</f>
        <v>3.8461538461538464E-2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79">
        <v>4680115888364</v>
      </c>
      <c r="E45" s="67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69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81"/>
      <c r="R45" s="681"/>
      <c r="S45" s="681"/>
      <c r="T45" s="682"/>
      <c r="U45" s="39" t="s">
        <v>46</v>
      </c>
      <c r="V45" s="39" t="s">
        <v>46</v>
      </c>
      <c r="W45" s="40" t="s">
        <v>0</v>
      </c>
      <c r="X45" s="58">
        <v>19.2</v>
      </c>
      <c r="Y45" s="55">
        <f>IFERROR(IF(X45="",0,CEILING((X45/$H45),1)*$H45),"")</f>
        <v>19.2</v>
      </c>
      <c r="Z45" s="41">
        <f>IFERROR(IF(Y45=0,"",ROUNDUP(Y45/H45,0)*0.00651),"")</f>
        <v>6.5100000000000005E-2</v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21</v>
      </c>
      <c r="BN45" s="78">
        <f>IFERROR(Y45*I45/H45,"0")</f>
        <v>21</v>
      </c>
      <c r="BO45" s="78">
        <f>IFERROR(1/J45*(X45/H45),"0")</f>
        <v>5.4945054945054951E-2</v>
      </c>
      <c r="BP45" s="78">
        <f>IFERROR(1/J45*(Y45/H45),"0")</f>
        <v>5.4945054945054951E-2</v>
      </c>
    </row>
    <row r="46" spans="1:68" x14ac:dyDescent="0.2">
      <c r="A46" s="687"/>
      <c r="B46" s="687"/>
      <c r="C46" s="687"/>
      <c r="D46" s="687"/>
      <c r="E46" s="687"/>
      <c r="F46" s="687"/>
      <c r="G46" s="687"/>
      <c r="H46" s="687"/>
      <c r="I46" s="687"/>
      <c r="J46" s="687"/>
      <c r="K46" s="687"/>
      <c r="L46" s="687"/>
      <c r="M46" s="687"/>
      <c r="N46" s="687"/>
      <c r="O46" s="688"/>
      <c r="P46" s="684" t="s">
        <v>40</v>
      </c>
      <c r="Q46" s="685"/>
      <c r="R46" s="685"/>
      <c r="S46" s="685"/>
      <c r="T46" s="685"/>
      <c r="U46" s="685"/>
      <c r="V46" s="686"/>
      <c r="W46" s="42" t="s">
        <v>39</v>
      </c>
      <c r="X46" s="43">
        <f>IFERROR(X42/H42,"0")+IFERROR(X43/H43,"0")+IFERROR(X44/H44,"0")+IFERROR(X45/H45,"0")</f>
        <v>16.666666666666668</v>
      </c>
      <c r="Y46" s="43">
        <f>IFERROR(Y42/H42,"0")+IFERROR(Y43/H43,"0")+IFERROR(Y44/H44,"0")+IFERROR(Y45/H45,"0")</f>
        <v>17</v>
      </c>
      <c r="Z46" s="43">
        <f>IFERROR(IF(Z42="",0,Z42),"0")+IFERROR(IF(Z43="",0,Z43),"0")+IFERROR(IF(Z44="",0,Z44),"0")+IFERROR(IF(Z45="",0,Z45),"0")</f>
        <v>0.11067</v>
      </c>
      <c r="AA46" s="67"/>
      <c r="AB46" s="67"/>
      <c r="AC46" s="67"/>
    </row>
    <row r="47" spans="1:68" x14ac:dyDescent="0.2">
      <c r="A47" s="687"/>
      <c r="B47" s="687"/>
      <c r="C47" s="687"/>
      <c r="D47" s="687"/>
      <c r="E47" s="687"/>
      <c r="F47" s="687"/>
      <c r="G47" s="687"/>
      <c r="H47" s="687"/>
      <c r="I47" s="687"/>
      <c r="J47" s="687"/>
      <c r="K47" s="687"/>
      <c r="L47" s="687"/>
      <c r="M47" s="687"/>
      <c r="N47" s="687"/>
      <c r="O47" s="688"/>
      <c r="P47" s="684" t="s">
        <v>40</v>
      </c>
      <c r="Q47" s="685"/>
      <c r="R47" s="685"/>
      <c r="S47" s="685"/>
      <c r="T47" s="685"/>
      <c r="U47" s="685"/>
      <c r="V47" s="686"/>
      <c r="W47" s="42" t="s">
        <v>0</v>
      </c>
      <c r="X47" s="43">
        <f>IFERROR(SUM(X42:X45),"0")</f>
        <v>32</v>
      </c>
      <c r="Y47" s="43">
        <f>IFERROR(SUM(Y42:Y45),"0")</f>
        <v>32.64</v>
      </c>
      <c r="Z47" s="42"/>
      <c r="AA47" s="67"/>
      <c r="AB47" s="67"/>
      <c r="AC47" s="67"/>
    </row>
    <row r="48" spans="1:68" ht="27.75" hidden="1" customHeight="1" x14ac:dyDescent="0.2">
      <c r="A48" s="676" t="s">
        <v>126</v>
      </c>
      <c r="B48" s="676"/>
      <c r="C48" s="676"/>
      <c r="D48" s="676"/>
      <c r="E48" s="676"/>
      <c r="F48" s="676"/>
      <c r="G48" s="676"/>
      <c r="H48" s="676"/>
      <c r="I48" s="676"/>
      <c r="J48" s="676"/>
      <c r="K48" s="676"/>
      <c r="L48" s="676"/>
      <c r="M48" s="676"/>
      <c r="N48" s="676"/>
      <c r="O48" s="676"/>
      <c r="P48" s="676"/>
      <c r="Q48" s="676"/>
      <c r="R48" s="676"/>
      <c r="S48" s="676"/>
      <c r="T48" s="676"/>
      <c r="U48" s="676"/>
      <c r="V48" s="676"/>
      <c r="W48" s="676"/>
      <c r="X48" s="676"/>
      <c r="Y48" s="676"/>
      <c r="Z48" s="676"/>
      <c r="AA48" s="54"/>
      <c r="AB48" s="54"/>
      <c r="AC48" s="54"/>
    </row>
    <row r="49" spans="1:68" ht="16.5" hidden="1" customHeight="1" x14ac:dyDescent="0.25">
      <c r="A49" s="677" t="s">
        <v>127</v>
      </c>
      <c r="B49" s="677"/>
      <c r="C49" s="677"/>
      <c r="D49" s="677"/>
      <c r="E49" s="677"/>
      <c r="F49" s="677"/>
      <c r="G49" s="677"/>
      <c r="H49" s="677"/>
      <c r="I49" s="677"/>
      <c r="J49" s="677"/>
      <c r="K49" s="677"/>
      <c r="L49" s="677"/>
      <c r="M49" s="677"/>
      <c r="N49" s="677"/>
      <c r="O49" s="677"/>
      <c r="P49" s="677"/>
      <c r="Q49" s="677"/>
      <c r="R49" s="677"/>
      <c r="S49" s="677"/>
      <c r="T49" s="677"/>
      <c r="U49" s="677"/>
      <c r="V49" s="677"/>
      <c r="W49" s="677"/>
      <c r="X49" s="677"/>
      <c r="Y49" s="677"/>
      <c r="Z49" s="677"/>
      <c r="AA49" s="65"/>
      <c r="AB49" s="65"/>
      <c r="AC49" s="79"/>
    </row>
    <row r="50" spans="1:68" ht="14.25" hidden="1" customHeight="1" x14ac:dyDescent="0.25">
      <c r="A50" s="678" t="s">
        <v>128</v>
      </c>
      <c r="B50" s="678"/>
      <c r="C50" s="678"/>
      <c r="D50" s="678"/>
      <c r="E50" s="678"/>
      <c r="F50" s="678"/>
      <c r="G50" s="678"/>
      <c r="H50" s="678"/>
      <c r="I50" s="678"/>
      <c r="J50" s="678"/>
      <c r="K50" s="678"/>
      <c r="L50" s="678"/>
      <c r="M50" s="678"/>
      <c r="N50" s="678"/>
      <c r="O50" s="678"/>
      <c r="P50" s="678"/>
      <c r="Q50" s="678"/>
      <c r="R50" s="678"/>
      <c r="S50" s="678"/>
      <c r="T50" s="678"/>
      <c r="U50" s="678"/>
      <c r="V50" s="678"/>
      <c r="W50" s="678"/>
      <c r="X50" s="678"/>
      <c r="Y50" s="678"/>
      <c r="Z50" s="67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79">
        <v>4607091385670</v>
      </c>
      <c r="E51" s="67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81"/>
      <c r="R51" s="681"/>
      <c r="S51" s="681"/>
      <c r="T51" s="682"/>
      <c r="U51" s="39" t="s">
        <v>46</v>
      </c>
      <c r="V51" s="39" t="s">
        <v>46</v>
      </c>
      <c r="W51" s="40" t="s">
        <v>0</v>
      </c>
      <c r="X51" s="58">
        <v>400</v>
      </c>
      <c r="Y51" s="55">
        <f>IFERROR(IF(X51="",0,CEILING((X51/$H51),1)*$H51),"")</f>
        <v>410.40000000000003</v>
      </c>
      <c r="Z51" s="41">
        <f>IFERROR(IF(Y51=0,"",ROUNDUP(Y51/H51,0)*0.01898),"")</f>
        <v>0.72123999999999999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415.18518518518516</v>
      </c>
      <c r="BN51" s="78">
        <f>IFERROR(Y51*I51/H51,"0")</f>
        <v>425.98</v>
      </c>
      <c r="BO51" s="78">
        <f>IFERROR(1/J51*(X51/H51),"0")</f>
        <v>0.57870370370370372</v>
      </c>
      <c r="BP51" s="78">
        <f>IFERROR(1/J51*(Y51/H51),"0")</f>
        <v>0.59375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79">
        <v>4680115887725</v>
      </c>
      <c r="E52" s="67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0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81"/>
      <c r="R52" s="681"/>
      <c r="S52" s="681"/>
      <c r="T52" s="68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79">
        <v>4607091385687</v>
      </c>
      <c r="E53" s="67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81"/>
      <c r="R53" s="681"/>
      <c r="S53" s="681"/>
      <c r="T53" s="682"/>
      <c r="U53" s="39" t="s">
        <v>46</v>
      </c>
      <c r="V53" s="39" t="s">
        <v>46</v>
      </c>
      <c r="W53" s="40" t="s">
        <v>0</v>
      </c>
      <c r="X53" s="58">
        <v>160</v>
      </c>
      <c r="Y53" s="55">
        <f>IFERROR(IF(X53="",0,CEILING((X53/$H53),1)*$H53),"")</f>
        <v>160</v>
      </c>
      <c r="Z53" s="41">
        <f>IFERROR(IF(Y53=0,"",ROUNDUP(Y53/H53,0)*0.00902),"")</f>
        <v>0.36080000000000001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167.60000000000002</v>
      </c>
      <c r="BN53" s="78">
        <f>IFERROR(Y53*I53/H53,"0")</f>
        <v>167.60000000000002</v>
      </c>
      <c r="BO53" s="78">
        <f>IFERROR(1/J53*(X53/H53),"0")</f>
        <v>0.30303030303030304</v>
      </c>
      <c r="BP53" s="78">
        <f>IFERROR(1/J53*(Y53/H53),"0")</f>
        <v>0.30303030303030304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79">
        <v>4680115882539</v>
      </c>
      <c r="E54" s="67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81"/>
      <c r="R54" s="681"/>
      <c r="S54" s="681"/>
      <c r="T54" s="68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87"/>
      <c r="B55" s="687"/>
      <c r="C55" s="687"/>
      <c r="D55" s="687"/>
      <c r="E55" s="687"/>
      <c r="F55" s="687"/>
      <c r="G55" s="687"/>
      <c r="H55" s="687"/>
      <c r="I55" s="687"/>
      <c r="J55" s="687"/>
      <c r="K55" s="687"/>
      <c r="L55" s="687"/>
      <c r="M55" s="687"/>
      <c r="N55" s="687"/>
      <c r="O55" s="688"/>
      <c r="P55" s="684" t="s">
        <v>40</v>
      </c>
      <c r="Q55" s="685"/>
      <c r="R55" s="685"/>
      <c r="S55" s="685"/>
      <c r="T55" s="685"/>
      <c r="U55" s="685"/>
      <c r="V55" s="686"/>
      <c r="W55" s="42" t="s">
        <v>39</v>
      </c>
      <c r="X55" s="43">
        <f>IFERROR(X51/H51,"0")+IFERROR(X52/H52,"0")+IFERROR(X53/H53,"0")+IFERROR(X54/H54,"0")</f>
        <v>77.037037037037038</v>
      </c>
      <c r="Y55" s="43">
        <f>IFERROR(Y51/H51,"0")+IFERROR(Y52/H52,"0")+IFERROR(Y53/H53,"0")+IFERROR(Y54/H54,"0")</f>
        <v>78</v>
      </c>
      <c r="Z55" s="43">
        <f>IFERROR(IF(Z51="",0,Z51),"0")+IFERROR(IF(Z52="",0,Z52),"0")+IFERROR(IF(Z53="",0,Z53),"0")+IFERROR(IF(Z54="",0,Z54),"0")</f>
        <v>1.0820400000000001</v>
      </c>
      <c r="AA55" s="67"/>
      <c r="AB55" s="67"/>
      <c r="AC55" s="67"/>
    </row>
    <row r="56" spans="1:68" x14ac:dyDescent="0.2">
      <c r="A56" s="687"/>
      <c r="B56" s="687"/>
      <c r="C56" s="687"/>
      <c r="D56" s="687"/>
      <c r="E56" s="687"/>
      <c r="F56" s="687"/>
      <c r="G56" s="687"/>
      <c r="H56" s="687"/>
      <c r="I56" s="687"/>
      <c r="J56" s="687"/>
      <c r="K56" s="687"/>
      <c r="L56" s="687"/>
      <c r="M56" s="687"/>
      <c r="N56" s="687"/>
      <c r="O56" s="688"/>
      <c r="P56" s="684" t="s">
        <v>40</v>
      </c>
      <c r="Q56" s="685"/>
      <c r="R56" s="685"/>
      <c r="S56" s="685"/>
      <c r="T56" s="685"/>
      <c r="U56" s="685"/>
      <c r="V56" s="686"/>
      <c r="W56" s="42" t="s">
        <v>0</v>
      </c>
      <c r="X56" s="43">
        <f>IFERROR(SUM(X51:X54),"0")</f>
        <v>560</v>
      </c>
      <c r="Y56" s="43">
        <f>IFERROR(SUM(Y51:Y54),"0")</f>
        <v>570.40000000000009</v>
      </c>
      <c r="Z56" s="42"/>
      <c r="AA56" s="67"/>
      <c r="AB56" s="67"/>
      <c r="AC56" s="67"/>
    </row>
    <row r="57" spans="1:68" ht="16.5" hidden="1" customHeight="1" x14ac:dyDescent="0.25">
      <c r="A57" s="677" t="s">
        <v>143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5"/>
      <c r="AB57" s="65"/>
      <c r="AC57" s="79"/>
    </row>
    <row r="58" spans="1:68" ht="14.25" hidden="1" customHeight="1" x14ac:dyDescent="0.25">
      <c r="A58" s="678" t="s">
        <v>128</v>
      </c>
      <c r="B58" s="678"/>
      <c r="C58" s="678"/>
      <c r="D58" s="678"/>
      <c r="E58" s="678"/>
      <c r="F58" s="678"/>
      <c r="G58" s="678"/>
      <c r="H58" s="678"/>
      <c r="I58" s="678"/>
      <c r="J58" s="678"/>
      <c r="K58" s="678"/>
      <c r="L58" s="678"/>
      <c r="M58" s="678"/>
      <c r="N58" s="678"/>
      <c r="O58" s="678"/>
      <c r="P58" s="678"/>
      <c r="Q58" s="678"/>
      <c r="R58" s="678"/>
      <c r="S58" s="678"/>
      <c r="T58" s="678"/>
      <c r="U58" s="678"/>
      <c r="V58" s="678"/>
      <c r="W58" s="678"/>
      <c r="X58" s="678"/>
      <c r="Y58" s="678"/>
      <c r="Z58" s="67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79">
        <v>4680115885882</v>
      </c>
      <c r="E59" s="67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0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81"/>
      <c r="R59" s="681"/>
      <c r="S59" s="681"/>
      <c r="T59" s="68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79">
        <v>4680115885882</v>
      </c>
      <c r="E60" s="67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0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81"/>
      <c r="R60" s="681"/>
      <c r="S60" s="681"/>
      <c r="T60" s="68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79">
        <v>4680115881426</v>
      </c>
      <c r="E61" s="67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81"/>
      <c r="R61" s="681"/>
      <c r="S61" s="681"/>
      <c r="T61" s="68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79">
        <v>4680115880283</v>
      </c>
      <c r="E62" s="67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81"/>
      <c r="R62" s="681"/>
      <c r="S62" s="681"/>
      <c r="T62" s="68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hidden="1" customHeight="1" x14ac:dyDescent="0.25">
      <c r="A63" s="63" t="s">
        <v>155</v>
      </c>
      <c r="B63" s="63" t="s">
        <v>156</v>
      </c>
      <c r="C63" s="36">
        <v>4301011806</v>
      </c>
      <c r="D63" s="679">
        <v>4680115881525</v>
      </c>
      <c r="E63" s="679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50</v>
      </c>
      <c r="P63" s="7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81"/>
      <c r="R63" s="681"/>
      <c r="S63" s="681"/>
      <c r="T63" s="68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4301012165</v>
      </c>
      <c r="D64" s="679">
        <v>4680115885899</v>
      </c>
      <c r="E64" s="679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91</v>
      </c>
      <c r="L64" s="37" t="s">
        <v>46</v>
      </c>
      <c r="M64" s="38" t="s">
        <v>132</v>
      </c>
      <c r="N64" s="38"/>
      <c r="O64" s="37">
        <v>50</v>
      </c>
      <c r="P64" s="70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81"/>
      <c r="R64" s="681"/>
      <c r="S64" s="681"/>
      <c r="T64" s="68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148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customHeight="1" x14ac:dyDescent="0.25">
      <c r="A65" s="63" t="s">
        <v>160</v>
      </c>
      <c r="B65" s="63" t="s">
        <v>161</v>
      </c>
      <c r="C65" s="36">
        <v>4301011801</v>
      </c>
      <c r="D65" s="679">
        <v>4680115881419</v>
      </c>
      <c r="E65" s="679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140</v>
      </c>
      <c r="L65" s="37" t="s">
        <v>46</v>
      </c>
      <c r="M65" s="38" t="s">
        <v>132</v>
      </c>
      <c r="N65" s="38"/>
      <c r="O65" s="37">
        <v>50</v>
      </c>
      <c r="P65" s="7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81"/>
      <c r="R65" s="681"/>
      <c r="S65" s="681"/>
      <c r="T65" s="682"/>
      <c r="U65" s="39" t="s">
        <v>46</v>
      </c>
      <c r="V65" s="39" t="s">
        <v>46</v>
      </c>
      <c r="W65" s="40" t="s">
        <v>0</v>
      </c>
      <c r="X65" s="58">
        <v>225</v>
      </c>
      <c r="Y65" s="55">
        <f t="shared" si="6"/>
        <v>225</v>
      </c>
      <c r="Z65" s="41">
        <f>IFERROR(IF(Y65=0,"",ROUNDUP(Y65/H65,0)*0.00902),"")</f>
        <v>0.45100000000000001</v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234.5</v>
      </c>
      <c r="BN65" s="78">
        <f t="shared" si="8"/>
        <v>234.5</v>
      </c>
      <c r="BO65" s="78">
        <f t="shared" si="9"/>
        <v>0.37878787878787878</v>
      </c>
      <c r="BP65" s="78">
        <f t="shared" si="10"/>
        <v>0.37878787878787878</v>
      </c>
    </row>
    <row r="66" spans="1:68" x14ac:dyDescent="0.2">
      <c r="A66" s="687"/>
      <c r="B66" s="687"/>
      <c r="C66" s="687"/>
      <c r="D66" s="687"/>
      <c r="E66" s="687"/>
      <c r="F66" s="687"/>
      <c r="G66" s="687"/>
      <c r="H66" s="687"/>
      <c r="I66" s="687"/>
      <c r="J66" s="687"/>
      <c r="K66" s="687"/>
      <c r="L66" s="687"/>
      <c r="M66" s="687"/>
      <c r="N66" s="687"/>
      <c r="O66" s="688"/>
      <c r="P66" s="684" t="s">
        <v>40</v>
      </c>
      <c r="Q66" s="685"/>
      <c r="R66" s="685"/>
      <c r="S66" s="685"/>
      <c r="T66" s="685"/>
      <c r="U66" s="685"/>
      <c r="V66" s="686"/>
      <c r="W66" s="42" t="s">
        <v>39</v>
      </c>
      <c r="X66" s="43">
        <f>IFERROR(X59/H59,"0")+IFERROR(X60/H60,"0")+IFERROR(X61/H61,"0")+IFERROR(X62/H62,"0")+IFERROR(X63/H63,"0")+IFERROR(X64/H64,"0")+IFERROR(X65/H65,"0")</f>
        <v>50</v>
      </c>
      <c r="Y66" s="43">
        <f>IFERROR(Y59/H59,"0")+IFERROR(Y60/H60,"0")+IFERROR(Y61/H61,"0")+IFERROR(Y62/H62,"0")+IFERROR(Y63/H63,"0")+IFERROR(Y64/H64,"0")+IFERROR(Y65/H65,"0")</f>
        <v>50</v>
      </c>
      <c r="Z66" s="43">
        <f>IFERROR(IF(Z59="",0,Z59),"0")+IFERROR(IF(Z60="",0,Z60),"0")+IFERROR(IF(Z61="",0,Z61),"0")+IFERROR(IF(Z62="",0,Z62),"0")+IFERROR(IF(Z63="",0,Z63),"0")+IFERROR(IF(Z64="",0,Z64),"0")+IFERROR(IF(Z65="",0,Z65),"0")</f>
        <v>0.45100000000000001</v>
      </c>
      <c r="AA66" s="67"/>
      <c r="AB66" s="67"/>
      <c r="AC66" s="67"/>
    </row>
    <row r="67" spans="1:68" x14ac:dyDescent="0.2">
      <c r="A67" s="687"/>
      <c r="B67" s="687"/>
      <c r="C67" s="687"/>
      <c r="D67" s="687"/>
      <c r="E67" s="687"/>
      <c r="F67" s="687"/>
      <c r="G67" s="687"/>
      <c r="H67" s="687"/>
      <c r="I67" s="687"/>
      <c r="J67" s="687"/>
      <c r="K67" s="687"/>
      <c r="L67" s="687"/>
      <c r="M67" s="687"/>
      <c r="N67" s="687"/>
      <c r="O67" s="688"/>
      <c r="P67" s="684" t="s">
        <v>40</v>
      </c>
      <c r="Q67" s="685"/>
      <c r="R67" s="685"/>
      <c r="S67" s="685"/>
      <c r="T67" s="685"/>
      <c r="U67" s="685"/>
      <c r="V67" s="686"/>
      <c r="W67" s="42" t="s">
        <v>0</v>
      </c>
      <c r="X67" s="43">
        <f>IFERROR(SUM(X59:X65),"0")</f>
        <v>225</v>
      </c>
      <c r="Y67" s="43">
        <f>IFERROR(SUM(Y59:Y65),"0")</f>
        <v>225</v>
      </c>
      <c r="Z67" s="42"/>
      <c r="AA67" s="67"/>
      <c r="AB67" s="67"/>
      <c r="AC67" s="67"/>
    </row>
    <row r="68" spans="1:68" ht="14.25" hidden="1" customHeight="1" x14ac:dyDescent="0.25">
      <c r="A68" s="678" t="s">
        <v>163</v>
      </c>
      <c r="B68" s="678"/>
      <c r="C68" s="678"/>
      <c r="D68" s="678"/>
      <c r="E68" s="678"/>
      <c r="F68" s="678"/>
      <c r="G68" s="678"/>
      <c r="H68" s="678"/>
      <c r="I68" s="678"/>
      <c r="J68" s="678"/>
      <c r="K68" s="678"/>
      <c r="L68" s="678"/>
      <c r="M68" s="678"/>
      <c r="N68" s="678"/>
      <c r="O68" s="678"/>
      <c r="P68" s="678"/>
      <c r="Q68" s="678"/>
      <c r="R68" s="678"/>
      <c r="S68" s="678"/>
      <c r="T68" s="678"/>
      <c r="U68" s="678"/>
      <c r="V68" s="678"/>
      <c r="W68" s="678"/>
      <c r="X68" s="678"/>
      <c r="Y68" s="678"/>
      <c r="Z68" s="678"/>
      <c r="AA68" s="66"/>
      <c r="AB68" s="66"/>
      <c r="AC68" s="80"/>
    </row>
    <row r="69" spans="1:68" ht="16.5" hidden="1" customHeight="1" x14ac:dyDescent="0.25">
      <c r="A69" s="63" t="s">
        <v>164</v>
      </c>
      <c r="B69" s="63" t="s">
        <v>165</v>
      </c>
      <c r="C69" s="36">
        <v>4301020298</v>
      </c>
      <c r="D69" s="679">
        <v>4680115881440</v>
      </c>
      <c r="E69" s="679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133</v>
      </c>
      <c r="L69" s="37" t="s">
        <v>46</v>
      </c>
      <c r="M69" s="38" t="s">
        <v>132</v>
      </c>
      <c r="N69" s="38"/>
      <c r="O69" s="37">
        <v>50</v>
      </c>
      <c r="P69" s="71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81"/>
      <c r="R69" s="681"/>
      <c r="S69" s="681"/>
      <c r="T69" s="682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IFERROR(IF(Y69=0,"",ROUNDUP(Y69/H69,0)*0.01898),"")</f>
        <v/>
      </c>
      <c r="AA69" s="68" t="s">
        <v>46</v>
      </c>
      <c r="AB69" s="69" t="s">
        <v>46</v>
      </c>
      <c r="AC69" s="134" t="s">
        <v>166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4301020358</v>
      </c>
      <c r="D70" s="679">
        <v>4680115885950</v>
      </c>
      <c r="E70" s="679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91</v>
      </c>
      <c r="L70" s="37" t="s">
        <v>46</v>
      </c>
      <c r="M70" s="38" t="s">
        <v>90</v>
      </c>
      <c r="N70" s="38"/>
      <c r="O70" s="37">
        <v>50</v>
      </c>
      <c r="P70" s="71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81"/>
      <c r="R70" s="681"/>
      <c r="S70" s="681"/>
      <c r="T70" s="68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4301020371</v>
      </c>
      <c r="D71" s="679">
        <v>4680115887688</v>
      </c>
      <c r="E71" s="679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137</v>
      </c>
      <c r="L71" s="37" t="s">
        <v>46</v>
      </c>
      <c r="M71" s="38" t="s">
        <v>81</v>
      </c>
      <c r="N71" s="38"/>
      <c r="O71" s="37">
        <v>30</v>
      </c>
      <c r="P71" s="7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81"/>
      <c r="R71" s="681"/>
      <c r="S71" s="681"/>
      <c r="T71" s="68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172</v>
      </c>
      <c r="B72" s="63" t="s">
        <v>173</v>
      </c>
      <c r="C72" s="36">
        <v>4301020296</v>
      </c>
      <c r="D72" s="679">
        <v>4680115881433</v>
      </c>
      <c r="E72" s="679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132</v>
      </c>
      <c r="N72" s="38"/>
      <c r="O72" s="37">
        <v>50</v>
      </c>
      <c r="P72" s="71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81"/>
      <c r="R72" s="681"/>
      <c r="S72" s="681"/>
      <c r="T72" s="682"/>
      <c r="U72" s="39" t="s">
        <v>46</v>
      </c>
      <c r="V72" s="39" t="s">
        <v>46</v>
      </c>
      <c r="W72" s="40" t="s">
        <v>0</v>
      </c>
      <c r="X72" s="58">
        <v>157.5</v>
      </c>
      <c r="Y72" s="55">
        <f>IFERROR(IF(X72="",0,CEILING((X72/$H72),1)*$H72),"")</f>
        <v>159.30000000000001</v>
      </c>
      <c r="Z72" s="41">
        <f>IFERROR(IF(Y72=0,"",ROUNDUP(Y72/H72,0)*0.00651),"")</f>
        <v>0.38408999999999999</v>
      </c>
      <c r="AA72" s="68" t="s">
        <v>46</v>
      </c>
      <c r="AB72" s="69" t="s">
        <v>46</v>
      </c>
      <c r="AC72" s="140" t="s">
        <v>166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167.99999999999997</v>
      </c>
      <c r="BN72" s="78">
        <f>IFERROR(Y72*I72/H72,"0")</f>
        <v>169.92</v>
      </c>
      <c r="BO72" s="78">
        <f>IFERROR(1/J72*(X72/H72),"0")</f>
        <v>0.32051282051282048</v>
      </c>
      <c r="BP72" s="78">
        <f>IFERROR(1/J72*(Y72/H72),"0")</f>
        <v>0.32417582417582419</v>
      </c>
    </row>
    <row r="73" spans="1:68" x14ac:dyDescent="0.2">
      <c r="A73" s="687"/>
      <c r="B73" s="687"/>
      <c r="C73" s="687"/>
      <c r="D73" s="687"/>
      <c r="E73" s="687"/>
      <c r="F73" s="687"/>
      <c r="G73" s="687"/>
      <c r="H73" s="687"/>
      <c r="I73" s="687"/>
      <c r="J73" s="687"/>
      <c r="K73" s="687"/>
      <c r="L73" s="687"/>
      <c r="M73" s="687"/>
      <c r="N73" s="687"/>
      <c r="O73" s="688"/>
      <c r="P73" s="684" t="s">
        <v>40</v>
      </c>
      <c r="Q73" s="685"/>
      <c r="R73" s="685"/>
      <c r="S73" s="685"/>
      <c r="T73" s="685"/>
      <c r="U73" s="685"/>
      <c r="V73" s="686"/>
      <c r="W73" s="42" t="s">
        <v>39</v>
      </c>
      <c r="X73" s="43">
        <f>IFERROR(X69/H69,"0")+IFERROR(X70/H70,"0")+IFERROR(X71/H71,"0")+IFERROR(X72/H72,"0")</f>
        <v>58.333333333333329</v>
      </c>
      <c r="Y73" s="43">
        <f>IFERROR(Y69/H69,"0")+IFERROR(Y70/H70,"0")+IFERROR(Y71/H71,"0")+IFERROR(Y72/H72,"0")</f>
        <v>59</v>
      </c>
      <c r="Z73" s="43">
        <f>IFERROR(IF(Z69="",0,Z69),"0")+IFERROR(IF(Z70="",0,Z70),"0")+IFERROR(IF(Z71="",0,Z71),"0")+IFERROR(IF(Z72="",0,Z72),"0")</f>
        <v>0.38408999999999999</v>
      </c>
      <c r="AA73" s="67"/>
      <c r="AB73" s="67"/>
      <c r="AC73" s="67"/>
    </row>
    <row r="74" spans="1:68" x14ac:dyDescent="0.2">
      <c r="A74" s="687"/>
      <c r="B74" s="687"/>
      <c r="C74" s="687"/>
      <c r="D74" s="687"/>
      <c r="E74" s="687"/>
      <c r="F74" s="687"/>
      <c r="G74" s="687"/>
      <c r="H74" s="687"/>
      <c r="I74" s="687"/>
      <c r="J74" s="687"/>
      <c r="K74" s="687"/>
      <c r="L74" s="687"/>
      <c r="M74" s="687"/>
      <c r="N74" s="687"/>
      <c r="O74" s="688"/>
      <c r="P74" s="684" t="s">
        <v>40</v>
      </c>
      <c r="Q74" s="685"/>
      <c r="R74" s="685"/>
      <c r="S74" s="685"/>
      <c r="T74" s="685"/>
      <c r="U74" s="685"/>
      <c r="V74" s="686"/>
      <c r="W74" s="42" t="s">
        <v>0</v>
      </c>
      <c r="X74" s="43">
        <f>IFERROR(SUM(X69:X72),"0")</f>
        <v>157.5</v>
      </c>
      <c r="Y74" s="43">
        <f>IFERROR(SUM(Y69:Y72),"0")</f>
        <v>159.30000000000001</v>
      </c>
      <c r="Z74" s="42"/>
      <c r="AA74" s="67"/>
      <c r="AB74" s="67"/>
      <c r="AC74" s="67"/>
    </row>
    <row r="75" spans="1:68" ht="14.25" hidden="1" customHeight="1" x14ac:dyDescent="0.25">
      <c r="A75" s="678" t="s">
        <v>86</v>
      </c>
      <c r="B75" s="678"/>
      <c r="C75" s="678"/>
      <c r="D75" s="678"/>
      <c r="E75" s="678"/>
      <c r="F75" s="678"/>
      <c r="G75" s="678"/>
      <c r="H75" s="678"/>
      <c r="I75" s="678"/>
      <c r="J75" s="678"/>
      <c r="K75" s="678"/>
      <c r="L75" s="678"/>
      <c r="M75" s="678"/>
      <c r="N75" s="678"/>
      <c r="O75" s="678"/>
      <c r="P75" s="678"/>
      <c r="Q75" s="678"/>
      <c r="R75" s="678"/>
      <c r="S75" s="678"/>
      <c r="T75" s="678"/>
      <c r="U75" s="678"/>
      <c r="V75" s="678"/>
      <c r="W75" s="678"/>
      <c r="X75" s="678"/>
      <c r="Y75" s="678"/>
      <c r="Z75" s="678"/>
      <c r="AA75" s="66"/>
      <c r="AB75" s="66"/>
      <c r="AC75" s="80"/>
    </row>
    <row r="76" spans="1:68" ht="16.5" hidden="1" customHeight="1" x14ac:dyDescent="0.25">
      <c r="A76" s="63" t="s">
        <v>174</v>
      </c>
      <c r="B76" s="63" t="s">
        <v>175</v>
      </c>
      <c r="C76" s="36">
        <v>4301051837</v>
      </c>
      <c r="D76" s="679">
        <v>4680115884311</v>
      </c>
      <c r="E76" s="679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81"/>
      <c r="R76" s="681"/>
      <c r="S76" s="681"/>
      <c r="T76" s="682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176</v>
      </c>
      <c r="AG76" s="78"/>
      <c r="AJ76" s="84" t="s">
        <v>46</v>
      </c>
      <c r="AK76" s="84">
        <v>0</v>
      </c>
      <c r="BB76" s="143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hidden="1" customHeight="1" x14ac:dyDescent="0.25">
      <c r="A77" s="63" t="s">
        <v>177</v>
      </c>
      <c r="B77" s="63" t="s">
        <v>178</v>
      </c>
      <c r="C77" s="36">
        <v>4301051929</v>
      </c>
      <c r="D77" s="679">
        <v>4680115884403</v>
      </c>
      <c r="E77" s="679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81"/>
      <c r="R77" s="681"/>
      <c r="S77" s="681"/>
      <c r="T77" s="68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idden="1" x14ac:dyDescent="0.2">
      <c r="A78" s="687"/>
      <c r="B78" s="687"/>
      <c r="C78" s="687"/>
      <c r="D78" s="687"/>
      <c r="E78" s="687"/>
      <c r="F78" s="687"/>
      <c r="G78" s="687"/>
      <c r="H78" s="687"/>
      <c r="I78" s="687"/>
      <c r="J78" s="687"/>
      <c r="K78" s="687"/>
      <c r="L78" s="687"/>
      <c r="M78" s="687"/>
      <c r="N78" s="687"/>
      <c r="O78" s="688"/>
      <c r="P78" s="684" t="s">
        <v>40</v>
      </c>
      <c r="Q78" s="685"/>
      <c r="R78" s="685"/>
      <c r="S78" s="685"/>
      <c r="T78" s="685"/>
      <c r="U78" s="685"/>
      <c r="V78" s="686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687"/>
      <c r="B79" s="687"/>
      <c r="C79" s="687"/>
      <c r="D79" s="687"/>
      <c r="E79" s="687"/>
      <c r="F79" s="687"/>
      <c r="G79" s="687"/>
      <c r="H79" s="687"/>
      <c r="I79" s="687"/>
      <c r="J79" s="687"/>
      <c r="K79" s="687"/>
      <c r="L79" s="687"/>
      <c r="M79" s="687"/>
      <c r="N79" s="687"/>
      <c r="O79" s="688"/>
      <c r="P79" s="684" t="s">
        <v>40</v>
      </c>
      <c r="Q79" s="685"/>
      <c r="R79" s="685"/>
      <c r="S79" s="685"/>
      <c r="T79" s="685"/>
      <c r="U79" s="685"/>
      <c r="V79" s="686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hidden="1" customHeight="1" x14ac:dyDescent="0.25">
      <c r="A80" s="678" t="s">
        <v>180</v>
      </c>
      <c r="B80" s="678"/>
      <c r="C80" s="678"/>
      <c r="D80" s="678"/>
      <c r="E80" s="678"/>
      <c r="F80" s="678"/>
      <c r="G80" s="678"/>
      <c r="H80" s="678"/>
      <c r="I80" s="678"/>
      <c r="J80" s="678"/>
      <c r="K80" s="678"/>
      <c r="L80" s="678"/>
      <c r="M80" s="678"/>
      <c r="N80" s="678"/>
      <c r="O80" s="678"/>
      <c r="P80" s="678"/>
      <c r="Q80" s="678"/>
      <c r="R80" s="678"/>
      <c r="S80" s="678"/>
      <c r="T80" s="678"/>
      <c r="U80" s="678"/>
      <c r="V80" s="678"/>
      <c r="W80" s="678"/>
      <c r="X80" s="678"/>
      <c r="Y80" s="678"/>
      <c r="Z80" s="678"/>
      <c r="AA80" s="66"/>
      <c r="AB80" s="66"/>
      <c r="AC80" s="80"/>
    </row>
    <row r="81" spans="1:68" ht="27" hidden="1" customHeight="1" x14ac:dyDescent="0.25">
      <c r="A81" s="63" t="s">
        <v>181</v>
      </c>
      <c r="B81" s="63" t="s">
        <v>182</v>
      </c>
      <c r="C81" s="36">
        <v>4301060455</v>
      </c>
      <c r="D81" s="679">
        <v>4680115881532</v>
      </c>
      <c r="E81" s="679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133</v>
      </c>
      <c r="L81" s="37" t="s">
        <v>46</v>
      </c>
      <c r="M81" s="38" t="s">
        <v>97</v>
      </c>
      <c r="N81" s="38"/>
      <c r="O81" s="37">
        <v>30</v>
      </c>
      <c r="P81" s="7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1"/>
      <c r="R81" s="681"/>
      <c r="S81" s="681"/>
      <c r="T81" s="682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183</v>
      </c>
      <c r="AG81" s="78"/>
      <c r="AJ81" s="84" t="s">
        <v>46</v>
      </c>
      <c r="AK81" s="84">
        <v>0</v>
      </c>
      <c r="BB81" s="147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184</v>
      </c>
      <c r="B82" s="63" t="s">
        <v>185</v>
      </c>
      <c r="C82" s="36">
        <v>4301060351</v>
      </c>
      <c r="D82" s="679">
        <v>4680115881464</v>
      </c>
      <c r="E82" s="679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140</v>
      </c>
      <c r="L82" s="37" t="s">
        <v>46</v>
      </c>
      <c r="M82" s="38" t="s">
        <v>90</v>
      </c>
      <c r="N82" s="38"/>
      <c r="O82" s="37">
        <v>30</v>
      </c>
      <c r="P82" s="71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1"/>
      <c r="R82" s="681"/>
      <c r="S82" s="681"/>
      <c r="T82" s="68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87"/>
      <c r="B83" s="687"/>
      <c r="C83" s="687"/>
      <c r="D83" s="687"/>
      <c r="E83" s="687"/>
      <c r="F83" s="687"/>
      <c r="G83" s="687"/>
      <c r="H83" s="687"/>
      <c r="I83" s="687"/>
      <c r="J83" s="687"/>
      <c r="K83" s="687"/>
      <c r="L83" s="687"/>
      <c r="M83" s="687"/>
      <c r="N83" s="687"/>
      <c r="O83" s="688"/>
      <c r="P83" s="684" t="s">
        <v>40</v>
      </c>
      <c r="Q83" s="685"/>
      <c r="R83" s="685"/>
      <c r="S83" s="685"/>
      <c r="T83" s="685"/>
      <c r="U83" s="685"/>
      <c r="V83" s="686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hidden="1" x14ac:dyDescent="0.2">
      <c r="A84" s="687"/>
      <c r="B84" s="687"/>
      <c r="C84" s="687"/>
      <c r="D84" s="687"/>
      <c r="E84" s="687"/>
      <c r="F84" s="687"/>
      <c r="G84" s="687"/>
      <c r="H84" s="687"/>
      <c r="I84" s="687"/>
      <c r="J84" s="687"/>
      <c r="K84" s="687"/>
      <c r="L84" s="687"/>
      <c r="M84" s="687"/>
      <c r="N84" s="687"/>
      <c r="O84" s="688"/>
      <c r="P84" s="684" t="s">
        <v>40</v>
      </c>
      <c r="Q84" s="685"/>
      <c r="R84" s="685"/>
      <c r="S84" s="685"/>
      <c r="T84" s="685"/>
      <c r="U84" s="685"/>
      <c r="V84" s="686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hidden="1" customHeight="1" x14ac:dyDescent="0.25">
      <c r="A85" s="677" t="s">
        <v>187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5"/>
      <c r="AB85" s="65"/>
      <c r="AC85" s="79"/>
    </row>
    <row r="86" spans="1:68" ht="14.25" hidden="1" customHeight="1" x14ac:dyDescent="0.25">
      <c r="A86" s="678" t="s">
        <v>128</v>
      </c>
      <c r="B86" s="678"/>
      <c r="C86" s="678"/>
      <c r="D86" s="678"/>
      <c r="E86" s="678"/>
      <c r="F86" s="678"/>
      <c r="G86" s="678"/>
      <c r="H86" s="678"/>
      <c r="I86" s="678"/>
      <c r="J86" s="678"/>
      <c r="K86" s="678"/>
      <c r="L86" s="678"/>
      <c r="M86" s="678"/>
      <c r="N86" s="678"/>
      <c r="O86" s="678"/>
      <c r="P86" s="678"/>
      <c r="Q86" s="678"/>
      <c r="R86" s="678"/>
      <c r="S86" s="678"/>
      <c r="T86" s="678"/>
      <c r="U86" s="678"/>
      <c r="V86" s="678"/>
      <c r="W86" s="678"/>
      <c r="X86" s="678"/>
      <c r="Y86" s="678"/>
      <c r="Z86" s="678"/>
      <c r="AA86" s="66"/>
      <c r="AB86" s="66"/>
      <c r="AC86" s="80"/>
    </row>
    <row r="87" spans="1:68" ht="27" hidden="1" customHeight="1" x14ac:dyDescent="0.25">
      <c r="A87" s="63" t="s">
        <v>188</v>
      </c>
      <c r="B87" s="63" t="s">
        <v>189</v>
      </c>
      <c r="C87" s="36">
        <v>4301011468</v>
      </c>
      <c r="D87" s="679">
        <v>4680115881327</v>
      </c>
      <c r="E87" s="679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133</v>
      </c>
      <c r="L87" s="37" t="s">
        <v>46</v>
      </c>
      <c r="M87" s="38" t="s">
        <v>97</v>
      </c>
      <c r="N87" s="38"/>
      <c r="O87" s="37">
        <v>50</v>
      </c>
      <c r="P87" s="7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1"/>
      <c r="R87" s="681"/>
      <c r="S87" s="681"/>
      <c r="T87" s="68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0" t="s">
        <v>190</v>
      </c>
      <c r="AG87" s="78"/>
      <c r="AJ87" s="84" t="s">
        <v>46</v>
      </c>
      <c r="AK87" s="84">
        <v>0</v>
      </c>
      <c r="BB87" s="151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4301011261</v>
      </c>
      <c r="D88" s="679">
        <v>4680115887732</v>
      </c>
      <c r="E88" s="679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137</v>
      </c>
      <c r="L88" s="37" t="s">
        <v>46</v>
      </c>
      <c r="M88" s="38" t="s">
        <v>81</v>
      </c>
      <c r="N88" s="38"/>
      <c r="O88" s="37">
        <v>30</v>
      </c>
      <c r="P88" s="7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81"/>
      <c r="R88" s="681"/>
      <c r="S88" s="681"/>
      <c r="T88" s="68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4301011476</v>
      </c>
      <c r="D89" s="679">
        <v>4680115881518</v>
      </c>
      <c r="E89" s="67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140</v>
      </c>
      <c r="L89" s="37" t="s">
        <v>46</v>
      </c>
      <c r="M89" s="38" t="s">
        <v>90</v>
      </c>
      <c r="N89" s="38"/>
      <c r="O89" s="37">
        <v>50</v>
      </c>
      <c r="P89" s="7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81"/>
      <c r="R89" s="681"/>
      <c r="S89" s="681"/>
      <c r="T89" s="68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190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196</v>
      </c>
      <c r="B90" s="63" t="s">
        <v>197</v>
      </c>
      <c r="C90" s="36">
        <v>4301011443</v>
      </c>
      <c r="D90" s="679">
        <v>4680115881303</v>
      </c>
      <c r="E90" s="67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140</v>
      </c>
      <c r="L90" s="37" t="s">
        <v>46</v>
      </c>
      <c r="M90" s="38" t="s">
        <v>97</v>
      </c>
      <c r="N90" s="38"/>
      <c r="O90" s="37">
        <v>50</v>
      </c>
      <c r="P90" s="7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81"/>
      <c r="R90" s="681"/>
      <c r="S90" s="681"/>
      <c r="T90" s="682"/>
      <c r="U90" s="39" t="s">
        <v>46</v>
      </c>
      <c r="V90" s="39" t="s">
        <v>46</v>
      </c>
      <c r="W90" s="40" t="s">
        <v>0</v>
      </c>
      <c r="X90" s="58">
        <v>405</v>
      </c>
      <c r="Y90" s="55">
        <f>IFERROR(IF(X90="",0,CEILING((X90/$H90),1)*$H90),"")</f>
        <v>405</v>
      </c>
      <c r="Z90" s="41">
        <f>IFERROR(IF(Y90=0,"",ROUNDUP(Y90/H90,0)*0.00902),"")</f>
        <v>0.81180000000000008</v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422.1</v>
      </c>
      <c r="BN90" s="78">
        <f>IFERROR(Y90*I90/H90,"0")</f>
        <v>422.1</v>
      </c>
      <c r="BO90" s="78">
        <f>IFERROR(1/J90*(X90/H90),"0")</f>
        <v>0.68181818181818188</v>
      </c>
      <c r="BP90" s="78">
        <f>IFERROR(1/J90*(Y90/H90),"0")</f>
        <v>0.68181818181818188</v>
      </c>
    </row>
    <row r="91" spans="1:68" x14ac:dyDescent="0.2">
      <c r="A91" s="687"/>
      <c r="B91" s="687"/>
      <c r="C91" s="687"/>
      <c r="D91" s="687"/>
      <c r="E91" s="687"/>
      <c r="F91" s="687"/>
      <c r="G91" s="687"/>
      <c r="H91" s="687"/>
      <c r="I91" s="687"/>
      <c r="J91" s="687"/>
      <c r="K91" s="687"/>
      <c r="L91" s="687"/>
      <c r="M91" s="687"/>
      <c r="N91" s="687"/>
      <c r="O91" s="688"/>
      <c r="P91" s="684" t="s">
        <v>40</v>
      </c>
      <c r="Q91" s="685"/>
      <c r="R91" s="685"/>
      <c r="S91" s="685"/>
      <c r="T91" s="685"/>
      <c r="U91" s="685"/>
      <c r="V91" s="686"/>
      <c r="W91" s="42" t="s">
        <v>39</v>
      </c>
      <c r="X91" s="43">
        <f>IFERROR(X87/H87,"0")+IFERROR(X88/H88,"0")+IFERROR(X89/H89,"0")+IFERROR(X90/H90,"0")</f>
        <v>90</v>
      </c>
      <c r="Y91" s="43">
        <f>IFERROR(Y87/H87,"0")+IFERROR(Y88/H88,"0")+IFERROR(Y89/H89,"0")+IFERROR(Y90/H90,"0")</f>
        <v>90</v>
      </c>
      <c r="Z91" s="43">
        <f>IFERROR(IF(Z87="",0,Z87),"0")+IFERROR(IF(Z88="",0,Z88),"0")+IFERROR(IF(Z89="",0,Z89),"0")+IFERROR(IF(Z90="",0,Z90),"0")</f>
        <v>0.81180000000000008</v>
      </c>
      <c r="AA91" s="67"/>
      <c r="AB91" s="67"/>
      <c r="AC91" s="67"/>
    </row>
    <row r="92" spans="1:68" x14ac:dyDescent="0.2">
      <c r="A92" s="687"/>
      <c r="B92" s="687"/>
      <c r="C92" s="687"/>
      <c r="D92" s="687"/>
      <c r="E92" s="687"/>
      <c r="F92" s="687"/>
      <c r="G92" s="687"/>
      <c r="H92" s="687"/>
      <c r="I92" s="687"/>
      <c r="J92" s="687"/>
      <c r="K92" s="687"/>
      <c r="L92" s="687"/>
      <c r="M92" s="687"/>
      <c r="N92" s="687"/>
      <c r="O92" s="688"/>
      <c r="P92" s="684" t="s">
        <v>40</v>
      </c>
      <c r="Q92" s="685"/>
      <c r="R92" s="685"/>
      <c r="S92" s="685"/>
      <c r="T92" s="685"/>
      <c r="U92" s="685"/>
      <c r="V92" s="686"/>
      <c r="W92" s="42" t="s">
        <v>0</v>
      </c>
      <c r="X92" s="43">
        <f>IFERROR(SUM(X87:X90),"0")</f>
        <v>405</v>
      </c>
      <c r="Y92" s="43">
        <f>IFERROR(SUM(Y87:Y90),"0")</f>
        <v>405</v>
      </c>
      <c r="Z92" s="42"/>
      <c r="AA92" s="67"/>
      <c r="AB92" s="67"/>
      <c r="AC92" s="67"/>
    </row>
    <row r="93" spans="1:68" ht="14.25" hidden="1" customHeight="1" x14ac:dyDescent="0.25">
      <c r="A93" s="678" t="s">
        <v>86</v>
      </c>
      <c r="B93" s="678"/>
      <c r="C93" s="678"/>
      <c r="D93" s="678"/>
      <c r="E93" s="678"/>
      <c r="F93" s="678"/>
      <c r="G93" s="678"/>
      <c r="H93" s="678"/>
      <c r="I93" s="678"/>
      <c r="J93" s="678"/>
      <c r="K93" s="678"/>
      <c r="L93" s="678"/>
      <c r="M93" s="678"/>
      <c r="N93" s="678"/>
      <c r="O93" s="678"/>
      <c r="P93" s="678"/>
      <c r="Q93" s="678"/>
      <c r="R93" s="678"/>
      <c r="S93" s="678"/>
      <c r="T93" s="678"/>
      <c r="U93" s="678"/>
      <c r="V93" s="678"/>
      <c r="W93" s="678"/>
      <c r="X93" s="678"/>
      <c r="Y93" s="678"/>
      <c r="Z93" s="678"/>
      <c r="AA93" s="66"/>
      <c r="AB93" s="66"/>
      <c r="AC93" s="80"/>
    </row>
    <row r="94" spans="1:68" ht="27" customHeight="1" x14ac:dyDescent="0.25">
      <c r="A94" s="63" t="s">
        <v>198</v>
      </c>
      <c r="B94" s="63" t="s">
        <v>199</v>
      </c>
      <c r="C94" s="36">
        <v>4301051712</v>
      </c>
      <c r="D94" s="679">
        <v>4607091386967</v>
      </c>
      <c r="E94" s="67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133</v>
      </c>
      <c r="L94" s="37" t="s">
        <v>46</v>
      </c>
      <c r="M94" s="38" t="s">
        <v>97</v>
      </c>
      <c r="N94" s="38"/>
      <c r="O94" s="37">
        <v>45</v>
      </c>
      <c r="P94" s="7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81"/>
      <c r="R94" s="681"/>
      <c r="S94" s="681"/>
      <c r="T94" s="682"/>
      <c r="U94" s="39" t="s">
        <v>46</v>
      </c>
      <c r="V94" s="39" t="s">
        <v>46</v>
      </c>
      <c r="W94" s="40" t="s">
        <v>0</v>
      </c>
      <c r="X94" s="58">
        <v>250</v>
      </c>
      <c r="Y94" s="55">
        <f>IFERROR(IF(X94="",0,CEILING((X94/$H94),1)*$H94),"")</f>
        <v>251.1</v>
      </c>
      <c r="Z94" s="41">
        <f>IFERROR(IF(Y94=0,"",ROUNDUP(Y94/H94,0)*0.01898),"")</f>
        <v>0.58838000000000001</v>
      </c>
      <c r="AA94" s="68" t="s">
        <v>46</v>
      </c>
      <c r="AB94" s="69" t="s">
        <v>46</v>
      </c>
      <c r="AC94" s="158" t="s">
        <v>200</v>
      </c>
      <c r="AG94" s="78"/>
      <c r="AJ94" s="84" t="s">
        <v>46</v>
      </c>
      <c r="AK94" s="84">
        <v>0</v>
      </c>
      <c r="BB94" s="159" t="s">
        <v>67</v>
      </c>
      <c r="BM94" s="78">
        <f>IFERROR(X94*I94/H94,"0")</f>
        <v>265.24691358024694</v>
      </c>
      <c r="BN94" s="78">
        <f>IFERROR(Y94*I94/H94,"0")</f>
        <v>266.41399999999999</v>
      </c>
      <c r="BO94" s="78">
        <f>IFERROR(1/J94*(X94/H94),"0")</f>
        <v>0.48225308641975312</v>
      </c>
      <c r="BP94" s="78">
        <f>IFERROR(1/J94*(Y94/H94),"0")</f>
        <v>0.484375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4301051788</v>
      </c>
      <c r="D95" s="679">
        <v>4680115884953</v>
      </c>
      <c r="E95" s="67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2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81"/>
      <c r="R95" s="681"/>
      <c r="S95" s="681"/>
      <c r="T95" s="68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203</v>
      </c>
      <c r="B96" s="63" t="s">
        <v>204</v>
      </c>
      <c r="C96" s="36">
        <v>4301051718</v>
      </c>
      <c r="D96" s="679">
        <v>4607091385731</v>
      </c>
      <c r="E96" s="67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2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81"/>
      <c r="R96" s="681"/>
      <c r="S96" s="681"/>
      <c r="T96" s="682"/>
      <c r="U96" s="39" t="s">
        <v>46</v>
      </c>
      <c r="V96" s="39" t="s">
        <v>46</v>
      </c>
      <c r="W96" s="40" t="s">
        <v>0</v>
      </c>
      <c r="X96" s="58">
        <v>450</v>
      </c>
      <c r="Y96" s="55">
        <f>IFERROR(IF(X96="",0,CEILING((X96/$H96),1)*$H96),"")</f>
        <v>450.90000000000003</v>
      </c>
      <c r="Z96" s="41">
        <f>IFERROR(IF(Y96=0,"",ROUNDUP(Y96/H96,0)*0.00651),"")</f>
        <v>1.08717</v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492</v>
      </c>
      <c r="BN96" s="78">
        <f>IFERROR(Y96*I96/H96,"0")</f>
        <v>492.98399999999998</v>
      </c>
      <c r="BO96" s="78">
        <f>IFERROR(1/J96*(X96/H96),"0")</f>
        <v>0.91575091575091572</v>
      </c>
      <c r="BP96" s="78">
        <f>IFERROR(1/J96*(Y96/H96),"0")</f>
        <v>0.91758241758241765</v>
      </c>
    </row>
    <row r="97" spans="1:68" ht="16.5" hidden="1" customHeight="1" x14ac:dyDescent="0.25">
      <c r="A97" s="63" t="s">
        <v>205</v>
      </c>
      <c r="B97" s="63" t="s">
        <v>206</v>
      </c>
      <c r="C97" s="36">
        <v>4301052092</v>
      </c>
      <c r="D97" s="679">
        <v>4680115880894</v>
      </c>
      <c r="E97" s="67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2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81"/>
      <c r="R97" s="681"/>
      <c r="S97" s="681"/>
      <c r="T97" s="68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207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87"/>
      <c r="B98" s="687"/>
      <c r="C98" s="687"/>
      <c r="D98" s="687"/>
      <c r="E98" s="687"/>
      <c r="F98" s="687"/>
      <c r="G98" s="687"/>
      <c r="H98" s="687"/>
      <c r="I98" s="687"/>
      <c r="J98" s="687"/>
      <c r="K98" s="687"/>
      <c r="L98" s="687"/>
      <c r="M98" s="687"/>
      <c r="N98" s="687"/>
      <c r="O98" s="688"/>
      <c r="P98" s="684" t="s">
        <v>40</v>
      </c>
      <c r="Q98" s="685"/>
      <c r="R98" s="685"/>
      <c r="S98" s="685"/>
      <c r="T98" s="685"/>
      <c r="U98" s="685"/>
      <c r="V98" s="686"/>
      <c r="W98" s="42" t="s">
        <v>39</v>
      </c>
      <c r="X98" s="43">
        <f>IFERROR(X94/H94,"0")+IFERROR(X95/H95,"0")+IFERROR(X96/H96,"0")+IFERROR(X97/H97,"0")</f>
        <v>197.53086419753086</v>
      </c>
      <c r="Y98" s="43">
        <f>IFERROR(Y94/H94,"0")+IFERROR(Y95/H95,"0")+IFERROR(Y96/H96,"0")+IFERROR(Y97/H97,"0")</f>
        <v>198</v>
      </c>
      <c r="Z98" s="43">
        <f>IFERROR(IF(Z94="",0,Z94),"0")+IFERROR(IF(Z95="",0,Z95),"0")+IFERROR(IF(Z96="",0,Z96),"0")+IFERROR(IF(Z97="",0,Z97),"0")</f>
        <v>1.6755499999999999</v>
      </c>
      <c r="AA98" s="67"/>
      <c r="AB98" s="67"/>
      <c r="AC98" s="67"/>
    </row>
    <row r="99" spans="1:68" x14ac:dyDescent="0.2">
      <c r="A99" s="687"/>
      <c r="B99" s="687"/>
      <c r="C99" s="687"/>
      <c r="D99" s="687"/>
      <c r="E99" s="687"/>
      <c r="F99" s="687"/>
      <c r="G99" s="687"/>
      <c r="H99" s="687"/>
      <c r="I99" s="687"/>
      <c r="J99" s="687"/>
      <c r="K99" s="687"/>
      <c r="L99" s="687"/>
      <c r="M99" s="687"/>
      <c r="N99" s="687"/>
      <c r="O99" s="688"/>
      <c r="P99" s="684" t="s">
        <v>40</v>
      </c>
      <c r="Q99" s="685"/>
      <c r="R99" s="685"/>
      <c r="S99" s="685"/>
      <c r="T99" s="685"/>
      <c r="U99" s="685"/>
      <c r="V99" s="686"/>
      <c r="W99" s="42" t="s">
        <v>0</v>
      </c>
      <c r="X99" s="43">
        <f>IFERROR(SUM(X94:X97),"0")</f>
        <v>700</v>
      </c>
      <c r="Y99" s="43">
        <f>IFERROR(SUM(Y94:Y97),"0")</f>
        <v>702</v>
      </c>
      <c r="Z99" s="42"/>
      <c r="AA99" s="67"/>
      <c r="AB99" s="67"/>
      <c r="AC99" s="67"/>
    </row>
    <row r="100" spans="1:68" ht="16.5" hidden="1" customHeight="1" x14ac:dyDescent="0.25">
      <c r="A100" s="677" t="s">
        <v>208</v>
      </c>
      <c r="B100" s="677"/>
      <c r="C100" s="677"/>
      <c r="D100" s="677"/>
      <c r="E100" s="677"/>
      <c r="F100" s="677"/>
      <c r="G100" s="677"/>
      <c r="H100" s="677"/>
      <c r="I100" s="677"/>
      <c r="J100" s="677"/>
      <c r="K100" s="677"/>
      <c r="L100" s="677"/>
      <c r="M100" s="677"/>
      <c r="N100" s="677"/>
      <c r="O100" s="677"/>
      <c r="P100" s="677"/>
      <c r="Q100" s="677"/>
      <c r="R100" s="677"/>
      <c r="S100" s="677"/>
      <c r="T100" s="677"/>
      <c r="U100" s="677"/>
      <c r="V100" s="677"/>
      <c r="W100" s="677"/>
      <c r="X100" s="677"/>
      <c r="Y100" s="677"/>
      <c r="Z100" s="677"/>
      <c r="AA100" s="65"/>
      <c r="AB100" s="65"/>
      <c r="AC100" s="79"/>
    </row>
    <row r="101" spans="1:68" ht="14.25" hidden="1" customHeight="1" x14ac:dyDescent="0.25">
      <c r="A101" s="678" t="s">
        <v>128</v>
      </c>
      <c r="B101" s="678"/>
      <c r="C101" s="678"/>
      <c r="D101" s="678"/>
      <c r="E101" s="678"/>
      <c r="F101" s="678"/>
      <c r="G101" s="678"/>
      <c r="H101" s="678"/>
      <c r="I101" s="678"/>
      <c r="J101" s="678"/>
      <c r="K101" s="678"/>
      <c r="L101" s="678"/>
      <c r="M101" s="678"/>
      <c r="N101" s="678"/>
      <c r="O101" s="678"/>
      <c r="P101" s="678"/>
      <c r="Q101" s="678"/>
      <c r="R101" s="678"/>
      <c r="S101" s="678"/>
      <c r="T101" s="678"/>
      <c r="U101" s="678"/>
      <c r="V101" s="678"/>
      <c r="W101" s="678"/>
      <c r="X101" s="678"/>
      <c r="Y101" s="678"/>
      <c r="Z101" s="678"/>
      <c r="AA101" s="66"/>
      <c r="AB101" s="66"/>
      <c r="AC101" s="80"/>
    </row>
    <row r="102" spans="1:68" ht="37.5" hidden="1" customHeight="1" x14ac:dyDescent="0.25">
      <c r="A102" s="63" t="s">
        <v>209</v>
      </c>
      <c r="B102" s="63" t="s">
        <v>210</v>
      </c>
      <c r="C102" s="36">
        <v>4301011514</v>
      </c>
      <c r="D102" s="679">
        <v>4680115882133</v>
      </c>
      <c r="E102" s="67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133</v>
      </c>
      <c r="L102" s="37" t="s">
        <v>46</v>
      </c>
      <c r="M102" s="38" t="s">
        <v>132</v>
      </c>
      <c r="N102" s="38"/>
      <c r="O102" s="37">
        <v>50</v>
      </c>
      <c r="P102" s="72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81"/>
      <c r="R102" s="681"/>
      <c r="S102" s="681"/>
      <c r="T102" s="68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1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66" t="s">
        <v>211</v>
      </c>
      <c r="AG102" s="78"/>
      <c r="AJ102" s="84" t="s">
        <v>46</v>
      </c>
      <c r="AK102" s="84">
        <v>0</v>
      </c>
      <c r="BB102" s="167" t="s">
        <v>67</v>
      </c>
      <c r="BM102" s="78">
        <f t="shared" ref="BM102:BM108" si="12">IFERROR(X102*I102/H102,"0")</f>
        <v>0</v>
      </c>
      <c r="BN102" s="78">
        <f t="shared" ref="BN102:BN108" si="13">IFERROR(Y102*I102/H102,"0")</f>
        <v>0</v>
      </c>
      <c r="BO102" s="78">
        <f t="shared" ref="BO102:BO108" si="14">IFERROR(1/J102*(X102/H102),"0")</f>
        <v>0</v>
      </c>
      <c r="BP102" s="78">
        <f t="shared" ref="BP102:BP108" si="15">IFERROR(1/J102*(Y102/H102),"0")</f>
        <v>0</v>
      </c>
    </row>
    <row r="103" spans="1:68" ht="27" customHeight="1" x14ac:dyDescent="0.25">
      <c r="A103" s="63" t="s">
        <v>212</v>
      </c>
      <c r="B103" s="63" t="s">
        <v>213</v>
      </c>
      <c r="C103" s="36">
        <v>4301012051</v>
      </c>
      <c r="D103" s="679">
        <v>4680115887718</v>
      </c>
      <c r="E103" s="679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137</v>
      </c>
      <c r="L103" s="37" t="s">
        <v>46</v>
      </c>
      <c r="M103" s="38" t="s">
        <v>81</v>
      </c>
      <c r="N103" s="38"/>
      <c r="O103" s="37">
        <v>30</v>
      </c>
      <c r="P103" s="72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81"/>
      <c r="R103" s="681"/>
      <c r="S103" s="681"/>
      <c r="T103" s="682"/>
      <c r="U103" s="39" t="s">
        <v>46</v>
      </c>
      <c r="V103" s="39" t="s">
        <v>46</v>
      </c>
      <c r="W103" s="40" t="s">
        <v>0</v>
      </c>
      <c r="X103" s="58">
        <v>1.1000000000000001</v>
      </c>
      <c r="Y103" s="55">
        <f t="shared" si="11"/>
        <v>1.1000000000000001</v>
      </c>
      <c r="Z103" s="41">
        <f>IFERROR(IF(Y103=0,"",ROUNDUP(Y103/H103,0)*0.00726),"")</f>
        <v>7.26E-3</v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si="12"/>
        <v>1.31</v>
      </c>
      <c r="BN103" s="78">
        <f t="shared" si="13"/>
        <v>1.31</v>
      </c>
      <c r="BO103" s="78">
        <f t="shared" si="14"/>
        <v>5.208333333333333E-3</v>
      </c>
      <c r="BP103" s="78">
        <f t="shared" si="15"/>
        <v>5.208333333333333E-3</v>
      </c>
    </row>
    <row r="104" spans="1:68" ht="27" hidden="1" customHeight="1" x14ac:dyDescent="0.25">
      <c r="A104" s="63" t="s">
        <v>212</v>
      </c>
      <c r="B104" s="63" t="s">
        <v>215</v>
      </c>
      <c r="C104" s="36">
        <v>4301012334</v>
      </c>
      <c r="D104" s="679">
        <v>4680115887718</v>
      </c>
      <c r="E104" s="679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2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1"/>
      <c r="R104" s="681"/>
      <c r="S104" s="681"/>
      <c r="T104" s="68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4301012226</v>
      </c>
      <c r="D105" s="679">
        <v>4680115887749</v>
      </c>
      <c r="E105" s="679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30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81"/>
      <c r="R105" s="681"/>
      <c r="S105" s="681"/>
      <c r="T105" s="68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679">
        <v>4680115880269</v>
      </c>
      <c r="E106" s="67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1"/>
      <c r="R106" s="681"/>
      <c r="S106" s="681"/>
      <c r="T106" s="68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220</v>
      </c>
      <c r="B107" s="63" t="s">
        <v>221</v>
      </c>
      <c r="C107" s="36">
        <v>4301011415</v>
      </c>
      <c r="D107" s="679">
        <v>4680115880429</v>
      </c>
      <c r="E107" s="67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1"/>
      <c r="R107" s="681"/>
      <c r="S107" s="681"/>
      <c r="T107" s="682"/>
      <c r="U107" s="39" t="s">
        <v>46</v>
      </c>
      <c r="V107" s="39" t="s">
        <v>46</v>
      </c>
      <c r="W107" s="40" t="s">
        <v>0</v>
      </c>
      <c r="X107" s="58">
        <v>315</v>
      </c>
      <c r="Y107" s="55">
        <f t="shared" si="11"/>
        <v>315</v>
      </c>
      <c r="Z107" s="41">
        <f>IFERROR(IF(Y107=0,"",ROUNDUP(Y107/H107,0)*0.00902),"")</f>
        <v>0.63139999999999996</v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328.3</v>
      </c>
      <c r="BN107" s="78">
        <f t="shared" si="13"/>
        <v>328.3</v>
      </c>
      <c r="BO107" s="78">
        <f t="shared" si="14"/>
        <v>0.53030303030303028</v>
      </c>
      <c r="BP107" s="78">
        <f t="shared" si="15"/>
        <v>0.53030303030303028</v>
      </c>
    </row>
    <row r="108" spans="1:68" ht="37.5" hidden="1" customHeight="1" x14ac:dyDescent="0.25">
      <c r="A108" s="63" t="s">
        <v>222</v>
      </c>
      <c r="B108" s="63" t="s">
        <v>223</v>
      </c>
      <c r="C108" s="36">
        <v>4301011462</v>
      </c>
      <c r="D108" s="679">
        <v>4680115881457</v>
      </c>
      <c r="E108" s="67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1"/>
      <c r="R108" s="681"/>
      <c r="S108" s="681"/>
      <c r="T108" s="68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x14ac:dyDescent="0.2">
      <c r="A109" s="687"/>
      <c r="B109" s="687"/>
      <c r="C109" s="687"/>
      <c r="D109" s="687"/>
      <c r="E109" s="687"/>
      <c r="F109" s="687"/>
      <c r="G109" s="687"/>
      <c r="H109" s="687"/>
      <c r="I109" s="687"/>
      <c r="J109" s="687"/>
      <c r="K109" s="687"/>
      <c r="L109" s="687"/>
      <c r="M109" s="687"/>
      <c r="N109" s="687"/>
      <c r="O109" s="688"/>
      <c r="P109" s="684" t="s">
        <v>40</v>
      </c>
      <c r="Q109" s="685"/>
      <c r="R109" s="685"/>
      <c r="S109" s="685"/>
      <c r="T109" s="685"/>
      <c r="U109" s="685"/>
      <c r="V109" s="686"/>
      <c r="W109" s="42" t="s">
        <v>39</v>
      </c>
      <c r="X109" s="43">
        <f>IFERROR(X102/H102,"0")+IFERROR(X103/H103,"0")+IFERROR(X104/H104,"0")+IFERROR(X105/H105,"0")+IFERROR(X106/H106,"0")+IFERROR(X107/H107,"0")+IFERROR(X108/H108,"0")</f>
        <v>71</v>
      </c>
      <c r="Y109" s="43">
        <f>IFERROR(Y102/H102,"0")+IFERROR(Y103/H103,"0")+IFERROR(Y104/H104,"0")+IFERROR(Y105/H105,"0")+IFERROR(Y106/H106,"0")+IFERROR(Y107/H107,"0")+IFERROR(Y108/H108,"0")</f>
        <v>71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0.63866000000000001</v>
      </c>
      <c r="AA109" s="67"/>
      <c r="AB109" s="67"/>
      <c r="AC109" s="67"/>
    </row>
    <row r="110" spans="1:68" x14ac:dyDescent="0.2">
      <c r="A110" s="687"/>
      <c r="B110" s="687"/>
      <c r="C110" s="687"/>
      <c r="D110" s="687"/>
      <c r="E110" s="687"/>
      <c r="F110" s="687"/>
      <c r="G110" s="687"/>
      <c r="H110" s="687"/>
      <c r="I110" s="687"/>
      <c r="J110" s="687"/>
      <c r="K110" s="687"/>
      <c r="L110" s="687"/>
      <c r="M110" s="687"/>
      <c r="N110" s="687"/>
      <c r="O110" s="688"/>
      <c r="P110" s="684" t="s">
        <v>40</v>
      </c>
      <c r="Q110" s="685"/>
      <c r="R110" s="685"/>
      <c r="S110" s="685"/>
      <c r="T110" s="685"/>
      <c r="U110" s="685"/>
      <c r="V110" s="686"/>
      <c r="W110" s="42" t="s">
        <v>0</v>
      </c>
      <c r="X110" s="43">
        <f>IFERROR(SUM(X102:X108),"0")</f>
        <v>316.10000000000002</v>
      </c>
      <c r="Y110" s="43">
        <f>IFERROR(SUM(Y102:Y108),"0")</f>
        <v>316.10000000000002</v>
      </c>
      <c r="Z110" s="42"/>
      <c r="AA110" s="67"/>
      <c r="AB110" s="67"/>
      <c r="AC110" s="67"/>
    </row>
    <row r="111" spans="1:68" ht="14.25" hidden="1" customHeight="1" x14ac:dyDescent="0.25">
      <c r="A111" s="678" t="s">
        <v>163</v>
      </c>
      <c r="B111" s="678"/>
      <c r="C111" s="678"/>
      <c r="D111" s="678"/>
      <c r="E111" s="678"/>
      <c r="F111" s="678"/>
      <c r="G111" s="678"/>
      <c r="H111" s="678"/>
      <c r="I111" s="678"/>
      <c r="J111" s="678"/>
      <c r="K111" s="678"/>
      <c r="L111" s="678"/>
      <c r="M111" s="678"/>
      <c r="N111" s="678"/>
      <c r="O111" s="678"/>
      <c r="P111" s="678"/>
      <c r="Q111" s="678"/>
      <c r="R111" s="678"/>
      <c r="S111" s="678"/>
      <c r="T111" s="678"/>
      <c r="U111" s="678"/>
      <c r="V111" s="678"/>
      <c r="W111" s="678"/>
      <c r="X111" s="678"/>
      <c r="Y111" s="678"/>
      <c r="Z111" s="678"/>
      <c r="AA111" s="66"/>
      <c r="AB111" s="66"/>
      <c r="AC111" s="80"/>
    </row>
    <row r="112" spans="1:68" ht="16.5" hidden="1" customHeight="1" x14ac:dyDescent="0.25">
      <c r="A112" s="63" t="s">
        <v>224</v>
      </c>
      <c r="B112" s="63" t="s">
        <v>225</v>
      </c>
      <c r="C112" s="36">
        <v>4301020345</v>
      </c>
      <c r="D112" s="679">
        <v>4680115881488</v>
      </c>
      <c r="E112" s="67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3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1"/>
      <c r="R112" s="681"/>
      <c r="S112" s="681"/>
      <c r="T112" s="682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7">IFERROR(X112*I112/H112,"0")</f>
        <v>0</v>
      </c>
      <c r="BN112" s="78">
        <f t="shared" ref="BN112:BN118" si="18">IFERROR(Y112*I112/H112,"0")</f>
        <v>0</v>
      </c>
      <c r="BO112" s="78">
        <f t="shared" ref="BO112:BO118" si="19">IFERROR(1/J112*(X112/H112),"0")</f>
        <v>0</v>
      </c>
      <c r="BP112" s="78">
        <f t="shared" ref="BP112:BP118" si="20">IFERROR(1/J112*(Y112/H112),"0")</f>
        <v>0</v>
      </c>
    </row>
    <row r="113" spans="1:68" ht="27" hidden="1" customHeight="1" x14ac:dyDescent="0.25">
      <c r="A113" s="63" t="s">
        <v>224</v>
      </c>
      <c r="B113" s="63" t="s">
        <v>227</v>
      </c>
      <c r="C113" s="36">
        <v>4301020391</v>
      </c>
      <c r="D113" s="679">
        <v>4680115881488</v>
      </c>
      <c r="E113" s="679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73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81"/>
      <c r="R113" s="681"/>
      <c r="S113" s="681"/>
      <c r="T113" s="682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customHeight="1" x14ac:dyDescent="0.25">
      <c r="A114" s="63" t="s">
        <v>229</v>
      </c>
      <c r="B114" s="63" t="s">
        <v>230</v>
      </c>
      <c r="C114" s="36">
        <v>4301020186</v>
      </c>
      <c r="D114" s="679">
        <v>4680115887664</v>
      </c>
      <c r="E114" s="679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81</v>
      </c>
      <c r="N114" s="38"/>
      <c r="O114" s="37">
        <v>30</v>
      </c>
      <c r="P114" s="73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81"/>
      <c r="R114" s="681"/>
      <c r="S114" s="681"/>
      <c r="T114" s="682"/>
      <c r="U114" s="39" t="s">
        <v>46</v>
      </c>
      <c r="V114" s="39" t="s">
        <v>46</v>
      </c>
      <c r="W114" s="40" t="s">
        <v>0</v>
      </c>
      <c r="X114" s="58">
        <v>3</v>
      </c>
      <c r="Y114" s="55">
        <f t="shared" si="16"/>
        <v>3</v>
      </c>
      <c r="Z114" s="41">
        <f>IFERROR(IF(Y114=0,"",ROUNDUP(Y114/H114,0)*0.00358),"")</f>
        <v>1.074E-2</v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3.63</v>
      </c>
      <c r="BN114" s="78">
        <f t="shared" si="18"/>
        <v>3.63</v>
      </c>
      <c r="BO114" s="78">
        <f t="shared" si="19"/>
        <v>7.6530612244897957E-3</v>
      </c>
      <c r="BP114" s="78">
        <f t="shared" si="20"/>
        <v>7.6530612244897957E-3</v>
      </c>
    </row>
    <row r="115" spans="1:68" ht="27" hidden="1" customHeight="1" x14ac:dyDescent="0.25">
      <c r="A115" s="63" t="s">
        <v>229</v>
      </c>
      <c r="B115" s="63" t="s">
        <v>233</v>
      </c>
      <c r="C115" s="36">
        <v>4301020430</v>
      </c>
      <c r="D115" s="679">
        <v>4680115887664</v>
      </c>
      <c r="E115" s="679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81</v>
      </c>
      <c r="N115" s="38"/>
      <c r="O115" s="37">
        <v>30</v>
      </c>
      <c r="P115" s="73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1"/>
      <c r="R115" s="681"/>
      <c r="S115" s="681"/>
      <c r="T115" s="682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234</v>
      </c>
      <c r="B116" s="63" t="s">
        <v>235</v>
      </c>
      <c r="C116" s="36">
        <v>4301020393</v>
      </c>
      <c r="D116" s="679">
        <v>4680115882775</v>
      </c>
      <c r="E116" s="679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132</v>
      </c>
      <c r="N116" s="38"/>
      <c r="O116" s="37">
        <v>55</v>
      </c>
      <c r="P116" s="73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81"/>
      <c r="R116" s="681"/>
      <c r="S116" s="681"/>
      <c r="T116" s="682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hidden="1" customHeight="1" x14ac:dyDescent="0.25">
      <c r="A117" s="63" t="s">
        <v>236</v>
      </c>
      <c r="B117" s="63" t="s">
        <v>237</v>
      </c>
      <c r="C117" s="36">
        <v>4301020344</v>
      </c>
      <c r="D117" s="679">
        <v>4680115880658</v>
      </c>
      <c r="E117" s="679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132</v>
      </c>
      <c r="N117" s="38"/>
      <c r="O117" s="37">
        <v>55</v>
      </c>
      <c r="P117" s="7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81"/>
      <c r="R117" s="681"/>
      <c r="S117" s="681"/>
      <c r="T117" s="682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27" hidden="1" customHeight="1" x14ac:dyDescent="0.25">
      <c r="A118" s="63" t="s">
        <v>236</v>
      </c>
      <c r="B118" s="63" t="s">
        <v>238</v>
      </c>
      <c r="C118" s="36">
        <v>4301020392</v>
      </c>
      <c r="D118" s="679">
        <v>4680115880658</v>
      </c>
      <c r="E118" s="679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132</v>
      </c>
      <c r="N118" s="38"/>
      <c r="O118" s="37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81"/>
      <c r="R118" s="681"/>
      <c r="S118" s="681"/>
      <c r="T118" s="682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228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x14ac:dyDescent="0.2">
      <c r="A119" s="687"/>
      <c r="B119" s="687"/>
      <c r="C119" s="687"/>
      <c r="D119" s="687"/>
      <c r="E119" s="687"/>
      <c r="F119" s="687"/>
      <c r="G119" s="687"/>
      <c r="H119" s="687"/>
      <c r="I119" s="687"/>
      <c r="J119" s="687"/>
      <c r="K119" s="687"/>
      <c r="L119" s="687"/>
      <c r="M119" s="687"/>
      <c r="N119" s="687"/>
      <c r="O119" s="688"/>
      <c r="P119" s="684" t="s">
        <v>40</v>
      </c>
      <c r="Q119" s="685"/>
      <c r="R119" s="685"/>
      <c r="S119" s="685"/>
      <c r="T119" s="685"/>
      <c r="U119" s="685"/>
      <c r="V119" s="686"/>
      <c r="W119" s="42" t="s">
        <v>39</v>
      </c>
      <c r="X119" s="43">
        <f>IFERROR(X112/H112,"0")+IFERROR(X113/H113,"0")+IFERROR(X114/H114,"0")+IFERROR(X115/H115,"0")+IFERROR(X116/H116,"0")+IFERROR(X117/H117,"0")+IFERROR(X118/H118,"0")</f>
        <v>3</v>
      </c>
      <c r="Y119" s="43">
        <f>IFERROR(Y112/H112,"0")+IFERROR(Y113/H113,"0")+IFERROR(Y114/H114,"0")+IFERROR(Y115/H115,"0")+IFERROR(Y116/H116,"0")+IFERROR(Y117/H117,"0")+IFERROR(Y118/H118,"0")</f>
        <v>3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1.074E-2</v>
      </c>
      <c r="AA119" s="67"/>
      <c r="AB119" s="67"/>
      <c r="AC119" s="67"/>
    </row>
    <row r="120" spans="1:68" x14ac:dyDescent="0.2">
      <c r="A120" s="687"/>
      <c r="B120" s="687"/>
      <c r="C120" s="687"/>
      <c r="D120" s="687"/>
      <c r="E120" s="687"/>
      <c r="F120" s="687"/>
      <c r="G120" s="687"/>
      <c r="H120" s="687"/>
      <c r="I120" s="687"/>
      <c r="J120" s="687"/>
      <c r="K120" s="687"/>
      <c r="L120" s="687"/>
      <c r="M120" s="687"/>
      <c r="N120" s="687"/>
      <c r="O120" s="688"/>
      <c r="P120" s="684" t="s">
        <v>40</v>
      </c>
      <c r="Q120" s="685"/>
      <c r="R120" s="685"/>
      <c r="S120" s="685"/>
      <c r="T120" s="685"/>
      <c r="U120" s="685"/>
      <c r="V120" s="686"/>
      <c r="W120" s="42" t="s">
        <v>0</v>
      </c>
      <c r="X120" s="43">
        <f>IFERROR(SUM(X112:X118),"0")</f>
        <v>3</v>
      </c>
      <c r="Y120" s="43">
        <f>IFERROR(SUM(Y112:Y118),"0")</f>
        <v>3</v>
      </c>
      <c r="Z120" s="42"/>
      <c r="AA120" s="67"/>
      <c r="AB120" s="67"/>
      <c r="AC120" s="67"/>
    </row>
    <row r="121" spans="1:68" ht="14.25" hidden="1" customHeight="1" x14ac:dyDescent="0.25">
      <c r="A121" s="678" t="s">
        <v>86</v>
      </c>
      <c r="B121" s="678"/>
      <c r="C121" s="678"/>
      <c r="D121" s="678"/>
      <c r="E121" s="678"/>
      <c r="F121" s="678"/>
      <c r="G121" s="678"/>
      <c r="H121" s="678"/>
      <c r="I121" s="678"/>
      <c r="J121" s="678"/>
      <c r="K121" s="678"/>
      <c r="L121" s="678"/>
      <c r="M121" s="678"/>
      <c r="N121" s="678"/>
      <c r="O121" s="678"/>
      <c r="P121" s="678"/>
      <c r="Q121" s="678"/>
      <c r="R121" s="678"/>
      <c r="S121" s="678"/>
      <c r="T121" s="678"/>
      <c r="U121" s="678"/>
      <c r="V121" s="678"/>
      <c r="W121" s="678"/>
      <c r="X121" s="678"/>
      <c r="Y121" s="678"/>
      <c r="Z121" s="678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79">
        <v>4607091385168</v>
      </c>
      <c r="E122" s="679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133</v>
      </c>
      <c r="L122" s="37" t="s">
        <v>46</v>
      </c>
      <c r="M122" s="38" t="s">
        <v>97</v>
      </c>
      <c r="N122" s="38"/>
      <c r="O122" s="37">
        <v>45</v>
      </c>
      <c r="P122" s="7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81"/>
      <c r="R122" s="681"/>
      <c r="S122" s="681"/>
      <c r="T122" s="682"/>
      <c r="U122" s="39" t="s">
        <v>46</v>
      </c>
      <c r="V122" s="39" t="s">
        <v>46</v>
      </c>
      <c r="W122" s="40" t="s">
        <v>0</v>
      </c>
      <c r="X122" s="58">
        <v>300</v>
      </c>
      <c r="Y122" s="55">
        <f>IFERROR(IF(X122="",0,CEILING((X122/$H122),1)*$H122),"")</f>
        <v>307.8</v>
      </c>
      <c r="Z122" s="41">
        <f>IFERROR(IF(Y122=0,"",ROUNDUP(Y122/H122,0)*0.01898),"")</f>
        <v>0.72123999999999999</v>
      </c>
      <c r="AA122" s="68" t="s">
        <v>46</v>
      </c>
      <c r="AB122" s="69" t="s">
        <v>46</v>
      </c>
      <c r="AC122" s="194" t="s">
        <v>241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318.07407407407402</v>
      </c>
      <c r="BN122" s="78">
        <f>IFERROR(Y122*I122/H122,"0")</f>
        <v>326.34399999999999</v>
      </c>
      <c r="BO122" s="78">
        <f>IFERROR(1/J122*(X122/H122),"0")</f>
        <v>0.57870370370370372</v>
      </c>
      <c r="BP122" s="78">
        <f>IFERROR(1/J122*(Y122/H122),"0")</f>
        <v>0.59375</v>
      </c>
    </row>
    <row r="123" spans="1:68" ht="27" hidden="1" customHeight="1" x14ac:dyDescent="0.25">
      <c r="A123" s="63" t="s">
        <v>242</v>
      </c>
      <c r="B123" s="63" t="s">
        <v>243</v>
      </c>
      <c r="C123" s="36">
        <v>4301051730</v>
      </c>
      <c r="D123" s="679">
        <v>4607091383256</v>
      </c>
      <c r="E123" s="679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81"/>
      <c r="R123" s="681"/>
      <c r="S123" s="681"/>
      <c r="T123" s="68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241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244</v>
      </c>
      <c r="B124" s="63" t="s">
        <v>245</v>
      </c>
      <c r="C124" s="36">
        <v>4301051721</v>
      </c>
      <c r="D124" s="679">
        <v>4607091385748</v>
      </c>
      <c r="E124" s="679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81"/>
      <c r="R124" s="681"/>
      <c r="S124" s="681"/>
      <c r="T124" s="682"/>
      <c r="U124" s="39" t="s">
        <v>46</v>
      </c>
      <c r="V124" s="39" t="s">
        <v>46</v>
      </c>
      <c r="W124" s="40" t="s">
        <v>0</v>
      </c>
      <c r="X124" s="58">
        <v>495</v>
      </c>
      <c r="Y124" s="55">
        <f>IFERROR(IF(X124="",0,CEILING((X124/$H124),1)*$H124),"")</f>
        <v>496.8</v>
      </c>
      <c r="Z124" s="41">
        <f>IFERROR(IF(Y124=0,"",ROUNDUP(Y124/H124,0)*0.00651),"")</f>
        <v>1.19784</v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541.19999999999993</v>
      </c>
      <c r="BN124" s="78">
        <f>IFERROR(Y124*I124/H124,"0")</f>
        <v>543.16800000000001</v>
      </c>
      <c r="BO124" s="78">
        <f>IFERROR(1/J124*(X124/H124),"0")</f>
        <v>1.0073260073260073</v>
      </c>
      <c r="BP124" s="78">
        <f>IFERROR(1/J124*(Y124/H124),"0")</f>
        <v>1.0109890109890112</v>
      </c>
    </row>
    <row r="125" spans="1:68" ht="16.5" customHeight="1" x14ac:dyDescent="0.25">
      <c r="A125" s="63" t="s">
        <v>246</v>
      </c>
      <c r="B125" s="63" t="s">
        <v>247</v>
      </c>
      <c r="C125" s="36">
        <v>4301051740</v>
      </c>
      <c r="D125" s="679">
        <v>4680115884533</v>
      </c>
      <c r="E125" s="679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1"/>
      <c r="R125" s="681"/>
      <c r="S125" s="681"/>
      <c r="T125" s="682"/>
      <c r="U125" s="39" t="s">
        <v>46</v>
      </c>
      <c r="V125" s="39" t="s">
        <v>46</v>
      </c>
      <c r="W125" s="40" t="s">
        <v>0</v>
      </c>
      <c r="X125" s="58">
        <v>60</v>
      </c>
      <c r="Y125" s="55">
        <f>IFERROR(IF(X125="",0,CEILING((X125/$H125),1)*$H125),"")</f>
        <v>61.2</v>
      </c>
      <c r="Z125" s="41">
        <f>IFERROR(IF(Y125=0,"",ROUNDUP(Y125/H125,0)*0.00651),"")</f>
        <v>0.22134000000000001</v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66</v>
      </c>
      <c r="BN125" s="78">
        <f>IFERROR(Y125*I125/H125,"0")</f>
        <v>67.319999999999993</v>
      </c>
      <c r="BO125" s="78">
        <f>IFERROR(1/J125*(X125/H125),"0")</f>
        <v>0.18315018315018317</v>
      </c>
      <c r="BP125" s="78">
        <f>IFERROR(1/J125*(Y125/H125),"0")</f>
        <v>0.18681318681318682</v>
      </c>
    </row>
    <row r="126" spans="1:68" x14ac:dyDescent="0.2">
      <c r="A126" s="687"/>
      <c r="B126" s="687"/>
      <c r="C126" s="687"/>
      <c r="D126" s="687"/>
      <c r="E126" s="687"/>
      <c r="F126" s="687"/>
      <c r="G126" s="687"/>
      <c r="H126" s="687"/>
      <c r="I126" s="687"/>
      <c r="J126" s="687"/>
      <c r="K126" s="687"/>
      <c r="L126" s="687"/>
      <c r="M126" s="687"/>
      <c r="N126" s="687"/>
      <c r="O126" s="688"/>
      <c r="P126" s="684" t="s">
        <v>40</v>
      </c>
      <c r="Q126" s="685"/>
      <c r="R126" s="685"/>
      <c r="S126" s="685"/>
      <c r="T126" s="685"/>
      <c r="U126" s="685"/>
      <c r="V126" s="686"/>
      <c r="W126" s="42" t="s">
        <v>39</v>
      </c>
      <c r="X126" s="43">
        <f>IFERROR(X122/H122,"0")+IFERROR(X123/H123,"0")+IFERROR(X124/H124,"0")+IFERROR(X125/H125,"0")</f>
        <v>253.7037037037037</v>
      </c>
      <c r="Y126" s="43">
        <f>IFERROR(Y122/H122,"0")+IFERROR(Y123/H123,"0")+IFERROR(Y124/H124,"0")+IFERROR(Y125/H125,"0")</f>
        <v>256</v>
      </c>
      <c r="Z126" s="43">
        <f>IFERROR(IF(Z122="",0,Z122),"0")+IFERROR(IF(Z123="",0,Z123),"0")+IFERROR(IF(Z124="",0,Z124),"0")+IFERROR(IF(Z125="",0,Z125),"0")</f>
        <v>2.1404200000000002</v>
      </c>
      <c r="AA126" s="67"/>
      <c r="AB126" s="67"/>
      <c r="AC126" s="67"/>
    </row>
    <row r="127" spans="1:68" x14ac:dyDescent="0.2">
      <c r="A127" s="687"/>
      <c r="B127" s="687"/>
      <c r="C127" s="687"/>
      <c r="D127" s="687"/>
      <c r="E127" s="687"/>
      <c r="F127" s="687"/>
      <c r="G127" s="687"/>
      <c r="H127" s="687"/>
      <c r="I127" s="687"/>
      <c r="J127" s="687"/>
      <c r="K127" s="687"/>
      <c r="L127" s="687"/>
      <c r="M127" s="687"/>
      <c r="N127" s="687"/>
      <c r="O127" s="688"/>
      <c r="P127" s="684" t="s">
        <v>40</v>
      </c>
      <c r="Q127" s="685"/>
      <c r="R127" s="685"/>
      <c r="S127" s="685"/>
      <c r="T127" s="685"/>
      <c r="U127" s="685"/>
      <c r="V127" s="686"/>
      <c r="W127" s="42" t="s">
        <v>0</v>
      </c>
      <c r="X127" s="43">
        <f>IFERROR(SUM(X122:X125),"0")</f>
        <v>855</v>
      </c>
      <c r="Y127" s="43">
        <f>IFERROR(SUM(Y122:Y125),"0")</f>
        <v>865.80000000000007</v>
      </c>
      <c r="Z127" s="42"/>
      <c r="AA127" s="67"/>
      <c r="AB127" s="67"/>
      <c r="AC127" s="67"/>
    </row>
    <row r="128" spans="1:68" ht="14.25" hidden="1" customHeight="1" x14ac:dyDescent="0.25">
      <c r="A128" s="678" t="s">
        <v>180</v>
      </c>
      <c r="B128" s="678"/>
      <c r="C128" s="678"/>
      <c r="D128" s="678"/>
      <c r="E128" s="678"/>
      <c r="F128" s="678"/>
      <c r="G128" s="678"/>
      <c r="H128" s="678"/>
      <c r="I128" s="678"/>
      <c r="J128" s="678"/>
      <c r="K128" s="678"/>
      <c r="L128" s="678"/>
      <c r="M128" s="678"/>
      <c r="N128" s="678"/>
      <c r="O128" s="678"/>
      <c r="P128" s="678"/>
      <c r="Q128" s="678"/>
      <c r="R128" s="678"/>
      <c r="S128" s="678"/>
      <c r="T128" s="678"/>
      <c r="U128" s="678"/>
      <c r="V128" s="678"/>
      <c r="W128" s="678"/>
      <c r="X128" s="678"/>
      <c r="Y128" s="678"/>
      <c r="Z128" s="678"/>
      <c r="AA128" s="66"/>
      <c r="AB128" s="66"/>
      <c r="AC128" s="80"/>
    </row>
    <row r="129" spans="1:68" ht="16.5" customHeight="1" x14ac:dyDescent="0.25">
      <c r="A129" s="63" t="s">
        <v>249</v>
      </c>
      <c r="B129" s="63" t="s">
        <v>250</v>
      </c>
      <c r="C129" s="36">
        <v>4301060317</v>
      </c>
      <c r="D129" s="679">
        <v>4680115880238</v>
      </c>
      <c r="E129" s="679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4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81"/>
      <c r="R129" s="681"/>
      <c r="S129" s="681"/>
      <c r="T129" s="682"/>
      <c r="U129" s="39" t="s">
        <v>46</v>
      </c>
      <c r="V129" s="39" t="s">
        <v>46</v>
      </c>
      <c r="W129" s="40" t="s">
        <v>0</v>
      </c>
      <c r="X129" s="58">
        <v>13.200000000000001</v>
      </c>
      <c r="Y129" s="55">
        <f>IFERROR(IF(X129="",0,CEILING((X129/$H129),1)*$H129),"")</f>
        <v>13.86</v>
      </c>
      <c r="Z129" s="41">
        <f>IFERROR(IF(Y129=0,"",ROUNDUP(Y129/H129,0)*0.00651),"")</f>
        <v>4.5569999999999999E-2</v>
      </c>
      <c r="AA129" s="68" t="s">
        <v>46</v>
      </c>
      <c r="AB129" s="69" t="s">
        <v>46</v>
      </c>
      <c r="AC129" s="202" t="s">
        <v>251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14.920000000000002</v>
      </c>
      <c r="BN129" s="78">
        <f>IFERROR(Y129*I129/H129,"0")</f>
        <v>15.666</v>
      </c>
      <c r="BO129" s="78">
        <f>IFERROR(1/J129*(X129/H129),"0")</f>
        <v>3.6630036630036632E-2</v>
      </c>
      <c r="BP129" s="78">
        <f>IFERROR(1/J129*(Y129/H129),"0")</f>
        <v>3.8461538461538464E-2</v>
      </c>
    </row>
    <row r="130" spans="1:68" x14ac:dyDescent="0.2">
      <c r="A130" s="687"/>
      <c r="B130" s="687"/>
      <c r="C130" s="687"/>
      <c r="D130" s="687"/>
      <c r="E130" s="687"/>
      <c r="F130" s="687"/>
      <c r="G130" s="687"/>
      <c r="H130" s="687"/>
      <c r="I130" s="687"/>
      <c r="J130" s="687"/>
      <c r="K130" s="687"/>
      <c r="L130" s="687"/>
      <c r="M130" s="687"/>
      <c r="N130" s="687"/>
      <c r="O130" s="688"/>
      <c r="P130" s="684" t="s">
        <v>40</v>
      </c>
      <c r="Q130" s="685"/>
      <c r="R130" s="685"/>
      <c r="S130" s="685"/>
      <c r="T130" s="685"/>
      <c r="U130" s="685"/>
      <c r="V130" s="686"/>
      <c r="W130" s="42" t="s">
        <v>39</v>
      </c>
      <c r="X130" s="43">
        <f>IFERROR(X129/H129,"0")</f>
        <v>6.666666666666667</v>
      </c>
      <c r="Y130" s="43">
        <f>IFERROR(Y129/H129,"0")</f>
        <v>7</v>
      </c>
      <c r="Z130" s="43">
        <f>IFERROR(IF(Z129="",0,Z129),"0")</f>
        <v>4.5569999999999999E-2</v>
      </c>
      <c r="AA130" s="67"/>
      <c r="AB130" s="67"/>
      <c r="AC130" s="67"/>
    </row>
    <row r="131" spans="1:68" x14ac:dyDescent="0.2">
      <c r="A131" s="687"/>
      <c r="B131" s="687"/>
      <c r="C131" s="687"/>
      <c r="D131" s="687"/>
      <c r="E131" s="687"/>
      <c r="F131" s="687"/>
      <c r="G131" s="687"/>
      <c r="H131" s="687"/>
      <c r="I131" s="687"/>
      <c r="J131" s="687"/>
      <c r="K131" s="687"/>
      <c r="L131" s="687"/>
      <c r="M131" s="687"/>
      <c r="N131" s="687"/>
      <c r="O131" s="688"/>
      <c r="P131" s="684" t="s">
        <v>40</v>
      </c>
      <c r="Q131" s="685"/>
      <c r="R131" s="685"/>
      <c r="S131" s="685"/>
      <c r="T131" s="685"/>
      <c r="U131" s="685"/>
      <c r="V131" s="686"/>
      <c r="W131" s="42" t="s">
        <v>0</v>
      </c>
      <c r="X131" s="43">
        <f>IFERROR(SUM(X129:X129),"0")</f>
        <v>13.200000000000001</v>
      </c>
      <c r="Y131" s="43">
        <f>IFERROR(SUM(Y129:Y129),"0")</f>
        <v>13.86</v>
      </c>
      <c r="Z131" s="42"/>
      <c r="AA131" s="67"/>
      <c r="AB131" s="67"/>
      <c r="AC131" s="67"/>
    </row>
    <row r="132" spans="1:68" ht="16.5" hidden="1" customHeight="1" x14ac:dyDescent="0.25">
      <c r="A132" s="677" t="s">
        <v>252</v>
      </c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77"/>
      <c r="P132" s="677"/>
      <c r="Q132" s="677"/>
      <c r="R132" s="677"/>
      <c r="S132" s="677"/>
      <c r="T132" s="677"/>
      <c r="U132" s="677"/>
      <c r="V132" s="677"/>
      <c r="W132" s="677"/>
      <c r="X132" s="677"/>
      <c r="Y132" s="677"/>
      <c r="Z132" s="677"/>
      <c r="AA132" s="65"/>
      <c r="AB132" s="65"/>
      <c r="AC132" s="79"/>
    </row>
    <row r="133" spans="1:68" ht="14.25" hidden="1" customHeight="1" x14ac:dyDescent="0.25">
      <c r="A133" s="678" t="s">
        <v>128</v>
      </c>
      <c r="B133" s="678"/>
      <c r="C133" s="67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8"/>
      <c r="P133" s="678"/>
      <c r="Q133" s="678"/>
      <c r="R133" s="678"/>
      <c r="S133" s="678"/>
      <c r="T133" s="678"/>
      <c r="U133" s="678"/>
      <c r="V133" s="678"/>
      <c r="W133" s="678"/>
      <c r="X133" s="678"/>
      <c r="Y133" s="678"/>
      <c r="Z133" s="678"/>
      <c r="AA133" s="66"/>
      <c r="AB133" s="66"/>
      <c r="AC133" s="80"/>
    </row>
    <row r="134" spans="1:68" ht="27" hidden="1" customHeight="1" x14ac:dyDescent="0.25">
      <c r="A134" s="63" t="s">
        <v>253</v>
      </c>
      <c r="B134" s="63" t="s">
        <v>254</v>
      </c>
      <c r="C134" s="36">
        <v>4301011562</v>
      </c>
      <c r="D134" s="679">
        <v>4680115882577</v>
      </c>
      <c r="E134" s="67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112</v>
      </c>
      <c r="N134" s="38"/>
      <c r="O134" s="37">
        <v>90</v>
      </c>
      <c r="P134" s="74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81"/>
      <c r="R134" s="681"/>
      <c r="S134" s="681"/>
      <c r="T134" s="68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253</v>
      </c>
      <c r="B135" s="63" t="s">
        <v>256</v>
      </c>
      <c r="C135" s="36">
        <v>4301011564</v>
      </c>
      <c r="D135" s="679">
        <v>4680115882577</v>
      </c>
      <c r="E135" s="67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7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1"/>
      <c r="R135" s="681"/>
      <c r="S135" s="681"/>
      <c r="T135" s="682"/>
      <c r="U135" s="39" t="s">
        <v>46</v>
      </c>
      <c r="V135" s="39" t="s">
        <v>46</v>
      </c>
      <c r="W135" s="40" t="s">
        <v>0</v>
      </c>
      <c r="X135" s="58">
        <v>100</v>
      </c>
      <c r="Y135" s="55">
        <f>IFERROR(IF(X135="",0,CEILING((X135/$H135),1)*$H135),"")</f>
        <v>102.4</v>
      </c>
      <c r="Z135" s="41">
        <f>IFERROR(IF(Y135=0,"",ROUNDUP(Y135/H135,0)*0.00651),"")</f>
        <v>0.20832000000000001</v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105.625</v>
      </c>
      <c r="BN135" s="78">
        <f>IFERROR(Y135*I135/H135,"0")</f>
        <v>108.16</v>
      </c>
      <c r="BO135" s="78">
        <f>IFERROR(1/J135*(X135/H135),"0")</f>
        <v>0.1717032967032967</v>
      </c>
      <c r="BP135" s="78">
        <f>IFERROR(1/J135*(Y135/H135),"0")</f>
        <v>0.17582417582417584</v>
      </c>
    </row>
    <row r="136" spans="1:68" x14ac:dyDescent="0.2">
      <c r="A136" s="687"/>
      <c r="B136" s="687"/>
      <c r="C136" s="687"/>
      <c r="D136" s="687"/>
      <c r="E136" s="687"/>
      <c r="F136" s="687"/>
      <c r="G136" s="687"/>
      <c r="H136" s="687"/>
      <c r="I136" s="687"/>
      <c r="J136" s="687"/>
      <c r="K136" s="687"/>
      <c r="L136" s="687"/>
      <c r="M136" s="687"/>
      <c r="N136" s="687"/>
      <c r="O136" s="688"/>
      <c r="P136" s="684" t="s">
        <v>40</v>
      </c>
      <c r="Q136" s="685"/>
      <c r="R136" s="685"/>
      <c r="S136" s="685"/>
      <c r="T136" s="685"/>
      <c r="U136" s="685"/>
      <c r="V136" s="686"/>
      <c r="W136" s="42" t="s">
        <v>39</v>
      </c>
      <c r="X136" s="43">
        <f>IFERROR(X134/H134,"0")+IFERROR(X135/H135,"0")</f>
        <v>31.25</v>
      </c>
      <c r="Y136" s="43">
        <f>IFERROR(Y134/H134,"0")+IFERROR(Y135/H135,"0")</f>
        <v>32</v>
      </c>
      <c r="Z136" s="43">
        <f>IFERROR(IF(Z134="",0,Z134),"0")+IFERROR(IF(Z135="",0,Z135),"0")</f>
        <v>0.20832000000000001</v>
      </c>
      <c r="AA136" s="67"/>
      <c r="AB136" s="67"/>
      <c r="AC136" s="67"/>
    </row>
    <row r="137" spans="1:68" x14ac:dyDescent="0.2">
      <c r="A137" s="687"/>
      <c r="B137" s="687"/>
      <c r="C137" s="687"/>
      <c r="D137" s="687"/>
      <c r="E137" s="687"/>
      <c r="F137" s="687"/>
      <c r="G137" s="687"/>
      <c r="H137" s="687"/>
      <c r="I137" s="687"/>
      <c r="J137" s="687"/>
      <c r="K137" s="687"/>
      <c r="L137" s="687"/>
      <c r="M137" s="687"/>
      <c r="N137" s="687"/>
      <c r="O137" s="688"/>
      <c r="P137" s="684" t="s">
        <v>40</v>
      </c>
      <c r="Q137" s="685"/>
      <c r="R137" s="685"/>
      <c r="S137" s="685"/>
      <c r="T137" s="685"/>
      <c r="U137" s="685"/>
      <c r="V137" s="686"/>
      <c r="W137" s="42" t="s">
        <v>0</v>
      </c>
      <c r="X137" s="43">
        <f>IFERROR(SUM(X134:X135),"0")</f>
        <v>100</v>
      </c>
      <c r="Y137" s="43">
        <f>IFERROR(SUM(Y134:Y135),"0")</f>
        <v>102.4</v>
      </c>
      <c r="Z137" s="42"/>
      <c r="AA137" s="67"/>
      <c r="AB137" s="67"/>
      <c r="AC137" s="67"/>
    </row>
    <row r="138" spans="1:68" ht="14.25" hidden="1" customHeight="1" x14ac:dyDescent="0.25">
      <c r="A138" s="678" t="s">
        <v>77</v>
      </c>
      <c r="B138" s="678"/>
      <c r="C138" s="678"/>
      <c r="D138" s="678"/>
      <c r="E138" s="678"/>
      <c r="F138" s="678"/>
      <c r="G138" s="678"/>
      <c r="H138" s="678"/>
      <c r="I138" s="678"/>
      <c r="J138" s="678"/>
      <c r="K138" s="678"/>
      <c r="L138" s="678"/>
      <c r="M138" s="678"/>
      <c r="N138" s="678"/>
      <c r="O138" s="678"/>
      <c r="P138" s="678"/>
      <c r="Q138" s="678"/>
      <c r="R138" s="678"/>
      <c r="S138" s="678"/>
      <c r="T138" s="678"/>
      <c r="U138" s="678"/>
      <c r="V138" s="678"/>
      <c r="W138" s="678"/>
      <c r="X138" s="678"/>
      <c r="Y138" s="678"/>
      <c r="Z138" s="678"/>
      <c r="AA138" s="66"/>
      <c r="AB138" s="66"/>
      <c r="AC138" s="80"/>
    </row>
    <row r="139" spans="1:68" ht="27" hidden="1" customHeight="1" x14ac:dyDescent="0.25">
      <c r="A139" s="63" t="s">
        <v>257</v>
      </c>
      <c r="B139" s="63" t="s">
        <v>258</v>
      </c>
      <c r="C139" s="36">
        <v>4301031234</v>
      </c>
      <c r="D139" s="679">
        <v>4680115883444</v>
      </c>
      <c r="E139" s="679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112</v>
      </c>
      <c r="N139" s="38"/>
      <c r="O139" s="37">
        <v>90</v>
      </c>
      <c r="P139" s="74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81"/>
      <c r="R139" s="681"/>
      <c r="S139" s="681"/>
      <c r="T139" s="68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259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257</v>
      </c>
      <c r="B140" s="63" t="s">
        <v>260</v>
      </c>
      <c r="C140" s="36">
        <v>4301031235</v>
      </c>
      <c r="D140" s="679">
        <v>4680115883444</v>
      </c>
      <c r="E140" s="679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74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81"/>
      <c r="R140" s="681"/>
      <c r="S140" s="681"/>
      <c r="T140" s="68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259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87"/>
      <c r="B141" s="687"/>
      <c r="C141" s="687"/>
      <c r="D141" s="687"/>
      <c r="E141" s="687"/>
      <c r="F141" s="687"/>
      <c r="G141" s="687"/>
      <c r="H141" s="687"/>
      <c r="I141" s="687"/>
      <c r="J141" s="687"/>
      <c r="K141" s="687"/>
      <c r="L141" s="687"/>
      <c r="M141" s="687"/>
      <c r="N141" s="687"/>
      <c r="O141" s="688"/>
      <c r="P141" s="684" t="s">
        <v>40</v>
      </c>
      <c r="Q141" s="685"/>
      <c r="R141" s="685"/>
      <c r="S141" s="685"/>
      <c r="T141" s="685"/>
      <c r="U141" s="685"/>
      <c r="V141" s="686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87"/>
      <c r="B142" s="687"/>
      <c r="C142" s="687"/>
      <c r="D142" s="687"/>
      <c r="E142" s="687"/>
      <c r="F142" s="687"/>
      <c r="G142" s="687"/>
      <c r="H142" s="687"/>
      <c r="I142" s="687"/>
      <c r="J142" s="687"/>
      <c r="K142" s="687"/>
      <c r="L142" s="687"/>
      <c r="M142" s="687"/>
      <c r="N142" s="687"/>
      <c r="O142" s="688"/>
      <c r="P142" s="684" t="s">
        <v>40</v>
      </c>
      <c r="Q142" s="685"/>
      <c r="R142" s="685"/>
      <c r="S142" s="685"/>
      <c r="T142" s="685"/>
      <c r="U142" s="685"/>
      <c r="V142" s="686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78" t="s">
        <v>86</v>
      </c>
      <c r="B143" s="678"/>
      <c r="C143" s="678"/>
      <c r="D143" s="678"/>
      <c r="E143" s="678"/>
      <c r="F143" s="678"/>
      <c r="G143" s="678"/>
      <c r="H143" s="678"/>
      <c r="I143" s="678"/>
      <c r="J143" s="678"/>
      <c r="K143" s="678"/>
      <c r="L143" s="678"/>
      <c r="M143" s="678"/>
      <c r="N143" s="678"/>
      <c r="O143" s="678"/>
      <c r="P143" s="678"/>
      <c r="Q143" s="678"/>
      <c r="R143" s="678"/>
      <c r="S143" s="678"/>
      <c r="T143" s="678"/>
      <c r="U143" s="678"/>
      <c r="V143" s="678"/>
      <c r="W143" s="678"/>
      <c r="X143" s="678"/>
      <c r="Y143" s="678"/>
      <c r="Z143" s="678"/>
      <c r="AA143" s="66"/>
      <c r="AB143" s="66"/>
      <c r="AC143" s="80"/>
    </row>
    <row r="144" spans="1:68" ht="16.5" customHeight="1" x14ac:dyDescent="0.25">
      <c r="A144" s="63" t="s">
        <v>261</v>
      </c>
      <c r="B144" s="63" t="s">
        <v>262</v>
      </c>
      <c r="C144" s="36">
        <v>4301051476</v>
      </c>
      <c r="D144" s="679">
        <v>4680115882584</v>
      </c>
      <c r="E144" s="679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112</v>
      </c>
      <c r="N144" s="38"/>
      <c r="O144" s="37">
        <v>60</v>
      </c>
      <c r="P144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81"/>
      <c r="R144" s="681"/>
      <c r="S144" s="681"/>
      <c r="T144" s="682"/>
      <c r="U144" s="39" t="s">
        <v>46</v>
      </c>
      <c r="V144" s="39" t="s">
        <v>46</v>
      </c>
      <c r="W144" s="40" t="s">
        <v>0</v>
      </c>
      <c r="X144" s="58">
        <v>59.400000000000006</v>
      </c>
      <c r="Y144" s="55">
        <f>IFERROR(IF(X144="",0,CEILING((X144/$H144),1)*$H144),"")</f>
        <v>60.720000000000006</v>
      </c>
      <c r="Z144" s="41">
        <f>IFERROR(IF(Y144=0,"",ROUNDUP(Y144/H144,0)*0.00651),"")</f>
        <v>0.14973</v>
      </c>
      <c r="AA144" s="68" t="s">
        <v>46</v>
      </c>
      <c r="AB144" s="69" t="s">
        <v>46</v>
      </c>
      <c r="AC144" s="212" t="s">
        <v>255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65.430000000000007</v>
      </c>
      <c r="BN144" s="78">
        <f>IFERROR(Y144*I144/H144,"0")</f>
        <v>66.884</v>
      </c>
      <c r="BO144" s="78">
        <f>IFERROR(1/J144*(X144/H144),"0")</f>
        <v>0.12362637362637363</v>
      </c>
      <c r="BP144" s="78">
        <f>IFERROR(1/J144*(Y144/H144),"0")</f>
        <v>0.1263736263736264</v>
      </c>
    </row>
    <row r="145" spans="1:68" ht="16.5" hidden="1" customHeight="1" x14ac:dyDescent="0.25">
      <c r="A145" s="63" t="s">
        <v>261</v>
      </c>
      <c r="B145" s="63" t="s">
        <v>263</v>
      </c>
      <c r="C145" s="36">
        <v>4301051477</v>
      </c>
      <c r="D145" s="679">
        <v>4680115882584</v>
      </c>
      <c r="E145" s="679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7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1"/>
      <c r="R145" s="681"/>
      <c r="S145" s="681"/>
      <c r="T145" s="682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255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87"/>
      <c r="B146" s="687"/>
      <c r="C146" s="687"/>
      <c r="D146" s="687"/>
      <c r="E146" s="687"/>
      <c r="F146" s="687"/>
      <c r="G146" s="687"/>
      <c r="H146" s="687"/>
      <c r="I146" s="687"/>
      <c r="J146" s="687"/>
      <c r="K146" s="687"/>
      <c r="L146" s="687"/>
      <c r="M146" s="687"/>
      <c r="N146" s="687"/>
      <c r="O146" s="688"/>
      <c r="P146" s="684" t="s">
        <v>40</v>
      </c>
      <c r="Q146" s="685"/>
      <c r="R146" s="685"/>
      <c r="S146" s="685"/>
      <c r="T146" s="685"/>
      <c r="U146" s="685"/>
      <c r="V146" s="686"/>
      <c r="W146" s="42" t="s">
        <v>39</v>
      </c>
      <c r="X146" s="43">
        <f>IFERROR(X144/H144,"0")+IFERROR(X145/H145,"0")</f>
        <v>22.5</v>
      </c>
      <c r="Y146" s="43">
        <f>IFERROR(Y144/H144,"0")+IFERROR(Y145/H145,"0")</f>
        <v>23</v>
      </c>
      <c r="Z146" s="43">
        <f>IFERROR(IF(Z144="",0,Z144),"0")+IFERROR(IF(Z145="",0,Z145),"0")</f>
        <v>0.14973</v>
      </c>
      <c r="AA146" s="67"/>
      <c r="AB146" s="67"/>
      <c r="AC146" s="67"/>
    </row>
    <row r="147" spans="1:68" x14ac:dyDescent="0.2">
      <c r="A147" s="687"/>
      <c r="B147" s="687"/>
      <c r="C147" s="687"/>
      <c r="D147" s="687"/>
      <c r="E147" s="687"/>
      <c r="F147" s="687"/>
      <c r="G147" s="687"/>
      <c r="H147" s="687"/>
      <c r="I147" s="687"/>
      <c r="J147" s="687"/>
      <c r="K147" s="687"/>
      <c r="L147" s="687"/>
      <c r="M147" s="687"/>
      <c r="N147" s="687"/>
      <c r="O147" s="688"/>
      <c r="P147" s="684" t="s">
        <v>40</v>
      </c>
      <c r="Q147" s="685"/>
      <c r="R147" s="685"/>
      <c r="S147" s="685"/>
      <c r="T147" s="685"/>
      <c r="U147" s="685"/>
      <c r="V147" s="686"/>
      <c r="W147" s="42" t="s">
        <v>0</v>
      </c>
      <c r="X147" s="43">
        <f>IFERROR(SUM(X144:X145),"0")</f>
        <v>59.400000000000006</v>
      </c>
      <c r="Y147" s="43">
        <f>IFERROR(SUM(Y144:Y145),"0")</f>
        <v>60.720000000000006</v>
      </c>
      <c r="Z147" s="42"/>
      <c r="AA147" s="67"/>
      <c r="AB147" s="67"/>
      <c r="AC147" s="67"/>
    </row>
    <row r="148" spans="1:68" ht="16.5" hidden="1" customHeight="1" x14ac:dyDescent="0.25">
      <c r="A148" s="677" t="s">
        <v>264</v>
      </c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77"/>
      <c r="P148" s="677"/>
      <c r="Q148" s="677"/>
      <c r="R148" s="677"/>
      <c r="S148" s="677"/>
      <c r="T148" s="677"/>
      <c r="U148" s="677"/>
      <c r="V148" s="677"/>
      <c r="W148" s="677"/>
      <c r="X148" s="677"/>
      <c r="Y148" s="677"/>
      <c r="Z148" s="677"/>
      <c r="AA148" s="65"/>
      <c r="AB148" s="65"/>
      <c r="AC148" s="79"/>
    </row>
    <row r="149" spans="1:68" ht="14.25" hidden="1" customHeight="1" x14ac:dyDescent="0.25">
      <c r="A149" s="678" t="s">
        <v>86</v>
      </c>
      <c r="B149" s="678"/>
      <c r="C149" s="678"/>
      <c r="D149" s="678"/>
      <c r="E149" s="678"/>
      <c r="F149" s="678"/>
      <c r="G149" s="678"/>
      <c r="H149" s="678"/>
      <c r="I149" s="678"/>
      <c r="J149" s="678"/>
      <c r="K149" s="678"/>
      <c r="L149" s="678"/>
      <c r="M149" s="678"/>
      <c r="N149" s="678"/>
      <c r="O149" s="678"/>
      <c r="P149" s="678"/>
      <c r="Q149" s="678"/>
      <c r="R149" s="678"/>
      <c r="S149" s="678"/>
      <c r="T149" s="678"/>
      <c r="U149" s="678"/>
      <c r="V149" s="678"/>
      <c r="W149" s="678"/>
      <c r="X149" s="678"/>
      <c r="Y149" s="678"/>
      <c r="Z149" s="678"/>
      <c r="AA149" s="66"/>
      <c r="AB149" s="66"/>
      <c r="AC149" s="80"/>
    </row>
    <row r="150" spans="1:68" ht="27" hidden="1" customHeight="1" x14ac:dyDescent="0.25">
      <c r="A150" s="63" t="s">
        <v>265</v>
      </c>
      <c r="B150" s="63" t="s">
        <v>266</v>
      </c>
      <c r="C150" s="36">
        <v>4301052174</v>
      </c>
      <c r="D150" s="679">
        <v>4680115888203</v>
      </c>
      <c r="E150" s="679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5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81"/>
      <c r="R150" s="681"/>
      <c r="S150" s="681"/>
      <c r="T150" s="682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267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268</v>
      </c>
      <c r="B151" s="63" t="s">
        <v>269</v>
      </c>
      <c r="C151" s="36">
        <v>4301052172</v>
      </c>
      <c r="D151" s="679">
        <v>4680115888180</v>
      </c>
      <c r="E151" s="679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81"/>
      <c r="R151" s="681"/>
      <c r="S151" s="681"/>
      <c r="T151" s="682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270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4301052173</v>
      </c>
      <c r="D152" s="679">
        <v>4680115888197</v>
      </c>
      <c r="E152" s="67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81"/>
      <c r="R152" s="681"/>
      <c r="S152" s="681"/>
      <c r="T152" s="682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273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274</v>
      </c>
      <c r="B153" s="63" t="s">
        <v>275</v>
      </c>
      <c r="C153" s="36">
        <v>4301052175</v>
      </c>
      <c r="D153" s="679">
        <v>4680115888210</v>
      </c>
      <c r="E153" s="679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81"/>
      <c r="R153" s="681"/>
      <c r="S153" s="681"/>
      <c r="T153" s="68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276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87"/>
      <c r="B154" s="687"/>
      <c r="C154" s="687"/>
      <c r="D154" s="687"/>
      <c r="E154" s="687"/>
      <c r="F154" s="687"/>
      <c r="G154" s="687"/>
      <c r="H154" s="687"/>
      <c r="I154" s="687"/>
      <c r="J154" s="687"/>
      <c r="K154" s="687"/>
      <c r="L154" s="687"/>
      <c r="M154" s="687"/>
      <c r="N154" s="687"/>
      <c r="O154" s="688"/>
      <c r="P154" s="684" t="s">
        <v>40</v>
      </c>
      <c r="Q154" s="685"/>
      <c r="R154" s="685"/>
      <c r="S154" s="685"/>
      <c r="T154" s="685"/>
      <c r="U154" s="685"/>
      <c r="V154" s="686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87"/>
      <c r="B155" s="687"/>
      <c r="C155" s="687"/>
      <c r="D155" s="687"/>
      <c r="E155" s="687"/>
      <c r="F155" s="687"/>
      <c r="G155" s="687"/>
      <c r="H155" s="687"/>
      <c r="I155" s="687"/>
      <c r="J155" s="687"/>
      <c r="K155" s="687"/>
      <c r="L155" s="687"/>
      <c r="M155" s="687"/>
      <c r="N155" s="687"/>
      <c r="O155" s="688"/>
      <c r="P155" s="684" t="s">
        <v>40</v>
      </c>
      <c r="Q155" s="685"/>
      <c r="R155" s="685"/>
      <c r="S155" s="685"/>
      <c r="T155" s="685"/>
      <c r="U155" s="685"/>
      <c r="V155" s="686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77" t="s">
        <v>126</v>
      </c>
      <c r="B156" s="677"/>
      <c r="C156" s="677"/>
      <c r="D156" s="677"/>
      <c r="E156" s="677"/>
      <c r="F156" s="677"/>
      <c r="G156" s="677"/>
      <c r="H156" s="677"/>
      <c r="I156" s="677"/>
      <c r="J156" s="677"/>
      <c r="K156" s="677"/>
      <c r="L156" s="677"/>
      <c r="M156" s="677"/>
      <c r="N156" s="677"/>
      <c r="O156" s="677"/>
      <c r="P156" s="677"/>
      <c r="Q156" s="677"/>
      <c r="R156" s="677"/>
      <c r="S156" s="677"/>
      <c r="T156" s="677"/>
      <c r="U156" s="677"/>
      <c r="V156" s="677"/>
      <c r="W156" s="677"/>
      <c r="X156" s="677"/>
      <c r="Y156" s="677"/>
      <c r="Z156" s="677"/>
      <c r="AA156" s="65"/>
      <c r="AB156" s="65"/>
      <c r="AC156" s="79"/>
    </row>
    <row r="157" spans="1:68" ht="14.25" hidden="1" customHeight="1" x14ac:dyDescent="0.25">
      <c r="A157" s="678" t="s">
        <v>128</v>
      </c>
      <c r="B157" s="678"/>
      <c r="C157" s="678"/>
      <c r="D157" s="678"/>
      <c r="E157" s="678"/>
      <c r="F157" s="678"/>
      <c r="G157" s="678"/>
      <c r="H157" s="678"/>
      <c r="I157" s="678"/>
      <c r="J157" s="678"/>
      <c r="K157" s="678"/>
      <c r="L157" s="678"/>
      <c r="M157" s="678"/>
      <c r="N157" s="678"/>
      <c r="O157" s="678"/>
      <c r="P157" s="678"/>
      <c r="Q157" s="678"/>
      <c r="R157" s="678"/>
      <c r="S157" s="678"/>
      <c r="T157" s="678"/>
      <c r="U157" s="678"/>
      <c r="V157" s="678"/>
      <c r="W157" s="678"/>
      <c r="X157" s="678"/>
      <c r="Y157" s="678"/>
      <c r="Z157" s="678"/>
      <c r="AA157" s="66"/>
      <c r="AB157" s="66"/>
      <c r="AC157" s="80"/>
    </row>
    <row r="158" spans="1:68" ht="27" hidden="1" customHeight="1" x14ac:dyDescent="0.25">
      <c r="A158" s="63" t="s">
        <v>277</v>
      </c>
      <c r="B158" s="63" t="s">
        <v>278</v>
      </c>
      <c r="C158" s="36">
        <v>4301012244</v>
      </c>
      <c r="D158" s="679">
        <v>4680115887374</v>
      </c>
      <c r="E158" s="679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133</v>
      </c>
      <c r="L158" s="37" t="s">
        <v>46</v>
      </c>
      <c r="M158" s="38" t="s">
        <v>132</v>
      </c>
      <c r="N158" s="38"/>
      <c r="O158" s="37">
        <v>55</v>
      </c>
      <c r="P158" s="75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81"/>
      <c r="R158" s="681"/>
      <c r="S158" s="681"/>
      <c r="T158" s="68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279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280</v>
      </c>
      <c r="B159" s="63" t="s">
        <v>281</v>
      </c>
      <c r="C159" s="36">
        <v>4301011705</v>
      </c>
      <c r="D159" s="679">
        <v>4607091384604</v>
      </c>
      <c r="E159" s="67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140</v>
      </c>
      <c r="L159" s="37" t="s">
        <v>46</v>
      </c>
      <c r="M159" s="38" t="s">
        <v>132</v>
      </c>
      <c r="N159" s="38"/>
      <c r="O159" s="37">
        <v>50</v>
      </c>
      <c r="P159" s="75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81"/>
      <c r="R159" s="681"/>
      <c r="S159" s="681"/>
      <c r="T159" s="68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282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87"/>
      <c r="B160" s="687"/>
      <c r="C160" s="687"/>
      <c r="D160" s="687"/>
      <c r="E160" s="687"/>
      <c r="F160" s="687"/>
      <c r="G160" s="687"/>
      <c r="H160" s="687"/>
      <c r="I160" s="687"/>
      <c r="J160" s="687"/>
      <c r="K160" s="687"/>
      <c r="L160" s="687"/>
      <c r="M160" s="687"/>
      <c r="N160" s="687"/>
      <c r="O160" s="688"/>
      <c r="P160" s="684" t="s">
        <v>40</v>
      </c>
      <c r="Q160" s="685"/>
      <c r="R160" s="685"/>
      <c r="S160" s="685"/>
      <c r="T160" s="685"/>
      <c r="U160" s="685"/>
      <c r="V160" s="686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87"/>
      <c r="B161" s="687"/>
      <c r="C161" s="687"/>
      <c r="D161" s="687"/>
      <c r="E161" s="687"/>
      <c r="F161" s="687"/>
      <c r="G161" s="687"/>
      <c r="H161" s="687"/>
      <c r="I161" s="687"/>
      <c r="J161" s="687"/>
      <c r="K161" s="687"/>
      <c r="L161" s="687"/>
      <c r="M161" s="687"/>
      <c r="N161" s="687"/>
      <c r="O161" s="688"/>
      <c r="P161" s="684" t="s">
        <v>40</v>
      </c>
      <c r="Q161" s="685"/>
      <c r="R161" s="685"/>
      <c r="S161" s="685"/>
      <c r="T161" s="685"/>
      <c r="U161" s="685"/>
      <c r="V161" s="686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78" t="s">
        <v>163</v>
      </c>
      <c r="B162" s="678"/>
      <c r="C162" s="678"/>
      <c r="D162" s="678"/>
      <c r="E162" s="678"/>
      <c r="F162" s="678"/>
      <c r="G162" s="678"/>
      <c r="H162" s="678"/>
      <c r="I162" s="678"/>
      <c r="J162" s="678"/>
      <c r="K162" s="678"/>
      <c r="L162" s="678"/>
      <c r="M162" s="678"/>
      <c r="N162" s="678"/>
      <c r="O162" s="678"/>
      <c r="P162" s="678"/>
      <c r="Q162" s="678"/>
      <c r="R162" s="678"/>
      <c r="S162" s="678"/>
      <c r="T162" s="678"/>
      <c r="U162" s="678"/>
      <c r="V162" s="678"/>
      <c r="W162" s="678"/>
      <c r="X162" s="678"/>
      <c r="Y162" s="678"/>
      <c r="Z162" s="678"/>
      <c r="AA162" s="66"/>
      <c r="AB162" s="66"/>
      <c r="AC162" s="80"/>
    </row>
    <row r="163" spans="1:68" ht="16.5" hidden="1" customHeight="1" x14ac:dyDescent="0.25">
      <c r="A163" s="63" t="s">
        <v>283</v>
      </c>
      <c r="B163" s="63" t="s">
        <v>284</v>
      </c>
      <c r="C163" s="36">
        <v>4301020410</v>
      </c>
      <c r="D163" s="679">
        <v>4680115887695</v>
      </c>
      <c r="E163" s="679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81"/>
      <c r="R163" s="681"/>
      <c r="S163" s="681"/>
      <c r="T163" s="68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285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87"/>
      <c r="B164" s="687"/>
      <c r="C164" s="687"/>
      <c r="D164" s="687"/>
      <c r="E164" s="687"/>
      <c r="F164" s="687"/>
      <c r="G164" s="687"/>
      <c r="H164" s="687"/>
      <c r="I164" s="687"/>
      <c r="J164" s="687"/>
      <c r="K164" s="687"/>
      <c r="L164" s="687"/>
      <c r="M164" s="687"/>
      <c r="N164" s="687"/>
      <c r="O164" s="688"/>
      <c r="P164" s="684" t="s">
        <v>40</v>
      </c>
      <c r="Q164" s="685"/>
      <c r="R164" s="685"/>
      <c r="S164" s="685"/>
      <c r="T164" s="685"/>
      <c r="U164" s="685"/>
      <c r="V164" s="68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87"/>
      <c r="B165" s="687"/>
      <c r="C165" s="687"/>
      <c r="D165" s="687"/>
      <c r="E165" s="687"/>
      <c r="F165" s="687"/>
      <c r="G165" s="687"/>
      <c r="H165" s="687"/>
      <c r="I165" s="687"/>
      <c r="J165" s="687"/>
      <c r="K165" s="687"/>
      <c r="L165" s="687"/>
      <c r="M165" s="687"/>
      <c r="N165" s="687"/>
      <c r="O165" s="688"/>
      <c r="P165" s="684" t="s">
        <v>40</v>
      </c>
      <c r="Q165" s="685"/>
      <c r="R165" s="685"/>
      <c r="S165" s="685"/>
      <c r="T165" s="685"/>
      <c r="U165" s="685"/>
      <c r="V165" s="68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78" t="s">
        <v>77</v>
      </c>
      <c r="B166" s="678"/>
      <c r="C166" s="678"/>
      <c r="D166" s="678"/>
      <c r="E166" s="678"/>
      <c r="F166" s="678"/>
      <c r="G166" s="678"/>
      <c r="H166" s="678"/>
      <c r="I166" s="678"/>
      <c r="J166" s="678"/>
      <c r="K166" s="678"/>
      <c r="L166" s="678"/>
      <c r="M166" s="678"/>
      <c r="N166" s="678"/>
      <c r="O166" s="678"/>
      <c r="P166" s="678"/>
      <c r="Q166" s="678"/>
      <c r="R166" s="678"/>
      <c r="S166" s="678"/>
      <c r="T166" s="678"/>
      <c r="U166" s="678"/>
      <c r="V166" s="678"/>
      <c r="W166" s="678"/>
      <c r="X166" s="678"/>
      <c r="Y166" s="678"/>
      <c r="Z166" s="678"/>
      <c r="AA166" s="66"/>
      <c r="AB166" s="66"/>
      <c r="AC166" s="80"/>
    </row>
    <row r="167" spans="1:68" ht="27" customHeight="1" x14ac:dyDescent="0.25">
      <c r="A167" s="63" t="s">
        <v>286</v>
      </c>
      <c r="B167" s="63" t="s">
        <v>287</v>
      </c>
      <c r="C167" s="36">
        <v>4301031496</v>
      </c>
      <c r="D167" s="679">
        <v>4680115887428</v>
      </c>
      <c r="E167" s="679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140</v>
      </c>
      <c r="L167" s="37" t="s">
        <v>46</v>
      </c>
      <c r="M167" s="38" t="s">
        <v>81</v>
      </c>
      <c r="N167" s="38"/>
      <c r="O167" s="37">
        <v>40</v>
      </c>
      <c r="P167" s="75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81"/>
      <c r="R167" s="681"/>
      <c r="S167" s="681"/>
      <c r="T167" s="682"/>
      <c r="U167" s="39" t="s">
        <v>46</v>
      </c>
      <c r="V167" s="39" t="s">
        <v>46</v>
      </c>
      <c r="W167" s="40" t="s">
        <v>0</v>
      </c>
      <c r="X167" s="58">
        <v>220</v>
      </c>
      <c r="Y167" s="55">
        <f t="shared" ref="Y167:Y177" si="21">IFERROR(IF(X167="",0,CEILING((X167/$H167),1)*$H167),"")</f>
        <v>220.5</v>
      </c>
      <c r="Z167" s="41">
        <f>IFERROR(IF(Y167=0,"",ROUNDUP(Y167/H167,0)*0.00902),"")</f>
        <v>0.56825999999999999</v>
      </c>
      <c r="AA167" s="68" t="s">
        <v>46</v>
      </c>
      <c r="AB167" s="69" t="s">
        <v>46</v>
      </c>
      <c r="AC167" s="230" t="s">
        <v>288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22">IFERROR(X167*I167/H167,"0")</f>
        <v>231.94285714285712</v>
      </c>
      <c r="BN167" s="78">
        <f t="shared" ref="BN167:BN177" si="23">IFERROR(Y167*I167/H167,"0")</f>
        <v>232.47</v>
      </c>
      <c r="BO167" s="78">
        <f t="shared" ref="BO167:BO177" si="24">IFERROR(1/J167*(X167/H167),"0")</f>
        <v>0.47619047619047616</v>
      </c>
      <c r="BP167" s="78">
        <f t="shared" ref="BP167:BP177" si="25">IFERROR(1/J167*(Y167/H167),"0")</f>
        <v>0.47727272727272729</v>
      </c>
    </row>
    <row r="168" spans="1:68" ht="27" hidden="1" customHeight="1" x14ac:dyDescent="0.25">
      <c r="A168" s="63" t="s">
        <v>289</v>
      </c>
      <c r="B168" s="63" t="s">
        <v>290</v>
      </c>
      <c r="C168" s="36">
        <v>4301030963</v>
      </c>
      <c r="D168" s="679">
        <v>4607091382426</v>
      </c>
      <c r="E168" s="679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133</v>
      </c>
      <c r="L168" s="37" t="s">
        <v>46</v>
      </c>
      <c r="M168" s="38" t="s">
        <v>81</v>
      </c>
      <c r="N168" s="38"/>
      <c r="O168" s="37">
        <v>40</v>
      </c>
      <c r="P168" s="76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81"/>
      <c r="R168" s="681"/>
      <c r="S168" s="681"/>
      <c r="T168" s="682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21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291</v>
      </c>
      <c r="AG168" s="78"/>
      <c r="AJ168" s="84" t="s">
        <v>46</v>
      </c>
      <c r="AK168" s="84">
        <v>0</v>
      </c>
      <c r="BB168" s="233" t="s">
        <v>67</v>
      </c>
      <c r="BM168" s="78">
        <f t="shared" si="22"/>
        <v>0</v>
      </c>
      <c r="BN168" s="78">
        <f t="shared" si="23"/>
        <v>0</v>
      </c>
      <c r="BO168" s="78">
        <f t="shared" si="24"/>
        <v>0</v>
      </c>
      <c r="BP168" s="78">
        <f t="shared" si="25"/>
        <v>0</v>
      </c>
    </row>
    <row r="169" spans="1:68" ht="27" customHeight="1" x14ac:dyDescent="0.25">
      <c r="A169" s="63" t="s">
        <v>292</v>
      </c>
      <c r="B169" s="63" t="s">
        <v>293</v>
      </c>
      <c r="C169" s="36">
        <v>4301031498</v>
      </c>
      <c r="D169" s="679">
        <v>4680115887398</v>
      </c>
      <c r="E169" s="679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6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81"/>
      <c r="R169" s="681"/>
      <c r="S169" s="681"/>
      <c r="T169" s="682"/>
      <c r="U169" s="39" t="s">
        <v>46</v>
      </c>
      <c r="V169" s="39" t="s">
        <v>46</v>
      </c>
      <c r="W169" s="40" t="s">
        <v>0</v>
      </c>
      <c r="X169" s="58">
        <v>260</v>
      </c>
      <c r="Y169" s="55">
        <f t="shared" si="21"/>
        <v>262.5</v>
      </c>
      <c r="Z169" s="41">
        <f>IFERROR(IF(Y169=0,"",ROUNDUP(Y169/H169,0)*0.00902),"")</f>
        <v>0.67649999999999999</v>
      </c>
      <c r="AA169" s="68" t="s">
        <v>46</v>
      </c>
      <c r="AB169" s="69" t="s">
        <v>46</v>
      </c>
      <c r="AC169" s="234" t="s">
        <v>294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274.1142857142857</v>
      </c>
      <c r="BN169" s="78">
        <f t="shared" si="23"/>
        <v>276.75</v>
      </c>
      <c r="BO169" s="78">
        <f t="shared" si="24"/>
        <v>0.56277056277056281</v>
      </c>
      <c r="BP169" s="78">
        <f t="shared" si="25"/>
        <v>0.56818181818181823</v>
      </c>
    </row>
    <row r="170" spans="1:68" ht="27" customHeight="1" x14ac:dyDescent="0.25">
      <c r="A170" s="63" t="s">
        <v>295</v>
      </c>
      <c r="B170" s="63" t="s">
        <v>296</v>
      </c>
      <c r="C170" s="36">
        <v>4301031497</v>
      </c>
      <c r="D170" s="679">
        <v>4680115887336</v>
      </c>
      <c r="E170" s="679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6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81"/>
      <c r="R170" s="681"/>
      <c r="S170" s="681"/>
      <c r="T170" s="682"/>
      <c r="U170" s="39" t="s">
        <v>46</v>
      </c>
      <c r="V170" s="39" t="s">
        <v>46</v>
      </c>
      <c r="W170" s="40" t="s">
        <v>0</v>
      </c>
      <c r="X170" s="58">
        <v>170</v>
      </c>
      <c r="Y170" s="55">
        <f t="shared" si="21"/>
        <v>171.5</v>
      </c>
      <c r="Z170" s="41">
        <f>IFERROR(IF(Y170=0,"",ROUNDUP(Y170/H170,0)*0.00902),"")</f>
        <v>0.44198000000000004</v>
      </c>
      <c r="AA170" s="68" t="s">
        <v>46</v>
      </c>
      <c r="AB170" s="69" t="s">
        <v>46</v>
      </c>
      <c r="AC170" s="236" t="s">
        <v>297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179.22857142857143</v>
      </c>
      <c r="BN170" s="78">
        <f t="shared" si="23"/>
        <v>180.81</v>
      </c>
      <c r="BO170" s="78">
        <f t="shared" si="24"/>
        <v>0.36796536796536794</v>
      </c>
      <c r="BP170" s="78">
        <f t="shared" si="25"/>
        <v>0.37121212121212122</v>
      </c>
    </row>
    <row r="171" spans="1:68" ht="16.5" customHeight="1" x14ac:dyDescent="0.25">
      <c r="A171" s="63" t="s">
        <v>298</v>
      </c>
      <c r="B171" s="63" t="s">
        <v>299</v>
      </c>
      <c r="C171" s="36">
        <v>4301032049</v>
      </c>
      <c r="D171" s="679">
        <v>4680115887787</v>
      </c>
      <c r="E171" s="679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6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81"/>
      <c r="R171" s="681"/>
      <c r="S171" s="681"/>
      <c r="T171" s="682"/>
      <c r="U171" s="39" t="s">
        <v>46</v>
      </c>
      <c r="V171" s="39" t="s">
        <v>46</v>
      </c>
      <c r="W171" s="40" t="s">
        <v>0</v>
      </c>
      <c r="X171" s="58">
        <v>9</v>
      </c>
      <c r="Y171" s="55">
        <f t="shared" si="21"/>
        <v>9</v>
      </c>
      <c r="Z171" s="41">
        <f>IFERROR(IF(Y171=0,"",ROUNDUP(Y171/H171,0)*0.00417),"")</f>
        <v>4.1700000000000001E-2</v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11.1</v>
      </c>
      <c r="BN171" s="78">
        <f t="shared" si="23"/>
        <v>11.1</v>
      </c>
      <c r="BO171" s="78">
        <f t="shared" si="24"/>
        <v>2.976190476190476E-2</v>
      </c>
      <c r="BP171" s="78">
        <f t="shared" si="25"/>
        <v>2.976190476190476E-2</v>
      </c>
    </row>
    <row r="172" spans="1:68" ht="27" customHeight="1" x14ac:dyDescent="0.25">
      <c r="A172" s="63" t="s">
        <v>301</v>
      </c>
      <c r="B172" s="63" t="s">
        <v>302</v>
      </c>
      <c r="C172" s="36">
        <v>4301031448</v>
      </c>
      <c r="D172" s="679">
        <v>4680115887503</v>
      </c>
      <c r="E172" s="679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6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81"/>
      <c r="R172" s="681"/>
      <c r="S172" s="681"/>
      <c r="T172" s="682"/>
      <c r="U172" s="39" t="s">
        <v>46</v>
      </c>
      <c r="V172" s="39" t="s">
        <v>46</v>
      </c>
      <c r="W172" s="40" t="s">
        <v>0</v>
      </c>
      <c r="X172" s="58">
        <v>47.6</v>
      </c>
      <c r="Y172" s="55">
        <f t="shared" si="21"/>
        <v>48.72</v>
      </c>
      <c r="Z172" s="41">
        <f>IFERROR(IF(Y172=0,"",ROUNDUP(Y172/H172,0)*0.00502),"")</f>
        <v>0.14558000000000001</v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50.433333333333337</v>
      </c>
      <c r="BN172" s="78">
        <f t="shared" si="23"/>
        <v>51.62</v>
      </c>
      <c r="BO172" s="78">
        <f t="shared" si="24"/>
        <v>0.12108262108262111</v>
      </c>
      <c r="BP172" s="78">
        <f t="shared" si="25"/>
        <v>0.12393162393162395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4301031389</v>
      </c>
      <c r="D173" s="679">
        <v>4680115887763</v>
      </c>
      <c r="E173" s="679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81"/>
      <c r="R173" s="681"/>
      <c r="S173" s="681"/>
      <c r="T173" s="68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306</v>
      </c>
      <c r="C174" s="36">
        <v>4301031510</v>
      </c>
      <c r="D174" s="679">
        <v>4680115887763</v>
      </c>
      <c r="E174" s="679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6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1"/>
      <c r="R174" s="681"/>
      <c r="S174" s="681"/>
      <c r="T174" s="68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307</v>
      </c>
      <c r="B175" s="63" t="s">
        <v>308</v>
      </c>
      <c r="C175" s="36">
        <v>4301031454</v>
      </c>
      <c r="D175" s="679">
        <v>4680115887480</v>
      </c>
      <c r="E175" s="679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6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81"/>
      <c r="R175" s="681"/>
      <c r="S175" s="681"/>
      <c r="T175" s="682"/>
      <c r="U175" s="39" t="s">
        <v>46</v>
      </c>
      <c r="V175" s="39" t="s">
        <v>46</v>
      </c>
      <c r="W175" s="40" t="s">
        <v>0</v>
      </c>
      <c r="X175" s="58">
        <v>16.8</v>
      </c>
      <c r="Y175" s="55">
        <f t="shared" si="21"/>
        <v>16.8</v>
      </c>
      <c r="Z175" s="41">
        <f>IFERROR(IF(Y175=0,"",ROUNDUP(Y175/H175,0)*0.00502),"")</f>
        <v>5.0200000000000002E-2</v>
      </c>
      <c r="AA175" s="68" t="s">
        <v>46</v>
      </c>
      <c r="AB175" s="69" t="s">
        <v>46</v>
      </c>
      <c r="AC175" s="246" t="s">
        <v>294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17.800000000000004</v>
      </c>
      <c r="BN175" s="78">
        <f t="shared" si="23"/>
        <v>17.800000000000004</v>
      </c>
      <c r="BO175" s="78">
        <f t="shared" si="24"/>
        <v>4.2735042735042736E-2</v>
      </c>
      <c r="BP175" s="78">
        <f t="shared" si="25"/>
        <v>4.2735042735042736E-2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4301031434</v>
      </c>
      <c r="D176" s="679">
        <v>4680115888067</v>
      </c>
      <c r="E176" s="679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6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81"/>
      <c r="R176" s="681"/>
      <c r="S176" s="681"/>
      <c r="T176" s="68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4301031451</v>
      </c>
      <c r="D177" s="679">
        <v>4680115887435</v>
      </c>
      <c r="E177" s="679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6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81"/>
      <c r="R177" s="681"/>
      <c r="S177" s="681"/>
      <c r="T177" s="68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297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x14ac:dyDescent="0.2">
      <c r="A178" s="687"/>
      <c r="B178" s="687"/>
      <c r="C178" s="687"/>
      <c r="D178" s="687"/>
      <c r="E178" s="687"/>
      <c r="F178" s="687"/>
      <c r="G178" s="687"/>
      <c r="H178" s="687"/>
      <c r="I178" s="687"/>
      <c r="J178" s="687"/>
      <c r="K178" s="687"/>
      <c r="L178" s="687"/>
      <c r="M178" s="687"/>
      <c r="N178" s="687"/>
      <c r="O178" s="688"/>
      <c r="P178" s="684" t="s">
        <v>40</v>
      </c>
      <c r="Q178" s="685"/>
      <c r="R178" s="685"/>
      <c r="S178" s="685"/>
      <c r="T178" s="685"/>
      <c r="U178" s="685"/>
      <c r="V178" s="686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234.04761904761907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236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1.92422</v>
      </c>
      <c r="AA178" s="67"/>
      <c r="AB178" s="67"/>
      <c r="AC178" s="67"/>
    </row>
    <row r="179" spans="1:68" x14ac:dyDescent="0.2">
      <c r="A179" s="687"/>
      <c r="B179" s="687"/>
      <c r="C179" s="687"/>
      <c r="D179" s="687"/>
      <c r="E179" s="687"/>
      <c r="F179" s="687"/>
      <c r="G179" s="687"/>
      <c r="H179" s="687"/>
      <c r="I179" s="687"/>
      <c r="J179" s="687"/>
      <c r="K179" s="687"/>
      <c r="L179" s="687"/>
      <c r="M179" s="687"/>
      <c r="N179" s="687"/>
      <c r="O179" s="688"/>
      <c r="P179" s="684" t="s">
        <v>40</v>
      </c>
      <c r="Q179" s="685"/>
      <c r="R179" s="685"/>
      <c r="S179" s="685"/>
      <c r="T179" s="685"/>
      <c r="U179" s="685"/>
      <c r="V179" s="686"/>
      <c r="W179" s="42" t="s">
        <v>0</v>
      </c>
      <c r="X179" s="43">
        <f>IFERROR(SUM(X167:X177),"0")</f>
        <v>723.4</v>
      </c>
      <c r="Y179" s="43">
        <f>IFERROR(SUM(Y167:Y177),"0")</f>
        <v>729.02</v>
      </c>
      <c r="Z179" s="42"/>
      <c r="AA179" s="67"/>
      <c r="AB179" s="67"/>
      <c r="AC179" s="67"/>
    </row>
    <row r="180" spans="1:68" ht="14.25" hidden="1" customHeight="1" x14ac:dyDescent="0.25">
      <c r="A180" s="678" t="s">
        <v>86</v>
      </c>
      <c r="B180" s="678"/>
      <c r="C180" s="678"/>
      <c r="D180" s="678"/>
      <c r="E180" s="678"/>
      <c r="F180" s="678"/>
      <c r="G180" s="678"/>
      <c r="H180" s="678"/>
      <c r="I180" s="678"/>
      <c r="J180" s="678"/>
      <c r="K180" s="678"/>
      <c r="L180" s="678"/>
      <c r="M180" s="678"/>
      <c r="N180" s="678"/>
      <c r="O180" s="678"/>
      <c r="P180" s="678"/>
      <c r="Q180" s="678"/>
      <c r="R180" s="678"/>
      <c r="S180" s="678"/>
      <c r="T180" s="678"/>
      <c r="U180" s="678"/>
      <c r="V180" s="678"/>
      <c r="W180" s="678"/>
      <c r="X180" s="678"/>
      <c r="Y180" s="678"/>
      <c r="Z180" s="678"/>
      <c r="AA180" s="66"/>
      <c r="AB180" s="66"/>
      <c r="AC180" s="80"/>
    </row>
    <row r="181" spans="1:68" ht="16.5" hidden="1" customHeight="1" x14ac:dyDescent="0.25">
      <c r="A181" s="63" t="s">
        <v>314</v>
      </c>
      <c r="B181" s="63" t="s">
        <v>315</v>
      </c>
      <c r="C181" s="36">
        <v>4301052193</v>
      </c>
      <c r="D181" s="679">
        <v>4680115888395</v>
      </c>
      <c r="E181" s="679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81"/>
      <c r="R181" s="681"/>
      <c r="S181" s="681"/>
      <c r="T181" s="682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316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317</v>
      </c>
      <c r="B182" s="63" t="s">
        <v>318</v>
      </c>
      <c r="C182" s="36">
        <v>4301052191</v>
      </c>
      <c r="D182" s="679">
        <v>4680115888371</v>
      </c>
      <c r="E182" s="679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81"/>
      <c r="R182" s="681"/>
      <c r="S182" s="681"/>
      <c r="T182" s="682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319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4301052064</v>
      </c>
      <c r="D183" s="679">
        <v>4680115887459</v>
      </c>
      <c r="E183" s="679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7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81"/>
      <c r="R183" s="681"/>
      <c r="S183" s="681"/>
      <c r="T183" s="682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322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87"/>
      <c r="B184" s="687"/>
      <c r="C184" s="687"/>
      <c r="D184" s="687"/>
      <c r="E184" s="687"/>
      <c r="F184" s="687"/>
      <c r="G184" s="687"/>
      <c r="H184" s="687"/>
      <c r="I184" s="687"/>
      <c r="J184" s="687"/>
      <c r="K184" s="687"/>
      <c r="L184" s="687"/>
      <c r="M184" s="687"/>
      <c r="N184" s="687"/>
      <c r="O184" s="688"/>
      <c r="P184" s="684" t="s">
        <v>40</v>
      </c>
      <c r="Q184" s="685"/>
      <c r="R184" s="685"/>
      <c r="S184" s="685"/>
      <c r="T184" s="685"/>
      <c r="U184" s="685"/>
      <c r="V184" s="686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87"/>
      <c r="B185" s="687"/>
      <c r="C185" s="687"/>
      <c r="D185" s="687"/>
      <c r="E185" s="687"/>
      <c r="F185" s="687"/>
      <c r="G185" s="687"/>
      <c r="H185" s="687"/>
      <c r="I185" s="687"/>
      <c r="J185" s="687"/>
      <c r="K185" s="687"/>
      <c r="L185" s="687"/>
      <c r="M185" s="687"/>
      <c r="N185" s="687"/>
      <c r="O185" s="688"/>
      <c r="P185" s="684" t="s">
        <v>40</v>
      </c>
      <c r="Q185" s="685"/>
      <c r="R185" s="685"/>
      <c r="S185" s="685"/>
      <c r="T185" s="685"/>
      <c r="U185" s="685"/>
      <c r="V185" s="686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78" t="s">
        <v>107</v>
      </c>
      <c r="B186" s="678"/>
      <c r="C186" s="678"/>
      <c r="D186" s="678"/>
      <c r="E186" s="678"/>
      <c r="F186" s="678"/>
      <c r="G186" s="678"/>
      <c r="H186" s="678"/>
      <c r="I186" s="678"/>
      <c r="J186" s="678"/>
      <c r="K186" s="678"/>
      <c r="L186" s="678"/>
      <c r="M186" s="678"/>
      <c r="N186" s="678"/>
      <c r="O186" s="678"/>
      <c r="P186" s="678"/>
      <c r="Q186" s="678"/>
      <c r="R186" s="678"/>
      <c r="S186" s="678"/>
      <c r="T186" s="678"/>
      <c r="U186" s="678"/>
      <c r="V186" s="678"/>
      <c r="W186" s="678"/>
      <c r="X186" s="678"/>
      <c r="Y186" s="678"/>
      <c r="Z186" s="678"/>
      <c r="AA186" s="66"/>
      <c r="AB186" s="66"/>
      <c r="AC186" s="80"/>
    </row>
    <row r="187" spans="1:68" ht="16.5" hidden="1" customHeight="1" x14ac:dyDescent="0.25">
      <c r="A187" s="63" t="s">
        <v>323</v>
      </c>
      <c r="B187" s="63" t="s">
        <v>324</v>
      </c>
      <c r="C187" s="36">
        <v>4301032058</v>
      </c>
      <c r="D187" s="679">
        <v>4680115889026</v>
      </c>
      <c r="E187" s="679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327</v>
      </c>
      <c r="L187" s="37" t="s">
        <v>46</v>
      </c>
      <c r="M187" s="38" t="s">
        <v>326</v>
      </c>
      <c r="N187" s="38"/>
      <c r="O187" s="37">
        <v>60</v>
      </c>
      <c r="P187" s="77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81"/>
      <c r="R187" s="681"/>
      <c r="S187" s="681"/>
      <c r="T187" s="682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325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328</v>
      </c>
      <c r="B188" s="63" t="s">
        <v>329</v>
      </c>
      <c r="C188" s="36">
        <v>4301032057</v>
      </c>
      <c r="D188" s="679">
        <v>4680115889088</v>
      </c>
      <c r="E188" s="679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327</v>
      </c>
      <c r="L188" s="37" t="s">
        <v>46</v>
      </c>
      <c r="M188" s="38" t="s">
        <v>326</v>
      </c>
      <c r="N188" s="38"/>
      <c r="O188" s="37">
        <v>45</v>
      </c>
      <c r="P188" s="77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81"/>
      <c r="R188" s="681"/>
      <c r="S188" s="681"/>
      <c r="T188" s="68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330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87"/>
      <c r="B189" s="687"/>
      <c r="C189" s="687"/>
      <c r="D189" s="687"/>
      <c r="E189" s="687"/>
      <c r="F189" s="687"/>
      <c r="G189" s="687"/>
      <c r="H189" s="687"/>
      <c r="I189" s="687"/>
      <c r="J189" s="687"/>
      <c r="K189" s="687"/>
      <c r="L189" s="687"/>
      <c r="M189" s="687"/>
      <c r="N189" s="687"/>
      <c r="O189" s="688"/>
      <c r="P189" s="684" t="s">
        <v>40</v>
      </c>
      <c r="Q189" s="685"/>
      <c r="R189" s="685"/>
      <c r="S189" s="685"/>
      <c r="T189" s="685"/>
      <c r="U189" s="685"/>
      <c r="V189" s="686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87"/>
      <c r="B190" s="687"/>
      <c r="C190" s="687"/>
      <c r="D190" s="687"/>
      <c r="E190" s="687"/>
      <c r="F190" s="687"/>
      <c r="G190" s="687"/>
      <c r="H190" s="687"/>
      <c r="I190" s="687"/>
      <c r="J190" s="687"/>
      <c r="K190" s="687"/>
      <c r="L190" s="687"/>
      <c r="M190" s="687"/>
      <c r="N190" s="687"/>
      <c r="O190" s="688"/>
      <c r="P190" s="684" t="s">
        <v>40</v>
      </c>
      <c r="Q190" s="685"/>
      <c r="R190" s="685"/>
      <c r="S190" s="685"/>
      <c r="T190" s="685"/>
      <c r="U190" s="685"/>
      <c r="V190" s="686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78" t="s">
        <v>331</v>
      </c>
      <c r="B191" s="678"/>
      <c r="C191" s="678"/>
      <c r="D191" s="678"/>
      <c r="E191" s="678"/>
      <c r="F191" s="678"/>
      <c r="G191" s="678"/>
      <c r="H191" s="678"/>
      <c r="I191" s="678"/>
      <c r="J191" s="678"/>
      <c r="K191" s="678"/>
      <c r="L191" s="678"/>
      <c r="M191" s="678"/>
      <c r="N191" s="678"/>
      <c r="O191" s="678"/>
      <c r="P191" s="678"/>
      <c r="Q191" s="678"/>
      <c r="R191" s="678"/>
      <c r="S191" s="678"/>
      <c r="T191" s="678"/>
      <c r="U191" s="678"/>
      <c r="V191" s="678"/>
      <c r="W191" s="678"/>
      <c r="X191" s="678"/>
      <c r="Y191" s="678"/>
      <c r="Z191" s="678"/>
      <c r="AA191" s="66"/>
      <c r="AB191" s="66"/>
      <c r="AC191" s="80"/>
    </row>
    <row r="192" spans="1:68" ht="27" hidden="1" customHeight="1" x14ac:dyDescent="0.25">
      <c r="A192" s="63" t="s">
        <v>332</v>
      </c>
      <c r="B192" s="63" t="s">
        <v>333</v>
      </c>
      <c r="C192" s="36">
        <v>4301041009</v>
      </c>
      <c r="D192" s="679">
        <v>4680115889033</v>
      </c>
      <c r="E192" s="679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327</v>
      </c>
      <c r="L192" s="37" t="s">
        <v>46</v>
      </c>
      <c r="M192" s="38" t="s">
        <v>326</v>
      </c>
      <c r="N192" s="38"/>
      <c r="O192" s="37">
        <v>60</v>
      </c>
      <c r="P192" s="77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81"/>
      <c r="R192" s="681"/>
      <c r="S192" s="681"/>
      <c r="T192" s="68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334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87"/>
      <c r="B193" s="687"/>
      <c r="C193" s="687"/>
      <c r="D193" s="687"/>
      <c r="E193" s="687"/>
      <c r="F193" s="687"/>
      <c r="G193" s="687"/>
      <c r="H193" s="687"/>
      <c r="I193" s="687"/>
      <c r="J193" s="687"/>
      <c r="K193" s="687"/>
      <c r="L193" s="687"/>
      <c r="M193" s="687"/>
      <c r="N193" s="687"/>
      <c r="O193" s="688"/>
      <c r="P193" s="684" t="s">
        <v>40</v>
      </c>
      <c r="Q193" s="685"/>
      <c r="R193" s="685"/>
      <c r="S193" s="685"/>
      <c r="T193" s="685"/>
      <c r="U193" s="685"/>
      <c r="V193" s="686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87"/>
      <c r="B194" s="687"/>
      <c r="C194" s="687"/>
      <c r="D194" s="687"/>
      <c r="E194" s="687"/>
      <c r="F194" s="687"/>
      <c r="G194" s="687"/>
      <c r="H194" s="687"/>
      <c r="I194" s="687"/>
      <c r="J194" s="687"/>
      <c r="K194" s="687"/>
      <c r="L194" s="687"/>
      <c r="M194" s="687"/>
      <c r="N194" s="687"/>
      <c r="O194" s="688"/>
      <c r="P194" s="684" t="s">
        <v>40</v>
      </c>
      <c r="Q194" s="685"/>
      <c r="R194" s="685"/>
      <c r="S194" s="685"/>
      <c r="T194" s="685"/>
      <c r="U194" s="685"/>
      <c r="V194" s="686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76" t="s">
        <v>335</v>
      </c>
      <c r="B195" s="676"/>
      <c r="C195" s="676"/>
      <c r="D195" s="676"/>
      <c r="E195" s="676"/>
      <c r="F195" s="676"/>
      <c r="G195" s="676"/>
      <c r="H195" s="676"/>
      <c r="I195" s="676"/>
      <c r="J195" s="676"/>
      <c r="K195" s="676"/>
      <c r="L195" s="676"/>
      <c r="M195" s="676"/>
      <c r="N195" s="676"/>
      <c r="O195" s="676"/>
      <c r="P195" s="676"/>
      <c r="Q195" s="676"/>
      <c r="R195" s="676"/>
      <c r="S195" s="676"/>
      <c r="T195" s="676"/>
      <c r="U195" s="676"/>
      <c r="V195" s="676"/>
      <c r="W195" s="676"/>
      <c r="X195" s="676"/>
      <c r="Y195" s="676"/>
      <c r="Z195" s="676"/>
      <c r="AA195" s="54"/>
      <c r="AB195" s="54"/>
      <c r="AC195" s="54"/>
    </row>
    <row r="196" spans="1:68" ht="16.5" hidden="1" customHeight="1" x14ac:dyDescent="0.25">
      <c r="A196" s="677" t="s">
        <v>336</v>
      </c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77"/>
      <c r="P196" s="677"/>
      <c r="Q196" s="677"/>
      <c r="R196" s="677"/>
      <c r="S196" s="677"/>
      <c r="T196" s="677"/>
      <c r="U196" s="677"/>
      <c r="V196" s="677"/>
      <c r="W196" s="677"/>
      <c r="X196" s="677"/>
      <c r="Y196" s="677"/>
      <c r="Z196" s="677"/>
      <c r="AA196" s="65"/>
      <c r="AB196" s="65"/>
      <c r="AC196" s="79"/>
    </row>
    <row r="197" spans="1:68" ht="14.25" hidden="1" customHeight="1" x14ac:dyDescent="0.25">
      <c r="A197" s="678" t="s">
        <v>128</v>
      </c>
      <c r="B197" s="678"/>
      <c r="C197" s="678"/>
      <c r="D197" s="678"/>
      <c r="E197" s="678"/>
      <c r="F197" s="678"/>
      <c r="G197" s="678"/>
      <c r="H197" s="678"/>
      <c r="I197" s="678"/>
      <c r="J197" s="678"/>
      <c r="K197" s="678"/>
      <c r="L197" s="678"/>
      <c r="M197" s="678"/>
      <c r="N197" s="678"/>
      <c r="O197" s="678"/>
      <c r="P197" s="678"/>
      <c r="Q197" s="678"/>
      <c r="R197" s="678"/>
      <c r="S197" s="678"/>
      <c r="T197" s="678"/>
      <c r="U197" s="678"/>
      <c r="V197" s="678"/>
      <c r="W197" s="678"/>
      <c r="X197" s="678"/>
      <c r="Y197" s="678"/>
      <c r="Z197" s="678"/>
      <c r="AA197" s="66"/>
      <c r="AB197" s="66"/>
      <c r="AC197" s="80"/>
    </row>
    <row r="198" spans="1:68" ht="27" hidden="1" customHeight="1" x14ac:dyDescent="0.25">
      <c r="A198" s="63" t="s">
        <v>337</v>
      </c>
      <c r="B198" s="63" t="s">
        <v>338</v>
      </c>
      <c r="C198" s="36">
        <v>4301011223</v>
      </c>
      <c r="D198" s="679">
        <v>4607091383423</v>
      </c>
      <c r="E198" s="679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81"/>
      <c r="R198" s="681"/>
      <c r="S198" s="681"/>
      <c r="T198" s="68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37.5" hidden="1" customHeight="1" x14ac:dyDescent="0.25">
      <c r="A199" s="63" t="s">
        <v>339</v>
      </c>
      <c r="B199" s="63" t="s">
        <v>340</v>
      </c>
      <c r="C199" s="36">
        <v>4301012199</v>
      </c>
      <c r="D199" s="679">
        <v>4680115886957</v>
      </c>
      <c r="E199" s="679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30</v>
      </c>
      <c r="P199" s="777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81"/>
      <c r="R199" s="681"/>
      <c r="S199" s="681"/>
      <c r="T199" s="682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341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4301012098</v>
      </c>
      <c r="D200" s="679">
        <v>4680115885660</v>
      </c>
      <c r="E200" s="679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81"/>
      <c r="R200" s="681"/>
      <c r="S200" s="681"/>
      <c r="T200" s="682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4301012369</v>
      </c>
      <c r="D201" s="679">
        <v>4680115886773</v>
      </c>
      <c r="E201" s="679"/>
      <c r="F201" s="62">
        <v>0.9</v>
      </c>
      <c r="G201" s="37">
        <v>10</v>
      </c>
      <c r="H201" s="62">
        <v>9</v>
      </c>
      <c r="I201" s="62">
        <v>9.51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7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81"/>
      <c r="R201" s="681"/>
      <c r="S201" s="681"/>
      <c r="T201" s="682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87"/>
      <c r="B202" s="687"/>
      <c r="C202" s="687"/>
      <c r="D202" s="687"/>
      <c r="E202" s="687"/>
      <c r="F202" s="687"/>
      <c r="G202" s="687"/>
      <c r="H202" s="687"/>
      <c r="I202" s="687"/>
      <c r="J202" s="687"/>
      <c r="K202" s="687"/>
      <c r="L202" s="687"/>
      <c r="M202" s="687"/>
      <c r="N202" s="687"/>
      <c r="O202" s="688"/>
      <c r="P202" s="684" t="s">
        <v>40</v>
      </c>
      <c r="Q202" s="685"/>
      <c r="R202" s="685"/>
      <c r="S202" s="685"/>
      <c r="T202" s="685"/>
      <c r="U202" s="685"/>
      <c r="V202" s="686"/>
      <c r="W202" s="42" t="s">
        <v>39</v>
      </c>
      <c r="X202" s="43">
        <f>IFERROR(X198/H198,"0")+IFERROR(X199/H199,"0")+IFERROR(X200/H200,"0")+IFERROR(X201/H201,"0")</f>
        <v>0</v>
      </c>
      <c r="Y202" s="43">
        <f>IFERROR(Y198/H198,"0")+IFERROR(Y199/H199,"0")+IFERROR(Y200/H200,"0")+IFERROR(Y201/H201,"0")</f>
        <v>0</v>
      </c>
      <c r="Z202" s="43">
        <f>IFERROR(IF(Z198="",0,Z198),"0")+IFERROR(IF(Z199="",0,Z199),"0")+IFERROR(IF(Z200="",0,Z200),"0")+IFERROR(IF(Z201="",0,Z201),"0")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87"/>
      <c r="B203" s="687"/>
      <c r="C203" s="687"/>
      <c r="D203" s="687"/>
      <c r="E203" s="687"/>
      <c r="F203" s="687"/>
      <c r="G203" s="687"/>
      <c r="H203" s="687"/>
      <c r="I203" s="687"/>
      <c r="J203" s="687"/>
      <c r="K203" s="687"/>
      <c r="L203" s="687"/>
      <c r="M203" s="687"/>
      <c r="N203" s="687"/>
      <c r="O203" s="688"/>
      <c r="P203" s="684" t="s">
        <v>40</v>
      </c>
      <c r="Q203" s="685"/>
      <c r="R203" s="685"/>
      <c r="S203" s="685"/>
      <c r="T203" s="685"/>
      <c r="U203" s="685"/>
      <c r="V203" s="686"/>
      <c r="W203" s="42" t="s">
        <v>0</v>
      </c>
      <c r="X203" s="43">
        <f>IFERROR(SUM(X198:X201),"0")</f>
        <v>0</v>
      </c>
      <c r="Y203" s="43">
        <f>IFERROR(SUM(Y198:Y201),"0")</f>
        <v>0</v>
      </c>
      <c r="Z203" s="42"/>
      <c r="AA203" s="67"/>
      <c r="AB203" s="67"/>
      <c r="AC203" s="67"/>
    </row>
    <row r="204" spans="1:68" ht="16.5" hidden="1" customHeight="1" x14ac:dyDescent="0.25">
      <c r="A204" s="677" t="s">
        <v>348</v>
      </c>
      <c r="B204" s="677"/>
      <c r="C204" s="677"/>
      <c r="D204" s="677"/>
      <c r="E204" s="677"/>
      <c r="F204" s="677"/>
      <c r="G204" s="677"/>
      <c r="H204" s="677"/>
      <c r="I204" s="677"/>
      <c r="J204" s="677"/>
      <c r="K204" s="677"/>
      <c r="L204" s="677"/>
      <c r="M204" s="677"/>
      <c r="N204" s="677"/>
      <c r="O204" s="677"/>
      <c r="P204" s="677"/>
      <c r="Q204" s="677"/>
      <c r="R204" s="677"/>
      <c r="S204" s="677"/>
      <c r="T204" s="677"/>
      <c r="U204" s="677"/>
      <c r="V204" s="677"/>
      <c r="W204" s="677"/>
      <c r="X204" s="677"/>
      <c r="Y204" s="677"/>
      <c r="Z204" s="677"/>
      <c r="AA204" s="65"/>
      <c r="AB204" s="65"/>
      <c r="AC204" s="79"/>
    </row>
    <row r="205" spans="1:68" ht="14.25" hidden="1" customHeight="1" x14ac:dyDescent="0.25">
      <c r="A205" s="678" t="s">
        <v>163</v>
      </c>
      <c r="B205" s="678"/>
      <c r="C205" s="678"/>
      <c r="D205" s="678"/>
      <c r="E205" s="678"/>
      <c r="F205" s="678"/>
      <c r="G205" s="678"/>
      <c r="H205" s="678"/>
      <c r="I205" s="678"/>
      <c r="J205" s="678"/>
      <c r="K205" s="678"/>
      <c r="L205" s="678"/>
      <c r="M205" s="678"/>
      <c r="N205" s="678"/>
      <c r="O205" s="678"/>
      <c r="P205" s="678"/>
      <c r="Q205" s="678"/>
      <c r="R205" s="678"/>
      <c r="S205" s="678"/>
      <c r="T205" s="678"/>
      <c r="U205" s="678"/>
      <c r="V205" s="678"/>
      <c r="W205" s="678"/>
      <c r="X205" s="678"/>
      <c r="Y205" s="678"/>
      <c r="Z205" s="678"/>
      <c r="AA205" s="66"/>
      <c r="AB205" s="66"/>
      <c r="AC205" s="80"/>
    </row>
    <row r="206" spans="1:68" ht="27" hidden="1" customHeight="1" x14ac:dyDescent="0.25">
      <c r="A206" s="63" t="s">
        <v>349</v>
      </c>
      <c r="B206" s="63" t="s">
        <v>350</v>
      </c>
      <c r="C206" s="36">
        <v>4301020323</v>
      </c>
      <c r="D206" s="679">
        <v>4680115886223</v>
      </c>
      <c r="E206" s="679"/>
      <c r="F206" s="62">
        <v>0.33</v>
      </c>
      <c r="G206" s="37">
        <v>6</v>
      </c>
      <c r="H206" s="62">
        <v>1.98</v>
      </c>
      <c r="I206" s="62">
        <v>2.08</v>
      </c>
      <c r="J206" s="37">
        <v>234</v>
      </c>
      <c r="K206" s="37" t="s">
        <v>82</v>
      </c>
      <c r="L206" s="37" t="s">
        <v>46</v>
      </c>
      <c r="M206" s="38" t="s">
        <v>81</v>
      </c>
      <c r="N206" s="38"/>
      <c r="O206" s="37">
        <v>40</v>
      </c>
      <c r="P206" s="78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81"/>
      <c r="R206" s="681"/>
      <c r="S206" s="681"/>
      <c r="T206" s="682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IFERROR(IF(Y206=0,"",ROUNDUP(Y206/H206,0)*0.00502),"")</f>
        <v/>
      </c>
      <c r="AA206" s="68" t="s">
        <v>46</v>
      </c>
      <c r="AB206" s="69" t="s">
        <v>46</v>
      </c>
      <c r="AC206" s="272" t="s">
        <v>351</v>
      </c>
      <c r="AG206" s="78"/>
      <c r="AJ206" s="84" t="s">
        <v>46</v>
      </c>
      <c r="AK206" s="84">
        <v>0</v>
      </c>
      <c r="BB206" s="273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idden="1" x14ac:dyDescent="0.2">
      <c r="A207" s="687"/>
      <c r="B207" s="687"/>
      <c r="C207" s="687"/>
      <c r="D207" s="687"/>
      <c r="E207" s="687"/>
      <c r="F207" s="687"/>
      <c r="G207" s="687"/>
      <c r="H207" s="687"/>
      <c r="I207" s="687"/>
      <c r="J207" s="687"/>
      <c r="K207" s="687"/>
      <c r="L207" s="687"/>
      <c r="M207" s="687"/>
      <c r="N207" s="687"/>
      <c r="O207" s="688"/>
      <c r="P207" s="684" t="s">
        <v>40</v>
      </c>
      <c r="Q207" s="685"/>
      <c r="R207" s="685"/>
      <c r="S207" s="685"/>
      <c r="T207" s="685"/>
      <c r="U207" s="685"/>
      <c r="V207" s="686"/>
      <c r="W207" s="42" t="s">
        <v>39</v>
      </c>
      <c r="X207" s="43">
        <f>IFERROR(X206/H206,"0")</f>
        <v>0</v>
      </c>
      <c r="Y207" s="43">
        <f>IFERROR(Y206/H206,"0")</f>
        <v>0</v>
      </c>
      <c r="Z207" s="43">
        <f>IFERROR(IF(Z206="",0,Z206),"0")</f>
        <v>0</v>
      </c>
      <c r="AA207" s="67"/>
      <c r="AB207" s="67"/>
      <c r="AC207" s="67"/>
    </row>
    <row r="208" spans="1:68" hidden="1" x14ac:dyDescent="0.2">
      <c r="A208" s="687"/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8"/>
      <c r="P208" s="684" t="s">
        <v>40</v>
      </c>
      <c r="Q208" s="685"/>
      <c r="R208" s="685"/>
      <c r="S208" s="685"/>
      <c r="T208" s="685"/>
      <c r="U208" s="685"/>
      <c r="V208" s="686"/>
      <c r="W208" s="42" t="s">
        <v>0</v>
      </c>
      <c r="X208" s="43">
        <f>IFERROR(SUM(X206:X206),"0")</f>
        <v>0</v>
      </c>
      <c r="Y208" s="43">
        <f>IFERROR(SUM(Y206:Y206),"0")</f>
        <v>0</v>
      </c>
      <c r="Z208" s="42"/>
      <c r="AA208" s="67"/>
      <c r="AB208" s="67"/>
      <c r="AC208" s="67"/>
    </row>
    <row r="209" spans="1:68" ht="14.25" hidden="1" customHeight="1" x14ac:dyDescent="0.25">
      <c r="A209" s="678" t="s">
        <v>77</v>
      </c>
      <c r="B209" s="678"/>
      <c r="C209" s="678"/>
      <c r="D209" s="678"/>
      <c r="E209" s="678"/>
      <c r="F209" s="678"/>
      <c r="G209" s="678"/>
      <c r="H209" s="678"/>
      <c r="I209" s="678"/>
      <c r="J209" s="678"/>
      <c r="K209" s="678"/>
      <c r="L209" s="678"/>
      <c r="M209" s="678"/>
      <c r="N209" s="678"/>
      <c r="O209" s="678"/>
      <c r="P209" s="678"/>
      <c r="Q209" s="678"/>
      <c r="R209" s="678"/>
      <c r="S209" s="678"/>
      <c r="T209" s="678"/>
      <c r="U209" s="678"/>
      <c r="V209" s="678"/>
      <c r="W209" s="678"/>
      <c r="X209" s="678"/>
      <c r="Y209" s="678"/>
      <c r="Z209" s="678"/>
      <c r="AA209" s="66"/>
      <c r="AB209" s="66"/>
      <c r="AC209" s="80"/>
    </row>
    <row r="210" spans="1:68" ht="27" hidden="1" customHeight="1" x14ac:dyDescent="0.25">
      <c r="A210" s="63" t="s">
        <v>352</v>
      </c>
      <c r="B210" s="63" t="s">
        <v>353</v>
      </c>
      <c r="C210" s="36">
        <v>4301031191</v>
      </c>
      <c r="D210" s="679">
        <v>4680115880993</v>
      </c>
      <c r="E210" s="679"/>
      <c r="F210" s="62">
        <v>0.7</v>
      </c>
      <c r="G210" s="37">
        <v>6</v>
      </c>
      <c r="H210" s="62">
        <v>4.2</v>
      </c>
      <c r="I210" s="62">
        <v>4.45</v>
      </c>
      <c r="J210" s="37">
        <v>132</v>
      </c>
      <c r="K210" s="37" t="s">
        <v>140</v>
      </c>
      <c r="L210" s="37" t="s">
        <v>46</v>
      </c>
      <c r="M210" s="38" t="s">
        <v>81</v>
      </c>
      <c r="N210" s="38"/>
      <c r="O210" s="37">
        <v>40</v>
      </c>
      <c r="P210" s="78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81"/>
      <c r="R210" s="681"/>
      <c r="S210" s="681"/>
      <c r="T210" s="68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ref="Y210:Y223" si="26">IFERROR(IF(X210="",0,CEILING((X210/$H210),1)*$H210),"")</f>
        <v>0</v>
      </c>
      <c r="Z210" s="41" t="str">
        <f>IFERROR(IF(Y210=0,"",ROUNDUP(Y210/H210,0)*0.00902),"")</f>
        <v/>
      </c>
      <c r="AA210" s="68" t="s">
        <v>46</v>
      </c>
      <c r="AB210" s="69" t="s">
        <v>46</v>
      </c>
      <c r="AC210" s="274" t="s">
        <v>354</v>
      </c>
      <c r="AG210" s="78"/>
      <c r="AJ210" s="84" t="s">
        <v>46</v>
      </c>
      <c r="AK210" s="84">
        <v>0</v>
      </c>
      <c r="BB210" s="275" t="s">
        <v>67</v>
      </c>
      <c r="BM210" s="78">
        <f t="shared" ref="BM210:BM223" si="27">IFERROR(X210*I210/H210,"0")</f>
        <v>0</v>
      </c>
      <c r="BN210" s="78">
        <f t="shared" ref="BN210:BN223" si="28">IFERROR(Y210*I210/H210,"0")</f>
        <v>0</v>
      </c>
      <c r="BO210" s="78">
        <f t="shared" ref="BO210:BO223" si="29">IFERROR(1/J210*(X210/H210),"0")</f>
        <v>0</v>
      </c>
      <c r="BP210" s="78">
        <f t="shared" ref="BP210:BP223" si="30">IFERROR(1/J210*(Y210/H210),"0")</f>
        <v>0</v>
      </c>
    </row>
    <row r="211" spans="1:68" ht="27" hidden="1" customHeight="1" x14ac:dyDescent="0.25">
      <c r="A211" s="63" t="s">
        <v>355</v>
      </c>
      <c r="B211" s="63" t="s">
        <v>356</v>
      </c>
      <c r="C211" s="36">
        <v>4301031204</v>
      </c>
      <c r="D211" s="679">
        <v>4680115881761</v>
      </c>
      <c r="E211" s="679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140</v>
      </c>
      <c r="L211" s="37" t="s">
        <v>46</v>
      </c>
      <c r="M211" s="38" t="s">
        <v>81</v>
      </c>
      <c r="N211" s="38"/>
      <c r="O211" s="37">
        <v>40</v>
      </c>
      <c r="P211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81"/>
      <c r="R211" s="681"/>
      <c r="S211" s="681"/>
      <c r="T211" s="68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357</v>
      </c>
      <c r="AG211" s="78"/>
      <c r="AJ211" s="84" t="s">
        <v>46</v>
      </c>
      <c r="AK211" s="84">
        <v>0</v>
      </c>
      <c r="BB211" s="277" t="s">
        <v>67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hidden="1" customHeight="1" x14ac:dyDescent="0.25">
      <c r="A212" s="63" t="s">
        <v>358</v>
      </c>
      <c r="B212" s="63" t="s">
        <v>359</v>
      </c>
      <c r="C212" s="36">
        <v>4301031201</v>
      </c>
      <c r="D212" s="679">
        <v>4680115881563</v>
      </c>
      <c r="E212" s="679"/>
      <c r="F212" s="62">
        <v>0.7</v>
      </c>
      <c r="G212" s="37">
        <v>6</v>
      </c>
      <c r="H212" s="62">
        <v>4.2</v>
      </c>
      <c r="I212" s="62">
        <v>4.3899999999999997</v>
      </c>
      <c r="J212" s="37">
        <v>132</v>
      </c>
      <c r="K212" s="37" t="s">
        <v>140</v>
      </c>
      <c r="L212" s="37" t="s">
        <v>46</v>
      </c>
      <c r="M212" s="38" t="s">
        <v>81</v>
      </c>
      <c r="N212" s="38"/>
      <c r="O212" s="37">
        <v>40</v>
      </c>
      <c r="P212" s="7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81"/>
      <c r="R212" s="681"/>
      <c r="S212" s="681"/>
      <c r="T212" s="68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360</v>
      </c>
      <c r="AG212" s="78"/>
      <c r="AJ212" s="84" t="s">
        <v>46</v>
      </c>
      <c r="AK212" s="84">
        <v>0</v>
      </c>
      <c r="BB212" s="279" t="s">
        <v>67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37.5" customHeight="1" x14ac:dyDescent="0.25">
      <c r="A213" s="63" t="s">
        <v>361</v>
      </c>
      <c r="B213" s="63" t="s">
        <v>362</v>
      </c>
      <c r="C213" s="36">
        <v>4301031447</v>
      </c>
      <c r="D213" s="679">
        <v>4680115887565</v>
      </c>
      <c r="E213" s="679"/>
      <c r="F213" s="62">
        <v>0.08</v>
      </c>
      <c r="G213" s="37">
        <v>10</v>
      </c>
      <c r="H213" s="62">
        <v>0.8</v>
      </c>
      <c r="I213" s="62">
        <v>0.93</v>
      </c>
      <c r="J213" s="37">
        <v>252</v>
      </c>
      <c r="K213" s="37" t="s">
        <v>82</v>
      </c>
      <c r="L213" s="37" t="s">
        <v>46</v>
      </c>
      <c r="M213" s="38" t="s">
        <v>81</v>
      </c>
      <c r="N213" s="38"/>
      <c r="O213" s="37">
        <v>45</v>
      </c>
      <c r="P213" s="78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81"/>
      <c r="R213" s="681"/>
      <c r="S213" s="681"/>
      <c r="T213" s="682"/>
      <c r="U213" s="39" t="s">
        <v>46</v>
      </c>
      <c r="V213" s="39" t="s">
        <v>46</v>
      </c>
      <c r="W213" s="40" t="s">
        <v>0</v>
      </c>
      <c r="X213" s="58">
        <v>9.6</v>
      </c>
      <c r="Y213" s="55">
        <f t="shared" si="26"/>
        <v>9.6000000000000014</v>
      </c>
      <c r="Z213" s="41">
        <f>IFERROR(IF(Y213=0,"",ROUNDUP(Y213/H213,0)*0.00556),"")</f>
        <v>6.6720000000000002E-2</v>
      </c>
      <c r="AA213" s="68" t="s">
        <v>46</v>
      </c>
      <c r="AB213" s="69" t="s">
        <v>46</v>
      </c>
      <c r="AC213" s="280" t="s">
        <v>363</v>
      </c>
      <c r="AG213" s="78"/>
      <c r="AJ213" s="84" t="s">
        <v>46</v>
      </c>
      <c r="AK213" s="84">
        <v>0</v>
      </c>
      <c r="BB213" s="281" t="s">
        <v>67</v>
      </c>
      <c r="BM213" s="78">
        <f t="shared" si="27"/>
        <v>11.16</v>
      </c>
      <c r="BN213" s="78">
        <f t="shared" si="28"/>
        <v>11.160000000000002</v>
      </c>
      <c r="BO213" s="78">
        <f t="shared" si="29"/>
        <v>4.7619047619047609E-2</v>
      </c>
      <c r="BP213" s="78">
        <f t="shared" si="30"/>
        <v>4.7619047619047623E-2</v>
      </c>
    </row>
    <row r="214" spans="1:68" ht="27" customHeight="1" x14ac:dyDescent="0.25">
      <c r="A214" s="63" t="s">
        <v>364</v>
      </c>
      <c r="B214" s="63" t="s">
        <v>365</v>
      </c>
      <c r="C214" s="36">
        <v>4301031199</v>
      </c>
      <c r="D214" s="679">
        <v>4680115880986</v>
      </c>
      <c r="E214" s="679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7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81"/>
      <c r="R214" s="681"/>
      <c r="S214" s="681"/>
      <c r="T214" s="682"/>
      <c r="U214" s="39" t="s">
        <v>46</v>
      </c>
      <c r="V214" s="39" t="s">
        <v>46</v>
      </c>
      <c r="W214" s="40" t="s">
        <v>0</v>
      </c>
      <c r="X214" s="58">
        <v>157.5</v>
      </c>
      <c r="Y214" s="55">
        <f t="shared" si="26"/>
        <v>157.5</v>
      </c>
      <c r="Z214" s="41">
        <f t="shared" ref="Z214:Z219" si="31">IFERROR(IF(Y214=0,"",ROUNDUP(Y214/H214,0)*0.00502),"")</f>
        <v>0.3765</v>
      </c>
      <c r="AA214" s="68" t="s">
        <v>46</v>
      </c>
      <c r="AB214" s="69" t="s">
        <v>46</v>
      </c>
      <c r="AC214" s="282" t="s">
        <v>354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167.25</v>
      </c>
      <c r="BN214" s="78">
        <f t="shared" si="28"/>
        <v>167.25</v>
      </c>
      <c r="BO214" s="78">
        <f t="shared" si="29"/>
        <v>0.32051282051282054</v>
      </c>
      <c r="BP214" s="78">
        <f t="shared" si="30"/>
        <v>0.32051282051282054</v>
      </c>
    </row>
    <row r="215" spans="1:68" ht="27" hidden="1" customHeight="1" x14ac:dyDescent="0.25">
      <c r="A215" s="63" t="s">
        <v>366</v>
      </c>
      <c r="B215" s="63" t="s">
        <v>367</v>
      </c>
      <c r="C215" s="36">
        <v>4301031443</v>
      </c>
      <c r="D215" s="679">
        <v>4680115887213</v>
      </c>
      <c r="E215" s="679"/>
      <c r="F215" s="62">
        <v>0.3</v>
      </c>
      <c r="G215" s="37">
        <v>6</v>
      </c>
      <c r="H215" s="62">
        <v>1.8</v>
      </c>
      <c r="I215" s="62">
        <v>1.9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45</v>
      </c>
      <c r="P215" s="78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81"/>
      <c r="R215" s="681"/>
      <c r="S215" s="681"/>
      <c r="T215" s="68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368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369</v>
      </c>
      <c r="B216" s="63" t="s">
        <v>370</v>
      </c>
      <c r="C216" s="36">
        <v>4301031205</v>
      </c>
      <c r="D216" s="679">
        <v>4680115881785</v>
      </c>
      <c r="E216" s="679"/>
      <c r="F216" s="62">
        <v>0.35</v>
      </c>
      <c r="G216" s="37">
        <v>6</v>
      </c>
      <c r="H216" s="62">
        <v>2.1</v>
      </c>
      <c r="I216" s="62">
        <v>2.23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81"/>
      <c r="R216" s="681"/>
      <c r="S216" s="681"/>
      <c r="T216" s="682"/>
      <c r="U216" s="39" t="s">
        <v>46</v>
      </c>
      <c r="V216" s="39" t="s">
        <v>46</v>
      </c>
      <c r="W216" s="40" t="s">
        <v>0</v>
      </c>
      <c r="X216" s="58">
        <v>140</v>
      </c>
      <c r="Y216" s="55">
        <f t="shared" si="26"/>
        <v>140.70000000000002</v>
      </c>
      <c r="Z216" s="41">
        <f t="shared" si="31"/>
        <v>0.33634000000000003</v>
      </c>
      <c r="AA216" s="68" t="s">
        <v>46</v>
      </c>
      <c r="AB216" s="69" t="s">
        <v>46</v>
      </c>
      <c r="AC216" s="286" t="s">
        <v>357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148.66666666666666</v>
      </c>
      <c r="BN216" s="78">
        <f t="shared" si="28"/>
        <v>149.41</v>
      </c>
      <c r="BO216" s="78">
        <f t="shared" si="29"/>
        <v>0.28490028490028491</v>
      </c>
      <c r="BP216" s="78">
        <f t="shared" si="30"/>
        <v>0.28632478632478636</v>
      </c>
    </row>
    <row r="217" spans="1:68" ht="27" hidden="1" customHeight="1" x14ac:dyDescent="0.25">
      <c r="A217" s="63" t="s">
        <v>371</v>
      </c>
      <c r="B217" s="63" t="s">
        <v>372</v>
      </c>
      <c r="C217" s="36">
        <v>4301031499</v>
      </c>
      <c r="D217" s="679">
        <v>4680115888432</v>
      </c>
      <c r="E217" s="679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81"/>
      <c r="R217" s="681"/>
      <c r="S217" s="681"/>
      <c r="T217" s="68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373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374</v>
      </c>
      <c r="B218" s="63" t="s">
        <v>375</v>
      </c>
      <c r="C218" s="36">
        <v>4301031427</v>
      </c>
      <c r="D218" s="679">
        <v>4680115888104</v>
      </c>
      <c r="E218" s="679"/>
      <c r="F218" s="62">
        <v>0.35</v>
      </c>
      <c r="G218" s="37">
        <v>6</v>
      </c>
      <c r="H218" s="62">
        <v>2.1</v>
      </c>
      <c r="I218" s="62">
        <v>2.2000000000000002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8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81"/>
      <c r="R218" s="681"/>
      <c r="S218" s="681"/>
      <c r="T218" s="68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377</v>
      </c>
      <c r="B219" s="63" t="s">
        <v>378</v>
      </c>
      <c r="C219" s="36">
        <v>4301031399</v>
      </c>
      <c r="D219" s="679">
        <v>4680115886537</v>
      </c>
      <c r="E219" s="679"/>
      <c r="F219" s="62">
        <v>0.3</v>
      </c>
      <c r="G219" s="37">
        <v>6</v>
      </c>
      <c r="H219" s="62">
        <v>1.8</v>
      </c>
      <c r="I219" s="62">
        <v>1.93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81"/>
      <c r="R219" s="681"/>
      <c r="S219" s="681"/>
      <c r="T219" s="68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380</v>
      </c>
      <c r="B220" s="63" t="s">
        <v>381</v>
      </c>
      <c r="C220" s="36">
        <v>4301031279</v>
      </c>
      <c r="D220" s="679">
        <v>4680115887596</v>
      </c>
      <c r="E220" s="679"/>
      <c r="F220" s="62">
        <v>0.08</v>
      </c>
      <c r="G220" s="37">
        <v>10</v>
      </c>
      <c r="H220" s="62">
        <v>0.8</v>
      </c>
      <c r="I220" s="62">
        <v>1.01</v>
      </c>
      <c r="J220" s="37">
        <v>336</v>
      </c>
      <c r="K220" s="37" t="s">
        <v>137</v>
      </c>
      <c r="L220" s="37" t="s">
        <v>46</v>
      </c>
      <c r="M220" s="38" t="s">
        <v>81</v>
      </c>
      <c r="N220" s="38"/>
      <c r="O220" s="37">
        <v>45</v>
      </c>
      <c r="P220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81"/>
      <c r="R220" s="681"/>
      <c r="S220" s="681"/>
      <c r="T220" s="682"/>
      <c r="U220" s="39" t="s">
        <v>46</v>
      </c>
      <c r="V220" s="39" t="s">
        <v>46</v>
      </c>
      <c r="W220" s="40" t="s">
        <v>0</v>
      </c>
      <c r="X220" s="58">
        <v>5.6000000000000005</v>
      </c>
      <c r="Y220" s="55">
        <f t="shared" si="26"/>
        <v>5.6000000000000005</v>
      </c>
      <c r="Z220" s="41">
        <f>IFERROR(IF(Y220=0,"",ROUNDUP(Y220/H220,0)*0.00417),"")</f>
        <v>2.9190000000000001E-2</v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7.07</v>
      </c>
      <c r="BN220" s="78">
        <f t="shared" si="28"/>
        <v>7.07</v>
      </c>
      <c r="BO220" s="78">
        <f t="shared" si="29"/>
        <v>2.0833333333333332E-2</v>
      </c>
      <c r="BP220" s="78">
        <f t="shared" si="30"/>
        <v>2.0833333333333332E-2</v>
      </c>
    </row>
    <row r="221" spans="1:68" ht="37.5" customHeight="1" x14ac:dyDescent="0.25">
      <c r="A221" s="63" t="s">
        <v>383</v>
      </c>
      <c r="B221" s="63" t="s">
        <v>384</v>
      </c>
      <c r="C221" s="36">
        <v>4301031202</v>
      </c>
      <c r="D221" s="679">
        <v>4680115881679</v>
      </c>
      <c r="E221" s="679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79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81"/>
      <c r="R221" s="681"/>
      <c r="S221" s="681"/>
      <c r="T221" s="682"/>
      <c r="U221" s="39" t="s">
        <v>46</v>
      </c>
      <c r="V221" s="39" t="s">
        <v>46</v>
      </c>
      <c r="W221" s="40" t="s">
        <v>0</v>
      </c>
      <c r="X221" s="58">
        <v>210</v>
      </c>
      <c r="Y221" s="55">
        <f t="shared" si="26"/>
        <v>210</v>
      </c>
      <c r="Z221" s="41">
        <f>IFERROR(IF(Y221=0,"",ROUNDUP(Y221/H221,0)*0.00502),"")</f>
        <v>0.502</v>
      </c>
      <c r="AA221" s="68" t="s">
        <v>46</v>
      </c>
      <c r="AB221" s="69" t="s">
        <v>46</v>
      </c>
      <c r="AC221" s="296" t="s">
        <v>360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220.00000000000003</v>
      </c>
      <c r="BN221" s="78">
        <f t="shared" si="28"/>
        <v>220.00000000000003</v>
      </c>
      <c r="BO221" s="78">
        <f t="shared" si="29"/>
        <v>0.42735042735042739</v>
      </c>
      <c r="BP221" s="78">
        <f t="shared" si="30"/>
        <v>0.42735042735042739</v>
      </c>
    </row>
    <row r="222" spans="1:68" ht="27" hidden="1" customHeight="1" x14ac:dyDescent="0.25">
      <c r="A222" s="63" t="s">
        <v>385</v>
      </c>
      <c r="B222" s="63" t="s">
        <v>386</v>
      </c>
      <c r="C222" s="36">
        <v>4301031158</v>
      </c>
      <c r="D222" s="679">
        <v>4680115880191</v>
      </c>
      <c r="E222" s="679"/>
      <c r="F222" s="62">
        <v>0.4</v>
      </c>
      <c r="G222" s="37">
        <v>6</v>
      </c>
      <c r="H222" s="62">
        <v>2.4</v>
      </c>
      <c r="I222" s="62">
        <v>2.58</v>
      </c>
      <c r="J222" s="37">
        <v>182</v>
      </c>
      <c r="K222" s="37" t="s">
        <v>91</v>
      </c>
      <c r="L222" s="37" t="s">
        <v>46</v>
      </c>
      <c r="M222" s="38" t="s">
        <v>81</v>
      </c>
      <c r="N222" s="38"/>
      <c r="O222" s="37">
        <v>40</v>
      </c>
      <c r="P222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81"/>
      <c r="R222" s="681"/>
      <c r="S222" s="681"/>
      <c r="T222" s="68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IFERROR(IF(Y222=0,"",ROUNDUP(Y222/H222,0)*0.00651),"")</f>
        <v/>
      </c>
      <c r="AA222" s="68" t="s">
        <v>46</v>
      </c>
      <c r="AB222" s="69" t="s">
        <v>46</v>
      </c>
      <c r="AC222" s="298" t="s">
        <v>360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4301031245</v>
      </c>
      <c r="D223" s="679">
        <v>4680115883963</v>
      </c>
      <c r="E223" s="679"/>
      <c r="F223" s="62">
        <v>0.28000000000000003</v>
      </c>
      <c r="G223" s="37">
        <v>6</v>
      </c>
      <c r="H223" s="62">
        <v>1.68</v>
      </c>
      <c r="I223" s="62">
        <v>1.78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81"/>
      <c r="R223" s="681"/>
      <c r="S223" s="681"/>
      <c r="T223" s="68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300" t="s">
        <v>389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x14ac:dyDescent="0.2">
      <c r="A224" s="687"/>
      <c r="B224" s="687"/>
      <c r="C224" s="687"/>
      <c r="D224" s="687"/>
      <c r="E224" s="687"/>
      <c r="F224" s="687"/>
      <c r="G224" s="687"/>
      <c r="H224" s="687"/>
      <c r="I224" s="687"/>
      <c r="J224" s="687"/>
      <c r="K224" s="687"/>
      <c r="L224" s="687"/>
      <c r="M224" s="687"/>
      <c r="N224" s="687"/>
      <c r="O224" s="688"/>
      <c r="P224" s="684" t="s">
        <v>40</v>
      </c>
      <c r="Q224" s="685"/>
      <c r="R224" s="685"/>
      <c r="S224" s="685"/>
      <c r="T224" s="685"/>
      <c r="U224" s="685"/>
      <c r="V224" s="686"/>
      <c r="W224" s="42" t="s">
        <v>39</v>
      </c>
      <c r="X224" s="43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260.66666666666663</v>
      </c>
      <c r="Y224" s="43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261</v>
      </c>
      <c r="Z224" s="43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1.3107500000000001</v>
      </c>
      <c r="AA224" s="67"/>
      <c r="AB224" s="67"/>
      <c r="AC224" s="67"/>
    </row>
    <row r="225" spans="1:68" x14ac:dyDescent="0.2">
      <c r="A225" s="687"/>
      <c r="B225" s="687"/>
      <c r="C225" s="687"/>
      <c r="D225" s="687"/>
      <c r="E225" s="687"/>
      <c r="F225" s="687"/>
      <c r="G225" s="687"/>
      <c r="H225" s="687"/>
      <c r="I225" s="687"/>
      <c r="J225" s="687"/>
      <c r="K225" s="687"/>
      <c r="L225" s="687"/>
      <c r="M225" s="687"/>
      <c r="N225" s="687"/>
      <c r="O225" s="688"/>
      <c r="P225" s="684" t="s">
        <v>40</v>
      </c>
      <c r="Q225" s="685"/>
      <c r="R225" s="685"/>
      <c r="S225" s="685"/>
      <c r="T225" s="685"/>
      <c r="U225" s="685"/>
      <c r="V225" s="686"/>
      <c r="W225" s="42" t="s">
        <v>0</v>
      </c>
      <c r="X225" s="43">
        <f>IFERROR(SUM(X210:X223),"0")</f>
        <v>522.70000000000005</v>
      </c>
      <c r="Y225" s="43">
        <f>IFERROR(SUM(Y210:Y223),"0")</f>
        <v>523.40000000000009</v>
      </c>
      <c r="Z225" s="42"/>
      <c r="AA225" s="67"/>
      <c r="AB225" s="67"/>
      <c r="AC225" s="67"/>
    </row>
    <row r="226" spans="1:68" ht="14.25" hidden="1" customHeight="1" x14ac:dyDescent="0.25">
      <c r="A226" s="678" t="s">
        <v>86</v>
      </c>
      <c r="B226" s="678"/>
      <c r="C226" s="678"/>
      <c r="D226" s="678"/>
      <c r="E226" s="678"/>
      <c r="F226" s="678"/>
      <c r="G226" s="678"/>
      <c r="H226" s="678"/>
      <c r="I226" s="678"/>
      <c r="J226" s="678"/>
      <c r="K226" s="678"/>
      <c r="L226" s="678"/>
      <c r="M226" s="678"/>
      <c r="N226" s="678"/>
      <c r="O226" s="678"/>
      <c r="P226" s="678"/>
      <c r="Q226" s="678"/>
      <c r="R226" s="678"/>
      <c r="S226" s="678"/>
      <c r="T226" s="678"/>
      <c r="U226" s="678"/>
      <c r="V226" s="678"/>
      <c r="W226" s="678"/>
      <c r="X226" s="678"/>
      <c r="Y226" s="678"/>
      <c r="Z226" s="678"/>
      <c r="AA226" s="66"/>
      <c r="AB226" s="66"/>
      <c r="AC226" s="80"/>
    </row>
    <row r="227" spans="1:68" ht="16.5" hidden="1" customHeight="1" x14ac:dyDescent="0.25">
      <c r="A227" s="63" t="s">
        <v>390</v>
      </c>
      <c r="B227" s="63" t="s">
        <v>391</v>
      </c>
      <c r="C227" s="36">
        <v>4301052209</v>
      </c>
      <c r="D227" s="679">
        <v>4680115888692</v>
      </c>
      <c r="E227" s="679"/>
      <c r="F227" s="62">
        <v>0.8</v>
      </c>
      <c r="G227" s="37">
        <v>6</v>
      </c>
      <c r="H227" s="62">
        <v>4.8</v>
      </c>
      <c r="I227" s="62">
        <v>5.2220000000000004</v>
      </c>
      <c r="J227" s="37">
        <v>104</v>
      </c>
      <c r="K227" s="37" t="s">
        <v>133</v>
      </c>
      <c r="L227" s="37" t="s">
        <v>46</v>
      </c>
      <c r="M227" s="38" t="s">
        <v>97</v>
      </c>
      <c r="N227" s="38"/>
      <c r="O227" s="37">
        <v>35</v>
      </c>
      <c r="P227" s="795" t="s">
        <v>392</v>
      </c>
      <c r="Q227" s="681"/>
      <c r="R227" s="681"/>
      <c r="S227" s="681"/>
      <c r="T227" s="682"/>
      <c r="U227" s="39" t="s">
        <v>46</v>
      </c>
      <c r="V227" s="39" t="s">
        <v>46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IFERROR(IF(Y227=0,"",ROUNDUP(Y227/H227,0)*0.01196),"")</f>
        <v/>
      </c>
      <c r="AA227" s="68" t="s">
        <v>46</v>
      </c>
      <c r="AB227" s="69" t="s">
        <v>394</v>
      </c>
      <c r="AC227" s="302" t="s">
        <v>393</v>
      </c>
      <c r="AG227" s="78"/>
      <c r="AJ227" s="84" t="s">
        <v>46</v>
      </c>
      <c r="AK227" s="84">
        <v>0</v>
      </c>
      <c r="BB227" s="303" t="s">
        <v>67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4301052213</v>
      </c>
      <c r="D228" s="679">
        <v>4680115888722</v>
      </c>
      <c r="E228" s="679"/>
      <c r="F228" s="62">
        <v>0.8</v>
      </c>
      <c r="G228" s="37">
        <v>6</v>
      </c>
      <c r="H228" s="62">
        <v>4.8</v>
      </c>
      <c r="I228" s="62">
        <v>5.2220000000000004</v>
      </c>
      <c r="J228" s="37">
        <v>104</v>
      </c>
      <c r="K228" s="37" t="s">
        <v>133</v>
      </c>
      <c r="L228" s="37" t="s">
        <v>46</v>
      </c>
      <c r="M228" s="38" t="s">
        <v>97</v>
      </c>
      <c r="N228" s="38"/>
      <c r="O228" s="37">
        <v>35</v>
      </c>
      <c r="P228" s="796" t="s">
        <v>397</v>
      </c>
      <c r="Q228" s="681"/>
      <c r="R228" s="681"/>
      <c r="S228" s="681"/>
      <c r="T228" s="682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IFERROR(IF(Y228=0,"",ROUNDUP(Y228/H228,0)*0.01196),"")</f>
        <v/>
      </c>
      <c r="AA228" s="68" t="s">
        <v>46</v>
      </c>
      <c r="AB228" s="69" t="s">
        <v>394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4301052177</v>
      </c>
      <c r="D229" s="679">
        <v>4680115888951</v>
      </c>
      <c r="E229" s="679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140</v>
      </c>
      <c r="L229" s="37" t="s">
        <v>46</v>
      </c>
      <c r="M229" s="38" t="s">
        <v>97</v>
      </c>
      <c r="N229" s="38"/>
      <c r="O229" s="37">
        <v>35</v>
      </c>
      <c r="P229" s="79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81"/>
      <c r="R229" s="681"/>
      <c r="S229" s="681"/>
      <c r="T229" s="682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4301052176</v>
      </c>
      <c r="D230" s="679">
        <v>4680115888982</v>
      </c>
      <c r="E230" s="679"/>
      <c r="F230" s="62">
        <v>0.36</v>
      </c>
      <c r="G230" s="37">
        <v>6</v>
      </c>
      <c r="H230" s="62">
        <v>2.16</v>
      </c>
      <c r="I230" s="62">
        <v>2.4220000000000002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7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81"/>
      <c r="R230" s="681"/>
      <c r="S230" s="681"/>
      <c r="T230" s="68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08" t="s">
        <v>398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687"/>
      <c r="B231" s="687"/>
      <c r="C231" s="687"/>
      <c r="D231" s="687"/>
      <c r="E231" s="687"/>
      <c r="F231" s="687"/>
      <c r="G231" s="687"/>
      <c r="H231" s="687"/>
      <c r="I231" s="687"/>
      <c r="J231" s="687"/>
      <c r="K231" s="687"/>
      <c r="L231" s="687"/>
      <c r="M231" s="687"/>
      <c r="N231" s="687"/>
      <c r="O231" s="688"/>
      <c r="P231" s="684" t="s">
        <v>40</v>
      </c>
      <c r="Q231" s="685"/>
      <c r="R231" s="685"/>
      <c r="S231" s="685"/>
      <c r="T231" s="685"/>
      <c r="U231" s="685"/>
      <c r="V231" s="686"/>
      <c r="W231" s="42" t="s">
        <v>39</v>
      </c>
      <c r="X231" s="43">
        <f>IFERROR(X227/H227,"0")+IFERROR(X228/H228,"0")+IFERROR(X229/H229,"0")+IFERROR(X230/H230,"0")</f>
        <v>0</v>
      </c>
      <c r="Y231" s="43">
        <f>IFERROR(Y227/H227,"0")+IFERROR(Y228/H228,"0")+IFERROR(Y229/H229,"0")+IFERROR(Y230/H230,"0")</f>
        <v>0</v>
      </c>
      <c r="Z231" s="43">
        <f>IFERROR(IF(Z227="",0,Z227),"0")+IFERROR(IF(Z228="",0,Z228),"0")+IFERROR(IF(Z229="",0,Z229),"0")+IFERROR(IF(Z230="",0,Z230),"0")</f>
        <v>0</v>
      </c>
      <c r="AA231" s="67"/>
      <c r="AB231" s="67"/>
      <c r="AC231" s="67"/>
    </row>
    <row r="232" spans="1:68" hidden="1" x14ac:dyDescent="0.2">
      <c r="A232" s="687"/>
      <c r="B232" s="687"/>
      <c r="C232" s="687"/>
      <c r="D232" s="687"/>
      <c r="E232" s="687"/>
      <c r="F232" s="687"/>
      <c r="G232" s="687"/>
      <c r="H232" s="687"/>
      <c r="I232" s="687"/>
      <c r="J232" s="687"/>
      <c r="K232" s="687"/>
      <c r="L232" s="687"/>
      <c r="M232" s="687"/>
      <c r="N232" s="687"/>
      <c r="O232" s="688"/>
      <c r="P232" s="684" t="s">
        <v>40</v>
      </c>
      <c r="Q232" s="685"/>
      <c r="R232" s="685"/>
      <c r="S232" s="685"/>
      <c r="T232" s="685"/>
      <c r="U232" s="685"/>
      <c r="V232" s="686"/>
      <c r="W232" s="42" t="s">
        <v>0</v>
      </c>
      <c r="X232" s="43">
        <f>IFERROR(SUM(X227:X230),"0")</f>
        <v>0</v>
      </c>
      <c r="Y232" s="43">
        <f>IFERROR(SUM(Y227:Y230),"0")</f>
        <v>0</v>
      </c>
      <c r="Z232" s="42"/>
      <c r="AA232" s="67"/>
      <c r="AB232" s="67"/>
      <c r="AC232" s="67"/>
    </row>
    <row r="233" spans="1:68" ht="14.25" hidden="1" customHeight="1" x14ac:dyDescent="0.25">
      <c r="A233" s="678" t="s">
        <v>107</v>
      </c>
      <c r="B233" s="678"/>
      <c r="C233" s="678"/>
      <c r="D233" s="678"/>
      <c r="E233" s="678"/>
      <c r="F233" s="678"/>
      <c r="G233" s="678"/>
      <c r="H233" s="678"/>
      <c r="I233" s="678"/>
      <c r="J233" s="678"/>
      <c r="K233" s="678"/>
      <c r="L233" s="678"/>
      <c r="M233" s="678"/>
      <c r="N233" s="678"/>
      <c r="O233" s="678"/>
      <c r="P233" s="678"/>
      <c r="Q233" s="678"/>
      <c r="R233" s="678"/>
      <c r="S233" s="678"/>
      <c r="T233" s="678"/>
      <c r="U233" s="678"/>
      <c r="V233" s="678"/>
      <c r="W233" s="678"/>
      <c r="X233" s="678"/>
      <c r="Y233" s="678"/>
      <c r="Z233" s="678"/>
      <c r="AA233" s="66"/>
      <c r="AB233" s="66"/>
      <c r="AC233" s="80"/>
    </row>
    <row r="234" spans="1:68" ht="27" customHeight="1" x14ac:dyDescent="0.25">
      <c r="A234" s="63" t="s">
        <v>404</v>
      </c>
      <c r="B234" s="63" t="s">
        <v>405</v>
      </c>
      <c r="C234" s="36">
        <v>4301032053</v>
      </c>
      <c r="D234" s="679">
        <v>4680115886780</v>
      </c>
      <c r="E234" s="679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327</v>
      </c>
      <c r="L234" s="37" t="s">
        <v>46</v>
      </c>
      <c r="M234" s="38" t="s">
        <v>326</v>
      </c>
      <c r="N234" s="38"/>
      <c r="O234" s="37">
        <v>60</v>
      </c>
      <c r="P234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81"/>
      <c r="R234" s="681"/>
      <c r="S234" s="681"/>
      <c r="T234" s="682"/>
      <c r="U234" s="39" t="s">
        <v>46</v>
      </c>
      <c r="V234" s="39" t="s">
        <v>46</v>
      </c>
      <c r="W234" s="40" t="s">
        <v>0</v>
      </c>
      <c r="X234" s="58">
        <v>4.2</v>
      </c>
      <c r="Y234" s="55">
        <f>IFERROR(IF(X234="",0,CEILING((X234/$H234),1)*$H234),"")</f>
        <v>5.04</v>
      </c>
      <c r="Z234" s="41">
        <f>IFERROR(IF(Y234=0,"",ROUNDUP(Y234/H234,0)*0.0059),"")</f>
        <v>2.3599999999999999E-2</v>
      </c>
      <c r="AA234" s="68" t="s">
        <v>46</v>
      </c>
      <c r="AB234" s="69" t="s">
        <v>46</v>
      </c>
      <c r="AC234" s="310" t="s">
        <v>406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4.833333333333333</v>
      </c>
      <c r="BN234" s="78">
        <f>IFERROR(Y234*I234/H234,"0")</f>
        <v>5.8</v>
      </c>
      <c r="BO234" s="78">
        <f>IFERROR(1/J234*(X234/H234),"0")</f>
        <v>1.5432098765432098E-2</v>
      </c>
      <c r="BP234" s="78">
        <f>IFERROR(1/J234*(Y234/H234),"0")</f>
        <v>1.8518518518518517E-2</v>
      </c>
    </row>
    <row r="235" spans="1:68" ht="27" customHeight="1" x14ac:dyDescent="0.25">
      <c r="A235" s="63" t="s">
        <v>407</v>
      </c>
      <c r="B235" s="63" t="s">
        <v>408</v>
      </c>
      <c r="C235" s="36">
        <v>4301032051</v>
      </c>
      <c r="D235" s="679">
        <v>4680115886742</v>
      </c>
      <c r="E235" s="679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327</v>
      </c>
      <c r="L235" s="37" t="s">
        <v>46</v>
      </c>
      <c r="M235" s="38" t="s">
        <v>326</v>
      </c>
      <c r="N235" s="38"/>
      <c r="O235" s="37">
        <v>90</v>
      </c>
      <c r="P235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81"/>
      <c r="R235" s="681"/>
      <c r="S235" s="681"/>
      <c r="T235" s="682"/>
      <c r="U235" s="39" t="s">
        <v>46</v>
      </c>
      <c r="V235" s="39" t="s">
        <v>46</v>
      </c>
      <c r="W235" s="40" t="s">
        <v>0</v>
      </c>
      <c r="X235" s="58">
        <v>24.500000000000004</v>
      </c>
      <c r="Y235" s="55">
        <f>IFERROR(IF(X235="",0,CEILING((X235/$H235),1)*$H235),"")</f>
        <v>25.2</v>
      </c>
      <c r="Z235" s="41">
        <f>IFERROR(IF(Y235=0,"",ROUNDUP(Y235/H235,0)*0.0059),"")</f>
        <v>0.11799999999999999</v>
      </c>
      <c r="AA235" s="68" t="s">
        <v>46</v>
      </c>
      <c r="AB235" s="69" t="s">
        <v>46</v>
      </c>
      <c r="AC235" s="312" t="s">
        <v>409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28.19444444444445</v>
      </c>
      <c r="BN235" s="78">
        <f>IFERROR(Y235*I235/H235,"0")</f>
        <v>29</v>
      </c>
      <c r="BO235" s="78">
        <f>IFERROR(1/J235*(X235/H235),"0")</f>
        <v>9.0020576131687249E-2</v>
      </c>
      <c r="BP235" s="78">
        <f>IFERROR(1/J235*(Y235/H235),"0")</f>
        <v>9.2592592592592587E-2</v>
      </c>
    </row>
    <row r="236" spans="1:68" ht="27" customHeight="1" x14ac:dyDescent="0.25">
      <c r="A236" s="63" t="s">
        <v>410</v>
      </c>
      <c r="B236" s="63" t="s">
        <v>411</v>
      </c>
      <c r="C236" s="36">
        <v>4301032052</v>
      </c>
      <c r="D236" s="679">
        <v>4680115886766</v>
      </c>
      <c r="E236" s="679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327</v>
      </c>
      <c r="L236" s="37" t="s">
        <v>46</v>
      </c>
      <c r="M236" s="38" t="s">
        <v>326</v>
      </c>
      <c r="N236" s="38"/>
      <c r="O236" s="37">
        <v>90</v>
      </c>
      <c r="P236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81"/>
      <c r="R236" s="681"/>
      <c r="S236" s="681"/>
      <c r="T236" s="682"/>
      <c r="U236" s="39" t="s">
        <v>46</v>
      </c>
      <c r="V236" s="39" t="s">
        <v>46</v>
      </c>
      <c r="W236" s="40" t="s">
        <v>0</v>
      </c>
      <c r="X236" s="58">
        <v>26.6</v>
      </c>
      <c r="Y236" s="55">
        <f>IFERROR(IF(X236="",0,CEILING((X236/$H236),1)*$H236),"")</f>
        <v>27.72</v>
      </c>
      <c r="Z236" s="41">
        <f>IFERROR(IF(Y236=0,"",ROUNDUP(Y236/H236,0)*0.0059),"")</f>
        <v>0.1298</v>
      </c>
      <c r="AA236" s="68" t="s">
        <v>46</v>
      </c>
      <c r="AB236" s="69" t="s">
        <v>46</v>
      </c>
      <c r="AC236" s="314" t="s">
        <v>409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30.611111111111111</v>
      </c>
      <c r="BN236" s="78">
        <f>IFERROR(Y236*I236/H236,"0")</f>
        <v>31.899999999999995</v>
      </c>
      <c r="BO236" s="78">
        <f>IFERROR(1/J236*(X236/H236),"0")</f>
        <v>9.7736625514403291E-2</v>
      </c>
      <c r="BP236" s="78">
        <f>IFERROR(1/J236*(Y236/H236),"0")</f>
        <v>0.10185185185185185</v>
      </c>
    </row>
    <row r="237" spans="1:68" x14ac:dyDescent="0.2">
      <c r="A237" s="687"/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8"/>
      <c r="P237" s="684" t="s">
        <v>40</v>
      </c>
      <c r="Q237" s="685"/>
      <c r="R237" s="685"/>
      <c r="S237" s="685"/>
      <c r="T237" s="685"/>
      <c r="U237" s="685"/>
      <c r="V237" s="686"/>
      <c r="W237" s="42" t="s">
        <v>39</v>
      </c>
      <c r="X237" s="43">
        <f>IFERROR(X234/H234,"0")+IFERROR(X235/H235,"0")+IFERROR(X236/H236,"0")</f>
        <v>43.888888888888886</v>
      </c>
      <c r="Y237" s="43">
        <f>IFERROR(Y234/H234,"0")+IFERROR(Y235/H235,"0")+IFERROR(Y236/H236,"0")</f>
        <v>46</v>
      </c>
      <c r="Z237" s="43">
        <f>IFERROR(IF(Z234="",0,Z234),"0")+IFERROR(IF(Z235="",0,Z235),"0")+IFERROR(IF(Z236="",0,Z236),"0")</f>
        <v>0.27139999999999997</v>
      </c>
      <c r="AA237" s="67"/>
      <c r="AB237" s="67"/>
      <c r="AC237" s="67"/>
    </row>
    <row r="238" spans="1:68" x14ac:dyDescent="0.2">
      <c r="A238" s="687"/>
      <c r="B238" s="687"/>
      <c r="C238" s="687"/>
      <c r="D238" s="687"/>
      <c r="E238" s="687"/>
      <c r="F238" s="687"/>
      <c r="G238" s="687"/>
      <c r="H238" s="687"/>
      <c r="I238" s="687"/>
      <c r="J238" s="687"/>
      <c r="K238" s="687"/>
      <c r="L238" s="687"/>
      <c r="M238" s="687"/>
      <c r="N238" s="687"/>
      <c r="O238" s="688"/>
      <c r="P238" s="684" t="s">
        <v>40</v>
      </c>
      <c r="Q238" s="685"/>
      <c r="R238" s="685"/>
      <c r="S238" s="685"/>
      <c r="T238" s="685"/>
      <c r="U238" s="685"/>
      <c r="V238" s="686"/>
      <c r="W238" s="42" t="s">
        <v>0</v>
      </c>
      <c r="X238" s="43">
        <f>IFERROR(SUM(X234:X236),"0")</f>
        <v>55.300000000000004</v>
      </c>
      <c r="Y238" s="43">
        <f>IFERROR(SUM(Y234:Y236),"0")</f>
        <v>57.959999999999994</v>
      </c>
      <c r="Z238" s="42"/>
      <c r="AA238" s="67"/>
      <c r="AB238" s="67"/>
      <c r="AC238" s="67"/>
    </row>
    <row r="239" spans="1:68" ht="14.25" hidden="1" customHeight="1" x14ac:dyDescent="0.25">
      <c r="A239" s="678" t="s">
        <v>412</v>
      </c>
      <c r="B239" s="678"/>
      <c r="C239" s="678"/>
      <c r="D239" s="678"/>
      <c r="E239" s="678"/>
      <c r="F239" s="678"/>
      <c r="G239" s="678"/>
      <c r="H239" s="678"/>
      <c r="I239" s="678"/>
      <c r="J239" s="678"/>
      <c r="K239" s="678"/>
      <c r="L239" s="678"/>
      <c r="M239" s="678"/>
      <c r="N239" s="678"/>
      <c r="O239" s="678"/>
      <c r="P239" s="678"/>
      <c r="Q239" s="678"/>
      <c r="R239" s="678"/>
      <c r="S239" s="678"/>
      <c r="T239" s="678"/>
      <c r="U239" s="678"/>
      <c r="V239" s="678"/>
      <c r="W239" s="678"/>
      <c r="X239" s="678"/>
      <c r="Y239" s="678"/>
      <c r="Z239" s="678"/>
      <c r="AA239" s="66"/>
      <c r="AB239" s="66"/>
      <c r="AC239" s="80"/>
    </row>
    <row r="240" spans="1:68" ht="27" customHeight="1" x14ac:dyDescent="0.25">
      <c r="A240" s="63" t="s">
        <v>413</v>
      </c>
      <c r="B240" s="63" t="s">
        <v>414</v>
      </c>
      <c r="C240" s="36">
        <v>4301170013</v>
      </c>
      <c r="D240" s="679">
        <v>4680115886797</v>
      </c>
      <c r="E240" s="67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327</v>
      </c>
      <c r="L240" s="37" t="s">
        <v>46</v>
      </c>
      <c r="M240" s="38" t="s">
        <v>326</v>
      </c>
      <c r="N240" s="38"/>
      <c r="O240" s="37">
        <v>90</v>
      </c>
      <c r="P240" s="8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81"/>
      <c r="R240" s="681"/>
      <c r="S240" s="681"/>
      <c r="T240" s="682"/>
      <c r="U240" s="39" t="s">
        <v>46</v>
      </c>
      <c r="V240" s="39" t="s">
        <v>46</v>
      </c>
      <c r="W240" s="40" t="s">
        <v>0</v>
      </c>
      <c r="X240" s="58">
        <v>15.400000000000002</v>
      </c>
      <c r="Y240" s="55">
        <f>IFERROR(IF(X240="",0,CEILING((X240/$H240),1)*$H240),"")</f>
        <v>16.38</v>
      </c>
      <c r="Z240" s="41">
        <f>IFERROR(IF(Y240=0,"",ROUNDUP(Y240/H240,0)*0.0059),"")</f>
        <v>7.6700000000000004E-2</v>
      </c>
      <c r="AA240" s="68" t="s">
        <v>46</v>
      </c>
      <c r="AB240" s="69" t="s">
        <v>46</v>
      </c>
      <c r="AC240" s="316" t="s">
        <v>409</v>
      </c>
      <c r="AG240" s="78"/>
      <c r="AJ240" s="84" t="s">
        <v>46</v>
      </c>
      <c r="AK240" s="84">
        <v>0</v>
      </c>
      <c r="BB240" s="317" t="s">
        <v>67</v>
      </c>
      <c r="BM240" s="78">
        <f>IFERROR(X240*I240/H240,"0")</f>
        <v>17.722222222222225</v>
      </c>
      <c r="BN240" s="78">
        <f>IFERROR(Y240*I240/H240,"0")</f>
        <v>18.849999999999998</v>
      </c>
      <c r="BO240" s="78">
        <f>IFERROR(1/J240*(X240/H240),"0")</f>
        <v>5.6584362139917695E-2</v>
      </c>
      <c r="BP240" s="78">
        <f>IFERROR(1/J240*(Y240/H240),"0")</f>
        <v>6.0185185185185182E-2</v>
      </c>
    </row>
    <row r="241" spans="1:68" x14ac:dyDescent="0.2">
      <c r="A241" s="687"/>
      <c r="B241" s="687"/>
      <c r="C241" s="687"/>
      <c r="D241" s="687"/>
      <c r="E241" s="687"/>
      <c r="F241" s="687"/>
      <c r="G241" s="687"/>
      <c r="H241" s="687"/>
      <c r="I241" s="687"/>
      <c r="J241" s="687"/>
      <c r="K241" s="687"/>
      <c r="L241" s="687"/>
      <c r="M241" s="687"/>
      <c r="N241" s="687"/>
      <c r="O241" s="688"/>
      <c r="P241" s="684" t="s">
        <v>40</v>
      </c>
      <c r="Q241" s="685"/>
      <c r="R241" s="685"/>
      <c r="S241" s="685"/>
      <c r="T241" s="685"/>
      <c r="U241" s="685"/>
      <c r="V241" s="686"/>
      <c r="W241" s="42" t="s">
        <v>39</v>
      </c>
      <c r="X241" s="43">
        <f>IFERROR(X240/H240,"0")</f>
        <v>12.222222222222223</v>
      </c>
      <c r="Y241" s="43">
        <f>IFERROR(Y240/H240,"0")</f>
        <v>13</v>
      </c>
      <c r="Z241" s="43">
        <f>IFERROR(IF(Z240="",0,Z240),"0")</f>
        <v>7.6700000000000004E-2</v>
      </c>
      <c r="AA241" s="67"/>
      <c r="AB241" s="67"/>
      <c r="AC241" s="67"/>
    </row>
    <row r="242" spans="1:68" x14ac:dyDescent="0.2">
      <c r="A242" s="687"/>
      <c r="B242" s="687"/>
      <c r="C242" s="687"/>
      <c r="D242" s="687"/>
      <c r="E242" s="687"/>
      <c r="F242" s="687"/>
      <c r="G242" s="687"/>
      <c r="H242" s="687"/>
      <c r="I242" s="687"/>
      <c r="J242" s="687"/>
      <c r="K242" s="687"/>
      <c r="L242" s="687"/>
      <c r="M242" s="687"/>
      <c r="N242" s="687"/>
      <c r="O242" s="688"/>
      <c r="P242" s="684" t="s">
        <v>40</v>
      </c>
      <c r="Q242" s="685"/>
      <c r="R242" s="685"/>
      <c r="S242" s="685"/>
      <c r="T242" s="685"/>
      <c r="U242" s="685"/>
      <c r="V242" s="686"/>
      <c r="W242" s="42" t="s">
        <v>0</v>
      </c>
      <c r="X242" s="43">
        <f>IFERROR(SUM(X240:X240),"0")</f>
        <v>15.400000000000002</v>
      </c>
      <c r="Y242" s="43">
        <f>IFERROR(SUM(Y240:Y240),"0")</f>
        <v>16.38</v>
      </c>
      <c r="Z242" s="42"/>
      <c r="AA242" s="67"/>
      <c r="AB242" s="67"/>
      <c r="AC242" s="67"/>
    </row>
    <row r="243" spans="1:68" ht="16.5" hidden="1" customHeight="1" x14ac:dyDescent="0.25">
      <c r="A243" s="677" t="s">
        <v>415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5"/>
      <c r="AB243" s="65"/>
      <c r="AC243" s="79"/>
    </row>
    <row r="244" spans="1:68" ht="14.25" hidden="1" customHeight="1" x14ac:dyDescent="0.25">
      <c r="A244" s="678" t="s">
        <v>128</v>
      </c>
      <c r="B244" s="678"/>
      <c r="C244" s="678"/>
      <c r="D244" s="678"/>
      <c r="E244" s="678"/>
      <c r="F244" s="678"/>
      <c r="G244" s="678"/>
      <c r="H244" s="678"/>
      <c r="I244" s="678"/>
      <c r="J244" s="678"/>
      <c r="K244" s="678"/>
      <c r="L244" s="678"/>
      <c r="M244" s="678"/>
      <c r="N244" s="678"/>
      <c r="O244" s="678"/>
      <c r="P244" s="678"/>
      <c r="Q244" s="678"/>
      <c r="R244" s="678"/>
      <c r="S244" s="678"/>
      <c r="T244" s="678"/>
      <c r="U244" s="678"/>
      <c r="V244" s="678"/>
      <c r="W244" s="678"/>
      <c r="X244" s="678"/>
      <c r="Y244" s="678"/>
      <c r="Z244" s="678"/>
      <c r="AA244" s="66"/>
      <c r="AB244" s="66"/>
      <c r="AC244" s="80"/>
    </row>
    <row r="245" spans="1:68" ht="27" hidden="1" customHeight="1" x14ac:dyDescent="0.25">
      <c r="A245" s="63" t="s">
        <v>416</v>
      </c>
      <c r="B245" s="63" t="s">
        <v>417</v>
      </c>
      <c r="C245" s="36">
        <v>4301011450</v>
      </c>
      <c r="D245" s="679">
        <v>4680115881402</v>
      </c>
      <c r="E245" s="679"/>
      <c r="F245" s="62">
        <v>1.35</v>
      </c>
      <c r="G245" s="37">
        <v>8</v>
      </c>
      <c r="H245" s="62">
        <v>10.8</v>
      </c>
      <c r="I245" s="62">
        <v>11.21</v>
      </c>
      <c r="J245" s="37">
        <v>64</v>
      </c>
      <c r="K245" s="37" t="s">
        <v>133</v>
      </c>
      <c r="L245" s="37" t="s">
        <v>46</v>
      </c>
      <c r="M245" s="38" t="s">
        <v>132</v>
      </c>
      <c r="N245" s="38"/>
      <c r="O245" s="37">
        <v>55</v>
      </c>
      <c r="P245" s="8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81"/>
      <c r="R245" s="681"/>
      <c r="S245" s="681"/>
      <c r="T245" s="68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IFERROR(IF(Y245=0,"",ROUNDUP(Y245/H245,0)*0.01898),"")</f>
        <v/>
      </c>
      <c r="AA245" s="68" t="s">
        <v>46</v>
      </c>
      <c r="AB245" s="69" t="s">
        <v>46</v>
      </c>
      <c r="AC245" s="318" t="s">
        <v>418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419</v>
      </c>
      <c r="B246" s="63" t="s">
        <v>420</v>
      </c>
      <c r="C246" s="36">
        <v>4301011768</v>
      </c>
      <c r="D246" s="679">
        <v>4680115881396</v>
      </c>
      <c r="E246" s="679"/>
      <c r="F246" s="62">
        <v>0.45</v>
      </c>
      <c r="G246" s="37">
        <v>6</v>
      </c>
      <c r="H246" s="62">
        <v>2.7</v>
      </c>
      <c r="I246" s="62">
        <v>2.88</v>
      </c>
      <c r="J246" s="37">
        <v>182</v>
      </c>
      <c r="K246" s="37" t="s">
        <v>91</v>
      </c>
      <c r="L246" s="37" t="s">
        <v>46</v>
      </c>
      <c r="M246" s="38" t="s">
        <v>132</v>
      </c>
      <c r="N246" s="38"/>
      <c r="O246" s="37">
        <v>55</v>
      </c>
      <c r="P246" s="80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81"/>
      <c r="R246" s="681"/>
      <c r="S246" s="681"/>
      <c r="T246" s="68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IFERROR(IF(Y246=0,"",ROUNDUP(Y246/H246,0)*0.00651),"")</f>
        <v/>
      </c>
      <c r="AA246" s="68" t="s">
        <v>46</v>
      </c>
      <c r="AB246" s="69" t="s">
        <v>46</v>
      </c>
      <c r="AC246" s="320" t="s">
        <v>418</v>
      </c>
      <c r="AG246" s="78"/>
      <c r="AJ246" s="84" t="s">
        <v>46</v>
      </c>
      <c r="AK246" s="84">
        <v>0</v>
      </c>
      <c r="BB246" s="32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87"/>
      <c r="B247" s="687"/>
      <c r="C247" s="687"/>
      <c r="D247" s="687"/>
      <c r="E247" s="687"/>
      <c r="F247" s="687"/>
      <c r="G247" s="687"/>
      <c r="H247" s="687"/>
      <c r="I247" s="687"/>
      <c r="J247" s="687"/>
      <c r="K247" s="687"/>
      <c r="L247" s="687"/>
      <c r="M247" s="687"/>
      <c r="N247" s="687"/>
      <c r="O247" s="688"/>
      <c r="P247" s="684" t="s">
        <v>40</v>
      </c>
      <c r="Q247" s="685"/>
      <c r="R247" s="685"/>
      <c r="S247" s="685"/>
      <c r="T247" s="685"/>
      <c r="U247" s="685"/>
      <c r="V247" s="686"/>
      <c r="W247" s="42" t="s">
        <v>39</v>
      </c>
      <c r="X247" s="43">
        <f>IFERROR(X245/H245,"0")+IFERROR(X246/H246,"0")</f>
        <v>0</v>
      </c>
      <c r="Y247" s="43">
        <f>IFERROR(Y245/H245,"0")+IFERROR(Y246/H246,"0")</f>
        <v>0</v>
      </c>
      <c r="Z247" s="43">
        <f>IFERROR(IF(Z245="",0,Z245),"0")+IFERROR(IF(Z246="",0,Z246),"0")</f>
        <v>0</v>
      </c>
      <c r="AA247" s="67"/>
      <c r="AB247" s="67"/>
      <c r="AC247" s="67"/>
    </row>
    <row r="248" spans="1:68" hidden="1" x14ac:dyDescent="0.2">
      <c r="A248" s="687"/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8"/>
      <c r="P248" s="684" t="s">
        <v>40</v>
      </c>
      <c r="Q248" s="685"/>
      <c r="R248" s="685"/>
      <c r="S248" s="685"/>
      <c r="T248" s="685"/>
      <c r="U248" s="685"/>
      <c r="V248" s="686"/>
      <c r="W248" s="42" t="s">
        <v>0</v>
      </c>
      <c r="X248" s="43">
        <f>IFERROR(SUM(X245:X246),"0")</f>
        <v>0</v>
      </c>
      <c r="Y248" s="43">
        <f>IFERROR(SUM(Y245:Y246),"0")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78" t="s">
        <v>163</v>
      </c>
      <c r="B249" s="678"/>
      <c r="C249" s="678"/>
      <c r="D249" s="678"/>
      <c r="E249" s="678"/>
      <c r="F249" s="678"/>
      <c r="G249" s="678"/>
      <c r="H249" s="678"/>
      <c r="I249" s="678"/>
      <c r="J249" s="678"/>
      <c r="K249" s="678"/>
      <c r="L249" s="678"/>
      <c r="M249" s="678"/>
      <c r="N249" s="678"/>
      <c r="O249" s="678"/>
      <c r="P249" s="678"/>
      <c r="Q249" s="678"/>
      <c r="R249" s="678"/>
      <c r="S249" s="678"/>
      <c r="T249" s="678"/>
      <c r="U249" s="678"/>
      <c r="V249" s="678"/>
      <c r="W249" s="678"/>
      <c r="X249" s="678"/>
      <c r="Y249" s="678"/>
      <c r="Z249" s="678"/>
      <c r="AA249" s="66"/>
      <c r="AB249" s="66"/>
      <c r="AC249" s="80"/>
    </row>
    <row r="250" spans="1:68" ht="16.5" hidden="1" customHeight="1" x14ac:dyDescent="0.25">
      <c r="A250" s="63" t="s">
        <v>421</v>
      </c>
      <c r="B250" s="63" t="s">
        <v>422</v>
      </c>
      <c r="C250" s="36">
        <v>4301020261</v>
      </c>
      <c r="D250" s="679">
        <v>4680115882935</v>
      </c>
      <c r="E250" s="679"/>
      <c r="F250" s="62">
        <v>1.35</v>
      </c>
      <c r="G250" s="37">
        <v>8</v>
      </c>
      <c r="H250" s="62">
        <v>10.8</v>
      </c>
      <c r="I250" s="62">
        <v>11.21</v>
      </c>
      <c r="J250" s="37">
        <v>64</v>
      </c>
      <c r="K250" s="37" t="s">
        <v>133</v>
      </c>
      <c r="L250" s="37" t="s">
        <v>46</v>
      </c>
      <c r="M250" s="38" t="s">
        <v>132</v>
      </c>
      <c r="N250" s="38"/>
      <c r="O250" s="37">
        <v>50</v>
      </c>
      <c r="P25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81"/>
      <c r="R250" s="681"/>
      <c r="S250" s="681"/>
      <c r="T250" s="68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46</v>
      </c>
      <c r="AB250" s="69" t="s">
        <v>46</v>
      </c>
      <c r="AC250" s="322" t="s">
        <v>423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16.5" hidden="1" customHeight="1" x14ac:dyDescent="0.25">
      <c r="A251" s="63" t="s">
        <v>424</v>
      </c>
      <c r="B251" s="63" t="s">
        <v>425</v>
      </c>
      <c r="C251" s="36">
        <v>4301020220</v>
      </c>
      <c r="D251" s="679">
        <v>4680115880764</v>
      </c>
      <c r="E251" s="679"/>
      <c r="F251" s="62">
        <v>0.35</v>
      </c>
      <c r="G251" s="37">
        <v>6</v>
      </c>
      <c r="H251" s="62">
        <v>2.1</v>
      </c>
      <c r="I251" s="62">
        <v>2.2799999999999998</v>
      </c>
      <c r="J251" s="37">
        <v>182</v>
      </c>
      <c r="K251" s="37" t="s">
        <v>91</v>
      </c>
      <c r="L251" s="37" t="s">
        <v>46</v>
      </c>
      <c r="M251" s="38" t="s">
        <v>132</v>
      </c>
      <c r="N251" s="38"/>
      <c r="O251" s="37">
        <v>50</v>
      </c>
      <c r="P251" s="80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81"/>
      <c r="R251" s="681"/>
      <c r="S251" s="681"/>
      <c r="T251" s="68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4" t="s">
        <v>423</v>
      </c>
      <c r="AG251" s="78"/>
      <c r="AJ251" s="84" t="s">
        <v>46</v>
      </c>
      <c r="AK251" s="84">
        <v>0</v>
      </c>
      <c r="BB251" s="32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87"/>
      <c r="B252" s="687"/>
      <c r="C252" s="687"/>
      <c r="D252" s="687"/>
      <c r="E252" s="687"/>
      <c r="F252" s="687"/>
      <c r="G252" s="687"/>
      <c r="H252" s="687"/>
      <c r="I252" s="687"/>
      <c r="J252" s="687"/>
      <c r="K252" s="687"/>
      <c r="L252" s="687"/>
      <c r="M252" s="687"/>
      <c r="N252" s="687"/>
      <c r="O252" s="688"/>
      <c r="P252" s="684" t="s">
        <v>40</v>
      </c>
      <c r="Q252" s="685"/>
      <c r="R252" s="685"/>
      <c r="S252" s="685"/>
      <c r="T252" s="685"/>
      <c r="U252" s="685"/>
      <c r="V252" s="686"/>
      <c r="W252" s="42" t="s">
        <v>39</v>
      </c>
      <c r="X252" s="43">
        <f>IFERROR(X250/H250,"0")+IFERROR(X251/H251,"0")</f>
        <v>0</v>
      </c>
      <c r="Y252" s="43">
        <f>IFERROR(Y250/H250,"0")+IFERROR(Y251/H251,"0")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hidden="1" x14ac:dyDescent="0.2">
      <c r="A253" s="687"/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8"/>
      <c r="P253" s="684" t="s">
        <v>40</v>
      </c>
      <c r="Q253" s="685"/>
      <c r="R253" s="685"/>
      <c r="S253" s="685"/>
      <c r="T253" s="685"/>
      <c r="U253" s="685"/>
      <c r="V253" s="686"/>
      <c r="W253" s="42" t="s">
        <v>0</v>
      </c>
      <c r="X253" s="43">
        <f>IFERROR(SUM(X250:X251),"0")</f>
        <v>0</v>
      </c>
      <c r="Y253" s="43">
        <f>IFERROR(SUM(Y250:Y251),"0")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8" t="s">
        <v>77</v>
      </c>
      <c r="B254" s="678"/>
      <c r="C254" s="678"/>
      <c r="D254" s="678"/>
      <c r="E254" s="678"/>
      <c r="F254" s="678"/>
      <c r="G254" s="678"/>
      <c r="H254" s="678"/>
      <c r="I254" s="678"/>
      <c r="J254" s="678"/>
      <c r="K254" s="678"/>
      <c r="L254" s="678"/>
      <c r="M254" s="678"/>
      <c r="N254" s="678"/>
      <c r="O254" s="678"/>
      <c r="P254" s="678"/>
      <c r="Q254" s="678"/>
      <c r="R254" s="678"/>
      <c r="S254" s="678"/>
      <c r="T254" s="678"/>
      <c r="U254" s="678"/>
      <c r="V254" s="678"/>
      <c r="W254" s="678"/>
      <c r="X254" s="678"/>
      <c r="Y254" s="678"/>
      <c r="Z254" s="678"/>
      <c r="AA254" s="66"/>
      <c r="AB254" s="66"/>
      <c r="AC254" s="80"/>
    </row>
    <row r="255" spans="1:68" ht="27" customHeight="1" x14ac:dyDescent="0.25">
      <c r="A255" s="63" t="s">
        <v>426</v>
      </c>
      <c r="B255" s="63" t="s">
        <v>427</v>
      </c>
      <c r="C255" s="36">
        <v>4301031224</v>
      </c>
      <c r="D255" s="679">
        <v>4680115882683</v>
      </c>
      <c r="E255" s="679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140</v>
      </c>
      <c r="L255" s="37" t="s">
        <v>46</v>
      </c>
      <c r="M255" s="38" t="s">
        <v>81</v>
      </c>
      <c r="N255" s="38"/>
      <c r="O255" s="37">
        <v>40</v>
      </c>
      <c r="P255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81"/>
      <c r="R255" s="681"/>
      <c r="S255" s="681"/>
      <c r="T255" s="682"/>
      <c r="U255" s="39" t="s">
        <v>46</v>
      </c>
      <c r="V255" s="39" t="s">
        <v>46</v>
      </c>
      <c r="W255" s="40" t="s">
        <v>0</v>
      </c>
      <c r="X255" s="58">
        <v>100</v>
      </c>
      <c r="Y255" s="55">
        <f t="shared" ref="Y255:Y262" si="32">IFERROR(IF(X255="",0,CEILING((X255/$H255),1)*$H255),"")</f>
        <v>102.60000000000001</v>
      </c>
      <c r="Z255" s="41">
        <f>IFERROR(IF(Y255=0,"",ROUNDUP(Y255/H255,0)*0.00902),"")</f>
        <v>0.17138</v>
      </c>
      <c r="AA255" s="68" t="s">
        <v>46</v>
      </c>
      <c r="AB255" s="69" t="s">
        <v>46</v>
      </c>
      <c r="AC255" s="326" t="s">
        <v>428</v>
      </c>
      <c r="AG255" s="78"/>
      <c r="AJ255" s="84" t="s">
        <v>46</v>
      </c>
      <c r="AK255" s="84">
        <v>0</v>
      </c>
      <c r="BB255" s="327" t="s">
        <v>67</v>
      </c>
      <c r="BM255" s="78">
        <f t="shared" ref="BM255:BM262" si="33">IFERROR(X255*I255/H255,"0")</f>
        <v>103.5185185185185</v>
      </c>
      <c r="BN255" s="78">
        <f t="shared" ref="BN255:BN262" si="34">IFERROR(Y255*I255/H255,"0")</f>
        <v>106.21</v>
      </c>
      <c r="BO255" s="78">
        <f t="shared" ref="BO255:BO262" si="35">IFERROR(1/J255*(X255/H255),"0")</f>
        <v>0.14029180695847362</v>
      </c>
      <c r="BP255" s="78">
        <f t="shared" ref="BP255:BP262" si="36">IFERROR(1/J255*(Y255/H255),"0")</f>
        <v>0.14393939393939395</v>
      </c>
    </row>
    <row r="256" spans="1:68" ht="27" customHeight="1" x14ac:dyDescent="0.25">
      <c r="A256" s="63" t="s">
        <v>429</v>
      </c>
      <c r="B256" s="63" t="s">
        <v>430</v>
      </c>
      <c r="C256" s="36">
        <v>4301031230</v>
      </c>
      <c r="D256" s="679">
        <v>4680115882690</v>
      </c>
      <c r="E256" s="679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140</v>
      </c>
      <c r="L256" s="37" t="s">
        <v>46</v>
      </c>
      <c r="M256" s="38" t="s">
        <v>81</v>
      </c>
      <c r="N256" s="38"/>
      <c r="O256" s="37">
        <v>40</v>
      </c>
      <c r="P25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81"/>
      <c r="R256" s="681"/>
      <c r="S256" s="681"/>
      <c r="T256" s="682"/>
      <c r="U256" s="39" t="s">
        <v>46</v>
      </c>
      <c r="V256" s="39" t="s">
        <v>46</v>
      </c>
      <c r="W256" s="40" t="s">
        <v>0</v>
      </c>
      <c r="X256" s="58">
        <v>100</v>
      </c>
      <c r="Y256" s="55">
        <f t="shared" si="32"/>
        <v>102.60000000000001</v>
      </c>
      <c r="Z256" s="41">
        <f>IFERROR(IF(Y256=0,"",ROUNDUP(Y256/H256,0)*0.00902),"")</f>
        <v>0.17138</v>
      </c>
      <c r="AA256" s="68" t="s">
        <v>46</v>
      </c>
      <c r="AB256" s="69" t="s">
        <v>46</v>
      </c>
      <c r="AC256" s="328" t="s">
        <v>431</v>
      </c>
      <c r="AG256" s="78"/>
      <c r="AJ256" s="84" t="s">
        <v>46</v>
      </c>
      <c r="AK256" s="84">
        <v>0</v>
      </c>
      <c r="BB256" s="329" t="s">
        <v>67</v>
      </c>
      <c r="BM256" s="78">
        <f t="shared" si="33"/>
        <v>103.5185185185185</v>
      </c>
      <c r="BN256" s="78">
        <f t="shared" si="34"/>
        <v>106.21</v>
      </c>
      <c r="BO256" s="78">
        <f t="shared" si="35"/>
        <v>0.14029180695847362</v>
      </c>
      <c r="BP256" s="78">
        <f t="shared" si="36"/>
        <v>0.14393939393939395</v>
      </c>
    </row>
    <row r="257" spans="1:68" ht="27" hidden="1" customHeight="1" x14ac:dyDescent="0.25">
      <c r="A257" s="63" t="s">
        <v>432</v>
      </c>
      <c r="B257" s="63" t="s">
        <v>433</v>
      </c>
      <c r="C257" s="36">
        <v>4301031220</v>
      </c>
      <c r="D257" s="679">
        <v>4680115882669</v>
      </c>
      <c r="E257" s="679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140</v>
      </c>
      <c r="L257" s="37" t="s">
        <v>46</v>
      </c>
      <c r="M257" s="38" t="s">
        <v>81</v>
      </c>
      <c r="N257" s="38"/>
      <c r="O257" s="37">
        <v>40</v>
      </c>
      <c r="P257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81"/>
      <c r="R257" s="681"/>
      <c r="S257" s="681"/>
      <c r="T257" s="682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32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434</v>
      </c>
      <c r="AG257" s="78"/>
      <c r="AJ257" s="84" t="s">
        <v>46</v>
      </c>
      <c r="AK257" s="84">
        <v>0</v>
      </c>
      <c r="BB257" s="331" t="s">
        <v>67</v>
      </c>
      <c r="BM257" s="78">
        <f t="shared" si="33"/>
        <v>0</v>
      </c>
      <c r="BN257" s="78">
        <f t="shared" si="34"/>
        <v>0</v>
      </c>
      <c r="BO257" s="78">
        <f t="shared" si="35"/>
        <v>0</v>
      </c>
      <c r="BP257" s="78">
        <f t="shared" si="36"/>
        <v>0</v>
      </c>
    </row>
    <row r="258" spans="1:68" ht="27" customHeight="1" x14ac:dyDescent="0.25">
      <c r="A258" s="63" t="s">
        <v>435</v>
      </c>
      <c r="B258" s="63" t="s">
        <v>436</v>
      </c>
      <c r="C258" s="36">
        <v>4301031221</v>
      </c>
      <c r="D258" s="679">
        <v>4680115882676</v>
      </c>
      <c r="E258" s="679"/>
      <c r="F258" s="62">
        <v>0.9</v>
      </c>
      <c r="G258" s="37">
        <v>6</v>
      </c>
      <c r="H258" s="62">
        <v>5.4</v>
      </c>
      <c r="I258" s="62">
        <v>5.59</v>
      </c>
      <c r="J258" s="37">
        <v>132</v>
      </c>
      <c r="K258" s="37" t="s">
        <v>140</v>
      </c>
      <c r="L258" s="37" t="s">
        <v>46</v>
      </c>
      <c r="M258" s="38" t="s">
        <v>81</v>
      </c>
      <c r="N258" s="38"/>
      <c r="O258" s="37">
        <v>40</v>
      </c>
      <c r="P25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81"/>
      <c r="R258" s="681"/>
      <c r="S258" s="681"/>
      <c r="T258" s="682"/>
      <c r="U258" s="39" t="s">
        <v>46</v>
      </c>
      <c r="V258" s="39" t="s">
        <v>46</v>
      </c>
      <c r="W258" s="40" t="s">
        <v>0</v>
      </c>
      <c r="X258" s="58">
        <v>60</v>
      </c>
      <c r="Y258" s="55">
        <f t="shared" si="32"/>
        <v>64.800000000000011</v>
      </c>
      <c r="Z258" s="41">
        <f>IFERROR(IF(Y258=0,"",ROUNDUP(Y258/H258,0)*0.00902),"")</f>
        <v>0.10824</v>
      </c>
      <c r="AA258" s="68" t="s">
        <v>46</v>
      </c>
      <c r="AB258" s="69" t="s">
        <v>46</v>
      </c>
      <c r="AC258" s="332" t="s">
        <v>437</v>
      </c>
      <c r="AG258" s="78"/>
      <c r="AJ258" s="84" t="s">
        <v>46</v>
      </c>
      <c r="AK258" s="84">
        <v>0</v>
      </c>
      <c r="BB258" s="333" t="s">
        <v>67</v>
      </c>
      <c r="BM258" s="78">
        <f t="shared" si="33"/>
        <v>62.1111111111111</v>
      </c>
      <c r="BN258" s="78">
        <f t="shared" si="34"/>
        <v>67.08</v>
      </c>
      <c r="BO258" s="78">
        <f t="shared" si="35"/>
        <v>8.4175084175084181E-2</v>
      </c>
      <c r="BP258" s="78">
        <f t="shared" si="36"/>
        <v>9.0909090909090925E-2</v>
      </c>
    </row>
    <row r="259" spans="1:68" ht="27" customHeight="1" x14ac:dyDescent="0.25">
      <c r="A259" s="63" t="s">
        <v>438</v>
      </c>
      <c r="B259" s="63" t="s">
        <v>439</v>
      </c>
      <c r="C259" s="36">
        <v>4301031223</v>
      </c>
      <c r="D259" s="679">
        <v>4680115884014</v>
      </c>
      <c r="E259" s="679"/>
      <c r="F259" s="62">
        <v>0.3</v>
      </c>
      <c r="G259" s="37">
        <v>6</v>
      </c>
      <c r="H259" s="62">
        <v>1.8</v>
      </c>
      <c r="I259" s="62">
        <v>1.93</v>
      </c>
      <c r="J259" s="37">
        <v>234</v>
      </c>
      <c r="K259" s="37" t="s">
        <v>82</v>
      </c>
      <c r="L259" s="37" t="s">
        <v>46</v>
      </c>
      <c r="M259" s="38" t="s">
        <v>81</v>
      </c>
      <c r="N259" s="38"/>
      <c r="O259" s="37">
        <v>40</v>
      </c>
      <c r="P259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81"/>
      <c r="R259" s="681"/>
      <c r="S259" s="681"/>
      <c r="T259" s="682"/>
      <c r="U259" s="39" t="s">
        <v>46</v>
      </c>
      <c r="V259" s="39" t="s">
        <v>46</v>
      </c>
      <c r="W259" s="40" t="s">
        <v>0</v>
      </c>
      <c r="X259" s="58">
        <v>180</v>
      </c>
      <c r="Y259" s="55">
        <f t="shared" si="32"/>
        <v>180</v>
      </c>
      <c r="Z259" s="41">
        <f>IFERROR(IF(Y259=0,"",ROUNDUP(Y259/H259,0)*0.00502),"")</f>
        <v>0.502</v>
      </c>
      <c r="AA259" s="68" t="s">
        <v>46</v>
      </c>
      <c r="AB259" s="69" t="s">
        <v>46</v>
      </c>
      <c r="AC259" s="334" t="s">
        <v>428</v>
      </c>
      <c r="AG259" s="78"/>
      <c r="AJ259" s="84" t="s">
        <v>46</v>
      </c>
      <c r="AK259" s="84">
        <v>0</v>
      </c>
      <c r="BB259" s="335" t="s">
        <v>67</v>
      </c>
      <c r="BM259" s="78">
        <f t="shared" si="33"/>
        <v>192.99999999999997</v>
      </c>
      <c r="BN259" s="78">
        <f t="shared" si="34"/>
        <v>192.99999999999997</v>
      </c>
      <c r="BO259" s="78">
        <f t="shared" si="35"/>
        <v>0.42735042735042739</v>
      </c>
      <c r="BP259" s="78">
        <f t="shared" si="36"/>
        <v>0.42735042735042739</v>
      </c>
    </row>
    <row r="260" spans="1:68" ht="27" customHeight="1" x14ac:dyDescent="0.25">
      <c r="A260" s="63" t="s">
        <v>440</v>
      </c>
      <c r="B260" s="63" t="s">
        <v>441</v>
      </c>
      <c r="C260" s="36">
        <v>4301031222</v>
      </c>
      <c r="D260" s="679">
        <v>4680115884007</v>
      </c>
      <c r="E260" s="679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82</v>
      </c>
      <c r="L260" s="37" t="s">
        <v>46</v>
      </c>
      <c r="M260" s="38" t="s">
        <v>81</v>
      </c>
      <c r="N260" s="38"/>
      <c r="O260" s="37">
        <v>40</v>
      </c>
      <c r="P260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81"/>
      <c r="R260" s="681"/>
      <c r="S260" s="681"/>
      <c r="T260" s="682"/>
      <c r="U260" s="39" t="s">
        <v>46</v>
      </c>
      <c r="V260" s="39" t="s">
        <v>46</v>
      </c>
      <c r="W260" s="40" t="s">
        <v>0</v>
      </c>
      <c r="X260" s="58">
        <v>75</v>
      </c>
      <c r="Y260" s="55">
        <f t="shared" si="32"/>
        <v>75.600000000000009</v>
      </c>
      <c r="Z260" s="41">
        <f>IFERROR(IF(Y260=0,"",ROUNDUP(Y260/H260,0)*0.00502),"")</f>
        <v>0.21084</v>
      </c>
      <c r="AA260" s="68" t="s">
        <v>46</v>
      </c>
      <c r="AB260" s="69" t="s">
        <v>46</v>
      </c>
      <c r="AC260" s="336" t="s">
        <v>431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79.166666666666671</v>
      </c>
      <c r="BN260" s="78">
        <f t="shared" si="34"/>
        <v>79.800000000000011</v>
      </c>
      <c r="BO260" s="78">
        <f t="shared" si="35"/>
        <v>0.17806267806267806</v>
      </c>
      <c r="BP260" s="78">
        <f t="shared" si="36"/>
        <v>0.17948717948717954</v>
      </c>
    </row>
    <row r="261" spans="1:68" ht="27" customHeight="1" x14ac:dyDescent="0.25">
      <c r="A261" s="63" t="s">
        <v>442</v>
      </c>
      <c r="B261" s="63" t="s">
        <v>443</v>
      </c>
      <c r="C261" s="36">
        <v>4301031229</v>
      </c>
      <c r="D261" s="679">
        <v>4680115884038</v>
      </c>
      <c r="E261" s="679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82</v>
      </c>
      <c r="L261" s="37" t="s">
        <v>46</v>
      </c>
      <c r="M261" s="38" t="s">
        <v>81</v>
      </c>
      <c r="N261" s="38"/>
      <c r="O261" s="37">
        <v>40</v>
      </c>
      <c r="P261" s="81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81"/>
      <c r="R261" s="681"/>
      <c r="S261" s="681"/>
      <c r="T261" s="682"/>
      <c r="U261" s="39" t="s">
        <v>46</v>
      </c>
      <c r="V261" s="39" t="s">
        <v>46</v>
      </c>
      <c r="W261" s="40" t="s">
        <v>0</v>
      </c>
      <c r="X261" s="58">
        <v>30</v>
      </c>
      <c r="Y261" s="55">
        <f t="shared" si="32"/>
        <v>30.6</v>
      </c>
      <c r="Z261" s="41">
        <f>IFERROR(IF(Y261=0,"",ROUNDUP(Y261/H261,0)*0.00502),"")</f>
        <v>8.5339999999999999E-2</v>
      </c>
      <c r="AA261" s="68" t="s">
        <v>46</v>
      </c>
      <c r="AB261" s="69" t="s">
        <v>46</v>
      </c>
      <c r="AC261" s="338" t="s">
        <v>434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31.666666666666664</v>
      </c>
      <c r="BN261" s="78">
        <f t="shared" si="34"/>
        <v>32.299999999999997</v>
      </c>
      <c r="BO261" s="78">
        <f t="shared" si="35"/>
        <v>7.122507122507124E-2</v>
      </c>
      <c r="BP261" s="78">
        <f t="shared" si="36"/>
        <v>7.2649572649572655E-2</v>
      </c>
    </row>
    <row r="262" spans="1:68" ht="27" customHeight="1" x14ac:dyDescent="0.25">
      <c r="A262" s="63" t="s">
        <v>444</v>
      </c>
      <c r="B262" s="63" t="s">
        <v>445</v>
      </c>
      <c r="C262" s="36">
        <v>4301031225</v>
      </c>
      <c r="D262" s="679">
        <v>4680115884021</v>
      </c>
      <c r="E262" s="679"/>
      <c r="F262" s="62">
        <v>0.3</v>
      </c>
      <c r="G262" s="37">
        <v>6</v>
      </c>
      <c r="H262" s="62">
        <v>1.8</v>
      </c>
      <c r="I262" s="62">
        <v>1.9</v>
      </c>
      <c r="J262" s="37">
        <v>234</v>
      </c>
      <c r="K262" s="37" t="s">
        <v>82</v>
      </c>
      <c r="L262" s="37" t="s">
        <v>46</v>
      </c>
      <c r="M262" s="38" t="s">
        <v>81</v>
      </c>
      <c r="N262" s="38"/>
      <c r="O262" s="37">
        <v>40</v>
      </c>
      <c r="P262" s="81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81"/>
      <c r="R262" s="681"/>
      <c r="S262" s="681"/>
      <c r="T262" s="682"/>
      <c r="U262" s="39" t="s">
        <v>46</v>
      </c>
      <c r="V262" s="39" t="s">
        <v>46</v>
      </c>
      <c r="W262" s="40" t="s">
        <v>0</v>
      </c>
      <c r="X262" s="58">
        <v>36</v>
      </c>
      <c r="Y262" s="55">
        <f t="shared" si="32"/>
        <v>36</v>
      </c>
      <c r="Z262" s="41">
        <f>IFERROR(IF(Y262=0,"",ROUNDUP(Y262/H262,0)*0.00502),"")</f>
        <v>0.1004</v>
      </c>
      <c r="AA262" s="68" t="s">
        <v>46</v>
      </c>
      <c r="AB262" s="69" t="s">
        <v>46</v>
      </c>
      <c r="AC262" s="340" t="s">
        <v>437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37.999999999999993</v>
      </c>
      <c r="BN262" s="78">
        <f t="shared" si="34"/>
        <v>37.999999999999993</v>
      </c>
      <c r="BO262" s="78">
        <f t="shared" si="35"/>
        <v>8.5470085470085472E-2</v>
      </c>
      <c r="BP262" s="78">
        <f t="shared" si="36"/>
        <v>8.5470085470085472E-2</v>
      </c>
    </row>
    <row r="263" spans="1:68" x14ac:dyDescent="0.2">
      <c r="A263" s="687"/>
      <c r="B263" s="687"/>
      <c r="C263" s="687"/>
      <c r="D263" s="687"/>
      <c r="E263" s="687"/>
      <c r="F263" s="687"/>
      <c r="G263" s="687"/>
      <c r="H263" s="687"/>
      <c r="I263" s="687"/>
      <c r="J263" s="687"/>
      <c r="K263" s="687"/>
      <c r="L263" s="687"/>
      <c r="M263" s="687"/>
      <c r="N263" s="687"/>
      <c r="O263" s="688"/>
      <c r="P263" s="684" t="s">
        <v>40</v>
      </c>
      <c r="Q263" s="685"/>
      <c r="R263" s="685"/>
      <c r="S263" s="685"/>
      <c r="T263" s="685"/>
      <c r="U263" s="685"/>
      <c r="V263" s="686"/>
      <c r="W263" s="42" t="s">
        <v>39</v>
      </c>
      <c r="X263" s="43">
        <f>IFERROR(X255/H255,"0")+IFERROR(X256/H256,"0")+IFERROR(X257/H257,"0")+IFERROR(X258/H258,"0")+IFERROR(X259/H259,"0")+IFERROR(X260/H260,"0")+IFERROR(X261/H261,"0")+IFERROR(X262/H262,"0")</f>
        <v>226.48148148148147</v>
      </c>
      <c r="Y263" s="43">
        <f>IFERROR(Y255/H255,"0")+IFERROR(Y256/H256,"0")+IFERROR(Y257/H257,"0")+IFERROR(Y258/H258,"0")+IFERROR(Y259/H259,"0")+IFERROR(Y260/H260,"0")+IFERROR(Y261/H261,"0")+IFERROR(Y262/H262,"0")</f>
        <v>229</v>
      </c>
      <c r="Z263" s="43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1.34958</v>
      </c>
      <c r="AA263" s="67"/>
      <c r="AB263" s="67"/>
      <c r="AC263" s="67"/>
    </row>
    <row r="264" spans="1:68" x14ac:dyDescent="0.2">
      <c r="A264" s="687"/>
      <c r="B264" s="687"/>
      <c r="C264" s="687"/>
      <c r="D264" s="687"/>
      <c r="E264" s="687"/>
      <c r="F264" s="687"/>
      <c r="G264" s="687"/>
      <c r="H264" s="687"/>
      <c r="I264" s="687"/>
      <c r="J264" s="687"/>
      <c r="K264" s="687"/>
      <c r="L264" s="687"/>
      <c r="M264" s="687"/>
      <c r="N264" s="687"/>
      <c r="O264" s="688"/>
      <c r="P264" s="684" t="s">
        <v>40</v>
      </c>
      <c r="Q264" s="685"/>
      <c r="R264" s="685"/>
      <c r="S264" s="685"/>
      <c r="T264" s="685"/>
      <c r="U264" s="685"/>
      <c r="V264" s="686"/>
      <c r="W264" s="42" t="s">
        <v>0</v>
      </c>
      <c r="X264" s="43">
        <f>IFERROR(SUM(X255:X262),"0")</f>
        <v>581</v>
      </c>
      <c r="Y264" s="43">
        <f>IFERROR(SUM(Y255:Y262),"0")</f>
        <v>592.20000000000005</v>
      </c>
      <c r="Z264" s="42"/>
      <c r="AA264" s="67"/>
      <c r="AB264" s="67"/>
      <c r="AC264" s="67"/>
    </row>
    <row r="265" spans="1:68" ht="14.25" hidden="1" customHeight="1" x14ac:dyDescent="0.25">
      <c r="A265" s="678" t="s">
        <v>86</v>
      </c>
      <c r="B265" s="678"/>
      <c r="C265" s="678"/>
      <c r="D265" s="678"/>
      <c r="E265" s="678"/>
      <c r="F265" s="678"/>
      <c r="G265" s="678"/>
      <c r="H265" s="678"/>
      <c r="I265" s="678"/>
      <c r="J265" s="678"/>
      <c r="K265" s="678"/>
      <c r="L265" s="678"/>
      <c r="M265" s="678"/>
      <c r="N265" s="678"/>
      <c r="O265" s="678"/>
      <c r="P265" s="678"/>
      <c r="Q265" s="678"/>
      <c r="R265" s="678"/>
      <c r="S265" s="678"/>
      <c r="T265" s="678"/>
      <c r="U265" s="678"/>
      <c r="V265" s="678"/>
      <c r="W265" s="678"/>
      <c r="X265" s="678"/>
      <c r="Y265" s="678"/>
      <c r="Z265" s="678"/>
      <c r="AA265" s="66"/>
      <c r="AB265" s="66"/>
      <c r="AC265" s="80"/>
    </row>
    <row r="266" spans="1:68" ht="27" hidden="1" customHeight="1" x14ac:dyDescent="0.25">
      <c r="A266" s="63" t="s">
        <v>446</v>
      </c>
      <c r="B266" s="63" t="s">
        <v>447</v>
      </c>
      <c r="C266" s="36">
        <v>4301051408</v>
      </c>
      <c r="D266" s="679">
        <v>4680115881594</v>
      </c>
      <c r="E266" s="679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133</v>
      </c>
      <c r="L266" s="37" t="s">
        <v>46</v>
      </c>
      <c r="M266" s="38" t="s">
        <v>90</v>
      </c>
      <c r="N266" s="38"/>
      <c r="O266" s="37">
        <v>40</v>
      </c>
      <c r="P266" s="8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81"/>
      <c r="R266" s="681"/>
      <c r="S266" s="681"/>
      <c r="T266" s="68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7" si="37"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ref="BM266:BM277" si="38">IFERROR(X266*I266/H266,"0")</f>
        <v>0</v>
      </c>
      <c r="BN266" s="78">
        <f t="shared" ref="BN266:BN277" si="39">IFERROR(Y266*I266/H266,"0")</f>
        <v>0</v>
      </c>
      <c r="BO266" s="78">
        <f t="shared" ref="BO266:BO277" si="40">IFERROR(1/J266*(X266/H266),"0")</f>
        <v>0</v>
      </c>
      <c r="BP266" s="78">
        <f t="shared" ref="BP266:BP277" si="41">IFERROR(1/J266*(Y266/H266),"0")</f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4301051411</v>
      </c>
      <c r="D267" s="679">
        <v>4680115881617</v>
      </c>
      <c r="E267" s="679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133</v>
      </c>
      <c r="L267" s="37" t="s">
        <v>46</v>
      </c>
      <c r="M267" s="38" t="s">
        <v>90</v>
      </c>
      <c r="N267" s="38"/>
      <c r="O267" s="37">
        <v>40</v>
      </c>
      <c r="P267" s="8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81"/>
      <c r="R267" s="681"/>
      <c r="S267" s="681"/>
      <c r="T267" s="68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4301051656</v>
      </c>
      <c r="D268" s="679">
        <v>4680115880573</v>
      </c>
      <c r="E268" s="679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133</v>
      </c>
      <c r="L268" s="37" t="s">
        <v>46</v>
      </c>
      <c r="M268" s="38" t="s">
        <v>90</v>
      </c>
      <c r="N268" s="38"/>
      <c r="O268" s="37">
        <v>45</v>
      </c>
      <c r="P268" s="81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81"/>
      <c r="R268" s="681"/>
      <c r="S268" s="681"/>
      <c r="T268" s="682"/>
      <c r="U268" s="39" t="s">
        <v>46</v>
      </c>
      <c r="V268" s="39" t="s">
        <v>46</v>
      </c>
      <c r="W268" s="40" t="s">
        <v>0</v>
      </c>
      <c r="X268" s="58">
        <v>500</v>
      </c>
      <c r="Y268" s="55">
        <f t="shared" si="37"/>
        <v>504.59999999999997</v>
      </c>
      <c r="Z268" s="41">
        <f>IFERROR(IF(Y268=0,"",ROUNDUP(Y268/H268,0)*0.01898),"")</f>
        <v>1.10084</v>
      </c>
      <c r="AA268" s="68" t="s">
        <v>46</v>
      </c>
      <c r="AB268" s="69" t="s">
        <v>46</v>
      </c>
      <c r="AC268" s="346" t="s">
        <v>454</v>
      </c>
      <c r="AG268" s="78"/>
      <c r="AJ268" s="84" t="s">
        <v>46</v>
      </c>
      <c r="AK268" s="84">
        <v>0</v>
      </c>
      <c r="BB268" s="347" t="s">
        <v>67</v>
      </c>
      <c r="BM268" s="78">
        <f t="shared" si="38"/>
        <v>528.39080459770116</v>
      </c>
      <c r="BN268" s="78">
        <f t="shared" si="39"/>
        <v>533.25200000000007</v>
      </c>
      <c r="BO268" s="78">
        <f t="shared" si="40"/>
        <v>0.89798850574712652</v>
      </c>
      <c r="BP268" s="78">
        <f t="shared" si="41"/>
        <v>0.90625</v>
      </c>
    </row>
    <row r="269" spans="1:68" ht="27" customHeight="1" x14ac:dyDescent="0.25">
      <c r="A269" s="63" t="s">
        <v>455</v>
      </c>
      <c r="B269" s="63" t="s">
        <v>456</v>
      </c>
      <c r="C269" s="36">
        <v>4301051407</v>
      </c>
      <c r="D269" s="679">
        <v>4680115882195</v>
      </c>
      <c r="E269" s="679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91</v>
      </c>
      <c r="L269" s="37" t="s">
        <v>46</v>
      </c>
      <c r="M269" s="38" t="s">
        <v>90</v>
      </c>
      <c r="N269" s="38"/>
      <c r="O269" s="37">
        <v>40</v>
      </c>
      <c r="P269" s="81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81"/>
      <c r="R269" s="681"/>
      <c r="S269" s="681"/>
      <c r="T269" s="682"/>
      <c r="U269" s="39" t="s">
        <v>46</v>
      </c>
      <c r="V269" s="39" t="s">
        <v>46</v>
      </c>
      <c r="W269" s="40" t="s">
        <v>0</v>
      </c>
      <c r="X269" s="58">
        <v>400</v>
      </c>
      <c r="Y269" s="55">
        <f t="shared" si="37"/>
        <v>400.8</v>
      </c>
      <c r="Z269" s="41">
        <f>IFERROR(IF(Y269=0,"",ROUNDUP(Y269/H269,0)*0.00651),"")</f>
        <v>1.08717</v>
      </c>
      <c r="AA269" s="68" t="s">
        <v>46</v>
      </c>
      <c r="AB269" s="69" t="s">
        <v>46</v>
      </c>
      <c r="AC269" s="348" t="s">
        <v>448</v>
      </c>
      <c r="AG269" s="78"/>
      <c r="AJ269" s="84" t="s">
        <v>46</v>
      </c>
      <c r="AK269" s="84">
        <v>0</v>
      </c>
      <c r="BB269" s="349" t="s">
        <v>67</v>
      </c>
      <c r="BM269" s="78">
        <f t="shared" si="38"/>
        <v>445</v>
      </c>
      <c r="BN269" s="78">
        <f t="shared" si="39"/>
        <v>445.89</v>
      </c>
      <c r="BO269" s="78">
        <f t="shared" si="40"/>
        <v>0.91575091575091594</v>
      </c>
      <c r="BP269" s="78">
        <f t="shared" si="41"/>
        <v>0.91758241758241765</v>
      </c>
    </row>
    <row r="270" spans="1:68" ht="27" hidden="1" customHeight="1" x14ac:dyDescent="0.25">
      <c r="A270" s="63" t="s">
        <v>457</v>
      </c>
      <c r="B270" s="63" t="s">
        <v>458</v>
      </c>
      <c r="C270" s="36">
        <v>4301051752</v>
      </c>
      <c r="D270" s="679">
        <v>4680115882607</v>
      </c>
      <c r="E270" s="679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91</v>
      </c>
      <c r="L270" s="37" t="s">
        <v>46</v>
      </c>
      <c r="M270" s="38" t="s">
        <v>97</v>
      </c>
      <c r="N270" s="38"/>
      <c r="O270" s="37">
        <v>45</v>
      </c>
      <c r="P270" s="8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81"/>
      <c r="R270" s="681"/>
      <c r="S270" s="681"/>
      <c r="T270" s="68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7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454</v>
      </c>
      <c r="AG270" s="78"/>
      <c r="AJ270" s="84" t="s">
        <v>46</v>
      </c>
      <c r="AK270" s="84">
        <v>0</v>
      </c>
      <c r="BB270" s="351" t="s">
        <v>67</v>
      </c>
      <c r="BM270" s="78">
        <f t="shared" si="38"/>
        <v>0</v>
      </c>
      <c r="BN270" s="78">
        <f t="shared" si="39"/>
        <v>0</v>
      </c>
      <c r="BO270" s="78">
        <f t="shared" si="40"/>
        <v>0</v>
      </c>
      <c r="BP270" s="78">
        <f t="shared" si="41"/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4301052143</v>
      </c>
      <c r="D271" s="679">
        <v>4680115882607</v>
      </c>
      <c r="E271" s="679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140</v>
      </c>
      <c r="L271" s="37" t="s">
        <v>46</v>
      </c>
      <c r="M271" s="38" t="s">
        <v>90</v>
      </c>
      <c r="N271" s="38"/>
      <c r="O271" s="37">
        <v>45</v>
      </c>
      <c r="P271" s="8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81"/>
      <c r="R271" s="681"/>
      <c r="S271" s="681"/>
      <c r="T271" s="68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4301051666</v>
      </c>
      <c r="D272" s="679">
        <v>4680115880092</v>
      </c>
      <c r="E272" s="67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91</v>
      </c>
      <c r="L272" s="37" t="s">
        <v>46</v>
      </c>
      <c r="M272" s="38" t="s">
        <v>90</v>
      </c>
      <c r="N272" s="38"/>
      <c r="O272" s="37">
        <v>45</v>
      </c>
      <c r="P272" s="8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81"/>
      <c r="R272" s="681"/>
      <c r="S272" s="681"/>
      <c r="T272" s="682"/>
      <c r="U272" s="39" t="s">
        <v>46</v>
      </c>
      <c r="V272" s="39" t="s">
        <v>46</v>
      </c>
      <c r="W272" s="40" t="s">
        <v>0</v>
      </c>
      <c r="X272" s="58">
        <v>440</v>
      </c>
      <c r="Y272" s="55">
        <f t="shared" si="37"/>
        <v>441.59999999999997</v>
      </c>
      <c r="Z272" s="41">
        <f>IFERROR(IF(Y272=0,"",ROUNDUP(Y272/H272,0)*0.00651),"")</f>
        <v>1.19784</v>
      </c>
      <c r="AA272" s="68" t="s">
        <v>46</v>
      </c>
      <c r="AB272" s="69" t="s">
        <v>46</v>
      </c>
      <c r="AC272" s="354" t="s">
        <v>454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486.20000000000005</v>
      </c>
      <c r="BN272" s="78">
        <f t="shared" si="39"/>
        <v>487.96800000000002</v>
      </c>
      <c r="BO272" s="78">
        <f t="shared" si="40"/>
        <v>1.0073260073260075</v>
      </c>
      <c r="BP272" s="78">
        <f t="shared" si="41"/>
        <v>1.0109890109890112</v>
      </c>
    </row>
    <row r="273" spans="1:68" ht="27" hidden="1" customHeight="1" x14ac:dyDescent="0.25">
      <c r="A273" s="63" t="s">
        <v>464</v>
      </c>
      <c r="B273" s="63" t="s">
        <v>465</v>
      </c>
      <c r="C273" s="36">
        <v>4301052214</v>
      </c>
      <c r="D273" s="679">
        <v>4680115889064</v>
      </c>
      <c r="E273" s="679"/>
      <c r="F273" s="62">
        <v>0.7</v>
      </c>
      <c r="G273" s="37">
        <v>6</v>
      </c>
      <c r="H273" s="62">
        <v>4.2</v>
      </c>
      <c r="I273" s="62">
        <v>4.6159999999999997</v>
      </c>
      <c r="J273" s="37">
        <v>104</v>
      </c>
      <c r="K273" s="37" t="s">
        <v>133</v>
      </c>
      <c r="L273" s="37" t="s">
        <v>46</v>
      </c>
      <c r="M273" s="38" t="s">
        <v>90</v>
      </c>
      <c r="N273" s="38"/>
      <c r="O273" s="37">
        <v>45</v>
      </c>
      <c r="P273" s="82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81"/>
      <c r="R273" s="681"/>
      <c r="S273" s="681"/>
      <c r="T273" s="68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IFERROR(IF(Y273=0,"",ROUNDUP(Y273/H273,0)*0.01196),"")</f>
        <v/>
      </c>
      <c r="AA273" s="68" t="s">
        <v>46</v>
      </c>
      <c r="AB273" s="69" t="s">
        <v>46</v>
      </c>
      <c r="AC273" s="356" t="s">
        <v>461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4301051668</v>
      </c>
      <c r="D274" s="679">
        <v>4680115880221</v>
      </c>
      <c r="E274" s="679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91</v>
      </c>
      <c r="L274" s="37" t="s">
        <v>46</v>
      </c>
      <c r="M274" s="38" t="s">
        <v>90</v>
      </c>
      <c r="N274" s="38"/>
      <c r="O274" s="37">
        <v>45</v>
      </c>
      <c r="P274" s="82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81"/>
      <c r="R274" s="681"/>
      <c r="S274" s="681"/>
      <c r="T274" s="68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454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468</v>
      </c>
      <c r="B275" s="63" t="s">
        <v>469</v>
      </c>
      <c r="C275" s="36">
        <v>4301051945</v>
      </c>
      <c r="D275" s="679">
        <v>4680115880504</v>
      </c>
      <c r="E275" s="679"/>
      <c r="F275" s="62">
        <v>0.4</v>
      </c>
      <c r="G275" s="37">
        <v>6</v>
      </c>
      <c r="H275" s="62">
        <v>2.4</v>
      </c>
      <c r="I275" s="62">
        <v>2.6520000000000001</v>
      </c>
      <c r="J275" s="37">
        <v>182</v>
      </c>
      <c r="K275" s="37" t="s">
        <v>91</v>
      </c>
      <c r="L275" s="37" t="s">
        <v>46</v>
      </c>
      <c r="M275" s="38" t="s">
        <v>97</v>
      </c>
      <c r="N275" s="38"/>
      <c r="O275" s="37">
        <v>40</v>
      </c>
      <c r="P275" s="82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81"/>
      <c r="R275" s="681"/>
      <c r="S275" s="681"/>
      <c r="T275" s="682"/>
      <c r="U275" s="39" t="s">
        <v>46</v>
      </c>
      <c r="V275" s="39" t="s">
        <v>46</v>
      </c>
      <c r="W275" s="40" t="s">
        <v>0</v>
      </c>
      <c r="X275" s="58">
        <v>200</v>
      </c>
      <c r="Y275" s="55">
        <f t="shared" si="37"/>
        <v>201.6</v>
      </c>
      <c r="Z275" s="41">
        <f>IFERROR(IF(Y275=0,"",ROUNDUP(Y275/H275,0)*0.00651),"")</f>
        <v>0.54683999999999999</v>
      </c>
      <c r="AA275" s="68" t="s">
        <v>46</v>
      </c>
      <c r="AB275" s="69" t="s">
        <v>46</v>
      </c>
      <c r="AC275" s="360" t="s">
        <v>470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221</v>
      </c>
      <c r="BN275" s="78">
        <f t="shared" si="39"/>
        <v>222.768</v>
      </c>
      <c r="BO275" s="78">
        <f t="shared" si="40"/>
        <v>0.45787545787545797</v>
      </c>
      <c r="BP275" s="78">
        <f t="shared" si="41"/>
        <v>0.46153846153846156</v>
      </c>
    </row>
    <row r="276" spans="1:68" ht="27" customHeight="1" x14ac:dyDescent="0.25">
      <c r="A276" s="63" t="s">
        <v>471</v>
      </c>
      <c r="B276" s="63" t="s">
        <v>472</v>
      </c>
      <c r="C276" s="36">
        <v>4301051410</v>
      </c>
      <c r="D276" s="679">
        <v>4680115882164</v>
      </c>
      <c r="E276" s="679"/>
      <c r="F276" s="62">
        <v>0.4</v>
      </c>
      <c r="G276" s="37">
        <v>6</v>
      </c>
      <c r="H276" s="62">
        <v>2.4</v>
      </c>
      <c r="I276" s="62">
        <v>2.6579999999999999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40</v>
      </c>
      <c r="P276" s="82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81"/>
      <c r="R276" s="681"/>
      <c r="S276" s="681"/>
      <c r="T276" s="682"/>
      <c r="U276" s="39" t="s">
        <v>46</v>
      </c>
      <c r="V276" s="39" t="s">
        <v>46</v>
      </c>
      <c r="W276" s="40" t="s">
        <v>0</v>
      </c>
      <c r="X276" s="58">
        <v>280</v>
      </c>
      <c r="Y276" s="55">
        <f t="shared" si="37"/>
        <v>280.8</v>
      </c>
      <c r="Z276" s="41">
        <f>IFERROR(IF(Y276=0,"",ROUNDUP(Y276/H276,0)*0.00651),"")</f>
        <v>0.76167000000000007</v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310.10000000000002</v>
      </c>
      <c r="BN276" s="78">
        <f t="shared" si="39"/>
        <v>310.98599999999999</v>
      </c>
      <c r="BO276" s="78">
        <f t="shared" si="40"/>
        <v>0.64102564102564108</v>
      </c>
      <c r="BP276" s="78">
        <f t="shared" si="41"/>
        <v>0.64285714285714302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4301052180</v>
      </c>
      <c r="D277" s="679">
        <v>4680115888340</v>
      </c>
      <c r="E277" s="67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91</v>
      </c>
      <c r="L277" s="37" t="s">
        <v>46</v>
      </c>
      <c r="M277" s="38" t="s">
        <v>90</v>
      </c>
      <c r="N277" s="38"/>
      <c r="O277" s="37">
        <v>45</v>
      </c>
      <c r="P277" s="82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81"/>
      <c r="R277" s="681"/>
      <c r="S277" s="681"/>
      <c r="T277" s="68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x14ac:dyDescent="0.2">
      <c r="A278" s="687"/>
      <c r="B278" s="687"/>
      <c r="C278" s="687"/>
      <c r="D278" s="687"/>
      <c r="E278" s="687"/>
      <c r="F278" s="687"/>
      <c r="G278" s="687"/>
      <c r="H278" s="687"/>
      <c r="I278" s="687"/>
      <c r="J278" s="687"/>
      <c r="K278" s="687"/>
      <c r="L278" s="687"/>
      <c r="M278" s="687"/>
      <c r="N278" s="687"/>
      <c r="O278" s="688"/>
      <c r="P278" s="684" t="s">
        <v>40</v>
      </c>
      <c r="Q278" s="685"/>
      <c r="R278" s="685"/>
      <c r="S278" s="685"/>
      <c r="T278" s="685"/>
      <c r="U278" s="685"/>
      <c r="V278" s="686"/>
      <c r="W278" s="42" t="s">
        <v>39</v>
      </c>
      <c r="X278" s="43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607.47126436781616</v>
      </c>
      <c r="Y278" s="43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610</v>
      </c>
      <c r="Z278" s="43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4.6943600000000005</v>
      </c>
      <c r="AA278" s="67"/>
      <c r="AB278" s="67"/>
      <c r="AC278" s="67"/>
    </row>
    <row r="279" spans="1:68" x14ac:dyDescent="0.2">
      <c r="A279" s="687"/>
      <c r="B279" s="687"/>
      <c r="C279" s="687"/>
      <c r="D279" s="687"/>
      <c r="E279" s="687"/>
      <c r="F279" s="687"/>
      <c r="G279" s="687"/>
      <c r="H279" s="687"/>
      <c r="I279" s="687"/>
      <c r="J279" s="687"/>
      <c r="K279" s="687"/>
      <c r="L279" s="687"/>
      <c r="M279" s="687"/>
      <c r="N279" s="687"/>
      <c r="O279" s="688"/>
      <c r="P279" s="684" t="s">
        <v>40</v>
      </c>
      <c r="Q279" s="685"/>
      <c r="R279" s="685"/>
      <c r="S279" s="685"/>
      <c r="T279" s="685"/>
      <c r="U279" s="685"/>
      <c r="V279" s="686"/>
      <c r="W279" s="42" t="s">
        <v>0</v>
      </c>
      <c r="X279" s="43">
        <f>IFERROR(SUM(X266:X277),"0")</f>
        <v>1820</v>
      </c>
      <c r="Y279" s="43">
        <f>IFERROR(SUM(Y266:Y277),"0")</f>
        <v>1829.3999999999999</v>
      </c>
      <c r="Z279" s="42"/>
      <c r="AA279" s="67"/>
      <c r="AB279" s="67"/>
      <c r="AC279" s="67"/>
    </row>
    <row r="280" spans="1:68" ht="14.25" hidden="1" customHeight="1" x14ac:dyDescent="0.25">
      <c r="A280" s="678" t="s">
        <v>180</v>
      </c>
      <c r="B280" s="678"/>
      <c r="C280" s="678"/>
      <c r="D280" s="678"/>
      <c r="E280" s="678"/>
      <c r="F280" s="678"/>
      <c r="G280" s="678"/>
      <c r="H280" s="678"/>
      <c r="I280" s="678"/>
      <c r="J280" s="678"/>
      <c r="K280" s="678"/>
      <c r="L280" s="678"/>
      <c r="M280" s="678"/>
      <c r="N280" s="678"/>
      <c r="O280" s="678"/>
      <c r="P280" s="678"/>
      <c r="Q280" s="678"/>
      <c r="R280" s="678"/>
      <c r="S280" s="678"/>
      <c r="T280" s="678"/>
      <c r="U280" s="678"/>
      <c r="V280" s="678"/>
      <c r="W280" s="678"/>
      <c r="X280" s="678"/>
      <c r="Y280" s="678"/>
      <c r="Z280" s="678"/>
      <c r="AA280" s="66"/>
      <c r="AB280" s="66"/>
      <c r="AC280" s="80"/>
    </row>
    <row r="281" spans="1:68" ht="27" customHeight="1" x14ac:dyDescent="0.25">
      <c r="A281" s="63" t="s">
        <v>477</v>
      </c>
      <c r="B281" s="63" t="s">
        <v>478</v>
      </c>
      <c r="C281" s="36">
        <v>4301060463</v>
      </c>
      <c r="D281" s="679">
        <v>4680115880818</v>
      </c>
      <c r="E281" s="67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40</v>
      </c>
      <c r="P281" s="8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81"/>
      <c r="R281" s="681"/>
      <c r="S281" s="681"/>
      <c r="T281" s="682"/>
      <c r="U281" s="39" t="s">
        <v>46</v>
      </c>
      <c r="V281" s="39" t="s">
        <v>46</v>
      </c>
      <c r="W281" s="40" t="s">
        <v>0</v>
      </c>
      <c r="X281" s="58">
        <v>100</v>
      </c>
      <c r="Y281" s="55">
        <f>IFERROR(IF(X281="",0,CEILING((X281/$H281),1)*$H281),"")</f>
        <v>100.8</v>
      </c>
      <c r="Z281" s="41">
        <f>IFERROR(IF(Y281=0,"",ROUNDUP(Y281/H281,0)*0.00651),"")</f>
        <v>0.27342</v>
      </c>
      <c r="AA281" s="68" t="s">
        <v>46</v>
      </c>
      <c r="AB281" s="69" t="s">
        <v>46</v>
      </c>
      <c r="AC281" s="366" t="s">
        <v>479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110.5</v>
      </c>
      <c r="BN281" s="78">
        <f>IFERROR(Y281*I281/H281,"0")</f>
        <v>111.384</v>
      </c>
      <c r="BO281" s="78">
        <f>IFERROR(1/J281*(X281/H281),"0")</f>
        <v>0.22893772893772898</v>
      </c>
      <c r="BP281" s="78">
        <f>IFERROR(1/J281*(Y281/H281),"0")</f>
        <v>0.23076923076923078</v>
      </c>
    </row>
    <row r="282" spans="1:68" ht="27" customHeight="1" x14ac:dyDescent="0.25">
      <c r="A282" s="63" t="s">
        <v>480</v>
      </c>
      <c r="B282" s="63" t="s">
        <v>481</v>
      </c>
      <c r="C282" s="36">
        <v>4301060389</v>
      </c>
      <c r="D282" s="679">
        <v>4680115880801</v>
      </c>
      <c r="E282" s="67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40</v>
      </c>
      <c r="P282" s="8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81"/>
      <c r="R282" s="681"/>
      <c r="S282" s="681"/>
      <c r="T282" s="682"/>
      <c r="U282" s="39" t="s">
        <v>46</v>
      </c>
      <c r="V282" s="39" t="s">
        <v>46</v>
      </c>
      <c r="W282" s="40" t="s">
        <v>0</v>
      </c>
      <c r="X282" s="58">
        <v>180</v>
      </c>
      <c r="Y282" s="55">
        <f>IFERROR(IF(X282="",0,CEILING((X282/$H282),1)*$H282),"")</f>
        <v>180</v>
      </c>
      <c r="Z282" s="41">
        <f>IFERROR(IF(Y282=0,"",ROUNDUP(Y282/H282,0)*0.00651),"")</f>
        <v>0.48825000000000002</v>
      </c>
      <c r="AA282" s="68" t="s">
        <v>46</v>
      </c>
      <c r="AB282" s="69" t="s">
        <v>46</v>
      </c>
      <c r="AC282" s="368" t="s">
        <v>482</v>
      </c>
      <c r="AG282" s="78"/>
      <c r="AJ282" s="84" t="s">
        <v>46</v>
      </c>
      <c r="AK282" s="84">
        <v>0</v>
      </c>
      <c r="BB282" s="369" t="s">
        <v>67</v>
      </c>
      <c r="BM282" s="78">
        <f>IFERROR(X282*I282/H282,"0")</f>
        <v>198.9</v>
      </c>
      <c r="BN282" s="78">
        <f>IFERROR(Y282*I282/H282,"0")</f>
        <v>198.9</v>
      </c>
      <c r="BO282" s="78">
        <f>IFERROR(1/J282*(X282/H282),"0")</f>
        <v>0.41208791208791212</v>
      </c>
      <c r="BP282" s="78">
        <f>IFERROR(1/J282*(Y282/H282),"0")</f>
        <v>0.41208791208791212</v>
      </c>
    </row>
    <row r="283" spans="1:68" x14ac:dyDescent="0.2">
      <c r="A283" s="687"/>
      <c r="B283" s="687"/>
      <c r="C283" s="687"/>
      <c r="D283" s="687"/>
      <c r="E283" s="687"/>
      <c r="F283" s="687"/>
      <c r="G283" s="687"/>
      <c r="H283" s="687"/>
      <c r="I283" s="687"/>
      <c r="J283" s="687"/>
      <c r="K283" s="687"/>
      <c r="L283" s="687"/>
      <c r="M283" s="687"/>
      <c r="N283" s="687"/>
      <c r="O283" s="688"/>
      <c r="P283" s="684" t="s">
        <v>40</v>
      </c>
      <c r="Q283" s="685"/>
      <c r="R283" s="685"/>
      <c r="S283" s="685"/>
      <c r="T283" s="685"/>
      <c r="U283" s="685"/>
      <c r="V283" s="686"/>
      <c r="W283" s="42" t="s">
        <v>39</v>
      </c>
      <c r="X283" s="43">
        <f>IFERROR(X281/H281,"0")+IFERROR(X282/H282,"0")</f>
        <v>116.66666666666667</v>
      </c>
      <c r="Y283" s="43">
        <f>IFERROR(Y281/H281,"0")+IFERROR(Y282/H282,"0")</f>
        <v>117</v>
      </c>
      <c r="Z283" s="43">
        <f>IFERROR(IF(Z281="",0,Z281),"0")+IFERROR(IF(Z282="",0,Z282),"0")</f>
        <v>0.76167000000000007</v>
      </c>
      <c r="AA283" s="67"/>
      <c r="AB283" s="67"/>
      <c r="AC283" s="67"/>
    </row>
    <row r="284" spans="1:68" x14ac:dyDescent="0.2">
      <c r="A284" s="687"/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8"/>
      <c r="P284" s="684" t="s">
        <v>40</v>
      </c>
      <c r="Q284" s="685"/>
      <c r="R284" s="685"/>
      <c r="S284" s="685"/>
      <c r="T284" s="685"/>
      <c r="U284" s="685"/>
      <c r="V284" s="686"/>
      <c r="W284" s="42" t="s">
        <v>0</v>
      </c>
      <c r="X284" s="43">
        <f>IFERROR(SUM(X281:X282),"0")</f>
        <v>280</v>
      </c>
      <c r="Y284" s="43">
        <f>IFERROR(SUM(Y281:Y282),"0")</f>
        <v>280.8</v>
      </c>
      <c r="Z284" s="42"/>
      <c r="AA284" s="67"/>
      <c r="AB284" s="67"/>
      <c r="AC284" s="67"/>
    </row>
    <row r="285" spans="1:68" ht="16.5" hidden="1" customHeight="1" x14ac:dyDescent="0.25">
      <c r="A285" s="677" t="s">
        <v>483</v>
      </c>
      <c r="B285" s="677"/>
      <c r="C285" s="677"/>
      <c r="D285" s="677"/>
      <c r="E285" s="677"/>
      <c r="F285" s="677"/>
      <c r="G285" s="677"/>
      <c r="H285" s="677"/>
      <c r="I285" s="677"/>
      <c r="J285" s="677"/>
      <c r="K285" s="677"/>
      <c r="L285" s="677"/>
      <c r="M285" s="677"/>
      <c r="N285" s="677"/>
      <c r="O285" s="677"/>
      <c r="P285" s="677"/>
      <c r="Q285" s="677"/>
      <c r="R285" s="677"/>
      <c r="S285" s="677"/>
      <c r="T285" s="677"/>
      <c r="U285" s="677"/>
      <c r="V285" s="677"/>
      <c r="W285" s="677"/>
      <c r="X285" s="677"/>
      <c r="Y285" s="677"/>
      <c r="Z285" s="677"/>
      <c r="AA285" s="65"/>
      <c r="AB285" s="65"/>
      <c r="AC285" s="79"/>
    </row>
    <row r="286" spans="1:68" ht="14.25" hidden="1" customHeight="1" x14ac:dyDescent="0.25">
      <c r="A286" s="678" t="s">
        <v>128</v>
      </c>
      <c r="B286" s="678"/>
      <c r="C286" s="678"/>
      <c r="D286" s="678"/>
      <c r="E286" s="678"/>
      <c r="F286" s="678"/>
      <c r="G286" s="678"/>
      <c r="H286" s="678"/>
      <c r="I286" s="678"/>
      <c r="J286" s="678"/>
      <c r="K286" s="678"/>
      <c r="L286" s="678"/>
      <c r="M286" s="678"/>
      <c r="N286" s="678"/>
      <c r="O286" s="678"/>
      <c r="P286" s="678"/>
      <c r="Q286" s="678"/>
      <c r="R286" s="678"/>
      <c r="S286" s="678"/>
      <c r="T286" s="678"/>
      <c r="U286" s="678"/>
      <c r="V286" s="678"/>
      <c r="W286" s="678"/>
      <c r="X286" s="678"/>
      <c r="Y286" s="678"/>
      <c r="Z286" s="678"/>
      <c r="AA286" s="66"/>
      <c r="AB286" s="66"/>
      <c r="AC286" s="80"/>
    </row>
    <row r="287" spans="1:68" ht="27" hidden="1" customHeight="1" x14ac:dyDescent="0.25">
      <c r="A287" s="63" t="s">
        <v>484</v>
      </c>
      <c r="B287" s="63" t="s">
        <v>485</v>
      </c>
      <c r="C287" s="36">
        <v>4301011826</v>
      </c>
      <c r="D287" s="679">
        <v>4680115884137</v>
      </c>
      <c r="E287" s="679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133</v>
      </c>
      <c r="L287" s="37" t="s">
        <v>46</v>
      </c>
      <c r="M287" s="38" t="s">
        <v>132</v>
      </c>
      <c r="N287" s="38"/>
      <c r="O287" s="37">
        <v>55</v>
      </c>
      <c r="P287" s="82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81"/>
      <c r="R287" s="681"/>
      <c r="S287" s="681"/>
      <c r="T287" s="68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3" si="42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486</v>
      </c>
      <c r="AG287" s="78"/>
      <c r="AJ287" s="84" t="s">
        <v>46</v>
      </c>
      <c r="AK287" s="84">
        <v>0</v>
      </c>
      <c r="BB287" s="371" t="s">
        <v>67</v>
      </c>
      <c r="BM287" s="78">
        <f t="shared" ref="BM287:BM293" si="43">IFERROR(X287*I287/H287,"0")</f>
        <v>0</v>
      </c>
      <c r="BN287" s="78">
        <f t="shared" ref="BN287:BN293" si="44">IFERROR(Y287*I287/H287,"0")</f>
        <v>0</v>
      </c>
      <c r="BO287" s="78">
        <f t="shared" ref="BO287:BO293" si="45">IFERROR(1/J287*(X287/H287),"0")</f>
        <v>0</v>
      </c>
      <c r="BP287" s="78">
        <f t="shared" ref="BP287:BP293" si="46">IFERROR(1/J287*(Y287/H287),"0")</f>
        <v>0</v>
      </c>
    </row>
    <row r="288" spans="1:68" ht="27" hidden="1" customHeight="1" x14ac:dyDescent="0.25">
      <c r="A288" s="63" t="s">
        <v>487</v>
      </c>
      <c r="B288" s="63" t="s">
        <v>488</v>
      </c>
      <c r="C288" s="36">
        <v>4301011724</v>
      </c>
      <c r="D288" s="679">
        <v>4680115884236</v>
      </c>
      <c r="E288" s="679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133</v>
      </c>
      <c r="L288" s="37" t="s">
        <v>46</v>
      </c>
      <c r="M288" s="38" t="s">
        <v>132</v>
      </c>
      <c r="N288" s="38"/>
      <c r="O288" s="37">
        <v>55</v>
      </c>
      <c r="P288" s="83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81"/>
      <c r="R288" s="681"/>
      <c r="S288" s="681"/>
      <c r="T288" s="68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489</v>
      </c>
      <c r="AG288" s="78"/>
      <c r="AJ288" s="84" t="s">
        <v>46</v>
      </c>
      <c r="AK288" s="84">
        <v>0</v>
      </c>
      <c r="BB288" s="373" t="s">
        <v>67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4301011721</v>
      </c>
      <c r="D289" s="679">
        <v>4680115884175</v>
      </c>
      <c r="E289" s="679"/>
      <c r="F289" s="62">
        <v>1.45</v>
      </c>
      <c r="G289" s="37">
        <v>8</v>
      </c>
      <c r="H289" s="62">
        <v>11.6</v>
      </c>
      <c r="I289" s="62">
        <v>12.01</v>
      </c>
      <c r="J289" s="37">
        <v>64</v>
      </c>
      <c r="K289" s="37" t="s">
        <v>133</v>
      </c>
      <c r="L289" s="37" t="s">
        <v>46</v>
      </c>
      <c r="M289" s="38" t="s">
        <v>132</v>
      </c>
      <c r="N289" s="38"/>
      <c r="O289" s="37">
        <v>55</v>
      </c>
      <c r="P289" s="8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81"/>
      <c r="R289" s="681"/>
      <c r="S289" s="681"/>
      <c r="T289" s="68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74" t="s">
        <v>344</v>
      </c>
      <c r="AG289" s="78"/>
      <c r="AJ289" s="84" t="s">
        <v>46</v>
      </c>
      <c r="AK289" s="84">
        <v>0</v>
      </c>
      <c r="BB289" s="375" t="s">
        <v>67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4301011824</v>
      </c>
      <c r="D290" s="679">
        <v>4680115884144</v>
      </c>
      <c r="E290" s="679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140</v>
      </c>
      <c r="L290" s="37" t="s">
        <v>46</v>
      </c>
      <c r="M290" s="38" t="s">
        <v>132</v>
      </c>
      <c r="N290" s="38"/>
      <c r="O290" s="37">
        <v>55</v>
      </c>
      <c r="P290" s="8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81"/>
      <c r="R290" s="681"/>
      <c r="S290" s="681"/>
      <c r="T290" s="682"/>
      <c r="U290" s="39" t="s">
        <v>46</v>
      </c>
      <c r="V290" s="39" t="s">
        <v>46</v>
      </c>
      <c r="W290" s="40" t="s">
        <v>0</v>
      </c>
      <c r="X290" s="58">
        <v>28</v>
      </c>
      <c r="Y290" s="55">
        <f t="shared" si="42"/>
        <v>28</v>
      </c>
      <c r="Z290" s="41">
        <f>IFERROR(IF(Y290=0,"",ROUNDUP(Y290/H290,0)*0.00902),"")</f>
        <v>6.3140000000000002E-2</v>
      </c>
      <c r="AA290" s="68" t="s">
        <v>46</v>
      </c>
      <c r="AB290" s="69" t="s">
        <v>46</v>
      </c>
      <c r="AC290" s="376" t="s">
        <v>486</v>
      </c>
      <c r="AG290" s="78"/>
      <c r="AJ290" s="84" t="s">
        <v>46</v>
      </c>
      <c r="AK290" s="84">
        <v>0</v>
      </c>
      <c r="BB290" s="377" t="s">
        <v>67</v>
      </c>
      <c r="BM290" s="78">
        <f t="shared" si="43"/>
        <v>29.330000000000002</v>
      </c>
      <c r="BN290" s="78">
        <f t="shared" si="44"/>
        <v>29.330000000000002</v>
      </c>
      <c r="BO290" s="78">
        <f t="shared" si="45"/>
        <v>5.3030303030303032E-2</v>
      </c>
      <c r="BP290" s="78">
        <f t="shared" si="46"/>
        <v>5.3030303030303032E-2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4301012149</v>
      </c>
      <c r="D291" s="679">
        <v>4680115886551</v>
      </c>
      <c r="E291" s="679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140</v>
      </c>
      <c r="L291" s="37" t="s">
        <v>46</v>
      </c>
      <c r="M291" s="38" t="s">
        <v>132</v>
      </c>
      <c r="N291" s="38"/>
      <c r="O291" s="37">
        <v>55</v>
      </c>
      <c r="P291" s="8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81"/>
      <c r="R291" s="681"/>
      <c r="S291" s="681"/>
      <c r="T291" s="68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2"/>
        <v>0</v>
      </c>
      <c r="Z291" s="41" t="str">
        <f>IFERROR(IF(Y291=0,"",ROUNDUP(Y291/H291,0)*0.00902),"")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si="43"/>
        <v>0</v>
      </c>
      <c r="BN291" s="78">
        <f t="shared" si="44"/>
        <v>0</v>
      </c>
      <c r="BO291" s="78">
        <f t="shared" si="45"/>
        <v>0</v>
      </c>
      <c r="BP291" s="78">
        <f t="shared" si="46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4301012228</v>
      </c>
      <c r="D292" s="679">
        <v>4680115887282</v>
      </c>
      <c r="E292" s="679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91</v>
      </c>
      <c r="L292" s="37" t="s">
        <v>46</v>
      </c>
      <c r="M292" s="38" t="s">
        <v>132</v>
      </c>
      <c r="N292" s="38"/>
      <c r="O292" s="37">
        <v>55</v>
      </c>
      <c r="P292" s="8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81"/>
      <c r="R292" s="681"/>
      <c r="S292" s="681"/>
      <c r="T292" s="68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4301011722</v>
      </c>
      <c r="D293" s="679">
        <v>4680115884205</v>
      </c>
      <c r="E293" s="679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140</v>
      </c>
      <c r="L293" s="37" t="s">
        <v>46</v>
      </c>
      <c r="M293" s="38" t="s">
        <v>132</v>
      </c>
      <c r="N293" s="38"/>
      <c r="O293" s="37">
        <v>55</v>
      </c>
      <c r="P293" s="8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81"/>
      <c r="R293" s="681"/>
      <c r="S293" s="681"/>
      <c r="T293" s="682"/>
      <c r="U293" s="39" t="s">
        <v>46</v>
      </c>
      <c r="V293" s="39" t="s">
        <v>46</v>
      </c>
      <c r="W293" s="40" t="s">
        <v>0</v>
      </c>
      <c r="X293" s="58">
        <v>40</v>
      </c>
      <c r="Y293" s="55">
        <f t="shared" si="42"/>
        <v>40</v>
      </c>
      <c r="Z293" s="41">
        <f>IFERROR(IF(Y293=0,"",ROUNDUP(Y293/H293,0)*0.00902),"")</f>
        <v>9.0200000000000002E-2</v>
      </c>
      <c r="AA293" s="68" t="s">
        <v>46</v>
      </c>
      <c r="AB293" s="69" t="s">
        <v>46</v>
      </c>
      <c r="AC293" s="382" t="s">
        <v>344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41.900000000000006</v>
      </c>
      <c r="BN293" s="78">
        <f t="shared" si="44"/>
        <v>41.900000000000006</v>
      </c>
      <c r="BO293" s="78">
        <f t="shared" si="45"/>
        <v>7.575757575757576E-2</v>
      </c>
      <c r="BP293" s="78">
        <f t="shared" si="46"/>
        <v>7.575757575757576E-2</v>
      </c>
    </row>
    <row r="294" spans="1:68" x14ac:dyDescent="0.2">
      <c r="A294" s="687"/>
      <c r="B294" s="687"/>
      <c r="C294" s="687"/>
      <c r="D294" s="687"/>
      <c r="E294" s="687"/>
      <c r="F294" s="687"/>
      <c r="G294" s="687"/>
      <c r="H294" s="687"/>
      <c r="I294" s="687"/>
      <c r="J294" s="687"/>
      <c r="K294" s="687"/>
      <c r="L294" s="687"/>
      <c r="M294" s="687"/>
      <c r="N294" s="687"/>
      <c r="O294" s="688"/>
      <c r="P294" s="684" t="s">
        <v>40</v>
      </c>
      <c r="Q294" s="685"/>
      <c r="R294" s="685"/>
      <c r="S294" s="685"/>
      <c r="T294" s="685"/>
      <c r="U294" s="685"/>
      <c r="V294" s="686"/>
      <c r="W294" s="42" t="s">
        <v>39</v>
      </c>
      <c r="X294" s="43">
        <f>IFERROR(X287/H287,"0")+IFERROR(X288/H288,"0")+IFERROR(X289/H289,"0")+IFERROR(X290/H290,"0")+IFERROR(X291/H291,"0")+IFERROR(X292/H292,"0")+IFERROR(X293/H293,"0")</f>
        <v>17</v>
      </c>
      <c r="Y294" s="43">
        <f>IFERROR(Y287/H287,"0")+IFERROR(Y288/H288,"0")+IFERROR(Y289/H289,"0")+IFERROR(Y290/H290,"0")+IFERROR(Y291/H291,"0")+IFERROR(Y292/H292,"0")+IFERROR(Y293/H293,"0")</f>
        <v>17</v>
      </c>
      <c r="Z294" s="43">
        <f>IFERROR(IF(Z287="",0,Z287),"0")+IFERROR(IF(Z288="",0,Z288),"0")+IFERROR(IF(Z289="",0,Z289),"0")+IFERROR(IF(Z290="",0,Z290),"0")+IFERROR(IF(Z291="",0,Z291),"0")+IFERROR(IF(Z292="",0,Z292),"0")+IFERROR(IF(Z293="",0,Z293),"0")</f>
        <v>0.15334</v>
      </c>
      <c r="AA294" s="67"/>
      <c r="AB294" s="67"/>
      <c r="AC294" s="67"/>
    </row>
    <row r="295" spans="1:68" x14ac:dyDescent="0.2">
      <c r="A295" s="687"/>
      <c r="B295" s="687"/>
      <c r="C295" s="687"/>
      <c r="D295" s="687"/>
      <c r="E295" s="687"/>
      <c r="F295" s="687"/>
      <c r="G295" s="687"/>
      <c r="H295" s="687"/>
      <c r="I295" s="687"/>
      <c r="J295" s="687"/>
      <c r="K295" s="687"/>
      <c r="L295" s="687"/>
      <c r="M295" s="687"/>
      <c r="N295" s="687"/>
      <c r="O295" s="688"/>
      <c r="P295" s="684" t="s">
        <v>40</v>
      </c>
      <c r="Q295" s="685"/>
      <c r="R295" s="685"/>
      <c r="S295" s="685"/>
      <c r="T295" s="685"/>
      <c r="U295" s="685"/>
      <c r="V295" s="686"/>
      <c r="W295" s="42" t="s">
        <v>0</v>
      </c>
      <c r="X295" s="43">
        <f>IFERROR(SUM(X287:X293),"0")</f>
        <v>68</v>
      </c>
      <c r="Y295" s="43">
        <f>IFERROR(SUM(Y287:Y293),"0")</f>
        <v>68</v>
      </c>
      <c r="Z295" s="42"/>
      <c r="AA295" s="67"/>
      <c r="AB295" s="67"/>
      <c r="AC295" s="67"/>
    </row>
    <row r="296" spans="1:68" ht="14.25" hidden="1" customHeight="1" x14ac:dyDescent="0.25">
      <c r="A296" s="678" t="s">
        <v>163</v>
      </c>
      <c r="B296" s="678"/>
      <c r="C296" s="678"/>
      <c r="D296" s="678"/>
      <c r="E296" s="678"/>
      <c r="F296" s="678"/>
      <c r="G296" s="678"/>
      <c r="H296" s="678"/>
      <c r="I296" s="678"/>
      <c r="J296" s="678"/>
      <c r="K296" s="678"/>
      <c r="L296" s="678"/>
      <c r="M296" s="678"/>
      <c r="N296" s="678"/>
      <c r="O296" s="678"/>
      <c r="P296" s="678"/>
      <c r="Q296" s="678"/>
      <c r="R296" s="678"/>
      <c r="S296" s="678"/>
      <c r="T296" s="678"/>
      <c r="U296" s="678"/>
      <c r="V296" s="678"/>
      <c r="W296" s="678"/>
      <c r="X296" s="678"/>
      <c r="Y296" s="678"/>
      <c r="Z296" s="678"/>
      <c r="AA296" s="66"/>
      <c r="AB296" s="66"/>
      <c r="AC296" s="80"/>
    </row>
    <row r="297" spans="1:68" ht="27" hidden="1" customHeight="1" x14ac:dyDescent="0.25">
      <c r="A297" s="63" t="s">
        <v>502</v>
      </c>
      <c r="B297" s="63" t="s">
        <v>503</v>
      </c>
      <c r="C297" s="36">
        <v>4301020377</v>
      </c>
      <c r="D297" s="679">
        <v>4680115885981</v>
      </c>
      <c r="E297" s="679"/>
      <c r="F297" s="62">
        <v>0.33</v>
      </c>
      <c r="G297" s="37">
        <v>6</v>
      </c>
      <c r="H297" s="62">
        <v>1.98</v>
      </c>
      <c r="I297" s="62">
        <v>2.08</v>
      </c>
      <c r="J297" s="37">
        <v>234</v>
      </c>
      <c r="K297" s="37" t="s">
        <v>82</v>
      </c>
      <c r="L297" s="37" t="s">
        <v>46</v>
      </c>
      <c r="M297" s="38" t="s">
        <v>90</v>
      </c>
      <c r="N297" s="38"/>
      <c r="O297" s="37">
        <v>50</v>
      </c>
      <c r="P297" s="8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81"/>
      <c r="R297" s="681"/>
      <c r="S297" s="681"/>
      <c r="T297" s="682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84" t="s">
        <v>504</v>
      </c>
      <c r="AG297" s="78"/>
      <c r="AJ297" s="84" t="s">
        <v>46</v>
      </c>
      <c r="AK297" s="84">
        <v>0</v>
      </c>
      <c r="BB297" s="385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idden="1" x14ac:dyDescent="0.2">
      <c r="A298" s="687"/>
      <c r="B298" s="687"/>
      <c r="C298" s="687"/>
      <c r="D298" s="687"/>
      <c r="E298" s="687"/>
      <c r="F298" s="687"/>
      <c r="G298" s="687"/>
      <c r="H298" s="687"/>
      <c r="I298" s="687"/>
      <c r="J298" s="687"/>
      <c r="K298" s="687"/>
      <c r="L298" s="687"/>
      <c r="M298" s="687"/>
      <c r="N298" s="687"/>
      <c r="O298" s="688"/>
      <c r="P298" s="684" t="s">
        <v>40</v>
      </c>
      <c r="Q298" s="685"/>
      <c r="R298" s="685"/>
      <c r="S298" s="685"/>
      <c r="T298" s="685"/>
      <c r="U298" s="685"/>
      <c r="V298" s="686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hidden="1" x14ac:dyDescent="0.2">
      <c r="A299" s="687"/>
      <c r="B299" s="687"/>
      <c r="C299" s="687"/>
      <c r="D299" s="687"/>
      <c r="E299" s="687"/>
      <c r="F299" s="687"/>
      <c r="G299" s="687"/>
      <c r="H299" s="687"/>
      <c r="I299" s="687"/>
      <c r="J299" s="687"/>
      <c r="K299" s="687"/>
      <c r="L299" s="687"/>
      <c r="M299" s="687"/>
      <c r="N299" s="687"/>
      <c r="O299" s="688"/>
      <c r="P299" s="684" t="s">
        <v>40</v>
      </c>
      <c r="Q299" s="685"/>
      <c r="R299" s="685"/>
      <c r="S299" s="685"/>
      <c r="T299" s="685"/>
      <c r="U299" s="685"/>
      <c r="V299" s="686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78" t="s">
        <v>505</v>
      </c>
      <c r="B300" s="678"/>
      <c r="C300" s="678"/>
      <c r="D300" s="678"/>
      <c r="E300" s="678"/>
      <c r="F300" s="678"/>
      <c r="G300" s="678"/>
      <c r="H300" s="678"/>
      <c r="I300" s="678"/>
      <c r="J300" s="678"/>
      <c r="K300" s="678"/>
      <c r="L300" s="678"/>
      <c r="M300" s="678"/>
      <c r="N300" s="678"/>
      <c r="O300" s="678"/>
      <c r="P300" s="678"/>
      <c r="Q300" s="678"/>
      <c r="R300" s="678"/>
      <c r="S300" s="678"/>
      <c r="T300" s="678"/>
      <c r="U300" s="678"/>
      <c r="V300" s="678"/>
      <c r="W300" s="678"/>
      <c r="X300" s="678"/>
      <c r="Y300" s="678"/>
      <c r="Z300" s="678"/>
      <c r="AA300" s="66"/>
      <c r="AB300" s="66"/>
      <c r="AC300" s="80"/>
    </row>
    <row r="301" spans="1:68" ht="27" customHeight="1" x14ac:dyDescent="0.25">
      <c r="A301" s="63" t="s">
        <v>506</v>
      </c>
      <c r="B301" s="63" t="s">
        <v>507</v>
      </c>
      <c r="C301" s="36">
        <v>4301040362</v>
      </c>
      <c r="D301" s="679">
        <v>4680115886803</v>
      </c>
      <c r="E301" s="679"/>
      <c r="F301" s="62">
        <v>0.12</v>
      </c>
      <c r="G301" s="37">
        <v>15</v>
      </c>
      <c r="H301" s="62">
        <v>1.8</v>
      </c>
      <c r="I301" s="62">
        <v>1.9750000000000001</v>
      </c>
      <c r="J301" s="37">
        <v>216</v>
      </c>
      <c r="K301" s="37" t="s">
        <v>327</v>
      </c>
      <c r="L301" s="37" t="s">
        <v>46</v>
      </c>
      <c r="M301" s="38" t="s">
        <v>326</v>
      </c>
      <c r="N301" s="38"/>
      <c r="O301" s="37">
        <v>45</v>
      </c>
      <c r="P301" s="8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81"/>
      <c r="R301" s="681"/>
      <c r="S301" s="681"/>
      <c r="T301" s="682"/>
      <c r="U301" s="39" t="s">
        <v>46</v>
      </c>
      <c r="V301" s="39" t="s">
        <v>46</v>
      </c>
      <c r="W301" s="40" t="s">
        <v>0</v>
      </c>
      <c r="X301" s="58">
        <v>18</v>
      </c>
      <c r="Y301" s="55">
        <f>IFERROR(IF(X301="",0,CEILING((X301/$H301),1)*$H301),"")</f>
        <v>18</v>
      </c>
      <c r="Z301" s="41">
        <f>IFERROR(IF(Y301=0,"",ROUNDUP(Y301/H301,0)*0.0059),"")</f>
        <v>5.8999999999999997E-2</v>
      </c>
      <c r="AA301" s="68" t="s">
        <v>46</v>
      </c>
      <c r="AB301" s="69" t="s">
        <v>46</v>
      </c>
      <c r="AC301" s="386" t="s">
        <v>508</v>
      </c>
      <c r="AG301" s="78"/>
      <c r="AJ301" s="84" t="s">
        <v>46</v>
      </c>
      <c r="AK301" s="84">
        <v>0</v>
      </c>
      <c r="BB301" s="387" t="s">
        <v>67</v>
      </c>
      <c r="BM301" s="78">
        <f>IFERROR(X301*I301/H301,"0")</f>
        <v>19.750000000000004</v>
      </c>
      <c r="BN301" s="78">
        <f>IFERROR(Y301*I301/H301,"0")</f>
        <v>19.750000000000004</v>
      </c>
      <c r="BO301" s="78">
        <f>IFERROR(1/J301*(X301/H301),"0")</f>
        <v>4.6296296296296294E-2</v>
      </c>
      <c r="BP301" s="78">
        <f>IFERROR(1/J301*(Y301/H301),"0")</f>
        <v>4.6296296296296294E-2</v>
      </c>
    </row>
    <row r="302" spans="1:68" x14ac:dyDescent="0.2">
      <c r="A302" s="687"/>
      <c r="B302" s="687"/>
      <c r="C302" s="687"/>
      <c r="D302" s="687"/>
      <c r="E302" s="687"/>
      <c r="F302" s="687"/>
      <c r="G302" s="687"/>
      <c r="H302" s="687"/>
      <c r="I302" s="687"/>
      <c r="J302" s="687"/>
      <c r="K302" s="687"/>
      <c r="L302" s="687"/>
      <c r="M302" s="687"/>
      <c r="N302" s="687"/>
      <c r="O302" s="688"/>
      <c r="P302" s="684" t="s">
        <v>40</v>
      </c>
      <c r="Q302" s="685"/>
      <c r="R302" s="685"/>
      <c r="S302" s="685"/>
      <c r="T302" s="685"/>
      <c r="U302" s="685"/>
      <c r="V302" s="686"/>
      <c r="W302" s="42" t="s">
        <v>39</v>
      </c>
      <c r="X302" s="43">
        <f>IFERROR(X301/H301,"0")</f>
        <v>10</v>
      </c>
      <c r="Y302" s="43">
        <f>IFERROR(Y301/H301,"0")</f>
        <v>10</v>
      </c>
      <c r="Z302" s="43">
        <f>IFERROR(IF(Z301="",0,Z301),"0")</f>
        <v>5.8999999999999997E-2</v>
      </c>
      <c r="AA302" s="67"/>
      <c r="AB302" s="67"/>
      <c r="AC302" s="67"/>
    </row>
    <row r="303" spans="1:68" x14ac:dyDescent="0.2">
      <c r="A303" s="687"/>
      <c r="B303" s="687"/>
      <c r="C303" s="687"/>
      <c r="D303" s="687"/>
      <c r="E303" s="687"/>
      <c r="F303" s="687"/>
      <c r="G303" s="687"/>
      <c r="H303" s="687"/>
      <c r="I303" s="687"/>
      <c r="J303" s="687"/>
      <c r="K303" s="687"/>
      <c r="L303" s="687"/>
      <c r="M303" s="687"/>
      <c r="N303" s="687"/>
      <c r="O303" s="688"/>
      <c r="P303" s="684" t="s">
        <v>40</v>
      </c>
      <c r="Q303" s="685"/>
      <c r="R303" s="685"/>
      <c r="S303" s="685"/>
      <c r="T303" s="685"/>
      <c r="U303" s="685"/>
      <c r="V303" s="686"/>
      <c r="W303" s="42" t="s">
        <v>0</v>
      </c>
      <c r="X303" s="43">
        <f>IFERROR(SUM(X301:X301),"0")</f>
        <v>18</v>
      </c>
      <c r="Y303" s="43">
        <f>IFERROR(SUM(Y301:Y301),"0")</f>
        <v>18</v>
      </c>
      <c r="Z303" s="42"/>
      <c r="AA303" s="67"/>
      <c r="AB303" s="67"/>
      <c r="AC303" s="67"/>
    </row>
    <row r="304" spans="1:68" ht="14.25" hidden="1" customHeight="1" x14ac:dyDescent="0.25">
      <c r="A304" s="678" t="s">
        <v>331</v>
      </c>
      <c r="B304" s="678"/>
      <c r="C304" s="678"/>
      <c r="D304" s="678"/>
      <c r="E304" s="678"/>
      <c r="F304" s="678"/>
      <c r="G304" s="678"/>
      <c r="H304" s="678"/>
      <c r="I304" s="678"/>
      <c r="J304" s="678"/>
      <c r="K304" s="678"/>
      <c r="L304" s="678"/>
      <c r="M304" s="678"/>
      <c r="N304" s="678"/>
      <c r="O304" s="678"/>
      <c r="P304" s="678"/>
      <c r="Q304" s="678"/>
      <c r="R304" s="678"/>
      <c r="S304" s="678"/>
      <c r="T304" s="678"/>
      <c r="U304" s="678"/>
      <c r="V304" s="678"/>
      <c r="W304" s="678"/>
      <c r="X304" s="678"/>
      <c r="Y304" s="678"/>
      <c r="Z304" s="678"/>
      <c r="AA304" s="66"/>
      <c r="AB304" s="66"/>
      <c r="AC304" s="80"/>
    </row>
    <row r="305" spans="1:68" ht="27" hidden="1" customHeight="1" x14ac:dyDescent="0.25">
      <c r="A305" s="63" t="s">
        <v>509</v>
      </c>
      <c r="B305" s="63" t="s">
        <v>510</v>
      </c>
      <c r="C305" s="36">
        <v>4301041004</v>
      </c>
      <c r="D305" s="679">
        <v>4680115886704</v>
      </c>
      <c r="E305" s="679"/>
      <c r="F305" s="62">
        <v>5.5E-2</v>
      </c>
      <c r="G305" s="37">
        <v>18</v>
      </c>
      <c r="H305" s="62">
        <v>0.99</v>
      </c>
      <c r="I305" s="62">
        <v>1.18</v>
      </c>
      <c r="J305" s="37">
        <v>216</v>
      </c>
      <c r="K305" s="37" t="s">
        <v>327</v>
      </c>
      <c r="L305" s="37" t="s">
        <v>46</v>
      </c>
      <c r="M305" s="38" t="s">
        <v>326</v>
      </c>
      <c r="N305" s="38"/>
      <c r="O305" s="37">
        <v>90</v>
      </c>
      <c r="P305" s="83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81"/>
      <c r="R305" s="681"/>
      <c r="S305" s="681"/>
      <c r="T305" s="68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511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hidden="1" customHeight="1" x14ac:dyDescent="0.25">
      <c r="A306" s="63" t="s">
        <v>512</v>
      </c>
      <c r="B306" s="63" t="s">
        <v>513</v>
      </c>
      <c r="C306" s="36">
        <v>4301041008</v>
      </c>
      <c r="D306" s="679">
        <v>4680115886681</v>
      </c>
      <c r="E306" s="67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327</v>
      </c>
      <c r="L306" s="37" t="s">
        <v>46</v>
      </c>
      <c r="M306" s="38" t="s">
        <v>326</v>
      </c>
      <c r="N306" s="38"/>
      <c r="O306" s="37">
        <v>90</v>
      </c>
      <c r="P306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81"/>
      <c r="R306" s="681"/>
      <c r="S306" s="681"/>
      <c r="T306" s="68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511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514</v>
      </c>
      <c r="B307" s="63" t="s">
        <v>515</v>
      </c>
      <c r="C307" s="36">
        <v>4301041007</v>
      </c>
      <c r="D307" s="679">
        <v>4680115886735</v>
      </c>
      <c r="E307" s="679"/>
      <c r="F307" s="62">
        <v>0.05</v>
      </c>
      <c r="G307" s="37">
        <v>18</v>
      </c>
      <c r="H307" s="62">
        <v>0.9</v>
      </c>
      <c r="I307" s="62">
        <v>1.0900000000000001</v>
      </c>
      <c r="J307" s="37">
        <v>216</v>
      </c>
      <c r="K307" s="37" t="s">
        <v>327</v>
      </c>
      <c r="L307" s="37" t="s">
        <v>46</v>
      </c>
      <c r="M307" s="38" t="s">
        <v>326</v>
      </c>
      <c r="N307" s="38"/>
      <c r="O307" s="37">
        <v>90</v>
      </c>
      <c r="P307" s="84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81"/>
      <c r="R307" s="681"/>
      <c r="S307" s="681"/>
      <c r="T307" s="682"/>
      <c r="U307" s="39" t="s">
        <v>46</v>
      </c>
      <c r="V307" s="39" t="s">
        <v>46</v>
      </c>
      <c r="W307" s="40" t="s">
        <v>0</v>
      </c>
      <c r="X307" s="58">
        <v>7.5</v>
      </c>
      <c r="Y307" s="55">
        <f>IFERROR(IF(X307="",0,CEILING((X307/$H307),1)*$H307),"")</f>
        <v>8.1</v>
      </c>
      <c r="Z307" s="41">
        <f>IFERROR(IF(Y307=0,"",ROUNDUP(Y307/H307,0)*0.0059),"")</f>
        <v>5.3100000000000001E-2</v>
      </c>
      <c r="AA307" s="68" t="s">
        <v>46</v>
      </c>
      <c r="AB307" s="69" t="s">
        <v>46</v>
      </c>
      <c r="AC307" s="392" t="s">
        <v>511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9.0833333333333339</v>
      </c>
      <c r="BN307" s="78">
        <f>IFERROR(Y307*I307/H307,"0")</f>
        <v>9.81</v>
      </c>
      <c r="BO307" s="78">
        <f>IFERROR(1/J307*(X307/H307),"0")</f>
        <v>3.8580246913580245E-2</v>
      </c>
      <c r="BP307" s="78">
        <f>IFERROR(1/J307*(Y307/H307),"0")</f>
        <v>4.1666666666666664E-2</v>
      </c>
    </row>
    <row r="308" spans="1:68" x14ac:dyDescent="0.2">
      <c r="A308" s="687"/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8"/>
      <c r="P308" s="684" t="s">
        <v>40</v>
      </c>
      <c r="Q308" s="685"/>
      <c r="R308" s="685"/>
      <c r="S308" s="685"/>
      <c r="T308" s="685"/>
      <c r="U308" s="685"/>
      <c r="V308" s="686"/>
      <c r="W308" s="42" t="s">
        <v>39</v>
      </c>
      <c r="X308" s="43">
        <f>IFERROR(X305/H305,"0")+IFERROR(X306/H306,"0")+IFERROR(X307/H307,"0")</f>
        <v>8.3333333333333339</v>
      </c>
      <c r="Y308" s="43">
        <f>IFERROR(Y305/H305,"0")+IFERROR(Y306/H306,"0")+IFERROR(Y307/H307,"0")</f>
        <v>9</v>
      </c>
      <c r="Z308" s="43">
        <f>IFERROR(IF(Z305="",0,Z305),"0")+IFERROR(IF(Z306="",0,Z306),"0")+IFERROR(IF(Z307="",0,Z307),"0")</f>
        <v>5.3100000000000001E-2</v>
      </c>
      <c r="AA308" s="67"/>
      <c r="AB308" s="67"/>
      <c r="AC308" s="67"/>
    </row>
    <row r="309" spans="1:68" x14ac:dyDescent="0.2">
      <c r="A309" s="687"/>
      <c r="B309" s="687"/>
      <c r="C309" s="687"/>
      <c r="D309" s="687"/>
      <c r="E309" s="687"/>
      <c r="F309" s="687"/>
      <c r="G309" s="687"/>
      <c r="H309" s="687"/>
      <c r="I309" s="687"/>
      <c r="J309" s="687"/>
      <c r="K309" s="687"/>
      <c r="L309" s="687"/>
      <c r="M309" s="687"/>
      <c r="N309" s="687"/>
      <c r="O309" s="688"/>
      <c r="P309" s="684" t="s">
        <v>40</v>
      </c>
      <c r="Q309" s="685"/>
      <c r="R309" s="685"/>
      <c r="S309" s="685"/>
      <c r="T309" s="685"/>
      <c r="U309" s="685"/>
      <c r="V309" s="686"/>
      <c r="W309" s="42" t="s">
        <v>0</v>
      </c>
      <c r="X309" s="43">
        <f>IFERROR(SUM(X305:X307),"0")</f>
        <v>7.5</v>
      </c>
      <c r="Y309" s="43">
        <f>IFERROR(SUM(Y305:Y307),"0")</f>
        <v>8.1</v>
      </c>
      <c r="Z309" s="42"/>
      <c r="AA309" s="67"/>
      <c r="AB309" s="67"/>
      <c r="AC309" s="67"/>
    </row>
    <row r="310" spans="1:68" ht="16.5" hidden="1" customHeight="1" x14ac:dyDescent="0.25">
      <c r="A310" s="677" t="s">
        <v>516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5"/>
      <c r="AB310" s="65"/>
      <c r="AC310" s="79"/>
    </row>
    <row r="311" spans="1:68" ht="14.25" hidden="1" customHeight="1" x14ac:dyDescent="0.25">
      <c r="A311" s="678" t="s">
        <v>128</v>
      </c>
      <c r="B311" s="678"/>
      <c r="C311" s="678"/>
      <c r="D311" s="678"/>
      <c r="E311" s="678"/>
      <c r="F311" s="678"/>
      <c r="G311" s="678"/>
      <c r="H311" s="678"/>
      <c r="I311" s="678"/>
      <c r="J311" s="678"/>
      <c r="K311" s="678"/>
      <c r="L311" s="678"/>
      <c r="M311" s="678"/>
      <c r="N311" s="678"/>
      <c r="O311" s="678"/>
      <c r="P311" s="678"/>
      <c r="Q311" s="678"/>
      <c r="R311" s="678"/>
      <c r="S311" s="678"/>
      <c r="T311" s="678"/>
      <c r="U311" s="678"/>
      <c r="V311" s="678"/>
      <c r="W311" s="678"/>
      <c r="X311" s="678"/>
      <c r="Y311" s="678"/>
      <c r="Z311" s="678"/>
      <c r="AA311" s="66"/>
      <c r="AB311" s="66"/>
      <c r="AC311" s="80"/>
    </row>
    <row r="312" spans="1:68" ht="27" hidden="1" customHeight="1" x14ac:dyDescent="0.25">
      <c r="A312" s="63" t="s">
        <v>517</v>
      </c>
      <c r="B312" s="63" t="s">
        <v>518</v>
      </c>
      <c r="C312" s="36">
        <v>4301011855</v>
      </c>
      <c r="D312" s="679">
        <v>4680115885837</v>
      </c>
      <c r="E312" s="679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133</v>
      </c>
      <c r="L312" s="37" t="s">
        <v>46</v>
      </c>
      <c r="M312" s="38" t="s">
        <v>132</v>
      </c>
      <c r="N312" s="38"/>
      <c r="O312" s="37">
        <v>55</v>
      </c>
      <c r="P312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81"/>
      <c r="R312" s="681"/>
      <c r="S312" s="681"/>
      <c r="T312" s="68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94" t="s">
        <v>519</v>
      </c>
      <c r="AG312" s="78"/>
      <c r="AJ312" s="84" t="s">
        <v>46</v>
      </c>
      <c r="AK312" s="84">
        <v>0</v>
      </c>
      <c r="BB312" s="39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hidden="1" customHeight="1" x14ac:dyDescent="0.25">
      <c r="A313" s="63" t="s">
        <v>520</v>
      </c>
      <c r="B313" s="63" t="s">
        <v>521</v>
      </c>
      <c r="C313" s="36">
        <v>4301012234</v>
      </c>
      <c r="D313" s="679">
        <v>4680115887237</v>
      </c>
      <c r="E313" s="679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133</v>
      </c>
      <c r="L313" s="37" t="s">
        <v>46</v>
      </c>
      <c r="M313" s="38" t="s">
        <v>132</v>
      </c>
      <c r="N313" s="38"/>
      <c r="O313" s="37">
        <v>55</v>
      </c>
      <c r="P313" s="84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81"/>
      <c r="R313" s="681"/>
      <c r="S313" s="681"/>
      <c r="T313" s="68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522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523</v>
      </c>
      <c r="B314" s="63" t="s">
        <v>524</v>
      </c>
      <c r="C314" s="36">
        <v>4301011850</v>
      </c>
      <c r="D314" s="679">
        <v>4680115885806</v>
      </c>
      <c r="E314" s="679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133</v>
      </c>
      <c r="L314" s="37" t="s">
        <v>46</v>
      </c>
      <c r="M314" s="38" t="s">
        <v>132</v>
      </c>
      <c r="N314" s="38"/>
      <c r="O314" s="37">
        <v>55</v>
      </c>
      <c r="P314" s="8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81"/>
      <c r="R314" s="681"/>
      <c r="S314" s="681"/>
      <c r="T314" s="682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525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4301011852</v>
      </c>
      <c r="D315" s="679">
        <v>4680115885844</v>
      </c>
      <c r="E315" s="679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140</v>
      </c>
      <c r="L315" s="37" t="s">
        <v>46</v>
      </c>
      <c r="M315" s="38" t="s">
        <v>132</v>
      </c>
      <c r="N315" s="38"/>
      <c r="O315" s="37">
        <v>55</v>
      </c>
      <c r="P315" s="84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81"/>
      <c r="R315" s="681"/>
      <c r="S315" s="681"/>
      <c r="T315" s="68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400" t="s">
        <v>528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37.5" hidden="1" customHeight="1" x14ac:dyDescent="0.25">
      <c r="A316" s="63" t="s">
        <v>529</v>
      </c>
      <c r="B316" s="63" t="s">
        <v>530</v>
      </c>
      <c r="C316" s="36">
        <v>4301011851</v>
      </c>
      <c r="D316" s="679">
        <v>4680115885820</v>
      </c>
      <c r="E316" s="679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140</v>
      </c>
      <c r="L316" s="37" t="s">
        <v>46</v>
      </c>
      <c r="M316" s="38" t="s">
        <v>132</v>
      </c>
      <c r="N316" s="38"/>
      <c r="O316" s="37">
        <v>55</v>
      </c>
      <c r="P316" s="84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81"/>
      <c r="R316" s="681"/>
      <c r="S316" s="681"/>
      <c r="T316" s="68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87"/>
      <c r="B317" s="687"/>
      <c r="C317" s="687"/>
      <c r="D317" s="687"/>
      <c r="E317" s="687"/>
      <c r="F317" s="687"/>
      <c r="G317" s="687"/>
      <c r="H317" s="687"/>
      <c r="I317" s="687"/>
      <c r="J317" s="687"/>
      <c r="K317" s="687"/>
      <c r="L317" s="687"/>
      <c r="M317" s="687"/>
      <c r="N317" s="687"/>
      <c r="O317" s="688"/>
      <c r="P317" s="684" t="s">
        <v>40</v>
      </c>
      <c r="Q317" s="685"/>
      <c r="R317" s="685"/>
      <c r="S317" s="685"/>
      <c r="T317" s="685"/>
      <c r="U317" s="685"/>
      <c r="V317" s="686"/>
      <c r="W317" s="42" t="s">
        <v>39</v>
      </c>
      <c r="X317" s="43">
        <f>IFERROR(X312/H312,"0")+IFERROR(X313/H313,"0")+IFERROR(X314/H314,"0")+IFERROR(X315/H315,"0")+IFERROR(X316/H316,"0")</f>
        <v>0</v>
      </c>
      <c r="Y317" s="43">
        <f>IFERROR(Y312/H312,"0")+IFERROR(Y313/H313,"0")+IFERROR(Y314/H314,"0")+IFERROR(Y315/H315,"0")+IFERROR(Y316/H316,"0")</f>
        <v>0</v>
      </c>
      <c r="Z317" s="43">
        <f>IFERROR(IF(Z312="",0,Z312),"0")+IFERROR(IF(Z313="",0,Z313),"0")+IFERROR(IF(Z314="",0,Z314),"0")+IFERROR(IF(Z315="",0,Z315),"0")+IFERROR(IF(Z316="",0,Z316),"0")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87"/>
      <c r="B318" s="687"/>
      <c r="C318" s="687"/>
      <c r="D318" s="687"/>
      <c r="E318" s="687"/>
      <c r="F318" s="687"/>
      <c r="G318" s="687"/>
      <c r="H318" s="687"/>
      <c r="I318" s="687"/>
      <c r="J318" s="687"/>
      <c r="K318" s="687"/>
      <c r="L318" s="687"/>
      <c r="M318" s="687"/>
      <c r="N318" s="687"/>
      <c r="O318" s="688"/>
      <c r="P318" s="684" t="s">
        <v>40</v>
      </c>
      <c r="Q318" s="685"/>
      <c r="R318" s="685"/>
      <c r="S318" s="685"/>
      <c r="T318" s="685"/>
      <c r="U318" s="685"/>
      <c r="V318" s="686"/>
      <c r="W318" s="42" t="s">
        <v>0</v>
      </c>
      <c r="X318" s="43">
        <f>IFERROR(SUM(X312:X316),"0")</f>
        <v>0</v>
      </c>
      <c r="Y318" s="43">
        <f>IFERROR(SUM(Y312:Y316),"0")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77" t="s">
        <v>532</v>
      </c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77"/>
      <c r="P319" s="677"/>
      <c r="Q319" s="677"/>
      <c r="R319" s="677"/>
      <c r="S319" s="677"/>
      <c r="T319" s="677"/>
      <c r="U319" s="677"/>
      <c r="V319" s="677"/>
      <c r="W319" s="677"/>
      <c r="X319" s="677"/>
      <c r="Y319" s="677"/>
      <c r="Z319" s="677"/>
      <c r="AA319" s="65"/>
      <c r="AB319" s="65"/>
      <c r="AC319" s="79"/>
    </row>
    <row r="320" spans="1:68" ht="14.25" hidden="1" customHeight="1" x14ac:dyDescent="0.25">
      <c r="A320" s="678" t="s">
        <v>86</v>
      </c>
      <c r="B320" s="678"/>
      <c r="C320" s="678"/>
      <c r="D320" s="678"/>
      <c r="E320" s="678"/>
      <c r="F320" s="678"/>
      <c r="G320" s="678"/>
      <c r="H320" s="678"/>
      <c r="I320" s="678"/>
      <c r="J320" s="678"/>
      <c r="K320" s="678"/>
      <c r="L320" s="678"/>
      <c r="M320" s="678"/>
      <c r="N320" s="678"/>
      <c r="O320" s="678"/>
      <c r="P320" s="678"/>
      <c r="Q320" s="678"/>
      <c r="R320" s="678"/>
      <c r="S320" s="678"/>
      <c r="T320" s="678"/>
      <c r="U320" s="678"/>
      <c r="V320" s="678"/>
      <c r="W320" s="678"/>
      <c r="X320" s="678"/>
      <c r="Y320" s="678"/>
      <c r="Z320" s="678"/>
      <c r="AA320" s="66"/>
      <c r="AB320" s="66"/>
      <c r="AC320" s="80"/>
    </row>
    <row r="321" spans="1:68" ht="27" hidden="1" customHeight="1" x14ac:dyDescent="0.25">
      <c r="A321" s="63" t="s">
        <v>533</v>
      </c>
      <c r="B321" s="63" t="s">
        <v>534</v>
      </c>
      <c r="C321" s="36">
        <v>4301051893</v>
      </c>
      <c r="D321" s="679">
        <v>4680115886186</v>
      </c>
      <c r="E321" s="679"/>
      <c r="F321" s="62">
        <v>0.3</v>
      </c>
      <c r="G321" s="37">
        <v>6</v>
      </c>
      <c r="H321" s="62">
        <v>1.8</v>
      </c>
      <c r="I321" s="62">
        <v>1.98</v>
      </c>
      <c r="J321" s="37">
        <v>182</v>
      </c>
      <c r="K321" s="37" t="s">
        <v>91</v>
      </c>
      <c r="L321" s="37" t="s">
        <v>46</v>
      </c>
      <c r="M321" s="38" t="s">
        <v>90</v>
      </c>
      <c r="N321" s="38"/>
      <c r="O321" s="37">
        <v>45</v>
      </c>
      <c r="P321" s="8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81"/>
      <c r="R321" s="681"/>
      <c r="S321" s="681"/>
      <c r="T321" s="68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46</v>
      </c>
      <c r="AB321" s="69" t="s">
        <v>46</v>
      </c>
      <c r="AC321" s="404" t="s">
        <v>535</v>
      </c>
      <c r="AG321" s="78"/>
      <c r="AJ321" s="84" t="s">
        <v>46</v>
      </c>
      <c r="AK321" s="84">
        <v>0</v>
      </c>
      <c r="BB321" s="40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536</v>
      </c>
      <c r="B322" s="63" t="s">
        <v>537</v>
      </c>
      <c r="C322" s="36">
        <v>4301051795</v>
      </c>
      <c r="D322" s="679">
        <v>4680115881228</v>
      </c>
      <c r="E322" s="679"/>
      <c r="F322" s="62">
        <v>0.4</v>
      </c>
      <c r="G322" s="37">
        <v>6</v>
      </c>
      <c r="H322" s="62">
        <v>2.4</v>
      </c>
      <c r="I322" s="62">
        <v>2.6520000000000001</v>
      </c>
      <c r="J322" s="37">
        <v>182</v>
      </c>
      <c r="K322" s="37" t="s">
        <v>91</v>
      </c>
      <c r="L322" s="37" t="s">
        <v>46</v>
      </c>
      <c r="M322" s="38" t="s">
        <v>97</v>
      </c>
      <c r="N322" s="38"/>
      <c r="O322" s="37">
        <v>40</v>
      </c>
      <c r="P322" s="84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81"/>
      <c r="R322" s="681"/>
      <c r="S322" s="681"/>
      <c r="T322" s="682"/>
      <c r="U322" s="39" t="s">
        <v>46</v>
      </c>
      <c r="V322" s="39" t="s">
        <v>46</v>
      </c>
      <c r="W322" s="40" t="s">
        <v>0</v>
      </c>
      <c r="X322" s="58">
        <v>108</v>
      </c>
      <c r="Y322" s="55">
        <f>IFERROR(IF(X322="",0,CEILING((X322/$H322),1)*$H322),"")</f>
        <v>108</v>
      </c>
      <c r="Z322" s="41">
        <f>IFERROR(IF(Y322=0,"",ROUNDUP(Y322/H322,0)*0.00651),"")</f>
        <v>0.29294999999999999</v>
      </c>
      <c r="AA322" s="68" t="s">
        <v>46</v>
      </c>
      <c r="AB322" s="69" t="s">
        <v>46</v>
      </c>
      <c r="AC322" s="406" t="s">
        <v>538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119.34</v>
      </c>
      <c r="BN322" s="78">
        <f>IFERROR(Y322*I322/H322,"0")</f>
        <v>119.34</v>
      </c>
      <c r="BO322" s="78">
        <f>IFERROR(1/J322*(X322/H322),"0")</f>
        <v>0.24725274725274726</v>
      </c>
      <c r="BP322" s="78">
        <f>IFERROR(1/J322*(Y322/H322),"0")</f>
        <v>0.24725274725274726</v>
      </c>
    </row>
    <row r="323" spans="1:68" ht="27" hidden="1" customHeight="1" x14ac:dyDescent="0.25">
      <c r="A323" s="63" t="s">
        <v>539</v>
      </c>
      <c r="B323" s="63" t="s">
        <v>540</v>
      </c>
      <c r="C323" s="36">
        <v>4301051388</v>
      </c>
      <c r="D323" s="679">
        <v>4680115881211</v>
      </c>
      <c r="E323" s="679"/>
      <c r="F323" s="62">
        <v>0.4</v>
      </c>
      <c r="G323" s="37">
        <v>6</v>
      </c>
      <c r="H323" s="62">
        <v>2.4</v>
      </c>
      <c r="I323" s="62">
        <v>2.58</v>
      </c>
      <c r="J323" s="37">
        <v>182</v>
      </c>
      <c r="K323" s="37" t="s">
        <v>91</v>
      </c>
      <c r="L323" s="37" t="s">
        <v>46</v>
      </c>
      <c r="M323" s="38" t="s">
        <v>90</v>
      </c>
      <c r="N323" s="38"/>
      <c r="O323" s="37">
        <v>45</v>
      </c>
      <c r="P323" s="84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81"/>
      <c r="R323" s="681"/>
      <c r="S323" s="681"/>
      <c r="T323" s="682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535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87"/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8"/>
      <c r="P324" s="684" t="s">
        <v>40</v>
      </c>
      <c r="Q324" s="685"/>
      <c r="R324" s="685"/>
      <c r="S324" s="685"/>
      <c r="T324" s="685"/>
      <c r="U324" s="685"/>
      <c r="V324" s="686"/>
      <c r="W324" s="42" t="s">
        <v>39</v>
      </c>
      <c r="X324" s="43">
        <f>IFERROR(X321/H321,"0")+IFERROR(X322/H322,"0")+IFERROR(X323/H323,"0")</f>
        <v>45</v>
      </c>
      <c r="Y324" s="43">
        <f>IFERROR(Y321/H321,"0")+IFERROR(Y322/H322,"0")+IFERROR(Y323/H323,"0")</f>
        <v>45</v>
      </c>
      <c r="Z324" s="43">
        <f>IFERROR(IF(Z321="",0,Z321),"0")+IFERROR(IF(Z322="",0,Z322),"0")+IFERROR(IF(Z323="",0,Z323),"0")</f>
        <v>0.29294999999999999</v>
      </c>
      <c r="AA324" s="67"/>
      <c r="AB324" s="67"/>
      <c r="AC324" s="67"/>
    </row>
    <row r="325" spans="1:68" x14ac:dyDescent="0.2">
      <c r="A325" s="687"/>
      <c r="B325" s="687"/>
      <c r="C325" s="687"/>
      <c r="D325" s="687"/>
      <c r="E325" s="687"/>
      <c r="F325" s="687"/>
      <c r="G325" s="687"/>
      <c r="H325" s="687"/>
      <c r="I325" s="687"/>
      <c r="J325" s="687"/>
      <c r="K325" s="687"/>
      <c r="L325" s="687"/>
      <c r="M325" s="687"/>
      <c r="N325" s="687"/>
      <c r="O325" s="688"/>
      <c r="P325" s="684" t="s">
        <v>40</v>
      </c>
      <c r="Q325" s="685"/>
      <c r="R325" s="685"/>
      <c r="S325" s="685"/>
      <c r="T325" s="685"/>
      <c r="U325" s="685"/>
      <c r="V325" s="686"/>
      <c r="W325" s="42" t="s">
        <v>0</v>
      </c>
      <c r="X325" s="43">
        <f>IFERROR(SUM(X321:X323),"0")</f>
        <v>108</v>
      </c>
      <c r="Y325" s="43">
        <f>IFERROR(SUM(Y321:Y323),"0")</f>
        <v>108</v>
      </c>
      <c r="Z325" s="42"/>
      <c r="AA325" s="67"/>
      <c r="AB325" s="67"/>
      <c r="AC325" s="67"/>
    </row>
    <row r="326" spans="1:68" ht="16.5" hidden="1" customHeight="1" x14ac:dyDescent="0.25">
      <c r="A326" s="677" t="s">
        <v>541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5"/>
      <c r="AB326" s="65"/>
      <c r="AC326" s="79"/>
    </row>
    <row r="327" spans="1:68" ht="14.25" hidden="1" customHeight="1" x14ac:dyDescent="0.25">
      <c r="A327" s="678" t="s">
        <v>77</v>
      </c>
      <c r="B327" s="678"/>
      <c r="C327" s="678"/>
      <c r="D327" s="678"/>
      <c r="E327" s="678"/>
      <c r="F327" s="678"/>
      <c r="G327" s="678"/>
      <c r="H327" s="678"/>
      <c r="I327" s="678"/>
      <c r="J327" s="678"/>
      <c r="K327" s="678"/>
      <c r="L327" s="678"/>
      <c r="M327" s="678"/>
      <c r="N327" s="678"/>
      <c r="O327" s="678"/>
      <c r="P327" s="678"/>
      <c r="Q327" s="678"/>
      <c r="R327" s="678"/>
      <c r="S327" s="678"/>
      <c r="T327" s="678"/>
      <c r="U327" s="678"/>
      <c r="V327" s="678"/>
      <c r="W327" s="678"/>
      <c r="X327" s="678"/>
      <c r="Y327" s="678"/>
      <c r="Z327" s="678"/>
      <c r="AA327" s="66"/>
      <c r="AB327" s="66"/>
      <c r="AC327" s="80"/>
    </row>
    <row r="328" spans="1:68" ht="27" hidden="1" customHeight="1" x14ac:dyDescent="0.25">
      <c r="A328" s="63" t="s">
        <v>542</v>
      </c>
      <c r="B328" s="63" t="s">
        <v>543</v>
      </c>
      <c r="C328" s="36">
        <v>4301031445</v>
      </c>
      <c r="D328" s="679">
        <v>4680115888319</v>
      </c>
      <c r="E328" s="679"/>
      <c r="F328" s="62">
        <v>0.35</v>
      </c>
      <c r="G328" s="37">
        <v>6</v>
      </c>
      <c r="H328" s="62">
        <v>2.1</v>
      </c>
      <c r="I328" s="62">
        <v>2.23</v>
      </c>
      <c r="J328" s="37">
        <v>234</v>
      </c>
      <c r="K328" s="37" t="s">
        <v>82</v>
      </c>
      <c r="L328" s="37" t="s">
        <v>46</v>
      </c>
      <c r="M328" s="38" t="s">
        <v>81</v>
      </c>
      <c r="N328" s="38"/>
      <c r="O328" s="37">
        <v>45</v>
      </c>
      <c r="P328" s="84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81"/>
      <c r="R328" s="681"/>
      <c r="S328" s="681"/>
      <c r="T328" s="68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IFERROR(IF(Y328=0,"",ROUNDUP(Y328/H328,0)*0.00502),"")</f>
        <v/>
      </c>
      <c r="AA328" s="68" t="s">
        <v>46</v>
      </c>
      <c r="AB328" s="69" t="s">
        <v>46</v>
      </c>
      <c r="AC328" s="410" t="s">
        <v>376</v>
      </c>
      <c r="AG328" s="78"/>
      <c r="AJ328" s="84" t="s">
        <v>46</v>
      </c>
      <c r="AK328" s="84">
        <v>0</v>
      </c>
      <c r="BB328" s="41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544</v>
      </c>
      <c r="B329" s="63" t="s">
        <v>545</v>
      </c>
      <c r="C329" s="36">
        <v>4301031502</v>
      </c>
      <c r="D329" s="679">
        <v>4680115884700</v>
      </c>
      <c r="E329" s="679"/>
      <c r="F329" s="62">
        <v>0.57999999999999996</v>
      </c>
      <c r="G329" s="37">
        <v>4</v>
      </c>
      <c r="H329" s="62">
        <v>2.3199999999999998</v>
      </c>
      <c r="I329" s="62">
        <v>2.42</v>
      </c>
      <c r="J329" s="37">
        <v>234</v>
      </c>
      <c r="K329" s="37" t="s">
        <v>82</v>
      </c>
      <c r="L329" s="37" t="s">
        <v>46</v>
      </c>
      <c r="M329" s="38" t="s">
        <v>81</v>
      </c>
      <c r="N329" s="38"/>
      <c r="O329" s="37">
        <v>40</v>
      </c>
      <c r="P329" s="85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81"/>
      <c r="R329" s="681"/>
      <c r="S329" s="681"/>
      <c r="T329" s="68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546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547</v>
      </c>
      <c r="B330" s="63" t="s">
        <v>548</v>
      </c>
      <c r="C330" s="36">
        <v>4301031307</v>
      </c>
      <c r="D330" s="679">
        <v>4680115880344</v>
      </c>
      <c r="E330" s="679"/>
      <c r="F330" s="62">
        <v>0.28000000000000003</v>
      </c>
      <c r="G330" s="37">
        <v>6</v>
      </c>
      <c r="H330" s="62">
        <v>1.68</v>
      </c>
      <c r="I330" s="62">
        <v>1.78</v>
      </c>
      <c r="J330" s="37">
        <v>234</v>
      </c>
      <c r="K330" s="37" t="s">
        <v>82</v>
      </c>
      <c r="L330" s="37" t="s">
        <v>46</v>
      </c>
      <c r="M330" s="38" t="s">
        <v>81</v>
      </c>
      <c r="N330" s="38"/>
      <c r="O330" s="37">
        <v>40</v>
      </c>
      <c r="P330" s="85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81"/>
      <c r="R330" s="681"/>
      <c r="S330" s="681"/>
      <c r="T330" s="68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549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550</v>
      </c>
      <c r="B331" s="63" t="s">
        <v>551</v>
      </c>
      <c r="C331" s="36">
        <v>4301031501</v>
      </c>
      <c r="D331" s="679">
        <v>4680115886919</v>
      </c>
      <c r="E331" s="679"/>
      <c r="F331" s="62">
        <v>0.4</v>
      </c>
      <c r="G331" s="37">
        <v>6</v>
      </c>
      <c r="H331" s="62">
        <v>2.4</v>
      </c>
      <c r="I331" s="62">
        <v>2.58</v>
      </c>
      <c r="J331" s="37">
        <v>182</v>
      </c>
      <c r="K331" s="37" t="s">
        <v>91</v>
      </c>
      <c r="L331" s="37" t="s">
        <v>46</v>
      </c>
      <c r="M331" s="38" t="s">
        <v>81</v>
      </c>
      <c r="N331" s="38"/>
      <c r="O331" s="37">
        <v>40</v>
      </c>
      <c r="P331" s="85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81"/>
      <c r="R331" s="681"/>
      <c r="S331" s="681"/>
      <c r="T331" s="68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16" t="s">
        <v>552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553</v>
      </c>
      <c r="B332" s="63" t="s">
        <v>554</v>
      </c>
      <c r="C332" s="36">
        <v>4301031246</v>
      </c>
      <c r="D332" s="679">
        <v>4680115883970</v>
      </c>
      <c r="E332" s="679"/>
      <c r="F332" s="62">
        <v>0.28000000000000003</v>
      </c>
      <c r="G332" s="37">
        <v>6</v>
      </c>
      <c r="H332" s="62">
        <v>1.68</v>
      </c>
      <c r="I332" s="62">
        <v>2.5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8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81"/>
      <c r="R332" s="681"/>
      <c r="S332" s="681"/>
      <c r="T332" s="68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555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87"/>
      <c r="B333" s="687"/>
      <c r="C333" s="687"/>
      <c r="D333" s="687"/>
      <c r="E333" s="687"/>
      <c r="F333" s="687"/>
      <c r="G333" s="687"/>
      <c r="H333" s="687"/>
      <c r="I333" s="687"/>
      <c r="J333" s="687"/>
      <c r="K333" s="687"/>
      <c r="L333" s="687"/>
      <c r="M333" s="687"/>
      <c r="N333" s="687"/>
      <c r="O333" s="688"/>
      <c r="P333" s="684" t="s">
        <v>40</v>
      </c>
      <c r="Q333" s="685"/>
      <c r="R333" s="685"/>
      <c r="S333" s="685"/>
      <c r="T333" s="685"/>
      <c r="U333" s="685"/>
      <c r="V333" s="686"/>
      <c r="W333" s="42" t="s">
        <v>39</v>
      </c>
      <c r="X333" s="43">
        <f>IFERROR(X328/H328,"0")+IFERROR(X329/H329,"0")+IFERROR(X330/H330,"0")+IFERROR(X331/H331,"0")+IFERROR(X332/H332,"0")</f>
        <v>0</v>
      </c>
      <c r="Y333" s="43">
        <f>IFERROR(Y328/H328,"0")+IFERROR(Y329/H329,"0")+IFERROR(Y330/H330,"0")+IFERROR(Y331/H331,"0")+IFERROR(Y332/H332,"0")</f>
        <v>0</v>
      </c>
      <c r="Z333" s="43">
        <f>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87"/>
      <c r="B334" s="687"/>
      <c r="C334" s="687"/>
      <c r="D334" s="687"/>
      <c r="E334" s="687"/>
      <c r="F334" s="687"/>
      <c r="G334" s="687"/>
      <c r="H334" s="687"/>
      <c r="I334" s="687"/>
      <c r="J334" s="687"/>
      <c r="K334" s="687"/>
      <c r="L334" s="687"/>
      <c r="M334" s="687"/>
      <c r="N334" s="687"/>
      <c r="O334" s="688"/>
      <c r="P334" s="684" t="s">
        <v>40</v>
      </c>
      <c r="Q334" s="685"/>
      <c r="R334" s="685"/>
      <c r="S334" s="685"/>
      <c r="T334" s="685"/>
      <c r="U334" s="685"/>
      <c r="V334" s="686"/>
      <c r="W334" s="42" t="s">
        <v>0</v>
      </c>
      <c r="X334" s="43">
        <f>IFERROR(SUM(X328:X332),"0")</f>
        <v>0</v>
      </c>
      <c r="Y334" s="43">
        <f>IFERROR(SUM(Y328:Y332),"0")</f>
        <v>0</v>
      </c>
      <c r="Z334" s="42"/>
      <c r="AA334" s="67"/>
      <c r="AB334" s="67"/>
      <c r="AC334" s="67"/>
    </row>
    <row r="335" spans="1:68" ht="14.25" hidden="1" customHeight="1" x14ac:dyDescent="0.25">
      <c r="A335" s="678" t="s">
        <v>86</v>
      </c>
      <c r="B335" s="678"/>
      <c r="C335" s="678"/>
      <c r="D335" s="678"/>
      <c r="E335" s="678"/>
      <c r="F335" s="678"/>
      <c r="G335" s="678"/>
      <c r="H335" s="678"/>
      <c r="I335" s="678"/>
      <c r="J335" s="678"/>
      <c r="K335" s="678"/>
      <c r="L335" s="678"/>
      <c r="M335" s="678"/>
      <c r="N335" s="678"/>
      <c r="O335" s="678"/>
      <c r="P335" s="678"/>
      <c r="Q335" s="678"/>
      <c r="R335" s="678"/>
      <c r="S335" s="678"/>
      <c r="T335" s="678"/>
      <c r="U335" s="678"/>
      <c r="V335" s="678"/>
      <c r="W335" s="678"/>
      <c r="X335" s="678"/>
      <c r="Y335" s="678"/>
      <c r="Z335" s="678"/>
      <c r="AA335" s="66"/>
      <c r="AB335" s="66"/>
      <c r="AC335" s="80"/>
    </row>
    <row r="336" spans="1:68" ht="27" hidden="1" customHeight="1" x14ac:dyDescent="0.25">
      <c r="A336" s="63" t="s">
        <v>556</v>
      </c>
      <c r="B336" s="63" t="s">
        <v>557</v>
      </c>
      <c r="C336" s="36">
        <v>4301051782</v>
      </c>
      <c r="D336" s="679">
        <v>4680115884618</v>
      </c>
      <c r="E336" s="679"/>
      <c r="F336" s="62">
        <v>0.6</v>
      </c>
      <c r="G336" s="37">
        <v>6</v>
      </c>
      <c r="H336" s="62">
        <v>3.6</v>
      </c>
      <c r="I336" s="62">
        <v>3.79</v>
      </c>
      <c r="J336" s="37">
        <v>132</v>
      </c>
      <c r="K336" s="37" t="s">
        <v>140</v>
      </c>
      <c r="L336" s="37" t="s">
        <v>46</v>
      </c>
      <c r="M336" s="38" t="s">
        <v>90</v>
      </c>
      <c r="N336" s="38"/>
      <c r="O336" s="37">
        <v>45</v>
      </c>
      <c r="P336" s="8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81"/>
      <c r="R336" s="681"/>
      <c r="S336" s="681"/>
      <c r="T336" s="68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20" t="s">
        <v>558</v>
      </c>
      <c r="AG336" s="78"/>
      <c r="AJ336" s="84" t="s">
        <v>46</v>
      </c>
      <c r="AK336" s="84">
        <v>0</v>
      </c>
      <c r="BB336" s="421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559</v>
      </c>
      <c r="B337" s="63" t="s">
        <v>560</v>
      </c>
      <c r="C337" s="36">
        <v>4301052057</v>
      </c>
      <c r="D337" s="679">
        <v>4680115887114</v>
      </c>
      <c r="E337" s="679"/>
      <c r="F337" s="62">
        <v>0.55000000000000004</v>
      </c>
      <c r="G337" s="37">
        <v>6</v>
      </c>
      <c r="H337" s="62">
        <v>3.3</v>
      </c>
      <c r="I337" s="62">
        <v>3.49</v>
      </c>
      <c r="J337" s="37">
        <v>132</v>
      </c>
      <c r="K337" s="37" t="s">
        <v>140</v>
      </c>
      <c r="L337" s="37" t="s">
        <v>46</v>
      </c>
      <c r="M337" s="38" t="s">
        <v>90</v>
      </c>
      <c r="N337" s="38"/>
      <c r="O337" s="37">
        <v>45</v>
      </c>
      <c r="P337" s="8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81"/>
      <c r="R337" s="681"/>
      <c r="S337" s="681"/>
      <c r="T337" s="68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561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87"/>
      <c r="B338" s="687"/>
      <c r="C338" s="687"/>
      <c r="D338" s="687"/>
      <c r="E338" s="687"/>
      <c r="F338" s="687"/>
      <c r="G338" s="687"/>
      <c r="H338" s="687"/>
      <c r="I338" s="687"/>
      <c r="J338" s="687"/>
      <c r="K338" s="687"/>
      <c r="L338" s="687"/>
      <c r="M338" s="687"/>
      <c r="N338" s="687"/>
      <c r="O338" s="688"/>
      <c r="P338" s="684" t="s">
        <v>40</v>
      </c>
      <c r="Q338" s="685"/>
      <c r="R338" s="685"/>
      <c r="S338" s="685"/>
      <c r="T338" s="685"/>
      <c r="U338" s="685"/>
      <c r="V338" s="686"/>
      <c r="W338" s="42" t="s">
        <v>39</v>
      </c>
      <c r="X338" s="43">
        <f>IFERROR(X336/H336,"0")+IFERROR(X337/H337,"0")</f>
        <v>0</v>
      </c>
      <c r="Y338" s="43">
        <f>IFERROR(Y336/H336,"0")+IFERROR(Y337/H337,"0")</f>
        <v>0</v>
      </c>
      <c r="Z338" s="43">
        <f>IFERROR(IF(Z336="",0,Z336),"0")+IFERROR(IF(Z337="",0,Z337),"0")</f>
        <v>0</v>
      </c>
      <c r="AA338" s="67"/>
      <c r="AB338" s="67"/>
      <c r="AC338" s="67"/>
    </row>
    <row r="339" spans="1:68" hidden="1" x14ac:dyDescent="0.2">
      <c r="A339" s="687"/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8"/>
      <c r="P339" s="684" t="s">
        <v>40</v>
      </c>
      <c r="Q339" s="685"/>
      <c r="R339" s="685"/>
      <c r="S339" s="685"/>
      <c r="T339" s="685"/>
      <c r="U339" s="685"/>
      <c r="V339" s="686"/>
      <c r="W339" s="42" t="s">
        <v>0</v>
      </c>
      <c r="X339" s="43">
        <f>IFERROR(SUM(X336:X337),"0")</f>
        <v>0</v>
      </c>
      <c r="Y339" s="43">
        <f>IFERROR(SUM(Y336:Y337),"0")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7" t="s">
        <v>562</v>
      </c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77"/>
      <c r="P340" s="677"/>
      <c r="Q340" s="677"/>
      <c r="R340" s="677"/>
      <c r="S340" s="677"/>
      <c r="T340" s="677"/>
      <c r="U340" s="677"/>
      <c r="V340" s="677"/>
      <c r="W340" s="677"/>
      <c r="X340" s="677"/>
      <c r="Y340" s="677"/>
      <c r="Z340" s="677"/>
      <c r="AA340" s="65"/>
      <c r="AB340" s="65"/>
      <c r="AC340" s="79"/>
    </row>
    <row r="341" spans="1:68" ht="14.25" hidden="1" customHeight="1" x14ac:dyDescent="0.25">
      <c r="A341" s="678" t="s">
        <v>128</v>
      </c>
      <c r="B341" s="678"/>
      <c r="C341" s="678"/>
      <c r="D341" s="678"/>
      <c r="E341" s="678"/>
      <c r="F341" s="678"/>
      <c r="G341" s="678"/>
      <c r="H341" s="678"/>
      <c r="I341" s="678"/>
      <c r="J341" s="678"/>
      <c r="K341" s="678"/>
      <c r="L341" s="678"/>
      <c r="M341" s="678"/>
      <c r="N341" s="678"/>
      <c r="O341" s="678"/>
      <c r="P341" s="678"/>
      <c r="Q341" s="678"/>
      <c r="R341" s="678"/>
      <c r="S341" s="678"/>
      <c r="T341" s="678"/>
      <c r="U341" s="678"/>
      <c r="V341" s="678"/>
      <c r="W341" s="678"/>
      <c r="X341" s="678"/>
      <c r="Y341" s="678"/>
      <c r="Z341" s="678"/>
      <c r="AA341" s="66"/>
      <c r="AB341" s="66"/>
      <c r="AC341" s="80"/>
    </row>
    <row r="342" spans="1:68" ht="27" customHeight="1" x14ac:dyDescent="0.25">
      <c r="A342" s="63" t="s">
        <v>563</v>
      </c>
      <c r="B342" s="63" t="s">
        <v>564</v>
      </c>
      <c r="C342" s="36">
        <v>4301012324</v>
      </c>
      <c r="D342" s="679">
        <v>4680115887947</v>
      </c>
      <c r="E342" s="679"/>
      <c r="F342" s="62">
        <v>1.3</v>
      </c>
      <c r="G342" s="37">
        <v>6</v>
      </c>
      <c r="H342" s="62">
        <v>7.8</v>
      </c>
      <c r="I342" s="62">
        <v>8.2100000000000009</v>
      </c>
      <c r="J342" s="37">
        <v>64</v>
      </c>
      <c r="K342" s="37" t="s">
        <v>133</v>
      </c>
      <c r="L342" s="37" t="s">
        <v>46</v>
      </c>
      <c r="M342" s="38" t="s">
        <v>90</v>
      </c>
      <c r="N342" s="38"/>
      <c r="O342" s="37">
        <v>60</v>
      </c>
      <c r="P342" s="8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81"/>
      <c r="R342" s="681"/>
      <c r="S342" s="681"/>
      <c r="T342" s="682"/>
      <c r="U342" s="39" t="s">
        <v>46</v>
      </c>
      <c r="V342" s="39" t="s">
        <v>46</v>
      </c>
      <c r="W342" s="40" t="s">
        <v>0</v>
      </c>
      <c r="X342" s="58">
        <v>400</v>
      </c>
      <c r="Y342" s="55">
        <f>IFERROR(IF(X342="",0,CEILING((X342/$H342),1)*$H342),"")</f>
        <v>405.59999999999997</v>
      </c>
      <c r="Z342" s="41">
        <f>IFERROR(IF(Y342=0,"",ROUNDUP(Y342/H342,0)*0.01898),"")</f>
        <v>0.98696000000000006</v>
      </c>
      <c r="AA342" s="68" t="s">
        <v>46</v>
      </c>
      <c r="AB342" s="69" t="s">
        <v>46</v>
      </c>
      <c r="AC342" s="424" t="s">
        <v>565</v>
      </c>
      <c r="AG342" s="78"/>
      <c r="AJ342" s="84" t="s">
        <v>46</v>
      </c>
      <c r="AK342" s="84">
        <v>0</v>
      </c>
      <c r="BB342" s="425" t="s">
        <v>67</v>
      </c>
      <c r="BM342" s="78">
        <f>IFERROR(X342*I342/H342,"0")</f>
        <v>421.02564102564111</v>
      </c>
      <c r="BN342" s="78">
        <f>IFERROR(Y342*I342/H342,"0")</f>
        <v>426.92</v>
      </c>
      <c r="BO342" s="78">
        <f>IFERROR(1/J342*(X342/H342),"0")</f>
        <v>0.80128205128205132</v>
      </c>
      <c r="BP342" s="78">
        <f>IFERROR(1/J342*(Y342/H342),"0")</f>
        <v>0.8125</v>
      </c>
    </row>
    <row r="343" spans="1:68" ht="27" customHeight="1" x14ac:dyDescent="0.25">
      <c r="A343" s="63" t="s">
        <v>566</v>
      </c>
      <c r="B343" s="63" t="s">
        <v>567</v>
      </c>
      <c r="C343" s="36">
        <v>4301012325</v>
      </c>
      <c r="D343" s="679">
        <v>4680115887978</v>
      </c>
      <c r="E343" s="679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133</v>
      </c>
      <c r="L343" s="37" t="s">
        <v>46</v>
      </c>
      <c r="M343" s="38" t="s">
        <v>90</v>
      </c>
      <c r="N343" s="38"/>
      <c r="O343" s="37">
        <v>60</v>
      </c>
      <c r="P343" s="8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81"/>
      <c r="R343" s="681"/>
      <c r="S343" s="681"/>
      <c r="T343" s="682"/>
      <c r="U343" s="39" t="s">
        <v>46</v>
      </c>
      <c r="V343" s="39" t="s">
        <v>46</v>
      </c>
      <c r="W343" s="40" t="s">
        <v>0</v>
      </c>
      <c r="X343" s="58">
        <v>400</v>
      </c>
      <c r="Y343" s="55">
        <f>IFERROR(IF(X343="",0,CEILING((X343/$H343),1)*$H343),"")</f>
        <v>405.59999999999997</v>
      </c>
      <c r="Z343" s="41">
        <f>IFERROR(IF(Y343=0,"",ROUNDUP(Y343/H343,0)*0.01898),"")</f>
        <v>0.98696000000000006</v>
      </c>
      <c r="AA343" s="68" t="s">
        <v>46</v>
      </c>
      <c r="AB343" s="69" t="s">
        <v>46</v>
      </c>
      <c r="AC343" s="426" t="s">
        <v>568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421.02564102564111</v>
      </c>
      <c r="BN343" s="78">
        <f>IFERROR(Y343*I343/H343,"0")</f>
        <v>426.92</v>
      </c>
      <c r="BO343" s="78">
        <f>IFERROR(1/J343*(X343/H343),"0")</f>
        <v>0.80128205128205132</v>
      </c>
      <c r="BP343" s="78">
        <f>IFERROR(1/J343*(Y343/H343),"0")</f>
        <v>0.8125</v>
      </c>
    </row>
    <row r="344" spans="1:68" ht="27" customHeight="1" x14ac:dyDescent="0.25">
      <c r="A344" s="63" t="s">
        <v>569</v>
      </c>
      <c r="B344" s="63" t="s">
        <v>570</v>
      </c>
      <c r="C344" s="36">
        <v>4301012327</v>
      </c>
      <c r="D344" s="679">
        <v>4680115887992</v>
      </c>
      <c r="E344" s="679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133</v>
      </c>
      <c r="L344" s="37" t="s">
        <v>46</v>
      </c>
      <c r="M344" s="38" t="s">
        <v>90</v>
      </c>
      <c r="N344" s="38"/>
      <c r="O344" s="37">
        <v>60</v>
      </c>
      <c r="P344" s="8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81"/>
      <c r="R344" s="681"/>
      <c r="S344" s="681"/>
      <c r="T344" s="682"/>
      <c r="U344" s="39" t="s">
        <v>46</v>
      </c>
      <c r="V344" s="39" t="s">
        <v>46</v>
      </c>
      <c r="W344" s="40" t="s">
        <v>0</v>
      </c>
      <c r="X344" s="58">
        <v>200</v>
      </c>
      <c r="Y344" s="55">
        <f>IFERROR(IF(X344="",0,CEILING((X344/$H344),1)*$H344),"")</f>
        <v>202.79999999999998</v>
      </c>
      <c r="Z344" s="41">
        <f>IFERROR(IF(Y344=0,"",ROUNDUP(Y344/H344,0)*0.01898),"")</f>
        <v>0.49348000000000003</v>
      </c>
      <c r="AA344" s="68" t="s">
        <v>46</v>
      </c>
      <c r="AB344" s="69" t="s">
        <v>46</v>
      </c>
      <c r="AC344" s="428" t="s">
        <v>571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210.51282051282055</v>
      </c>
      <c r="BN344" s="78">
        <f>IFERROR(Y344*I344/H344,"0")</f>
        <v>213.46</v>
      </c>
      <c r="BO344" s="78">
        <f>IFERROR(1/J344*(X344/H344),"0")</f>
        <v>0.40064102564102566</v>
      </c>
      <c r="BP344" s="78">
        <f>IFERROR(1/J344*(Y344/H344),"0")</f>
        <v>0.40625</v>
      </c>
    </row>
    <row r="345" spans="1:68" x14ac:dyDescent="0.2">
      <c r="A345" s="687"/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8"/>
      <c r="P345" s="684" t="s">
        <v>40</v>
      </c>
      <c r="Q345" s="685"/>
      <c r="R345" s="685"/>
      <c r="S345" s="685"/>
      <c r="T345" s="685"/>
      <c r="U345" s="685"/>
      <c r="V345" s="686"/>
      <c r="W345" s="42" t="s">
        <v>39</v>
      </c>
      <c r="X345" s="43">
        <f>IFERROR(X342/H342,"0")+IFERROR(X343/H343,"0")+IFERROR(X344/H344,"0")</f>
        <v>128.2051282051282</v>
      </c>
      <c r="Y345" s="43">
        <f>IFERROR(Y342/H342,"0")+IFERROR(Y343/H343,"0")+IFERROR(Y344/H344,"0")</f>
        <v>130</v>
      </c>
      <c r="Z345" s="43">
        <f>IFERROR(IF(Z342="",0,Z342),"0")+IFERROR(IF(Z343="",0,Z343),"0")+IFERROR(IF(Z344="",0,Z344),"0")</f>
        <v>2.4674</v>
      </c>
      <c r="AA345" s="67"/>
      <c r="AB345" s="67"/>
      <c r="AC345" s="67"/>
    </row>
    <row r="346" spans="1:68" x14ac:dyDescent="0.2">
      <c r="A346" s="687"/>
      <c r="B346" s="687"/>
      <c r="C346" s="687"/>
      <c r="D346" s="687"/>
      <c r="E346" s="687"/>
      <c r="F346" s="687"/>
      <c r="G346" s="687"/>
      <c r="H346" s="687"/>
      <c r="I346" s="687"/>
      <c r="J346" s="687"/>
      <c r="K346" s="687"/>
      <c r="L346" s="687"/>
      <c r="M346" s="687"/>
      <c r="N346" s="687"/>
      <c r="O346" s="688"/>
      <c r="P346" s="684" t="s">
        <v>40</v>
      </c>
      <c r="Q346" s="685"/>
      <c r="R346" s="685"/>
      <c r="S346" s="685"/>
      <c r="T346" s="685"/>
      <c r="U346" s="685"/>
      <c r="V346" s="686"/>
      <c r="W346" s="42" t="s">
        <v>0</v>
      </c>
      <c r="X346" s="43">
        <f>IFERROR(SUM(X342:X344),"0")</f>
        <v>1000</v>
      </c>
      <c r="Y346" s="43">
        <f>IFERROR(SUM(Y342:Y344),"0")</f>
        <v>1013.9999999999999</v>
      </c>
      <c r="Z346" s="42"/>
      <c r="AA346" s="67"/>
      <c r="AB346" s="67"/>
      <c r="AC346" s="67"/>
    </row>
    <row r="347" spans="1:68" ht="16.5" hidden="1" customHeight="1" x14ac:dyDescent="0.25">
      <c r="A347" s="677" t="s">
        <v>572</v>
      </c>
      <c r="B347" s="677"/>
      <c r="C347" s="677"/>
      <c r="D347" s="677"/>
      <c r="E347" s="677"/>
      <c r="F347" s="677"/>
      <c r="G347" s="677"/>
      <c r="H347" s="677"/>
      <c r="I347" s="677"/>
      <c r="J347" s="677"/>
      <c r="K347" s="677"/>
      <c r="L347" s="677"/>
      <c r="M347" s="677"/>
      <c r="N347" s="677"/>
      <c r="O347" s="677"/>
      <c r="P347" s="677"/>
      <c r="Q347" s="677"/>
      <c r="R347" s="677"/>
      <c r="S347" s="677"/>
      <c r="T347" s="677"/>
      <c r="U347" s="677"/>
      <c r="V347" s="677"/>
      <c r="W347" s="677"/>
      <c r="X347" s="677"/>
      <c r="Y347" s="677"/>
      <c r="Z347" s="677"/>
      <c r="AA347" s="65"/>
      <c r="AB347" s="65"/>
      <c r="AC347" s="79"/>
    </row>
    <row r="348" spans="1:68" ht="14.25" hidden="1" customHeight="1" x14ac:dyDescent="0.25">
      <c r="A348" s="678" t="s">
        <v>128</v>
      </c>
      <c r="B348" s="678"/>
      <c r="C348" s="678"/>
      <c r="D348" s="678"/>
      <c r="E348" s="678"/>
      <c r="F348" s="678"/>
      <c r="G348" s="678"/>
      <c r="H348" s="678"/>
      <c r="I348" s="678"/>
      <c r="J348" s="678"/>
      <c r="K348" s="678"/>
      <c r="L348" s="678"/>
      <c r="M348" s="678"/>
      <c r="N348" s="678"/>
      <c r="O348" s="678"/>
      <c r="P348" s="678"/>
      <c r="Q348" s="678"/>
      <c r="R348" s="678"/>
      <c r="S348" s="678"/>
      <c r="T348" s="678"/>
      <c r="U348" s="678"/>
      <c r="V348" s="678"/>
      <c r="W348" s="678"/>
      <c r="X348" s="678"/>
      <c r="Y348" s="678"/>
      <c r="Z348" s="678"/>
      <c r="AA348" s="66"/>
      <c r="AB348" s="66"/>
      <c r="AC348" s="80"/>
    </row>
    <row r="349" spans="1:68" ht="27" hidden="1" customHeight="1" x14ac:dyDescent="0.25">
      <c r="A349" s="63" t="s">
        <v>573</v>
      </c>
      <c r="B349" s="63" t="s">
        <v>574</v>
      </c>
      <c r="C349" s="36">
        <v>4301012126</v>
      </c>
      <c r="D349" s="679">
        <v>4607091386004</v>
      </c>
      <c r="E349" s="679"/>
      <c r="F349" s="62">
        <v>1.35</v>
      </c>
      <c r="G349" s="37">
        <v>8</v>
      </c>
      <c r="H349" s="62">
        <v>10.8</v>
      </c>
      <c r="I349" s="62">
        <v>11.21</v>
      </c>
      <c r="J349" s="37">
        <v>64</v>
      </c>
      <c r="K349" s="37" t="s">
        <v>133</v>
      </c>
      <c r="L349" s="37" t="s">
        <v>46</v>
      </c>
      <c r="M349" s="38" t="s">
        <v>132</v>
      </c>
      <c r="N349" s="38"/>
      <c r="O349" s="37">
        <v>55</v>
      </c>
      <c r="P349" s="8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9" s="681"/>
      <c r="R349" s="681"/>
      <c r="S349" s="681"/>
      <c r="T349" s="682"/>
      <c r="U349" s="39" t="s">
        <v>46</v>
      </c>
      <c r="V349" s="39" t="s">
        <v>46</v>
      </c>
      <c r="W349" s="40" t="s">
        <v>0</v>
      </c>
      <c r="X349" s="58">
        <v>0</v>
      </c>
      <c r="Y349" s="55">
        <f t="shared" ref="Y349:Y354" si="47">IFERROR(IF(X349="",0,CEILING((X349/$H349),1)*$H349),"")</f>
        <v>0</v>
      </c>
      <c r="Z349" s="41" t="str">
        <f>IFERROR(IF(Y349=0,"",ROUNDUP(Y349/H349,0)*0.01898),"")</f>
        <v/>
      </c>
      <c r="AA349" s="68" t="s">
        <v>46</v>
      </c>
      <c r="AB349" s="69" t="s">
        <v>46</v>
      </c>
      <c r="AC349" s="430" t="s">
        <v>575</v>
      </c>
      <c r="AG349" s="78"/>
      <c r="AJ349" s="84" t="s">
        <v>46</v>
      </c>
      <c r="AK349" s="84">
        <v>0</v>
      </c>
      <c r="BB349" s="431" t="s">
        <v>67</v>
      </c>
      <c r="BM349" s="78">
        <f t="shared" ref="BM349:BM354" si="48">IFERROR(X349*I349/H349,"0")</f>
        <v>0</v>
      </c>
      <c r="BN349" s="78">
        <f t="shared" ref="BN349:BN354" si="49">IFERROR(Y349*I349/H349,"0")</f>
        <v>0</v>
      </c>
      <c r="BO349" s="78">
        <f t="shared" ref="BO349:BO354" si="50">IFERROR(1/J349*(X349/H349),"0")</f>
        <v>0</v>
      </c>
      <c r="BP349" s="78">
        <f t="shared" ref="BP349:BP354" si="51">IFERROR(1/J349*(Y349/H349),"0")</f>
        <v>0</v>
      </c>
    </row>
    <row r="350" spans="1:68" ht="27" hidden="1" customHeight="1" x14ac:dyDescent="0.25">
      <c r="A350" s="63" t="s">
        <v>576</v>
      </c>
      <c r="B350" s="63" t="s">
        <v>577</v>
      </c>
      <c r="C350" s="36">
        <v>4301012235</v>
      </c>
      <c r="D350" s="679">
        <v>4680115887190</v>
      </c>
      <c r="E350" s="679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133</v>
      </c>
      <c r="L350" s="37" t="s">
        <v>46</v>
      </c>
      <c r="M350" s="38" t="s">
        <v>132</v>
      </c>
      <c r="N350" s="38"/>
      <c r="O350" s="37">
        <v>55</v>
      </c>
      <c r="P350" s="8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81"/>
      <c r="R350" s="681"/>
      <c r="S350" s="681"/>
      <c r="T350" s="682"/>
      <c r="U350" s="39" t="s">
        <v>46</v>
      </c>
      <c r="V350" s="39" t="s">
        <v>46</v>
      </c>
      <c r="W350" s="40" t="s">
        <v>0</v>
      </c>
      <c r="X350" s="58">
        <v>0</v>
      </c>
      <c r="Y350" s="55">
        <f t="shared" si="47"/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578</v>
      </c>
      <c r="AG350" s="78"/>
      <c r="AJ350" s="84" t="s">
        <v>46</v>
      </c>
      <c r="AK350" s="84">
        <v>0</v>
      </c>
      <c r="BB350" s="433" t="s">
        <v>67</v>
      </c>
      <c r="BM350" s="78">
        <f t="shared" si="48"/>
        <v>0</v>
      </c>
      <c r="BN350" s="78">
        <f t="shared" si="49"/>
        <v>0</v>
      </c>
      <c r="BO350" s="78">
        <f t="shared" si="50"/>
        <v>0</v>
      </c>
      <c r="BP350" s="78">
        <f t="shared" si="51"/>
        <v>0</v>
      </c>
    </row>
    <row r="351" spans="1:68" ht="37.5" hidden="1" customHeight="1" x14ac:dyDescent="0.25">
      <c r="A351" s="63" t="s">
        <v>579</v>
      </c>
      <c r="B351" s="63" t="s">
        <v>580</v>
      </c>
      <c r="C351" s="36">
        <v>4301012233</v>
      </c>
      <c r="D351" s="679">
        <v>4680115887138</v>
      </c>
      <c r="E351" s="679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133</v>
      </c>
      <c r="L351" s="37" t="s">
        <v>46</v>
      </c>
      <c r="M351" s="38" t="s">
        <v>132</v>
      </c>
      <c r="N351" s="38"/>
      <c r="O351" s="37">
        <v>55</v>
      </c>
      <c r="P351" s="8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81"/>
      <c r="R351" s="681"/>
      <c r="S351" s="681"/>
      <c r="T351" s="682"/>
      <c r="U351" s="39" t="s">
        <v>46</v>
      </c>
      <c r="V351" s="39" t="s">
        <v>46</v>
      </c>
      <c r="W351" s="40" t="s">
        <v>0</v>
      </c>
      <c r="X351" s="58">
        <v>0</v>
      </c>
      <c r="Y351" s="55">
        <f t="shared" si="47"/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581</v>
      </c>
      <c r="AG351" s="78"/>
      <c r="AJ351" s="84" t="s">
        <v>46</v>
      </c>
      <c r="AK351" s="84">
        <v>0</v>
      </c>
      <c r="BB351" s="435" t="s">
        <v>67</v>
      </c>
      <c r="BM351" s="78">
        <f t="shared" si="48"/>
        <v>0</v>
      </c>
      <c r="BN351" s="78">
        <f t="shared" si="49"/>
        <v>0</v>
      </c>
      <c r="BO351" s="78">
        <f t="shared" si="50"/>
        <v>0</v>
      </c>
      <c r="BP351" s="78">
        <f t="shared" si="51"/>
        <v>0</v>
      </c>
    </row>
    <row r="352" spans="1:68" ht="27" hidden="1" customHeight="1" x14ac:dyDescent="0.25">
      <c r="A352" s="63" t="s">
        <v>582</v>
      </c>
      <c r="B352" s="63" t="s">
        <v>583</v>
      </c>
      <c r="C352" s="36">
        <v>4301012016</v>
      </c>
      <c r="D352" s="679">
        <v>4680115885554</v>
      </c>
      <c r="E352" s="679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133</v>
      </c>
      <c r="L352" s="37" t="s">
        <v>46</v>
      </c>
      <c r="M352" s="38" t="s">
        <v>90</v>
      </c>
      <c r="N352" s="38"/>
      <c r="O352" s="37">
        <v>55</v>
      </c>
      <c r="P352" s="8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81"/>
      <c r="R352" s="681"/>
      <c r="S352" s="681"/>
      <c r="T352" s="682"/>
      <c r="U352" s="39" t="s">
        <v>46</v>
      </c>
      <c r="V352" s="39" t="s">
        <v>46</v>
      </c>
      <c r="W352" s="40" t="s">
        <v>0</v>
      </c>
      <c r="X352" s="58">
        <v>0</v>
      </c>
      <c r="Y352" s="55">
        <f t="shared" si="47"/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584</v>
      </c>
      <c r="AG352" s="78"/>
      <c r="AJ352" s="84" t="s">
        <v>46</v>
      </c>
      <c r="AK352" s="84">
        <v>0</v>
      </c>
      <c r="BB352" s="437" t="s">
        <v>67</v>
      </c>
      <c r="BM352" s="78">
        <f t="shared" si="48"/>
        <v>0</v>
      </c>
      <c r="BN352" s="78">
        <f t="shared" si="49"/>
        <v>0</v>
      </c>
      <c r="BO352" s="78">
        <f t="shared" si="50"/>
        <v>0</v>
      </c>
      <c r="BP352" s="78">
        <f t="shared" si="51"/>
        <v>0</v>
      </c>
    </row>
    <row r="353" spans="1:68" ht="27" hidden="1" customHeight="1" x14ac:dyDescent="0.25">
      <c r="A353" s="63" t="s">
        <v>585</v>
      </c>
      <c r="B353" s="63" t="s">
        <v>586</v>
      </c>
      <c r="C353" s="36">
        <v>4301012236</v>
      </c>
      <c r="D353" s="679">
        <v>4680115887220</v>
      </c>
      <c r="E353" s="67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140</v>
      </c>
      <c r="L353" s="37" t="s">
        <v>46</v>
      </c>
      <c r="M353" s="38" t="s">
        <v>132</v>
      </c>
      <c r="N353" s="38"/>
      <c r="O353" s="37">
        <v>55</v>
      </c>
      <c r="P353" s="8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81"/>
      <c r="R353" s="681"/>
      <c r="S353" s="681"/>
      <c r="T353" s="682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si="47"/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38" t="s">
        <v>578</v>
      </c>
      <c r="AG353" s="78"/>
      <c r="AJ353" s="84" t="s">
        <v>46</v>
      </c>
      <c r="AK353" s="84">
        <v>0</v>
      </c>
      <c r="BB353" s="439" t="s">
        <v>67</v>
      </c>
      <c r="BM353" s="78">
        <f t="shared" si="48"/>
        <v>0</v>
      </c>
      <c r="BN353" s="78">
        <f t="shared" si="49"/>
        <v>0</v>
      </c>
      <c r="BO353" s="78">
        <f t="shared" si="50"/>
        <v>0</v>
      </c>
      <c r="BP353" s="78">
        <f t="shared" si="51"/>
        <v>0</v>
      </c>
    </row>
    <row r="354" spans="1:68" ht="27" hidden="1" customHeight="1" x14ac:dyDescent="0.25">
      <c r="A354" s="63" t="s">
        <v>587</v>
      </c>
      <c r="B354" s="63" t="s">
        <v>588</v>
      </c>
      <c r="C354" s="36">
        <v>4301011859</v>
      </c>
      <c r="D354" s="679">
        <v>4680115885608</v>
      </c>
      <c r="E354" s="679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140</v>
      </c>
      <c r="L354" s="37" t="s">
        <v>46</v>
      </c>
      <c r="M354" s="38" t="s">
        <v>132</v>
      </c>
      <c r="N354" s="38"/>
      <c r="O354" s="37">
        <v>55</v>
      </c>
      <c r="P354" s="8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81"/>
      <c r="R354" s="681"/>
      <c r="S354" s="681"/>
      <c r="T354" s="682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idden="1" x14ac:dyDescent="0.2">
      <c r="A355" s="687"/>
      <c r="B355" s="687"/>
      <c r="C355" s="687"/>
      <c r="D355" s="687"/>
      <c r="E355" s="687"/>
      <c r="F355" s="687"/>
      <c r="G355" s="687"/>
      <c r="H355" s="687"/>
      <c r="I355" s="687"/>
      <c r="J355" s="687"/>
      <c r="K355" s="687"/>
      <c r="L355" s="687"/>
      <c r="M355" s="687"/>
      <c r="N355" s="687"/>
      <c r="O355" s="688"/>
      <c r="P355" s="684" t="s">
        <v>40</v>
      </c>
      <c r="Q355" s="685"/>
      <c r="R355" s="685"/>
      <c r="S355" s="685"/>
      <c r="T355" s="685"/>
      <c r="U355" s="685"/>
      <c r="V355" s="686"/>
      <c r="W355" s="42" t="s">
        <v>39</v>
      </c>
      <c r="X355" s="43">
        <f>IFERROR(X349/H349,"0")+IFERROR(X350/H350,"0")+IFERROR(X351/H351,"0")+IFERROR(X352/H352,"0")+IFERROR(X353/H353,"0")+IFERROR(X354/H354,"0")</f>
        <v>0</v>
      </c>
      <c r="Y355" s="43">
        <f>IFERROR(Y349/H349,"0")+IFERROR(Y350/H350,"0")+IFERROR(Y351/H351,"0")+IFERROR(Y352/H352,"0")+IFERROR(Y353/H353,"0")+IFERROR(Y354/H354,"0")</f>
        <v>0</v>
      </c>
      <c r="Z355" s="43">
        <f>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87"/>
      <c r="B356" s="687"/>
      <c r="C356" s="687"/>
      <c r="D356" s="687"/>
      <c r="E356" s="687"/>
      <c r="F356" s="687"/>
      <c r="G356" s="687"/>
      <c r="H356" s="687"/>
      <c r="I356" s="687"/>
      <c r="J356" s="687"/>
      <c r="K356" s="687"/>
      <c r="L356" s="687"/>
      <c r="M356" s="687"/>
      <c r="N356" s="687"/>
      <c r="O356" s="688"/>
      <c r="P356" s="684" t="s">
        <v>40</v>
      </c>
      <c r="Q356" s="685"/>
      <c r="R356" s="685"/>
      <c r="S356" s="685"/>
      <c r="T356" s="685"/>
      <c r="U356" s="685"/>
      <c r="V356" s="686"/>
      <c r="W356" s="42" t="s">
        <v>0</v>
      </c>
      <c r="X356" s="43">
        <f>IFERROR(SUM(X349:X354),"0")</f>
        <v>0</v>
      </c>
      <c r="Y356" s="43">
        <f>IFERROR(SUM(Y349:Y354),"0")</f>
        <v>0</v>
      </c>
      <c r="Z356" s="42"/>
      <c r="AA356" s="67"/>
      <c r="AB356" s="67"/>
      <c r="AC356" s="67"/>
    </row>
    <row r="357" spans="1:68" ht="14.25" hidden="1" customHeight="1" x14ac:dyDescent="0.25">
      <c r="A357" s="678" t="s">
        <v>77</v>
      </c>
      <c r="B357" s="678"/>
      <c r="C357" s="678"/>
      <c r="D357" s="678"/>
      <c r="E357" s="678"/>
      <c r="F357" s="678"/>
      <c r="G357" s="678"/>
      <c r="H357" s="678"/>
      <c r="I357" s="678"/>
      <c r="J357" s="678"/>
      <c r="K357" s="678"/>
      <c r="L357" s="678"/>
      <c r="M357" s="678"/>
      <c r="N357" s="678"/>
      <c r="O357" s="678"/>
      <c r="P357" s="678"/>
      <c r="Q357" s="678"/>
      <c r="R357" s="678"/>
      <c r="S357" s="678"/>
      <c r="T357" s="678"/>
      <c r="U357" s="678"/>
      <c r="V357" s="678"/>
      <c r="W357" s="678"/>
      <c r="X357" s="678"/>
      <c r="Y357" s="678"/>
      <c r="Z357" s="678"/>
      <c r="AA357" s="66"/>
      <c r="AB357" s="66"/>
      <c r="AC357" s="80"/>
    </row>
    <row r="358" spans="1:68" ht="27" hidden="1" customHeight="1" x14ac:dyDescent="0.25">
      <c r="A358" s="63" t="s">
        <v>590</v>
      </c>
      <c r="B358" s="63" t="s">
        <v>591</v>
      </c>
      <c r="C358" s="36">
        <v>4301030878</v>
      </c>
      <c r="D358" s="679">
        <v>4607091387193</v>
      </c>
      <c r="E358" s="679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140</v>
      </c>
      <c r="L358" s="37" t="s">
        <v>46</v>
      </c>
      <c r="M358" s="38" t="s">
        <v>81</v>
      </c>
      <c r="N358" s="38"/>
      <c r="O358" s="37">
        <v>35</v>
      </c>
      <c r="P358" s="8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81"/>
      <c r="R358" s="681"/>
      <c r="S358" s="681"/>
      <c r="T358" s="68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ref="Y358:Y364" si="52"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2" t="s">
        <v>592</v>
      </c>
      <c r="AG358" s="78"/>
      <c r="AJ358" s="84" t="s">
        <v>46</v>
      </c>
      <c r="AK358" s="84">
        <v>0</v>
      </c>
      <c r="BB358" s="443" t="s">
        <v>67</v>
      </c>
      <c r="BM358" s="78">
        <f t="shared" ref="BM358:BM364" si="53">IFERROR(X358*I358/H358,"0")</f>
        <v>0</v>
      </c>
      <c r="BN358" s="78">
        <f t="shared" ref="BN358:BN364" si="54">IFERROR(Y358*I358/H358,"0")</f>
        <v>0</v>
      </c>
      <c r="BO358" s="78">
        <f t="shared" ref="BO358:BO364" si="55">IFERROR(1/J358*(X358/H358),"0")</f>
        <v>0</v>
      </c>
      <c r="BP358" s="78">
        <f t="shared" ref="BP358:BP364" si="56">IFERROR(1/J358*(Y358/H358),"0")</f>
        <v>0</v>
      </c>
    </row>
    <row r="359" spans="1:68" ht="27" hidden="1" customHeight="1" x14ac:dyDescent="0.25">
      <c r="A359" s="63" t="s">
        <v>593</v>
      </c>
      <c r="B359" s="63" t="s">
        <v>594</v>
      </c>
      <c r="C359" s="36">
        <v>4301031153</v>
      </c>
      <c r="D359" s="679">
        <v>4607091387230</v>
      </c>
      <c r="E359" s="679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140</v>
      </c>
      <c r="L359" s="37" t="s">
        <v>46</v>
      </c>
      <c r="M359" s="38" t="s">
        <v>81</v>
      </c>
      <c r="N359" s="38"/>
      <c r="O359" s="37">
        <v>40</v>
      </c>
      <c r="P359" s="8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81"/>
      <c r="R359" s="681"/>
      <c r="S359" s="681"/>
      <c r="T359" s="68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2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595</v>
      </c>
      <c r="AG359" s="78"/>
      <c r="AJ359" s="84" t="s">
        <v>46</v>
      </c>
      <c r="AK359" s="84">
        <v>0</v>
      </c>
      <c r="BB359" s="445" t="s">
        <v>67</v>
      </c>
      <c r="BM359" s="78">
        <f t="shared" si="53"/>
        <v>0</v>
      </c>
      <c r="BN359" s="78">
        <f t="shared" si="54"/>
        <v>0</v>
      </c>
      <c r="BO359" s="78">
        <f t="shared" si="55"/>
        <v>0</v>
      </c>
      <c r="BP359" s="78">
        <f t="shared" si="56"/>
        <v>0</v>
      </c>
    </row>
    <row r="360" spans="1:68" ht="27" hidden="1" customHeight="1" x14ac:dyDescent="0.25">
      <c r="A360" s="63" t="s">
        <v>596</v>
      </c>
      <c r="B360" s="63" t="s">
        <v>597</v>
      </c>
      <c r="C360" s="36">
        <v>4301031154</v>
      </c>
      <c r="D360" s="679">
        <v>4607091387292</v>
      </c>
      <c r="E360" s="679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140</v>
      </c>
      <c r="L360" s="37" t="s">
        <v>46</v>
      </c>
      <c r="M360" s="38" t="s">
        <v>81</v>
      </c>
      <c r="N360" s="38"/>
      <c r="O360" s="37">
        <v>45</v>
      </c>
      <c r="P360" s="8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81"/>
      <c r="R360" s="681"/>
      <c r="S360" s="681"/>
      <c r="T360" s="68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598</v>
      </c>
      <c r="AG360" s="78"/>
      <c r="AJ360" s="84" t="s">
        <v>46</v>
      </c>
      <c r="AK360" s="84">
        <v>0</v>
      </c>
      <c r="BB360" s="447" t="s">
        <v>67</v>
      </c>
      <c r="BM360" s="78">
        <f t="shared" si="53"/>
        <v>0</v>
      </c>
      <c r="BN360" s="78">
        <f t="shared" si="54"/>
        <v>0</v>
      </c>
      <c r="BO360" s="78">
        <f t="shared" si="55"/>
        <v>0</v>
      </c>
      <c r="BP360" s="78">
        <f t="shared" si="56"/>
        <v>0</v>
      </c>
    </row>
    <row r="361" spans="1:68" ht="27" hidden="1" customHeight="1" x14ac:dyDescent="0.25">
      <c r="A361" s="63" t="s">
        <v>599</v>
      </c>
      <c r="B361" s="63" t="s">
        <v>600</v>
      </c>
      <c r="C361" s="36">
        <v>4301031152</v>
      </c>
      <c r="D361" s="679">
        <v>4607091387285</v>
      </c>
      <c r="E361" s="679"/>
      <c r="F361" s="62">
        <v>0.35</v>
      </c>
      <c r="G361" s="37">
        <v>6</v>
      </c>
      <c r="H361" s="62">
        <v>2.1</v>
      </c>
      <c r="I361" s="62">
        <v>2.23</v>
      </c>
      <c r="J361" s="37">
        <v>234</v>
      </c>
      <c r="K361" s="37" t="s">
        <v>82</v>
      </c>
      <c r="L361" s="37" t="s">
        <v>46</v>
      </c>
      <c r="M361" s="38" t="s">
        <v>81</v>
      </c>
      <c r="N361" s="38"/>
      <c r="O361" s="37">
        <v>40</v>
      </c>
      <c r="P361" s="8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81"/>
      <c r="R361" s="681"/>
      <c r="S361" s="681"/>
      <c r="T361" s="68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2"/>
        <v>0</v>
      </c>
      <c r="Z361" s="41" t="str">
        <f>IFERROR(IF(Y361=0,"",ROUNDUP(Y361/H361,0)*0.00502),"")</f>
        <v/>
      </c>
      <c r="AA361" s="68" t="s">
        <v>46</v>
      </c>
      <c r="AB361" s="69" t="s">
        <v>46</v>
      </c>
      <c r="AC361" s="448" t="s">
        <v>595</v>
      </c>
      <c r="AG361" s="78"/>
      <c r="AJ361" s="84" t="s">
        <v>46</v>
      </c>
      <c r="AK361" s="84">
        <v>0</v>
      </c>
      <c r="BB361" s="449" t="s">
        <v>67</v>
      </c>
      <c r="BM361" s="78">
        <f t="shared" si="53"/>
        <v>0</v>
      </c>
      <c r="BN361" s="78">
        <f t="shared" si="54"/>
        <v>0</v>
      </c>
      <c r="BO361" s="78">
        <f t="shared" si="55"/>
        <v>0</v>
      </c>
      <c r="BP361" s="78">
        <f t="shared" si="56"/>
        <v>0</v>
      </c>
    </row>
    <row r="362" spans="1:68" ht="27" hidden="1" customHeight="1" x14ac:dyDescent="0.25">
      <c r="A362" s="63" t="s">
        <v>601</v>
      </c>
      <c r="B362" s="63" t="s">
        <v>602</v>
      </c>
      <c r="C362" s="36">
        <v>4301031305</v>
      </c>
      <c r="D362" s="679">
        <v>4607091389845</v>
      </c>
      <c r="E362" s="679"/>
      <c r="F362" s="62">
        <v>0.35</v>
      </c>
      <c r="G362" s="37">
        <v>6</v>
      </c>
      <c r="H362" s="62">
        <v>2.1</v>
      </c>
      <c r="I362" s="62">
        <v>2.2000000000000002</v>
      </c>
      <c r="J362" s="37">
        <v>234</v>
      </c>
      <c r="K362" s="37" t="s">
        <v>82</v>
      </c>
      <c r="L362" s="37" t="s">
        <v>46</v>
      </c>
      <c r="M362" s="38" t="s">
        <v>81</v>
      </c>
      <c r="N362" s="38"/>
      <c r="O362" s="37">
        <v>40</v>
      </c>
      <c r="P362" s="8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81"/>
      <c r="R362" s="681"/>
      <c r="S362" s="681"/>
      <c r="T362" s="68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2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si="53"/>
        <v>0</v>
      </c>
      <c r="BN362" s="78">
        <f t="shared" si="54"/>
        <v>0</v>
      </c>
      <c r="BO362" s="78">
        <f t="shared" si="55"/>
        <v>0</v>
      </c>
      <c r="BP362" s="78">
        <f t="shared" si="56"/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4301031460</v>
      </c>
      <c r="D363" s="679">
        <v>4680115887442</v>
      </c>
      <c r="E363" s="679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45</v>
      </c>
      <c r="P363" s="87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81"/>
      <c r="R363" s="681"/>
      <c r="S363" s="681"/>
      <c r="T363" s="68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598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4301031066</v>
      </c>
      <c r="D364" s="679">
        <v>4607091383836</v>
      </c>
      <c r="E364" s="679"/>
      <c r="F364" s="62">
        <v>0.3</v>
      </c>
      <c r="G364" s="37">
        <v>6</v>
      </c>
      <c r="H364" s="62">
        <v>1.8</v>
      </c>
      <c r="I364" s="62">
        <v>2.028</v>
      </c>
      <c r="J364" s="37">
        <v>182</v>
      </c>
      <c r="K364" s="37" t="s">
        <v>91</v>
      </c>
      <c r="L364" s="37" t="s">
        <v>46</v>
      </c>
      <c r="M364" s="38" t="s">
        <v>81</v>
      </c>
      <c r="N364" s="38"/>
      <c r="O364" s="37">
        <v>40</v>
      </c>
      <c r="P364" s="8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81"/>
      <c r="R364" s="681"/>
      <c r="S364" s="681"/>
      <c r="T364" s="68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IFERROR(IF(Y364=0,"",ROUNDUP(Y364/H364,0)*0.00651),"")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idden="1" x14ac:dyDescent="0.2">
      <c r="A365" s="687"/>
      <c r="B365" s="687"/>
      <c r="C365" s="687"/>
      <c r="D365" s="687"/>
      <c r="E365" s="687"/>
      <c r="F365" s="687"/>
      <c r="G365" s="687"/>
      <c r="H365" s="687"/>
      <c r="I365" s="687"/>
      <c r="J365" s="687"/>
      <c r="K365" s="687"/>
      <c r="L365" s="687"/>
      <c r="M365" s="687"/>
      <c r="N365" s="687"/>
      <c r="O365" s="688"/>
      <c r="P365" s="684" t="s">
        <v>40</v>
      </c>
      <c r="Q365" s="685"/>
      <c r="R365" s="685"/>
      <c r="S365" s="685"/>
      <c r="T365" s="685"/>
      <c r="U365" s="685"/>
      <c r="V365" s="686"/>
      <c r="W365" s="42" t="s">
        <v>39</v>
      </c>
      <c r="X365" s="43">
        <f>IFERROR(X358/H358,"0")+IFERROR(X359/H359,"0")+IFERROR(X360/H360,"0")+IFERROR(X361/H361,"0")+IFERROR(X362/H362,"0")+IFERROR(X363/H363,"0")+IFERROR(X364/H364,"0")</f>
        <v>0</v>
      </c>
      <c r="Y365" s="43">
        <f>IFERROR(Y358/H358,"0")+IFERROR(Y359/H359,"0")+IFERROR(Y360/H360,"0")+IFERROR(Y361/H361,"0")+IFERROR(Y362/H362,"0")+IFERROR(Y363/H363,"0")+IFERROR(Y364/H364,"0")</f>
        <v>0</v>
      </c>
      <c r="Z365" s="43">
        <f>IFERROR(IF(Z358="",0,Z358),"0")+IFERROR(IF(Z359="",0,Z359),"0")+IFERROR(IF(Z360="",0,Z360),"0")+IFERROR(IF(Z361="",0,Z361),"0")+IFERROR(IF(Z362="",0,Z362),"0")+IFERROR(IF(Z363="",0,Z363),"0")+IFERROR(IF(Z364="",0,Z364),"0")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87"/>
      <c r="B366" s="687"/>
      <c r="C366" s="687"/>
      <c r="D366" s="687"/>
      <c r="E366" s="687"/>
      <c r="F366" s="687"/>
      <c r="G366" s="687"/>
      <c r="H366" s="687"/>
      <c r="I366" s="687"/>
      <c r="J366" s="687"/>
      <c r="K366" s="687"/>
      <c r="L366" s="687"/>
      <c r="M366" s="687"/>
      <c r="N366" s="687"/>
      <c r="O366" s="688"/>
      <c r="P366" s="684" t="s">
        <v>40</v>
      </c>
      <c r="Q366" s="685"/>
      <c r="R366" s="685"/>
      <c r="S366" s="685"/>
      <c r="T366" s="685"/>
      <c r="U366" s="685"/>
      <c r="V366" s="686"/>
      <c r="W366" s="42" t="s">
        <v>0</v>
      </c>
      <c r="X366" s="43">
        <f>IFERROR(SUM(X358:X364),"0")</f>
        <v>0</v>
      </c>
      <c r="Y366" s="43">
        <f>IFERROR(SUM(Y358:Y364),"0")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78" t="s">
        <v>86</v>
      </c>
      <c r="B367" s="678"/>
      <c r="C367" s="678"/>
      <c r="D367" s="678"/>
      <c r="E367" s="678"/>
      <c r="F367" s="678"/>
      <c r="G367" s="678"/>
      <c r="H367" s="678"/>
      <c r="I367" s="678"/>
      <c r="J367" s="678"/>
      <c r="K367" s="678"/>
      <c r="L367" s="678"/>
      <c r="M367" s="678"/>
      <c r="N367" s="678"/>
      <c r="O367" s="678"/>
      <c r="P367" s="678"/>
      <c r="Q367" s="678"/>
      <c r="R367" s="678"/>
      <c r="S367" s="678"/>
      <c r="T367" s="678"/>
      <c r="U367" s="678"/>
      <c r="V367" s="678"/>
      <c r="W367" s="678"/>
      <c r="X367" s="678"/>
      <c r="Y367" s="678"/>
      <c r="Z367" s="678"/>
      <c r="AA367" s="66"/>
      <c r="AB367" s="66"/>
      <c r="AC367" s="80"/>
    </row>
    <row r="368" spans="1:68" ht="27" hidden="1" customHeight="1" x14ac:dyDescent="0.25">
      <c r="A368" s="63" t="s">
        <v>609</v>
      </c>
      <c r="B368" s="63" t="s">
        <v>610</v>
      </c>
      <c r="C368" s="36">
        <v>4301051100</v>
      </c>
      <c r="D368" s="679">
        <v>4607091387766</v>
      </c>
      <c r="E368" s="679"/>
      <c r="F368" s="62">
        <v>1.3</v>
      </c>
      <c r="G368" s="37">
        <v>6</v>
      </c>
      <c r="H368" s="62">
        <v>7.8</v>
      </c>
      <c r="I368" s="62">
        <v>8.2880000000000003</v>
      </c>
      <c r="J368" s="37">
        <v>64</v>
      </c>
      <c r="K368" s="37" t="s">
        <v>133</v>
      </c>
      <c r="L368" s="37" t="s">
        <v>46</v>
      </c>
      <c r="M368" s="38" t="s">
        <v>90</v>
      </c>
      <c r="N368" s="38"/>
      <c r="O368" s="37">
        <v>40</v>
      </c>
      <c r="P368" s="8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81"/>
      <c r="R368" s="681"/>
      <c r="S368" s="681"/>
      <c r="T368" s="682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6" t="s">
        <v>611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4301051818</v>
      </c>
      <c r="D369" s="679">
        <v>4607091387957</v>
      </c>
      <c r="E369" s="679"/>
      <c r="F369" s="62">
        <v>1.3</v>
      </c>
      <c r="G369" s="37">
        <v>6</v>
      </c>
      <c r="H369" s="62">
        <v>7.8</v>
      </c>
      <c r="I369" s="62">
        <v>8.2940000000000005</v>
      </c>
      <c r="J369" s="37">
        <v>64</v>
      </c>
      <c r="K369" s="37" t="s">
        <v>133</v>
      </c>
      <c r="L369" s="37" t="s">
        <v>46</v>
      </c>
      <c r="M369" s="38" t="s">
        <v>90</v>
      </c>
      <c r="N369" s="38"/>
      <c r="O369" s="37">
        <v>40</v>
      </c>
      <c r="P369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81"/>
      <c r="R369" s="681"/>
      <c r="S369" s="681"/>
      <c r="T369" s="682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614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4301051819</v>
      </c>
      <c r="D370" s="679">
        <v>4607091387964</v>
      </c>
      <c r="E370" s="679"/>
      <c r="F370" s="62">
        <v>1.35</v>
      </c>
      <c r="G370" s="37">
        <v>6</v>
      </c>
      <c r="H370" s="62">
        <v>8.1</v>
      </c>
      <c r="I370" s="62">
        <v>8.5760000000000005</v>
      </c>
      <c r="J370" s="37">
        <v>64</v>
      </c>
      <c r="K370" s="37" t="s">
        <v>133</v>
      </c>
      <c r="L370" s="37" t="s">
        <v>46</v>
      </c>
      <c r="M370" s="38" t="s">
        <v>90</v>
      </c>
      <c r="N370" s="38"/>
      <c r="O370" s="37">
        <v>40</v>
      </c>
      <c r="P370" s="8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81"/>
      <c r="R370" s="681"/>
      <c r="S370" s="681"/>
      <c r="T370" s="682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617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4301051734</v>
      </c>
      <c r="D371" s="679">
        <v>4680115884588</v>
      </c>
      <c r="E371" s="679"/>
      <c r="F371" s="62">
        <v>0.5</v>
      </c>
      <c r="G371" s="37">
        <v>6</v>
      </c>
      <c r="H371" s="62">
        <v>3</v>
      </c>
      <c r="I371" s="62">
        <v>3.246</v>
      </c>
      <c r="J371" s="37">
        <v>182</v>
      </c>
      <c r="K371" s="37" t="s">
        <v>91</v>
      </c>
      <c r="L371" s="37" t="s">
        <v>46</v>
      </c>
      <c r="M371" s="38" t="s">
        <v>90</v>
      </c>
      <c r="N371" s="38"/>
      <c r="O371" s="37">
        <v>40</v>
      </c>
      <c r="P371" s="8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81"/>
      <c r="R371" s="681"/>
      <c r="S371" s="681"/>
      <c r="T371" s="682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IFERROR(IF(Y371=0,"",ROUNDUP(Y371/H371,0)*0.00651),"")</f>
        <v/>
      </c>
      <c r="AA371" s="68" t="s">
        <v>46</v>
      </c>
      <c r="AB371" s="69" t="s">
        <v>46</v>
      </c>
      <c r="AC371" s="462" t="s">
        <v>611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idden="1" x14ac:dyDescent="0.2">
      <c r="A372" s="687"/>
      <c r="B372" s="687"/>
      <c r="C372" s="687"/>
      <c r="D372" s="687"/>
      <c r="E372" s="687"/>
      <c r="F372" s="687"/>
      <c r="G372" s="687"/>
      <c r="H372" s="687"/>
      <c r="I372" s="687"/>
      <c r="J372" s="687"/>
      <c r="K372" s="687"/>
      <c r="L372" s="687"/>
      <c r="M372" s="687"/>
      <c r="N372" s="687"/>
      <c r="O372" s="688"/>
      <c r="P372" s="684" t="s">
        <v>40</v>
      </c>
      <c r="Q372" s="685"/>
      <c r="R372" s="685"/>
      <c r="S372" s="685"/>
      <c r="T372" s="685"/>
      <c r="U372" s="685"/>
      <c r="V372" s="686"/>
      <c r="W372" s="42" t="s">
        <v>39</v>
      </c>
      <c r="X372" s="43">
        <f>IFERROR(X368/H368,"0")+IFERROR(X369/H369,"0")+IFERROR(X370/H370,"0")+IFERROR(X371/H371,"0")</f>
        <v>0</v>
      </c>
      <c r="Y372" s="43">
        <f>IFERROR(Y368/H368,"0")+IFERROR(Y369/H369,"0")+IFERROR(Y370/H370,"0")+IFERROR(Y371/H371,"0")</f>
        <v>0</v>
      </c>
      <c r="Z372" s="43">
        <f>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87"/>
      <c r="B373" s="687"/>
      <c r="C373" s="687"/>
      <c r="D373" s="687"/>
      <c r="E373" s="687"/>
      <c r="F373" s="687"/>
      <c r="G373" s="687"/>
      <c r="H373" s="687"/>
      <c r="I373" s="687"/>
      <c r="J373" s="687"/>
      <c r="K373" s="687"/>
      <c r="L373" s="687"/>
      <c r="M373" s="687"/>
      <c r="N373" s="687"/>
      <c r="O373" s="688"/>
      <c r="P373" s="684" t="s">
        <v>40</v>
      </c>
      <c r="Q373" s="685"/>
      <c r="R373" s="685"/>
      <c r="S373" s="685"/>
      <c r="T373" s="685"/>
      <c r="U373" s="685"/>
      <c r="V373" s="686"/>
      <c r="W373" s="42" t="s">
        <v>0</v>
      </c>
      <c r="X373" s="43">
        <f>IFERROR(SUM(X368:X371),"0")</f>
        <v>0</v>
      </c>
      <c r="Y373" s="43">
        <f>IFERROR(SUM(Y368:Y371),"0")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78" t="s">
        <v>180</v>
      </c>
      <c r="B374" s="678"/>
      <c r="C374" s="678"/>
      <c r="D374" s="678"/>
      <c r="E374" s="678"/>
      <c r="F374" s="678"/>
      <c r="G374" s="678"/>
      <c r="H374" s="678"/>
      <c r="I374" s="678"/>
      <c r="J374" s="678"/>
      <c r="K374" s="678"/>
      <c r="L374" s="678"/>
      <c r="M374" s="678"/>
      <c r="N374" s="678"/>
      <c r="O374" s="678"/>
      <c r="P374" s="678"/>
      <c r="Q374" s="678"/>
      <c r="R374" s="678"/>
      <c r="S374" s="678"/>
      <c r="T374" s="678"/>
      <c r="U374" s="678"/>
      <c r="V374" s="678"/>
      <c r="W374" s="678"/>
      <c r="X374" s="678"/>
      <c r="Y374" s="678"/>
      <c r="Z374" s="678"/>
      <c r="AA374" s="66"/>
      <c r="AB374" s="66"/>
      <c r="AC374" s="80"/>
    </row>
    <row r="375" spans="1:68" ht="27" customHeight="1" x14ac:dyDescent="0.25">
      <c r="A375" s="63" t="s">
        <v>620</v>
      </c>
      <c r="B375" s="63" t="s">
        <v>621</v>
      </c>
      <c r="C375" s="36">
        <v>4301060387</v>
      </c>
      <c r="D375" s="679">
        <v>4607091380880</v>
      </c>
      <c r="E375" s="679"/>
      <c r="F375" s="62">
        <v>1.4</v>
      </c>
      <c r="G375" s="37">
        <v>6</v>
      </c>
      <c r="H375" s="62">
        <v>8.4</v>
      </c>
      <c r="I375" s="62">
        <v>8.8940000000000001</v>
      </c>
      <c r="J375" s="37">
        <v>64</v>
      </c>
      <c r="K375" s="37" t="s">
        <v>133</v>
      </c>
      <c r="L375" s="37" t="s">
        <v>46</v>
      </c>
      <c r="M375" s="38" t="s">
        <v>90</v>
      </c>
      <c r="N375" s="38"/>
      <c r="O375" s="37">
        <v>30</v>
      </c>
      <c r="P375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81"/>
      <c r="R375" s="681"/>
      <c r="S375" s="681"/>
      <c r="T375" s="682"/>
      <c r="U375" s="39" t="s">
        <v>46</v>
      </c>
      <c r="V375" s="39" t="s">
        <v>46</v>
      </c>
      <c r="W375" s="40" t="s">
        <v>0</v>
      </c>
      <c r="X375" s="58">
        <v>500</v>
      </c>
      <c r="Y375" s="55">
        <f>IFERROR(IF(X375="",0,CEILING((X375/$H375),1)*$H375),"")</f>
        <v>504</v>
      </c>
      <c r="Z375" s="41">
        <f>IFERROR(IF(Y375=0,"",ROUNDUP(Y375/H375,0)*0.01898),"")</f>
        <v>1.1388</v>
      </c>
      <c r="AA375" s="68" t="s">
        <v>46</v>
      </c>
      <c r="AB375" s="69" t="s">
        <v>46</v>
      </c>
      <c r="AC375" s="464" t="s">
        <v>622</v>
      </c>
      <c r="AG375" s="78"/>
      <c r="AJ375" s="84" t="s">
        <v>46</v>
      </c>
      <c r="AK375" s="84">
        <v>0</v>
      </c>
      <c r="BB375" s="465" t="s">
        <v>67</v>
      </c>
      <c r="BM375" s="78">
        <f>IFERROR(X375*I375/H375,"0")</f>
        <v>529.40476190476193</v>
      </c>
      <c r="BN375" s="78">
        <f>IFERROR(Y375*I375/H375,"0")</f>
        <v>533.64</v>
      </c>
      <c r="BO375" s="78">
        <f>IFERROR(1/J375*(X375/H375),"0")</f>
        <v>0.93005952380952372</v>
      </c>
      <c r="BP375" s="78">
        <f>IFERROR(1/J375*(Y375/H375),"0")</f>
        <v>0.9375</v>
      </c>
    </row>
    <row r="376" spans="1:68" ht="27" customHeight="1" x14ac:dyDescent="0.25">
      <c r="A376" s="63" t="s">
        <v>623</v>
      </c>
      <c r="B376" s="63" t="s">
        <v>624</v>
      </c>
      <c r="C376" s="36">
        <v>4301060406</v>
      </c>
      <c r="D376" s="679">
        <v>4607091384482</v>
      </c>
      <c r="E376" s="679"/>
      <c r="F376" s="62">
        <v>1.3</v>
      </c>
      <c r="G376" s="37">
        <v>6</v>
      </c>
      <c r="H376" s="62">
        <v>7.8</v>
      </c>
      <c r="I376" s="62">
        <v>8.2940000000000005</v>
      </c>
      <c r="J376" s="37">
        <v>64</v>
      </c>
      <c r="K376" s="37" t="s">
        <v>133</v>
      </c>
      <c r="L376" s="37" t="s">
        <v>46</v>
      </c>
      <c r="M376" s="38" t="s">
        <v>90</v>
      </c>
      <c r="N376" s="38"/>
      <c r="O376" s="37">
        <v>30</v>
      </c>
      <c r="P376" s="8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81"/>
      <c r="R376" s="681"/>
      <c r="S376" s="681"/>
      <c r="T376" s="682"/>
      <c r="U376" s="39" t="s">
        <v>46</v>
      </c>
      <c r="V376" s="39" t="s">
        <v>46</v>
      </c>
      <c r="W376" s="40" t="s">
        <v>0</v>
      </c>
      <c r="X376" s="58">
        <v>500</v>
      </c>
      <c r="Y376" s="55">
        <f>IFERROR(IF(X376="",0,CEILING((X376/$H376),1)*$H376),"")</f>
        <v>507</v>
      </c>
      <c r="Z376" s="41">
        <f>IFERROR(IF(Y376=0,"",ROUNDUP(Y376/H376,0)*0.01898),"")</f>
        <v>1.2337</v>
      </c>
      <c r="AA376" s="68" t="s">
        <v>46</v>
      </c>
      <c r="AB376" s="69" t="s">
        <v>46</v>
      </c>
      <c r="AC376" s="466" t="s">
        <v>625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531.66666666666663</v>
      </c>
      <c r="BN376" s="78">
        <f>IFERROR(Y376*I376/H376,"0")</f>
        <v>539.11</v>
      </c>
      <c r="BO376" s="78">
        <f>IFERROR(1/J376*(X376/H376),"0")</f>
        <v>1.0016025641025641</v>
      </c>
      <c r="BP376" s="78">
        <f>IFERROR(1/J376*(Y376/H376),"0")</f>
        <v>1.015625</v>
      </c>
    </row>
    <row r="377" spans="1:68" ht="16.5" customHeight="1" x14ac:dyDescent="0.25">
      <c r="A377" s="63" t="s">
        <v>626</v>
      </c>
      <c r="B377" s="63" t="s">
        <v>627</v>
      </c>
      <c r="C377" s="36">
        <v>4301060484</v>
      </c>
      <c r="D377" s="679">
        <v>4607091380897</v>
      </c>
      <c r="E377" s="679"/>
      <c r="F377" s="62">
        <v>1.4</v>
      </c>
      <c r="G377" s="37">
        <v>6</v>
      </c>
      <c r="H377" s="62">
        <v>8.4</v>
      </c>
      <c r="I377" s="62">
        <v>8.8940000000000001</v>
      </c>
      <c r="J377" s="37">
        <v>64</v>
      </c>
      <c r="K377" s="37" t="s">
        <v>133</v>
      </c>
      <c r="L377" s="37" t="s">
        <v>46</v>
      </c>
      <c r="M377" s="38" t="s">
        <v>97</v>
      </c>
      <c r="N377" s="38"/>
      <c r="O377" s="37">
        <v>30</v>
      </c>
      <c r="P377" s="8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81"/>
      <c r="R377" s="681"/>
      <c r="S377" s="681"/>
      <c r="T377" s="682"/>
      <c r="U377" s="39" t="s">
        <v>46</v>
      </c>
      <c r="V377" s="39" t="s">
        <v>46</v>
      </c>
      <c r="W377" s="40" t="s">
        <v>0</v>
      </c>
      <c r="X377" s="58">
        <v>40</v>
      </c>
      <c r="Y377" s="55">
        <f>IFERROR(IF(X377="",0,CEILING((X377/$H377),1)*$H377),"")</f>
        <v>42</v>
      </c>
      <c r="Z377" s="41">
        <f>IFERROR(IF(Y377=0,"",ROUNDUP(Y377/H377,0)*0.01898),"")</f>
        <v>9.4899999999999998E-2</v>
      </c>
      <c r="AA377" s="68" t="s">
        <v>46</v>
      </c>
      <c r="AB377" s="69" t="s">
        <v>46</v>
      </c>
      <c r="AC377" s="468" t="s">
        <v>628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42.352380952380948</v>
      </c>
      <c r="BN377" s="78">
        <f>IFERROR(Y377*I377/H377,"0")</f>
        <v>44.47</v>
      </c>
      <c r="BO377" s="78">
        <f>IFERROR(1/J377*(X377/H377),"0")</f>
        <v>7.4404761904761904E-2</v>
      </c>
      <c r="BP377" s="78">
        <f>IFERROR(1/J377*(Y377/H377),"0")</f>
        <v>7.8125E-2</v>
      </c>
    </row>
    <row r="378" spans="1:68" x14ac:dyDescent="0.2">
      <c r="A378" s="687"/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8"/>
      <c r="P378" s="684" t="s">
        <v>40</v>
      </c>
      <c r="Q378" s="685"/>
      <c r="R378" s="685"/>
      <c r="S378" s="685"/>
      <c r="T378" s="685"/>
      <c r="U378" s="685"/>
      <c r="V378" s="686"/>
      <c r="W378" s="42" t="s">
        <v>39</v>
      </c>
      <c r="X378" s="43">
        <f>IFERROR(X375/H375,"0")+IFERROR(X376/H376,"0")+IFERROR(X377/H377,"0")</f>
        <v>128.38827838827839</v>
      </c>
      <c r="Y378" s="43">
        <f>IFERROR(Y375/H375,"0")+IFERROR(Y376/H376,"0")+IFERROR(Y377/H377,"0")</f>
        <v>130</v>
      </c>
      <c r="Z378" s="43">
        <f>IFERROR(IF(Z375="",0,Z375),"0")+IFERROR(IF(Z376="",0,Z376),"0")+IFERROR(IF(Z377="",0,Z377),"0")</f>
        <v>2.4674</v>
      </c>
      <c r="AA378" s="67"/>
      <c r="AB378" s="67"/>
      <c r="AC378" s="67"/>
    </row>
    <row r="379" spans="1:68" x14ac:dyDescent="0.2">
      <c r="A379" s="687"/>
      <c r="B379" s="687"/>
      <c r="C379" s="687"/>
      <c r="D379" s="687"/>
      <c r="E379" s="687"/>
      <c r="F379" s="687"/>
      <c r="G379" s="687"/>
      <c r="H379" s="687"/>
      <c r="I379" s="687"/>
      <c r="J379" s="687"/>
      <c r="K379" s="687"/>
      <c r="L379" s="687"/>
      <c r="M379" s="687"/>
      <c r="N379" s="687"/>
      <c r="O379" s="688"/>
      <c r="P379" s="684" t="s">
        <v>40</v>
      </c>
      <c r="Q379" s="685"/>
      <c r="R379" s="685"/>
      <c r="S379" s="685"/>
      <c r="T379" s="685"/>
      <c r="U379" s="685"/>
      <c r="V379" s="686"/>
      <c r="W379" s="42" t="s">
        <v>0</v>
      </c>
      <c r="X379" s="43">
        <f>IFERROR(SUM(X375:X377),"0")</f>
        <v>1040</v>
      </c>
      <c r="Y379" s="43">
        <f>IFERROR(SUM(Y375:Y377),"0")</f>
        <v>1053</v>
      </c>
      <c r="Z379" s="42"/>
      <c r="AA379" s="67"/>
      <c r="AB379" s="67"/>
      <c r="AC379" s="67"/>
    </row>
    <row r="380" spans="1:68" ht="14.25" hidden="1" customHeight="1" x14ac:dyDescent="0.25">
      <c r="A380" s="678" t="s">
        <v>107</v>
      </c>
      <c r="B380" s="678"/>
      <c r="C380" s="678"/>
      <c r="D380" s="678"/>
      <c r="E380" s="678"/>
      <c r="F380" s="678"/>
      <c r="G380" s="678"/>
      <c r="H380" s="678"/>
      <c r="I380" s="678"/>
      <c r="J380" s="678"/>
      <c r="K380" s="678"/>
      <c r="L380" s="678"/>
      <c r="M380" s="678"/>
      <c r="N380" s="678"/>
      <c r="O380" s="678"/>
      <c r="P380" s="678"/>
      <c r="Q380" s="678"/>
      <c r="R380" s="678"/>
      <c r="S380" s="678"/>
      <c r="T380" s="678"/>
      <c r="U380" s="678"/>
      <c r="V380" s="678"/>
      <c r="W380" s="678"/>
      <c r="X380" s="678"/>
      <c r="Y380" s="678"/>
      <c r="Z380" s="678"/>
      <c r="AA380" s="66"/>
      <c r="AB380" s="66"/>
      <c r="AC380" s="80"/>
    </row>
    <row r="381" spans="1:68" ht="27" hidden="1" customHeight="1" x14ac:dyDescent="0.25">
      <c r="A381" s="63" t="s">
        <v>629</v>
      </c>
      <c r="B381" s="63" t="s">
        <v>630</v>
      </c>
      <c r="C381" s="36">
        <v>4301030235</v>
      </c>
      <c r="D381" s="679">
        <v>4607091388381</v>
      </c>
      <c r="E381" s="679"/>
      <c r="F381" s="62">
        <v>0.38</v>
      </c>
      <c r="G381" s="37">
        <v>8</v>
      </c>
      <c r="H381" s="62">
        <v>3.04</v>
      </c>
      <c r="I381" s="62">
        <v>3.31</v>
      </c>
      <c r="J381" s="37">
        <v>132</v>
      </c>
      <c r="K381" s="37" t="s">
        <v>140</v>
      </c>
      <c r="L381" s="37" t="s">
        <v>46</v>
      </c>
      <c r="M381" s="38" t="s">
        <v>112</v>
      </c>
      <c r="N381" s="38"/>
      <c r="O381" s="37">
        <v>180</v>
      </c>
      <c r="P381" s="8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81"/>
      <c r="R381" s="681"/>
      <c r="S381" s="681"/>
      <c r="T381" s="68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70" t="s">
        <v>631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632</v>
      </c>
      <c r="B382" s="63" t="s">
        <v>633</v>
      </c>
      <c r="C382" s="36">
        <v>4301030232</v>
      </c>
      <c r="D382" s="679">
        <v>4607091388374</v>
      </c>
      <c r="E382" s="679"/>
      <c r="F382" s="62">
        <v>0.38</v>
      </c>
      <c r="G382" s="37">
        <v>8</v>
      </c>
      <c r="H382" s="62">
        <v>3.04</v>
      </c>
      <c r="I382" s="62">
        <v>3.27</v>
      </c>
      <c r="J382" s="37">
        <v>132</v>
      </c>
      <c r="K382" s="37" t="s">
        <v>140</v>
      </c>
      <c r="L382" s="37" t="s">
        <v>46</v>
      </c>
      <c r="M382" s="38" t="s">
        <v>112</v>
      </c>
      <c r="N382" s="38"/>
      <c r="O382" s="37">
        <v>180</v>
      </c>
      <c r="P382" s="8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81"/>
      <c r="R382" s="681"/>
      <c r="S382" s="681"/>
      <c r="T382" s="68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631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634</v>
      </c>
      <c r="B383" s="63" t="s">
        <v>635</v>
      </c>
      <c r="C383" s="36">
        <v>4301032015</v>
      </c>
      <c r="D383" s="679">
        <v>4607091383102</v>
      </c>
      <c r="E383" s="679"/>
      <c r="F383" s="62">
        <v>0.17</v>
      </c>
      <c r="G383" s="37">
        <v>15</v>
      </c>
      <c r="H383" s="62">
        <v>2.5499999999999998</v>
      </c>
      <c r="I383" s="62">
        <v>2.9550000000000001</v>
      </c>
      <c r="J383" s="37">
        <v>182</v>
      </c>
      <c r="K383" s="37" t="s">
        <v>91</v>
      </c>
      <c r="L383" s="37" t="s">
        <v>46</v>
      </c>
      <c r="M383" s="38" t="s">
        <v>112</v>
      </c>
      <c r="N383" s="38"/>
      <c r="O383" s="37">
        <v>180</v>
      </c>
      <c r="P383" s="88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81"/>
      <c r="R383" s="681"/>
      <c r="S383" s="681"/>
      <c r="T383" s="68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4" t="s">
        <v>631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636</v>
      </c>
      <c r="B384" s="63" t="s">
        <v>637</v>
      </c>
      <c r="C384" s="36">
        <v>4301030233</v>
      </c>
      <c r="D384" s="679">
        <v>4607091388404</v>
      </c>
      <c r="E384" s="679"/>
      <c r="F384" s="62">
        <v>0.17</v>
      </c>
      <c r="G384" s="37">
        <v>15</v>
      </c>
      <c r="H384" s="62">
        <v>2.5499999999999998</v>
      </c>
      <c r="I384" s="62">
        <v>2.88</v>
      </c>
      <c r="J384" s="37">
        <v>182</v>
      </c>
      <c r="K384" s="37" t="s">
        <v>91</v>
      </c>
      <c r="L384" s="37" t="s">
        <v>46</v>
      </c>
      <c r="M384" s="38" t="s">
        <v>112</v>
      </c>
      <c r="N384" s="38"/>
      <c r="O384" s="37">
        <v>180</v>
      </c>
      <c r="P384" s="8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81"/>
      <c r="R384" s="681"/>
      <c r="S384" s="681"/>
      <c r="T384" s="68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76" t="s">
        <v>631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idden="1" x14ac:dyDescent="0.2">
      <c r="A385" s="687"/>
      <c r="B385" s="687"/>
      <c r="C385" s="687"/>
      <c r="D385" s="687"/>
      <c r="E385" s="687"/>
      <c r="F385" s="687"/>
      <c r="G385" s="687"/>
      <c r="H385" s="687"/>
      <c r="I385" s="687"/>
      <c r="J385" s="687"/>
      <c r="K385" s="687"/>
      <c r="L385" s="687"/>
      <c r="M385" s="687"/>
      <c r="N385" s="687"/>
      <c r="O385" s="688"/>
      <c r="P385" s="684" t="s">
        <v>40</v>
      </c>
      <c r="Q385" s="685"/>
      <c r="R385" s="685"/>
      <c r="S385" s="685"/>
      <c r="T385" s="685"/>
      <c r="U385" s="685"/>
      <c r="V385" s="686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687"/>
      <c r="B386" s="687"/>
      <c r="C386" s="687"/>
      <c r="D386" s="687"/>
      <c r="E386" s="687"/>
      <c r="F386" s="687"/>
      <c r="G386" s="687"/>
      <c r="H386" s="687"/>
      <c r="I386" s="687"/>
      <c r="J386" s="687"/>
      <c r="K386" s="687"/>
      <c r="L386" s="687"/>
      <c r="M386" s="687"/>
      <c r="N386" s="687"/>
      <c r="O386" s="688"/>
      <c r="P386" s="684" t="s">
        <v>40</v>
      </c>
      <c r="Q386" s="685"/>
      <c r="R386" s="685"/>
      <c r="S386" s="685"/>
      <c r="T386" s="685"/>
      <c r="U386" s="685"/>
      <c r="V386" s="686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678" t="s">
        <v>638</v>
      </c>
      <c r="B387" s="678"/>
      <c r="C387" s="678"/>
      <c r="D387" s="678"/>
      <c r="E387" s="678"/>
      <c r="F387" s="678"/>
      <c r="G387" s="678"/>
      <c r="H387" s="678"/>
      <c r="I387" s="678"/>
      <c r="J387" s="678"/>
      <c r="K387" s="678"/>
      <c r="L387" s="678"/>
      <c r="M387" s="678"/>
      <c r="N387" s="678"/>
      <c r="O387" s="678"/>
      <c r="P387" s="678"/>
      <c r="Q387" s="678"/>
      <c r="R387" s="678"/>
      <c r="S387" s="678"/>
      <c r="T387" s="678"/>
      <c r="U387" s="678"/>
      <c r="V387" s="678"/>
      <c r="W387" s="678"/>
      <c r="X387" s="678"/>
      <c r="Y387" s="678"/>
      <c r="Z387" s="678"/>
      <c r="AA387" s="66"/>
      <c r="AB387" s="66"/>
      <c r="AC387" s="80"/>
    </row>
    <row r="388" spans="1:68" ht="16.5" hidden="1" customHeight="1" x14ac:dyDescent="0.25">
      <c r="A388" s="63" t="s">
        <v>639</v>
      </c>
      <c r="B388" s="63" t="s">
        <v>640</v>
      </c>
      <c r="C388" s="36">
        <v>4301180007</v>
      </c>
      <c r="D388" s="679">
        <v>4680115881808</v>
      </c>
      <c r="E388" s="679"/>
      <c r="F388" s="62">
        <v>0.1</v>
      </c>
      <c r="G388" s="37">
        <v>20</v>
      </c>
      <c r="H388" s="62">
        <v>2</v>
      </c>
      <c r="I388" s="62">
        <v>2.2400000000000002</v>
      </c>
      <c r="J388" s="37">
        <v>238</v>
      </c>
      <c r="K388" s="37" t="s">
        <v>91</v>
      </c>
      <c r="L388" s="37" t="s">
        <v>46</v>
      </c>
      <c r="M388" s="38" t="s">
        <v>642</v>
      </c>
      <c r="N388" s="38"/>
      <c r="O388" s="37">
        <v>731</v>
      </c>
      <c r="P388" s="88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81"/>
      <c r="R388" s="681"/>
      <c r="S388" s="681"/>
      <c r="T388" s="68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IFERROR(IF(Y388=0,"",ROUNDUP(Y388/H388,0)*0.00474),"")</f>
        <v/>
      </c>
      <c r="AA388" s="68" t="s">
        <v>46</v>
      </c>
      <c r="AB388" s="69" t="s">
        <v>46</v>
      </c>
      <c r="AC388" s="478" t="s">
        <v>641</v>
      </c>
      <c r="AG388" s="78"/>
      <c r="AJ388" s="84" t="s">
        <v>46</v>
      </c>
      <c r="AK388" s="84">
        <v>0</v>
      </c>
      <c r="BB388" s="479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643</v>
      </c>
      <c r="B389" s="63" t="s">
        <v>644</v>
      </c>
      <c r="C389" s="36">
        <v>4301180006</v>
      </c>
      <c r="D389" s="679">
        <v>4680115881822</v>
      </c>
      <c r="E389" s="679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91</v>
      </c>
      <c r="L389" s="37" t="s">
        <v>46</v>
      </c>
      <c r="M389" s="38" t="s">
        <v>642</v>
      </c>
      <c r="N389" s="38"/>
      <c r="O389" s="37">
        <v>731</v>
      </c>
      <c r="P389" s="8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81"/>
      <c r="R389" s="681"/>
      <c r="S389" s="681"/>
      <c r="T389" s="68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641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645</v>
      </c>
      <c r="B390" s="63" t="s">
        <v>646</v>
      </c>
      <c r="C390" s="36">
        <v>4301180001</v>
      </c>
      <c r="D390" s="679">
        <v>4680115880016</v>
      </c>
      <c r="E390" s="679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91</v>
      </c>
      <c r="L390" s="37" t="s">
        <v>46</v>
      </c>
      <c r="M390" s="38" t="s">
        <v>642</v>
      </c>
      <c r="N390" s="38"/>
      <c r="O390" s="37">
        <v>731</v>
      </c>
      <c r="P390" s="88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81"/>
      <c r="R390" s="681"/>
      <c r="S390" s="681"/>
      <c r="T390" s="68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641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87"/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8"/>
      <c r="P391" s="684" t="s">
        <v>40</v>
      </c>
      <c r="Q391" s="685"/>
      <c r="R391" s="685"/>
      <c r="S391" s="685"/>
      <c r="T391" s="685"/>
      <c r="U391" s="685"/>
      <c r="V391" s="686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87"/>
      <c r="B392" s="687"/>
      <c r="C392" s="687"/>
      <c r="D392" s="687"/>
      <c r="E392" s="687"/>
      <c r="F392" s="687"/>
      <c r="G392" s="687"/>
      <c r="H392" s="687"/>
      <c r="I392" s="687"/>
      <c r="J392" s="687"/>
      <c r="K392" s="687"/>
      <c r="L392" s="687"/>
      <c r="M392" s="687"/>
      <c r="N392" s="687"/>
      <c r="O392" s="688"/>
      <c r="P392" s="684" t="s">
        <v>40</v>
      </c>
      <c r="Q392" s="685"/>
      <c r="R392" s="685"/>
      <c r="S392" s="685"/>
      <c r="T392" s="685"/>
      <c r="U392" s="685"/>
      <c r="V392" s="686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6.5" hidden="1" customHeight="1" x14ac:dyDescent="0.25">
      <c r="A393" s="677" t="s">
        <v>647</v>
      </c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77"/>
      <c r="P393" s="677"/>
      <c r="Q393" s="677"/>
      <c r="R393" s="677"/>
      <c r="S393" s="677"/>
      <c r="T393" s="677"/>
      <c r="U393" s="677"/>
      <c r="V393" s="677"/>
      <c r="W393" s="677"/>
      <c r="X393" s="677"/>
      <c r="Y393" s="677"/>
      <c r="Z393" s="677"/>
      <c r="AA393" s="65"/>
      <c r="AB393" s="65"/>
      <c r="AC393" s="79"/>
    </row>
    <row r="394" spans="1:68" ht="14.25" hidden="1" customHeight="1" x14ac:dyDescent="0.25">
      <c r="A394" s="678" t="s">
        <v>86</v>
      </c>
      <c r="B394" s="678"/>
      <c r="C394" s="678"/>
      <c r="D394" s="678"/>
      <c r="E394" s="678"/>
      <c r="F394" s="678"/>
      <c r="G394" s="678"/>
      <c r="H394" s="678"/>
      <c r="I394" s="678"/>
      <c r="J394" s="678"/>
      <c r="K394" s="678"/>
      <c r="L394" s="678"/>
      <c r="M394" s="678"/>
      <c r="N394" s="678"/>
      <c r="O394" s="678"/>
      <c r="P394" s="678"/>
      <c r="Q394" s="678"/>
      <c r="R394" s="678"/>
      <c r="S394" s="678"/>
      <c r="T394" s="678"/>
      <c r="U394" s="678"/>
      <c r="V394" s="678"/>
      <c r="W394" s="678"/>
      <c r="X394" s="678"/>
      <c r="Y394" s="678"/>
      <c r="Z394" s="678"/>
      <c r="AA394" s="66"/>
      <c r="AB394" s="66"/>
      <c r="AC394" s="80"/>
    </row>
    <row r="395" spans="1:68" ht="27" hidden="1" customHeight="1" x14ac:dyDescent="0.25">
      <c r="A395" s="63" t="s">
        <v>648</v>
      </c>
      <c r="B395" s="63" t="s">
        <v>649</v>
      </c>
      <c r="C395" s="36">
        <v>4301051489</v>
      </c>
      <c r="D395" s="679">
        <v>4607091387919</v>
      </c>
      <c r="E395" s="679"/>
      <c r="F395" s="62">
        <v>1.35</v>
      </c>
      <c r="G395" s="37">
        <v>6</v>
      </c>
      <c r="H395" s="62">
        <v>8.1</v>
      </c>
      <c r="I395" s="62">
        <v>8.5939999999999994</v>
      </c>
      <c r="J395" s="37">
        <v>64</v>
      </c>
      <c r="K395" s="37" t="s">
        <v>133</v>
      </c>
      <c r="L395" s="37" t="s">
        <v>46</v>
      </c>
      <c r="M395" s="38" t="s">
        <v>97</v>
      </c>
      <c r="N395" s="38"/>
      <c r="O395" s="37">
        <v>45</v>
      </c>
      <c r="P39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81"/>
      <c r="R395" s="681"/>
      <c r="S395" s="681"/>
      <c r="T395" s="68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84" t="s">
        <v>650</v>
      </c>
      <c r="AG395" s="78"/>
      <c r="AJ395" s="84" t="s">
        <v>46</v>
      </c>
      <c r="AK395" s="84">
        <v>0</v>
      </c>
      <c r="BB395" s="48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651</v>
      </c>
      <c r="B396" s="63" t="s">
        <v>652</v>
      </c>
      <c r="C396" s="36">
        <v>4301051461</v>
      </c>
      <c r="D396" s="679">
        <v>4680115883604</v>
      </c>
      <c r="E396" s="679"/>
      <c r="F396" s="62">
        <v>0.35</v>
      </c>
      <c r="G396" s="37">
        <v>6</v>
      </c>
      <c r="H396" s="62">
        <v>2.1</v>
      </c>
      <c r="I396" s="62">
        <v>2.3519999999999999</v>
      </c>
      <c r="J396" s="37">
        <v>182</v>
      </c>
      <c r="K396" s="37" t="s">
        <v>91</v>
      </c>
      <c r="L396" s="37" t="s">
        <v>46</v>
      </c>
      <c r="M396" s="38" t="s">
        <v>90</v>
      </c>
      <c r="N396" s="38"/>
      <c r="O396" s="37">
        <v>45</v>
      </c>
      <c r="P396" s="8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81"/>
      <c r="R396" s="681"/>
      <c r="S396" s="681"/>
      <c r="T396" s="682"/>
      <c r="U396" s="39" t="s">
        <v>46</v>
      </c>
      <c r="V396" s="39" t="s">
        <v>46</v>
      </c>
      <c r="W396" s="40" t="s">
        <v>0</v>
      </c>
      <c r="X396" s="58">
        <v>840</v>
      </c>
      <c r="Y396" s="55">
        <f>IFERROR(IF(X396="",0,CEILING((X396/$H396),1)*$H396),"")</f>
        <v>840</v>
      </c>
      <c r="Z396" s="41">
        <f>IFERROR(IF(Y396=0,"",ROUNDUP(Y396/H396,0)*0.00651),"")</f>
        <v>2.6040000000000001</v>
      </c>
      <c r="AA396" s="68" t="s">
        <v>46</v>
      </c>
      <c r="AB396" s="69" t="s">
        <v>46</v>
      </c>
      <c r="AC396" s="486" t="s">
        <v>653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940.79999999999984</v>
      </c>
      <c r="BN396" s="78">
        <f>IFERROR(Y396*I396/H396,"0")</f>
        <v>940.79999999999984</v>
      </c>
      <c r="BO396" s="78">
        <f>IFERROR(1/J396*(X396/H396),"0")</f>
        <v>2.197802197802198</v>
      </c>
      <c r="BP396" s="78">
        <f>IFERROR(1/J396*(Y396/H396),"0")</f>
        <v>2.197802197802198</v>
      </c>
    </row>
    <row r="397" spans="1:68" ht="27" customHeight="1" x14ac:dyDescent="0.25">
      <c r="A397" s="63" t="s">
        <v>654</v>
      </c>
      <c r="B397" s="63" t="s">
        <v>655</v>
      </c>
      <c r="C397" s="36">
        <v>4301051864</v>
      </c>
      <c r="D397" s="679">
        <v>4680115883567</v>
      </c>
      <c r="E397" s="679"/>
      <c r="F397" s="62">
        <v>0.35</v>
      </c>
      <c r="G397" s="37">
        <v>6</v>
      </c>
      <c r="H397" s="62">
        <v>2.1</v>
      </c>
      <c r="I397" s="62">
        <v>2.34</v>
      </c>
      <c r="J397" s="37">
        <v>182</v>
      </c>
      <c r="K397" s="37" t="s">
        <v>91</v>
      </c>
      <c r="L397" s="37" t="s">
        <v>46</v>
      </c>
      <c r="M397" s="38" t="s">
        <v>97</v>
      </c>
      <c r="N397" s="38"/>
      <c r="O397" s="37">
        <v>40</v>
      </c>
      <c r="P397" s="8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81"/>
      <c r="R397" s="681"/>
      <c r="S397" s="681"/>
      <c r="T397" s="682"/>
      <c r="U397" s="39" t="s">
        <v>46</v>
      </c>
      <c r="V397" s="39" t="s">
        <v>46</v>
      </c>
      <c r="W397" s="40" t="s">
        <v>0</v>
      </c>
      <c r="X397" s="58">
        <v>630</v>
      </c>
      <c r="Y397" s="55">
        <f>IFERROR(IF(X397="",0,CEILING((X397/$H397),1)*$H397),"")</f>
        <v>630</v>
      </c>
      <c r="Z397" s="41">
        <f>IFERROR(IF(Y397=0,"",ROUNDUP(Y397/H397,0)*0.00651),"")</f>
        <v>1.9530000000000001</v>
      </c>
      <c r="AA397" s="68" t="s">
        <v>46</v>
      </c>
      <c r="AB397" s="69" t="s">
        <v>46</v>
      </c>
      <c r="AC397" s="488" t="s">
        <v>656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701.99999999999989</v>
      </c>
      <c r="BN397" s="78">
        <f>IFERROR(Y397*I397/H397,"0")</f>
        <v>701.99999999999989</v>
      </c>
      <c r="BO397" s="78">
        <f>IFERROR(1/J397*(X397/H397),"0")</f>
        <v>1.6483516483516485</v>
      </c>
      <c r="BP397" s="78">
        <f>IFERROR(1/J397*(Y397/H397),"0")</f>
        <v>1.6483516483516485</v>
      </c>
    </row>
    <row r="398" spans="1:68" x14ac:dyDescent="0.2">
      <c r="A398" s="687"/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8"/>
      <c r="P398" s="684" t="s">
        <v>40</v>
      </c>
      <c r="Q398" s="685"/>
      <c r="R398" s="685"/>
      <c r="S398" s="685"/>
      <c r="T398" s="685"/>
      <c r="U398" s="685"/>
      <c r="V398" s="686"/>
      <c r="W398" s="42" t="s">
        <v>39</v>
      </c>
      <c r="X398" s="43">
        <f>IFERROR(X395/H395,"0")+IFERROR(X396/H396,"0")+IFERROR(X397/H397,"0")</f>
        <v>700</v>
      </c>
      <c r="Y398" s="43">
        <f>IFERROR(Y395/H395,"0")+IFERROR(Y396/H396,"0")+IFERROR(Y397/H397,"0")</f>
        <v>700</v>
      </c>
      <c r="Z398" s="43">
        <f>IFERROR(IF(Z395="",0,Z395),"0")+IFERROR(IF(Z396="",0,Z396),"0")+IFERROR(IF(Z397="",0,Z397),"0")</f>
        <v>4.5570000000000004</v>
      </c>
      <c r="AA398" s="67"/>
      <c r="AB398" s="67"/>
      <c r="AC398" s="67"/>
    </row>
    <row r="399" spans="1:68" x14ac:dyDescent="0.2">
      <c r="A399" s="687"/>
      <c r="B399" s="687"/>
      <c r="C399" s="687"/>
      <c r="D399" s="687"/>
      <c r="E399" s="687"/>
      <c r="F399" s="687"/>
      <c r="G399" s="687"/>
      <c r="H399" s="687"/>
      <c r="I399" s="687"/>
      <c r="J399" s="687"/>
      <c r="K399" s="687"/>
      <c r="L399" s="687"/>
      <c r="M399" s="687"/>
      <c r="N399" s="687"/>
      <c r="O399" s="688"/>
      <c r="P399" s="684" t="s">
        <v>40</v>
      </c>
      <c r="Q399" s="685"/>
      <c r="R399" s="685"/>
      <c r="S399" s="685"/>
      <c r="T399" s="685"/>
      <c r="U399" s="685"/>
      <c r="V399" s="686"/>
      <c r="W399" s="42" t="s">
        <v>0</v>
      </c>
      <c r="X399" s="43">
        <f>IFERROR(SUM(X395:X397),"0")</f>
        <v>1470</v>
      </c>
      <c r="Y399" s="43">
        <f>IFERROR(SUM(Y395:Y397),"0")</f>
        <v>1470</v>
      </c>
      <c r="Z399" s="42"/>
      <c r="AA399" s="67"/>
      <c r="AB399" s="67"/>
      <c r="AC399" s="67"/>
    </row>
    <row r="400" spans="1:68" ht="27.75" hidden="1" customHeight="1" x14ac:dyDescent="0.2">
      <c r="A400" s="676" t="s">
        <v>657</v>
      </c>
      <c r="B400" s="676"/>
      <c r="C400" s="676"/>
      <c r="D400" s="676"/>
      <c r="E400" s="676"/>
      <c r="F400" s="676"/>
      <c r="G400" s="676"/>
      <c r="H400" s="676"/>
      <c r="I400" s="676"/>
      <c r="J400" s="676"/>
      <c r="K400" s="676"/>
      <c r="L400" s="676"/>
      <c r="M400" s="676"/>
      <c r="N400" s="676"/>
      <c r="O400" s="676"/>
      <c r="P400" s="676"/>
      <c r="Q400" s="676"/>
      <c r="R400" s="676"/>
      <c r="S400" s="676"/>
      <c r="T400" s="676"/>
      <c r="U400" s="676"/>
      <c r="V400" s="676"/>
      <c r="W400" s="676"/>
      <c r="X400" s="676"/>
      <c r="Y400" s="676"/>
      <c r="Z400" s="676"/>
      <c r="AA400" s="54"/>
      <c r="AB400" s="54"/>
      <c r="AC400" s="54"/>
    </row>
    <row r="401" spans="1:68" ht="16.5" hidden="1" customHeight="1" x14ac:dyDescent="0.25">
      <c r="A401" s="677" t="s">
        <v>658</v>
      </c>
      <c r="B401" s="677"/>
      <c r="C401" s="677"/>
      <c r="D401" s="677"/>
      <c r="E401" s="677"/>
      <c r="F401" s="677"/>
      <c r="G401" s="677"/>
      <c r="H401" s="677"/>
      <c r="I401" s="677"/>
      <c r="J401" s="677"/>
      <c r="K401" s="677"/>
      <c r="L401" s="677"/>
      <c r="M401" s="677"/>
      <c r="N401" s="677"/>
      <c r="O401" s="677"/>
      <c r="P401" s="677"/>
      <c r="Q401" s="677"/>
      <c r="R401" s="677"/>
      <c r="S401" s="677"/>
      <c r="T401" s="677"/>
      <c r="U401" s="677"/>
      <c r="V401" s="677"/>
      <c r="W401" s="677"/>
      <c r="X401" s="677"/>
      <c r="Y401" s="677"/>
      <c r="Z401" s="677"/>
      <c r="AA401" s="65"/>
      <c r="AB401" s="65"/>
      <c r="AC401" s="79"/>
    </row>
    <row r="402" spans="1:68" ht="14.25" hidden="1" customHeight="1" x14ac:dyDescent="0.25">
      <c r="A402" s="678" t="s">
        <v>128</v>
      </c>
      <c r="B402" s="678"/>
      <c r="C402" s="678"/>
      <c r="D402" s="678"/>
      <c r="E402" s="678"/>
      <c r="F402" s="678"/>
      <c r="G402" s="678"/>
      <c r="H402" s="678"/>
      <c r="I402" s="678"/>
      <c r="J402" s="678"/>
      <c r="K402" s="678"/>
      <c r="L402" s="678"/>
      <c r="M402" s="678"/>
      <c r="N402" s="678"/>
      <c r="O402" s="678"/>
      <c r="P402" s="678"/>
      <c r="Q402" s="678"/>
      <c r="R402" s="678"/>
      <c r="S402" s="678"/>
      <c r="T402" s="678"/>
      <c r="U402" s="678"/>
      <c r="V402" s="678"/>
      <c r="W402" s="678"/>
      <c r="X402" s="678"/>
      <c r="Y402" s="678"/>
      <c r="Z402" s="678"/>
      <c r="AA402" s="66"/>
      <c r="AB402" s="66"/>
      <c r="AC402" s="80"/>
    </row>
    <row r="403" spans="1:68" ht="27" customHeight="1" x14ac:dyDescent="0.25">
      <c r="A403" s="63" t="s">
        <v>659</v>
      </c>
      <c r="B403" s="63" t="s">
        <v>660</v>
      </c>
      <c r="C403" s="36">
        <v>4301012332</v>
      </c>
      <c r="D403" s="679">
        <v>4680115888401</v>
      </c>
      <c r="E403" s="679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133</v>
      </c>
      <c r="L403" s="37" t="s">
        <v>46</v>
      </c>
      <c r="M403" s="38" t="s">
        <v>97</v>
      </c>
      <c r="N403" s="38"/>
      <c r="O403" s="37">
        <v>60</v>
      </c>
      <c r="P403" s="88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81"/>
      <c r="R403" s="681"/>
      <c r="S403" s="681"/>
      <c r="T403" s="682"/>
      <c r="U403" s="39" t="s">
        <v>46</v>
      </c>
      <c r="V403" s="39" t="s">
        <v>46</v>
      </c>
      <c r="W403" s="40" t="s">
        <v>0</v>
      </c>
      <c r="X403" s="58">
        <v>140</v>
      </c>
      <c r="Y403" s="55">
        <f t="shared" ref="Y403:Y410" si="57">IFERROR(IF(X403="",0,CEILING((X403/$H403),1)*$H403),"")</f>
        <v>150</v>
      </c>
      <c r="Z403" s="41">
        <f>IFERROR(IF(Y403=0,"",ROUNDUP(Y403/H403,0)*0.02175),"")</f>
        <v>0.21749999999999997</v>
      </c>
      <c r="AA403" s="68" t="s">
        <v>46</v>
      </c>
      <c r="AB403" s="69" t="s">
        <v>46</v>
      </c>
      <c r="AC403" s="490" t="s">
        <v>661</v>
      </c>
      <c r="AG403" s="78"/>
      <c r="AJ403" s="84" t="s">
        <v>46</v>
      </c>
      <c r="AK403" s="84">
        <v>0</v>
      </c>
      <c r="BB403" s="491" t="s">
        <v>67</v>
      </c>
      <c r="BM403" s="78">
        <f t="shared" ref="BM403:BM410" si="58">IFERROR(X403*I403/H403,"0")</f>
        <v>144.38666666666668</v>
      </c>
      <c r="BN403" s="78">
        <f t="shared" ref="BN403:BN410" si="59">IFERROR(Y403*I403/H403,"0")</f>
        <v>154.69999999999999</v>
      </c>
      <c r="BO403" s="78">
        <f t="shared" ref="BO403:BO410" si="60">IFERROR(1/J403*(X403/H403),"0")</f>
        <v>0.19444444444444445</v>
      </c>
      <c r="BP403" s="78">
        <f t="shared" ref="BP403:BP410" si="61">IFERROR(1/J403*(Y403/H403),"0")</f>
        <v>0.20833333333333331</v>
      </c>
    </row>
    <row r="404" spans="1:68" ht="37.5" hidden="1" customHeight="1" x14ac:dyDescent="0.25">
      <c r="A404" s="63" t="s">
        <v>662</v>
      </c>
      <c r="B404" s="63" t="s">
        <v>663</v>
      </c>
      <c r="C404" s="36">
        <v>4301011869</v>
      </c>
      <c r="D404" s="679">
        <v>4680115884847</v>
      </c>
      <c r="E404" s="679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133</v>
      </c>
      <c r="L404" s="37" t="s">
        <v>46</v>
      </c>
      <c r="M404" s="38" t="s">
        <v>81</v>
      </c>
      <c r="N404" s="38"/>
      <c r="O404" s="37">
        <v>60</v>
      </c>
      <c r="P404" s="8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81"/>
      <c r="R404" s="681"/>
      <c r="S404" s="681"/>
      <c r="T404" s="682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si="57"/>
        <v>0</v>
      </c>
      <c r="Z404" s="41" t="str">
        <f>IFERROR(IF(Y404=0,"",ROUNDUP(Y404/H404,0)*0.02175),"")</f>
        <v/>
      </c>
      <c r="AA404" s="68" t="s">
        <v>46</v>
      </c>
      <c r="AB404" s="69" t="s">
        <v>46</v>
      </c>
      <c r="AC404" s="492" t="s">
        <v>664</v>
      </c>
      <c r="AG404" s="78"/>
      <c r="AJ404" s="84" t="s">
        <v>46</v>
      </c>
      <c r="AK404" s="84">
        <v>0</v>
      </c>
      <c r="BB404" s="493" t="s">
        <v>67</v>
      </c>
      <c r="BM404" s="78">
        <f t="shared" si="58"/>
        <v>0</v>
      </c>
      <c r="BN404" s="78">
        <f t="shared" si="59"/>
        <v>0</v>
      </c>
      <c r="BO404" s="78">
        <f t="shared" si="60"/>
        <v>0</v>
      </c>
      <c r="BP404" s="78">
        <f t="shared" si="61"/>
        <v>0</v>
      </c>
    </row>
    <row r="405" spans="1:68" ht="27" customHeight="1" x14ac:dyDescent="0.25">
      <c r="A405" s="63" t="s">
        <v>665</v>
      </c>
      <c r="B405" s="63" t="s">
        <v>666</v>
      </c>
      <c r="C405" s="36">
        <v>4301012083</v>
      </c>
      <c r="D405" s="679">
        <v>4680115884854</v>
      </c>
      <c r="E405" s="679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133</v>
      </c>
      <c r="L405" s="37" t="s">
        <v>46</v>
      </c>
      <c r="M405" s="38" t="s">
        <v>132</v>
      </c>
      <c r="N405" s="38"/>
      <c r="O405" s="37">
        <v>60</v>
      </c>
      <c r="P405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81"/>
      <c r="R405" s="681"/>
      <c r="S405" s="681"/>
      <c r="T405" s="682"/>
      <c r="U405" s="39" t="s">
        <v>46</v>
      </c>
      <c r="V405" s="39" t="s">
        <v>46</v>
      </c>
      <c r="W405" s="40" t="s">
        <v>0</v>
      </c>
      <c r="X405" s="58">
        <v>200</v>
      </c>
      <c r="Y405" s="55">
        <f t="shared" si="57"/>
        <v>210</v>
      </c>
      <c r="Z405" s="41">
        <f>IFERROR(IF(Y405=0,"",ROUNDUP(Y405/H405,0)*0.02175),"")</f>
        <v>0.30449999999999999</v>
      </c>
      <c r="AA405" s="68" t="s">
        <v>46</v>
      </c>
      <c r="AB405" s="69" t="s">
        <v>46</v>
      </c>
      <c r="AC405" s="494" t="s">
        <v>667</v>
      </c>
      <c r="AG405" s="78"/>
      <c r="AJ405" s="84" t="s">
        <v>46</v>
      </c>
      <c r="AK405" s="84">
        <v>0</v>
      </c>
      <c r="BB405" s="495" t="s">
        <v>67</v>
      </c>
      <c r="BM405" s="78">
        <f t="shared" si="58"/>
        <v>206.26666666666668</v>
      </c>
      <c r="BN405" s="78">
        <f t="shared" si="59"/>
        <v>216.58</v>
      </c>
      <c r="BO405" s="78">
        <f t="shared" si="60"/>
        <v>0.27777777777777779</v>
      </c>
      <c r="BP405" s="78">
        <f t="shared" si="61"/>
        <v>0.29166666666666663</v>
      </c>
    </row>
    <row r="406" spans="1:68" ht="27" hidden="1" customHeight="1" x14ac:dyDescent="0.25">
      <c r="A406" s="63" t="s">
        <v>668</v>
      </c>
      <c r="B406" s="63" t="s">
        <v>669</v>
      </c>
      <c r="C406" s="36">
        <v>4301011867</v>
      </c>
      <c r="D406" s="679">
        <v>4680115884830</v>
      </c>
      <c r="E406" s="679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133</v>
      </c>
      <c r="L406" s="37" t="s">
        <v>46</v>
      </c>
      <c r="M406" s="38" t="s">
        <v>81</v>
      </c>
      <c r="N406" s="38"/>
      <c r="O406" s="37">
        <v>60</v>
      </c>
      <c r="P406" s="8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81"/>
      <c r="R406" s="681"/>
      <c r="S406" s="681"/>
      <c r="T406" s="682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57"/>
        <v>0</v>
      </c>
      <c r="Z406" s="41" t="str">
        <f>IFERROR(IF(Y406=0,"",ROUNDUP(Y406/H406,0)*0.02175),"")</f>
        <v/>
      </c>
      <c r="AA406" s="68" t="s">
        <v>46</v>
      </c>
      <c r="AB406" s="69" t="s">
        <v>46</v>
      </c>
      <c r="AC406" s="496" t="s">
        <v>670</v>
      </c>
      <c r="AG406" s="78"/>
      <c r="AJ406" s="84" t="s">
        <v>46</v>
      </c>
      <c r="AK406" s="84">
        <v>0</v>
      </c>
      <c r="BB406" s="497" t="s">
        <v>67</v>
      </c>
      <c r="BM406" s="78">
        <f t="shared" si="58"/>
        <v>0</v>
      </c>
      <c r="BN406" s="78">
        <f t="shared" si="59"/>
        <v>0</v>
      </c>
      <c r="BO406" s="78">
        <f t="shared" si="60"/>
        <v>0</v>
      </c>
      <c r="BP406" s="78">
        <f t="shared" si="61"/>
        <v>0</v>
      </c>
    </row>
    <row r="407" spans="1:68" ht="27" hidden="1" customHeight="1" x14ac:dyDescent="0.25">
      <c r="A407" s="63" t="s">
        <v>671</v>
      </c>
      <c r="B407" s="63" t="s">
        <v>672</v>
      </c>
      <c r="C407" s="36">
        <v>4301012356</v>
      </c>
      <c r="D407" s="679">
        <v>4680115889231</v>
      </c>
      <c r="E407" s="679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133</v>
      </c>
      <c r="L407" s="37" t="s">
        <v>46</v>
      </c>
      <c r="M407" s="38" t="s">
        <v>97</v>
      </c>
      <c r="N407" s="38"/>
      <c r="O407" s="37">
        <v>60</v>
      </c>
      <c r="P407" s="89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7" s="681"/>
      <c r="R407" s="681"/>
      <c r="S407" s="681"/>
      <c r="T407" s="682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7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673</v>
      </c>
      <c r="AG407" s="78"/>
      <c r="AJ407" s="84" t="s">
        <v>46</v>
      </c>
      <c r="AK407" s="84">
        <v>0</v>
      </c>
      <c r="BB407" s="499" t="s">
        <v>67</v>
      </c>
      <c r="BM407" s="78">
        <f t="shared" si="58"/>
        <v>0</v>
      </c>
      <c r="BN407" s="78">
        <f t="shared" si="59"/>
        <v>0</v>
      </c>
      <c r="BO407" s="78">
        <f t="shared" si="60"/>
        <v>0</v>
      </c>
      <c r="BP407" s="78">
        <f t="shared" si="61"/>
        <v>0</v>
      </c>
    </row>
    <row r="408" spans="1:68" ht="27" hidden="1" customHeight="1" x14ac:dyDescent="0.25">
      <c r="A408" s="63" t="s">
        <v>674</v>
      </c>
      <c r="B408" s="63" t="s">
        <v>675</v>
      </c>
      <c r="C408" s="36">
        <v>4301011433</v>
      </c>
      <c r="D408" s="679">
        <v>4680115882638</v>
      </c>
      <c r="E408" s="679"/>
      <c r="F408" s="62">
        <v>0.4</v>
      </c>
      <c r="G408" s="37">
        <v>10</v>
      </c>
      <c r="H408" s="62">
        <v>4</v>
      </c>
      <c r="I408" s="62">
        <v>4.1900000000000004</v>
      </c>
      <c r="J408" s="37">
        <v>132</v>
      </c>
      <c r="K408" s="37" t="s">
        <v>140</v>
      </c>
      <c r="L408" s="37" t="s">
        <v>46</v>
      </c>
      <c r="M408" s="38" t="s">
        <v>132</v>
      </c>
      <c r="N408" s="38"/>
      <c r="O408" s="37">
        <v>90</v>
      </c>
      <c r="P408" s="8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81"/>
      <c r="R408" s="681"/>
      <c r="S408" s="681"/>
      <c r="T408" s="682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500" t="s">
        <v>676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hidden="1" customHeight="1" x14ac:dyDescent="0.25">
      <c r="A409" s="63" t="s">
        <v>677</v>
      </c>
      <c r="B409" s="63" t="s">
        <v>678</v>
      </c>
      <c r="C409" s="36">
        <v>4301011952</v>
      </c>
      <c r="D409" s="679">
        <v>4680115884922</v>
      </c>
      <c r="E409" s="679"/>
      <c r="F409" s="62">
        <v>0.5</v>
      </c>
      <c r="G409" s="37">
        <v>10</v>
      </c>
      <c r="H409" s="62">
        <v>5</v>
      </c>
      <c r="I409" s="62">
        <v>5.19</v>
      </c>
      <c r="J409" s="37">
        <v>132</v>
      </c>
      <c r="K409" s="37" t="s">
        <v>140</v>
      </c>
      <c r="L409" s="37" t="s">
        <v>46</v>
      </c>
      <c r="M409" s="38" t="s">
        <v>81</v>
      </c>
      <c r="N409" s="38"/>
      <c r="O409" s="37">
        <v>60</v>
      </c>
      <c r="P409" s="8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81"/>
      <c r="R409" s="681"/>
      <c r="S409" s="681"/>
      <c r="T409" s="682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679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37.5" customHeight="1" x14ac:dyDescent="0.25">
      <c r="A410" s="63" t="s">
        <v>680</v>
      </c>
      <c r="B410" s="63" t="s">
        <v>681</v>
      </c>
      <c r="C410" s="36">
        <v>4301011868</v>
      </c>
      <c r="D410" s="679">
        <v>4680115884861</v>
      </c>
      <c r="E410" s="679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140</v>
      </c>
      <c r="L410" s="37" t="s">
        <v>46</v>
      </c>
      <c r="M410" s="38" t="s">
        <v>81</v>
      </c>
      <c r="N410" s="38"/>
      <c r="O410" s="37">
        <v>60</v>
      </c>
      <c r="P410" s="8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81"/>
      <c r="R410" s="681"/>
      <c r="S410" s="681"/>
      <c r="T410" s="682"/>
      <c r="U410" s="39" t="s">
        <v>46</v>
      </c>
      <c r="V410" s="39" t="s">
        <v>46</v>
      </c>
      <c r="W410" s="40" t="s">
        <v>0</v>
      </c>
      <c r="X410" s="58">
        <v>35</v>
      </c>
      <c r="Y410" s="55">
        <f t="shared" si="57"/>
        <v>35</v>
      </c>
      <c r="Z410" s="41">
        <f>IFERROR(IF(Y410=0,"",ROUNDUP(Y410/H410,0)*0.00902),"")</f>
        <v>6.3140000000000002E-2</v>
      </c>
      <c r="AA410" s="68" t="s">
        <v>46</v>
      </c>
      <c r="AB410" s="69" t="s">
        <v>46</v>
      </c>
      <c r="AC410" s="504" t="s">
        <v>682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36.33</v>
      </c>
      <c r="BN410" s="78">
        <f t="shared" si="59"/>
        <v>36.33</v>
      </c>
      <c r="BO410" s="78">
        <f t="shared" si="60"/>
        <v>5.3030303030303032E-2</v>
      </c>
      <c r="BP410" s="78">
        <f t="shared" si="61"/>
        <v>5.3030303030303032E-2</v>
      </c>
    </row>
    <row r="411" spans="1:68" x14ac:dyDescent="0.2">
      <c r="A411" s="687"/>
      <c r="B411" s="687"/>
      <c r="C411" s="687"/>
      <c r="D411" s="687"/>
      <c r="E411" s="687"/>
      <c r="F411" s="687"/>
      <c r="G411" s="687"/>
      <c r="H411" s="687"/>
      <c r="I411" s="687"/>
      <c r="J411" s="687"/>
      <c r="K411" s="687"/>
      <c r="L411" s="687"/>
      <c r="M411" s="687"/>
      <c r="N411" s="687"/>
      <c r="O411" s="688"/>
      <c r="P411" s="684" t="s">
        <v>40</v>
      </c>
      <c r="Q411" s="685"/>
      <c r="R411" s="685"/>
      <c r="S411" s="685"/>
      <c r="T411" s="685"/>
      <c r="U411" s="685"/>
      <c r="V411" s="686"/>
      <c r="W411" s="42" t="s">
        <v>39</v>
      </c>
      <c r="X411" s="43">
        <f>IFERROR(X403/H403,"0")+IFERROR(X404/H404,"0")+IFERROR(X405/H405,"0")+IFERROR(X406/H406,"0")+IFERROR(X407/H407,"0")+IFERROR(X408/H408,"0")+IFERROR(X409/H409,"0")+IFERROR(X410/H410,"0")</f>
        <v>29.666666666666668</v>
      </c>
      <c r="Y411" s="43">
        <f>IFERROR(Y403/H403,"0")+IFERROR(Y404/H404,"0")+IFERROR(Y405/H405,"0")+IFERROR(Y406/H406,"0")+IFERROR(Y407/H407,"0")+IFERROR(Y408/H408,"0")+IFERROR(Y409/H409,"0")+IFERROR(Y410/H410,"0")</f>
        <v>31</v>
      </c>
      <c r="Z411" s="43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0.58513999999999999</v>
      </c>
      <c r="AA411" s="67"/>
      <c r="AB411" s="67"/>
      <c r="AC411" s="67"/>
    </row>
    <row r="412" spans="1:68" x14ac:dyDescent="0.2">
      <c r="A412" s="687"/>
      <c r="B412" s="687"/>
      <c r="C412" s="687"/>
      <c r="D412" s="687"/>
      <c r="E412" s="687"/>
      <c r="F412" s="687"/>
      <c r="G412" s="687"/>
      <c r="H412" s="687"/>
      <c r="I412" s="687"/>
      <c r="J412" s="687"/>
      <c r="K412" s="687"/>
      <c r="L412" s="687"/>
      <c r="M412" s="687"/>
      <c r="N412" s="687"/>
      <c r="O412" s="688"/>
      <c r="P412" s="684" t="s">
        <v>40</v>
      </c>
      <c r="Q412" s="685"/>
      <c r="R412" s="685"/>
      <c r="S412" s="685"/>
      <c r="T412" s="685"/>
      <c r="U412" s="685"/>
      <c r="V412" s="686"/>
      <c r="W412" s="42" t="s">
        <v>0</v>
      </c>
      <c r="X412" s="43">
        <f>IFERROR(SUM(X403:X410),"0")</f>
        <v>375</v>
      </c>
      <c r="Y412" s="43">
        <f>IFERROR(SUM(Y403:Y410),"0")</f>
        <v>395</v>
      </c>
      <c r="Z412" s="42"/>
      <c r="AA412" s="67"/>
      <c r="AB412" s="67"/>
      <c r="AC412" s="67"/>
    </row>
    <row r="413" spans="1:68" ht="14.25" hidden="1" customHeight="1" x14ac:dyDescent="0.25">
      <c r="A413" s="678" t="s">
        <v>163</v>
      </c>
      <c r="B413" s="678"/>
      <c r="C413" s="678"/>
      <c r="D413" s="678"/>
      <c r="E413" s="678"/>
      <c r="F413" s="678"/>
      <c r="G413" s="678"/>
      <c r="H413" s="678"/>
      <c r="I413" s="678"/>
      <c r="J413" s="678"/>
      <c r="K413" s="678"/>
      <c r="L413" s="678"/>
      <c r="M413" s="678"/>
      <c r="N413" s="678"/>
      <c r="O413" s="678"/>
      <c r="P413" s="678"/>
      <c r="Q413" s="678"/>
      <c r="R413" s="678"/>
      <c r="S413" s="678"/>
      <c r="T413" s="678"/>
      <c r="U413" s="678"/>
      <c r="V413" s="678"/>
      <c r="W413" s="678"/>
      <c r="X413" s="678"/>
      <c r="Y413" s="678"/>
      <c r="Z413" s="678"/>
      <c r="AA413" s="66"/>
      <c r="AB413" s="66"/>
      <c r="AC413" s="80"/>
    </row>
    <row r="414" spans="1:68" ht="27" customHeight="1" x14ac:dyDescent="0.25">
      <c r="A414" s="63" t="s">
        <v>683</v>
      </c>
      <c r="B414" s="63" t="s">
        <v>684</v>
      </c>
      <c r="C414" s="36">
        <v>4301020178</v>
      </c>
      <c r="D414" s="679">
        <v>4607091383980</v>
      </c>
      <c r="E414" s="679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132</v>
      </c>
      <c r="N414" s="38"/>
      <c r="O414" s="37">
        <v>50</v>
      </c>
      <c r="P414" s="8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81"/>
      <c r="R414" s="681"/>
      <c r="S414" s="681"/>
      <c r="T414" s="682"/>
      <c r="U414" s="39" t="s">
        <v>46</v>
      </c>
      <c r="V414" s="39" t="s">
        <v>46</v>
      </c>
      <c r="W414" s="40" t="s">
        <v>0</v>
      </c>
      <c r="X414" s="58">
        <v>1500</v>
      </c>
      <c r="Y414" s="55">
        <f>IFERROR(IF(X414="",0,CEILING((X414/$H414),1)*$H414),"")</f>
        <v>1500</v>
      </c>
      <c r="Z414" s="41">
        <f>IFERROR(IF(Y414=0,"",ROUNDUP(Y414/H414,0)*0.02175),"")</f>
        <v>2.1749999999999998</v>
      </c>
      <c r="AA414" s="68" t="s">
        <v>46</v>
      </c>
      <c r="AB414" s="69" t="s">
        <v>46</v>
      </c>
      <c r="AC414" s="506" t="s">
        <v>685</v>
      </c>
      <c r="AG414" s="78"/>
      <c r="AJ414" s="84" t="s">
        <v>46</v>
      </c>
      <c r="AK414" s="84">
        <v>0</v>
      </c>
      <c r="BB414" s="507" t="s">
        <v>67</v>
      </c>
      <c r="BM414" s="78">
        <f>IFERROR(X414*I414/H414,"0")</f>
        <v>1547</v>
      </c>
      <c r="BN414" s="78">
        <f>IFERROR(Y414*I414/H414,"0")</f>
        <v>1547</v>
      </c>
      <c r="BO414" s="78">
        <f>IFERROR(1/J414*(X414/H414),"0")</f>
        <v>2.083333333333333</v>
      </c>
      <c r="BP414" s="78">
        <f>IFERROR(1/J414*(Y414/H414),"0")</f>
        <v>2.083333333333333</v>
      </c>
    </row>
    <row r="415" spans="1:68" ht="27" customHeight="1" x14ac:dyDescent="0.25">
      <c r="A415" s="63" t="s">
        <v>686</v>
      </c>
      <c r="B415" s="63" t="s">
        <v>687</v>
      </c>
      <c r="C415" s="36">
        <v>4301020355</v>
      </c>
      <c r="D415" s="679">
        <v>4680115888425</v>
      </c>
      <c r="E415" s="679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50</v>
      </c>
      <c r="P415" s="89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81"/>
      <c r="R415" s="681"/>
      <c r="S415" s="681"/>
      <c r="T415" s="682"/>
      <c r="U415" s="39" t="s">
        <v>46</v>
      </c>
      <c r="V415" s="39" t="s">
        <v>46</v>
      </c>
      <c r="W415" s="40" t="s">
        <v>0</v>
      </c>
      <c r="X415" s="58">
        <v>30</v>
      </c>
      <c r="Y415" s="55">
        <f>IFERROR(IF(X415="",0,CEILING((X415/$H415),1)*$H415),"")</f>
        <v>30</v>
      </c>
      <c r="Z415" s="41">
        <f>IFERROR(IF(Y415=0,"",ROUNDUP(Y415/H415,0)*0.02175),"")</f>
        <v>4.3499999999999997E-2</v>
      </c>
      <c r="AA415" s="68" t="s">
        <v>46</v>
      </c>
      <c r="AB415" s="69" t="s">
        <v>46</v>
      </c>
      <c r="AC415" s="508" t="s">
        <v>688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30.94</v>
      </c>
      <c r="BN415" s="78">
        <f>IFERROR(Y415*I415/H415,"0")</f>
        <v>30.94</v>
      </c>
      <c r="BO415" s="78">
        <f>IFERROR(1/J415*(X415/H415),"0")</f>
        <v>4.1666666666666664E-2</v>
      </c>
      <c r="BP415" s="78">
        <f>IFERROR(1/J415*(Y415/H415),"0")</f>
        <v>4.1666666666666664E-2</v>
      </c>
    </row>
    <row r="416" spans="1:68" ht="27" hidden="1" customHeight="1" x14ac:dyDescent="0.25">
      <c r="A416" s="63" t="s">
        <v>689</v>
      </c>
      <c r="B416" s="63" t="s">
        <v>690</v>
      </c>
      <c r="C416" s="36">
        <v>4301020179</v>
      </c>
      <c r="D416" s="679">
        <v>4607091384178</v>
      </c>
      <c r="E416" s="679"/>
      <c r="F416" s="62">
        <v>0.4</v>
      </c>
      <c r="G416" s="37">
        <v>10</v>
      </c>
      <c r="H416" s="62">
        <v>4</v>
      </c>
      <c r="I416" s="62">
        <v>4.1900000000000004</v>
      </c>
      <c r="J416" s="37">
        <v>132</v>
      </c>
      <c r="K416" s="37" t="s">
        <v>140</v>
      </c>
      <c r="L416" s="37" t="s">
        <v>46</v>
      </c>
      <c r="M416" s="38" t="s">
        <v>132</v>
      </c>
      <c r="N416" s="38"/>
      <c r="O416" s="37">
        <v>50</v>
      </c>
      <c r="P416" s="8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81"/>
      <c r="R416" s="681"/>
      <c r="S416" s="681"/>
      <c r="T416" s="68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IFERROR(IF(Y416=0,"",ROUNDUP(Y416/H416,0)*0.00902),"")</f>
        <v/>
      </c>
      <c r="AA416" s="68" t="s">
        <v>46</v>
      </c>
      <c r="AB416" s="69" t="s">
        <v>46</v>
      </c>
      <c r="AC416" s="510" t="s">
        <v>691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87"/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8"/>
      <c r="P417" s="684" t="s">
        <v>40</v>
      </c>
      <c r="Q417" s="685"/>
      <c r="R417" s="685"/>
      <c r="S417" s="685"/>
      <c r="T417" s="685"/>
      <c r="U417" s="685"/>
      <c r="V417" s="686"/>
      <c r="W417" s="42" t="s">
        <v>39</v>
      </c>
      <c r="X417" s="43">
        <f>IFERROR(X414/H414,"0")+IFERROR(X415/H415,"0")+IFERROR(X416/H416,"0")</f>
        <v>102</v>
      </c>
      <c r="Y417" s="43">
        <f>IFERROR(Y414/H414,"0")+IFERROR(Y415/H415,"0")+IFERROR(Y416/H416,"0")</f>
        <v>102</v>
      </c>
      <c r="Z417" s="43">
        <f>IFERROR(IF(Z414="",0,Z414),"0")+IFERROR(IF(Z415="",0,Z415),"0")+IFERROR(IF(Z416="",0,Z416),"0")</f>
        <v>2.2184999999999997</v>
      </c>
      <c r="AA417" s="67"/>
      <c r="AB417" s="67"/>
      <c r="AC417" s="67"/>
    </row>
    <row r="418" spans="1:68" x14ac:dyDescent="0.2">
      <c r="A418" s="687"/>
      <c r="B418" s="687"/>
      <c r="C418" s="687"/>
      <c r="D418" s="687"/>
      <c r="E418" s="687"/>
      <c r="F418" s="687"/>
      <c r="G418" s="687"/>
      <c r="H418" s="687"/>
      <c r="I418" s="687"/>
      <c r="J418" s="687"/>
      <c r="K418" s="687"/>
      <c r="L418" s="687"/>
      <c r="M418" s="687"/>
      <c r="N418" s="687"/>
      <c r="O418" s="688"/>
      <c r="P418" s="684" t="s">
        <v>40</v>
      </c>
      <c r="Q418" s="685"/>
      <c r="R418" s="685"/>
      <c r="S418" s="685"/>
      <c r="T418" s="685"/>
      <c r="U418" s="685"/>
      <c r="V418" s="686"/>
      <c r="W418" s="42" t="s">
        <v>0</v>
      </c>
      <c r="X418" s="43">
        <f>IFERROR(SUM(X414:X416),"0")</f>
        <v>1530</v>
      </c>
      <c r="Y418" s="43">
        <f>IFERROR(SUM(Y414:Y416),"0")</f>
        <v>1530</v>
      </c>
      <c r="Z418" s="42"/>
      <c r="AA418" s="67"/>
      <c r="AB418" s="67"/>
      <c r="AC418" s="67"/>
    </row>
    <row r="419" spans="1:68" ht="14.25" hidden="1" customHeight="1" x14ac:dyDescent="0.25">
      <c r="A419" s="678" t="s">
        <v>86</v>
      </c>
      <c r="B419" s="678"/>
      <c r="C419" s="678"/>
      <c r="D419" s="678"/>
      <c r="E419" s="678"/>
      <c r="F419" s="678"/>
      <c r="G419" s="678"/>
      <c r="H419" s="678"/>
      <c r="I419" s="678"/>
      <c r="J419" s="678"/>
      <c r="K419" s="678"/>
      <c r="L419" s="678"/>
      <c r="M419" s="678"/>
      <c r="N419" s="678"/>
      <c r="O419" s="678"/>
      <c r="P419" s="678"/>
      <c r="Q419" s="678"/>
      <c r="R419" s="678"/>
      <c r="S419" s="678"/>
      <c r="T419" s="678"/>
      <c r="U419" s="678"/>
      <c r="V419" s="678"/>
      <c r="W419" s="678"/>
      <c r="X419" s="678"/>
      <c r="Y419" s="678"/>
      <c r="Z419" s="678"/>
      <c r="AA419" s="66"/>
      <c r="AB419" s="66"/>
      <c r="AC419" s="80"/>
    </row>
    <row r="420" spans="1:68" ht="27" hidden="1" customHeight="1" x14ac:dyDescent="0.25">
      <c r="A420" s="63" t="s">
        <v>692</v>
      </c>
      <c r="B420" s="63" t="s">
        <v>693</v>
      </c>
      <c r="C420" s="36">
        <v>4301051903</v>
      </c>
      <c r="D420" s="679">
        <v>4607091383928</v>
      </c>
      <c r="E420" s="679"/>
      <c r="F420" s="62">
        <v>1.5</v>
      </c>
      <c r="G420" s="37">
        <v>6</v>
      </c>
      <c r="H420" s="62">
        <v>9</v>
      </c>
      <c r="I420" s="62">
        <v>9.5</v>
      </c>
      <c r="J420" s="37">
        <v>64</v>
      </c>
      <c r="K420" s="37" t="s">
        <v>133</v>
      </c>
      <c r="L420" s="37" t="s">
        <v>46</v>
      </c>
      <c r="M420" s="38" t="s">
        <v>90</v>
      </c>
      <c r="N420" s="38"/>
      <c r="O420" s="37">
        <v>40</v>
      </c>
      <c r="P42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81"/>
      <c r="R420" s="681"/>
      <c r="S420" s="681"/>
      <c r="T420" s="68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2" t="s">
        <v>694</v>
      </c>
      <c r="AG420" s="78"/>
      <c r="AJ420" s="84" t="s">
        <v>46</v>
      </c>
      <c r="AK420" s="84">
        <v>0</v>
      </c>
      <c r="BB420" s="513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695</v>
      </c>
      <c r="B421" s="63" t="s">
        <v>696</v>
      </c>
      <c r="C421" s="36">
        <v>4301051897</v>
      </c>
      <c r="D421" s="679">
        <v>4607091384260</v>
      </c>
      <c r="E421" s="679"/>
      <c r="F421" s="62">
        <v>1.5</v>
      </c>
      <c r="G421" s="37">
        <v>6</v>
      </c>
      <c r="H421" s="62">
        <v>9</v>
      </c>
      <c r="I421" s="62">
        <v>9.4939999999999998</v>
      </c>
      <c r="J421" s="37">
        <v>64</v>
      </c>
      <c r="K421" s="37" t="s">
        <v>133</v>
      </c>
      <c r="L421" s="37" t="s">
        <v>46</v>
      </c>
      <c r="M421" s="38" t="s">
        <v>90</v>
      </c>
      <c r="N421" s="38"/>
      <c r="O421" s="37">
        <v>40</v>
      </c>
      <c r="P421" s="9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81"/>
      <c r="R421" s="681"/>
      <c r="S421" s="681"/>
      <c r="T421" s="682"/>
      <c r="U421" s="39" t="s">
        <v>46</v>
      </c>
      <c r="V421" s="39" t="s">
        <v>46</v>
      </c>
      <c r="W421" s="40" t="s">
        <v>0</v>
      </c>
      <c r="X421" s="58">
        <v>400</v>
      </c>
      <c r="Y421" s="55">
        <f>IFERROR(IF(X421="",0,CEILING((X421/$H421),1)*$H421),"")</f>
        <v>405</v>
      </c>
      <c r="Z421" s="41">
        <f>IFERROR(IF(Y421=0,"",ROUNDUP(Y421/H421,0)*0.01898),"")</f>
        <v>0.85409999999999997</v>
      </c>
      <c r="AA421" s="68" t="s">
        <v>46</v>
      </c>
      <c r="AB421" s="69" t="s">
        <v>46</v>
      </c>
      <c r="AC421" s="514" t="s">
        <v>697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421.95555555555552</v>
      </c>
      <c r="BN421" s="78">
        <f>IFERROR(Y421*I421/H421,"0")</f>
        <v>427.22999999999996</v>
      </c>
      <c r="BO421" s="78">
        <f>IFERROR(1/J421*(X421/H421),"0")</f>
        <v>0.69444444444444442</v>
      </c>
      <c r="BP421" s="78">
        <f>IFERROR(1/J421*(Y421/H421),"0")</f>
        <v>0.703125</v>
      </c>
    </row>
    <row r="422" spans="1:68" x14ac:dyDescent="0.2">
      <c r="A422" s="687"/>
      <c r="B422" s="687"/>
      <c r="C422" s="687"/>
      <c r="D422" s="687"/>
      <c r="E422" s="687"/>
      <c r="F422" s="687"/>
      <c r="G422" s="687"/>
      <c r="H422" s="687"/>
      <c r="I422" s="687"/>
      <c r="J422" s="687"/>
      <c r="K422" s="687"/>
      <c r="L422" s="687"/>
      <c r="M422" s="687"/>
      <c r="N422" s="687"/>
      <c r="O422" s="688"/>
      <c r="P422" s="684" t="s">
        <v>40</v>
      </c>
      <c r="Q422" s="685"/>
      <c r="R422" s="685"/>
      <c r="S422" s="685"/>
      <c r="T422" s="685"/>
      <c r="U422" s="685"/>
      <c r="V422" s="686"/>
      <c r="W422" s="42" t="s">
        <v>39</v>
      </c>
      <c r="X422" s="43">
        <f>IFERROR(X420/H420,"0")+IFERROR(X421/H421,"0")</f>
        <v>44.444444444444443</v>
      </c>
      <c r="Y422" s="43">
        <f>IFERROR(Y420/H420,"0")+IFERROR(Y421/H421,"0")</f>
        <v>45</v>
      </c>
      <c r="Z422" s="43">
        <f>IFERROR(IF(Z420="",0,Z420),"0")+IFERROR(IF(Z421="",0,Z421),"0")</f>
        <v>0.85409999999999997</v>
      </c>
      <c r="AA422" s="67"/>
      <c r="AB422" s="67"/>
      <c r="AC422" s="67"/>
    </row>
    <row r="423" spans="1:68" x14ac:dyDescent="0.2">
      <c r="A423" s="687"/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8"/>
      <c r="P423" s="684" t="s">
        <v>40</v>
      </c>
      <c r="Q423" s="685"/>
      <c r="R423" s="685"/>
      <c r="S423" s="685"/>
      <c r="T423" s="685"/>
      <c r="U423" s="685"/>
      <c r="V423" s="686"/>
      <c r="W423" s="42" t="s">
        <v>0</v>
      </c>
      <c r="X423" s="43">
        <f>IFERROR(SUM(X420:X421),"0")</f>
        <v>400</v>
      </c>
      <c r="Y423" s="43">
        <f>IFERROR(SUM(Y420:Y421),"0")</f>
        <v>405</v>
      </c>
      <c r="Z423" s="42"/>
      <c r="AA423" s="67"/>
      <c r="AB423" s="67"/>
      <c r="AC423" s="67"/>
    </row>
    <row r="424" spans="1:68" ht="14.25" hidden="1" customHeight="1" x14ac:dyDescent="0.25">
      <c r="A424" s="678" t="s">
        <v>180</v>
      </c>
      <c r="B424" s="678"/>
      <c r="C424" s="678"/>
      <c r="D424" s="678"/>
      <c r="E424" s="678"/>
      <c r="F424" s="678"/>
      <c r="G424" s="678"/>
      <c r="H424" s="678"/>
      <c r="I424" s="678"/>
      <c r="J424" s="678"/>
      <c r="K424" s="678"/>
      <c r="L424" s="678"/>
      <c r="M424" s="678"/>
      <c r="N424" s="678"/>
      <c r="O424" s="678"/>
      <c r="P424" s="678"/>
      <c r="Q424" s="678"/>
      <c r="R424" s="678"/>
      <c r="S424" s="678"/>
      <c r="T424" s="678"/>
      <c r="U424" s="678"/>
      <c r="V424" s="678"/>
      <c r="W424" s="678"/>
      <c r="X424" s="678"/>
      <c r="Y424" s="678"/>
      <c r="Z424" s="678"/>
      <c r="AA424" s="66"/>
      <c r="AB424" s="66"/>
      <c r="AC424" s="80"/>
    </row>
    <row r="425" spans="1:68" ht="16.5" hidden="1" customHeight="1" x14ac:dyDescent="0.25">
      <c r="A425" s="63" t="s">
        <v>698</v>
      </c>
      <c r="B425" s="63" t="s">
        <v>699</v>
      </c>
      <c r="C425" s="36">
        <v>4301060524</v>
      </c>
      <c r="D425" s="679">
        <v>4607091384673</v>
      </c>
      <c r="E425" s="679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133</v>
      </c>
      <c r="L425" s="37" t="s">
        <v>46</v>
      </c>
      <c r="M425" s="38" t="s">
        <v>90</v>
      </c>
      <c r="N425" s="38"/>
      <c r="O425" s="37">
        <v>40</v>
      </c>
      <c r="P425" s="9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81"/>
      <c r="R425" s="681"/>
      <c r="S425" s="681"/>
      <c r="T425" s="682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6" t="s">
        <v>700</v>
      </c>
      <c r="AG425" s="78"/>
      <c r="AJ425" s="84" t="s">
        <v>46</v>
      </c>
      <c r="AK425" s="84">
        <v>0</v>
      </c>
      <c r="BB425" s="517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87"/>
      <c r="B426" s="687"/>
      <c r="C426" s="687"/>
      <c r="D426" s="687"/>
      <c r="E426" s="687"/>
      <c r="F426" s="687"/>
      <c r="G426" s="687"/>
      <c r="H426" s="687"/>
      <c r="I426" s="687"/>
      <c r="J426" s="687"/>
      <c r="K426" s="687"/>
      <c r="L426" s="687"/>
      <c r="M426" s="687"/>
      <c r="N426" s="687"/>
      <c r="O426" s="688"/>
      <c r="P426" s="684" t="s">
        <v>40</v>
      </c>
      <c r="Q426" s="685"/>
      <c r="R426" s="685"/>
      <c r="S426" s="685"/>
      <c r="T426" s="685"/>
      <c r="U426" s="685"/>
      <c r="V426" s="686"/>
      <c r="W426" s="42" t="s">
        <v>39</v>
      </c>
      <c r="X426" s="43">
        <f>IFERROR(X425/H425,"0")</f>
        <v>0</v>
      </c>
      <c r="Y426" s="43">
        <f>IFERROR(Y425/H425,"0")</f>
        <v>0</v>
      </c>
      <c r="Z426" s="43">
        <f>IFERROR(IF(Z425="",0,Z425),"0")</f>
        <v>0</v>
      </c>
      <c r="AA426" s="67"/>
      <c r="AB426" s="67"/>
      <c r="AC426" s="67"/>
    </row>
    <row r="427" spans="1:68" hidden="1" x14ac:dyDescent="0.2">
      <c r="A427" s="687"/>
      <c r="B427" s="687"/>
      <c r="C427" s="687"/>
      <c r="D427" s="687"/>
      <c r="E427" s="687"/>
      <c r="F427" s="687"/>
      <c r="G427" s="687"/>
      <c r="H427" s="687"/>
      <c r="I427" s="687"/>
      <c r="J427" s="687"/>
      <c r="K427" s="687"/>
      <c r="L427" s="687"/>
      <c r="M427" s="687"/>
      <c r="N427" s="687"/>
      <c r="O427" s="688"/>
      <c r="P427" s="684" t="s">
        <v>40</v>
      </c>
      <c r="Q427" s="685"/>
      <c r="R427" s="685"/>
      <c r="S427" s="685"/>
      <c r="T427" s="685"/>
      <c r="U427" s="685"/>
      <c r="V427" s="686"/>
      <c r="W427" s="42" t="s">
        <v>0</v>
      </c>
      <c r="X427" s="43">
        <f>IFERROR(SUM(X425:X425),"0")</f>
        <v>0</v>
      </c>
      <c r="Y427" s="43">
        <f>IFERROR(SUM(Y425:Y425),"0")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77" t="s">
        <v>701</v>
      </c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77"/>
      <c r="P428" s="677"/>
      <c r="Q428" s="677"/>
      <c r="R428" s="677"/>
      <c r="S428" s="677"/>
      <c r="T428" s="677"/>
      <c r="U428" s="677"/>
      <c r="V428" s="677"/>
      <c r="W428" s="677"/>
      <c r="X428" s="677"/>
      <c r="Y428" s="677"/>
      <c r="Z428" s="677"/>
      <c r="AA428" s="65"/>
      <c r="AB428" s="65"/>
      <c r="AC428" s="79"/>
    </row>
    <row r="429" spans="1:68" ht="14.25" hidden="1" customHeight="1" x14ac:dyDescent="0.25">
      <c r="A429" s="678" t="s">
        <v>128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66"/>
      <c r="AB429" s="66"/>
      <c r="AC429" s="80"/>
    </row>
    <row r="430" spans="1:68" ht="27" customHeight="1" x14ac:dyDescent="0.25">
      <c r="A430" s="63" t="s">
        <v>702</v>
      </c>
      <c r="B430" s="63" t="s">
        <v>703</v>
      </c>
      <c r="C430" s="36">
        <v>4301011875</v>
      </c>
      <c r="D430" s="679">
        <v>4680115884885</v>
      </c>
      <c r="E430" s="679"/>
      <c r="F430" s="62">
        <v>0.8</v>
      </c>
      <c r="G430" s="37">
        <v>15</v>
      </c>
      <c r="H430" s="62">
        <v>12</v>
      </c>
      <c r="I430" s="62">
        <v>12.41</v>
      </c>
      <c r="J430" s="37">
        <v>64</v>
      </c>
      <c r="K430" s="37" t="s">
        <v>133</v>
      </c>
      <c r="L430" s="37" t="s">
        <v>46</v>
      </c>
      <c r="M430" s="38" t="s">
        <v>81</v>
      </c>
      <c r="N430" s="38"/>
      <c r="O430" s="37">
        <v>60</v>
      </c>
      <c r="P430" s="9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81"/>
      <c r="R430" s="681"/>
      <c r="S430" s="681"/>
      <c r="T430" s="682"/>
      <c r="U430" s="39" t="s">
        <v>46</v>
      </c>
      <c r="V430" s="39" t="s">
        <v>46</v>
      </c>
      <c r="W430" s="40" t="s">
        <v>0</v>
      </c>
      <c r="X430" s="58">
        <v>40</v>
      </c>
      <c r="Y430" s="55">
        <f>IFERROR(IF(X430="",0,CEILING((X430/$H430),1)*$H430),"")</f>
        <v>48</v>
      </c>
      <c r="Z430" s="41">
        <f>IFERROR(IF(Y430=0,"",ROUNDUP(Y430/H430,0)*0.01898),"")</f>
        <v>7.5920000000000001E-2</v>
      </c>
      <c r="AA430" s="68" t="s">
        <v>46</v>
      </c>
      <c r="AB430" s="69" t="s">
        <v>46</v>
      </c>
      <c r="AC430" s="518" t="s">
        <v>704</v>
      </c>
      <c r="AG430" s="78"/>
      <c r="AJ430" s="84" t="s">
        <v>46</v>
      </c>
      <c r="AK430" s="84">
        <v>0</v>
      </c>
      <c r="BB430" s="519" t="s">
        <v>67</v>
      </c>
      <c r="BM430" s="78">
        <f>IFERROR(X430*I430/H430,"0")</f>
        <v>41.366666666666667</v>
      </c>
      <c r="BN430" s="78">
        <f>IFERROR(Y430*I430/H430,"0")</f>
        <v>49.640000000000008</v>
      </c>
      <c r="BO430" s="78">
        <f>IFERROR(1/J430*(X430/H430),"0")</f>
        <v>5.2083333333333336E-2</v>
      </c>
      <c r="BP430" s="78">
        <f>IFERROR(1/J430*(Y430/H430),"0")</f>
        <v>6.25E-2</v>
      </c>
    </row>
    <row r="431" spans="1:68" ht="37.5" hidden="1" customHeight="1" x14ac:dyDescent="0.25">
      <c r="A431" s="63" t="s">
        <v>705</v>
      </c>
      <c r="B431" s="63" t="s">
        <v>706</v>
      </c>
      <c r="C431" s="36">
        <v>4301011871</v>
      </c>
      <c r="D431" s="679">
        <v>4680115884908</v>
      </c>
      <c r="E431" s="67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140</v>
      </c>
      <c r="L431" s="37" t="s">
        <v>46</v>
      </c>
      <c r="M431" s="38" t="s">
        <v>81</v>
      </c>
      <c r="N431" s="38"/>
      <c r="O431" s="37">
        <v>60</v>
      </c>
      <c r="P431" s="9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81"/>
      <c r="R431" s="681"/>
      <c r="S431" s="681"/>
      <c r="T431" s="682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20" t="s">
        <v>704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x14ac:dyDescent="0.2">
      <c r="A432" s="687"/>
      <c r="B432" s="687"/>
      <c r="C432" s="687"/>
      <c r="D432" s="687"/>
      <c r="E432" s="687"/>
      <c r="F432" s="687"/>
      <c r="G432" s="687"/>
      <c r="H432" s="687"/>
      <c r="I432" s="687"/>
      <c r="J432" s="687"/>
      <c r="K432" s="687"/>
      <c r="L432" s="687"/>
      <c r="M432" s="687"/>
      <c r="N432" s="687"/>
      <c r="O432" s="688"/>
      <c r="P432" s="684" t="s">
        <v>40</v>
      </c>
      <c r="Q432" s="685"/>
      <c r="R432" s="685"/>
      <c r="S432" s="685"/>
      <c r="T432" s="685"/>
      <c r="U432" s="685"/>
      <c r="V432" s="686"/>
      <c r="W432" s="42" t="s">
        <v>39</v>
      </c>
      <c r="X432" s="43">
        <f>IFERROR(X430/H430,"0")+IFERROR(X431/H431,"0")</f>
        <v>3.3333333333333335</v>
      </c>
      <c r="Y432" s="43">
        <f>IFERROR(Y430/H430,"0")+IFERROR(Y431/H431,"0")</f>
        <v>4</v>
      </c>
      <c r="Z432" s="43">
        <f>IFERROR(IF(Z430="",0,Z430),"0")+IFERROR(IF(Z431="",0,Z431),"0")</f>
        <v>7.5920000000000001E-2</v>
      </c>
      <c r="AA432" s="67"/>
      <c r="AB432" s="67"/>
      <c r="AC432" s="67"/>
    </row>
    <row r="433" spans="1:68" x14ac:dyDescent="0.2">
      <c r="A433" s="687"/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8"/>
      <c r="P433" s="684" t="s">
        <v>40</v>
      </c>
      <c r="Q433" s="685"/>
      <c r="R433" s="685"/>
      <c r="S433" s="685"/>
      <c r="T433" s="685"/>
      <c r="U433" s="685"/>
      <c r="V433" s="686"/>
      <c r="W433" s="42" t="s">
        <v>0</v>
      </c>
      <c r="X433" s="43">
        <f>IFERROR(SUM(X430:X431),"0")</f>
        <v>40</v>
      </c>
      <c r="Y433" s="43">
        <f>IFERROR(SUM(Y430:Y431),"0")</f>
        <v>48</v>
      </c>
      <c r="Z433" s="42"/>
      <c r="AA433" s="67"/>
      <c r="AB433" s="67"/>
      <c r="AC433" s="67"/>
    </row>
    <row r="434" spans="1:68" ht="14.25" hidden="1" customHeight="1" x14ac:dyDescent="0.25">
      <c r="A434" s="678" t="s">
        <v>77</v>
      </c>
      <c r="B434" s="678"/>
      <c r="C434" s="678"/>
      <c r="D434" s="678"/>
      <c r="E434" s="678"/>
      <c r="F434" s="678"/>
      <c r="G434" s="678"/>
      <c r="H434" s="678"/>
      <c r="I434" s="678"/>
      <c r="J434" s="678"/>
      <c r="K434" s="678"/>
      <c r="L434" s="678"/>
      <c r="M434" s="678"/>
      <c r="N434" s="678"/>
      <c r="O434" s="678"/>
      <c r="P434" s="678"/>
      <c r="Q434" s="678"/>
      <c r="R434" s="678"/>
      <c r="S434" s="678"/>
      <c r="T434" s="678"/>
      <c r="U434" s="678"/>
      <c r="V434" s="678"/>
      <c r="W434" s="678"/>
      <c r="X434" s="678"/>
      <c r="Y434" s="678"/>
      <c r="Z434" s="678"/>
      <c r="AA434" s="66"/>
      <c r="AB434" s="66"/>
      <c r="AC434" s="80"/>
    </row>
    <row r="435" spans="1:68" ht="27" hidden="1" customHeight="1" x14ac:dyDescent="0.25">
      <c r="A435" s="63" t="s">
        <v>707</v>
      </c>
      <c r="B435" s="63" t="s">
        <v>708</v>
      </c>
      <c r="C435" s="36">
        <v>4301031457</v>
      </c>
      <c r="D435" s="679">
        <v>4607091384802</v>
      </c>
      <c r="E435" s="679"/>
      <c r="F435" s="62">
        <v>0.7</v>
      </c>
      <c r="G435" s="37">
        <v>6</v>
      </c>
      <c r="H435" s="62">
        <v>4.2</v>
      </c>
      <c r="I435" s="62">
        <v>4.45</v>
      </c>
      <c r="J435" s="37">
        <v>132</v>
      </c>
      <c r="K435" s="37" t="s">
        <v>140</v>
      </c>
      <c r="L435" s="37" t="s">
        <v>46</v>
      </c>
      <c r="M435" s="38" t="s">
        <v>81</v>
      </c>
      <c r="N435" s="38"/>
      <c r="O435" s="37">
        <v>50</v>
      </c>
      <c r="P435" s="9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81"/>
      <c r="R435" s="681"/>
      <c r="S435" s="681"/>
      <c r="T435" s="68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2" t="s">
        <v>709</v>
      </c>
      <c r="AG435" s="78"/>
      <c r="AJ435" s="84" t="s">
        <v>46</v>
      </c>
      <c r="AK435" s="84">
        <v>0</v>
      </c>
      <c r="BB435" s="523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87"/>
      <c r="B436" s="687"/>
      <c r="C436" s="687"/>
      <c r="D436" s="687"/>
      <c r="E436" s="687"/>
      <c r="F436" s="687"/>
      <c r="G436" s="687"/>
      <c r="H436" s="687"/>
      <c r="I436" s="687"/>
      <c r="J436" s="687"/>
      <c r="K436" s="687"/>
      <c r="L436" s="687"/>
      <c r="M436" s="687"/>
      <c r="N436" s="687"/>
      <c r="O436" s="688"/>
      <c r="P436" s="684" t="s">
        <v>40</v>
      </c>
      <c r="Q436" s="685"/>
      <c r="R436" s="685"/>
      <c r="S436" s="685"/>
      <c r="T436" s="685"/>
      <c r="U436" s="685"/>
      <c r="V436" s="686"/>
      <c r="W436" s="42" t="s">
        <v>39</v>
      </c>
      <c r="X436" s="43">
        <f>IFERROR(X435/H435,"0")</f>
        <v>0</v>
      </c>
      <c r="Y436" s="43">
        <f>IFERROR(Y435/H435,"0")</f>
        <v>0</v>
      </c>
      <c r="Z436" s="43">
        <f>IFERROR(IF(Z435="",0,Z435),"0")</f>
        <v>0</v>
      </c>
      <c r="AA436" s="67"/>
      <c r="AB436" s="67"/>
      <c r="AC436" s="67"/>
    </row>
    <row r="437" spans="1:68" hidden="1" x14ac:dyDescent="0.2">
      <c r="A437" s="687"/>
      <c r="B437" s="687"/>
      <c r="C437" s="687"/>
      <c r="D437" s="687"/>
      <c r="E437" s="687"/>
      <c r="F437" s="687"/>
      <c r="G437" s="687"/>
      <c r="H437" s="687"/>
      <c r="I437" s="687"/>
      <c r="J437" s="687"/>
      <c r="K437" s="687"/>
      <c r="L437" s="687"/>
      <c r="M437" s="687"/>
      <c r="N437" s="687"/>
      <c r="O437" s="688"/>
      <c r="P437" s="684" t="s">
        <v>40</v>
      </c>
      <c r="Q437" s="685"/>
      <c r="R437" s="685"/>
      <c r="S437" s="685"/>
      <c r="T437" s="685"/>
      <c r="U437" s="685"/>
      <c r="V437" s="686"/>
      <c r="W437" s="42" t="s">
        <v>0</v>
      </c>
      <c r="X437" s="43">
        <f>IFERROR(SUM(X435:X435),"0")</f>
        <v>0</v>
      </c>
      <c r="Y437" s="43">
        <f>IFERROR(SUM(Y435:Y435),"0")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78" t="s">
        <v>86</v>
      </c>
      <c r="B438" s="678"/>
      <c r="C438" s="678"/>
      <c r="D438" s="678"/>
      <c r="E438" s="678"/>
      <c r="F438" s="678"/>
      <c r="G438" s="678"/>
      <c r="H438" s="678"/>
      <c r="I438" s="678"/>
      <c r="J438" s="678"/>
      <c r="K438" s="678"/>
      <c r="L438" s="678"/>
      <c r="M438" s="678"/>
      <c r="N438" s="678"/>
      <c r="O438" s="678"/>
      <c r="P438" s="678"/>
      <c r="Q438" s="678"/>
      <c r="R438" s="678"/>
      <c r="S438" s="678"/>
      <c r="T438" s="678"/>
      <c r="U438" s="678"/>
      <c r="V438" s="678"/>
      <c r="W438" s="678"/>
      <c r="X438" s="678"/>
      <c r="Y438" s="678"/>
      <c r="Z438" s="678"/>
      <c r="AA438" s="66"/>
      <c r="AB438" s="66"/>
      <c r="AC438" s="80"/>
    </row>
    <row r="439" spans="1:68" ht="27" customHeight="1" x14ac:dyDescent="0.25">
      <c r="A439" s="63" t="s">
        <v>710</v>
      </c>
      <c r="B439" s="63" t="s">
        <v>711</v>
      </c>
      <c r="C439" s="36">
        <v>4301051899</v>
      </c>
      <c r="D439" s="679">
        <v>4607091384246</v>
      </c>
      <c r="E439" s="679"/>
      <c r="F439" s="62">
        <v>1.5</v>
      </c>
      <c r="G439" s="37">
        <v>6</v>
      </c>
      <c r="H439" s="62">
        <v>9</v>
      </c>
      <c r="I439" s="62">
        <v>9.4939999999999998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9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81"/>
      <c r="R439" s="681"/>
      <c r="S439" s="681"/>
      <c r="T439" s="682"/>
      <c r="U439" s="39" t="s">
        <v>46</v>
      </c>
      <c r="V439" s="39" t="s">
        <v>46</v>
      </c>
      <c r="W439" s="40" t="s">
        <v>0</v>
      </c>
      <c r="X439" s="58">
        <v>130</v>
      </c>
      <c r="Y439" s="55">
        <f>IFERROR(IF(X439="",0,CEILING((X439/$H439),1)*$H439),"")</f>
        <v>135</v>
      </c>
      <c r="Z439" s="41">
        <f>IFERROR(IF(Y439=0,"",ROUNDUP(Y439/H439,0)*0.01898),"")</f>
        <v>0.28470000000000001</v>
      </c>
      <c r="AA439" s="68" t="s">
        <v>46</v>
      </c>
      <c r="AB439" s="69" t="s">
        <v>46</v>
      </c>
      <c r="AC439" s="524" t="s">
        <v>712</v>
      </c>
      <c r="AG439" s="78"/>
      <c r="AJ439" s="84" t="s">
        <v>46</v>
      </c>
      <c r="AK439" s="84">
        <v>0</v>
      </c>
      <c r="BB439" s="525" t="s">
        <v>67</v>
      </c>
      <c r="BM439" s="78">
        <f>IFERROR(X439*I439/H439,"0")</f>
        <v>137.13555555555556</v>
      </c>
      <c r="BN439" s="78">
        <f>IFERROR(Y439*I439/H439,"0")</f>
        <v>142.41</v>
      </c>
      <c r="BO439" s="78">
        <f>IFERROR(1/J439*(X439/H439),"0")</f>
        <v>0.22569444444444445</v>
      </c>
      <c r="BP439" s="78">
        <f>IFERROR(1/J439*(Y439/H439),"0")</f>
        <v>0.234375</v>
      </c>
    </row>
    <row r="440" spans="1:68" ht="27" hidden="1" customHeight="1" x14ac:dyDescent="0.25">
      <c r="A440" s="63" t="s">
        <v>713</v>
      </c>
      <c r="B440" s="63" t="s">
        <v>714</v>
      </c>
      <c r="C440" s="36">
        <v>4301051660</v>
      </c>
      <c r="D440" s="679">
        <v>4607091384253</v>
      </c>
      <c r="E440" s="679"/>
      <c r="F440" s="62">
        <v>0.4</v>
      </c>
      <c r="G440" s="37">
        <v>6</v>
      </c>
      <c r="H440" s="62">
        <v>2.4</v>
      </c>
      <c r="I440" s="62">
        <v>2.6640000000000001</v>
      </c>
      <c r="J440" s="37">
        <v>182</v>
      </c>
      <c r="K440" s="37" t="s">
        <v>91</v>
      </c>
      <c r="L440" s="37" t="s">
        <v>46</v>
      </c>
      <c r="M440" s="38" t="s">
        <v>90</v>
      </c>
      <c r="N440" s="38"/>
      <c r="O440" s="37">
        <v>40</v>
      </c>
      <c r="P440" s="9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81"/>
      <c r="R440" s="681"/>
      <c r="S440" s="681"/>
      <c r="T440" s="68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IFERROR(IF(Y440=0,"",ROUNDUP(Y440/H440,0)*0.00651),"")</f>
        <v/>
      </c>
      <c r="AA440" s="68" t="s">
        <v>46</v>
      </c>
      <c r="AB440" s="69" t="s">
        <v>46</v>
      </c>
      <c r="AC440" s="526" t="s">
        <v>712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713</v>
      </c>
      <c r="B441" s="63" t="s">
        <v>715</v>
      </c>
      <c r="C441" s="36">
        <v>4301052069</v>
      </c>
      <c r="D441" s="679">
        <v>4607091384253</v>
      </c>
      <c r="E441" s="679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91</v>
      </c>
      <c r="L441" s="37" t="s">
        <v>46</v>
      </c>
      <c r="M441" s="38" t="s">
        <v>90</v>
      </c>
      <c r="N441" s="38"/>
      <c r="O441" s="37">
        <v>40</v>
      </c>
      <c r="P441" s="90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81"/>
      <c r="R441" s="681"/>
      <c r="S441" s="681"/>
      <c r="T441" s="68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716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687"/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8"/>
      <c r="P442" s="684" t="s">
        <v>40</v>
      </c>
      <c r="Q442" s="685"/>
      <c r="R442" s="685"/>
      <c r="S442" s="685"/>
      <c r="T442" s="685"/>
      <c r="U442" s="685"/>
      <c r="V442" s="686"/>
      <c r="W442" s="42" t="s">
        <v>39</v>
      </c>
      <c r="X442" s="43">
        <f>IFERROR(X439/H439,"0")+IFERROR(X440/H440,"0")+IFERROR(X441/H441,"0")</f>
        <v>14.444444444444445</v>
      </c>
      <c r="Y442" s="43">
        <f>IFERROR(Y439/H439,"0")+IFERROR(Y440/H440,"0")+IFERROR(Y441/H441,"0")</f>
        <v>15</v>
      </c>
      <c r="Z442" s="43">
        <f>IFERROR(IF(Z439="",0,Z439),"0")+IFERROR(IF(Z440="",0,Z440),"0")+IFERROR(IF(Z441="",0,Z441),"0")</f>
        <v>0.28470000000000001</v>
      </c>
      <c r="AA442" s="67"/>
      <c r="AB442" s="67"/>
      <c r="AC442" s="67"/>
    </row>
    <row r="443" spans="1:68" x14ac:dyDescent="0.2">
      <c r="A443" s="687"/>
      <c r="B443" s="687"/>
      <c r="C443" s="687"/>
      <c r="D443" s="687"/>
      <c r="E443" s="687"/>
      <c r="F443" s="687"/>
      <c r="G443" s="687"/>
      <c r="H443" s="687"/>
      <c r="I443" s="687"/>
      <c r="J443" s="687"/>
      <c r="K443" s="687"/>
      <c r="L443" s="687"/>
      <c r="M443" s="687"/>
      <c r="N443" s="687"/>
      <c r="O443" s="688"/>
      <c r="P443" s="684" t="s">
        <v>40</v>
      </c>
      <c r="Q443" s="685"/>
      <c r="R443" s="685"/>
      <c r="S443" s="685"/>
      <c r="T443" s="685"/>
      <c r="U443" s="685"/>
      <c r="V443" s="686"/>
      <c r="W443" s="42" t="s">
        <v>0</v>
      </c>
      <c r="X443" s="43">
        <f>IFERROR(SUM(X439:X441),"0")</f>
        <v>130</v>
      </c>
      <c r="Y443" s="43">
        <f>IFERROR(SUM(Y439:Y441),"0")</f>
        <v>135</v>
      </c>
      <c r="Z443" s="42"/>
      <c r="AA443" s="67"/>
      <c r="AB443" s="67"/>
      <c r="AC443" s="67"/>
    </row>
    <row r="444" spans="1:68" ht="27.75" hidden="1" customHeight="1" x14ac:dyDescent="0.2">
      <c r="A444" s="676" t="s">
        <v>717</v>
      </c>
      <c r="B444" s="676"/>
      <c r="C444" s="676"/>
      <c r="D444" s="676"/>
      <c r="E444" s="676"/>
      <c r="F444" s="676"/>
      <c r="G444" s="676"/>
      <c r="H444" s="676"/>
      <c r="I444" s="676"/>
      <c r="J444" s="676"/>
      <c r="K444" s="676"/>
      <c r="L444" s="676"/>
      <c r="M444" s="676"/>
      <c r="N444" s="676"/>
      <c r="O444" s="676"/>
      <c r="P444" s="676"/>
      <c r="Q444" s="676"/>
      <c r="R444" s="676"/>
      <c r="S444" s="676"/>
      <c r="T444" s="676"/>
      <c r="U444" s="676"/>
      <c r="V444" s="676"/>
      <c r="W444" s="676"/>
      <c r="X444" s="676"/>
      <c r="Y444" s="676"/>
      <c r="Z444" s="676"/>
      <c r="AA444" s="54"/>
      <c r="AB444" s="54"/>
      <c r="AC444" s="54"/>
    </row>
    <row r="445" spans="1:68" ht="16.5" hidden="1" customHeight="1" x14ac:dyDescent="0.25">
      <c r="A445" s="677" t="s">
        <v>718</v>
      </c>
      <c r="B445" s="677"/>
      <c r="C445" s="677"/>
      <c r="D445" s="677"/>
      <c r="E445" s="677"/>
      <c r="F445" s="677"/>
      <c r="G445" s="677"/>
      <c r="H445" s="677"/>
      <c r="I445" s="677"/>
      <c r="J445" s="677"/>
      <c r="K445" s="677"/>
      <c r="L445" s="677"/>
      <c r="M445" s="677"/>
      <c r="N445" s="677"/>
      <c r="O445" s="677"/>
      <c r="P445" s="677"/>
      <c r="Q445" s="677"/>
      <c r="R445" s="677"/>
      <c r="S445" s="677"/>
      <c r="T445" s="677"/>
      <c r="U445" s="677"/>
      <c r="V445" s="677"/>
      <c r="W445" s="677"/>
      <c r="X445" s="677"/>
      <c r="Y445" s="677"/>
      <c r="Z445" s="677"/>
      <c r="AA445" s="65"/>
      <c r="AB445" s="65"/>
      <c r="AC445" s="79"/>
    </row>
    <row r="446" spans="1:68" ht="14.25" hidden="1" customHeight="1" x14ac:dyDescent="0.25">
      <c r="A446" s="678" t="s">
        <v>77</v>
      </c>
      <c r="B446" s="678"/>
      <c r="C446" s="678"/>
      <c r="D446" s="678"/>
      <c r="E446" s="678"/>
      <c r="F446" s="678"/>
      <c r="G446" s="678"/>
      <c r="H446" s="678"/>
      <c r="I446" s="678"/>
      <c r="J446" s="678"/>
      <c r="K446" s="678"/>
      <c r="L446" s="678"/>
      <c r="M446" s="678"/>
      <c r="N446" s="678"/>
      <c r="O446" s="678"/>
      <c r="P446" s="678"/>
      <c r="Q446" s="678"/>
      <c r="R446" s="678"/>
      <c r="S446" s="678"/>
      <c r="T446" s="678"/>
      <c r="U446" s="678"/>
      <c r="V446" s="678"/>
      <c r="W446" s="678"/>
      <c r="X446" s="678"/>
      <c r="Y446" s="678"/>
      <c r="Z446" s="678"/>
      <c r="AA446" s="66"/>
      <c r="AB446" s="66"/>
      <c r="AC446" s="80"/>
    </row>
    <row r="447" spans="1:68" ht="27" hidden="1" customHeight="1" x14ac:dyDescent="0.25">
      <c r="A447" s="63" t="s">
        <v>719</v>
      </c>
      <c r="B447" s="63" t="s">
        <v>720</v>
      </c>
      <c r="C447" s="36">
        <v>4301031405</v>
      </c>
      <c r="D447" s="679">
        <v>4680115886100</v>
      </c>
      <c r="E447" s="679"/>
      <c r="F447" s="62">
        <v>0.9</v>
      </c>
      <c r="G447" s="37">
        <v>6</v>
      </c>
      <c r="H447" s="62">
        <v>5.4</v>
      </c>
      <c r="I447" s="62">
        <v>5.59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0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81"/>
      <c r="R447" s="681"/>
      <c r="S447" s="681"/>
      <c r="T447" s="682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ref="Y447:Y452" si="62"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30" t="s">
        <v>721</v>
      </c>
      <c r="AG447" s="78"/>
      <c r="AJ447" s="84" t="s">
        <v>46</v>
      </c>
      <c r="AK447" s="84">
        <v>0</v>
      </c>
      <c r="BB447" s="531" t="s">
        <v>67</v>
      </c>
      <c r="BM447" s="78">
        <f t="shared" ref="BM447:BM452" si="63">IFERROR(X447*I447/H447,"0")</f>
        <v>0</v>
      </c>
      <c r="BN447" s="78">
        <f t="shared" ref="BN447:BN452" si="64">IFERROR(Y447*I447/H447,"0")</f>
        <v>0</v>
      </c>
      <c r="BO447" s="78">
        <f t="shared" ref="BO447:BO452" si="65">IFERROR(1/J447*(X447/H447),"0")</f>
        <v>0</v>
      </c>
      <c r="BP447" s="78">
        <f t="shared" ref="BP447:BP452" si="66">IFERROR(1/J447*(Y447/H447),"0")</f>
        <v>0</v>
      </c>
    </row>
    <row r="448" spans="1:68" ht="27" hidden="1" customHeight="1" x14ac:dyDescent="0.25">
      <c r="A448" s="63" t="s">
        <v>722</v>
      </c>
      <c r="B448" s="63" t="s">
        <v>723</v>
      </c>
      <c r="C448" s="36">
        <v>4301031402</v>
      </c>
      <c r="D448" s="679">
        <v>4680115886124</v>
      </c>
      <c r="E448" s="679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140</v>
      </c>
      <c r="L448" s="37" t="s">
        <v>46</v>
      </c>
      <c r="M448" s="38" t="s">
        <v>81</v>
      </c>
      <c r="N448" s="38"/>
      <c r="O448" s="37">
        <v>50</v>
      </c>
      <c r="P448" s="9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81"/>
      <c r="R448" s="681"/>
      <c r="S448" s="681"/>
      <c r="T448" s="682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62"/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724</v>
      </c>
      <c r="AG448" s="78"/>
      <c r="AJ448" s="84" t="s">
        <v>46</v>
      </c>
      <c r="AK448" s="84">
        <v>0</v>
      </c>
      <c r="BB448" s="533" t="s">
        <v>67</v>
      </c>
      <c r="BM448" s="78">
        <f t="shared" si="63"/>
        <v>0</v>
      </c>
      <c r="BN448" s="78">
        <f t="shared" si="64"/>
        <v>0</v>
      </c>
      <c r="BO448" s="78">
        <f t="shared" si="65"/>
        <v>0</v>
      </c>
      <c r="BP448" s="78">
        <f t="shared" si="66"/>
        <v>0</v>
      </c>
    </row>
    <row r="449" spans="1:68" ht="27" hidden="1" customHeight="1" x14ac:dyDescent="0.25">
      <c r="A449" s="63" t="s">
        <v>725</v>
      </c>
      <c r="B449" s="63" t="s">
        <v>726</v>
      </c>
      <c r="C449" s="36">
        <v>4301031362</v>
      </c>
      <c r="D449" s="679">
        <v>4607091384338</v>
      </c>
      <c r="E449" s="679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82</v>
      </c>
      <c r="L449" s="37" t="s">
        <v>46</v>
      </c>
      <c r="M449" s="38" t="s">
        <v>81</v>
      </c>
      <c r="N449" s="38"/>
      <c r="O449" s="37">
        <v>50</v>
      </c>
      <c r="P449" s="91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81"/>
      <c r="R449" s="681"/>
      <c r="S449" s="681"/>
      <c r="T449" s="682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6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721</v>
      </c>
      <c r="AG449" s="78"/>
      <c r="AJ449" s="84" t="s">
        <v>46</v>
      </c>
      <c r="AK449" s="84">
        <v>0</v>
      </c>
      <c r="BB449" s="535" t="s">
        <v>67</v>
      </c>
      <c r="BM449" s="78">
        <f t="shared" si="63"/>
        <v>0</v>
      </c>
      <c r="BN449" s="78">
        <f t="shared" si="64"/>
        <v>0</v>
      </c>
      <c r="BO449" s="78">
        <f t="shared" si="65"/>
        <v>0</v>
      </c>
      <c r="BP449" s="78">
        <f t="shared" si="66"/>
        <v>0</v>
      </c>
    </row>
    <row r="450" spans="1:68" ht="27" hidden="1" customHeight="1" x14ac:dyDescent="0.25">
      <c r="A450" s="63" t="s">
        <v>727</v>
      </c>
      <c r="B450" s="63" t="s">
        <v>728</v>
      </c>
      <c r="C450" s="36">
        <v>4301031364</v>
      </c>
      <c r="D450" s="679">
        <v>4680115883161</v>
      </c>
      <c r="E450" s="679"/>
      <c r="F450" s="62">
        <v>0.28000000000000003</v>
      </c>
      <c r="G450" s="37">
        <v>6</v>
      </c>
      <c r="H450" s="62">
        <v>1.68</v>
      </c>
      <c r="I450" s="62">
        <v>1.81</v>
      </c>
      <c r="J450" s="37">
        <v>234</v>
      </c>
      <c r="K450" s="37" t="s">
        <v>82</v>
      </c>
      <c r="L450" s="37" t="s">
        <v>46</v>
      </c>
      <c r="M450" s="38" t="s">
        <v>81</v>
      </c>
      <c r="N450" s="38"/>
      <c r="O450" s="37">
        <v>50</v>
      </c>
      <c r="P450" s="91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81"/>
      <c r="R450" s="681"/>
      <c r="S450" s="681"/>
      <c r="T450" s="682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62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729</v>
      </c>
      <c r="AG450" s="78"/>
      <c r="AJ450" s="84" t="s">
        <v>46</v>
      </c>
      <c r="AK450" s="84">
        <v>0</v>
      </c>
      <c r="BB450" s="537" t="s">
        <v>67</v>
      </c>
      <c r="BM450" s="78">
        <f t="shared" si="63"/>
        <v>0</v>
      </c>
      <c r="BN450" s="78">
        <f t="shared" si="64"/>
        <v>0</v>
      </c>
      <c r="BO450" s="78">
        <f t="shared" si="65"/>
        <v>0</v>
      </c>
      <c r="BP450" s="78">
        <f t="shared" si="66"/>
        <v>0</v>
      </c>
    </row>
    <row r="451" spans="1:68" ht="27" hidden="1" customHeight="1" x14ac:dyDescent="0.25">
      <c r="A451" s="63" t="s">
        <v>730</v>
      </c>
      <c r="B451" s="63" t="s">
        <v>731</v>
      </c>
      <c r="C451" s="36">
        <v>4301031358</v>
      </c>
      <c r="D451" s="679">
        <v>4607091389531</v>
      </c>
      <c r="E451" s="679"/>
      <c r="F451" s="62">
        <v>0.35</v>
      </c>
      <c r="G451" s="37">
        <v>6</v>
      </c>
      <c r="H451" s="62">
        <v>2.1</v>
      </c>
      <c r="I451" s="62">
        <v>2.23</v>
      </c>
      <c r="J451" s="37">
        <v>234</v>
      </c>
      <c r="K451" s="37" t="s">
        <v>82</v>
      </c>
      <c r="L451" s="37" t="s">
        <v>46</v>
      </c>
      <c r="M451" s="38" t="s">
        <v>81</v>
      </c>
      <c r="N451" s="38"/>
      <c r="O451" s="37">
        <v>50</v>
      </c>
      <c r="P451" s="91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81"/>
      <c r="R451" s="681"/>
      <c r="S451" s="681"/>
      <c r="T451" s="682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62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732</v>
      </c>
      <c r="AG451" s="78"/>
      <c r="AJ451" s="84" t="s">
        <v>46</v>
      </c>
      <c r="AK451" s="84">
        <v>0</v>
      </c>
      <c r="BB451" s="539" t="s">
        <v>67</v>
      </c>
      <c r="BM451" s="78">
        <f t="shared" si="63"/>
        <v>0</v>
      </c>
      <c r="BN451" s="78">
        <f t="shared" si="64"/>
        <v>0</v>
      </c>
      <c r="BO451" s="78">
        <f t="shared" si="65"/>
        <v>0</v>
      </c>
      <c r="BP451" s="78">
        <f t="shared" si="66"/>
        <v>0</v>
      </c>
    </row>
    <row r="452" spans="1:68" ht="37.5" hidden="1" customHeight="1" x14ac:dyDescent="0.25">
      <c r="A452" s="63" t="s">
        <v>733</v>
      </c>
      <c r="B452" s="63" t="s">
        <v>734</v>
      </c>
      <c r="C452" s="36">
        <v>4301031360</v>
      </c>
      <c r="D452" s="679">
        <v>4607091384345</v>
      </c>
      <c r="E452" s="679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82</v>
      </c>
      <c r="L452" s="37" t="s">
        <v>46</v>
      </c>
      <c r="M452" s="38" t="s">
        <v>81</v>
      </c>
      <c r="N452" s="38"/>
      <c r="O452" s="37">
        <v>50</v>
      </c>
      <c r="P452" s="9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81"/>
      <c r="R452" s="681"/>
      <c r="S452" s="681"/>
      <c r="T452" s="682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729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idden="1" x14ac:dyDescent="0.2">
      <c r="A453" s="687"/>
      <c r="B453" s="687"/>
      <c r="C453" s="687"/>
      <c r="D453" s="687"/>
      <c r="E453" s="687"/>
      <c r="F453" s="687"/>
      <c r="G453" s="687"/>
      <c r="H453" s="687"/>
      <c r="I453" s="687"/>
      <c r="J453" s="687"/>
      <c r="K453" s="687"/>
      <c r="L453" s="687"/>
      <c r="M453" s="687"/>
      <c r="N453" s="687"/>
      <c r="O453" s="688"/>
      <c r="P453" s="684" t="s">
        <v>40</v>
      </c>
      <c r="Q453" s="685"/>
      <c r="R453" s="685"/>
      <c r="S453" s="685"/>
      <c r="T453" s="685"/>
      <c r="U453" s="685"/>
      <c r="V453" s="686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87"/>
      <c r="B454" s="687"/>
      <c r="C454" s="687"/>
      <c r="D454" s="687"/>
      <c r="E454" s="687"/>
      <c r="F454" s="687"/>
      <c r="G454" s="687"/>
      <c r="H454" s="687"/>
      <c r="I454" s="687"/>
      <c r="J454" s="687"/>
      <c r="K454" s="687"/>
      <c r="L454" s="687"/>
      <c r="M454" s="687"/>
      <c r="N454" s="687"/>
      <c r="O454" s="688"/>
      <c r="P454" s="684" t="s">
        <v>40</v>
      </c>
      <c r="Q454" s="685"/>
      <c r="R454" s="685"/>
      <c r="S454" s="685"/>
      <c r="T454" s="685"/>
      <c r="U454" s="685"/>
      <c r="V454" s="686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78" t="s">
        <v>86</v>
      </c>
      <c r="B455" s="678"/>
      <c r="C455" s="678"/>
      <c r="D455" s="678"/>
      <c r="E455" s="678"/>
      <c r="F455" s="678"/>
      <c r="G455" s="678"/>
      <c r="H455" s="678"/>
      <c r="I455" s="678"/>
      <c r="J455" s="678"/>
      <c r="K455" s="678"/>
      <c r="L455" s="678"/>
      <c r="M455" s="678"/>
      <c r="N455" s="678"/>
      <c r="O455" s="678"/>
      <c r="P455" s="678"/>
      <c r="Q455" s="678"/>
      <c r="R455" s="678"/>
      <c r="S455" s="678"/>
      <c r="T455" s="678"/>
      <c r="U455" s="678"/>
      <c r="V455" s="678"/>
      <c r="W455" s="678"/>
      <c r="X455" s="678"/>
      <c r="Y455" s="678"/>
      <c r="Z455" s="678"/>
      <c r="AA455" s="66"/>
      <c r="AB455" s="66"/>
      <c r="AC455" s="80"/>
    </row>
    <row r="456" spans="1:68" ht="27" hidden="1" customHeight="1" x14ac:dyDescent="0.25">
      <c r="A456" s="63" t="s">
        <v>735</v>
      </c>
      <c r="B456" s="63" t="s">
        <v>736</v>
      </c>
      <c r="C456" s="36">
        <v>4301051284</v>
      </c>
      <c r="D456" s="679">
        <v>4607091384352</v>
      </c>
      <c r="E456" s="679"/>
      <c r="F456" s="62">
        <v>0.6</v>
      </c>
      <c r="G456" s="37">
        <v>4</v>
      </c>
      <c r="H456" s="62">
        <v>2.4</v>
      </c>
      <c r="I456" s="62">
        <v>2.6259999999999999</v>
      </c>
      <c r="J456" s="37">
        <v>132</v>
      </c>
      <c r="K456" s="37" t="s">
        <v>140</v>
      </c>
      <c r="L456" s="37" t="s">
        <v>46</v>
      </c>
      <c r="M456" s="38" t="s">
        <v>90</v>
      </c>
      <c r="N456" s="38"/>
      <c r="O456" s="37">
        <v>45</v>
      </c>
      <c r="P456" s="9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81"/>
      <c r="R456" s="681"/>
      <c r="S456" s="681"/>
      <c r="T456" s="68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42" t="s">
        <v>737</v>
      </c>
      <c r="AG456" s="78"/>
      <c r="AJ456" s="84" t="s">
        <v>46</v>
      </c>
      <c r="AK456" s="84">
        <v>0</v>
      </c>
      <c r="BB456" s="54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738</v>
      </c>
      <c r="B457" s="63" t="s">
        <v>739</v>
      </c>
      <c r="C457" s="36">
        <v>4301051431</v>
      </c>
      <c r="D457" s="679">
        <v>4607091389654</v>
      </c>
      <c r="E457" s="679"/>
      <c r="F457" s="62">
        <v>0.33</v>
      </c>
      <c r="G457" s="37">
        <v>6</v>
      </c>
      <c r="H457" s="62">
        <v>1.98</v>
      </c>
      <c r="I457" s="62">
        <v>2.238</v>
      </c>
      <c r="J457" s="37">
        <v>182</v>
      </c>
      <c r="K457" s="37" t="s">
        <v>91</v>
      </c>
      <c r="L457" s="37" t="s">
        <v>46</v>
      </c>
      <c r="M457" s="38" t="s">
        <v>90</v>
      </c>
      <c r="N457" s="38"/>
      <c r="O457" s="37">
        <v>45</v>
      </c>
      <c r="P457" s="91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81"/>
      <c r="R457" s="681"/>
      <c r="S457" s="681"/>
      <c r="T457" s="68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46</v>
      </c>
      <c r="AB457" s="69" t="s">
        <v>46</v>
      </c>
      <c r="AC457" s="544" t="s">
        <v>740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87"/>
      <c r="B458" s="687"/>
      <c r="C458" s="687"/>
      <c r="D458" s="687"/>
      <c r="E458" s="687"/>
      <c r="F458" s="687"/>
      <c r="G458" s="687"/>
      <c r="H458" s="687"/>
      <c r="I458" s="687"/>
      <c r="J458" s="687"/>
      <c r="K458" s="687"/>
      <c r="L458" s="687"/>
      <c r="M458" s="687"/>
      <c r="N458" s="687"/>
      <c r="O458" s="688"/>
      <c r="P458" s="684" t="s">
        <v>40</v>
      </c>
      <c r="Q458" s="685"/>
      <c r="R458" s="685"/>
      <c r="S458" s="685"/>
      <c r="T458" s="685"/>
      <c r="U458" s="685"/>
      <c r="V458" s="686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87"/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8"/>
      <c r="P459" s="684" t="s">
        <v>40</v>
      </c>
      <c r="Q459" s="685"/>
      <c r="R459" s="685"/>
      <c r="S459" s="685"/>
      <c r="T459" s="685"/>
      <c r="U459" s="685"/>
      <c r="V459" s="686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77" t="s">
        <v>741</v>
      </c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77"/>
      <c r="P460" s="677"/>
      <c r="Q460" s="677"/>
      <c r="R460" s="677"/>
      <c r="S460" s="677"/>
      <c r="T460" s="677"/>
      <c r="U460" s="677"/>
      <c r="V460" s="677"/>
      <c r="W460" s="677"/>
      <c r="X460" s="677"/>
      <c r="Y460" s="677"/>
      <c r="Z460" s="677"/>
      <c r="AA460" s="65"/>
      <c r="AB460" s="65"/>
      <c r="AC460" s="79"/>
    </row>
    <row r="461" spans="1:68" ht="14.25" hidden="1" customHeight="1" x14ac:dyDescent="0.25">
      <c r="A461" s="678" t="s">
        <v>163</v>
      </c>
      <c r="B461" s="678"/>
      <c r="C461" s="678"/>
      <c r="D461" s="678"/>
      <c r="E461" s="678"/>
      <c r="F461" s="678"/>
      <c r="G461" s="678"/>
      <c r="H461" s="678"/>
      <c r="I461" s="678"/>
      <c r="J461" s="678"/>
      <c r="K461" s="678"/>
      <c r="L461" s="678"/>
      <c r="M461" s="678"/>
      <c r="N461" s="678"/>
      <c r="O461" s="678"/>
      <c r="P461" s="678"/>
      <c r="Q461" s="678"/>
      <c r="R461" s="678"/>
      <c r="S461" s="678"/>
      <c r="T461" s="678"/>
      <c r="U461" s="678"/>
      <c r="V461" s="678"/>
      <c r="W461" s="678"/>
      <c r="X461" s="678"/>
      <c r="Y461" s="678"/>
      <c r="Z461" s="678"/>
      <c r="AA461" s="66"/>
      <c r="AB461" s="66"/>
      <c r="AC461" s="80"/>
    </row>
    <row r="462" spans="1:68" ht="27" hidden="1" customHeight="1" x14ac:dyDescent="0.25">
      <c r="A462" s="63" t="s">
        <v>742</v>
      </c>
      <c r="B462" s="63" t="s">
        <v>743</v>
      </c>
      <c r="C462" s="36">
        <v>4301020416</v>
      </c>
      <c r="D462" s="679">
        <v>4680115885240</v>
      </c>
      <c r="E462" s="679"/>
      <c r="F462" s="62">
        <v>0.35</v>
      </c>
      <c r="G462" s="37">
        <v>6</v>
      </c>
      <c r="H462" s="62">
        <v>2.1</v>
      </c>
      <c r="I462" s="62">
        <v>2.31</v>
      </c>
      <c r="J462" s="37">
        <v>182</v>
      </c>
      <c r="K462" s="37" t="s">
        <v>91</v>
      </c>
      <c r="L462" s="37" t="s">
        <v>46</v>
      </c>
      <c r="M462" s="38" t="s">
        <v>81</v>
      </c>
      <c r="N462" s="38"/>
      <c r="O462" s="37">
        <v>40</v>
      </c>
      <c r="P462" s="9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81"/>
      <c r="R462" s="681"/>
      <c r="S462" s="681"/>
      <c r="T462" s="68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46" t="s">
        <v>744</v>
      </c>
      <c r="AG462" s="78"/>
      <c r="AJ462" s="84" t="s">
        <v>46</v>
      </c>
      <c r="AK462" s="84">
        <v>0</v>
      </c>
      <c r="BB462" s="54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87"/>
      <c r="B463" s="687"/>
      <c r="C463" s="687"/>
      <c r="D463" s="687"/>
      <c r="E463" s="687"/>
      <c r="F463" s="687"/>
      <c r="G463" s="687"/>
      <c r="H463" s="687"/>
      <c r="I463" s="687"/>
      <c r="J463" s="687"/>
      <c r="K463" s="687"/>
      <c r="L463" s="687"/>
      <c r="M463" s="687"/>
      <c r="N463" s="687"/>
      <c r="O463" s="688"/>
      <c r="P463" s="684" t="s">
        <v>40</v>
      </c>
      <c r="Q463" s="685"/>
      <c r="R463" s="685"/>
      <c r="S463" s="685"/>
      <c r="T463" s="685"/>
      <c r="U463" s="685"/>
      <c r="V463" s="686"/>
      <c r="W463" s="42" t="s">
        <v>39</v>
      </c>
      <c r="X463" s="43">
        <f>IFERROR(X462/H462,"0")</f>
        <v>0</v>
      </c>
      <c r="Y463" s="43">
        <f>IFERROR(Y462/H462,"0")</f>
        <v>0</v>
      </c>
      <c r="Z463" s="43">
        <f>IFERROR(IF(Z462="",0,Z462),"0")</f>
        <v>0</v>
      </c>
      <c r="AA463" s="67"/>
      <c r="AB463" s="67"/>
      <c r="AC463" s="67"/>
    </row>
    <row r="464" spans="1:68" hidden="1" x14ac:dyDescent="0.2">
      <c r="A464" s="687"/>
      <c r="B464" s="687"/>
      <c r="C464" s="687"/>
      <c r="D464" s="687"/>
      <c r="E464" s="687"/>
      <c r="F464" s="687"/>
      <c r="G464" s="687"/>
      <c r="H464" s="687"/>
      <c r="I464" s="687"/>
      <c r="J464" s="687"/>
      <c r="K464" s="687"/>
      <c r="L464" s="687"/>
      <c r="M464" s="687"/>
      <c r="N464" s="687"/>
      <c r="O464" s="688"/>
      <c r="P464" s="684" t="s">
        <v>40</v>
      </c>
      <c r="Q464" s="685"/>
      <c r="R464" s="685"/>
      <c r="S464" s="685"/>
      <c r="T464" s="685"/>
      <c r="U464" s="685"/>
      <c r="V464" s="686"/>
      <c r="W464" s="42" t="s">
        <v>0</v>
      </c>
      <c r="X464" s="43">
        <f>IFERROR(SUM(X462:X462),"0")</f>
        <v>0</v>
      </c>
      <c r="Y464" s="43">
        <f>IFERROR(SUM(Y462:Y462),"0")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78" t="s">
        <v>77</v>
      </c>
      <c r="B465" s="678"/>
      <c r="C465" s="678"/>
      <c r="D465" s="678"/>
      <c r="E465" s="678"/>
      <c r="F465" s="678"/>
      <c r="G465" s="678"/>
      <c r="H465" s="678"/>
      <c r="I465" s="678"/>
      <c r="J465" s="678"/>
      <c r="K465" s="678"/>
      <c r="L465" s="678"/>
      <c r="M465" s="678"/>
      <c r="N465" s="678"/>
      <c r="O465" s="678"/>
      <c r="P465" s="678"/>
      <c r="Q465" s="678"/>
      <c r="R465" s="678"/>
      <c r="S465" s="678"/>
      <c r="T465" s="678"/>
      <c r="U465" s="678"/>
      <c r="V465" s="678"/>
      <c r="W465" s="678"/>
      <c r="X465" s="678"/>
      <c r="Y465" s="678"/>
      <c r="Z465" s="678"/>
      <c r="AA465" s="66"/>
      <c r="AB465" s="66"/>
      <c r="AC465" s="80"/>
    </row>
    <row r="466" spans="1:68" ht="27" hidden="1" customHeight="1" x14ac:dyDescent="0.25">
      <c r="A466" s="63" t="s">
        <v>745</v>
      </c>
      <c r="B466" s="63" t="s">
        <v>746</v>
      </c>
      <c r="C466" s="36">
        <v>4301031407</v>
      </c>
      <c r="D466" s="679">
        <v>4680115886094</v>
      </c>
      <c r="E466" s="67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140</v>
      </c>
      <c r="L466" s="37" t="s">
        <v>46</v>
      </c>
      <c r="M466" s="38" t="s">
        <v>81</v>
      </c>
      <c r="N466" s="38"/>
      <c r="O466" s="37">
        <v>50</v>
      </c>
      <c r="P466" s="9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81"/>
      <c r="R466" s="681"/>
      <c r="S466" s="681"/>
      <c r="T466" s="68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8" t="s">
        <v>747</v>
      </c>
      <c r="AG466" s="78"/>
      <c r="AJ466" s="84" t="s">
        <v>46</v>
      </c>
      <c r="AK466" s="84">
        <v>0</v>
      </c>
      <c r="BB466" s="549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748</v>
      </c>
      <c r="B467" s="63" t="s">
        <v>749</v>
      </c>
      <c r="C467" s="36">
        <v>4301031373</v>
      </c>
      <c r="D467" s="679">
        <v>4680115880771</v>
      </c>
      <c r="E467" s="679"/>
      <c r="F467" s="62">
        <v>0.28000000000000003</v>
      </c>
      <c r="G467" s="37">
        <v>6</v>
      </c>
      <c r="H467" s="62">
        <v>1.68</v>
      </c>
      <c r="I467" s="62">
        <v>1.81</v>
      </c>
      <c r="J467" s="37">
        <v>234</v>
      </c>
      <c r="K467" s="37" t="s">
        <v>82</v>
      </c>
      <c r="L467" s="37" t="s">
        <v>46</v>
      </c>
      <c r="M467" s="38" t="s">
        <v>81</v>
      </c>
      <c r="N467" s="38"/>
      <c r="O467" s="37">
        <v>50</v>
      </c>
      <c r="P467" s="9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81"/>
      <c r="R467" s="681"/>
      <c r="S467" s="681"/>
      <c r="T467" s="682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0" t="s">
        <v>750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751</v>
      </c>
      <c r="B468" s="63" t="s">
        <v>752</v>
      </c>
      <c r="C468" s="36">
        <v>4301031359</v>
      </c>
      <c r="D468" s="679">
        <v>4607091389500</v>
      </c>
      <c r="E468" s="67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81"/>
      <c r="R468" s="681"/>
      <c r="S468" s="681"/>
      <c r="T468" s="682"/>
      <c r="U468" s="39" t="s">
        <v>46</v>
      </c>
      <c r="V468" s="39" t="s">
        <v>46</v>
      </c>
      <c r="W468" s="40" t="s">
        <v>0</v>
      </c>
      <c r="X468" s="58">
        <v>7</v>
      </c>
      <c r="Y468" s="55">
        <f>IFERROR(IF(X468="",0,CEILING((X468/$H468),1)*$H468),"")</f>
        <v>8.4</v>
      </c>
      <c r="Z468" s="41">
        <f>IFERROR(IF(Y468=0,"",ROUNDUP(Y468/H468,0)*0.00502),"")</f>
        <v>2.0080000000000001E-2</v>
      </c>
      <c r="AA468" s="68" t="s">
        <v>46</v>
      </c>
      <c r="AB468" s="69" t="s">
        <v>46</v>
      </c>
      <c r="AC468" s="552" t="s">
        <v>750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7.4333333333333327</v>
      </c>
      <c r="BN468" s="78">
        <f>IFERROR(Y468*I468/H468,"0")</f>
        <v>8.92</v>
      </c>
      <c r="BO468" s="78">
        <f>IFERROR(1/J468*(X468/H468),"0")</f>
        <v>1.4245014245014245E-2</v>
      </c>
      <c r="BP468" s="78">
        <f>IFERROR(1/J468*(Y468/H468),"0")</f>
        <v>1.7094017094017096E-2</v>
      </c>
    </row>
    <row r="469" spans="1:68" x14ac:dyDescent="0.2">
      <c r="A469" s="687"/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8"/>
      <c r="P469" s="684" t="s">
        <v>40</v>
      </c>
      <c r="Q469" s="685"/>
      <c r="R469" s="685"/>
      <c r="S469" s="685"/>
      <c r="T469" s="685"/>
      <c r="U469" s="685"/>
      <c r="V469" s="686"/>
      <c r="W469" s="42" t="s">
        <v>39</v>
      </c>
      <c r="X469" s="43">
        <f>IFERROR(X466/H466,"0")+IFERROR(X467/H467,"0")+IFERROR(X468/H468,"0")</f>
        <v>3.333333333333333</v>
      </c>
      <c r="Y469" s="43">
        <f>IFERROR(Y466/H466,"0")+IFERROR(Y467/H467,"0")+IFERROR(Y468/H468,"0")</f>
        <v>4</v>
      </c>
      <c r="Z469" s="43">
        <f>IFERROR(IF(Z466="",0,Z466),"0")+IFERROR(IF(Z467="",0,Z467),"0")+IFERROR(IF(Z468="",0,Z468),"0")</f>
        <v>2.0080000000000001E-2</v>
      </c>
      <c r="AA469" s="67"/>
      <c r="AB469" s="67"/>
      <c r="AC469" s="67"/>
    </row>
    <row r="470" spans="1:68" x14ac:dyDescent="0.2">
      <c r="A470" s="687"/>
      <c r="B470" s="687"/>
      <c r="C470" s="687"/>
      <c r="D470" s="687"/>
      <c r="E470" s="687"/>
      <c r="F470" s="687"/>
      <c r="G470" s="687"/>
      <c r="H470" s="687"/>
      <c r="I470" s="687"/>
      <c r="J470" s="687"/>
      <c r="K470" s="687"/>
      <c r="L470" s="687"/>
      <c r="M470" s="687"/>
      <c r="N470" s="687"/>
      <c r="O470" s="688"/>
      <c r="P470" s="684" t="s">
        <v>40</v>
      </c>
      <c r="Q470" s="685"/>
      <c r="R470" s="685"/>
      <c r="S470" s="685"/>
      <c r="T470" s="685"/>
      <c r="U470" s="685"/>
      <c r="V470" s="686"/>
      <c r="W470" s="42" t="s">
        <v>0</v>
      </c>
      <c r="X470" s="43">
        <f>IFERROR(SUM(X466:X468),"0")</f>
        <v>7</v>
      </c>
      <c r="Y470" s="43">
        <f>IFERROR(SUM(Y466:Y468),"0")</f>
        <v>8.4</v>
      </c>
      <c r="Z470" s="42"/>
      <c r="AA470" s="67"/>
      <c r="AB470" s="67"/>
      <c r="AC470" s="67"/>
    </row>
    <row r="471" spans="1:68" ht="27.75" hidden="1" customHeight="1" x14ac:dyDescent="0.2">
      <c r="A471" s="676" t="s">
        <v>753</v>
      </c>
      <c r="B471" s="676"/>
      <c r="C471" s="676"/>
      <c r="D471" s="676"/>
      <c r="E471" s="676"/>
      <c r="F471" s="676"/>
      <c r="G471" s="676"/>
      <c r="H471" s="676"/>
      <c r="I471" s="676"/>
      <c r="J471" s="676"/>
      <c r="K471" s="676"/>
      <c r="L471" s="676"/>
      <c r="M471" s="676"/>
      <c r="N471" s="676"/>
      <c r="O471" s="676"/>
      <c r="P471" s="676"/>
      <c r="Q471" s="676"/>
      <c r="R471" s="676"/>
      <c r="S471" s="676"/>
      <c r="T471" s="676"/>
      <c r="U471" s="676"/>
      <c r="V471" s="676"/>
      <c r="W471" s="676"/>
      <c r="X471" s="676"/>
      <c r="Y471" s="676"/>
      <c r="Z471" s="676"/>
      <c r="AA471" s="54"/>
      <c r="AB471" s="54"/>
      <c r="AC471" s="54"/>
    </row>
    <row r="472" spans="1:68" ht="16.5" hidden="1" customHeight="1" x14ac:dyDescent="0.25">
      <c r="A472" s="677" t="s">
        <v>753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65"/>
      <c r="AB472" s="65"/>
      <c r="AC472" s="79"/>
    </row>
    <row r="473" spans="1:68" ht="14.25" hidden="1" customHeight="1" x14ac:dyDescent="0.25">
      <c r="A473" s="678" t="s">
        <v>128</v>
      </c>
      <c r="B473" s="678"/>
      <c r="C473" s="678"/>
      <c r="D473" s="678"/>
      <c r="E473" s="678"/>
      <c r="F473" s="678"/>
      <c r="G473" s="678"/>
      <c r="H473" s="678"/>
      <c r="I473" s="678"/>
      <c r="J473" s="678"/>
      <c r="K473" s="678"/>
      <c r="L473" s="678"/>
      <c r="M473" s="678"/>
      <c r="N473" s="678"/>
      <c r="O473" s="678"/>
      <c r="P473" s="678"/>
      <c r="Q473" s="678"/>
      <c r="R473" s="678"/>
      <c r="S473" s="678"/>
      <c r="T473" s="678"/>
      <c r="U473" s="678"/>
      <c r="V473" s="678"/>
      <c r="W473" s="678"/>
      <c r="X473" s="678"/>
      <c r="Y473" s="678"/>
      <c r="Z473" s="678"/>
      <c r="AA473" s="66"/>
      <c r="AB473" s="66"/>
      <c r="AC473" s="80"/>
    </row>
    <row r="474" spans="1:68" ht="27" hidden="1" customHeight="1" x14ac:dyDescent="0.25">
      <c r="A474" s="63" t="s">
        <v>754</v>
      </c>
      <c r="B474" s="63" t="s">
        <v>755</v>
      </c>
      <c r="C474" s="36">
        <v>4301011769</v>
      </c>
      <c r="D474" s="679">
        <v>4607091389067</v>
      </c>
      <c r="E474" s="679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133</v>
      </c>
      <c r="L474" s="37" t="s">
        <v>46</v>
      </c>
      <c r="M474" s="38" t="s">
        <v>90</v>
      </c>
      <c r="N474" s="38"/>
      <c r="O474" s="37">
        <v>60</v>
      </c>
      <c r="P474" s="92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81"/>
      <c r="R474" s="681"/>
      <c r="S474" s="681"/>
      <c r="T474" s="68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ref="Y474:Y482" si="67">IFERROR(IF(X474="",0,CEILING((X474/$H474),1)*$H474),"")</f>
        <v>0</v>
      </c>
      <c r="Z474" s="41" t="str">
        <f t="shared" ref="Z474:Z479" si="68">IFERROR(IF(Y474=0,"",ROUNDUP(Y474/H474,0)*0.01196),"")</f>
        <v/>
      </c>
      <c r="AA474" s="68" t="s">
        <v>46</v>
      </c>
      <c r="AB474" s="69" t="s">
        <v>46</v>
      </c>
      <c r="AC474" s="554" t="s">
        <v>131</v>
      </c>
      <c r="AG474" s="78"/>
      <c r="AJ474" s="84" t="s">
        <v>46</v>
      </c>
      <c r="AK474" s="84">
        <v>0</v>
      </c>
      <c r="BB474" s="555" t="s">
        <v>67</v>
      </c>
      <c r="BM474" s="78">
        <f t="shared" ref="BM474:BM482" si="69">IFERROR(X474*I474/H474,"0")</f>
        <v>0</v>
      </c>
      <c r="BN474" s="78">
        <f t="shared" ref="BN474:BN482" si="70">IFERROR(Y474*I474/H474,"0")</f>
        <v>0</v>
      </c>
      <c r="BO474" s="78">
        <f t="shared" ref="BO474:BO482" si="71">IFERROR(1/J474*(X474/H474),"0")</f>
        <v>0</v>
      </c>
      <c r="BP474" s="78">
        <f t="shared" ref="BP474:BP482" si="72">IFERROR(1/J474*(Y474/H474),"0")</f>
        <v>0</v>
      </c>
    </row>
    <row r="475" spans="1:68" ht="27" hidden="1" customHeight="1" x14ac:dyDescent="0.25">
      <c r="A475" s="63" t="s">
        <v>756</v>
      </c>
      <c r="B475" s="63" t="s">
        <v>757</v>
      </c>
      <c r="C475" s="36">
        <v>4301012210</v>
      </c>
      <c r="D475" s="679">
        <v>4607091383522</v>
      </c>
      <c r="E475" s="679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133</v>
      </c>
      <c r="L475" s="37" t="s">
        <v>46</v>
      </c>
      <c r="M475" s="38" t="s">
        <v>132</v>
      </c>
      <c r="N475" s="38"/>
      <c r="O475" s="37">
        <v>60</v>
      </c>
      <c r="P475" s="9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81"/>
      <c r="R475" s="681"/>
      <c r="S475" s="681"/>
      <c r="T475" s="68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7"/>
        <v>0</v>
      </c>
      <c r="Z475" s="41" t="str">
        <f t="shared" si="68"/>
        <v/>
      </c>
      <c r="AA475" s="68" t="s">
        <v>46</v>
      </c>
      <c r="AB475" s="69" t="s">
        <v>46</v>
      </c>
      <c r="AC475" s="556" t="s">
        <v>758</v>
      </c>
      <c r="AG475" s="78"/>
      <c r="AJ475" s="84" t="s">
        <v>46</v>
      </c>
      <c r="AK475" s="84">
        <v>0</v>
      </c>
      <c r="BB475" s="557" t="s">
        <v>67</v>
      </c>
      <c r="BM475" s="78">
        <f t="shared" si="69"/>
        <v>0</v>
      </c>
      <c r="BN475" s="78">
        <f t="shared" si="70"/>
        <v>0</v>
      </c>
      <c r="BO475" s="78">
        <f t="shared" si="71"/>
        <v>0</v>
      </c>
      <c r="BP475" s="78">
        <f t="shared" si="72"/>
        <v>0</v>
      </c>
    </row>
    <row r="476" spans="1:68" ht="27" hidden="1" customHeight="1" x14ac:dyDescent="0.25">
      <c r="A476" s="63" t="s">
        <v>759</v>
      </c>
      <c r="B476" s="63" t="s">
        <v>760</v>
      </c>
      <c r="C476" s="36">
        <v>4301011961</v>
      </c>
      <c r="D476" s="679">
        <v>4680115885271</v>
      </c>
      <c r="E476" s="679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133</v>
      </c>
      <c r="L476" s="37" t="s">
        <v>46</v>
      </c>
      <c r="M476" s="38" t="s">
        <v>132</v>
      </c>
      <c r="N476" s="38"/>
      <c r="O476" s="37">
        <v>60</v>
      </c>
      <c r="P476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81"/>
      <c r="R476" s="681"/>
      <c r="S476" s="681"/>
      <c r="T476" s="68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7"/>
        <v>0</v>
      </c>
      <c r="Z476" s="41" t="str">
        <f t="shared" si="68"/>
        <v/>
      </c>
      <c r="AA476" s="68" t="s">
        <v>46</v>
      </c>
      <c r="AB476" s="69" t="s">
        <v>46</v>
      </c>
      <c r="AC476" s="558" t="s">
        <v>761</v>
      </c>
      <c r="AG476" s="78"/>
      <c r="AJ476" s="84" t="s">
        <v>46</v>
      </c>
      <c r="AK476" s="84">
        <v>0</v>
      </c>
      <c r="BB476" s="559" t="s">
        <v>67</v>
      </c>
      <c r="BM476" s="78">
        <f t="shared" si="69"/>
        <v>0</v>
      </c>
      <c r="BN476" s="78">
        <f t="shared" si="70"/>
        <v>0</v>
      </c>
      <c r="BO476" s="78">
        <f t="shared" si="71"/>
        <v>0</v>
      </c>
      <c r="BP476" s="78">
        <f t="shared" si="72"/>
        <v>0</v>
      </c>
    </row>
    <row r="477" spans="1:68" ht="27" customHeight="1" x14ac:dyDescent="0.25">
      <c r="A477" s="63" t="s">
        <v>762</v>
      </c>
      <c r="B477" s="63" t="s">
        <v>763</v>
      </c>
      <c r="C477" s="36">
        <v>4301011369</v>
      </c>
      <c r="D477" s="679">
        <v>4680115885226</v>
      </c>
      <c r="E477" s="679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133</v>
      </c>
      <c r="L477" s="37" t="s">
        <v>46</v>
      </c>
      <c r="M477" s="38" t="s">
        <v>132</v>
      </c>
      <c r="N477" s="38"/>
      <c r="O477" s="37">
        <v>60</v>
      </c>
      <c r="P477" s="9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81"/>
      <c r="R477" s="681"/>
      <c r="S477" s="681"/>
      <c r="T477" s="682"/>
      <c r="U477" s="39" t="s">
        <v>46</v>
      </c>
      <c r="V477" s="39" t="s">
        <v>46</v>
      </c>
      <c r="W477" s="40" t="s">
        <v>0</v>
      </c>
      <c r="X477" s="58">
        <v>20</v>
      </c>
      <c r="Y477" s="55">
        <f t="shared" si="67"/>
        <v>21.12</v>
      </c>
      <c r="Z477" s="41">
        <f t="shared" si="68"/>
        <v>4.7840000000000001E-2</v>
      </c>
      <c r="AA477" s="68" t="s">
        <v>46</v>
      </c>
      <c r="AB477" s="69" t="s">
        <v>46</v>
      </c>
      <c r="AC477" s="560" t="s">
        <v>764</v>
      </c>
      <c r="AG477" s="78"/>
      <c r="AJ477" s="84" t="s">
        <v>46</v>
      </c>
      <c r="AK477" s="84">
        <v>0</v>
      </c>
      <c r="BB477" s="561" t="s">
        <v>67</v>
      </c>
      <c r="BM477" s="78">
        <f t="shared" si="69"/>
        <v>21.325757575757574</v>
      </c>
      <c r="BN477" s="78">
        <f t="shared" si="70"/>
        <v>22.52</v>
      </c>
      <c r="BO477" s="78">
        <f t="shared" si="71"/>
        <v>3.6421911421911424E-2</v>
      </c>
      <c r="BP477" s="78">
        <f t="shared" si="72"/>
        <v>3.8461538461538464E-2</v>
      </c>
    </row>
    <row r="478" spans="1:68" ht="16.5" hidden="1" customHeight="1" x14ac:dyDescent="0.25">
      <c r="A478" s="63" t="s">
        <v>765</v>
      </c>
      <c r="B478" s="63" t="s">
        <v>766</v>
      </c>
      <c r="C478" s="36">
        <v>4301011797</v>
      </c>
      <c r="D478" s="679">
        <v>4680115884502</v>
      </c>
      <c r="E478" s="679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133</v>
      </c>
      <c r="L478" s="37" t="s">
        <v>46</v>
      </c>
      <c r="M478" s="38" t="s">
        <v>90</v>
      </c>
      <c r="N478" s="38"/>
      <c r="O478" s="37">
        <v>60</v>
      </c>
      <c r="P478" s="92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81"/>
      <c r="R478" s="681"/>
      <c r="S478" s="681"/>
      <c r="T478" s="682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7"/>
        <v>0</v>
      </c>
      <c r="Z478" s="41" t="str">
        <f t="shared" si="68"/>
        <v/>
      </c>
      <c r="AA478" s="68" t="s">
        <v>46</v>
      </c>
      <c r="AB478" s="69" t="s">
        <v>46</v>
      </c>
      <c r="AC478" s="562" t="s">
        <v>767</v>
      </c>
      <c r="AG478" s="78"/>
      <c r="AJ478" s="84" t="s">
        <v>46</v>
      </c>
      <c r="AK478" s="84">
        <v>0</v>
      </c>
      <c r="BB478" s="563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customHeight="1" x14ac:dyDescent="0.25">
      <c r="A479" s="63" t="s">
        <v>768</v>
      </c>
      <c r="B479" s="63" t="s">
        <v>769</v>
      </c>
      <c r="C479" s="36">
        <v>4301011771</v>
      </c>
      <c r="D479" s="679">
        <v>4607091389104</v>
      </c>
      <c r="E479" s="679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133</v>
      </c>
      <c r="L479" s="37" t="s">
        <v>46</v>
      </c>
      <c r="M479" s="38" t="s">
        <v>132</v>
      </c>
      <c r="N479" s="38"/>
      <c r="O479" s="37">
        <v>60</v>
      </c>
      <c r="P479" s="92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81"/>
      <c r="R479" s="681"/>
      <c r="S479" s="681"/>
      <c r="T479" s="682"/>
      <c r="U479" s="39" t="s">
        <v>46</v>
      </c>
      <c r="V479" s="39" t="s">
        <v>46</v>
      </c>
      <c r="W479" s="40" t="s">
        <v>0</v>
      </c>
      <c r="X479" s="58">
        <v>300</v>
      </c>
      <c r="Y479" s="55">
        <f t="shared" si="67"/>
        <v>300.96000000000004</v>
      </c>
      <c r="Z479" s="41">
        <f t="shared" si="68"/>
        <v>0.68171999999999999</v>
      </c>
      <c r="AA479" s="68" t="s">
        <v>46</v>
      </c>
      <c r="AB479" s="69" t="s">
        <v>46</v>
      </c>
      <c r="AC479" s="564" t="s">
        <v>770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319.88636363636363</v>
      </c>
      <c r="BN479" s="78">
        <f t="shared" si="70"/>
        <v>320.91000000000003</v>
      </c>
      <c r="BO479" s="78">
        <f t="shared" si="71"/>
        <v>0.54632867132867136</v>
      </c>
      <c r="BP479" s="78">
        <f t="shared" si="72"/>
        <v>0.54807692307692313</v>
      </c>
    </row>
    <row r="480" spans="1:68" ht="27" hidden="1" customHeight="1" x14ac:dyDescent="0.25">
      <c r="A480" s="63" t="s">
        <v>771</v>
      </c>
      <c r="B480" s="63" t="s">
        <v>772</v>
      </c>
      <c r="C480" s="36">
        <v>4301012125</v>
      </c>
      <c r="D480" s="679">
        <v>4680115886391</v>
      </c>
      <c r="E480" s="679"/>
      <c r="F480" s="62">
        <v>0.4</v>
      </c>
      <c r="G480" s="37">
        <v>6</v>
      </c>
      <c r="H480" s="62">
        <v>2.4</v>
      </c>
      <c r="I480" s="62">
        <v>2.58</v>
      </c>
      <c r="J480" s="37">
        <v>182</v>
      </c>
      <c r="K480" s="37" t="s">
        <v>91</v>
      </c>
      <c r="L480" s="37" t="s">
        <v>46</v>
      </c>
      <c r="M480" s="38" t="s">
        <v>90</v>
      </c>
      <c r="N480" s="38"/>
      <c r="O480" s="37">
        <v>60</v>
      </c>
      <c r="P480" s="92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81"/>
      <c r="R480" s="681"/>
      <c r="S480" s="681"/>
      <c r="T480" s="682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6" t="s">
        <v>131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773</v>
      </c>
      <c r="B481" s="63" t="s">
        <v>774</v>
      </c>
      <c r="C481" s="36">
        <v>4301012048</v>
      </c>
      <c r="D481" s="679">
        <v>4680115880603</v>
      </c>
      <c r="E481" s="679"/>
      <c r="F481" s="62">
        <v>0.6</v>
      </c>
      <c r="G481" s="37">
        <v>8</v>
      </c>
      <c r="H481" s="62">
        <v>4.8</v>
      </c>
      <c r="I481" s="62">
        <v>6.91</v>
      </c>
      <c r="J481" s="37">
        <v>132</v>
      </c>
      <c r="K481" s="37" t="s">
        <v>140</v>
      </c>
      <c r="L481" s="37" t="s">
        <v>46</v>
      </c>
      <c r="M481" s="38" t="s">
        <v>90</v>
      </c>
      <c r="N481" s="38"/>
      <c r="O481" s="37">
        <v>60</v>
      </c>
      <c r="P481" s="92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81"/>
      <c r="R481" s="681"/>
      <c r="S481" s="681"/>
      <c r="T481" s="682"/>
      <c r="U481" s="39" t="s">
        <v>46</v>
      </c>
      <c r="V481" s="39" t="s">
        <v>46</v>
      </c>
      <c r="W481" s="40" t="s">
        <v>0</v>
      </c>
      <c r="X481" s="58">
        <v>42</v>
      </c>
      <c r="Y481" s="55">
        <f t="shared" si="67"/>
        <v>43.199999999999996</v>
      </c>
      <c r="Z481" s="41">
        <f>IFERROR(IF(Y481=0,"",ROUNDUP(Y481/H481,0)*0.00902),"")</f>
        <v>8.1180000000000002E-2</v>
      </c>
      <c r="AA481" s="68" t="s">
        <v>46</v>
      </c>
      <c r="AB481" s="69" t="s">
        <v>46</v>
      </c>
      <c r="AC481" s="568" t="s">
        <v>131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60.462500000000006</v>
      </c>
      <c r="BN481" s="78">
        <f t="shared" si="70"/>
        <v>62.190000000000005</v>
      </c>
      <c r="BO481" s="78">
        <f t="shared" si="71"/>
        <v>6.6287878787878785E-2</v>
      </c>
      <c r="BP481" s="78">
        <f t="shared" si="72"/>
        <v>6.8181818181818177E-2</v>
      </c>
    </row>
    <row r="482" spans="1:68" ht="27" customHeight="1" x14ac:dyDescent="0.25">
      <c r="A482" s="63" t="s">
        <v>775</v>
      </c>
      <c r="B482" s="63" t="s">
        <v>776</v>
      </c>
      <c r="C482" s="36">
        <v>4301012034</v>
      </c>
      <c r="D482" s="679">
        <v>4607091389982</v>
      </c>
      <c r="E482" s="679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140</v>
      </c>
      <c r="L482" s="37" t="s">
        <v>46</v>
      </c>
      <c r="M482" s="38" t="s">
        <v>132</v>
      </c>
      <c r="N482" s="38"/>
      <c r="O482" s="37">
        <v>60</v>
      </c>
      <c r="P482" s="9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81"/>
      <c r="R482" s="681"/>
      <c r="S482" s="681"/>
      <c r="T482" s="682"/>
      <c r="U482" s="39" t="s">
        <v>46</v>
      </c>
      <c r="V482" s="39" t="s">
        <v>46</v>
      </c>
      <c r="W482" s="40" t="s">
        <v>0</v>
      </c>
      <c r="X482" s="58">
        <v>78</v>
      </c>
      <c r="Y482" s="55">
        <f t="shared" si="67"/>
        <v>81.599999999999994</v>
      </c>
      <c r="Z482" s="41">
        <f>IFERROR(IF(Y482=0,"",ROUNDUP(Y482/H482,0)*0.00902),"")</f>
        <v>0.15334</v>
      </c>
      <c r="AA482" s="68" t="s">
        <v>46</v>
      </c>
      <c r="AB482" s="69" t="s">
        <v>46</v>
      </c>
      <c r="AC482" s="570" t="s">
        <v>770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112.28750000000001</v>
      </c>
      <c r="BN482" s="78">
        <f t="shared" si="70"/>
        <v>117.47</v>
      </c>
      <c r="BO482" s="78">
        <f t="shared" si="71"/>
        <v>0.12310606060606061</v>
      </c>
      <c r="BP482" s="78">
        <f t="shared" si="72"/>
        <v>0.12878787878787878</v>
      </c>
    </row>
    <row r="483" spans="1:68" x14ac:dyDescent="0.2">
      <c r="A483" s="687"/>
      <c r="B483" s="687"/>
      <c r="C483" s="687"/>
      <c r="D483" s="687"/>
      <c r="E483" s="687"/>
      <c r="F483" s="687"/>
      <c r="G483" s="687"/>
      <c r="H483" s="687"/>
      <c r="I483" s="687"/>
      <c r="J483" s="687"/>
      <c r="K483" s="687"/>
      <c r="L483" s="687"/>
      <c r="M483" s="687"/>
      <c r="N483" s="687"/>
      <c r="O483" s="688"/>
      <c r="P483" s="684" t="s">
        <v>40</v>
      </c>
      <c r="Q483" s="685"/>
      <c r="R483" s="685"/>
      <c r="S483" s="685"/>
      <c r="T483" s="685"/>
      <c r="U483" s="685"/>
      <c r="V483" s="686"/>
      <c r="W483" s="42" t="s">
        <v>39</v>
      </c>
      <c r="X483" s="43">
        <f>IFERROR(X474/H474,"0")+IFERROR(X475/H475,"0")+IFERROR(X476/H476,"0")+IFERROR(X477/H477,"0")+IFERROR(X478/H478,"0")+IFERROR(X479/H479,"0")+IFERROR(X480/H480,"0")+IFERROR(X481/H481,"0")+IFERROR(X482/H482,"0")</f>
        <v>85.606060606060595</v>
      </c>
      <c r="Y483" s="43">
        <f>IFERROR(Y474/H474,"0")+IFERROR(Y475/H475,"0")+IFERROR(Y476/H476,"0")+IFERROR(Y477/H477,"0")+IFERROR(Y478/H478,"0")+IFERROR(Y479/H479,"0")+IFERROR(Y480/H480,"0")+IFERROR(Y481/H481,"0")+IFERROR(Y482/H482,"0")</f>
        <v>87</v>
      </c>
      <c r="Z483" s="43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0.96408000000000005</v>
      </c>
      <c r="AA483" s="67"/>
      <c r="AB483" s="67"/>
      <c r="AC483" s="67"/>
    </row>
    <row r="484" spans="1:68" x14ac:dyDescent="0.2">
      <c r="A484" s="687"/>
      <c r="B484" s="687"/>
      <c r="C484" s="687"/>
      <c r="D484" s="687"/>
      <c r="E484" s="687"/>
      <c r="F484" s="687"/>
      <c r="G484" s="687"/>
      <c r="H484" s="687"/>
      <c r="I484" s="687"/>
      <c r="J484" s="687"/>
      <c r="K484" s="687"/>
      <c r="L484" s="687"/>
      <c r="M484" s="687"/>
      <c r="N484" s="687"/>
      <c r="O484" s="688"/>
      <c r="P484" s="684" t="s">
        <v>40</v>
      </c>
      <c r="Q484" s="685"/>
      <c r="R484" s="685"/>
      <c r="S484" s="685"/>
      <c r="T484" s="685"/>
      <c r="U484" s="685"/>
      <c r="V484" s="686"/>
      <c r="W484" s="42" t="s">
        <v>0</v>
      </c>
      <c r="X484" s="43">
        <f>IFERROR(SUM(X474:X482),"0")</f>
        <v>440</v>
      </c>
      <c r="Y484" s="43">
        <f>IFERROR(SUM(Y474:Y482),"0")</f>
        <v>446.88</v>
      </c>
      <c r="Z484" s="42"/>
      <c r="AA484" s="67"/>
      <c r="AB484" s="67"/>
      <c r="AC484" s="67"/>
    </row>
    <row r="485" spans="1:68" ht="14.25" hidden="1" customHeight="1" x14ac:dyDescent="0.25">
      <c r="A485" s="678" t="s">
        <v>163</v>
      </c>
      <c r="B485" s="678"/>
      <c r="C485" s="678"/>
      <c r="D485" s="678"/>
      <c r="E485" s="678"/>
      <c r="F485" s="678"/>
      <c r="G485" s="678"/>
      <c r="H485" s="678"/>
      <c r="I485" s="678"/>
      <c r="J485" s="678"/>
      <c r="K485" s="678"/>
      <c r="L485" s="678"/>
      <c r="M485" s="678"/>
      <c r="N485" s="678"/>
      <c r="O485" s="678"/>
      <c r="P485" s="678"/>
      <c r="Q485" s="678"/>
      <c r="R485" s="678"/>
      <c r="S485" s="678"/>
      <c r="T485" s="678"/>
      <c r="U485" s="678"/>
      <c r="V485" s="678"/>
      <c r="W485" s="678"/>
      <c r="X485" s="678"/>
      <c r="Y485" s="678"/>
      <c r="Z485" s="678"/>
      <c r="AA485" s="66"/>
      <c r="AB485" s="66"/>
      <c r="AC485" s="80"/>
    </row>
    <row r="486" spans="1:68" ht="16.5" customHeight="1" x14ac:dyDescent="0.25">
      <c r="A486" s="63" t="s">
        <v>777</v>
      </c>
      <c r="B486" s="63" t="s">
        <v>778</v>
      </c>
      <c r="C486" s="36">
        <v>4301020334</v>
      </c>
      <c r="D486" s="679">
        <v>4607091388930</v>
      </c>
      <c r="E486" s="679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70</v>
      </c>
      <c r="P486" s="93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81"/>
      <c r="R486" s="681"/>
      <c r="S486" s="681"/>
      <c r="T486" s="682"/>
      <c r="U486" s="39" t="s">
        <v>46</v>
      </c>
      <c r="V486" s="39" t="s">
        <v>46</v>
      </c>
      <c r="W486" s="40" t="s">
        <v>0</v>
      </c>
      <c r="X486" s="58">
        <v>350</v>
      </c>
      <c r="Y486" s="55">
        <f>IFERROR(IF(X486="",0,CEILING((X486/$H486),1)*$H486),"")</f>
        <v>353.76</v>
      </c>
      <c r="Z486" s="41">
        <f>IFERROR(IF(Y486=0,"",ROUNDUP(Y486/H486,0)*0.01196),"")</f>
        <v>0.80132000000000003</v>
      </c>
      <c r="AA486" s="68" t="s">
        <v>46</v>
      </c>
      <c r="AB486" s="69" t="s">
        <v>46</v>
      </c>
      <c r="AC486" s="572" t="s">
        <v>779</v>
      </c>
      <c r="AG486" s="78"/>
      <c r="AJ486" s="84" t="s">
        <v>46</v>
      </c>
      <c r="AK486" s="84">
        <v>0</v>
      </c>
      <c r="BB486" s="573" t="s">
        <v>67</v>
      </c>
      <c r="BM486" s="78">
        <f>IFERROR(X486*I486/H486,"0")</f>
        <v>373.20075757575756</v>
      </c>
      <c r="BN486" s="78">
        <f>IFERROR(Y486*I486/H486,"0")</f>
        <v>377.21</v>
      </c>
      <c r="BO486" s="78">
        <f>IFERROR(1/J486*(X486/H486),"0")</f>
        <v>0.63738344988344986</v>
      </c>
      <c r="BP486" s="78">
        <f>IFERROR(1/J486*(Y486/H486),"0")</f>
        <v>0.64423076923076927</v>
      </c>
    </row>
    <row r="487" spans="1:68" ht="16.5" hidden="1" customHeight="1" x14ac:dyDescent="0.25">
      <c r="A487" s="63" t="s">
        <v>780</v>
      </c>
      <c r="B487" s="63" t="s">
        <v>781</v>
      </c>
      <c r="C487" s="36">
        <v>4301020374</v>
      </c>
      <c r="D487" s="679">
        <v>4680115886407</v>
      </c>
      <c r="E487" s="679"/>
      <c r="F487" s="62">
        <v>0.4</v>
      </c>
      <c r="G487" s="37">
        <v>6</v>
      </c>
      <c r="H487" s="62">
        <v>2.4</v>
      </c>
      <c r="I487" s="62">
        <v>2.58</v>
      </c>
      <c r="J487" s="37">
        <v>182</v>
      </c>
      <c r="K487" s="37" t="s">
        <v>91</v>
      </c>
      <c r="L487" s="37" t="s">
        <v>46</v>
      </c>
      <c r="M487" s="38" t="s">
        <v>132</v>
      </c>
      <c r="N487" s="38"/>
      <c r="O487" s="37">
        <v>70</v>
      </c>
      <c r="P487" s="93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81"/>
      <c r="R487" s="681"/>
      <c r="S487" s="681"/>
      <c r="T487" s="68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74" t="s">
        <v>779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customHeight="1" x14ac:dyDescent="0.25">
      <c r="A488" s="63" t="s">
        <v>782</v>
      </c>
      <c r="B488" s="63" t="s">
        <v>783</v>
      </c>
      <c r="C488" s="36">
        <v>4301020385</v>
      </c>
      <c r="D488" s="679">
        <v>4680115880054</v>
      </c>
      <c r="E488" s="679"/>
      <c r="F488" s="62">
        <v>0.6</v>
      </c>
      <c r="G488" s="37">
        <v>8</v>
      </c>
      <c r="H488" s="62">
        <v>4.8</v>
      </c>
      <c r="I488" s="62">
        <v>6.91</v>
      </c>
      <c r="J488" s="37">
        <v>132</v>
      </c>
      <c r="K488" s="37" t="s">
        <v>140</v>
      </c>
      <c r="L488" s="37" t="s">
        <v>46</v>
      </c>
      <c r="M488" s="38" t="s">
        <v>132</v>
      </c>
      <c r="N488" s="38"/>
      <c r="O488" s="37">
        <v>70</v>
      </c>
      <c r="P488" s="9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81"/>
      <c r="R488" s="681"/>
      <c r="S488" s="681"/>
      <c r="T488" s="682"/>
      <c r="U488" s="39" t="s">
        <v>46</v>
      </c>
      <c r="V488" s="39" t="s">
        <v>46</v>
      </c>
      <c r="W488" s="40" t="s">
        <v>0</v>
      </c>
      <c r="X488" s="58">
        <v>78</v>
      </c>
      <c r="Y488" s="55">
        <f>IFERROR(IF(X488="",0,CEILING((X488/$H488),1)*$H488),"")</f>
        <v>81.599999999999994</v>
      </c>
      <c r="Z488" s="41">
        <f>IFERROR(IF(Y488=0,"",ROUNDUP(Y488/H488,0)*0.00902),"")</f>
        <v>0.15334</v>
      </c>
      <c r="AA488" s="68" t="s">
        <v>46</v>
      </c>
      <c r="AB488" s="69" t="s">
        <v>46</v>
      </c>
      <c r="AC488" s="576" t="s">
        <v>779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112.28750000000001</v>
      </c>
      <c r="BN488" s="78">
        <f>IFERROR(Y488*I488/H488,"0")</f>
        <v>117.47</v>
      </c>
      <c r="BO488" s="78">
        <f>IFERROR(1/J488*(X488/H488),"0")</f>
        <v>0.12310606060606061</v>
      </c>
      <c r="BP488" s="78">
        <f>IFERROR(1/J488*(Y488/H488),"0")</f>
        <v>0.12878787878787878</v>
      </c>
    </row>
    <row r="489" spans="1:68" x14ac:dyDescent="0.2">
      <c r="A489" s="687"/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8"/>
      <c r="P489" s="684" t="s">
        <v>40</v>
      </c>
      <c r="Q489" s="685"/>
      <c r="R489" s="685"/>
      <c r="S489" s="685"/>
      <c r="T489" s="685"/>
      <c r="U489" s="685"/>
      <c r="V489" s="686"/>
      <c r="W489" s="42" t="s">
        <v>39</v>
      </c>
      <c r="X489" s="43">
        <f>IFERROR(X486/H486,"0")+IFERROR(X487/H487,"0")+IFERROR(X488/H488,"0")</f>
        <v>82.537878787878782</v>
      </c>
      <c r="Y489" s="43">
        <f>IFERROR(Y486/H486,"0")+IFERROR(Y487/H487,"0")+IFERROR(Y488/H488,"0")</f>
        <v>84</v>
      </c>
      <c r="Z489" s="43">
        <f>IFERROR(IF(Z486="",0,Z486),"0")+IFERROR(IF(Z487="",0,Z487),"0")+IFERROR(IF(Z488="",0,Z488),"0")</f>
        <v>0.95466000000000006</v>
      </c>
      <c r="AA489" s="67"/>
      <c r="AB489" s="67"/>
      <c r="AC489" s="67"/>
    </row>
    <row r="490" spans="1:68" x14ac:dyDescent="0.2">
      <c r="A490" s="687"/>
      <c r="B490" s="687"/>
      <c r="C490" s="687"/>
      <c r="D490" s="687"/>
      <c r="E490" s="687"/>
      <c r="F490" s="687"/>
      <c r="G490" s="687"/>
      <c r="H490" s="687"/>
      <c r="I490" s="687"/>
      <c r="J490" s="687"/>
      <c r="K490" s="687"/>
      <c r="L490" s="687"/>
      <c r="M490" s="687"/>
      <c r="N490" s="687"/>
      <c r="O490" s="688"/>
      <c r="P490" s="684" t="s">
        <v>40</v>
      </c>
      <c r="Q490" s="685"/>
      <c r="R490" s="685"/>
      <c r="S490" s="685"/>
      <c r="T490" s="685"/>
      <c r="U490" s="685"/>
      <c r="V490" s="686"/>
      <c r="W490" s="42" t="s">
        <v>0</v>
      </c>
      <c r="X490" s="43">
        <f>IFERROR(SUM(X486:X488),"0")</f>
        <v>428</v>
      </c>
      <c r="Y490" s="43">
        <f>IFERROR(SUM(Y486:Y488),"0")</f>
        <v>435.36</v>
      </c>
      <c r="Z490" s="42"/>
      <c r="AA490" s="67"/>
      <c r="AB490" s="67"/>
      <c r="AC490" s="67"/>
    </row>
    <row r="491" spans="1:68" ht="14.25" hidden="1" customHeight="1" x14ac:dyDescent="0.25">
      <c r="A491" s="678" t="s">
        <v>77</v>
      </c>
      <c r="B491" s="678"/>
      <c r="C491" s="678"/>
      <c r="D491" s="678"/>
      <c r="E491" s="678"/>
      <c r="F491" s="678"/>
      <c r="G491" s="678"/>
      <c r="H491" s="678"/>
      <c r="I491" s="678"/>
      <c r="J491" s="678"/>
      <c r="K491" s="678"/>
      <c r="L491" s="678"/>
      <c r="M491" s="678"/>
      <c r="N491" s="678"/>
      <c r="O491" s="678"/>
      <c r="P491" s="678"/>
      <c r="Q491" s="678"/>
      <c r="R491" s="678"/>
      <c r="S491" s="678"/>
      <c r="T491" s="678"/>
      <c r="U491" s="678"/>
      <c r="V491" s="678"/>
      <c r="W491" s="678"/>
      <c r="X491" s="678"/>
      <c r="Y491" s="678"/>
      <c r="Z491" s="678"/>
      <c r="AA491" s="66"/>
      <c r="AB491" s="66"/>
      <c r="AC491" s="80"/>
    </row>
    <row r="492" spans="1:68" ht="27" hidden="1" customHeight="1" x14ac:dyDescent="0.25">
      <c r="A492" s="63" t="s">
        <v>784</v>
      </c>
      <c r="B492" s="63" t="s">
        <v>785</v>
      </c>
      <c r="C492" s="36">
        <v>4301031349</v>
      </c>
      <c r="D492" s="679">
        <v>4680115883116</v>
      </c>
      <c r="E492" s="67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133</v>
      </c>
      <c r="L492" s="37" t="s">
        <v>46</v>
      </c>
      <c r="M492" s="38" t="s">
        <v>132</v>
      </c>
      <c r="N492" s="38"/>
      <c r="O492" s="37">
        <v>70</v>
      </c>
      <c r="P492" s="9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81"/>
      <c r="R492" s="681"/>
      <c r="S492" s="681"/>
      <c r="T492" s="682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8" si="73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8" t="s">
        <v>786</v>
      </c>
      <c r="AG492" s="78"/>
      <c r="AJ492" s="84" t="s">
        <v>46</v>
      </c>
      <c r="AK492" s="84">
        <v>0</v>
      </c>
      <c r="BB492" s="579" t="s">
        <v>67</v>
      </c>
      <c r="BM492" s="78">
        <f t="shared" ref="BM492:BM498" si="74">IFERROR(X492*I492/H492,"0")</f>
        <v>0</v>
      </c>
      <c r="BN492" s="78">
        <f t="shared" ref="BN492:BN498" si="75">IFERROR(Y492*I492/H492,"0")</f>
        <v>0</v>
      </c>
      <c r="BO492" s="78">
        <f t="shared" ref="BO492:BO498" si="76">IFERROR(1/J492*(X492/H492),"0")</f>
        <v>0</v>
      </c>
      <c r="BP492" s="78">
        <f t="shared" ref="BP492:BP498" si="77">IFERROR(1/J492*(Y492/H492),"0")</f>
        <v>0</v>
      </c>
    </row>
    <row r="493" spans="1:68" ht="27" hidden="1" customHeight="1" x14ac:dyDescent="0.25">
      <c r="A493" s="63" t="s">
        <v>787</v>
      </c>
      <c r="B493" s="63" t="s">
        <v>788</v>
      </c>
      <c r="C493" s="36">
        <v>4301031350</v>
      </c>
      <c r="D493" s="679">
        <v>4680115883093</v>
      </c>
      <c r="E493" s="67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133</v>
      </c>
      <c r="L493" s="37" t="s">
        <v>46</v>
      </c>
      <c r="M493" s="38" t="s">
        <v>81</v>
      </c>
      <c r="N493" s="38"/>
      <c r="O493" s="37">
        <v>70</v>
      </c>
      <c r="P493" s="93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81"/>
      <c r="R493" s="681"/>
      <c r="S493" s="681"/>
      <c r="T493" s="682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3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789</v>
      </c>
      <c r="AG493" s="78"/>
      <c r="AJ493" s="84" t="s">
        <v>46</v>
      </c>
      <c r="AK493" s="84">
        <v>0</v>
      </c>
      <c r="BB493" s="581" t="s">
        <v>67</v>
      </c>
      <c r="BM493" s="78">
        <f t="shared" si="74"/>
        <v>0</v>
      </c>
      <c r="BN493" s="78">
        <f t="shared" si="75"/>
        <v>0</v>
      </c>
      <c r="BO493" s="78">
        <f t="shared" si="76"/>
        <v>0</v>
      </c>
      <c r="BP493" s="78">
        <f t="shared" si="77"/>
        <v>0</v>
      </c>
    </row>
    <row r="494" spans="1:68" ht="27" customHeight="1" x14ac:dyDescent="0.25">
      <c r="A494" s="63" t="s">
        <v>790</v>
      </c>
      <c r="B494" s="63" t="s">
        <v>791</v>
      </c>
      <c r="C494" s="36">
        <v>4301031353</v>
      </c>
      <c r="D494" s="679">
        <v>4680115883109</v>
      </c>
      <c r="E494" s="67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133</v>
      </c>
      <c r="L494" s="37" t="s">
        <v>46</v>
      </c>
      <c r="M494" s="38" t="s">
        <v>81</v>
      </c>
      <c r="N494" s="38"/>
      <c r="O494" s="37">
        <v>70</v>
      </c>
      <c r="P494" s="93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81"/>
      <c r="R494" s="681"/>
      <c r="S494" s="681"/>
      <c r="T494" s="682"/>
      <c r="U494" s="39" t="s">
        <v>46</v>
      </c>
      <c r="V494" s="39" t="s">
        <v>46</v>
      </c>
      <c r="W494" s="40" t="s">
        <v>0</v>
      </c>
      <c r="X494" s="58">
        <v>250</v>
      </c>
      <c r="Y494" s="55">
        <f t="shared" si="73"/>
        <v>253.44</v>
      </c>
      <c r="Z494" s="41">
        <f>IFERROR(IF(Y494=0,"",ROUNDUP(Y494/H494,0)*0.01196),"")</f>
        <v>0.57408000000000003</v>
      </c>
      <c r="AA494" s="68" t="s">
        <v>46</v>
      </c>
      <c r="AB494" s="69" t="s">
        <v>46</v>
      </c>
      <c r="AC494" s="582" t="s">
        <v>792</v>
      </c>
      <c r="AG494" s="78"/>
      <c r="AJ494" s="84" t="s">
        <v>46</v>
      </c>
      <c r="AK494" s="84">
        <v>0</v>
      </c>
      <c r="BB494" s="583" t="s">
        <v>67</v>
      </c>
      <c r="BM494" s="78">
        <f t="shared" si="74"/>
        <v>266.57196969696969</v>
      </c>
      <c r="BN494" s="78">
        <f t="shared" si="75"/>
        <v>270.23999999999995</v>
      </c>
      <c r="BO494" s="78">
        <f t="shared" si="76"/>
        <v>0.45527389277389274</v>
      </c>
      <c r="BP494" s="78">
        <f t="shared" si="77"/>
        <v>0.46153846153846156</v>
      </c>
    </row>
    <row r="495" spans="1:68" ht="27" hidden="1" customHeight="1" x14ac:dyDescent="0.25">
      <c r="A495" s="63" t="s">
        <v>793</v>
      </c>
      <c r="B495" s="63" t="s">
        <v>794</v>
      </c>
      <c r="C495" s="36">
        <v>4301031419</v>
      </c>
      <c r="D495" s="679">
        <v>4680115882072</v>
      </c>
      <c r="E495" s="679"/>
      <c r="F495" s="62">
        <v>0.6</v>
      </c>
      <c r="G495" s="37">
        <v>8</v>
      </c>
      <c r="H495" s="62">
        <v>4.8</v>
      </c>
      <c r="I495" s="62">
        <v>6.91</v>
      </c>
      <c r="J495" s="37">
        <v>132</v>
      </c>
      <c r="K495" s="37" t="s">
        <v>140</v>
      </c>
      <c r="L495" s="37" t="s">
        <v>46</v>
      </c>
      <c r="M495" s="38" t="s">
        <v>132</v>
      </c>
      <c r="N495" s="38"/>
      <c r="O495" s="37">
        <v>70</v>
      </c>
      <c r="P495" s="93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81"/>
      <c r="R495" s="681"/>
      <c r="S495" s="681"/>
      <c r="T495" s="68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3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786</v>
      </c>
      <c r="AG495" s="78"/>
      <c r="AJ495" s="84" t="s">
        <v>46</v>
      </c>
      <c r="AK495" s="84">
        <v>0</v>
      </c>
      <c r="BB495" s="585" t="s">
        <v>67</v>
      </c>
      <c r="BM495" s="78">
        <f t="shared" si="74"/>
        <v>0</v>
      </c>
      <c r="BN495" s="78">
        <f t="shared" si="75"/>
        <v>0</v>
      </c>
      <c r="BO495" s="78">
        <f t="shared" si="76"/>
        <v>0</v>
      </c>
      <c r="BP495" s="78">
        <f t="shared" si="77"/>
        <v>0</v>
      </c>
    </row>
    <row r="496" spans="1:68" ht="27" hidden="1" customHeight="1" x14ac:dyDescent="0.25">
      <c r="A496" s="63" t="s">
        <v>795</v>
      </c>
      <c r="B496" s="63" t="s">
        <v>796</v>
      </c>
      <c r="C496" s="36">
        <v>4301031352</v>
      </c>
      <c r="D496" s="679">
        <v>4680115882102</v>
      </c>
      <c r="E496" s="679"/>
      <c r="F496" s="62">
        <v>0.6</v>
      </c>
      <c r="G496" s="37">
        <v>6</v>
      </c>
      <c r="H496" s="62">
        <v>3.6</v>
      </c>
      <c r="I496" s="62">
        <v>3.79</v>
      </c>
      <c r="J496" s="37">
        <v>132</v>
      </c>
      <c r="K496" s="37" t="s">
        <v>140</v>
      </c>
      <c r="L496" s="37" t="s">
        <v>46</v>
      </c>
      <c r="M496" s="38" t="s">
        <v>81</v>
      </c>
      <c r="N496" s="38"/>
      <c r="O496" s="37">
        <v>70</v>
      </c>
      <c r="P496" s="93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81"/>
      <c r="R496" s="681"/>
      <c r="S496" s="681"/>
      <c r="T496" s="68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3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789</v>
      </c>
      <c r="AG496" s="78"/>
      <c r="AJ496" s="84" t="s">
        <v>46</v>
      </c>
      <c r="AK496" s="84">
        <v>0</v>
      </c>
      <c r="BB496" s="587" t="s">
        <v>67</v>
      </c>
      <c r="BM496" s="78">
        <f t="shared" si="74"/>
        <v>0</v>
      </c>
      <c r="BN496" s="78">
        <f t="shared" si="75"/>
        <v>0</v>
      </c>
      <c r="BO496" s="78">
        <f t="shared" si="76"/>
        <v>0</v>
      </c>
      <c r="BP496" s="78">
        <f t="shared" si="77"/>
        <v>0</v>
      </c>
    </row>
    <row r="497" spans="1:68" ht="27" customHeight="1" x14ac:dyDescent="0.25">
      <c r="A497" s="63" t="s">
        <v>795</v>
      </c>
      <c r="B497" s="63" t="s">
        <v>797</v>
      </c>
      <c r="C497" s="36">
        <v>4301031418</v>
      </c>
      <c r="D497" s="679">
        <v>4680115882102</v>
      </c>
      <c r="E497" s="679"/>
      <c r="F497" s="62">
        <v>0.6</v>
      </c>
      <c r="G497" s="37">
        <v>8</v>
      </c>
      <c r="H497" s="62">
        <v>4.8</v>
      </c>
      <c r="I497" s="62">
        <v>6.67</v>
      </c>
      <c r="J497" s="37">
        <v>132</v>
      </c>
      <c r="K497" s="37" t="s">
        <v>140</v>
      </c>
      <c r="L497" s="37" t="s">
        <v>46</v>
      </c>
      <c r="M497" s="38" t="s">
        <v>81</v>
      </c>
      <c r="N497" s="38"/>
      <c r="O497" s="37">
        <v>70</v>
      </c>
      <c r="P497" s="9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81"/>
      <c r="R497" s="681"/>
      <c r="S497" s="681"/>
      <c r="T497" s="682"/>
      <c r="U497" s="39" t="s">
        <v>46</v>
      </c>
      <c r="V497" s="39" t="s">
        <v>46</v>
      </c>
      <c r="W497" s="40" t="s">
        <v>0</v>
      </c>
      <c r="X497" s="58">
        <v>24</v>
      </c>
      <c r="Y497" s="55">
        <f t="shared" si="73"/>
        <v>24</v>
      </c>
      <c r="Z497" s="41">
        <f>IFERROR(IF(Y497=0,"",ROUNDUP(Y497/H497,0)*0.00902),"")</f>
        <v>4.5100000000000001E-2</v>
      </c>
      <c r="AA497" s="68" t="s">
        <v>46</v>
      </c>
      <c r="AB497" s="69" t="s">
        <v>46</v>
      </c>
      <c r="AC497" s="588" t="s">
        <v>789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33.35</v>
      </c>
      <c r="BN497" s="78">
        <f t="shared" si="75"/>
        <v>33.35</v>
      </c>
      <c r="BO497" s="78">
        <f t="shared" si="76"/>
        <v>3.787878787878788E-2</v>
      </c>
      <c r="BP497" s="78">
        <f t="shared" si="77"/>
        <v>3.787878787878788E-2</v>
      </c>
    </row>
    <row r="498" spans="1:68" ht="27" customHeight="1" x14ac:dyDescent="0.25">
      <c r="A498" s="63" t="s">
        <v>798</v>
      </c>
      <c r="B498" s="63" t="s">
        <v>799</v>
      </c>
      <c r="C498" s="36">
        <v>4301031417</v>
      </c>
      <c r="D498" s="679">
        <v>4680115882096</v>
      </c>
      <c r="E498" s="679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140</v>
      </c>
      <c r="L498" s="37" t="s">
        <v>46</v>
      </c>
      <c r="M498" s="38" t="s">
        <v>81</v>
      </c>
      <c r="N498" s="38"/>
      <c r="O498" s="37">
        <v>70</v>
      </c>
      <c r="P498" s="9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81"/>
      <c r="R498" s="681"/>
      <c r="S498" s="681"/>
      <c r="T498" s="682"/>
      <c r="U498" s="39" t="s">
        <v>46</v>
      </c>
      <c r="V498" s="39" t="s">
        <v>46</v>
      </c>
      <c r="W498" s="40" t="s">
        <v>0</v>
      </c>
      <c r="X498" s="58">
        <v>150</v>
      </c>
      <c r="Y498" s="55">
        <f t="shared" si="73"/>
        <v>153.6</v>
      </c>
      <c r="Z498" s="41">
        <f>IFERROR(IF(Y498=0,"",ROUNDUP(Y498/H498,0)*0.00902),"")</f>
        <v>0.28864000000000001</v>
      </c>
      <c r="AA498" s="68" t="s">
        <v>46</v>
      </c>
      <c r="AB498" s="69" t="s">
        <v>46</v>
      </c>
      <c r="AC498" s="590" t="s">
        <v>792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208.4375</v>
      </c>
      <c r="BN498" s="78">
        <f t="shared" si="75"/>
        <v>213.44</v>
      </c>
      <c r="BO498" s="78">
        <f t="shared" si="76"/>
        <v>0.23674242424242425</v>
      </c>
      <c r="BP498" s="78">
        <f t="shared" si="77"/>
        <v>0.24242424242424243</v>
      </c>
    </row>
    <row r="499" spans="1:68" x14ac:dyDescent="0.2">
      <c r="A499" s="687"/>
      <c r="B499" s="687"/>
      <c r="C499" s="687"/>
      <c r="D499" s="687"/>
      <c r="E499" s="687"/>
      <c r="F499" s="687"/>
      <c r="G499" s="687"/>
      <c r="H499" s="687"/>
      <c r="I499" s="687"/>
      <c r="J499" s="687"/>
      <c r="K499" s="687"/>
      <c r="L499" s="687"/>
      <c r="M499" s="687"/>
      <c r="N499" s="687"/>
      <c r="O499" s="688"/>
      <c r="P499" s="684" t="s">
        <v>40</v>
      </c>
      <c r="Q499" s="685"/>
      <c r="R499" s="685"/>
      <c r="S499" s="685"/>
      <c r="T499" s="685"/>
      <c r="U499" s="685"/>
      <c r="V499" s="686"/>
      <c r="W499" s="42" t="s">
        <v>39</v>
      </c>
      <c r="X499" s="43">
        <f>IFERROR(X492/H492,"0")+IFERROR(X493/H493,"0")+IFERROR(X494/H494,"0")+IFERROR(X495/H495,"0")+IFERROR(X496/H496,"0")+IFERROR(X497/H497,"0")+IFERROR(X498/H498,"0")</f>
        <v>83.598484848484844</v>
      </c>
      <c r="Y499" s="43">
        <f>IFERROR(Y492/H492,"0")+IFERROR(Y493/H493,"0")+IFERROR(Y494/H494,"0")+IFERROR(Y495/H495,"0")+IFERROR(Y496/H496,"0")+IFERROR(Y497/H497,"0")+IFERROR(Y498/H498,"0")</f>
        <v>85</v>
      </c>
      <c r="Z499" s="43">
        <f>IFERROR(IF(Z492="",0,Z492),"0")+IFERROR(IF(Z493="",0,Z493),"0")+IFERROR(IF(Z494="",0,Z494),"0")+IFERROR(IF(Z495="",0,Z495),"0")+IFERROR(IF(Z496="",0,Z496),"0")+IFERROR(IF(Z497="",0,Z497),"0")+IFERROR(IF(Z498="",0,Z498),"0")</f>
        <v>0.90782000000000007</v>
      </c>
      <c r="AA499" s="67"/>
      <c r="AB499" s="67"/>
      <c r="AC499" s="67"/>
    </row>
    <row r="500" spans="1:68" x14ac:dyDescent="0.2">
      <c r="A500" s="687"/>
      <c r="B500" s="687"/>
      <c r="C500" s="687"/>
      <c r="D500" s="687"/>
      <c r="E500" s="687"/>
      <c r="F500" s="687"/>
      <c r="G500" s="687"/>
      <c r="H500" s="687"/>
      <c r="I500" s="687"/>
      <c r="J500" s="687"/>
      <c r="K500" s="687"/>
      <c r="L500" s="687"/>
      <c r="M500" s="687"/>
      <c r="N500" s="687"/>
      <c r="O500" s="688"/>
      <c r="P500" s="684" t="s">
        <v>40</v>
      </c>
      <c r="Q500" s="685"/>
      <c r="R500" s="685"/>
      <c r="S500" s="685"/>
      <c r="T500" s="685"/>
      <c r="U500" s="685"/>
      <c r="V500" s="686"/>
      <c r="W500" s="42" t="s">
        <v>0</v>
      </c>
      <c r="X500" s="43">
        <f>IFERROR(SUM(X492:X498),"0")</f>
        <v>424</v>
      </c>
      <c r="Y500" s="43">
        <f>IFERROR(SUM(Y492:Y498),"0")</f>
        <v>431.03999999999996</v>
      </c>
      <c r="Z500" s="42"/>
      <c r="AA500" s="67"/>
      <c r="AB500" s="67"/>
      <c r="AC500" s="67"/>
    </row>
    <row r="501" spans="1:68" ht="27.75" hidden="1" customHeight="1" x14ac:dyDescent="0.2">
      <c r="A501" s="676" t="s">
        <v>800</v>
      </c>
      <c r="B501" s="676"/>
      <c r="C501" s="676"/>
      <c r="D501" s="676"/>
      <c r="E501" s="676"/>
      <c r="F501" s="676"/>
      <c r="G501" s="676"/>
      <c r="H501" s="676"/>
      <c r="I501" s="676"/>
      <c r="J501" s="676"/>
      <c r="K501" s="676"/>
      <c r="L501" s="676"/>
      <c r="M501" s="676"/>
      <c r="N501" s="676"/>
      <c r="O501" s="676"/>
      <c r="P501" s="676"/>
      <c r="Q501" s="676"/>
      <c r="R501" s="676"/>
      <c r="S501" s="676"/>
      <c r="T501" s="676"/>
      <c r="U501" s="676"/>
      <c r="V501" s="676"/>
      <c r="W501" s="676"/>
      <c r="X501" s="676"/>
      <c r="Y501" s="676"/>
      <c r="Z501" s="676"/>
      <c r="AA501" s="54"/>
      <c r="AB501" s="54"/>
      <c r="AC501" s="54"/>
    </row>
    <row r="502" spans="1:68" ht="16.5" hidden="1" customHeight="1" x14ac:dyDescent="0.25">
      <c r="A502" s="677" t="s">
        <v>800</v>
      </c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77"/>
      <c r="P502" s="677"/>
      <c r="Q502" s="677"/>
      <c r="R502" s="677"/>
      <c r="S502" s="677"/>
      <c r="T502" s="677"/>
      <c r="U502" s="677"/>
      <c r="V502" s="677"/>
      <c r="W502" s="677"/>
      <c r="X502" s="677"/>
      <c r="Y502" s="677"/>
      <c r="Z502" s="677"/>
      <c r="AA502" s="65"/>
      <c r="AB502" s="65"/>
      <c r="AC502" s="79"/>
    </row>
    <row r="503" spans="1:68" ht="14.25" hidden="1" customHeight="1" x14ac:dyDescent="0.25">
      <c r="A503" s="678" t="s">
        <v>128</v>
      </c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  <c r="N503" s="678"/>
      <c r="O503" s="678"/>
      <c r="P503" s="678"/>
      <c r="Q503" s="678"/>
      <c r="R503" s="678"/>
      <c r="S503" s="678"/>
      <c r="T503" s="678"/>
      <c r="U503" s="678"/>
      <c r="V503" s="678"/>
      <c r="W503" s="678"/>
      <c r="X503" s="678"/>
      <c r="Y503" s="678"/>
      <c r="Z503" s="678"/>
      <c r="AA503" s="66"/>
      <c r="AB503" s="66"/>
      <c r="AC503" s="80"/>
    </row>
    <row r="504" spans="1:68" ht="27" hidden="1" customHeight="1" x14ac:dyDescent="0.25">
      <c r="A504" s="63" t="s">
        <v>801</v>
      </c>
      <c r="B504" s="63" t="s">
        <v>802</v>
      </c>
      <c r="C504" s="36">
        <v>4301011584</v>
      </c>
      <c r="D504" s="679">
        <v>4640242180564</v>
      </c>
      <c r="E504" s="679"/>
      <c r="F504" s="62">
        <v>1.5</v>
      </c>
      <c r="G504" s="37">
        <v>8</v>
      </c>
      <c r="H504" s="62">
        <v>12</v>
      </c>
      <c r="I504" s="62">
        <v>12.41</v>
      </c>
      <c r="J504" s="37">
        <v>64</v>
      </c>
      <c r="K504" s="37" t="s">
        <v>133</v>
      </c>
      <c r="L504" s="37" t="s">
        <v>46</v>
      </c>
      <c r="M504" s="38" t="s">
        <v>132</v>
      </c>
      <c r="N504" s="38"/>
      <c r="O504" s="37">
        <v>50</v>
      </c>
      <c r="P504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81"/>
      <c r="R504" s="681"/>
      <c r="S504" s="681"/>
      <c r="T504" s="68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IFERROR(IF(Y504=0,"",ROUNDUP(Y504/H504,0)*0.01898),"")</f>
        <v/>
      </c>
      <c r="AA504" s="68" t="s">
        <v>46</v>
      </c>
      <c r="AB504" s="69" t="s">
        <v>46</v>
      </c>
      <c r="AC504" s="592" t="s">
        <v>803</v>
      </c>
      <c r="AG504" s="78"/>
      <c r="AJ504" s="84" t="s">
        <v>46</v>
      </c>
      <c r="AK504" s="84">
        <v>0</v>
      </c>
      <c r="BB504" s="593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687"/>
      <c r="B505" s="687"/>
      <c r="C505" s="687"/>
      <c r="D505" s="687"/>
      <c r="E505" s="687"/>
      <c r="F505" s="687"/>
      <c r="G505" s="687"/>
      <c r="H505" s="687"/>
      <c r="I505" s="687"/>
      <c r="J505" s="687"/>
      <c r="K505" s="687"/>
      <c r="L505" s="687"/>
      <c r="M505" s="687"/>
      <c r="N505" s="687"/>
      <c r="O505" s="688"/>
      <c r="P505" s="684" t="s">
        <v>40</v>
      </c>
      <c r="Q505" s="685"/>
      <c r="R505" s="685"/>
      <c r="S505" s="685"/>
      <c r="T505" s="685"/>
      <c r="U505" s="685"/>
      <c r="V505" s="686"/>
      <c r="W505" s="42" t="s">
        <v>39</v>
      </c>
      <c r="X505" s="43">
        <f>IFERROR(X504/H504,"0")</f>
        <v>0</v>
      </c>
      <c r="Y505" s="43">
        <f>IFERROR(Y504/H504,"0")</f>
        <v>0</v>
      </c>
      <c r="Z505" s="43">
        <f>IFERROR(IF(Z504="",0,Z504),"0")</f>
        <v>0</v>
      </c>
      <c r="AA505" s="67"/>
      <c r="AB505" s="67"/>
      <c r="AC505" s="67"/>
    </row>
    <row r="506" spans="1:68" hidden="1" x14ac:dyDescent="0.2">
      <c r="A506" s="687"/>
      <c r="B506" s="687"/>
      <c r="C506" s="687"/>
      <c r="D506" s="687"/>
      <c r="E506" s="687"/>
      <c r="F506" s="687"/>
      <c r="G506" s="687"/>
      <c r="H506" s="687"/>
      <c r="I506" s="687"/>
      <c r="J506" s="687"/>
      <c r="K506" s="687"/>
      <c r="L506" s="687"/>
      <c r="M506" s="687"/>
      <c r="N506" s="687"/>
      <c r="O506" s="688"/>
      <c r="P506" s="684" t="s">
        <v>40</v>
      </c>
      <c r="Q506" s="685"/>
      <c r="R506" s="685"/>
      <c r="S506" s="685"/>
      <c r="T506" s="685"/>
      <c r="U506" s="685"/>
      <c r="V506" s="686"/>
      <c r="W506" s="42" t="s">
        <v>0</v>
      </c>
      <c r="X506" s="43">
        <f>IFERROR(SUM(X504:X504),"0")</f>
        <v>0</v>
      </c>
      <c r="Y506" s="43">
        <f>IFERROR(SUM(Y504:Y504),"0")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78" t="s">
        <v>163</v>
      </c>
      <c r="B507" s="678"/>
      <c r="C507" s="678"/>
      <c r="D507" s="678"/>
      <c r="E507" s="678"/>
      <c r="F507" s="678"/>
      <c r="G507" s="678"/>
      <c r="H507" s="678"/>
      <c r="I507" s="678"/>
      <c r="J507" s="678"/>
      <c r="K507" s="678"/>
      <c r="L507" s="678"/>
      <c r="M507" s="678"/>
      <c r="N507" s="678"/>
      <c r="O507" s="678"/>
      <c r="P507" s="678"/>
      <c r="Q507" s="678"/>
      <c r="R507" s="678"/>
      <c r="S507" s="678"/>
      <c r="T507" s="678"/>
      <c r="U507" s="678"/>
      <c r="V507" s="678"/>
      <c r="W507" s="678"/>
      <c r="X507" s="678"/>
      <c r="Y507" s="678"/>
      <c r="Z507" s="678"/>
      <c r="AA507" s="66"/>
      <c r="AB507" s="66"/>
      <c r="AC507" s="80"/>
    </row>
    <row r="508" spans="1:68" ht="27" hidden="1" customHeight="1" x14ac:dyDescent="0.25">
      <c r="A508" s="63" t="s">
        <v>804</v>
      </c>
      <c r="B508" s="63" t="s">
        <v>805</v>
      </c>
      <c r="C508" s="36">
        <v>4301020400</v>
      </c>
      <c r="D508" s="679">
        <v>4640242180519</v>
      </c>
      <c r="E508" s="679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133</v>
      </c>
      <c r="L508" s="37" t="s">
        <v>46</v>
      </c>
      <c r="M508" s="38" t="s">
        <v>132</v>
      </c>
      <c r="N508" s="38"/>
      <c r="O508" s="37">
        <v>50</v>
      </c>
      <c r="P508" s="9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81"/>
      <c r="R508" s="681"/>
      <c r="S508" s="681"/>
      <c r="T508" s="68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594" t="s">
        <v>806</v>
      </c>
      <c r="AG508" s="78"/>
      <c r="AJ508" s="84" t="s">
        <v>46</v>
      </c>
      <c r="AK508" s="84">
        <v>0</v>
      </c>
      <c r="BB508" s="59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87"/>
      <c r="B509" s="687"/>
      <c r="C509" s="687"/>
      <c r="D509" s="687"/>
      <c r="E509" s="687"/>
      <c r="F509" s="687"/>
      <c r="G509" s="687"/>
      <c r="H509" s="687"/>
      <c r="I509" s="687"/>
      <c r="J509" s="687"/>
      <c r="K509" s="687"/>
      <c r="L509" s="687"/>
      <c r="M509" s="687"/>
      <c r="N509" s="687"/>
      <c r="O509" s="688"/>
      <c r="P509" s="684" t="s">
        <v>40</v>
      </c>
      <c r="Q509" s="685"/>
      <c r="R509" s="685"/>
      <c r="S509" s="685"/>
      <c r="T509" s="685"/>
      <c r="U509" s="685"/>
      <c r="V509" s="686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87"/>
      <c r="B510" s="687"/>
      <c r="C510" s="687"/>
      <c r="D510" s="687"/>
      <c r="E510" s="687"/>
      <c r="F510" s="687"/>
      <c r="G510" s="687"/>
      <c r="H510" s="687"/>
      <c r="I510" s="687"/>
      <c r="J510" s="687"/>
      <c r="K510" s="687"/>
      <c r="L510" s="687"/>
      <c r="M510" s="687"/>
      <c r="N510" s="687"/>
      <c r="O510" s="688"/>
      <c r="P510" s="684" t="s">
        <v>40</v>
      </c>
      <c r="Q510" s="685"/>
      <c r="R510" s="685"/>
      <c r="S510" s="685"/>
      <c r="T510" s="685"/>
      <c r="U510" s="685"/>
      <c r="V510" s="686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78" t="s">
        <v>77</v>
      </c>
      <c r="B511" s="678"/>
      <c r="C511" s="678"/>
      <c r="D511" s="678"/>
      <c r="E511" s="678"/>
      <c r="F511" s="678"/>
      <c r="G511" s="678"/>
      <c r="H511" s="678"/>
      <c r="I511" s="678"/>
      <c r="J511" s="678"/>
      <c r="K511" s="678"/>
      <c r="L511" s="678"/>
      <c r="M511" s="678"/>
      <c r="N511" s="678"/>
      <c r="O511" s="678"/>
      <c r="P511" s="678"/>
      <c r="Q511" s="678"/>
      <c r="R511" s="678"/>
      <c r="S511" s="678"/>
      <c r="T511" s="678"/>
      <c r="U511" s="678"/>
      <c r="V511" s="678"/>
      <c r="W511" s="678"/>
      <c r="X511" s="678"/>
      <c r="Y511" s="678"/>
      <c r="Z511" s="678"/>
      <c r="AA511" s="66"/>
      <c r="AB511" s="66"/>
      <c r="AC511" s="80"/>
    </row>
    <row r="512" spans="1:68" ht="27" hidden="1" customHeight="1" x14ac:dyDescent="0.25">
      <c r="A512" s="63" t="s">
        <v>807</v>
      </c>
      <c r="B512" s="63" t="s">
        <v>808</v>
      </c>
      <c r="C512" s="36">
        <v>4301031467</v>
      </c>
      <c r="D512" s="679">
        <v>4640242180595</v>
      </c>
      <c r="E512" s="679"/>
      <c r="F512" s="62">
        <v>0.8</v>
      </c>
      <c r="G512" s="37">
        <v>6</v>
      </c>
      <c r="H512" s="62">
        <v>4.8</v>
      </c>
      <c r="I512" s="62">
        <v>5.05</v>
      </c>
      <c r="J512" s="37">
        <v>132</v>
      </c>
      <c r="K512" s="37" t="s">
        <v>140</v>
      </c>
      <c r="L512" s="37" t="s">
        <v>46</v>
      </c>
      <c r="M512" s="38" t="s">
        <v>81</v>
      </c>
      <c r="N512" s="38"/>
      <c r="O512" s="37">
        <v>40</v>
      </c>
      <c r="P512" s="94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81"/>
      <c r="R512" s="681"/>
      <c r="S512" s="681"/>
      <c r="T512" s="68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596" t="s">
        <v>809</v>
      </c>
      <c r="AG512" s="78"/>
      <c r="AJ512" s="84" t="s">
        <v>46</v>
      </c>
      <c r="AK512" s="84">
        <v>0</v>
      </c>
      <c r="BB512" s="59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27" hidden="1" customHeight="1" x14ac:dyDescent="0.25">
      <c r="A513" s="63" t="s">
        <v>807</v>
      </c>
      <c r="B513" s="63" t="s">
        <v>810</v>
      </c>
      <c r="C513" s="36">
        <v>4301031500</v>
      </c>
      <c r="D513" s="679">
        <v>4640242180595</v>
      </c>
      <c r="E513" s="679"/>
      <c r="F513" s="62">
        <v>0.7</v>
      </c>
      <c r="G513" s="37">
        <v>6</v>
      </c>
      <c r="H513" s="62">
        <v>4.2</v>
      </c>
      <c r="I513" s="62">
        <v>4.45</v>
      </c>
      <c r="J513" s="37">
        <v>132</v>
      </c>
      <c r="K513" s="37" t="s">
        <v>140</v>
      </c>
      <c r="L513" s="37" t="s">
        <v>46</v>
      </c>
      <c r="M513" s="38" t="s">
        <v>81</v>
      </c>
      <c r="N513" s="38"/>
      <c r="O513" s="37">
        <v>40</v>
      </c>
      <c r="P513" s="94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81"/>
      <c r="R513" s="681"/>
      <c r="S513" s="681"/>
      <c r="T513" s="68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811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87"/>
      <c r="B514" s="687"/>
      <c r="C514" s="687"/>
      <c r="D514" s="687"/>
      <c r="E514" s="687"/>
      <c r="F514" s="687"/>
      <c r="G514" s="687"/>
      <c r="H514" s="687"/>
      <c r="I514" s="687"/>
      <c r="J514" s="687"/>
      <c r="K514" s="687"/>
      <c r="L514" s="687"/>
      <c r="M514" s="687"/>
      <c r="N514" s="687"/>
      <c r="O514" s="688"/>
      <c r="P514" s="684" t="s">
        <v>40</v>
      </c>
      <c r="Q514" s="685"/>
      <c r="R514" s="685"/>
      <c r="S514" s="685"/>
      <c r="T514" s="685"/>
      <c r="U514" s="685"/>
      <c r="V514" s="686"/>
      <c r="W514" s="42" t="s">
        <v>39</v>
      </c>
      <c r="X514" s="43">
        <f>IFERROR(X512/H512,"0")+IFERROR(X513/H513,"0")</f>
        <v>0</v>
      </c>
      <c r="Y514" s="43">
        <f>IFERROR(Y512/H512,"0")+IFERROR(Y513/H513,"0")</f>
        <v>0</v>
      </c>
      <c r="Z514" s="43">
        <f>IFERROR(IF(Z512="",0,Z512),"0")+IFERROR(IF(Z513="",0,Z513),"0")</f>
        <v>0</v>
      </c>
      <c r="AA514" s="67"/>
      <c r="AB514" s="67"/>
      <c r="AC514" s="67"/>
    </row>
    <row r="515" spans="1:68" hidden="1" x14ac:dyDescent="0.2">
      <c r="A515" s="687"/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8"/>
      <c r="P515" s="684" t="s">
        <v>40</v>
      </c>
      <c r="Q515" s="685"/>
      <c r="R515" s="685"/>
      <c r="S515" s="685"/>
      <c r="T515" s="685"/>
      <c r="U515" s="685"/>
      <c r="V515" s="686"/>
      <c r="W515" s="42" t="s">
        <v>0</v>
      </c>
      <c r="X515" s="43">
        <f>IFERROR(SUM(X512:X513),"0")</f>
        <v>0</v>
      </c>
      <c r="Y515" s="43">
        <f>IFERROR(SUM(Y512:Y513),"0")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78" t="s">
        <v>86</v>
      </c>
      <c r="B516" s="678"/>
      <c r="C516" s="678"/>
      <c r="D516" s="678"/>
      <c r="E516" s="678"/>
      <c r="F516" s="678"/>
      <c r="G516" s="678"/>
      <c r="H516" s="678"/>
      <c r="I516" s="678"/>
      <c r="J516" s="678"/>
      <c r="K516" s="678"/>
      <c r="L516" s="678"/>
      <c r="M516" s="678"/>
      <c r="N516" s="678"/>
      <c r="O516" s="678"/>
      <c r="P516" s="678"/>
      <c r="Q516" s="678"/>
      <c r="R516" s="678"/>
      <c r="S516" s="678"/>
      <c r="T516" s="678"/>
      <c r="U516" s="678"/>
      <c r="V516" s="678"/>
      <c r="W516" s="678"/>
      <c r="X516" s="678"/>
      <c r="Y516" s="678"/>
      <c r="Z516" s="678"/>
      <c r="AA516" s="66"/>
      <c r="AB516" s="66"/>
      <c r="AC516" s="80"/>
    </row>
    <row r="517" spans="1:68" ht="27" customHeight="1" x14ac:dyDescent="0.25">
      <c r="A517" s="63" t="s">
        <v>812</v>
      </c>
      <c r="B517" s="63" t="s">
        <v>813</v>
      </c>
      <c r="C517" s="36">
        <v>4301052043</v>
      </c>
      <c r="D517" s="679">
        <v>4640242180533</v>
      </c>
      <c r="E517" s="679"/>
      <c r="F517" s="62">
        <v>1.5</v>
      </c>
      <c r="G517" s="37">
        <v>6</v>
      </c>
      <c r="H517" s="62">
        <v>9</v>
      </c>
      <c r="I517" s="62">
        <v>9.4939999999999998</v>
      </c>
      <c r="J517" s="37">
        <v>64</v>
      </c>
      <c r="K517" s="37" t="s">
        <v>133</v>
      </c>
      <c r="L517" s="37" t="s">
        <v>46</v>
      </c>
      <c r="M517" s="38" t="s">
        <v>90</v>
      </c>
      <c r="N517" s="38"/>
      <c r="O517" s="37">
        <v>45</v>
      </c>
      <c r="P517" s="9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81"/>
      <c r="R517" s="681"/>
      <c r="S517" s="681"/>
      <c r="T517" s="682"/>
      <c r="U517" s="39" t="s">
        <v>46</v>
      </c>
      <c r="V517" s="39" t="s">
        <v>46</v>
      </c>
      <c r="W517" s="40" t="s">
        <v>0</v>
      </c>
      <c r="X517" s="58">
        <v>1400</v>
      </c>
      <c r="Y517" s="55">
        <f>IFERROR(IF(X517="",0,CEILING((X517/$H517),1)*$H517),"")</f>
        <v>1404</v>
      </c>
      <c r="Z517" s="41">
        <f>IFERROR(IF(Y517=0,"",ROUNDUP(Y517/H517,0)*0.01898),"")</f>
        <v>2.96088</v>
      </c>
      <c r="AA517" s="68" t="s">
        <v>46</v>
      </c>
      <c r="AB517" s="69" t="s">
        <v>46</v>
      </c>
      <c r="AC517" s="600" t="s">
        <v>814</v>
      </c>
      <c r="AG517" s="78"/>
      <c r="AJ517" s="84" t="s">
        <v>46</v>
      </c>
      <c r="AK517" s="84">
        <v>0</v>
      </c>
      <c r="BB517" s="601" t="s">
        <v>67</v>
      </c>
      <c r="BM517" s="78">
        <f>IFERROR(X517*I517/H517,"0")</f>
        <v>1476.8444444444444</v>
      </c>
      <c r="BN517" s="78">
        <f>IFERROR(Y517*I517/H517,"0")</f>
        <v>1481.0639999999999</v>
      </c>
      <c r="BO517" s="78">
        <f>IFERROR(1/J517*(X517/H517),"0")</f>
        <v>2.4305555555555554</v>
      </c>
      <c r="BP517" s="78">
        <f>IFERROR(1/J517*(Y517/H517),"0")</f>
        <v>2.4375</v>
      </c>
    </row>
    <row r="518" spans="1:68" x14ac:dyDescent="0.2">
      <c r="A518" s="687"/>
      <c r="B518" s="687"/>
      <c r="C518" s="687"/>
      <c r="D518" s="687"/>
      <c r="E518" s="687"/>
      <c r="F518" s="687"/>
      <c r="G518" s="687"/>
      <c r="H518" s="687"/>
      <c r="I518" s="687"/>
      <c r="J518" s="687"/>
      <c r="K518" s="687"/>
      <c r="L518" s="687"/>
      <c r="M518" s="687"/>
      <c r="N518" s="687"/>
      <c r="O518" s="688"/>
      <c r="P518" s="684" t="s">
        <v>40</v>
      </c>
      <c r="Q518" s="685"/>
      <c r="R518" s="685"/>
      <c r="S518" s="685"/>
      <c r="T518" s="685"/>
      <c r="U518" s="685"/>
      <c r="V518" s="686"/>
      <c r="W518" s="42" t="s">
        <v>39</v>
      </c>
      <c r="X518" s="43">
        <f>IFERROR(X517/H517,"0")</f>
        <v>155.55555555555554</v>
      </c>
      <c r="Y518" s="43">
        <f>IFERROR(Y517/H517,"0")</f>
        <v>156</v>
      </c>
      <c r="Z518" s="43">
        <f>IFERROR(IF(Z517="",0,Z517),"0")</f>
        <v>2.96088</v>
      </c>
      <c r="AA518" s="67"/>
      <c r="AB518" s="67"/>
      <c r="AC518" s="67"/>
    </row>
    <row r="519" spans="1:68" x14ac:dyDescent="0.2">
      <c r="A519" s="687"/>
      <c r="B519" s="687"/>
      <c r="C519" s="687"/>
      <c r="D519" s="687"/>
      <c r="E519" s="687"/>
      <c r="F519" s="687"/>
      <c r="G519" s="687"/>
      <c r="H519" s="687"/>
      <c r="I519" s="687"/>
      <c r="J519" s="687"/>
      <c r="K519" s="687"/>
      <c r="L519" s="687"/>
      <c r="M519" s="687"/>
      <c r="N519" s="687"/>
      <c r="O519" s="688"/>
      <c r="P519" s="684" t="s">
        <v>40</v>
      </c>
      <c r="Q519" s="685"/>
      <c r="R519" s="685"/>
      <c r="S519" s="685"/>
      <c r="T519" s="685"/>
      <c r="U519" s="685"/>
      <c r="V519" s="686"/>
      <c r="W519" s="42" t="s">
        <v>0</v>
      </c>
      <c r="X519" s="43">
        <f>IFERROR(SUM(X517:X517),"0")</f>
        <v>1400</v>
      </c>
      <c r="Y519" s="43">
        <f>IFERROR(SUM(Y517:Y517),"0")</f>
        <v>1404</v>
      </c>
      <c r="Z519" s="42"/>
      <c r="AA519" s="67"/>
      <c r="AB519" s="67"/>
      <c r="AC519" s="67"/>
    </row>
    <row r="520" spans="1:68" ht="14.25" hidden="1" customHeight="1" x14ac:dyDescent="0.25">
      <c r="A520" s="678" t="s">
        <v>180</v>
      </c>
      <c r="B520" s="678"/>
      <c r="C520" s="678"/>
      <c r="D520" s="678"/>
      <c r="E520" s="678"/>
      <c r="F520" s="678"/>
      <c r="G520" s="678"/>
      <c r="H520" s="678"/>
      <c r="I520" s="678"/>
      <c r="J520" s="678"/>
      <c r="K520" s="678"/>
      <c r="L520" s="678"/>
      <c r="M520" s="678"/>
      <c r="N520" s="678"/>
      <c r="O520" s="678"/>
      <c r="P520" s="678"/>
      <c r="Q520" s="678"/>
      <c r="R520" s="678"/>
      <c r="S520" s="678"/>
      <c r="T520" s="678"/>
      <c r="U520" s="678"/>
      <c r="V520" s="678"/>
      <c r="W520" s="678"/>
      <c r="X520" s="678"/>
      <c r="Y520" s="678"/>
      <c r="Z520" s="678"/>
      <c r="AA520" s="66"/>
      <c r="AB520" s="66"/>
      <c r="AC520" s="80"/>
    </row>
    <row r="521" spans="1:68" ht="27" hidden="1" customHeight="1" x14ac:dyDescent="0.25">
      <c r="A521" s="63" t="s">
        <v>815</v>
      </c>
      <c r="B521" s="63" t="s">
        <v>816</v>
      </c>
      <c r="C521" s="36">
        <v>4301060535</v>
      </c>
      <c r="D521" s="679">
        <v>4640242180120</v>
      </c>
      <c r="E521" s="679"/>
      <c r="F521" s="62">
        <v>1.5</v>
      </c>
      <c r="G521" s="37">
        <v>6</v>
      </c>
      <c r="H521" s="62">
        <v>9</v>
      </c>
      <c r="I521" s="62">
        <v>9.41</v>
      </c>
      <c r="J521" s="37">
        <v>64</v>
      </c>
      <c r="K521" s="37" t="s">
        <v>133</v>
      </c>
      <c r="L521" s="37" t="s">
        <v>46</v>
      </c>
      <c r="M521" s="38" t="s">
        <v>90</v>
      </c>
      <c r="N521" s="38"/>
      <c r="O521" s="37">
        <v>40</v>
      </c>
      <c r="P521" s="94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81"/>
      <c r="R521" s="681"/>
      <c r="S521" s="681"/>
      <c r="T521" s="68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2" t="s">
        <v>817</v>
      </c>
      <c r="AG521" s="78"/>
      <c r="AJ521" s="84" t="s">
        <v>46</v>
      </c>
      <c r="AK521" s="84">
        <v>0</v>
      </c>
      <c r="BB521" s="60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27" hidden="1" customHeight="1" x14ac:dyDescent="0.25">
      <c r="A522" s="63" t="s">
        <v>818</v>
      </c>
      <c r="B522" s="63" t="s">
        <v>819</v>
      </c>
      <c r="C522" s="36">
        <v>4301060536</v>
      </c>
      <c r="D522" s="679">
        <v>4640242180137</v>
      </c>
      <c r="E522" s="679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133</v>
      </c>
      <c r="L522" s="37" t="s">
        <v>46</v>
      </c>
      <c r="M522" s="38" t="s">
        <v>90</v>
      </c>
      <c r="N522" s="38"/>
      <c r="O522" s="37">
        <v>40</v>
      </c>
      <c r="P522" s="94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81"/>
      <c r="R522" s="681"/>
      <c r="S522" s="681"/>
      <c r="T522" s="682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820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idden="1" x14ac:dyDescent="0.2">
      <c r="A523" s="687"/>
      <c r="B523" s="687"/>
      <c r="C523" s="687"/>
      <c r="D523" s="687"/>
      <c r="E523" s="687"/>
      <c r="F523" s="687"/>
      <c r="G523" s="687"/>
      <c r="H523" s="687"/>
      <c r="I523" s="687"/>
      <c r="J523" s="687"/>
      <c r="K523" s="687"/>
      <c r="L523" s="687"/>
      <c r="M523" s="687"/>
      <c r="N523" s="687"/>
      <c r="O523" s="688"/>
      <c r="P523" s="684" t="s">
        <v>40</v>
      </c>
      <c r="Q523" s="685"/>
      <c r="R523" s="685"/>
      <c r="S523" s="685"/>
      <c r="T523" s="685"/>
      <c r="U523" s="685"/>
      <c r="V523" s="686"/>
      <c r="W523" s="42" t="s">
        <v>39</v>
      </c>
      <c r="X523" s="43">
        <f>IFERROR(X521/H521,"0")+IFERROR(X522/H522,"0")</f>
        <v>0</v>
      </c>
      <c r="Y523" s="43">
        <f>IFERROR(Y521/H521,"0")+IFERROR(Y522/H522,"0")</f>
        <v>0</v>
      </c>
      <c r="Z523" s="43">
        <f>IFERROR(IF(Z521="",0,Z521),"0")+IFERROR(IF(Z522="",0,Z522),"0")</f>
        <v>0</v>
      </c>
      <c r="AA523" s="67"/>
      <c r="AB523" s="67"/>
      <c r="AC523" s="67"/>
    </row>
    <row r="524" spans="1:68" hidden="1" x14ac:dyDescent="0.2">
      <c r="A524" s="687"/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8"/>
      <c r="P524" s="684" t="s">
        <v>40</v>
      </c>
      <c r="Q524" s="685"/>
      <c r="R524" s="685"/>
      <c r="S524" s="685"/>
      <c r="T524" s="685"/>
      <c r="U524" s="685"/>
      <c r="V524" s="686"/>
      <c r="W524" s="42" t="s">
        <v>0</v>
      </c>
      <c r="X524" s="43">
        <f>IFERROR(SUM(X521:X522),"0")</f>
        <v>0</v>
      </c>
      <c r="Y524" s="43">
        <f>IFERROR(SUM(Y521:Y522),"0")</f>
        <v>0</v>
      </c>
      <c r="Z524" s="42"/>
      <c r="AA524" s="67"/>
      <c r="AB524" s="67"/>
      <c r="AC524" s="67"/>
    </row>
    <row r="525" spans="1:68" ht="16.5" hidden="1" customHeight="1" x14ac:dyDescent="0.25">
      <c r="A525" s="677" t="s">
        <v>821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5"/>
      <c r="AB525" s="65"/>
      <c r="AC525" s="79"/>
    </row>
    <row r="526" spans="1:68" ht="14.25" hidden="1" customHeight="1" x14ac:dyDescent="0.25">
      <c r="A526" s="678" t="s">
        <v>163</v>
      </c>
      <c r="B526" s="678"/>
      <c r="C526" s="678"/>
      <c r="D526" s="678"/>
      <c r="E526" s="678"/>
      <c r="F526" s="678"/>
      <c r="G526" s="678"/>
      <c r="H526" s="678"/>
      <c r="I526" s="678"/>
      <c r="J526" s="678"/>
      <c r="K526" s="678"/>
      <c r="L526" s="678"/>
      <c r="M526" s="678"/>
      <c r="N526" s="678"/>
      <c r="O526" s="678"/>
      <c r="P526" s="678"/>
      <c r="Q526" s="678"/>
      <c r="R526" s="678"/>
      <c r="S526" s="678"/>
      <c r="T526" s="678"/>
      <c r="U526" s="678"/>
      <c r="V526" s="678"/>
      <c r="W526" s="678"/>
      <c r="X526" s="678"/>
      <c r="Y526" s="678"/>
      <c r="Z526" s="678"/>
      <c r="AA526" s="66"/>
      <c r="AB526" s="66"/>
      <c r="AC526" s="80"/>
    </row>
    <row r="527" spans="1:68" ht="27" hidden="1" customHeight="1" x14ac:dyDescent="0.25">
      <c r="A527" s="63" t="s">
        <v>822</v>
      </c>
      <c r="B527" s="63" t="s">
        <v>823</v>
      </c>
      <c r="C527" s="36">
        <v>4301020428</v>
      </c>
      <c r="D527" s="679">
        <v>4640242180090</v>
      </c>
      <c r="E527" s="679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133</v>
      </c>
      <c r="L527" s="37" t="s">
        <v>46</v>
      </c>
      <c r="M527" s="38" t="s">
        <v>132</v>
      </c>
      <c r="N527" s="38"/>
      <c r="O527" s="37">
        <v>50</v>
      </c>
      <c r="P527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81"/>
      <c r="R527" s="681"/>
      <c r="S527" s="681"/>
      <c r="T527" s="682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06" t="s">
        <v>824</v>
      </c>
      <c r="AG527" s="78"/>
      <c r="AJ527" s="84" t="s">
        <v>46</v>
      </c>
      <c r="AK527" s="84">
        <v>0</v>
      </c>
      <c r="BB527" s="607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hidden="1" x14ac:dyDescent="0.2">
      <c r="A528" s="687"/>
      <c r="B528" s="687"/>
      <c r="C528" s="687"/>
      <c r="D528" s="687"/>
      <c r="E528" s="687"/>
      <c r="F528" s="687"/>
      <c r="G528" s="687"/>
      <c r="H528" s="687"/>
      <c r="I528" s="687"/>
      <c r="J528" s="687"/>
      <c r="K528" s="687"/>
      <c r="L528" s="687"/>
      <c r="M528" s="687"/>
      <c r="N528" s="687"/>
      <c r="O528" s="688"/>
      <c r="P528" s="684" t="s">
        <v>40</v>
      </c>
      <c r="Q528" s="685"/>
      <c r="R528" s="685"/>
      <c r="S528" s="685"/>
      <c r="T528" s="685"/>
      <c r="U528" s="685"/>
      <c r="V528" s="686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32" hidden="1" x14ac:dyDescent="0.2">
      <c r="A529" s="687"/>
      <c r="B529" s="687"/>
      <c r="C529" s="687"/>
      <c r="D529" s="687"/>
      <c r="E529" s="687"/>
      <c r="F529" s="687"/>
      <c r="G529" s="687"/>
      <c r="H529" s="687"/>
      <c r="I529" s="687"/>
      <c r="J529" s="687"/>
      <c r="K529" s="687"/>
      <c r="L529" s="687"/>
      <c r="M529" s="687"/>
      <c r="N529" s="687"/>
      <c r="O529" s="688"/>
      <c r="P529" s="684" t="s">
        <v>40</v>
      </c>
      <c r="Q529" s="685"/>
      <c r="R529" s="685"/>
      <c r="S529" s="685"/>
      <c r="T529" s="685"/>
      <c r="U529" s="685"/>
      <c r="V529" s="686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32" ht="15" customHeight="1" x14ac:dyDescent="0.2">
      <c r="A530" s="687"/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951"/>
      <c r="P530" s="948" t="s">
        <v>33</v>
      </c>
      <c r="Q530" s="949"/>
      <c r="R530" s="949"/>
      <c r="S530" s="949"/>
      <c r="T530" s="949"/>
      <c r="U530" s="949"/>
      <c r="V530" s="950"/>
      <c r="W530" s="42" t="s">
        <v>0</v>
      </c>
      <c r="X530" s="43">
        <f>IFERROR(X25+X34+X38+X47+X56+X67+X74+X79+X84+X92+X99+X110+X120+X127+X131+X137+X142+X147+X155+X161+X165+X179+X185+X190+X194+X203+X208+X225+X232+X238+X242+X248+X253+X264+X279+X284+X295+X299+X303+X309+X318+X325+X334+X339+X346+X356+X366+X373+X379+X386+X392+X399+X412+X418+X423+X427+X433+X437+X443+X454+X459+X464+X470+X484+X490+X500+X506+X510+X515+X519+X524+X529,"0")</f>
        <v>16309.5</v>
      </c>
      <c r="Y530" s="43">
        <f>IFERROR(Y25+Y34+Y38+Y47+Y56+Y67+Y74+Y79+Y84+Y92+Y99+Y110+Y120+Y127+Y131+Y137+Y142+Y147+Y155+Y161+Y165+Y179+Y185+Y190+Y194+Y203+Y208+Y225+Y232+Y238+Y242+Y248+Y253+Y264+Y279+Y284+Y295+Y299+Y303+Y309+Y318+Y325+Y334+Y339+Y346+Y356+Y366+Y373+Y379+Y386+Y392+Y399+Y412+Y418+Y423+Y427+Y433+Y437+Y443+Y454+Y459+Y464+Y470+Y484+Y490+Y500+Y506+Y510+Y515+Y519+Y524+Y529,"0")</f>
        <v>16463.16</v>
      </c>
      <c r="Z530" s="42"/>
      <c r="AA530" s="67"/>
      <c r="AB530" s="67"/>
      <c r="AC530" s="67"/>
    </row>
    <row r="531" spans="1:32" x14ac:dyDescent="0.2">
      <c r="A531" s="687"/>
      <c r="B531" s="687"/>
      <c r="C531" s="687"/>
      <c r="D531" s="687"/>
      <c r="E531" s="687"/>
      <c r="F531" s="687"/>
      <c r="G531" s="687"/>
      <c r="H531" s="687"/>
      <c r="I531" s="687"/>
      <c r="J531" s="687"/>
      <c r="K531" s="687"/>
      <c r="L531" s="687"/>
      <c r="M531" s="687"/>
      <c r="N531" s="687"/>
      <c r="O531" s="951"/>
      <c r="P531" s="948" t="s">
        <v>34</v>
      </c>
      <c r="Q531" s="949"/>
      <c r="R531" s="949"/>
      <c r="S531" s="949"/>
      <c r="T531" s="949"/>
      <c r="U531" s="949"/>
      <c r="V531" s="950"/>
      <c r="W531" s="42" t="s">
        <v>0</v>
      </c>
      <c r="X531" s="43">
        <f>IFERROR(SUM(BM22:BM527),"0")</f>
        <v>17530.980267110495</v>
      </c>
      <c r="Y531" s="43">
        <f>IFERROR(SUM(BN22:BN527),"0")</f>
        <v>17697.781999999999</v>
      </c>
      <c r="Z531" s="42"/>
      <c r="AA531" s="67"/>
      <c r="AB531" s="67"/>
      <c r="AC531" s="67"/>
    </row>
    <row r="532" spans="1:32" x14ac:dyDescent="0.2">
      <c r="A532" s="687"/>
      <c r="B532" s="687"/>
      <c r="C532" s="687"/>
      <c r="D532" s="687"/>
      <c r="E532" s="687"/>
      <c r="F532" s="687"/>
      <c r="G532" s="687"/>
      <c r="H532" s="687"/>
      <c r="I532" s="687"/>
      <c r="J532" s="687"/>
      <c r="K532" s="687"/>
      <c r="L532" s="687"/>
      <c r="M532" s="687"/>
      <c r="N532" s="687"/>
      <c r="O532" s="951"/>
      <c r="P532" s="948" t="s">
        <v>35</v>
      </c>
      <c r="Q532" s="949"/>
      <c r="R532" s="949"/>
      <c r="S532" s="949"/>
      <c r="T532" s="949"/>
      <c r="U532" s="949"/>
      <c r="V532" s="950"/>
      <c r="W532" s="42" t="s">
        <v>20</v>
      </c>
      <c r="X532" s="44">
        <f>ROUNDUP(SUM(BO22:BO527),0)</f>
        <v>32</v>
      </c>
      <c r="Y532" s="44">
        <f>ROUNDUP(SUM(BP22:BP527),0)</f>
        <v>32</v>
      </c>
      <c r="Z532" s="42"/>
      <c r="AA532" s="67"/>
      <c r="AB532" s="67"/>
      <c r="AC532" s="67"/>
    </row>
    <row r="533" spans="1:32" x14ac:dyDescent="0.2">
      <c r="A533" s="687"/>
      <c r="B533" s="687"/>
      <c r="C533" s="687"/>
      <c r="D533" s="687"/>
      <c r="E533" s="687"/>
      <c r="F533" s="687"/>
      <c r="G533" s="687"/>
      <c r="H533" s="687"/>
      <c r="I533" s="687"/>
      <c r="J533" s="687"/>
      <c r="K533" s="687"/>
      <c r="L533" s="687"/>
      <c r="M533" s="687"/>
      <c r="N533" s="687"/>
      <c r="O533" s="951"/>
      <c r="P533" s="948" t="s">
        <v>36</v>
      </c>
      <c r="Q533" s="949"/>
      <c r="R533" s="949"/>
      <c r="S533" s="949"/>
      <c r="T533" s="949"/>
      <c r="U533" s="949"/>
      <c r="V533" s="950"/>
      <c r="W533" s="42" t="s">
        <v>0</v>
      </c>
      <c r="X533" s="43">
        <f>GrossWeightTotal+PalletQtyTotal*25</f>
        <v>18330.980267110495</v>
      </c>
      <c r="Y533" s="43">
        <f>GrossWeightTotalR+PalletQtyTotalR*25</f>
        <v>18497.781999999999</v>
      </c>
      <c r="Z533" s="42"/>
      <c r="AA533" s="67"/>
      <c r="AB533" s="67"/>
      <c r="AC533" s="67"/>
    </row>
    <row r="534" spans="1:32" x14ac:dyDescent="0.2">
      <c r="A534" s="687"/>
      <c r="B534" s="687"/>
      <c r="C534" s="687"/>
      <c r="D534" s="687"/>
      <c r="E534" s="687"/>
      <c r="F534" s="687"/>
      <c r="G534" s="687"/>
      <c r="H534" s="687"/>
      <c r="I534" s="687"/>
      <c r="J534" s="687"/>
      <c r="K534" s="687"/>
      <c r="L534" s="687"/>
      <c r="M534" s="687"/>
      <c r="N534" s="687"/>
      <c r="O534" s="951"/>
      <c r="P534" s="948" t="s">
        <v>37</v>
      </c>
      <c r="Q534" s="949"/>
      <c r="R534" s="949"/>
      <c r="S534" s="949"/>
      <c r="T534" s="949"/>
      <c r="U534" s="949"/>
      <c r="V534" s="950"/>
      <c r="W534" s="42" t="s">
        <v>20</v>
      </c>
      <c r="X534" s="43">
        <f>IFERROR(X24+X33+X37+X46+X55+X66+X73+X78+X83+X91+X98+X109+X119+X126+X130+X136+X141+X146+X154+X160+X164+X178+X184+X189+X193+X202+X207+X224+X231+X237+X241+X247+X252+X263+X278+X283+X294+X298+X302+X308+X317+X324+X333+X338+X345+X355+X365+X372+X378+X385+X391+X398+X411+X417+X422+X426+X432+X436+X442+X453+X458+X463+X469+X483+X489+X499+X505+X509+X514+X518+X523+X528,"0")</f>
        <v>4020.5800228932417</v>
      </c>
      <c r="Y534" s="43">
        <f>IFERROR(Y24+Y33+Y37+Y46+Y55+Y66+Y73+Y78+Y83+Y91+Y98+Y109+Y119+Y126+Y130+Y136+Y141+Y146+Y154+Y160+Y164+Y178+Y184+Y189+Y193+Y202+Y207+Y224+Y231+Y237+Y241+Y247+Y252+Y263+Y278+Y283+Y294+Y298+Y302+Y308+Y317+Y324+Y333+Y338+Y345+Y355+Y365+Y372+Y378+Y385+Y391+Y398+Y411+Y417+Y422+Y426+Y432+Y436+Y442+Y453+Y458+Y463+Y469+Y483+Y489+Y499+Y505+Y509+Y514+Y518+Y523+Y528,"0")</f>
        <v>4050</v>
      </c>
      <c r="Z534" s="42"/>
      <c r="AA534" s="67"/>
      <c r="AB534" s="67"/>
      <c r="AC534" s="67"/>
    </row>
    <row r="535" spans="1:32" ht="14.25" hidden="1" x14ac:dyDescent="0.2">
      <c r="A535" s="687"/>
      <c r="B535" s="687"/>
      <c r="C535" s="687"/>
      <c r="D535" s="687"/>
      <c r="E535" s="687"/>
      <c r="F535" s="687"/>
      <c r="G535" s="687"/>
      <c r="H535" s="687"/>
      <c r="I535" s="687"/>
      <c r="J535" s="687"/>
      <c r="K535" s="687"/>
      <c r="L535" s="687"/>
      <c r="M535" s="687"/>
      <c r="N535" s="687"/>
      <c r="O535" s="951"/>
      <c r="P535" s="948" t="s">
        <v>38</v>
      </c>
      <c r="Q535" s="949"/>
      <c r="R535" s="949"/>
      <c r="S535" s="949"/>
      <c r="T535" s="949"/>
      <c r="U535" s="949"/>
      <c r="V535" s="950"/>
      <c r="W535" s="45" t="s">
        <v>52</v>
      </c>
      <c r="X535" s="42"/>
      <c r="Y535" s="42"/>
      <c r="Z535" s="42">
        <f>IFERROR(Z24+Z33+Z37+Z46+Z55+Z66+Z73+Z78+Z83+Z91+Z98+Z109+Z119+Z126+Z130+Z136+Z141+Z146+Z154+Z160+Z164+Z178+Z184+Z189+Z193+Z202+Z207+Z224+Z231+Z237+Z241+Z247+Z252+Z263+Z278+Z283+Z294+Z298+Z302+Z308+Z317+Z324+Z333+Z338+Z345+Z355+Z365+Z372+Z378+Z385+Z391+Z398+Z411+Z417+Z422+Z426+Z432+Z436+Z442+Z453+Z458+Z463+Z469+Z483+Z489+Z499+Z505+Z509+Z514+Z518+Z523+Z528,"0")</f>
        <v>37.97334</v>
      </c>
      <c r="AA535" s="67"/>
      <c r="AB535" s="67"/>
      <c r="AC535" s="67"/>
    </row>
    <row r="536" spans="1:32" ht="13.5" thickBot="1" x14ac:dyDescent="0.25"/>
    <row r="537" spans="1:32" ht="27" thickTop="1" thickBot="1" x14ac:dyDescent="0.25">
      <c r="A537" s="46" t="s">
        <v>9</v>
      </c>
      <c r="B537" s="85" t="s">
        <v>76</v>
      </c>
      <c r="C537" s="85" t="s">
        <v>45</v>
      </c>
      <c r="D537" s="954" t="s">
        <v>126</v>
      </c>
      <c r="E537" s="954" t="s">
        <v>126</v>
      </c>
      <c r="F537" s="954" t="s">
        <v>126</v>
      </c>
      <c r="G537" s="954" t="s">
        <v>126</v>
      </c>
      <c r="H537" s="954" t="s">
        <v>126</v>
      </c>
      <c r="I537" s="954" t="s">
        <v>126</v>
      </c>
      <c r="J537" s="954" t="s">
        <v>126</v>
      </c>
      <c r="K537" s="954" t="s">
        <v>335</v>
      </c>
      <c r="L537" s="954" t="s">
        <v>335</v>
      </c>
      <c r="M537" s="954" t="s">
        <v>335</v>
      </c>
      <c r="N537" s="955"/>
      <c r="O537" s="954" t="s">
        <v>335</v>
      </c>
      <c r="P537" s="954" t="s">
        <v>335</v>
      </c>
      <c r="Q537" s="954" t="s">
        <v>335</v>
      </c>
      <c r="R537" s="954" t="s">
        <v>335</v>
      </c>
      <c r="S537" s="954" t="s">
        <v>335</v>
      </c>
      <c r="T537" s="954" t="s">
        <v>335</v>
      </c>
      <c r="U537" s="954" t="s">
        <v>335</v>
      </c>
      <c r="V537" s="954" t="s">
        <v>657</v>
      </c>
      <c r="W537" s="954" t="s">
        <v>657</v>
      </c>
      <c r="X537" s="954" t="s">
        <v>717</v>
      </c>
      <c r="Y537" s="954" t="s">
        <v>717</v>
      </c>
      <c r="Z537" s="85" t="s">
        <v>753</v>
      </c>
      <c r="AA537" s="954" t="s">
        <v>800</v>
      </c>
      <c r="AB537" s="954" t="s">
        <v>800</v>
      </c>
      <c r="AC537" s="60"/>
      <c r="AF537" s="1"/>
    </row>
    <row r="538" spans="1:32" ht="14.25" customHeight="1" thickTop="1" x14ac:dyDescent="0.2">
      <c r="A538" s="952" t="s">
        <v>10</v>
      </c>
      <c r="B538" s="954" t="s">
        <v>76</v>
      </c>
      <c r="C538" s="954" t="s">
        <v>113</v>
      </c>
      <c r="D538" s="954" t="s">
        <v>127</v>
      </c>
      <c r="E538" s="954" t="s">
        <v>143</v>
      </c>
      <c r="F538" s="954" t="s">
        <v>187</v>
      </c>
      <c r="G538" s="954" t="s">
        <v>208</v>
      </c>
      <c r="H538" s="954" t="s">
        <v>252</v>
      </c>
      <c r="I538" s="954" t="s">
        <v>264</v>
      </c>
      <c r="J538" s="954" t="s">
        <v>126</v>
      </c>
      <c r="K538" s="954" t="s">
        <v>336</v>
      </c>
      <c r="L538" s="954" t="s">
        <v>348</v>
      </c>
      <c r="M538" s="954" t="s">
        <v>415</v>
      </c>
      <c r="N538" s="1"/>
      <c r="O538" s="954" t="s">
        <v>483</v>
      </c>
      <c r="P538" s="954" t="s">
        <v>516</v>
      </c>
      <c r="Q538" s="954" t="s">
        <v>532</v>
      </c>
      <c r="R538" s="954" t="s">
        <v>541</v>
      </c>
      <c r="S538" s="954" t="s">
        <v>562</v>
      </c>
      <c r="T538" s="954" t="s">
        <v>572</v>
      </c>
      <c r="U538" s="954" t="s">
        <v>647</v>
      </c>
      <c r="V538" s="954" t="s">
        <v>658</v>
      </c>
      <c r="W538" s="954" t="s">
        <v>701</v>
      </c>
      <c r="X538" s="954" t="s">
        <v>718</v>
      </c>
      <c r="Y538" s="954" t="s">
        <v>741</v>
      </c>
      <c r="Z538" s="954" t="s">
        <v>753</v>
      </c>
      <c r="AA538" s="954" t="s">
        <v>800</v>
      </c>
      <c r="AB538" s="954" t="s">
        <v>821</v>
      </c>
      <c r="AC538" s="60"/>
      <c r="AF538" s="1"/>
    </row>
    <row r="539" spans="1:32" ht="13.5" thickBot="1" x14ac:dyDescent="0.25">
      <c r="A539" s="953"/>
      <c r="B539" s="954"/>
      <c r="C539" s="954"/>
      <c r="D539" s="954"/>
      <c r="E539" s="954"/>
      <c r="F539" s="954"/>
      <c r="G539" s="954"/>
      <c r="H539" s="954"/>
      <c r="I539" s="954"/>
      <c r="J539" s="954"/>
      <c r="K539" s="954"/>
      <c r="L539" s="954"/>
      <c r="M539" s="954"/>
      <c r="N539" s="1"/>
      <c r="O539" s="954"/>
      <c r="P539" s="954"/>
      <c r="Q539" s="954"/>
      <c r="R539" s="954"/>
      <c r="S539" s="954"/>
      <c r="T539" s="954"/>
      <c r="U539" s="954"/>
      <c r="V539" s="954"/>
      <c r="W539" s="954"/>
      <c r="X539" s="954"/>
      <c r="Y539" s="954"/>
      <c r="Z539" s="954"/>
      <c r="AA539" s="954"/>
      <c r="AB539" s="954"/>
      <c r="AC539" s="60"/>
      <c r="AF539" s="1"/>
    </row>
    <row r="540" spans="1:32" ht="18" thickTop="1" thickBot="1" x14ac:dyDescent="0.25">
      <c r="A540" s="46" t="s">
        <v>13</v>
      </c>
      <c r="B540" s="52">
        <f>IFERROR(Y22*1,"0")+IFERROR(Y23*1,"0")+IFERROR(Y27*1,"0")+IFERROR(Y28*1,"0")+IFERROR(Y29*1,"0")+IFERROR(Y30*1,"0")+IFERROR(Y31*1,"0")+IFERROR(Y32*1,"0")+IFERROR(Y36*1,"0")</f>
        <v>0</v>
      </c>
      <c r="C540" s="52">
        <f>IFERROR(Y42*1,"0")+IFERROR(Y43*1,"0")+IFERROR(Y44*1,"0")+IFERROR(Y45*1,"0")</f>
        <v>32.64</v>
      </c>
      <c r="D540" s="52">
        <f>IFERROR(Y51*1,"0")+IFERROR(Y52*1,"0")+IFERROR(Y53*1,"0")+IFERROR(Y54*1,"0")</f>
        <v>570.40000000000009</v>
      </c>
      <c r="E540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384.3</v>
      </c>
      <c r="F540" s="52">
        <f>IFERROR(Y87*1,"0")+IFERROR(Y88*1,"0")+IFERROR(Y89*1,"0")+IFERROR(Y90*1,"0")+IFERROR(Y94*1,"0")+IFERROR(Y95*1,"0")+IFERROR(Y96*1,"0")+IFERROR(Y97*1,"0")</f>
        <v>1107</v>
      </c>
      <c r="G540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1198.76</v>
      </c>
      <c r="H540" s="52">
        <f>IFERROR(Y134*1,"0")+IFERROR(Y135*1,"0")+IFERROR(Y139*1,"0")+IFERROR(Y140*1,"0")+IFERROR(Y144*1,"0")+IFERROR(Y145*1,"0")</f>
        <v>163.12</v>
      </c>
      <c r="I540" s="52">
        <f>IFERROR(Y150*1,"0")+IFERROR(Y151*1,"0")+IFERROR(Y152*1,"0")+IFERROR(Y153*1,"0")</f>
        <v>0</v>
      </c>
      <c r="J540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729.02</v>
      </c>
      <c r="K540" s="52">
        <f>IFERROR(Y198*1,"0")+IFERROR(Y199*1,"0")+IFERROR(Y200*1,"0")+IFERROR(Y201*1,"0")</f>
        <v>0</v>
      </c>
      <c r="L540" s="52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597.74000000000012</v>
      </c>
      <c r="M540" s="52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2702.4</v>
      </c>
      <c r="N540" s="1"/>
      <c r="O540" s="52">
        <f>IFERROR(Y287*1,"0")+IFERROR(Y288*1,"0")+IFERROR(Y289*1,"0")+IFERROR(Y290*1,"0")+IFERROR(Y291*1,"0")+IFERROR(Y292*1,"0")+IFERROR(Y293*1,"0")+IFERROR(Y297*1,"0")+IFERROR(Y301*1,"0")+IFERROR(Y305*1,"0")+IFERROR(Y306*1,"0")+IFERROR(Y307*1,"0")</f>
        <v>94.1</v>
      </c>
      <c r="P540" s="52">
        <f>IFERROR(Y312*1,"0")+IFERROR(Y313*1,"0")+IFERROR(Y314*1,"0")+IFERROR(Y315*1,"0")+IFERROR(Y316*1,"0")</f>
        <v>0</v>
      </c>
      <c r="Q540" s="52">
        <f>IFERROR(Y321*1,"0")+IFERROR(Y322*1,"0")+IFERROR(Y323*1,"0")</f>
        <v>108</v>
      </c>
      <c r="R540" s="52">
        <f>IFERROR(Y328*1,"0")+IFERROR(Y329*1,"0")+IFERROR(Y330*1,"0")+IFERROR(Y331*1,"0")+IFERROR(Y332*1,"0")+IFERROR(Y336*1,"0")+IFERROR(Y337*1,"0")</f>
        <v>0</v>
      </c>
      <c r="S540" s="52">
        <f>IFERROR(Y342*1,"0")+IFERROR(Y343*1,"0")+IFERROR(Y344*1,"0")</f>
        <v>1013.9999999999999</v>
      </c>
      <c r="T540" s="52">
        <f>IFERROR(Y349*1,"0")+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1053</v>
      </c>
      <c r="U540" s="52">
        <f>IFERROR(Y395*1,"0")+IFERROR(Y396*1,"0")+IFERROR(Y397*1,"0")</f>
        <v>1470</v>
      </c>
      <c r="V540" s="52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2330</v>
      </c>
      <c r="W540" s="52">
        <f>IFERROR(Y430*1,"0")+IFERROR(Y431*1,"0")+IFERROR(Y435*1,"0")+IFERROR(Y439*1,"0")+IFERROR(Y440*1,"0")+IFERROR(Y441*1,"0")</f>
        <v>183</v>
      </c>
      <c r="X540" s="52">
        <f>IFERROR(Y447*1,"0")+IFERROR(Y448*1,"0")+IFERROR(Y449*1,"0")+IFERROR(Y450*1,"0")+IFERROR(Y451*1,"0")+IFERROR(Y452*1,"0")+IFERROR(Y456*1,"0")+IFERROR(Y457*1,"0")</f>
        <v>0</v>
      </c>
      <c r="Y540" s="52">
        <f>IFERROR(Y462*1,"0")+IFERROR(Y466*1,"0")+IFERROR(Y467*1,"0")+IFERROR(Y468*1,"0")</f>
        <v>8.4</v>
      </c>
      <c r="Z540" s="52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1313.28</v>
      </c>
      <c r="AA540" s="52">
        <f>IFERROR(Y504*1,"0")+IFERROR(Y508*1,"0")+IFERROR(Y512*1,"0")+IFERROR(Y513*1,"0")+IFERROR(Y517*1,"0")+IFERROR(Y521*1,"0")+IFERROR(Y522*1,"0")</f>
        <v>1404</v>
      </c>
      <c r="AB540" s="52">
        <f>IFERROR(Y527*1,"0")</f>
        <v>0</v>
      </c>
      <c r="AC540" s="60"/>
      <c r="AF540" s="1"/>
    </row>
  </sheetData>
  <sheetProtection algorithmName="SHA-512" hashValue="bKNd/Qj3h4v5JqBaVCDmMIzKzGE5Jn84jpB3GVnwb9Vh+x4/VlG557S2dergU7UNs7VdHqKK2whNAWMI2MS7Pw==" saltValue="Rwv0pSxROZri5vEHBVT1ag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40,00"/>
        <filter val="1 400,00"/>
        <filter val="1 470,00"/>
        <filter val="1 500,00"/>
        <filter val="1 530,00"/>
        <filter val="1 820,00"/>
        <filter val="1,10"/>
        <filter val="10,00"/>
        <filter val="100,00"/>
        <filter val="102,00"/>
        <filter val="108,00"/>
        <filter val="116,67"/>
        <filter val="12,22"/>
        <filter val="12,80"/>
        <filter val="128,21"/>
        <filter val="128,39"/>
        <filter val="13,20"/>
        <filter val="130,00"/>
        <filter val="14,44"/>
        <filter val="140,00"/>
        <filter val="15,40"/>
        <filter val="150,00"/>
        <filter val="155,56"/>
        <filter val="157,50"/>
        <filter val="16 309,50"/>
        <filter val="16,67"/>
        <filter val="16,80"/>
        <filter val="160,00"/>
        <filter val="17 530,98"/>
        <filter val="17,00"/>
        <filter val="170,00"/>
        <filter val="18 330,98"/>
        <filter val="18,00"/>
        <filter val="180,00"/>
        <filter val="19,20"/>
        <filter val="197,53"/>
        <filter val="20,00"/>
        <filter val="200,00"/>
        <filter val="210,00"/>
        <filter val="22,50"/>
        <filter val="220,00"/>
        <filter val="225,00"/>
        <filter val="226,48"/>
        <filter val="234,05"/>
        <filter val="24,00"/>
        <filter val="24,50"/>
        <filter val="250,00"/>
        <filter val="253,70"/>
        <filter val="26,60"/>
        <filter val="260,00"/>
        <filter val="260,67"/>
        <filter val="28,00"/>
        <filter val="280,00"/>
        <filter val="29,67"/>
        <filter val="3,00"/>
        <filter val="3,33"/>
        <filter val="30,00"/>
        <filter val="300,00"/>
        <filter val="31,25"/>
        <filter val="315,00"/>
        <filter val="316,10"/>
        <filter val="32"/>
        <filter val="32,00"/>
        <filter val="35,00"/>
        <filter val="350,00"/>
        <filter val="36,00"/>
        <filter val="375,00"/>
        <filter val="4 020,58"/>
        <filter val="4,20"/>
        <filter val="40,00"/>
        <filter val="400,00"/>
        <filter val="405,00"/>
        <filter val="42,00"/>
        <filter val="424,00"/>
        <filter val="428,00"/>
        <filter val="43,89"/>
        <filter val="44,44"/>
        <filter val="440,00"/>
        <filter val="45,00"/>
        <filter val="450,00"/>
        <filter val="47,60"/>
        <filter val="495,00"/>
        <filter val="5,60"/>
        <filter val="50,00"/>
        <filter val="500,00"/>
        <filter val="522,70"/>
        <filter val="55,30"/>
        <filter val="560,00"/>
        <filter val="58,33"/>
        <filter val="581,00"/>
        <filter val="59,40"/>
        <filter val="6,67"/>
        <filter val="60,00"/>
        <filter val="607,47"/>
        <filter val="630,00"/>
        <filter val="68,00"/>
        <filter val="7,00"/>
        <filter val="7,50"/>
        <filter val="700,00"/>
        <filter val="71,00"/>
        <filter val="723,40"/>
        <filter val="75,00"/>
        <filter val="77,04"/>
        <filter val="78,00"/>
        <filter val="8,33"/>
        <filter val="82,54"/>
        <filter val="83,60"/>
        <filter val="840,00"/>
        <filter val="85,61"/>
        <filter val="855,00"/>
        <filter val="9,00"/>
        <filter val="9,60"/>
        <filter val="90,00"/>
      </filters>
    </filterColumn>
    <filterColumn colId="29" showButton="0"/>
    <filterColumn colId="30" showButton="0"/>
  </autoFilter>
  <dataConsolidate/>
  <mergeCells count="949"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A401:Z401"/>
    <mergeCell ref="D390:E390"/>
    <mergeCell ref="P390:T390"/>
    <mergeCell ref="P391:V391"/>
    <mergeCell ref="A391:O392"/>
    <mergeCell ref="P392:V392"/>
    <mergeCell ref="A393:Z393"/>
    <mergeCell ref="A394:Z394"/>
    <mergeCell ref="D395:E395"/>
    <mergeCell ref="P395:T395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60:E360"/>
    <mergeCell ref="P360:T360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A280:Z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D236:E236"/>
    <mergeCell ref="P236:T236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825</v>
      </c>
      <c r="H1" s="9"/>
    </row>
    <row r="3" spans="2:8" x14ac:dyDescent="0.2">
      <c r="B3" s="53" t="s">
        <v>826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827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828</v>
      </c>
      <c r="C6" s="53" t="s">
        <v>829</v>
      </c>
      <c r="D6" s="53" t="s">
        <v>830</v>
      </c>
      <c r="E6" s="53" t="s">
        <v>46</v>
      </c>
    </row>
    <row r="7" spans="2:8" x14ac:dyDescent="0.2">
      <c r="B7" s="53" t="s">
        <v>831</v>
      </c>
      <c r="C7" s="53" t="s">
        <v>832</v>
      </c>
      <c r="D7" s="53" t="s">
        <v>833</v>
      </c>
      <c r="E7" s="53" t="s">
        <v>46</v>
      </c>
    </row>
    <row r="9" spans="2:8" x14ac:dyDescent="0.2">
      <c r="B9" s="53" t="s">
        <v>834</v>
      </c>
      <c r="C9" s="53" t="s">
        <v>829</v>
      </c>
      <c r="D9" s="53" t="s">
        <v>46</v>
      </c>
      <c r="E9" s="53" t="s">
        <v>46</v>
      </c>
    </row>
    <row r="11" spans="2:8" x14ac:dyDescent="0.2">
      <c r="B11" s="53" t="s">
        <v>834</v>
      </c>
      <c r="C11" s="53" t="s">
        <v>832</v>
      </c>
      <c r="D11" s="53" t="s">
        <v>46</v>
      </c>
      <c r="E11" s="53" t="s">
        <v>46</v>
      </c>
    </row>
    <row r="13" spans="2:8" x14ac:dyDescent="0.2">
      <c r="B13" s="53" t="s">
        <v>835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836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837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838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839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841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842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843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844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845</v>
      </c>
      <c r="C23" s="53" t="s">
        <v>46</v>
      </c>
      <c r="D23" s="53" t="s">
        <v>46</v>
      </c>
      <c r="E23" s="53" t="s">
        <v>46</v>
      </c>
    </row>
  </sheetData>
  <sheetProtection algorithmName="SHA-512" hashValue="AhE0MWKBfjFgT4aC6ysjXKiVx71uzpJkC0OnBUMYcnnYj69uyOmIT3D04hRIa6IZcjkVmiymDPkx6pwvH8qp8A==" saltValue="gjvpL/seXkUPulPJQH00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1087</vt:i4>
      </vt:variant>
    </vt:vector>
  </HeadingPairs>
  <TitlesOfParts>
    <vt:vector size="10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2026-07-02T11:19:08Z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