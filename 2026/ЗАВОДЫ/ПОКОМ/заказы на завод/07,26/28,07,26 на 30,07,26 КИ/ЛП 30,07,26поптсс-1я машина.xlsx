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заказы на завод\07,26\28,07,26 на 30,07,26 КИ\"/>
    </mc:Choice>
  </mc:AlternateContent>
  <xr:revisionPtr revIDLastSave="0" documentId="13_ncr:1_{EEF4D630-D0D7-426B-9710-DC4DEE77D7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Z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Z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M269" i="2"/>
  <c r="Y269" i="2"/>
  <c r="Z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P225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Y85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41" i="2" l="1"/>
  <c r="BN42" i="2"/>
  <c r="BN64" i="2"/>
  <c r="BN77" i="2"/>
  <c r="BN230" i="2"/>
  <c r="BN235" i="2"/>
  <c r="BN307" i="2"/>
  <c r="BN342" i="2"/>
  <c r="BN364" i="2"/>
  <c r="BN383" i="2"/>
  <c r="BN417" i="2"/>
  <c r="BN479" i="2"/>
  <c r="BN503" i="2"/>
  <c r="BN30" i="2"/>
  <c r="Z41" i="2"/>
  <c r="D561" i="2"/>
  <c r="BP90" i="2"/>
  <c r="BN121" i="2"/>
  <c r="Z132" i="2"/>
  <c r="BN142" i="2"/>
  <c r="Z149" i="2"/>
  <c r="BN156" i="2"/>
  <c r="Y163" i="2"/>
  <c r="BN166" i="2"/>
  <c r="Z275" i="2"/>
  <c r="BN305" i="2"/>
  <c r="BN328" i="2"/>
  <c r="BN423" i="2"/>
  <c r="BP426" i="2"/>
  <c r="Z28" i="2"/>
  <c r="BP161" i="2"/>
  <c r="Z178" i="2"/>
  <c r="Y203" i="2"/>
  <c r="BP304" i="2"/>
  <c r="Z306" i="2"/>
  <c r="Y331" i="2"/>
  <c r="BP327" i="2"/>
  <c r="Z329" i="2"/>
  <c r="Z344" i="2"/>
  <c r="BP344" i="2"/>
  <c r="Z372" i="2"/>
  <c r="Y387" i="2"/>
  <c r="BP385" i="2"/>
  <c r="Z409" i="2"/>
  <c r="Z478" i="2"/>
  <c r="BP478" i="2"/>
  <c r="Y531" i="2"/>
  <c r="Z62" i="2"/>
  <c r="BP83" i="2"/>
  <c r="BP98" i="2"/>
  <c r="Z139" i="2"/>
  <c r="Z64" i="2"/>
  <c r="BN65" i="2"/>
  <c r="Z83" i="2"/>
  <c r="Z98" i="2"/>
  <c r="Z135" i="2"/>
  <c r="Z161" i="2"/>
  <c r="Z162" i="2" s="1"/>
  <c r="Z181" i="2"/>
  <c r="BP187" i="2"/>
  <c r="Z198" i="2"/>
  <c r="BN202" i="2"/>
  <c r="Z208" i="2"/>
  <c r="BP226" i="2"/>
  <c r="Z230" i="2"/>
  <c r="BN231" i="2"/>
  <c r="Z232" i="2"/>
  <c r="BP240" i="2"/>
  <c r="BN241" i="2"/>
  <c r="Z242" i="2"/>
  <c r="BN295" i="2"/>
  <c r="Z304" i="2"/>
  <c r="Z307" i="2"/>
  <c r="Z311" i="2"/>
  <c r="Z312" i="2" s="1"/>
  <c r="Z327" i="2"/>
  <c r="Z342" i="2"/>
  <c r="Z367" i="2"/>
  <c r="Z383" i="2"/>
  <c r="BN384" i="2"/>
  <c r="Z385" i="2"/>
  <c r="Y412" i="2"/>
  <c r="BP408" i="2"/>
  <c r="BP428" i="2"/>
  <c r="BN453" i="2"/>
  <c r="Z503" i="2"/>
  <c r="BN504" i="2"/>
  <c r="BP329" i="2"/>
  <c r="BN29" i="2"/>
  <c r="Y47" i="2"/>
  <c r="BN52" i="2"/>
  <c r="BN54" i="2"/>
  <c r="BN120" i="2"/>
  <c r="BN140" i="2"/>
  <c r="Z142" i="2"/>
  <c r="Z166" i="2"/>
  <c r="Z184" i="2"/>
  <c r="Z187" i="2"/>
  <c r="Z191" i="2"/>
  <c r="Y204" i="2"/>
  <c r="Z226" i="2"/>
  <c r="Z240" i="2"/>
  <c r="Z249" i="2"/>
  <c r="BN264" i="2"/>
  <c r="Z265" i="2"/>
  <c r="Z272" i="2"/>
  <c r="BP283" i="2"/>
  <c r="BN284" i="2"/>
  <c r="Z319" i="2"/>
  <c r="Z330" i="2"/>
  <c r="Z337" i="2"/>
  <c r="BP366" i="2"/>
  <c r="BN375" i="2"/>
  <c r="Z377" i="2"/>
  <c r="BN396" i="2"/>
  <c r="Z408" i="2"/>
  <c r="Z411" i="2" s="1"/>
  <c r="Z423" i="2"/>
  <c r="Z428" i="2"/>
  <c r="BP457" i="2"/>
  <c r="BN470" i="2"/>
  <c r="BN489" i="2"/>
  <c r="Z538" i="2"/>
  <c r="Z539" i="2" s="1"/>
  <c r="Y369" i="2"/>
  <c r="Z363" i="2"/>
  <c r="BP365" i="2"/>
  <c r="Y370" i="2"/>
  <c r="Z365" i="2"/>
  <c r="Y55" i="2"/>
  <c r="Z51" i="2"/>
  <c r="Z469" i="2"/>
  <c r="BN273" i="2"/>
  <c r="Z273" i="2"/>
  <c r="Z95" i="2"/>
  <c r="Z416" i="2"/>
  <c r="BP416" i="2"/>
  <c r="BN515" i="2"/>
  <c r="Z501" i="2"/>
  <c r="Z91" i="2"/>
  <c r="BP88" i="2"/>
  <c r="BN429" i="2"/>
  <c r="H561" i="2"/>
  <c r="Z116" i="2"/>
  <c r="Z427" i="2"/>
  <c r="Z441" i="2"/>
  <c r="BP441" i="2"/>
  <c r="BN290" i="2"/>
  <c r="Y150" i="2"/>
  <c r="BP141" i="2"/>
  <c r="Z141" i="2"/>
  <c r="Y143" i="2"/>
  <c r="W561" i="2"/>
  <c r="Z415" i="2"/>
  <c r="Z418" i="2" s="1"/>
  <c r="Z282" i="2"/>
  <c r="Z225" i="2"/>
  <c r="BN269" i="2"/>
  <c r="BN88" i="2"/>
  <c r="Y93" i="2"/>
  <c r="BP501" i="2"/>
  <c r="Z425" i="2"/>
  <c r="BP434" i="2"/>
  <c r="Y437" i="2"/>
  <c r="Z434" i="2"/>
  <c r="Z295" i="2"/>
  <c r="Y298" i="2"/>
  <c r="X555" i="2"/>
  <c r="BN260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47" i="2" l="1"/>
  <c r="Z322" i="2"/>
  <c r="Z454" i="2"/>
  <c r="Z437" i="2"/>
  <c r="Z369" i="2"/>
  <c r="Z386" i="2"/>
  <c r="Z55" i="2"/>
  <c r="Z292" i="2"/>
  <c r="Z379" i="2"/>
  <c r="Z99" i="2"/>
  <c r="Z136" i="2"/>
  <c r="Z277" i="2"/>
  <c r="Z431" i="2"/>
  <c r="X554" i="2"/>
  <c r="Z297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<sst xmlns="http://schemas.openxmlformats.org/spreadsheetml/2006/main" count="4202" uniqueCount="896">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</sst>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40</v>
      </c>
      <c r="Y51" s="55">
        <f>IFERROR(IF(X51="",0,CEILING((X51/$H51),1)*$H51),"")</f>
        <v>43.2</v>
      </c>
      <c r="Z51" s="41">
        <f>IFERROR(IF(Y51=0,"",ROUNDUP(Y51/H51,0)*0.01898),"")</f>
        <v>7.5920000000000001E-2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41.518518518518519</v>
      </c>
      <c r="BN51" s="78">
        <f>IFERROR(Y51*I51/H51,"0")</f>
        <v>44.84</v>
      </c>
      <c r="BO51" s="78">
        <f>IFERROR(1/J51*(X51/H51),"0")</f>
        <v>5.7870370370370364E-2</v>
      </c>
      <c r="BP51" s="78">
        <f>IFERROR(1/J51*(Y51/H51),"0")</f>
        <v>6.25E-2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3.7037037037037033</v>
      </c>
      <c r="Y55" s="43">
        <f>IFERROR(Y51/H51,"0")+IFERROR(Y52/H52,"0")+IFERROR(Y53/H53,"0")+IFERROR(Y54/H54,"0")</f>
        <v>4</v>
      </c>
      <c r="Z55" s="43">
        <f>IFERROR(IF(Z51="",0,Z51),"0")+IFERROR(IF(Z52="",0,Z52),"0")+IFERROR(IF(Z53="",0,Z53),"0")+IFERROR(IF(Z54="",0,Z54),"0")</f>
        <v>7.5920000000000001E-2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40</v>
      </c>
      <c r="Y56" s="43">
        <f>IFERROR(SUM(Y51:Y54),"0")</f>
        <v>43.2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1400</v>
      </c>
      <c r="Y61" s="55">
        <f t="shared" si="0"/>
        <v>1404</v>
      </c>
      <c r="Z61" s="41">
        <f>IFERROR(IF(Y61=0,"",ROUNDUP(Y61/H61,0)*0.01898),"")</f>
        <v>2.4674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1453.1481481481483</v>
      </c>
      <c r="BN61" s="78">
        <f t="shared" si="2"/>
        <v>1457.3000000000002</v>
      </c>
      <c r="BO61" s="78">
        <f t="shared" si="3"/>
        <v>2.0254629629629628</v>
      </c>
      <c r="BP61" s="78">
        <f t="shared" si="4"/>
        <v>2.03125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55</v>
      </c>
      <c r="Y66" s="55">
        <f t="shared" si="0"/>
        <v>58.5</v>
      </c>
      <c r="Z66" s="41">
        <f>IFERROR(IF(Y66=0,"",ROUNDUP(Y66/H66,0)*0.00902),"")</f>
        <v>0.11726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57.32222222222223</v>
      </c>
      <c r="BN66" s="78">
        <f t="shared" si="2"/>
        <v>60.97</v>
      </c>
      <c r="BO66" s="78">
        <f t="shared" si="3"/>
        <v>9.2592592592592587E-2</v>
      </c>
      <c r="BP66" s="78">
        <f t="shared" si="4"/>
        <v>9.8484848484848481E-2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141.85185185185185</v>
      </c>
      <c r="Y67" s="43">
        <f>IFERROR(Y59/H59,"0")+IFERROR(Y60/H60,"0")+IFERROR(Y61/H61,"0")+IFERROR(Y62/H62,"0")+IFERROR(Y63/H63,"0")+IFERROR(Y64/H64,"0")+IFERROR(Y65/H65,"0")+IFERROR(Y66/H66,"0")</f>
        <v>143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2.58466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1455</v>
      </c>
      <c r="Y68" s="43">
        <f>IFERROR(SUM(Y59:Y66),"0")</f>
        <v>1462.5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650</v>
      </c>
      <c r="Y70" s="55">
        <f>IFERROR(IF(X70="",0,CEILING((X70/$H70),1)*$H70),"")</f>
        <v>658.80000000000007</v>
      </c>
      <c r="Z70" s="41">
        <f>IFERROR(IF(Y70=0,"",ROUNDUP(Y70/H70,0)*0.01898),"")</f>
        <v>1.15778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674.67592592592598</v>
      </c>
      <c r="BN70" s="78">
        <f>IFERROR(Y70*I70/H70,"0")</f>
        <v>683.81000000000006</v>
      </c>
      <c r="BO70" s="78">
        <f>IFERROR(1/J70*(X70/H70),"0")</f>
        <v>0.94039351851851849</v>
      </c>
      <c r="BP70" s="78">
        <f>IFERROR(1/J70*(Y70/H70),"0")</f>
        <v>0.953125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60.185185185185183</v>
      </c>
      <c r="Y74" s="43">
        <f>IFERROR(Y70/H70,"0")+IFERROR(Y71/H71,"0")+IFERROR(Y72/H72,"0")+IFERROR(Y73/H73,"0")</f>
        <v>61</v>
      </c>
      <c r="Z74" s="43">
        <f>IFERROR(IF(Z70="",0,Z70),"0")+IFERROR(IF(Z71="",0,Z71),"0")+IFERROR(IF(Z72="",0,Z72),"0")+IFERROR(IF(Z73="",0,Z73),"0")</f>
        <v>1.15778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650</v>
      </c>
      <c r="Y75" s="43">
        <f>IFERROR(SUM(Y70:Y73),"0")</f>
        <v>658.80000000000007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30</v>
      </c>
      <c r="Y88" s="55">
        <f>IFERROR(IF(X88="",0,CEILING((X88/$H88),1)*$H88),"")</f>
        <v>32.400000000000006</v>
      </c>
      <c r="Z88" s="41">
        <f>IFERROR(IF(Y88=0,"",ROUNDUP(Y88/H88,0)*0.01898),"")</f>
        <v>5.6940000000000004E-2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31.138888888888889</v>
      </c>
      <c r="BN88" s="78">
        <f>IFERROR(Y88*I88/H88,"0")</f>
        <v>33.630000000000003</v>
      </c>
      <c r="BO88" s="78">
        <f>IFERROR(1/J88*(X88/H88),"0")</f>
        <v>4.3402777777777776E-2</v>
      </c>
      <c r="BP88" s="78">
        <f>IFERROR(1/J88*(Y88/H88),"0")</f>
        <v>4.6875000000000007E-2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9</v>
      </c>
      <c r="Y91" s="55">
        <f>IFERROR(IF(X91="",0,CEILING((X91/$H91),1)*$H91),"")</f>
        <v>9</v>
      </c>
      <c r="Z91" s="41">
        <f>IFERROR(IF(Y91=0,"",ROUNDUP(Y91/H91,0)*0.00902),"")</f>
        <v>1.804E-2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9.3800000000000008</v>
      </c>
      <c r="BN91" s="78">
        <f>IFERROR(Y91*I91/H91,"0")</f>
        <v>9.3800000000000008</v>
      </c>
      <c r="BO91" s="78">
        <f>IFERROR(1/J91*(X91/H91),"0")</f>
        <v>1.5151515151515152E-2</v>
      </c>
      <c r="BP91" s="78">
        <f>IFERROR(1/J91*(Y91/H91),"0")</f>
        <v>1.5151515151515152E-2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4.7777777777777777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7.4980000000000005E-2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39</v>
      </c>
      <c r="Y93" s="43">
        <f>IFERROR(SUM(Y88:Y91),"0")</f>
        <v>41.400000000000006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12.345679012345679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0.24674000000000001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100</v>
      </c>
      <c r="Y100" s="43">
        <f>IFERROR(SUM(Y95:Y98),"0")</f>
        <v>105.3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80</v>
      </c>
      <c r="Y116" s="55">
        <f>IFERROR(IF(X116="",0,CEILING((X116/$H116),1)*$H116),"")</f>
        <v>81.599999999999994</v>
      </c>
      <c r="Z116" s="41">
        <f>IFERROR(IF(Y116=0,"",ROUNDUP(Y116/H116,0)*0.00651),"")</f>
        <v>0.22134000000000001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86</v>
      </c>
      <c r="BN116" s="78">
        <f>IFERROR(Y116*I116/H116,"0")</f>
        <v>87.72</v>
      </c>
      <c r="BO116" s="78">
        <f>IFERROR(1/J116*(X116/H116),"0")</f>
        <v>0.18315018315018317</v>
      </c>
      <c r="BP116" s="78">
        <f>IFERROR(1/J116*(Y116/H116),"0")</f>
        <v>0.18681318681318682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33.333333333333336</v>
      </c>
      <c r="Y117" s="43">
        <f>IFERROR(Y112/H112,"0")+IFERROR(Y113/H113,"0")+IFERROR(Y114/H114,"0")+IFERROR(Y115/H115,"0")+IFERROR(Y116/H116,"0")</f>
        <v>34</v>
      </c>
      <c r="Z117" s="43">
        <f>IFERROR(IF(Z112="",0,Z112),"0")+IFERROR(IF(Z113="",0,Z113),"0")+IFERROR(IF(Z114="",0,Z114),"0")+IFERROR(IF(Z115="",0,Z115),"0")+IFERROR(IF(Z116="",0,Z116),"0")</f>
        <v>0.22134000000000001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80</v>
      </c>
      <c r="Y118" s="43">
        <f>IFERROR(SUM(Y112:Y116),"0")</f>
        <v>81.599999999999994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250</v>
      </c>
      <c r="Y120" s="55">
        <f>IFERROR(IF(X120="",0,CEILING((X120/$H120),1)*$H120),"")</f>
        <v>251.1</v>
      </c>
      <c r="Z120" s="41">
        <f>IFERROR(IF(Y120=0,"",ROUNDUP(Y120/H120,0)*0.01898),"")</f>
        <v>0.58838000000000001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265.06172839506172</v>
      </c>
      <c r="BN120" s="78">
        <f>IFERROR(Y120*I120/H120,"0")</f>
        <v>266.22799999999995</v>
      </c>
      <c r="BO120" s="78">
        <f>IFERROR(1/J120*(X120/H120),"0")</f>
        <v>0.48225308641975312</v>
      </c>
      <c r="BP120" s="78">
        <f>IFERROR(1/J120*(Y120/H120),"0")</f>
        <v>0.484375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30.8641975308642</v>
      </c>
      <c r="Y124" s="43">
        <f>IFERROR(Y120/H120,"0")+IFERROR(Y121/H121,"0")+IFERROR(Y122/H122,"0")+IFERROR(Y123/H123,"0")</f>
        <v>31</v>
      </c>
      <c r="Z124" s="43">
        <f>IFERROR(IF(Z120="",0,Z120),"0")+IFERROR(IF(Z121="",0,Z121),"0")+IFERROR(IF(Z122="",0,Z122),"0")+IFERROR(IF(Z123="",0,Z123),"0")</f>
        <v>0.58838000000000001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250</v>
      </c>
      <c r="Y125" s="43">
        <f>IFERROR(SUM(Y120:Y123),"0")</f>
        <v>251.1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118</v>
      </c>
      <c r="Y134" s="55">
        <f>IFERROR(IF(X134="",0,CEILING((X134/$H134),1)*$H134),"")</f>
        <v>118.4</v>
      </c>
      <c r="Z134" s="41">
        <f>IFERROR(IF(Y134=0,"",ROUNDUP(Y134/H134,0)*0.00651),"")</f>
        <v>0.24087</v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124.63749999999999</v>
      </c>
      <c r="BN134" s="78">
        <f>IFERROR(Y134*I134/H134,"0")</f>
        <v>125.06</v>
      </c>
      <c r="BO134" s="78">
        <f>IFERROR(1/J134*(X134/H134),"0")</f>
        <v>0.20260989010989014</v>
      </c>
      <c r="BP134" s="78">
        <f>IFERROR(1/J134*(Y134/H134),"0")</f>
        <v>0.20329670329670332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36.875</v>
      </c>
      <c r="Y136" s="43">
        <f>IFERROR(Y132/H132,"0")+IFERROR(Y133/H133,"0")+IFERROR(Y134/H134,"0")+IFERROR(Y135/H135,"0")</f>
        <v>37</v>
      </c>
      <c r="Z136" s="43">
        <f>IFERROR(IF(Z132="",0,Z132),"0")+IFERROR(IF(Z133="",0,Z133),"0")+IFERROR(IF(Z134="",0,Z134),"0")+IFERROR(IF(Z135="",0,Z135),"0")</f>
        <v>0.24087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118</v>
      </c>
      <c r="Y137" s="43">
        <f>IFERROR(SUM(Y132:Y135),"0")</f>
        <v>118.4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95</v>
      </c>
      <c r="Y141" s="55">
        <f>IFERROR(IF(X141="",0,CEILING((X141/$H141),1)*$H141),"")</f>
        <v>95.199999999999989</v>
      </c>
      <c r="Z141" s="41">
        <f>IFERROR(IF(Y141=0,"",ROUNDUP(Y141/H141,0)*0.00651),"")</f>
        <v>0.22134000000000001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104.09285714285714</v>
      </c>
      <c r="BN141" s="78">
        <f>IFERROR(Y141*I141/H141,"0")</f>
        <v>104.31200000000001</v>
      </c>
      <c r="BO141" s="78">
        <f>IFERROR(1/J141*(X141/H141),"0")</f>
        <v>0.18642072213500788</v>
      </c>
      <c r="BP141" s="78">
        <f>IFERROR(1/J141*(Y141/H141),"0")</f>
        <v>0.18681318681318682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33.928571428571431</v>
      </c>
      <c r="Y143" s="43">
        <f>IFERROR(Y139/H139,"0")+IFERROR(Y140/H140,"0")+IFERROR(Y141/H141,"0")+IFERROR(Y142/H142,"0")</f>
        <v>34</v>
      </c>
      <c r="Z143" s="43">
        <f>IFERROR(IF(Z139="",0,Z139),"0")+IFERROR(IF(Z140="",0,Z140),"0")+IFERROR(IF(Z141="",0,Z141),"0")+IFERROR(IF(Z142="",0,Z142),"0")</f>
        <v>0.22134000000000001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95</v>
      </c>
      <c r="Y144" s="43">
        <f>IFERROR(SUM(Y139:Y142),"0")</f>
        <v>95.199999999999989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10</v>
      </c>
      <c r="Y148" s="55">
        <f>IFERROR(IF(X148="",0,CEILING((X148/$H148),1)*$H148),"")</f>
        <v>10.56</v>
      </c>
      <c r="Z148" s="41">
        <f>IFERROR(IF(Y148=0,"",ROUNDUP(Y148/H148,0)*0.00651),"")</f>
        <v>2.6040000000000001E-2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11.015151515151514</v>
      </c>
      <c r="BN148" s="78">
        <f>IFERROR(Y148*I148/H148,"0")</f>
        <v>11.632</v>
      </c>
      <c r="BO148" s="78">
        <f>IFERROR(1/J148*(X148/H148),"0")</f>
        <v>2.0812520812520812E-2</v>
      </c>
      <c r="BP148" s="78">
        <f>IFERROR(1/J148*(Y148/H148),"0")</f>
        <v>2.197802197802198E-2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3.7878787878787876</v>
      </c>
      <c r="Y150" s="43">
        <f>IFERROR(Y146/H146,"0")+IFERROR(Y147/H147,"0")+IFERROR(Y148/H148,"0")+IFERROR(Y149/H149,"0")</f>
        <v>4</v>
      </c>
      <c r="Z150" s="43">
        <f>IFERROR(IF(Z146="",0,Z146),"0")+IFERROR(IF(Z147="",0,Z147),"0")+IFERROR(IF(Z148="",0,Z148),"0")+IFERROR(IF(Z149="",0,Z149),"0")</f>
        <v>2.6040000000000001E-2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10</v>
      </c>
      <c r="Y151" s="43">
        <f>IFERROR(SUM(Y146:Y149),"0")</f>
        <v>10.56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40</v>
      </c>
      <c r="Y177" s="55">
        <f t="shared" ref="Y177:Y187" si="10">IFERROR(IF(X177="",0,CEILING((X177/$H177),1)*$H177),"")</f>
        <v>42</v>
      </c>
      <c r="Z177" s="41">
        <f>IFERROR(IF(Y177=0,"",ROUNDUP(Y177/H177,0)*0.00902),"")</f>
        <v>0.10824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42.171428571428571</v>
      </c>
      <c r="BN177" s="78">
        <f t="shared" ref="BN177:BN187" si="12">IFERROR(Y177*I177/H177,"0")</f>
        <v>44.279999999999994</v>
      </c>
      <c r="BO177" s="78">
        <f t="shared" ref="BO177:BO187" si="13">IFERROR(1/J177*(X177/H177),"0")</f>
        <v>8.658008658008659E-2</v>
      </c>
      <c r="BP177" s="78">
        <f t="shared" ref="BP177:BP187" si="14">IFERROR(1/J177*(Y177/H177),"0")</f>
        <v>9.0909090909090912E-2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60</v>
      </c>
      <c r="Y180" s="55">
        <f t="shared" si="10"/>
        <v>63</v>
      </c>
      <c r="Z180" s="41">
        <f>IFERROR(IF(Y180=0,"",ROUNDUP(Y180/H180,0)*0.00902),"")</f>
        <v>0.16236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63.25714285714286</v>
      </c>
      <c r="BN180" s="78">
        <f t="shared" si="12"/>
        <v>66.42</v>
      </c>
      <c r="BO180" s="78">
        <f t="shared" si="13"/>
        <v>0.12987012987012986</v>
      </c>
      <c r="BP180" s="78">
        <f t="shared" si="14"/>
        <v>0.13636363636363635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28.571428571428569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0.27060000000000001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100</v>
      </c>
      <c r="Y189" s="43">
        <f>IFERROR(SUM(Y177:Y187),"0")</f>
        <v>105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30</v>
      </c>
      <c r="Y225" s="55">
        <f t="shared" si="21"/>
        <v>33.6</v>
      </c>
      <c r="Z225" s="41">
        <f>IFERROR(IF(Y225=0,"",ROUNDUP(Y225/H225,0)*0.00902),"")</f>
        <v>7.2160000000000002E-2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31.357142857142854</v>
      </c>
      <c r="BN225" s="78">
        <f t="shared" si="23"/>
        <v>35.119999999999997</v>
      </c>
      <c r="BO225" s="78">
        <f t="shared" si="24"/>
        <v>5.4112554112554112E-2</v>
      </c>
      <c r="BP225" s="78">
        <f t="shared" si="25"/>
        <v>6.0606060606060608E-2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7.1428571428571423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8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7.2160000000000002E-2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30</v>
      </c>
      <c r="Y238" s="43">
        <f>IFERROR(SUM(Y223:Y236),"0")</f>
        <v>33.6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43</v>
      </c>
      <c r="Y260" s="55">
        <f>IFERROR(IF(X260="",0,CEILING((X260/$H260),1)*$H260),"")</f>
        <v>43.2</v>
      </c>
      <c r="Z260" s="41">
        <f>IFERROR(IF(Y260=0,"",ROUNDUP(Y260/H260,0)*0.00651),"")</f>
        <v>0.10416</v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45.86666666666666</v>
      </c>
      <c r="BN260" s="78">
        <f>IFERROR(Y260*I260/H260,"0")</f>
        <v>46.08</v>
      </c>
      <c r="BO260" s="78">
        <f>IFERROR(1/J260*(X260/H260),"0")</f>
        <v>8.7505087505087509E-2</v>
      </c>
      <c r="BP260" s="78">
        <f>IFERROR(1/J260*(Y260/H260),"0")</f>
        <v>8.7912087912087919E-2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15.925925925925926</v>
      </c>
      <c r="Y261" s="43">
        <f>IFERROR(Y259/H259,"0")+IFERROR(Y260/H260,"0")</f>
        <v>16</v>
      </c>
      <c r="Z261" s="43">
        <f>IFERROR(IF(Z259="",0,Z259),"0")+IFERROR(IF(Z260="",0,Z260),"0")</f>
        <v>0.10416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43</v>
      </c>
      <c r="Y262" s="43">
        <f>IFERROR(SUM(Y259:Y260),"0")</f>
        <v>43.2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27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124.2222222222222</v>
      </c>
      <c r="BN269" s="78">
        <f t="shared" ref="BN269:BN276" si="29">IFERROR(Y269*I269/H269,"0")</f>
        <v>128.57</v>
      </c>
      <c r="BO269" s="78">
        <f t="shared" ref="BO269:BO276" si="30">IFERROR(1/J269*(X269/H269),"0")</f>
        <v>0.16835016835016836</v>
      </c>
      <c r="BP269" s="78">
        <f t="shared" ref="BP269:BP276" si="31">IFERROR(1/J269*(Y269/H269),"0")</f>
        <v>0.17424242424242425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27"/>
        <v>64.800000000000011</v>
      </c>
      <c r="Z270" s="41">
        <f>IFERROR(IF(Y270=0,"",ROUNDUP(Y270/H270,0)*0.00902),"")</f>
        <v>0.10824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62.1111111111111</v>
      </c>
      <c r="BN270" s="78">
        <f t="shared" si="29"/>
        <v>67.08</v>
      </c>
      <c r="BO270" s="78">
        <f t="shared" si="30"/>
        <v>8.4175084175084181E-2</v>
      </c>
      <c r="BP270" s="78">
        <f t="shared" si="31"/>
        <v>9.0909090909090925E-2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27"/>
        <v>124.2</v>
      </c>
      <c r="Z271" s="41">
        <f>IFERROR(IF(Y271=0,"",ROUNDUP(Y271/H271,0)*0.00902),"")</f>
        <v>0.20746000000000001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124.2222222222222</v>
      </c>
      <c r="BN271" s="78">
        <f t="shared" si="29"/>
        <v>128.57</v>
      </c>
      <c r="BO271" s="78">
        <f t="shared" si="30"/>
        <v>0.16835016835016836</v>
      </c>
      <c r="BP271" s="78">
        <f t="shared" si="31"/>
        <v>0.17424242424242425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140</v>
      </c>
      <c r="Y272" s="55">
        <f t="shared" si="27"/>
        <v>140.4</v>
      </c>
      <c r="Z272" s="41">
        <f>IFERROR(IF(Y272=0,"",ROUNDUP(Y272/H272,0)*0.00902),"")</f>
        <v>0.23452000000000001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144.92592592592592</v>
      </c>
      <c r="BN272" s="78">
        <f t="shared" si="29"/>
        <v>145.34</v>
      </c>
      <c r="BO272" s="78">
        <f t="shared" si="30"/>
        <v>0.19640852974186307</v>
      </c>
      <c r="BP272" s="78">
        <f t="shared" si="31"/>
        <v>0.19696969696969696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5</v>
      </c>
      <c r="Y273" s="55">
        <f t="shared" si="27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5.3611111111111116</v>
      </c>
      <c r="BN273" s="78">
        <f t="shared" si="29"/>
        <v>5.79</v>
      </c>
      <c r="BO273" s="78">
        <f t="shared" si="30"/>
        <v>1.1870845204178538E-2</v>
      </c>
      <c r="BP273" s="78">
        <f t="shared" si="31"/>
        <v>1.2820512820512822E-2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5</v>
      </c>
      <c r="Y274" s="55">
        <f t="shared" si="27"/>
        <v>5.4</v>
      </c>
      <c r="Z274" s="41">
        <f>IFERROR(IF(Y274=0,"",ROUNDUP(Y274/H274,0)*0.00502),"")</f>
        <v>1.506E-2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5.2777777777777777</v>
      </c>
      <c r="BN274" s="78">
        <f t="shared" si="29"/>
        <v>5.7</v>
      </c>
      <c r="BO274" s="78">
        <f t="shared" si="30"/>
        <v>1.1870845204178538E-2</v>
      </c>
      <c r="BP274" s="78">
        <f t="shared" si="31"/>
        <v>1.2820512820512822E-2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5</v>
      </c>
      <c r="Y275" s="55">
        <f t="shared" si="27"/>
        <v>5.4</v>
      </c>
      <c r="Z275" s="41">
        <f>IFERROR(IF(Y275=0,"",ROUNDUP(Y275/H275,0)*0.00502),"")</f>
        <v>1.506E-2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5.2777777777777777</v>
      </c>
      <c r="BN275" s="78">
        <f t="shared" si="29"/>
        <v>5.7</v>
      </c>
      <c r="BO275" s="78">
        <f t="shared" si="30"/>
        <v>1.1870845204178538E-2</v>
      </c>
      <c r="BP275" s="78">
        <f t="shared" si="31"/>
        <v>1.2820512820512822E-2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5</v>
      </c>
      <c r="Y276" s="55">
        <f t="shared" si="27"/>
        <v>5.4</v>
      </c>
      <c r="Z276" s="41">
        <f>IFERROR(IF(Y276=0,"",ROUNDUP(Y276/H276,0)*0.00502),"")</f>
        <v>1.506E-2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5.2777777777777777</v>
      </c>
      <c r="BN276" s="78">
        <f t="shared" si="29"/>
        <v>5.7</v>
      </c>
      <c r="BO276" s="78">
        <f t="shared" si="30"/>
        <v>1.1870845204178538E-2</v>
      </c>
      <c r="BP276" s="78">
        <f t="shared" si="31"/>
        <v>1.2820512820512822E-2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92.592592592592553</v>
      </c>
      <c r="Y277" s="43">
        <f>IFERROR(Y269/H269,"0")+IFERROR(Y270/H270,"0")+IFERROR(Y271/H271,"0")+IFERROR(Y272/H272,"0")+IFERROR(Y273/H273,"0")+IFERROR(Y274/H274,"0")+IFERROR(Y275/H275,"0")+IFERROR(Y276/H276,"0")</f>
        <v>96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0.81791999999999976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460</v>
      </c>
      <c r="Y278" s="43">
        <f>IFERROR(SUM(Y269:Y276),"0")</f>
        <v>475.19999999999993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80</v>
      </c>
      <c r="Y282" s="55">
        <f t="shared" si="32"/>
        <v>87</v>
      </c>
      <c r="Z282" s="41">
        <f>IFERROR(IF(Y282=0,"",ROUNDUP(Y282/H282,0)*0.01898),"")</f>
        <v>0.1898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84.542528735632203</v>
      </c>
      <c r="BN282" s="78">
        <f t="shared" si="34"/>
        <v>91.940000000000012</v>
      </c>
      <c r="BO282" s="78">
        <f t="shared" si="35"/>
        <v>0.14367816091954025</v>
      </c>
      <c r="BP282" s="78">
        <f t="shared" si="36"/>
        <v>0.15625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110</v>
      </c>
      <c r="Y289" s="55">
        <f t="shared" si="32"/>
        <v>110.39999999999999</v>
      </c>
      <c r="Z289" s="41">
        <f>IFERROR(IF(Y289=0,"",ROUNDUP(Y289/H289,0)*0.00651),"")</f>
        <v>0.29946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121.55000000000001</v>
      </c>
      <c r="BN289" s="78">
        <f t="shared" si="34"/>
        <v>121.992</v>
      </c>
      <c r="BO289" s="78">
        <f t="shared" si="35"/>
        <v>0.25183150183150188</v>
      </c>
      <c r="BP289" s="78">
        <f t="shared" si="36"/>
        <v>0.25274725274725279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9</v>
      </c>
      <c r="Y290" s="55">
        <f t="shared" si="32"/>
        <v>9.6</v>
      </c>
      <c r="Z290" s="41">
        <f>IFERROR(IF(Y290=0,"",ROUNDUP(Y290/H290,0)*0.00651),"")</f>
        <v>2.6040000000000001E-2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9.9675000000000011</v>
      </c>
      <c r="BN290" s="78">
        <f t="shared" si="34"/>
        <v>10.632</v>
      </c>
      <c r="BO290" s="78">
        <f t="shared" si="35"/>
        <v>2.0604395604395608E-2</v>
      </c>
      <c r="BP290" s="78">
        <f t="shared" si="36"/>
        <v>2.197802197802198E-2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58.77873563218391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0.51529999999999998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199</v>
      </c>
      <c r="Y293" s="43">
        <f>IFERROR(SUM(Y280:Y291),"0")</f>
        <v>206.99999999999997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40</v>
      </c>
      <c r="Y295" s="55">
        <f>IFERROR(IF(X295="",0,CEILING((X295/$H295),1)*$H295),"")</f>
        <v>40.799999999999997</v>
      </c>
      <c r="Z295" s="41">
        <f>IFERROR(IF(Y295=0,"",ROUNDUP(Y295/H295,0)*0.00651),"")</f>
        <v>0.11067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44.20000000000001</v>
      </c>
      <c r="BN295" s="78">
        <f>IFERROR(Y295*I295/H295,"0")</f>
        <v>45.084000000000003</v>
      </c>
      <c r="BO295" s="78">
        <f>IFERROR(1/J295*(X295/H295),"0")</f>
        <v>9.1575091575091583E-2</v>
      </c>
      <c r="BP295" s="78">
        <f>IFERROR(1/J295*(Y295/H295),"0")</f>
        <v>9.3406593406593408E-2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16.666666666666668</v>
      </c>
      <c r="Y297" s="43">
        <f>IFERROR(Y295/H295,"0")+IFERROR(Y296/H296,"0")</f>
        <v>17</v>
      </c>
      <c r="Z297" s="43">
        <f>IFERROR(IF(Z295="",0,Z295),"0")+IFERROR(IF(Z296="",0,Z296),"0")</f>
        <v>0.11067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40</v>
      </c>
      <c r="Y298" s="43">
        <f>IFERROR(SUM(Y295:Y296),"0")</f>
        <v>40.799999999999997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670</v>
      </c>
      <c r="Y363" s="55">
        <f t="shared" ref="Y363:Y368" si="42">IFERROR(IF(X363="",0,CEILING((X363/$H363),1)*$H363),"")</f>
        <v>680.40000000000009</v>
      </c>
      <c r="Z363" s="41">
        <f>IFERROR(IF(Y363=0,"",ROUNDUP(Y363/H363,0)*0.01898),"")</f>
        <v>1.19574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695.43518518518522</v>
      </c>
      <c r="BN363" s="78">
        <f t="shared" ref="BN363:BN368" si="44">IFERROR(Y363*I363/H363,"0")</f>
        <v>706.23000000000013</v>
      </c>
      <c r="BO363" s="78">
        <f t="shared" ref="BO363:BO368" si="45">IFERROR(1/J363*(X363/H363),"0")</f>
        <v>0.96932870370370361</v>
      </c>
      <c r="BP363" s="78">
        <f t="shared" ref="BP363:BP368" si="46">IFERROR(1/J363*(Y363/H363),"0")</f>
        <v>0.98437500000000011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180</v>
      </c>
      <c r="Y365" s="55">
        <f t="shared" si="42"/>
        <v>183.60000000000002</v>
      </c>
      <c r="Z365" s="41">
        <f>IFERROR(IF(Y365=0,"",ROUNDUP(Y365/H365,0)*0.01898),"")</f>
        <v>0.32266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186.83333333333334</v>
      </c>
      <c r="BN365" s="78">
        <f t="shared" si="44"/>
        <v>190.57000000000002</v>
      </c>
      <c r="BO365" s="78">
        <f t="shared" si="45"/>
        <v>0.26041666666666663</v>
      </c>
      <c r="BP365" s="78">
        <f t="shared" si="46"/>
        <v>0.265625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78.703703703703695</v>
      </c>
      <c r="Y369" s="43">
        <f>IFERROR(Y363/H363,"0")+IFERROR(Y364/H364,"0")+IFERROR(Y365/H365,"0")+IFERROR(Y366/H366,"0")+IFERROR(Y367/H367,"0")+IFERROR(Y368/H368,"0")</f>
        <v>80</v>
      </c>
      <c r="Z369" s="43">
        <f>IFERROR(IF(Z363="",0,Z363),"0")+IFERROR(IF(Z364="",0,Z364),"0")+IFERROR(IF(Z365="",0,Z365),"0")+IFERROR(IF(Z366="",0,Z366),"0")+IFERROR(IF(Z367="",0,Z367),"0")+IFERROR(IF(Z368="",0,Z368),"0")</f>
        <v>1.5184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850</v>
      </c>
      <c r="Y370" s="43">
        <f>IFERROR(SUM(Y363:Y368),"0")</f>
        <v>864.00000000000011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280</v>
      </c>
      <c r="Y373" s="55">
        <f t="shared" si="47"/>
        <v>281.40000000000003</v>
      </c>
      <c r="Z373" s="41">
        <f>IFERROR(IF(Y373=0,"",ROUNDUP(Y373/H373,0)*0.00902),"")</f>
        <v>0.60433999999999999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296.66666666666663</v>
      </c>
      <c r="BN373" s="78">
        <f t="shared" si="49"/>
        <v>298.15000000000003</v>
      </c>
      <c r="BO373" s="78">
        <f t="shared" si="50"/>
        <v>0.50505050505050497</v>
      </c>
      <c r="BP373" s="78">
        <f t="shared" si="51"/>
        <v>0.50757575757575757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66.666666666666657</v>
      </c>
      <c r="Y379" s="43">
        <f>IFERROR(Y372/H372,"0")+IFERROR(Y373/H373,"0")+IFERROR(Y374/H374,"0")+IFERROR(Y375/H375,"0")+IFERROR(Y376/H376,"0")+IFERROR(Y377/H377,"0")+IFERROR(Y378/H378,"0")</f>
        <v>67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0.60433999999999999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280</v>
      </c>
      <c r="Y380" s="43">
        <f>IFERROR(SUM(Y372:Y378),"0")</f>
        <v>281.40000000000003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1400</v>
      </c>
      <c r="Y382" s="55">
        <f>IFERROR(IF(X382="",0,CEILING((X382/$H382),1)*$H382),"")</f>
        <v>1404</v>
      </c>
      <c r="Z382" s="41">
        <f>IFERROR(IF(Y382=0,"",ROUNDUP(Y382/H382,0)*0.01898),"")</f>
        <v>3.4163999999999999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1487.5897435897436</v>
      </c>
      <c r="BN382" s="78">
        <f>IFERROR(Y382*I382/H382,"0")</f>
        <v>1491.8400000000001</v>
      </c>
      <c r="BO382" s="78">
        <f>IFERROR(1/J382*(X382/H382),"0")</f>
        <v>2.8044871794871797</v>
      </c>
      <c r="BP382" s="78">
        <f>IFERROR(1/J382*(Y382/H382),"0")</f>
        <v>2.8125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179.4871794871795</v>
      </c>
      <c r="Y386" s="43">
        <f>IFERROR(Y382/H382,"0")+IFERROR(Y383/H383,"0")+IFERROR(Y384/H384,"0")+IFERROR(Y385/H385,"0")</f>
        <v>180</v>
      </c>
      <c r="Z386" s="43">
        <f>IFERROR(IF(Z382="",0,Z382),"0")+IFERROR(IF(Z383="",0,Z383),"0")+IFERROR(IF(Z384="",0,Z384),"0")+IFERROR(IF(Z385="",0,Z385),"0")</f>
        <v>3.4163999999999999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1400</v>
      </c>
      <c r="Y387" s="43">
        <f>IFERROR(SUM(Y382:Y385),"0")</f>
        <v>1404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830</v>
      </c>
      <c r="Y390" s="55">
        <f>IFERROR(IF(X390="",0,CEILING((X390/$H390),1)*$H390),"")</f>
        <v>834.6</v>
      </c>
      <c r="Z390" s="41">
        <f>IFERROR(IF(Y390=0,"",ROUNDUP(Y390/H390,0)*0.01898),"")</f>
        <v>2.0308600000000001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882.56666666666672</v>
      </c>
      <c r="BN390" s="78">
        <f>IFERROR(Y390*I390/H390,"0")</f>
        <v>887.45800000000008</v>
      </c>
      <c r="BO390" s="78">
        <f>IFERROR(1/J390*(X390/H390),"0")</f>
        <v>1.6626602564102564</v>
      </c>
      <c r="BP390" s="78">
        <f>IFERROR(1/J390*(Y390/H390),"0")</f>
        <v>1.671875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106.41025641025641</v>
      </c>
      <c r="Y392" s="43">
        <f>IFERROR(Y389/H389,"0")+IFERROR(Y390/H390,"0")+IFERROR(Y391/H391,"0")</f>
        <v>107</v>
      </c>
      <c r="Z392" s="43">
        <f>IFERROR(IF(Z389="",0,Z389),"0")+IFERROR(IF(Z390="",0,Z390),"0")+IFERROR(IF(Z391="",0,Z391),"0")</f>
        <v>2.0308600000000001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830</v>
      </c>
      <c r="Y393" s="43">
        <f>IFERROR(SUM(Y389:Y391),"0")</f>
        <v>834.6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510</v>
      </c>
      <c r="Y415" s="55">
        <f>IFERROR(IF(X415="",0,CEILING((X415/$H415),1)*$H415),"")</f>
        <v>510.29999999999995</v>
      </c>
      <c r="Z415" s="41">
        <f>IFERROR(IF(Y415=0,"",ROUNDUP(Y415/H415,0)*0.01898),"")</f>
        <v>1.19574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541.10370370370367</v>
      </c>
      <c r="BN415" s="78">
        <f>IFERROR(Y415*I415/H415,"0")</f>
        <v>541.42199999999991</v>
      </c>
      <c r="BO415" s="78">
        <f>IFERROR(1/J415*(X415/H415),"0")</f>
        <v>0.98379629629629639</v>
      </c>
      <c r="BP415" s="78">
        <f>IFERROR(1/J415*(Y415/H415),"0")</f>
        <v>0.984375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21</v>
      </c>
      <c r="Y416" s="55">
        <f>IFERROR(IF(X416="",0,CEILING((X416/$H416),1)*$H416),"")</f>
        <v>21</v>
      </c>
      <c r="Z416" s="41">
        <f>IFERROR(IF(Y416=0,"",ROUNDUP(Y416/H416,0)*0.00651),"")</f>
        <v>6.5100000000000005E-2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23.519999999999996</v>
      </c>
      <c r="BN416" s="78">
        <f>IFERROR(Y416*I416/H416,"0")</f>
        <v>23.519999999999996</v>
      </c>
      <c r="BO416" s="78">
        <f>IFERROR(1/J416*(X416/H416),"0")</f>
        <v>5.4945054945054951E-2</v>
      </c>
      <c r="BP416" s="78">
        <f>IFERROR(1/J416*(Y416/H416),"0")</f>
        <v>5.4945054945054951E-2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72.962962962962962</v>
      </c>
      <c r="Y418" s="43">
        <f>IFERROR(Y415/H415,"0")+IFERROR(Y416/H416,"0")+IFERROR(Y417/H417,"0")</f>
        <v>73</v>
      </c>
      <c r="Z418" s="43">
        <f>IFERROR(IF(Z415="",0,Z415),"0")+IFERROR(IF(Z416="",0,Z416),"0")+IFERROR(IF(Z417="",0,Z417),"0")</f>
        <v>1.26084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531</v>
      </c>
      <c r="Y419" s="43">
        <f>IFERROR(SUM(Y415:Y417),"0")</f>
        <v>531.29999999999995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900</v>
      </c>
      <c r="Y424" s="55">
        <f t="shared" si="52"/>
        <v>900</v>
      </c>
      <c r="Z424" s="41">
        <f>IFERROR(IF(Y424=0,"",ROUNDUP(Y424/H424,0)*0.02175),"")</f>
        <v>1.3049999999999999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928.2</v>
      </c>
      <c r="BN424" s="78">
        <f t="shared" si="54"/>
        <v>928.2</v>
      </c>
      <c r="BO424" s="78">
        <f t="shared" si="55"/>
        <v>1.25</v>
      </c>
      <c r="BP424" s="78">
        <f t="shared" si="56"/>
        <v>1.25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2750</v>
      </c>
      <c r="Y425" s="55">
        <f t="shared" si="52"/>
        <v>2760</v>
      </c>
      <c r="Z425" s="41">
        <f>IFERROR(IF(Y425=0,"",ROUNDUP(Y425/H425,0)*0.02175),"")</f>
        <v>4.0019999999999998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2836.1666666666665</v>
      </c>
      <c r="BN425" s="78">
        <f t="shared" si="54"/>
        <v>2846.4800000000005</v>
      </c>
      <c r="BO425" s="78">
        <f t="shared" si="55"/>
        <v>3.8194444444444446</v>
      </c>
      <c r="BP425" s="78">
        <f t="shared" si="56"/>
        <v>3.833333333333333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1500</v>
      </c>
      <c r="Y427" s="55">
        <f t="shared" si="52"/>
        <v>1500</v>
      </c>
      <c r="Z427" s="41">
        <f>IFERROR(IF(Y427=0,"",ROUNDUP(Y427/H427,0)*0.02175),"")</f>
        <v>2.1749999999999998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1547</v>
      </c>
      <c r="BN427" s="78">
        <f t="shared" si="54"/>
        <v>1547</v>
      </c>
      <c r="BO427" s="78">
        <f t="shared" si="55"/>
        <v>2.083333333333333</v>
      </c>
      <c r="BP427" s="78">
        <f t="shared" si="56"/>
        <v>2.083333333333333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25</v>
      </c>
      <c r="Y429" s="55">
        <f t="shared" si="52"/>
        <v>25</v>
      </c>
      <c r="Z429" s="41">
        <f>IFERROR(IF(Y429=0,"",ROUNDUP(Y429/H429,0)*0.00902),"")</f>
        <v>4.5100000000000001E-2</v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25.95</v>
      </c>
      <c r="BN429" s="78">
        <f t="shared" si="54"/>
        <v>25.95</v>
      </c>
      <c r="BO429" s="78">
        <f t="shared" si="55"/>
        <v>3.787878787878788E-2</v>
      </c>
      <c r="BP429" s="78">
        <f t="shared" si="56"/>
        <v>3.787878787878788E-2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348.33333333333337</v>
      </c>
      <c r="Y431" s="43">
        <f>IFERROR(Y423/H423,"0")+IFERROR(Y424/H424,"0")+IFERROR(Y425/H425,"0")+IFERROR(Y426/H426,"0")+IFERROR(Y427/H427,"0")+IFERROR(Y428/H428,"0")+IFERROR(Y429/H429,"0")+IFERROR(Y430/H430,"0")</f>
        <v>349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7.527099999999999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5175</v>
      </c>
      <c r="Y432" s="43">
        <f>IFERROR(SUM(Y423:Y430),"0")</f>
        <v>5185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900</v>
      </c>
      <c r="Y434" s="55">
        <f>IFERROR(IF(X434="",0,CEILING((X434/$H434),1)*$H434),"")</f>
        <v>900</v>
      </c>
      <c r="Z434" s="41">
        <f>IFERROR(IF(Y434=0,"",ROUNDUP(Y434/H434,0)*0.02175),"")</f>
        <v>1.3049999999999999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928.2</v>
      </c>
      <c r="BN434" s="78">
        <f>IFERROR(Y434*I434/H434,"0")</f>
        <v>928.2</v>
      </c>
      <c r="BO434" s="78">
        <f>IFERROR(1/J434*(X434/H434),"0")</f>
        <v>1.25</v>
      </c>
      <c r="BP434" s="78">
        <f>IFERROR(1/J434*(Y434/H434),"0")</f>
        <v>1.25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60</v>
      </c>
      <c r="Y437" s="43">
        <f>IFERROR(Y434/H434,"0")+IFERROR(Y435/H435,"0")+IFERROR(Y436/H436,"0")</f>
        <v>60</v>
      </c>
      <c r="Z437" s="43">
        <f>IFERROR(IF(Z434="",0,Z434),"0")+IFERROR(IF(Z435="",0,Z435),"0")+IFERROR(IF(Z436="",0,Z436),"0")</f>
        <v>1.3049999999999999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900</v>
      </c>
      <c r="Y438" s="43">
        <f>IFERROR(SUM(Y434:Y436),"0")</f>
        <v>900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650</v>
      </c>
      <c r="Y440" s="55">
        <f>IFERROR(IF(X440="",0,CEILING((X440/$H440),1)*$H440),"")</f>
        <v>657</v>
      </c>
      <c r="Z440" s="41">
        <f>IFERROR(IF(Y440=0,"",ROUNDUP(Y440/H440,0)*0.01898),"")</f>
        <v>1.38554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686.11111111111109</v>
      </c>
      <c r="BN440" s="78">
        <f>IFERROR(Y440*I440/H440,"0")</f>
        <v>693.5</v>
      </c>
      <c r="BO440" s="78">
        <f>IFERROR(1/J440*(X440/H440),"0")</f>
        <v>1.1284722222222223</v>
      </c>
      <c r="BP440" s="78">
        <f>IFERROR(1/J440*(Y440/H440),"0")</f>
        <v>1.140625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230</v>
      </c>
      <c r="Y441" s="55">
        <f>IFERROR(IF(X441="",0,CEILING((X441/$H441),1)*$H441),"")</f>
        <v>234</v>
      </c>
      <c r="Z441" s="41">
        <f>IFERROR(IF(Y441=0,"",ROUNDUP(Y441/H441,0)*0.01898),"")</f>
        <v>0.49348000000000003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242.62444444444444</v>
      </c>
      <c r="BN441" s="78">
        <f>IFERROR(Y441*I441/H441,"0")</f>
        <v>246.84399999999999</v>
      </c>
      <c r="BO441" s="78">
        <f>IFERROR(1/J441*(X441/H441),"0")</f>
        <v>0.39930555555555558</v>
      </c>
      <c r="BP441" s="78">
        <f>IFERROR(1/J441*(Y441/H441),"0")</f>
        <v>0.40625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97.777777777777786</v>
      </c>
      <c r="Y443" s="43">
        <f>IFERROR(Y440/H440,"0")+IFERROR(Y441/H441,"0")+IFERROR(Y442/H442,"0")</f>
        <v>99</v>
      </c>
      <c r="Z443" s="43">
        <f>IFERROR(IF(Z440="",0,Z440),"0")+IFERROR(IF(Z441="",0,Z441),"0")+IFERROR(IF(Z442="",0,Z442),"0")</f>
        <v>1.8790200000000001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880</v>
      </c>
      <c r="Y444" s="43">
        <f>IFERROR(SUM(Y440:Y442),"0")</f>
        <v>891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50</v>
      </c>
      <c r="Y447" s="55">
        <f>IFERROR(IF(X447="",0,CEILING((X447/$H447),1)*$H447),"")</f>
        <v>54</v>
      </c>
      <c r="Z447" s="41">
        <f>IFERROR(IF(Y447=0,"",ROUNDUP(Y447/H447,0)*0.01898),"")</f>
        <v>0.11388000000000001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52.74444444444444</v>
      </c>
      <c r="BN447" s="78">
        <f>IFERROR(Y447*I447/H447,"0")</f>
        <v>56.963999999999992</v>
      </c>
      <c r="BO447" s="78">
        <f>IFERROR(1/J447*(X447/H447),"0")</f>
        <v>8.6805555555555552E-2</v>
      </c>
      <c r="BP447" s="78">
        <f>IFERROR(1/J447*(Y447/H447),"0")</f>
        <v>9.375E-2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5.5555555555555554</v>
      </c>
      <c r="Y448" s="43">
        <f>IFERROR(Y446/H446,"0")+IFERROR(Y447/H447,"0")</f>
        <v>6</v>
      </c>
      <c r="Z448" s="43">
        <f>IFERROR(IF(Z446="",0,Z446),"0")+IFERROR(IF(Z447="",0,Z447),"0")</f>
        <v>0.11388000000000001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50</v>
      </c>
      <c r="Y449" s="43">
        <f>IFERROR(SUM(Y446:Y447),"0")</f>
        <v>54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15</v>
      </c>
      <c r="Y457" s="55">
        <f>IFERROR(IF(X457="",0,CEILING((X457/$H457),1)*$H457),"")</f>
        <v>16.8</v>
      </c>
      <c r="Z457" s="41">
        <f>IFERROR(IF(Y457=0,"",ROUNDUP(Y457/H457,0)*0.00902),"")</f>
        <v>3.6080000000000001E-2</v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15.892857142857142</v>
      </c>
      <c r="BN457" s="78">
        <f>IFERROR(Y457*I457/H457,"0")</f>
        <v>17.8</v>
      </c>
      <c r="BO457" s="78">
        <f>IFERROR(1/J457*(X457/H457),"0")</f>
        <v>2.7056277056277056E-2</v>
      </c>
      <c r="BP457" s="78">
        <f>IFERROR(1/J457*(Y457/H457),"0")</f>
        <v>3.0303030303030304E-2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3.5714285714285712</v>
      </c>
      <c r="Y458" s="43">
        <f>IFERROR(Y457/H457,"0")</f>
        <v>4</v>
      </c>
      <c r="Z458" s="43">
        <f>IFERROR(IF(Z457="",0,Z457),"0")</f>
        <v>3.6080000000000001E-2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15</v>
      </c>
      <c r="Y459" s="43">
        <f>IFERROR(SUM(Y457:Y457),"0")</f>
        <v>16.8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100</v>
      </c>
      <c r="Y461" s="55">
        <f>IFERROR(IF(X461="",0,CEILING((X461/$H461),1)*$H461),"")</f>
        <v>108</v>
      </c>
      <c r="Z461" s="41">
        <f>IFERROR(IF(Y461=0,"",ROUNDUP(Y461/H461,0)*0.01898),"")</f>
        <v>0.22776000000000002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105.48888888888888</v>
      </c>
      <c r="BN461" s="78">
        <f>IFERROR(Y461*I461/H461,"0")</f>
        <v>113.92799999999998</v>
      </c>
      <c r="BO461" s="78">
        <f>IFERROR(1/J461*(X461/H461),"0")</f>
        <v>0.1736111111111111</v>
      </c>
      <c r="BP461" s="78">
        <f>IFERROR(1/J461*(Y461/H461),"0")</f>
        <v>0.1875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11.111111111111111</v>
      </c>
      <c r="Y464" s="43">
        <f>IFERROR(Y461/H461,"0")+IFERROR(Y462/H462,"0")+IFERROR(Y463/H463,"0")</f>
        <v>12</v>
      </c>
      <c r="Z464" s="43">
        <f>IFERROR(IF(Z461="",0,Z461),"0")+IFERROR(IF(Z462="",0,Z462),"0")+IFERROR(IF(Z463="",0,Z463),"0")</f>
        <v>0.22776000000000002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100</v>
      </c>
      <c r="Y465" s="43">
        <f>IFERROR(SUM(Y461:Y463),"0")</f>
        <v>108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45</v>
      </c>
      <c r="Y469" s="55">
        <f t="shared" ref="Y469:Y474" si="57">IFERROR(IF(X469="",0,CEILING((X469/$H469),1)*$H469),"")</f>
        <v>48.6</v>
      </c>
      <c r="Z469" s="41">
        <f>IFERROR(IF(Y469=0,"",ROUNDUP(Y469/H469,0)*0.00902),"")</f>
        <v>8.1180000000000002E-2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46.583333333333329</v>
      </c>
      <c r="BN469" s="78">
        <f t="shared" ref="BN469:BN474" si="59">IFERROR(Y469*I469/H469,"0")</f>
        <v>50.309999999999995</v>
      </c>
      <c r="BO469" s="78">
        <f t="shared" ref="BO469:BO474" si="60">IFERROR(1/J469*(X469/H469),"0")</f>
        <v>6.3131313131313122E-2</v>
      </c>
      <c r="BP469" s="78">
        <f t="shared" ref="BP469:BP474" si="61">IFERROR(1/J469*(Y469/H469),"0")</f>
        <v>6.8181818181818177E-2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8.3333333333333321</v>
      </c>
      <c r="Y475" s="43">
        <f>IFERROR(Y469/H469,"0")+IFERROR(Y470/H470,"0")+IFERROR(Y471/H471,"0")+IFERROR(Y472/H472,"0")+IFERROR(Y473/H473,"0")+IFERROR(Y474/H474,"0")</f>
        <v>9</v>
      </c>
      <c r="Z475" s="43">
        <f>IFERROR(IF(Z469="",0,Z469),"0")+IFERROR(IF(Z470="",0,Z470),"0")+IFERROR(IF(Z471="",0,Z471),"0")+IFERROR(IF(Z472="",0,Z472),"0")+IFERROR(IF(Z473="",0,Z473),"0")+IFERROR(IF(Z474="",0,Z474),"0")</f>
        <v>8.1180000000000002E-2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45</v>
      </c>
      <c r="Y476" s="43">
        <f>IFERROR(SUM(Y469:Y474),"0")</f>
        <v>48.6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50</v>
      </c>
      <c r="Y488" s="55">
        <f>IFERROR(IF(X488="",0,CEILING((X488/$H488),1)*$H488),"")</f>
        <v>54</v>
      </c>
      <c r="Z488" s="41">
        <f>IFERROR(IF(Y488=0,"",ROUNDUP(Y488/H488,0)*0.00902),"")</f>
        <v>9.0200000000000002E-2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51.759259259259252</v>
      </c>
      <c r="BN488" s="78">
        <f>IFERROR(Y488*I488/H488,"0")</f>
        <v>55.9</v>
      </c>
      <c r="BO488" s="78">
        <f>IFERROR(1/J488*(X488/H488),"0")</f>
        <v>7.0145903479236812E-2</v>
      </c>
      <c r="BP488" s="78">
        <f>IFERROR(1/J488*(Y488/H488),"0")</f>
        <v>7.575757575757576E-2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9.2592592592592595</v>
      </c>
      <c r="Y491" s="43">
        <f>IFERROR(Y488/H488,"0")+IFERROR(Y489/H489,"0")+IFERROR(Y490/H490,"0")</f>
        <v>10</v>
      </c>
      <c r="Z491" s="43">
        <f>IFERROR(IF(Z488="",0,Z488),"0")+IFERROR(IF(Z489="",0,Z489),"0")+IFERROR(IF(Z490="",0,Z490),"0")</f>
        <v>9.0200000000000002E-2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50</v>
      </c>
      <c r="Y492" s="43">
        <f>IFERROR(SUM(Y488:Y490),"0")</f>
        <v>54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655</v>
      </c>
      <c r="Y499" s="55">
        <f t="shared" si="62"/>
        <v>660</v>
      </c>
      <c r="Z499" s="41">
        <f t="shared" si="63"/>
        <v>1.4950000000000001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698.41856060606062</v>
      </c>
      <c r="BN499" s="78">
        <f t="shared" si="65"/>
        <v>703.74999999999989</v>
      </c>
      <c r="BO499" s="78">
        <f t="shared" si="66"/>
        <v>1.1928175990675991</v>
      </c>
      <c r="BP499" s="78">
        <f t="shared" si="67"/>
        <v>1.2019230769230771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680</v>
      </c>
      <c r="Y501" s="55">
        <f t="shared" si="62"/>
        <v>681.12</v>
      </c>
      <c r="Z501" s="41">
        <f t="shared" si="63"/>
        <v>1.54284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725.07575757575751</v>
      </c>
      <c r="BN501" s="78">
        <f t="shared" si="65"/>
        <v>726.26999999999987</v>
      </c>
      <c r="BO501" s="78">
        <f t="shared" si="66"/>
        <v>1.2383449883449884</v>
      </c>
      <c r="BP501" s="78">
        <f t="shared" si="67"/>
        <v>1.2403846153846154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252.84090909090907</v>
      </c>
      <c r="Y505" s="43">
        <f>IFERROR(Y496/H496,"0")+IFERROR(Y497/H497,"0")+IFERROR(Y498/H498,"0")+IFERROR(Y499/H499,"0")+IFERROR(Y500/H500,"0")+IFERROR(Y501/H501,"0")+IFERROR(Y502/H502,"0")+IFERROR(Y503/H503,"0")+IFERROR(Y504/H504,"0")</f>
        <v>254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3.0378400000000001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1335</v>
      </c>
      <c r="Y506" s="43">
        <f>IFERROR(SUM(Y496:Y504),"0")</f>
        <v>1341.12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1160</v>
      </c>
      <c r="Y508" s="55">
        <f>IFERROR(IF(X508="",0,CEILING((X508/$H508),1)*$H508),"")</f>
        <v>1161.6000000000001</v>
      </c>
      <c r="Z508" s="41">
        <f>IFERROR(IF(Y508=0,"",ROUNDUP(Y508/H508,0)*0.01196),"")</f>
        <v>2.6312000000000002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1236.8939393939393</v>
      </c>
      <c r="BN508" s="78">
        <f>IFERROR(Y508*I508/H508,"0")</f>
        <v>1238.6000000000001</v>
      </c>
      <c r="BO508" s="78">
        <f>IFERROR(1/J508*(X508/H508),"0")</f>
        <v>2.1124708624708624</v>
      </c>
      <c r="BP508" s="78">
        <f>IFERROR(1/J508*(Y508/H508),"0")</f>
        <v>2.1153846153846159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219.69696969696969</v>
      </c>
      <c r="Y511" s="43">
        <f>IFERROR(Y508/H508,"0")+IFERROR(Y509/H509,"0")+IFERROR(Y510/H510,"0")</f>
        <v>220.00000000000003</v>
      </c>
      <c r="Z511" s="43">
        <f>IFERROR(IF(Z508="",0,Z508),"0")+IFERROR(IF(Z509="",0,Z509),"0")+IFERROR(IF(Z510="",0,Z510),"0")</f>
        <v>2.6312000000000002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1160</v>
      </c>
      <c r="Y512" s="43">
        <f>IFERROR(SUM(Y508:Y510),"0")</f>
        <v>1161.6000000000001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210</v>
      </c>
      <c r="Y514" s="55">
        <f t="shared" ref="Y514:Y520" si="68">IFERROR(IF(X514="",0,CEILING((X514/$H514),1)*$H514),"")</f>
        <v>211.20000000000002</v>
      </c>
      <c r="Z514" s="41">
        <f>IFERROR(IF(Y514=0,"",ROUNDUP(Y514/H514,0)*0.01196),"")</f>
        <v>0.47839999999999999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223.92045454545453</v>
      </c>
      <c r="BN514" s="78">
        <f t="shared" ref="BN514:BN520" si="70">IFERROR(Y514*I514/H514,"0")</f>
        <v>225.2</v>
      </c>
      <c r="BO514" s="78">
        <f t="shared" ref="BO514:BO520" si="71">IFERROR(1/J514*(X514/H514),"0")</f>
        <v>0.38243006993006995</v>
      </c>
      <c r="BP514" s="78">
        <f t="shared" ref="BP514:BP520" si="72">IFERROR(1/J514*(Y514/H514),"0")</f>
        <v>0.38461538461538464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10</v>
      </c>
      <c r="Y515" s="55">
        <f t="shared" si="68"/>
        <v>10.56</v>
      </c>
      <c r="Z515" s="41">
        <f>IFERROR(IF(Y515=0,"",ROUNDUP(Y515/H515,0)*0.01196),"")</f>
        <v>2.392E-2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10.662878787878787</v>
      </c>
      <c r="BN515" s="78">
        <f t="shared" si="70"/>
        <v>11.26</v>
      </c>
      <c r="BO515" s="78">
        <f t="shared" si="71"/>
        <v>1.8210955710955712E-2</v>
      </c>
      <c r="BP515" s="78">
        <f t="shared" si="72"/>
        <v>1.9230769230769232E-2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310</v>
      </c>
      <c r="Y516" s="55">
        <f t="shared" si="68"/>
        <v>311.52000000000004</v>
      </c>
      <c r="Z516" s="41">
        <f>IFERROR(IF(Y516=0,"",ROUNDUP(Y516/H516,0)*0.01196),"")</f>
        <v>0.70564000000000004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330.54924242424238</v>
      </c>
      <c r="BN516" s="78">
        <f t="shared" si="70"/>
        <v>332.17</v>
      </c>
      <c r="BO516" s="78">
        <f t="shared" si="71"/>
        <v>0.56453962703962701</v>
      </c>
      <c r="BP516" s="78">
        <f t="shared" si="72"/>
        <v>0.5673076923076924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100.37878787878788</v>
      </c>
      <c r="Y521" s="43">
        <f>IFERROR(Y514/H514,"0")+IFERROR(Y515/H515,"0")+IFERROR(Y516/H516,"0")+IFERROR(Y517/H517,"0")+IFERROR(Y518/H518,"0")+IFERROR(Y519/H519,"0")+IFERROR(Y520/H520,"0")</f>
        <v>101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1.2079599999999999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530</v>
      </c>
      <c r="Y522" s="43">
        <f>IFERROR(SUM(Y514:Y520),"0")</f>
        <v>533.28000000000009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120</v>
      </c>
      <c r="Y526" s="55">
        <f>IFERROR(IF(X526="",0,CEILING((X526/$H526),1)*$H526),"")</f>
        <v>120</v>
      </c>
      <c r="Z526" s="41">
        <f>IFERROR(IF(Y526=0,"",ROUNDUP(Y526/H526,0)*0.01898),"")</f>
        <v>0.1898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124.10000000000001</v>
      </c>
      <c r="BN526" s="78">
        <f>IFERROR(Y526*I526/H526,"0")</f>
        <v>124.10000000000001</v>
      </c>
      <c r="BO526" s="78">
        <f>IFERROR(1/J526*(X526/H526),"0")</f>
        <v>0.15625</v>
      </c>
      <c r="BP526" s="78">
        <f>IFERROR(1/J526*(Y526/H526),"0")</f>
        <v>0.15625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10</v>
      </c>
      <c r="Y527" s="43">
        <f>IFERROR(Y526/H526,"0")</f>
        <v>10</v>
      </c>
      <c r="Z527" s="43">
        <f>IFERROR(IF(Z526="",0,Z526),"0")</f>
        <v>0.1898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120</v>
      </c>
      <c r="Y528" s="43">
        <f>IFERROR(SUM(Y526:Y526),"0")</f>
        <v>120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26.488095238095237</v>
      </c>
      <c r="BN534" s="78">
        <f>IFERROR(Y534*I534/H534,"0")</f>
        <v>26.700000000000003</v>
      </c>
      <c r="BO534" s="78">
        <f>IFERROR(1/J534*(X534/H534),"0")</f>
        <v>4.5093795093795096E-2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5.9523809523809526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17985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18126.759999999998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18840.223274810549</v>
      </c>
      <c r="Y552" s="43">
        <f>IFERROR(SUM(BN22:BN548),"0")</f>
        <v>18988.917999999994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30</v>
      </c>
      <c r="Y553" s="44">
        <f>ROUNDUP(SUM(BP22:BP548),0)</f>
        <v>30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19590.223274810549</v>
      </c>
      <c r="Y554" s="43">
        <f>GrossWeightTotalR+PalletQtyTotalR*25</f>
        <v>19738.917999999994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2218.3730009347823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2240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34.540839999999996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43.2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2121.3000000000002</v>
      </c>
      <c r="F561" s="52">
        <f>IFERROR(Y88*1,"0")+IFERROR(Y89*1,"0")+IFERROR(Y90*1,"0")+IFERROR(Y91*1,"0")+IFERROR(Y95*1,"0")+IFERROR(Y96*1,"0")+IFERROR(Y97*1,"0")+IFERROR(Y98*1,"0")</f>
        <v>146.69999999999999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332.7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224.16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33.6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766.19999999999993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3384</v>
      </c>
      <c r="U561" s="52">
        <f>IFERROR(Y415*1,"0")+IFERROR(Y416*1,"0")+IFERROR(Y417*1,"0")</f>
        <v>531.29999999999995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7030</v>
      </c>
      <c r="W561" s="52">
        <f>IFERROR(Y452*1,"0")+IFERROR(Y453*1,"0")+IFERROR(Y457*1,"0")+IFERROR(Y461*1,"0")+IFERROR(Y462*1,"0")+IFERROR(Y463*1,"0")</f>
        <v>124.8</v>
      </c>
      <c r="X561" s="52">
        <f>IFERROR(Y469*1,"0")+IFERROR(Y470*1,"0")+IFERROR(Y471*1,"0")+IFERROR(Y472*1,"0")+IFERROR(Y473*1,"0")+IFERROR(Y474*1,"0")+IFERROR(Y478*1,"0")+IFERROR(Y479*1,"0")</f>
        <v>48.6</v>
      </c>
      <c r="Y561" s="52">
        <f>IFERROR(Y484*1,"0")+IFERROR(Y488*1,"0")+IFERROR(Y489*1,"0")+IFERROR(Y490*1,"0")</f>
        <v>54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3036</v>
      </c>
      <c r="AA561" s="52">
        <f>IFERROR(Y526*1,"0")+IFERROR(Y530*1,"0")+IFERROR(Y534*1,"0")+IFERROR(Y538*1,"0")+IFERROR(Y542*1,"0")+IFERROR(Y543*1,"0")</f>
        <v>145.19999999999999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0,00"/>
        <filter val="1 335,00"/>
        <filter val="1 400,00"/>
        <filter val="1 455,00"/>
        <filter val="1 500,00"/>
        <filter val="10,00"/>
        <filter val="100,00"/>
        <filter val="100,38"/>
        <filter val="106,41"/>
        <filter val="11,11"/>
        <filter val="110,00"/>
        <filter val="118,00"/>
        <filter val="12,35"/>
        <filter val="120,00"/>
        <filter val="140,00"/>
        <filter val="141,85"/>
        <filter val="15,00"/>
        <filter val="15,93"/>
        <filter val="16,67"/>
        <filter val="17 985,00"/>
        <filter val="179,49"/>
        <filter val="18 840,22"/>
        <filter val="180,00"/>
        <filter val="19 590,22"/>
        <filter val="199,00"/>
        <filter val="2 218,37"/>
        <filter val="2 750,00"/>
        <filter val="21,00"/>
        <filter val="210,00"/>
        <filter val="219,70"/>
        <filter val="230,00"/>
        <filter val="25,00"/>
        <filter val="250,00"/>
        <filter val="252,84"/>
        <filter val="28,57"/>
        <filter val="280,00"/>
        <filter val="3,57"/>
        <filter val="3,70"/>
        <filter val="3,79"/>
        <filter val="30"/>
        <filter val="30,00"/>
        <filter val="30,86"/>
        <filter val="310,00"/>
        <filter val="33,33"/>
        <filter val="33,93"/>
        <filter val="348,33"/>
        <filter val="36,88"/>
        <filter val="39,00"/>
        <filter val="4,78"/>
        <filter val="40,00"/>
        <filter val="43,00"/>
        <filter val="45,00"/>
        <filter val="460,00"/>
        <filter val="5 175,00"/>
        <filter val="5,00"/>
        <filter val="5,56"/>
        <filter val="5,95"/>
        <filter val="50,00"/>
        <filter val="510,00"/>
        <filter val="530,00"/>
        <filter val="531,00"/>
        <filter val="55,00"/>
        <filter val="58,78"/>
        <filter val="60,00"/>
        <filter val="60,19"/>
        <filter val="650,00"/>
        <filter val="655,00"/>
        <filter val="66,67"/>
        <filter val="670,00"/>
        <filter val="680,00"/>
        <filter val="7,14"/>
        <filter val="72,96"/>
        <filter val="78,70"/>
        <filter val="8,33"/>
        <filter val="80,00"/>
        <filter val="830,00"/>
        <filter val="850,00"/>
        <filter val="880,00"/>
        <filter val="9,00"/>
        <filter val="9,26"/>
        <filter val="900,00"/>
        <filter val="92,59"/>
        <filter val="95,00"/>
        <filter val="97,78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