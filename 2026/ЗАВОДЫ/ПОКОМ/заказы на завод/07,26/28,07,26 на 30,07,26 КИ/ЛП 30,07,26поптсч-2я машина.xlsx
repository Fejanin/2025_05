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4CB2D9-B675-4A2E-A753-22D47547D37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BN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41" i="2" l="1"/>
  <c r="BN54" i="2"/>
  <c r="BN65" i="2"/>
  <c r="BN185" i="2"/>
  <c r="BN202" i="2"/>
  <c r="Y204" i="2"/>
  <c r="BN241" i="2"/>
  <c r="BN260" i="2"/>
  <c r="BN342" i="2"/>
  <c r="BN364" i="2"/>
  <c r="BN453" i="2"/>
  <c r="BN53" i="2"/>
  <c r="Y85" i="2"/>
  <c r="Z95" i="2"/>
  <c r="BN121" i="2"/>
  <c r="Z149" i="2"/>
  <c r="BN166" i="2"/>
  <c r="Z208" i="2"/>
  <c r="BN211" i="2"/>
  <c r="Z225" i="2"/>
  <c r="BN231" i="2"/>
  <c r="BP234" i="2"/>
  <c r="BN235" i="2"/>
  <c r="Z283" i="2"/>
  <c r="Z304" i="2"/>
  <c r="Z319" i="2"/>
  <c r="Z330" i="2"/>
  <c r="BN344" i="2"/>
  <c r="BN384" i="2"/>
  <c r="BN423" i="2"/>
  <c r="BN479" i="2"/>
  <c r="BP484" i="2"/>
  <c r="BP161" i="2"/>
  <c r="BP366" i="2"/>
  <c r="BP88" i="2"/>
  <c r="Z98" i="2"/>
  <c r="Z139" i="2"/>
  <c r="Z142" i="2"/>
  <c r="Z143" i="2" s="1"/>
  <c r="Z161" i="2"/>
  <c r="Z162" i="2" s="1"/>
  <c r="Z184" i="2"/>
  <c r="Z187" i="2"/>
  <c r="Z191" i="2"/>
  <c r="BP226" i="2"/>
  <c r="Z230" i="2"/>
  <c r="BP230" i="2"/>
  <c r="Z232" i="2"/>
  <c r="BP240" i="2"/>
  <c r="Z242" i="2"/>
  <c r="Z295" i="2"/>
  <c r="Z366" i="2"/>
  <c r="BP383" i="2"/>
  <c r="Z409" i="2"/>
  <c r="BP441" i="2"/>
  <c r="Z469" i="2"/>
  <c r="Z478" i="2"/>
  <c r="BN29" i="2"/>
  <c r="Y47" i="2"/>
  <c r="BN52" i="2"/>
  <c r="Z53" i="2"/>
  <c r="Z72" i="2"/>
  <c r="BN77" i="2"/>
  <c r="Z135" i="2"/>
  <c r="BP141" i="2"/>
  <c r="Z166" i="2"/>
  <c r="Z185" i="2"/>
  <c r="Z211" i="2"/>
  <c r="Z226" i="2"/>
  <c r="Z240" i="2"/>
  <c r="Z249" i="2"/>
  <c r="Z275" i="2"/>
  <c r="Z282" i="2"/>
  <c r="BP283" i="2"/>
  <c r="BN284" i="2"/>
  <c r="Y298" i="2"/>
  <c r="BP304" i="2"/>
  <c r="BN305" i="2"/>
  <c r="Z306" i="2"/>
  <c r="Y331" i="2"/>
  <c r="BP327" i="2"/>
  <c r="BN328" i="2"/>
  <c r="Z329" i="2"/>
  <c r="Z344" i="2"/>
  <c r="Z377" i="2"/>
  <c r="Y412" i="2"/>
  <c r="BP408" i="2"/>
  <c r="Z423" i="2"/>
  <c r="Z427" i="2"/>
  <c r="BP428" i="2"/>
  <c r="BN429" i="2"/>
  <c r="Z441" i="2"/>
  <c r="BP457" i="2"/>
  <c r="Z503" i="2"/>
  <c r="BP503" i="2"/>
  <c r="BN504" i="2"/>
  <c r="Y531" i="2"/>
  <c r="D561" i="2"/>
  <c r="BP98" i="2"/>
  <c r="BP187" i="2"/>
  <c r="Y387" i="2"/>
  <c r="Z88" i="2"/>
  <c r="Z91" i="2"/>
  <c r="BP142" i="2"/>
  <c r="BP329" i="2"/>
  <c r="Z346" i="2"/>
  <c r="Z383" i="2"/>
  <c r="BP478" i="2"/>
  <c r="BN30" i="2"/>
  <c r="Z41" i="2"/>
  <c r="BN42" i="2"/>
  <c r="Z62" i="2"/>
  <c r="BP83" i="2"/>
  <c r="Y93" i="2"/>
  <c r="Z116" i="2"/>
  <c r="BN120" i="2"/>
  <c r="H561" i="2"/>
  <c r="BP132" i="2"/>
  <c r="BN140" i="2"/>
  <c r="Y143" i="2"/>
  <c r="BN156" i="2"/>
  <c r="Y163" i="2"/>
  <c r="Y203" i="2"/>
  <c r="BP225" i="2"/>
  <c r="BN264" i="2"/>
  <c r="Z265" i="2"/>
  <c r="Z266" i="2" s="1"/>
  <c r="BN269" i="2"/>
  <c r="BN290" i="2"/>
  <c r="BN295" i="2"/>
  <c r="Z342" i="2"/>
  <c r="Z367" i="2"/>
  <c r="BN396" i="2"/>
  <c r="Z408" i="2"/>
  <c r="BP426" i="2"/>
  <c r="Z428" i="2"/>
  <c r="W561" i="2"/>
  <c r="Z457" i="2"/>
  <c r="Z458" i="2" s="1"/>
  <c r="BN470" i="2"/>
  <c r="BN489" i="2"/>
  <c r="BN515" i="2"/>
  <c r="Z538" i="2"/>
  <c r="Z539" i="2" s="1"/>
  <c r="BP365" i="2"/>
  <c r="Z501" i="2"/>
  <c r="Y369" i="2"/>
  <c r="BP391" i="2"/>
  <c r="Z272" i="2"/>
  <c r="Z269" i="2"/>
  <c r="BP385" i="2"/>
  <c r="Z385" i="2"/>
  <c r="BN417" i="2"/>
  <c r="Z416" i="2"/>
  <c r="BP416" i="2"/>
  <c r="Z415" i="2"/>
  <c r="Z178" i="2"/>
  <c r="BN375" i="2"/>
  <c r="Z372" i="2"/>
  <c r="Y370" i="2"/>
  <c r="Z425" i="2"/>
  <c r="BP501" i="2"/>
  <c r="BP363" i="2"/>
  <c r="Z51" i="2"/>
  <c r="Y55" i="2"/>
  <c r="X555" i="2"/>
  <c r="BP434" i="2"/>
  <c r="Y437" i="2"/>
  <c r="Z434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51" i="2" l="1"/>
  <c r="Z347" i="2"/>
  <c r="Z322" i="2"/>
  <c r="Z411" i="2"/>
  <c r="Z292" i="2"/>
  <c r="Z277" i="2"/>
  <c r="Z136" i="2"/>
  <c r="Z331" i="2"/>
  <c r="Z99" i="2"/>
  <c r="Z437" i="2"/>
  <c r="Z386" i="2"/>
  <c r="Z418" i="2"/>
  <c r="Z379" i="2"/>
  <c r="Z431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<sst xmlns="http://schemas.openxmlformats.org/spreadsheetml/2006/main" count="4202" uniqueCount="896">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</sst>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160</v>
      </c>
      <c r="Y53" s="55">
        <f>IFERROR(IF(X53="",0,CEILING((X53/$H53),1)*$H53),"")</f>
        <v>160</v>
      </c>
      <c r="Z53" s="41">
        <f>IFERROR(IF(Y53=0,"",ROUNDUP(Y53/H53,0)*0.00902),"")</f>
        <v>0.36080000000000001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167.60000000000002</v>
      </c>
      <c r="BN53" s="78">
        <f>IFERROR(Y53*I53/H53,"0")</f>
        <v>167.60000000000002</v>
      </c>
      <c r="BO53" s="78">
        <f>IFERROR(1/J53*(X53/H53),"0")</f>
        <v>0.30303030303030304</v>
      </c>
      <c r="BP53" s="78">
        <f>IFERROR(1/J53*(Y53/H53),"0")</f>
        <v>0.30303030303030304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58.518518518518519</v>
      </c>
      <c r="Y55" s="43">
        <f>IFERROR(Y51/H51,"0")+IFERROR(Y52/H52,"0")+IFERROR(Y53/H53,"0")+IFERROR(Y54/H54,"0")</f>
        <v>59</v>
      </c>
      <c r="Z55" s="43">
        <f>IFERROR(IF(Z51="",0,Z51),"0")+IFERROR(IF(Z52="",0,Z52),"0")+IFERROR(IF(Z53="",0,Z53),"0")+IFERROR(IF(Z54="",0,Z54),"0")</f>
        <v>0.72141999999999995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360</v>
      </c>
      <c r="Y56" s="43">
        <f>IFERROR(SUM(Y51:Y54),"0")</f>
        <v>365.20000000000005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1080</v>
      </c>
      <c r="Y66" s="55">
        <f t="shared" si="0"/>
        <v>1080</v>
      </c>
      <c r="Z66" s="41">
        <f>IFERROR(IF(Y66=0,"",ROUNDUP(Y66/H66,0)*0.00902),"")</f>
        <v>2.1648000000000001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1125.6000000000001</v>
      </c>
      <c r="BN66" s="78">
        <f t="shared" si="2"/>
        <v>1125.6000000000001</v>
      </c>
      <c r="BO66" s="78">
        <f t="shared" si="3"/>
        <v>1.8181818181818183</v>
      </c>
      <c r="BP66" s="78">
        <f t="shared" si="4"/>
        <v>1.8181818181818183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240</v>
      </c>
      <c r="Y67" s="43">
        <f>IFERROR(Y59/H59,"0")+IFERROR(Y60/H60,"0")+IFERROR(Y61/H61,"0")+IFERROR(Y62/H62,"0")+IFERROR(Y63/H63,"0")+IFERROR(Y64/H64,"0")+IFERROR(Y65/H65,"0")+IFERROR(Y66/H66,"0")</f>
        <v>240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2.1648000000000001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1080</v>
      </c>
      <c r="Y68" s="43">
        <f>IFERROR(SUM(Y59:Y66),"0")</f>
        <v>1080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491</v>
      </c>
      <c r="Y73" s="55">
        <f>IFERROR(IF(X73="",0,CEILING((X73/$H73),1)*$H73),"")</f>
        <v>491.40000000000003</v>
      </c>
      <c r="Z73" s="41">
        <f>IFERROR(IF(Y73=0,"",ROUNDUP(Y73/H73,0)*0.00651),"")</f>
        <v>1.18482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523.73333333333323</v>
      </c>
      <c r="BN73" s="78">
        <f>IFERROR(Y73*I73/H73,"0")</f>
        <v>524.16</v>
      </c>
      <c r="BO73" s="78">
        <f>IFERROR(1/J73*(X73/H73),"0")</f>
        <v>0.99918599918599926</v>
      </c>
      <c r="BP73" s="78">
        <f>IFERROR(1/J73*(Y73/H73),"0")</f>
        <v>1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181.85185185185185</v>
      </c>
      <c r="Y74" s="43">
        <f>IFERROR(Y70/H70,"0")+IFERROR(Y71/H71,"0")+IFERROR(Y72/H72,"0")+IFERROR(Y73/H73,"0")</f>
        <v>182</v>
      </c>
      <c r="Z74" s="43">
        <f>IFERROR(IF(Z70="",0,Z70),"0")+IFERROR(IF(Z71="",0,Z71),"0")+IFERROR(IF(Z72="",0,Z72),"0")+IFERROR(IF(Z73="",0,Z73),"0")</f>
        <v>1.18482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491</v>
      </c>
      <c r="Y75" s="43">
        <f>IFERROR(SUM(Y70:Y73),"0")</f>
        <v>491.40000000000003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900</v>
      </c>
      <c r="Y120" s="55">
        <f>IFERROR(IF(X120="",0,CEILING((X120/$H120),1)*$H120),"")</f>
        <v>907.19999999999993</v>
      </c>
      <c r="Z120" s="41">
        <f>IFERROR(IF(Y120=0,"",ROUNDUP(Y120/H120,0)*0.01898),"")</f>
        <v>2.1257600000000001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954.22222222222217</v>
      </c>
      <c r="BN120" s="78">
        <f>IFERROR(Y120*I120/H120,"0")</f>
        <v>961.85599999999988</v>
      </c>
      <c r="BO120" s="78">
        <f>IFERROR(1/J120*(X120/H120),"0")</f>
        <v>1.7361111111111112</v>
      </c>
      <c r="BP120" s="78">
        <f>IFERROR(1/J120*(Y120/H120),"0")</f>
        <v>1.75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111.11111111111111</v>
      </c>
      <c r="Y124" s="43">
        <f>IFERROR(Y120/H120,"0")+IFERROR(Y121/H121,"0")+IFERROR(Y122/H122,"0")+IFERROR(Y123/H123,"0")</f>
        <v>112</v>
      </c>
      <c r="Z124" s="43">
        <f>IFERROR(IF(Z120="",0,Z120),"0")+IFERROR(IF(Z121="",0,Z121),"0")+IFERROR(IF(Z122="",0,Z122),"0")+IFERROR(IF(Z123="",0,Z123),"0")</f>
        <v>2.1257600000000001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900</v>
      </c>
      <c r="Y125" s="43">
        <f>IFERROR(SUM(Y120:Y123),"0")</f>
        <v>907.19999999999993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150</v>
      </c>
      <c r="Y178" s="55">
        <f t="shared" si="10"/>
        <v>150.5</v>
      </c>
      <c r="Z178" s="41">
        <f>IFERROR(IF(Y178=0,"",ROUNDUP(Y178/H178,0)*0.00902),"")</f>
        <v>0.38785999999999998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161.35714285714286</v>
      </c>
      <c r="BN178" s="78">
        <f t="shared" si="12"/>
        <v>161.89500000000001</v>
      </c>
      <c r="BO178" s="78">
        <f t="shared" si="13"/>
        <v>0.32467532467532467</v>
      </c>
      <c r="BP178" s="78">
        <f t="shared" si="14"/>
        <v>0.32575757575757575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100</v>
      </c>
      <c r="Y180" s="55">
        <f t="shared" si="10"/>
        <v>101.5</v>
      </c>
      <c r="Z180" s="41">
        <f>IFERROR(IF(Y180=0,"",ROUNDUP(Y180/H180,0)*0.00902),"")</f>
        <v>0.26158000000000003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105.42857142857143</v>
      </c>
      <c r="BN180" s="78">
        <f t="shared" si="12"/>
        <v>107.00999999999999</v>
      </c>
      <c r="BO180" s="78">
        <f t="shared" si="13"/>
        <v>0.21645021645021648</v>
      </c>
      <c r="BP180" s="78">
        <f t="shared" si="14"/>
        <v>0.2196969696969697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71.428571428571431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72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0.64944000000000002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250</v>
      </c>
      <c r="Y189" s="43">
        <f>IFERROR(SUM(Y177:Y187),"0")</f>
        <v>252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ref="Y269:Y276" si="27">IFERROR(IF(X269="",0,CEILING((X269/$H269),1)*$H269),"")</f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258.7962962962963</v>
      </c>
      <c r="BN269" s="78">
        <f t="shared" ref="BN269:BN276" si="29">IFERROR(Y269*I269/H269,"0")</f>
        <v>262.72999999999996</v>
      </c>
      <c r="BO269" s="78">
        <f t="shared" ref="BO269:BO276" si="30">IFERROR(1/J269*(X269/H269),"0")</f>
        <v>0.35072951739618402</v>
      </c>
      <c r="BP269" s="78">
        <f t="shared" ref="BP269:BP276" si="31">IFERROR(1/J269*(Y269/H269),"0")</f>
        <v>0.35606060606060608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250</v>
      </c>
      <c r="Y270" s="55">
        <f t="shared" si="27"/>
        <v>253.8</v>
      </c>
      <c r="Z270" s="41">
        <f>IFERROR(IF(Y270=0,"",ROUNDUP(Y270/H270,0)*0.00902),"")</f>
        <v>0.42393999999999998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258.7962962962963</v>
      </c>
      <c r="BN270" s="78">
        <f t="shared" si="29"/>
        <v>262.72999999999996</v>
      </c>
      <c r="BO270" s="78">
        <f t="shared" si="30"/>
        <v>0.35072951739618402</v>
      </c>
      <c r="BP270" s="78">
        <f t="shared" si="31"/>
        <v>0.35606060606060608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250</v>
      </c>
      <c r="Y271" s="55">
        <f t="shared" si="27"/>
        <v>253.8</v>
      </c>
      <c r="Z271" s="41">
        <f>IFERROR(IF(Y271=0,"",ROUNDUP(Y271/H271,0)*0.00902),"")</f>
        <v>0.42393999999999998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258.7962962962963</v>
      </c>
      <c r="BN271" s="78">
        <f t="shared" si="29"/>
        <v>262.72999999999996</v>
      </c>
      <c r="BO271" s="78">
        <f t="shared" si="30"/>
        <v>0.35072951739618402</v>
      </c>
      <c r="BP271" s="78">
        <f t="shared" si="31"/>
        <v>0.35606060606060608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150</v>
      </c>
      <c r="Y272" s="55">
        <f t="shared" si="27"/>
        <v>151.20000000000002</v>
      </c>
      <c r="Z272" s="41">
        <f>IFERROR(IF(Y272=0,"",ROUNDUP(Y272/H272,0)*0.00902),"")</f>
        <v>0.25256000000000001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155.27777777777777</v>
      </c>
      <c r="BN272" s="78">
        <f t="shared" si="29"/>
        <v>156.52000000000001</v>
      </c>
      <c r="BO272" s="78">
        <f t="shared" si="30"/>
        <v>0.21043771043771042</v>
      </c>
      <c r="BP272" s="78">
        <f t="shared" si="31"/>
        <v>0.21212121212121213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166.66666666666663</v>
      </c>
      <c r="Y277" s="43">
        <f>IFERROR(Y269/H269,"0")+IFERROR(Y270/H270,"0")+IFERROR(Y271/H271,"0")+IFERROR(Y272/H272,"0")+IFERROR(Y273/H273,"0")+IFERROR(Y274/H274,"0")+IFERROR(Y275/H275,"0")+IFERROR(Y276/H276,"0")</f>
        <v>169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1.5243799999999998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900</v>
      </c>
      <c r="Y278" s="43">
        <f>IFERROR(SUM(Y269:Y276),"0")</f>
        <v>912.60000000000014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300</v>
      </c>
      <c r="Y372" s="55">
        <f t="shared" ref="Y372:Y378" si="47">IFERROR(IF(X372="",0,CEILING((X372/$H372),1)*$H372),"")</f>
        <v>302.40000000000003</v>
      </c>
      <c r="Z372" s="41">
        <f>IFERROR(IF(Y372=0,"",ROUNDUP(Y372/H372,0)*0.00902),"")</f>
        <v>0.64944000000000002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317.85714285714283</v>
      </c>
      <c r="BN372" s="78">
        <f t="shared" ref="BN372:BN378" si="49">IFERROR(Y372*I372/H372,"0")</f>
        <v>320.40000000000003</v>
      </c>
      <c r="BO372" s="78">
        <f t="shared" ref="BO372:BO378" si="50">IFERROR(1/J372*(X372/H372),"0")</f>
        <v>0.54112554112554112</v>
      </c>
      <c r="BP372" s="78">
        <f t="shared" ref="BP372:BP378" si="51">IFERROR(1/J372*(Y372/H372),"0")</f>
        <v>0.54545454545454541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400</v>
      </c>
      <c r="Y373" s="55">
        <f t="shared" si="47"/>
        <v>403.20000000000005</v>
      </c>
      <c r="Z373" s="41">
        <f>IFERROR(IF(Y373=0,"",ROUNDUP(Y373/H373,0)*0.00902),"")</f>
        <v>0.86592000000000002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423.8095238095238</v>
      </c>
      <c r="BN373" s="78">
        <f t="shared" si="49"/>
        <v>427.20000000000005</v>
      </c>
      <c r="BO373" s="78">
        <f t="shared" si="50"/>
        <v>0.72150072150072153</v>
      </c>
      <c r="BP373" s="78">
        <f t="shared" si="51"/>
        <v>0.72727272727272729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70</v>
      </c>
      <c r="Y375" s="55">
        <f t="shared" si="47"/>
        <v>71.400000000000006</v>
      </c>
      <c r="Z375" s="41">
        <f>IFERROR(IF(Y375=0,"",ROUNDUP(Y375/H375,0)*0.00502),"")</f>
        <v>0.17068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74.333333333333329</v>
      </c>
      <c r="BN375" s="78">
        <f t="shared" si="49"/>
        <v>75.820000000000007</v>
      </c>
      <c r="BO375" s="78">
        <f t="shared" si="50"/>
        <v>0.14245014245014245</v>
      </c>
      <c r="BP375" s="78">
        <f t="shared" si="51"/>
        <v>0.14529914529914531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200</v>
      </c>
      <c r="Y379" s="43">
        <f>IFERROR(Y372/H372,"0")+IFERROR(Y373/H373,"0")+IFERROR(Y374/H374,"0")+IFERROR(Y375/H375,"0")+IFERROR(Y376/H376,"0")+IFERROR(Y377/H377,"0")+IFERROR(Y378/H378,"0")</f>
        <v>202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1.68604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770</v>
      </c>
      <c r="Y380" s="43">
        <f>IFERROR(SUM(Y372:Y378),"0")</f>
        <v>777.00000000000011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60</v>
      </c>
      <c r="Y385" s="55">
        <f>IFERROR(IF(X385="",0,CEILING((X385/$H385),1)*$H385),"")</f>
        <v>60</v>
      </c>
      <c r="Z385" s="41">
        <f>IFERROR(IF(Y385=0,"",ROUNDUP(Y385/H385,0)*0.00651),"")</f>
        <v>0.13020000000000001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64.92</v>
      </c>
      <c r="BN385" s="78">
        <f>IFERROR(Y385*I385/H385,"0")</f>
        <v>64.92</v>
      </c>
      <c r="BO385" s="78">
        <f>IFERROR(1/J385*(X385/H385),"0")</f>
        <v>0.1098901098901099</v>
      </c>
      <c r="BP385" s="78">
        <f>IFERROR(1/J385*(Y385/H385),"0")</f>
        <v>0.1098901098901099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20</v>
      </c>
      <c r="Y386" s="43">
        <f>IFERROR(Y382/H382,"0")+IFERROR(Y383/H383,"0")+IFERROR(Y384/H384,"0")+IFERROR(Y385/H385,"0")</f>
        <v>20</v>
      </c>
      <c r="Z386" s="43">
        <f>IFERROR(IF(Z382="",0,Z382),"0")+IFERROR(IF(Z383="",0,Z383),"0")+IFERROR(IF(Z384="",0,Z384),"0")+IFERROR(IF(Z385="",0,Z385),"0")</f>
        <v>0.13020000000000001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60</v>
      </c>
      <c r="Y387" s="43">
        <f>IFERROR(SUM(Y382:Y385),"0")</f>
        <v>60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650</v>
      </c>
      <c r="Y390" s="55">
        <f>IFERROR(IF(X390="",0,CEILING((X390/$H390),1)*$H390),"")</f>
        <v>655.19999999999993</v>
      </c>
      <c r="Z390" s="41">
        <f>IFERROR(IF(Y390=0,"",ROUNDUP(Y390/H390,0)*0.01898),"")</f>
        <v>1.59432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691.16666666666674</v>
      </c>
      <c r="BN390" s="78">
        <f>IFERROR(Y390*I390/H390,"0")</f>
        <v>696.69600000000003</v>
      </c>
      <c r="BO390" s="78">
        <f>IFERROR(1/J390*(X390/H390),"0")</f>
        <v>1.3020833333333333</v>
      </c>
      <c r="BP390" s="78">
        <f>IFERROR(1/J390*(Y390/H390),"0")</f>
        <v>1.3125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250</v>
      </c>
      <c r="Y391" s="55">
        <f>IFERROR(IF(X391="",0,CEILING((X391/$H391),1)*$H391),"")</f>
        <v>252</v>
      </c>
      <c r="Z391" s="41">
        <f>IFERROR(IF(Y391=0,"",ROUNDUP(Y391/H391,0)*0.01898),"")</f>
        <v>0.56940000000000002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264.70238095238096</v>
      </c>
      <c r="BN391" s="78">
        <f>IFERROR(Y391*I391/H391,"0")</f>
        <v>266.82</v>
      </c>
      <c r="BO391" s="78">
        <f>IFERROR(1/J391*(X391/H391),"0")</f>
        <v>0.46502976190476186</v>
      </c>
      <c r="BP391" s="78">
        <f>IFERROR(1/J391*(Y391/H391),"0")</f>
        <v>0.46875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113.09523809523809</v>
      </c>
      <c r="Y392" s="43">
        <f>IFERROR(Y389/H389,"0")+IFERROR(Y390/H390,"0")+IFERROR(Y391/H391,"0")</f>
        <v>114</v>
      </c>
      <c r="Z392" s="43">
        <f>IFERROR(IF(Z389="",0,Z389),"0")+IFERROR(IF(Z390="",0,Z390),"0")+IFERROR(IF(Z391="",0,Z391),"0")</f>
        <v>2.1637200000000001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900</v>
      </c>
      <c r="Y393" s="43">
        <f>IFERROR(SUM(Y389:Y391),"0")</f>
        <v>907.19999999999993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12</v>
      </c>
      <c r="Y398" s="55">
        <f>IFERROR(IF(X398="",0,CEILING((X398/$H398),1)*$H398),"")</f>
        <v>12.75</v>
      </c>
      <c r="Z398" s="41">
        <f>IFERROR(IF(Y398=0,"",ROUNDUP(Y398/H398,0)*0.00651),"")</f>
        <v>3.2550000000000003E-2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13.55294117647059</v>
      </c>
      <c r="BN398" s="78">
        <f>IFERROR(Y398*I398/H398,"0")</f>
        <v>14.4</v>
      </c>
      <c r="BO398" s="78">
        <f>IFERROR(1/J398*(X398/H398),"0")</f>
        <v>2.5856496444731741E-2</v>
      </c>
      <c r="BP398" s="78">
        <f>IFERROR(1/J398*(Y398/H398),"0")</f>
        <v>2.7472527472527476E-2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4.7058823529411766</v>
      </c>
      <c r="Y399" s="43">
        <f>IFERROR(Y395/H395,"0")+IFERROR(Y396/H396,"0")+IFERROR(Y397/H397,"0")+IFERROR(Y398/H398,"0")</f>
        <v>5</v>
      </c>
      <c r="Z399" s="43">
        <f>IFERROR(IF(Z395="",0,Z395),"0")+IFERROR(IF(Z396="",0,Z396),"0")+IFERROR(IF(Z397="",0,Z397),"0")+IFERROR(IF(Z398="",0,Z398),"0")</f>
        <v>3.2550000000000003E-2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12</v>
      </c>
      <c r="Y400" s="43">
        <f>IFERROR(SUM(Y395:Y398),"0")</f>
        <v>12.75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140</v>
      </c>
      <c r="Y416" s="55">
        <f>IFERROR(IF(X416="",0,CEILING((X416/$H416),1)*$H416),"")</f>
        <v>140.70000000000002</v>
      </c>
      <c r="Z416" s="41">
        <f>IFERROR(IF(Y416=0,"",ROUNDUP(Y416/H416,0)*0.00651),"")</f>
        <v>0.43617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156.79999999999998</v>
      </c>
      <c r="BN416" s="78">
        <f>IFERROR(Y416*I416/H416,"0")</f>
        <v>157.584</v>
      </c>
      <c r="BO416" s="78">
        <f>IFERROR(1/J416*(X416/H416),"0")</f>
        <v>0.36630036630036628</v>
      </c>
      <c r="BP416" s="78">
        <f>IFERROR(1/J416*(Y416/H416),"0")</f>
        <v>0.36813186813186816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70</v>
      </c>
      <c r="Y417" s="55">
        <f>IFERROR(IF(X417="",0,CEILING((X417/$H417),1)*$H417),"")</f>
        <v>71.400000000000006</v>
      </c>
      <c r="Z417" s="41">
        <f>IFERROR(IF(Y417=0,"",ROUNDUP(Y417/H417,0)*0.00651),"")</f>
        <v>0.22134000000000001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77.999999999999986</v>
      </c>
      <c r="BN417" s="78">
        <f>IFERROR(Y417*I417/H417,"0")</f>
        <v>79.559999999999988</v>
      </c>
      <c r="BO417" s="78">
        <f>IFERROR(1/J417*(X417/H417),"0")</f>
        <v>0.18315018315018314</v>
      </c>
      <c r="BP417" s="78">
        <f>IFERROR(1/J417*(Y417/H417),"0")</f>
        <v>0.18681318681318682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99.999999999999986</v>
      </c>
      <c r="Y418" s="43">
        <f>IFERROR(Y415/H415,"0")+IFERROR(Y416/H416,"0")+IFERROR(Y417/H417,"0")</f>
        <v>101</v>
      </c>
      <c r="Z418" s="43">
        <f>IFERROR(IF(Z415="",0,Z415),"0")+IFERROR(IF(Z416="",0,Z416),"0")+IFERROR(IF(Z417="",0,Z417),"0")</f>
        <v>0.65751000000000004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210</v>
      </c>
      <c r="Y419" s="43">
        <f>IFERROR(SUM(Y415:Y417),"0")</f>
        <v>212.10000000000002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6000</v>
      </c>
      <c r="Y427" s="55">
        <f t="shared" si="52"/>
        <v>6000</v>
      </c>
      <c r="Z427" s="41">
        <f>IFERROR(IF(Y427=0,"",ROUNDUP(Y427/H427,0)*0.02175),"")</f>
        <v>8.6999999999999993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6188</v>
      </c>
      <c r="BN427" s="78">
        <f t="shared" si="54"/>
        <v>6188</v>
      </c>
      <c r="BO427" s="78">
        <f t="shared" si="55"/>
        <v>8.3333333333333321</v>
      </c>
      <c r="BP427" s="78">
        <f t="shared" si="56"/>
        <v>8.3333333333333321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50</v>
      </c>
      <c r="Y430" s="55">
        <f t="shared" si="52"/>
        <v>50</v>
      </c>
      <c r="Z430" s="41">
        <f>IFERROR(IF(Y430=0,"",ROUNDUP(Y430/H430,0)*0.00902),"")</f>
        <v>9.0200000000000002E-2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51.9</v>
      </c>
      <c r="BN430" s="78">
        <f t="shared" si="54"/>
        <v>51.9</v>
      </c>
      <c r="BO430" s="78">
        <f t="shared" si="55"/>
        <v>7.575757575757576E-2</v>
      </c>
      <c r="BP430" s="78">
        <f t="shared" si="56"/>
        <v>7.575757575757576E-2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410</v>
      </c>
      <c r="Y431" s="43">
        <f>IFERROR(Y423/H423,"0")+IFERROR(Y424/H424,"0")+IFERROR(Y425/H425,"0")+IFERROR(Y426/H426,"0")+IFERROR(Y427/H427,"0")+IFERROR(Y428/H428,"0")+IFERROR(Y429/H429,"0")+IFERROR(Y430/H430,"0")</f>
        <v>410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8.7901999999999987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6050</v>
      </c>
      <c r="Y432" s="43">
        <f>IFERROR(SUM(Y423:Y430),"0")</f>
        <v>6050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4000</v>
      </c>
      <c r="Y434" s="55">
        <f>IFERROR(IF(X434="",0,CEILING((X434/$H434),1)*$H434),"")</f>
        <v>4005</v>
      </c>
      <c r="Z434" s="41">
        <f>IFERROR(IF(Y434=0,"",ROUNDUP(Y434/H434,0)*0.02175),"")</f>
        <v>5.8072499999999998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4125.333333333333</v>
      </c>
      <c r="BN434" s="78">
        <f>IFERROR(Y434*I434/H434,"0")</f>
        <v>4130.4900000000007</v>
      </c>
      <c r="BO434" s="78">
        <f>IFERROR(1/J434*(X434/H434),"0")</f>
        <v>5.5555555555555554</v>
      </c>
      <c r="BP434" s="78">
        <f>IFERROR(1/J434*(Y434/H434),"0")</f>
        <v>5.5625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266.66666666666669</v>
      </c>
      <c r="Y437" s="43">
        <f>IFERROR(Y434/H434,"0")+IFERROR(Y435/H435,"0")+IFERROR(Y436/H436,"0")</f>
        <v>267</v>
      </c>
      <c r="Z437" s="43">
        <f>IFERROR(IF(Z434="",0,Z434),"0")+IFERROR(IF(Z435="",0,Z435),"0")+IFERROR(IF(Z436="",0,Z436),"0")</f>
        <v>5.8072499999999998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4000</v>
      </c>
      <c r="Y438" s="43">
        <f>IFERROR(SUM(Y434:Y436),"0")</f>
        <v>4005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600</v>
      </c>
      <c r="Y440" s="55">
        <f>IFERROR(IF(X440="",0,CEILING((X440/$H440),1)*$H440),"")</f>
        <v>603</v>
      </c>
      <c r="Z440" s="41">
        <f>IFERROR(IF(Y440=0,"",ROUNDUP(Y440/H440,0)*0.01898),"")</f>
        <v>1.27166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633.33333333333337</v>
      </c>
      <c r="BN440" s="78">
        <f>IFERROR(Y440*I440/H440,"0")</f>
        <v>636.5</v>
      </c>
      <c r="BO440" s="78">
        <f>IFERROR(1/J440*(X440/H440),"0")</f>
        <v>1.0416666666666667</v>
      </c>
      <c r="BP440" s="78">
        <f>IFERROR(1/J440*(Y440/H440),"0")</f>
        <v>1.046875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66.666666666666671</v>
      </c>
      <c r="Y443" s="43">
        <f>IFERROR(Y440/H440,"0")+IFERROR(Y441/H441,"0")+IFERROR(Y442/H442,"0")</f>
        <v>67</v>
      </c>
      <c r="Z443" s="43">
        <f>IFERROR(IF(Z440="",0,Z440),"0")+IFERROR(IF(Z441="",0,Z441),"0")+IFERROR(IF(Z442="",0,Z442),"0")</f>
        <v>1.27166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600</v>
      </c>
      <c r="Y444" s="43">
        <f>IFERROR(SUM(Y440:Y442),"0")</f>
        <v>603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50</v>
      </c>
      <c r="Y469" s="55">
        <f t="shared" ref="Y469:Y474" si="57">IFERROR(IF(X469="",0,CEILING((X469/$H469),1)*$H469),"")</f>
        <v>54</v>
      </c>
      <c r="Z469" s="41">
        <f>IFERROR(IF(Y469=0,"",ROUNDUP(Y469/H469,0)*0.00902),"")</f>
        <v>9.0200000000000002E-2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51.759259259259252</v>
      </c>
      <c r="BN469" s="78">
        <f t="shared" ref="BN469:BN474" si="59">IFERROR(Y469*I469/H469,"0")</f>
        <v>55.9</v>
      </c>
      <c r="BO469" s="78">
        <f t="shared" ref="BO469:BO474" si="60">IFERROR(1/J469*(X469/H469),"0")</f>
        <v>7.0145903479236812E-2</v>
      </c>
      <c r="BP469" s="78">
        <f t="shared" ref="BP469:BP474" si="61">IFERROR(1/J469*(Y469/H469),"0")</f>
        <v>7.575757575757576E-2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9.2592592592592595</v>
      </c>
      <c r="Y475" s="43">
        <f>IFERROR(Y469/H469,"0")+IFERROR(Y470/H470,"0")+IFERROR(Y471/H471,"0")+IFERROR(Y472/H472,"0")+IFERROR(Y473/H473,"0")+IFERROR(Y474/H474,"0")</f>
        <v>10</v>
      </c>
      <c r="Z475" s="43">
        <f>IFERROR(IF(Z469="",0,Z469),"0")+IFERROR(IF(Z470="",0,Z470),"0")+IFERROR(IF(Z471="",0,Z471),"0")+IFERROR(IF(Z472="",0,Z472),"0")+IFERROR(IF(Z473="",0,Z473),"0")+IFERROR(IF(Z474="",0,Z474),"0")</f>
        <v>9.0200000000000002E-2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50</v>
      </c>
      <c r="Y476" s="43">
        <f>IFERROR(SUM(Y469:Y474),"0")</f>
        <v>54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180</v>
      </c>
      <c r="Y526" s="55">
        <f>IFERROR(IF(X526="",0,CEILING((X526/$H526),1)*$H526),"")</f>
        <v>180</v>
      </c>
      <c r="Z526" s="41">
        <f>IFERROR(IF(Y526=0,"",ROUNDUP(Y526/H526,0)*0.01898),"")</f>
        <v>0.28470000000000001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186.15</v>
      </c>
      <c r="BN526" s="78">
        <f>IFERROR(Y526*I526/H526,"0")</f>
        <v>186.15</v>
      </c>
      <c r="BO526" s="78">
        <f>IFERROR(1/J526*(X526/H526),"0")</f>
        <v>0.234375</v>
      </c>
      <c r="BP526" s="78">
        <f>IFERROR(1/J526*(Y526/H526),"0")</f>
        <v>0.234375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15</v>
      </c>
      <c r="Y527" s="43">
        <f>IFERROR(Y526/H526,"0")</f>
        <v>15</v>
      </c>
      <c r="Z527" s="43">
        <f>IFERROR(IF(Z526="",0,Z526),"0")</f>
        <v>0.28470000000000001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180</v>
      </c>
      <c r="Y528" s="43">
        <f>IFERROR(SUM(Y526:Y526),"0")</f>
        <v>180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1300</v>
      </c>
      <c r="Y534" s="55">
        <f>IFERROR(IF(X534="",0,CEILING((X534/$H534),1)*$H534),"")</f>
        <v>1302</v>
      </c>
      <c r="Z534" s="41">
        <f>IFERROR(IF(Y534=0,"",ROUNDUP(Y534/H534,0)*0.00902),"")</f>
        <v>2.7962000000000002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1377.3809523809523</v>
      </c>
      <c r="BN534" s="78">
        <f>IFERROR(Y534*I534/H534,"0")</f>
        <v>1379.5</v>
      </c>
      <c r="BO534" s="78">
        <f>IFERROR(1/J534*(X534/H534),"0")</f>
        <v>2.3448773448773448</v>
      </c>
      <c r="BP534" s="78">
        <f>IFERROR(1/J534*(Y534/H534),"0")</f>
        <v>2.3484848484848486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309.52380952380952</v>
      </c>
      <c r="Y535" s="43">
        <f>IFERROR(Y534/H534,"0")</f>
        <v>310</v>
      </c>
      <c r="Z535" s="43">
        <f>IFERROR(IF(Z534="",0,Z534),"0")</f>
        <v>2.7962000000000002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1300</v>
      </c>
      <c r="Y536" s="43">
        <f>IFERROR(SUM(Y534:Y534),"0")</f>
        <v>1302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18113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18171.45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18876.199396202923</v>
      </c>
      <c r="Y552" s="43">
        <f>IFERROR(SUM(BN22:BN548),"0")</f>
        <v>18937.661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29</v>
      </c>
      <c r="Y553" s="44">
        <f>ROUNDUP(SUM(BP22:BP548),0)</f>
        <v>29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19601.199396202923</v>
      </c>
      <c r="Y554" s="43">
        <f>GrossWeightTotalR+PalletQtyTotalR*25</f>
        <v>19662.661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2344.4942421413011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2355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32.080849999999998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365.20000000000005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1571.4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907.19999999999993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252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912.60000000000014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1756.95</v>
      </c>
      <c r="U561" s="52">
        <f>IFERROR(Y415*1,"0")+IFERROR(Y416*1,"0")+IFERROR(Y417*1,"0")</f>
        <v>212.10000000000002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10658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54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1482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00,00"/>
        <filter val="100,00"/>
        <filter val="111,11"/>
        <filter val="113,10"/>
        <filter val="12,00"/>
        <filter val="140,00"/>
        <filter val="15,00"/>
        <filter val="150,00"/>
        <filter val="160,00"/>
        <filter val="166,67"/>
        <filter val="18 113,00"/>
        <filter val="18 876,20"/>
        <filter val="180,00"/>
        <filter val="181,85"/>
        <filter val="19 601,20"/>
        <filter val="2 344,49"/>
        <filter val="20,00"/>
        <filter val="200,00"/>
        <filter val="210,00"/>
        <filter val="240,00"/>
        <filter val="250,00"/>
        <filter val="266,67"/>
        <filter val="29"/>
        <filter val="300,00"/>
        <filter val="309,52"/>
        <filter val="360,00"/>
        <filter val="4 000,00"/>
        <filter val="4,71"/>
        <filter val="400,00"/>
        <filter val="410,00"/>
        <filter val="491,00"/>
        <filter val="50,00"/>
        <filter val="58,52"/>
        <filter val="6 000,00"/>
        <filter val="6 050,00"/>
        <filter val="60,00"/>
        <filter val="600,00"/>
        <filter val="650,00"/>
        <filter val="66,67"/>
        <filter val="70,00"/>
        <filter val="71,43"/>
        <filter val="770,00"/>
        <filter val="9,26"/>
        <filter val="9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