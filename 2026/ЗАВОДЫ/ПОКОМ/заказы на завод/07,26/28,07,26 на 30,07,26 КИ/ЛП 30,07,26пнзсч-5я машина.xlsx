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92B0AC4-ECE0-48E6-A942-944FA376DF5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P494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N385" i="2"/>
  <c r="BM385" i="2"/>
  <c r="Z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P350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P339" i="2"/>
  <c r="BO339" i="2"/>
  <c r="BM339" i="2"/>
  <c r="Y339" i="2"/>
  <c r="BN339" i="2" s="1"/>
  <c r="P339" i="2"/>
  <c r="BO338" i="2"/>
  <c r="BM338" i="2"/>
  <c r="Y338" i="2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Y329" i="2" s="1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P285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P231" i="2"/>
  <c r="BO231" i="2"/>
  <c r="BN231" i="2"/>
  <c r="BM231" i="2"/>
  <c r="Z231" i="2"/>
  <c r="Y231" i="2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N199" i="2"/>
  <c r="BM199" i="2"/>
  <c r="Z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P186" i="2"/>
  <c r="BO186" i="2"/>
  <c r="BN186" i="2"/>
  <c r="BM186" i="2"/>
  <c r="Z186" i="2"/>
  <c r="Y186" i="2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P174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P155" i="2"/>
  <c r="BO155" i="2"/>
  <c r="BN155" i="2"/>
  <c r="BM155" i="2"/>
  <c r="Z155" i="2"/>
  <c r="Y155" i="2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Z152" i="2"/>
  <c r="Y152" i="2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Z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P50" i="2"/>
  <c r="BO50" i="2"/>
  <c r="BN50" i="2"/>
  <c r="BM50" i="2"/>
  <c r="Z50" i="2"/>
  <c r="Y50" i="2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X43" i="2"/>
  <c r="X42" i="2"/>
  <c r="BO41" i="2"/>
  <c r="BM41" i="2"/>
  <c r="Y41" i="2"/>
  <c r="Y43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Z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Y51" i="2" l="1"/>
  <c r="BN286" i="2"/>
  <c r="BN300" i="2"/>
  <c r="BN347" i="2"/>
  <c r="BN23" i="2"/>
  <c r="Z31" i="2"/>
  <c r="BP34" i="2"/>
  <c r="BN36" i="2"/>
  <c r="Z41" i="2"/>
  <c r="Z42" i="2" s="1"/>
  <c r="BN41" i="2"/>
  <c r="BP41" i="2"/>
  <c r="Y42" i="2"/>
  <c r="Z48" i="2"/>
  <c r="BP101" i="2"/>
  <c r="BN137" i="2"/>
  <c r="Z141" i="2"/>
  <c r="BN141" i="2"/>
  <c r="Z142" i="2"/>
  <c r="Z143" i="2" s="1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11" i="2"/>
  <c r="BP325" i="2"/>
  <c r="BN327" i="2"/>
  <c r="Y334" i="2"/>
  <c r="Y342" i="2"/>
  <c r="Y519" i="2"/>
  <c r="BN308" i="2"/>
  <c r="BP448" i="2"/>
  <c r="Z107" i="2"/>
  <c r="Z471" i="2"/>
  <c r="BP471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Z156" i="2"/>
  <c r="Y223" i="2"/>
  <c r="BP268" i="2"/>
  <c r="BN268" i="2"/>
  <c r="BP303" i="2"/>
  <c r="BN326" i="2"/>
  <c r="BP377" i="2"/>
  <c r="Y414" i="2"/>
  <c r="BP410" i="2"/>
  <c r="Y413" i="2"/>
  <c r="Y61" i="2"/>
  <c r="Z22" i="2"/>
  <c r="Z73" i="2"/>
  <c r="Z77" i="2" s="1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Z288" i="2" s="1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13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0" i="2" s="1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Z320" i="2" s="1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01" i="2" s="1"/>
  <c r="Z218" i="2"/>
  <c r="Z241" i="2"/>
  <c r="Z243" i="2" s="1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485" i="2" l="1"/>
  <c r="Z25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<sst xmlns="http://schemas.openxmlformats.org/spreadsheetml/2006/main" count="3933" uniqueCount="845">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</sst>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 t="s">
        <v>844</v>
      </c>
      <c r="I5" s="929"/>
      <c r="J5" s="929"/>
      <c r="K5" s="929"/>
      <c r="L5" s="929"/>
      <c r="M5" s="929"/>
      <c r="N5" s="69"/>
      <c r="P5" s="26" t="s">
        <v>4</v>
      </c>
      <c r="Q5" s="931">
        <v>46233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>
        <v>0.58333333333333337</v>
      </c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hidden="1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hidden="1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hidden="1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hidden="1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hidden="1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hidden="1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360</v>
      </c>
      <c r="Y56" s="53">
        <f>IFERROR(IF(X56="",0,CEILING((X56/$H56),1)*$H56),"")</f>
        <v>367.20000000000005</v>
      </c>
      <c r="Z56" s="39">
        <f>IFERROR(IF(Y56=0,"",ROUNDUP(Y56/H56,0)*0.01898),"")</f>
        <v>0.64532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373.66666666666669</v>
      </c>
      <c r="BN56" s="75">
        <f>IFERROR(Y56*I56/H56,"0")</f>
        <v>381.14000000000004</v>
      </c>
      <c r="BO56" s="75">
        <f>IFERROR(1/J56*(X56/H56),"0")</f>
        <v>0.52083333333333326</v>
      </c>
      <c r="BP56" s="75">
        <f>IFERROR(1/J56*(Y56/H56),"0")</f>
        <v>0.53125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hidden="1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/>
      <c r="Y58" s="53">
        <f>IFERROR(IF(X58="",0,CEILING((X58/$H58),1)*$H58),"")</f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33.333333333333329</v>
      </c>
      <c r="Y60" s="41">
        <f>IFERROR(Y56/H56,"0")+IFERROR(Y57/H57,"0")+IFERROR(Y58/H58,"0")+IFERROR(Y59/H59,"0")</f>
        <v>34</v>
      </c>
      <c r="Z60" s="41">
        <f>IFERROR(IF(Z56="",0,Z56),"0")+IFERROR(IF(Z57="",0,Z57),"0")+IFERROR(IF(Z58="",0,Z58),"0")+IFERROR(IF(Z59="",0,Z59),"0")</f>
        <v>0.64532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360</v>
      </c>
      <c r="Y61" s="41">
        <f>IFERROR(SUM(Y56:Y59),"0")</f>
        <v>367.20000000000005</v>
      </c>
      <c r="Z61" s="40"/>
      <c r="AA61" s="64"/>
      <c r="AB61" s="64"/>
      <c r="AC61" s="64"/>
    </row>
    <row r="62" spans="1:68" ht="16.5" hidden="1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hidden="1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>
        <v>30</v>
      </c>
      <c r="Y64" s="53">
        <f t="shared" ref="Y64:Y69" si="6">IFERROR(IF(X64="",0,CEILING((X64/$H64),1)*$H64),"")</f>
        <v>33.599999999999994</v>
      </c>
      <c r="Z64" s="39">
        <f>IFERROR(IF(Y64=0,"",ROUNDUP(Y64/H64,0)*0.01898),"")</f>
        <v>5.6940000000000004E-2</v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31.098214285714285</v>
      </c>
      <c r="BN64" s="75">
        <f t="shared" ref="BN64:BN69" si="8">IFERROR(Y64*I64/H64,"0")</f>
        <v>34.829999999999991</v>
      </c>
      <c r="BO64" s="75">
        <f t="shared" ref="BO64:BO69" si="9">IFERROR(1/J64*(X64/H64),"0")</f>
        <v>4.1852678571428575E-2</v>
      </c>
      <c r="BP64" s="75">
        <f t="shared" ref="BP64:BP69" si="10">IFERROR(1/J64*(Y64/H64),"0")</f>
        <v>4.6874999999999993E-2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50</v>
      </c>
      <c r="Y65" s="53">
        <f t="shared" si="6"/>
        <v>54</v>
      </c>
      <c r="Z65" s="39">
        <f>IFERROR(IF(Y65=0,"",ROUNDUP(Y65/H65,0)*0.01898),"")</f>
        <v>9.4899999999999998E-2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51.898148148148145</v>
      </c>
      <c r="BN65" s="75">
        <f t="shared" si="8"/>
        <v>56.05</v>
      </c>
      <c r="BO65" s="75">
        <f t="shared" si="9"/>
        <v>7.2337962962962965E-2</v>
      </c>
      <c r="BP65" s="75">
        <f t="shared" si="10"/>
        <v>7.8125E-2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hidden="1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/>
      <c r="Y67" s="53">
        <f t="shared" si="6"/>
        <v>0</v>
      </c>
      <c r="Z67" s="39" t="str">
        <f>IFERROR(IF(Y67=0,"",ROUNDUP(Y67/H67,0)*0.00902),"")</f>
        <v/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0</v>
      </c>
      <c r="BN67" s="75">
        <f t="shared" si="8"/>
        <v>0</v>
      </c>
      <c r="BO67" s="75">
        <f t="shared" si="9"/>
        <v>0</v>
      </c>
      <c r="BP67" s="75">
        <f t="shared" si="10"/>
        <v>0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7.3082010582010586</v>
      </c>
      <c r="Y70" s="41">
        <f>IFERROR(Y64/H64,"0")+IFERROR(Y65/H65,"0")+IFERROR(Y66/H66,"0")+IFERROR(Y67/H67,"0")+IFERROR(Y68/H68,"0")+IFERROR(Y69/H69,"0")</f>
        <v>8</v>
      </c>
      <c r="Z70" s="41">
        <f>IFERROR(IF(Z64="",0,Z64),"0")+IFERROR(IF(Z65="",0,Z65),"0")+IFERROR(IF(Z66="",0,Z66),"0")+IFERROR(IF(Z67="",0,Z67),"0")+IFERROR(IF(Z68="",0,Z68),"0")+IFERROR(IF(Z69="",0,Z69),"0")</f>
        <v>0.15184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80</v>
      </c>
      <c r="Y71" s="41">
        <f>IFERROR(SUM(Y64:Y69),"0")</f>
        <v>87.6</v>
      </c>
      <c r="Z71" s="40"/>
      <c r="AA71" s="64"/>
      <c r="AB71" s="64"/>
      <c r="AC71" s="64"/>
    </row>
    <row r="72" spans="1:68" ht="14.25" hidden="1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160</v>
      </c>
      <c r="Y73" s="53">
        <f>IFERROR(IF(X73="",0,CEILING((X73/$H73),1)*$H73),"")</f>
        <v>162</v>
      </c>
      <c r="Z73" s="39">
        <f>IFERROR(IF(Y73=0,"",ROUNDUP(Y73/H73,0)*0.01898),"")</f>
        <v>0.28470000000000001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166.07407407407408</v>
      </c>
      <c r="BN73" s="75">
        <f>IFERROR(Y73*I73/H73,"0")</f>
        <v>168.15</v>
      </c>
      <c r="BO73" s="75">
        <f>IFERROR(1/J73*(X73/H73),"0")</f>
        <v>0.23148148148148145</v>
      </c>
      <c r="BP73" s="75">
        <f>IFERROR(1/J73*(Y73/H73),"0")</f>
        <v>0.23437499999999997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14.814814814814813</v>
      </c>
      <c r="Y77" s="41">
        <f>IFERROR(Y73/H73,"0")+IFERROR(Y74/H74,"0")+IFERROR(Y75/H75,"0")+IFERROR(Y76/H76,"0")</f>
        <v>14.999999999999998</v>
      </c>
      <c r="Z77" s="41">
        <f>IFERROR(IF(Z73="",0,Z73),"0")+IFERROR(IF(Z74="",0,Z74),"0")+IFERROR(IF(Z75="",0,Z75),"0")+IFERROR(IF(Z76="",0,Z76),"0")</f>
        <v>0.28470000000000001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160</v>
      </c>
      <c r="Y78" s="41">
        <f>IFERROR(SUM(Y73:Y76),"0")</f>
        <v>162</v>
      </c>
      <c r="Z78" s="40"/>
      <c r="AA78" s="64"/>
      <c r="AB78" s="64"/>
      <c r="AC78" s="64"/>
    </row>
    <row r="79" spans="1:68" ht="14.25" hidden="1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hidden="1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80</v>
      </c>
      <c r="Y91" s="53">
        <f>IFERROR(IF(X91="",0,CEILING((X91/$H91),1)*$H91),"")</f>
        <v>86.4</v>
      </c>
      <c r="Z91" s="39">
        <f>IFERROR(IF(Y91=0,"",ROUNDUP(Y91/H91,0)*0.01898),"")</f>
        <v>0.15184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83.037037037037038</v>
      </c>
      <c r="BN91" s="75">
        <f>IFERROR(Y91*I91/H91,"0")</f>
        <v>89.68</v>
      </c>
      <c r="BO91" s="75">
        <f>IFERROR(1/J91*(X91/H91),"0")</f>
        <v>0.11574074074074073</v>
      </c>
      <c r="BP91" s="75">
        <f>IFERROR(1/J91*(Y91/H91),"0")</f>
        <v>0.125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/>
      <c r="Y94" s="53">
        <f>IFERROR(IF(X94="",0,CEILING((X94/$H94),1)*$H94),"")</f>
        <v>0</v>
      </c>
      <c r="Z94" s="39" t="str">
        <f>IFERROR(IF(Y94=0,"",ROUNDUP(Y94/H94,0)*0.00902),"")</f>
        <v/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7.4074074074074066</v>
      </c>
      <c r="Y95" s="41">
        <f>IFERROR(Y91/H91,"0")+IFERROR(Y92/H92,"0")+IFERROR(Y93/H93,"0")+IFERROR(Y94/H94,"0")</f>
        <v>8</v>
      </c>
      <c r="Z95" s="41">
        <f>IFERROR(IF(Z91="",0,Z91),"0")+IFERROR(IF(Z92="",0,Z92),"0")+IFERROR(IF(Z93="",0,Z93),"0")+IFERROR(IF(Z94="",0,Z94),"0")</f>
        <v>0.15184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80</v>
      </c>
      <c r="Y96" s="41">
        <f>IFERROR(SUM(Y91:Y94),"0")</f>
        <v>86.4</v>
      </c>
      <c r="Z96" s="40"/>
      <c r="AA96" s="64"/>
      <c r="AB96" s="64"/>
      <c r="AC96" s="64"/>
    </row>
    <row r="97" spans="1:68" ht="14.25" hidden="1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142</v>
      </c>
      <c r="Y98" s="53">
        <f>IFERROR(IF(X98="",0,CEILING((X98/$H98),1)*$H98),"")</f>
        <v>145.79999999999998</v>
      </c>
      <c r="Z98" s="39">
        <f>IFERROR(IF(Y98=0,"",ROUNDUP(Y98/H98,0)*0.01898),"")</f>
        <v>0.34164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150.66024691358024</v>
      </c>
      <c r="BN98" s="75">
        <f>IFERROR(Y98*I98/H98,"0")</f>
        <v>154.69199999999998</v>
      </c>
      <c r="BO98" s="75">
        <f>IFERROR(1/J98*(X98/H98),"0")</f>
        <v>0.27391975308641975</v>
      </c>
      <c r="BP98" s="75">
        <f>IFERROR(1/J98*(Y98/H98),"0")</f>
        <v>0.28125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17.530864197530864</v>
      </c>
      <c r="Y102" s="41">
        <f>IFERROR(Y98/H98,"0")+IFERROR(Y99/H99,"0")+IFERROR(Y100/H100,"0")+IFERROR(Y101/H101,"0")</f>
        <v>18</v>
      </c>
      <c r="Z102" s="41">
        <f>IFERROR(IF(Z98="",0,Z98),"0")+IFERROR(IF(Z99="",0,Z99),"0")+IFERROR(IF(Z100="",0,Z100),"0")+IFERROR(IF(Z101="",0,Z101),"0")</f>
        <v>0.34164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142</v>
      </c>
      <c r="Y103" s="41">
        <f>IFERROR(SUM(Y98:Y101),"0")</f>
        <v>145.79999999999998</v>
      </c>
      <c r="Z103" s="40"/>
      <c r="AA103" s="64"/>
      <c r="AB103" s="64"/>
      <c r="AC103" s="64"/>
    </row>
    <row r="104" spans="1:68" ht="16.5" hidden="1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hidden="1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110</v>
      </c>
      <c r="Y106" s="53">
        <f t="shared" ref="Y106:Y112" si="11">IFERROR(IF(X106="",0,CEILING((X106/$H106),1)*$H106),"")</f>
        <v>118.80000000000001</v>
      </c>
      <c r="Z106" s="39">
        <f>IFERROR(IF(Y106=0,"",ROUNDUP(Y106/H106,0)*0.01898),"")</f>
        <v>0.20877999999999999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114.17592592592594</v>
      </c>
      <c r="BN106" s="75">
        <f t="shared" ref="BN106:BN112" si="13">IFERROR(Y106*I106/H106,"0")</f>
        <v>123.31000000000002</v>
      </c>
      <c r="BO106" s="75">
        <f t="shared" ref="BO106:BO112" si="14">IFERROR(1/J106*(X106/H106),"0")</f>
        <v>0.15914351851851852</v>
      </c>
      <c r="BP106" s="75">
        <f t="shared" ref="BP106:BP112" si="15">IFERROR(1/J106*(Y106/H106),"0")</f>
        <v>0.171875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hidden="1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/>
      <c r="Y111" s="53">
        <f t="shared" si="11"/>
        <v>0</v>
      </c>
      <c r="Z111" s="39" t="str">
        <f>IFERROR(IF(Y111=0,"",ROUNDUP(Y111/H111,0)*0.00902),"")</f>
        <v/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0</v>
      </c>
      <c r="BN111" s="75">
        <f t="shared" si="13"/>
        <v>0</v>
      </c>
      <c r="BO111" s="75">
        <f t="shared" si="14"/>
        <v>0</v>
      </c>
      <c r="BP111" s="75">
        <f t="shared" si="15"/>
        <v>0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10.185185185185185</v>
      </c>
      <c r="Y113" s="41">
        <f>IFERROR(Y106/H106,"0")+IFERROR(Y107/H107,"0")+IFERROR(Y108/H108,"0")+IFERROR(Y109/H109,"0")+IFERROR(Y110/H110,"0")+IFERROR(Y111/H111,"0")+IFERROR(Y112/H112,"0")</f>
        <v>11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0.20877999999999999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110</v>
      </c>
      <c r="Y114" s="41">
        <f>IFERROR(SUM(Y106:Y112),"0")</f>
        <v>118.80000000000001</v>
      </c>
      <c r="Z114" s="40"/>
      <c r="AA114" s="64"/>
      <c r="AB114" s="64"/>
      <c r="AC114" s="64"/>
    </row>
    <row r="115" spans="1:68" ht="14.25" hidden="1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526</v>
      </c>
      <c r="Y124" s="53">
        <f>IFERROR(IF(X124="",0,CEILING((X124/$H124),1)*$H124),"")</f>
        <v>526.5</v>
      </c>
      <c r="Z124" s="39">
        <f>IFERROR(IF(Y124=0,"",ROUNDUP(Y124/H124,0)*0.01898),"")</f>
        <v>1.2337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557.68987654320983</v>
      </c>
      <c r="BN124" s="75">
        <f>IFERROR(Y124*I124/H124,"0")</f>
        <v>558.21999999999991</v>
      </c>
      <c r="BO124" s="75">
        <f>IFERROR(1/J124*(X124/H124),"0")</f>
        <v>1.0146604938271606</v>
      </c>
      <c r="BP124" s="75">
        <f>IFERROR(1/J124*(Y124/H124),"0")</f>
        <v>1.015625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64.938271604938279</v>
      </c>
      <c r="Y128" s="41">
        <f>IFERROR(Y124/H124,"0")+IFERROR(Y125/H125,"0")+IFERROR(Y126/H126,"0")+IFERROR(Y127/H127,"0")</f>
        <v>65</v>
      </c>
      <c r="Z128" s="41">
        <f>IFERROR(IF(Z124="",0,Z124),"0")+IFERROR(IF(Z125="",0,Z125),"0")+IFERROR(IF(Z126="",0,Z126),"0")+IFERROR(IF(Z127="",0,Z127),"0")</f>
        <v>1.2337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526</v>
      </c>
      <c r="Y129" s="41">
        <f>IFERROR(SUM(Y124:Y127),"0")</f>
        <v>526.5</v>
      </c>
      <c r="Z129" s="40"/>
      <c r="AA129" s="64"/>
      <c r="AB129" s="64"/>
      <c r="AC129" s="64"/>
    </row>
    <row r="130" spans="1:68" ht="14.25" hidden="1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hidden="1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hidden="1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hidden="1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>
        <v>50</v>
      </c>
      <c r="Y169" s="53">
        <f t="shared" ref="Y169:Y178" si="16">IFERROR(IF(X169="",0,CEILING((X169/$H169),1)*$H169),"")</f>
        <v>52.5</v>
      </c>
      <c r="Z169" s="39">
        <f>IFERROR(IF(Y169=0,"",ROUNDUP(Y169/H169,0)*0.00902),"")</f>
        <v>0.1353</v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52.714285714285715</v>
      </c>
      <c r="BN169" s="75">
        <f t="shared" ref="BN169:BN178" si="18">IFERROR(Y169*I169/H169,"0")</f>
        <v>55.35</v>
      </c>
      <c r="BO169" s="75">
        <f t="shared" ref="BO169:BO178" si="19">IFERROR(1/J169*(X169/H169),"0")</f>
        <v>0.10822510822510824</v>
      </c>
      <c r="BP169" s="75">
        <f t="shared" ref="BP169:BP178" si="20">IFERROR(1/J169*(Y169/H169),"0")</f>
        <v>0.11363636363636365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>
        <v>50</v>
      </c>
      <c r="Y170" s="53">
        <f t="shared" si="16"/>
        <v>54</v>
      </c>
      <c r="Z170" s="39">
        <f>IFERROR(IF(Y170=0,"",ROUNDUP(Y170/H170,0)*0.01898),"")</f>
        <v>0.11388000000000001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53.111111111111114</v>
      </c>
      <c r="BN170" s="75">
        <f t="shared" si="18"/>
        <v>57.36</v>
      </c>
      <c r="BO170" s="75">
        <f t="shared" si="19"/>
        <v>8.6805555555555552E-2</v>
      </c>
      <c r="BP170" s="75">
        <f t="shared" si="20"/>
        <v>9.375E-2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19.841269841269842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21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0.24918000000000001</v>
      </c>
      <c r="AA179" s="64"/>
      <c r="AB179" s="64"/>
      <c r="AC179" s="64"/>
    </row>
    <row r="180" spans="1:68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100</v>
      </c>
      <c r="Y180" s="41">
        <f>IFERROR(SUM(Y169:Y178),"0")</f>
        <v>106.5</v>
      </c>
      <c r="Z180" s="40"/>
      <c r="AA180" s="64"/>
      <c r="AB180" s="64"/>
      <c r="AC180" s="64"/>
    </row>
    <row r="181" spans="1:68" ht="14.25" hidden="1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hidden="1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hidden="1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hidden="1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hidden="1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/>
      <c r="Y209" s="53">
        <f t="shared" ref="Y209:Y222" si="21">IFERROR(IF(X209="",0,CEILING((X209/$H209),1)*$H209),"")</f>
        <v>0</v>
      </c>
      <c r="Z209" s="39" t="str">
        <f>IFERROR(IF(Y209=0,"",ROUNDUP(Y209/H209,0)*0.00902),"")</f>
        <v/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0</v>
      </c>
      <c r="BN209" s="75">
        <f t="shared" ref="BN209:BN222" si="23">IFERROR(Y209*I209/H209,"0")</f>
        <v>0</v>
      </c>
      <c r="BO209" s="75">
        <f t="shared" ref="BO209:BO222" si="24">IFERROR(1/J209*(X209/H209),"0")</f>
        <v>0</v>
      </c>
      <c r="BP209" s="75">
        <f t="shared" ref="BP209:BP222" si="25">IFERROR(1/J209*(Y209/H209),"0")</f>
        <v>0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>
        <v>50</v>
      </c>
      <c r="Y211" s="53">
        <f t="shared" si="21"/>
        <v>50.400000000000006</v>
      </c>
      <c r="Z211" s="39">
        <f>IFERROR(IF(Y211=0,"",ROUNDUP(Y211/H211,0)*0.00902),"")</f>
        <v>0.10824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52.261904761904752</v>
      </c>
      <c r="BN211" s="75">
        <f t="shared" si="23"/>
        <v>52.68</v>
      </c>
      <c r="BO211" s="75">
        <f t="shared" si="24"/>
        <v>9.0187590187590191E-2</v>
      </c>
      <c r="BP211" s="75">
        <f t="shared" si="25"/>
        <v>9.0909090909090912E-2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hidden="1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/>
      <c r="Y216" s="53">
        <f t="shared" si="21"/>
        <v>0</v>
      </c>
      <c r="Z216" s="39" t="str">
        <f t="shared" si="26"/>
        <v/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11.904761904761905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12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0.10824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50</v>
      </c>
      <c r="Y224" s="41">
        <f>IFERROR(SUM(Y209:Y222),"0")</f>
        <v>50.400000000000006</v>
      </c>
      <c r="Z224" s="40"/>
      <c r="AA224" s="64"/>
      <c r="AB224" s="64"/>
      <c r="AC224" s="64"/>
    </row>
    <row r="225" spans="1:68" ht="14.25" hidden="1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hidden="1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165</v>
      </c>
      <c r="Y251" s="53">
        <f t="shared" ref="Y251:Y258" si="27">IFERROR(IF(X251="",0,CEILING((X251/$H251),1)*$H251),"")</f>
        <v>167.4</v>
      </c>
      <c r="Z251" s="39">
        <f>IFERROR(IF(Y251=0,"",ROUNDUP(Y251/H251,0)*0.00902),"")</f>
        <v>0.27961999999999998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170.80555555555554</v>
      </c>
      <c r="BN251" s="75">
        <f t="shared" ref="BN251:BN258" si="29">IFERROR(Y251*I251/H251,"0")</f>
        <v>173.29</v>
      </c>
      <c r="BO251" s="75">
        <f t="shared" ref="BO251:BO258" si="30">IFERROR(1/J251*(X251/H251),"0")</f>
        <v>0.23148148148148148</v>
      </c>
      <c r="BP251" s="75">
        <f t="shared" ref="BP251:BP258" si="31">IFERROR(1/J251*(Y251/H251),"0")</f>
        <v>0.23484848484848486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195</v>
      </c>
      <c r="Y252" s="53">
        <f t="shared" si="27"/>
        <v>199.8</v>
      </c>
      <c r="Z252" s="39">
        <f>IFERROR(IF(Y252=0,"",ROUNDUP(Y252/H252,0)*0.00902),"")</f>
        <v>0.33374000000000004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201.86111111111109</v>
      </c>
      <c r="BN252" s="75">
        <f t="shared" si="29"/>
        <v>206.82999999999998</v>
      </c>
      <c r="BO252" s="75">
        <f t="shared" si="30"/>
        <v>0.27356902356902357</v>
      </c>
      <c r="BP252" s="75">
        <f t="shared" si="31"/>
        <v>0.28030303030303033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235</v>
      </c>
      <c r="Y253" s="53">
        <f t="shared" si="27"/>
        <v>237.60000000000002</v>
      </c>
      <c r="Z253" s="39">
        <f>IFERROR(IF(Y253=0,"",ROUNDUP(Y253/H253,0)*0.00902),"")</f>
        <v>0.39688000000000001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243.26851851851848</v>
      </c>
      <c r="BN253" s="75">
        <f t="shared" si="29"/>
        <v>245.96</v>
      </c>
      <c r="BO253" s="75">
        <f t="shared" si="30"/>
        <v>0.32968574635241304</v>
      </c>
      <c r="BP253" s="75">
        <f t="shared" si="31"/>
        <v>0.33333333333333337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235</v>
      </c>
      <c r="Y254" s="53">
        <f t="shared" si="27"/>
        <v>237.60000000000002</v>
      </c>
      <c r="Z254" s="39">
        <f>IFERROR(IF(Y254=0,"",ROUNDUP(Y254/H254,0)*0.00902),"")</f>
        <v>0.39688000000000001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243.26851851851848</v>
      </c>
      <c r="BN254" s="75">
        <f t="shared" si="29"/>
        <v>245.96</v>
      </c>
      <c r="BO254" s="75">
        <f t="shared" si="30"/>
        <v>0.32968574635241304</v>
      </c>
      <c r="BP254" s="75">
        <f t="shared" si="31"/>
        <v>0.33333333333333337</v>
      </c>
    </row>
    <row r="255" spans="1:68" ht="27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>
        <v>3.6</v>
      </c>
      <c r="Y255" s="53">
        <f t="shared" si="27"/>
        <v>3.6</v>
      </c>
      <c r="Z255" s="39">
        <f>IFERROR(IF(Y255=0,"",ROUNDUP(Y255/H255,0)*0.00502),"")</f>
        <v>1.004E-2</v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3.8599999999999994</v>
      </c>
      <c r="BN255" s="75">
        <f t="shared" si="29"/>
        <v>3.8599999999999994</v>
      </c>
      <c r="BO255" s="75">
        <f t="shared" si="30"/>
        <v>8.5470085470085479E-3</v>
      </c>
      <c r="BP255" s="75">
        <f t="shared" si="31"/>
        <v>8.5470085470085479E-3</v>
      </c>
    </row>
    <row r="256" spans="1:68" ht="27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>
        <v>3.6</v>
      </c>
      <c r="Y256" s="53">
        <f t="shared" si="27"/>
        <v>3.6</v>
      </c>
      <c r="Z256" s="39">
        <f>IFERROR(IF(Y256=0,"",ROUNDUP(Y256/H256,0)*0.00502),"")</f>
        <v>1.004E-2</v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3.8</v>
      </c>
      <c r="BN256" s="75">
        <f t="shared" si="29"/>
        <v>3.8</v>
      </c>
      <c r="BO256" s="75">
        <f t="shared" si="30"/>
        <v>8.5470085470085479E-3</v>
      </c>
      <c r="BP256" s="75">
        <f t="shared" si="31"/>
        <v>8.5470085470085479E-3</v>
      </c>
    </row>
    <row r="257" spans="1:68" ht="27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>
        <v>3.6</v>
      </c>
      <c r="Y257" s="53">
        <f t="shared" si="27"/>
        <v>3.6</v>
      </c>
      <c r="Z257" s="39">
        <f>IFERROR(IF(Y257=0,"",ROUNDUP(Y257/H257,0)*0.00502),"")</f>
        <v>1.004E-2</v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3.8</v>
      </c>
      <c r="BN257" s="75">
        <f t="shared" si="29"/>
        <v>3.8</v>
      </c>
      <c r="BO257" s="75">
        <f t="shared" si="30"/>
        <v>8.5470085470085479E-3</v>
      </c>
      <c r="BP257" s="75">
        <f t="shared" si="31"/>
        <v>8.5470085470085479E-3</v>
      </c>
    </row>
    <row r="258" spans="1:68" ht="27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>
        <v>3.6</v>
      </c>
      <c r="Y258" s="53">
        <f t="shared" si="27"/>
        <v>3.6</v>
      </c>
      <c r="Z258" s="39">
        <f>IFERROR(IF(Y258=0,"",ROUNDUP(Y258/H258,0)*0.00502),"")</f>
        <v>1.004E-2</v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3.8</v>
      </c>
      <c r="BN258" s="75">
        <f t="shared" si="29"/>
        <v>3.8</v>
      </c>
      <c r="BO258" s="75">
        <f t="shared" si="30"/>
        <v>8.5470085470085479E-3</v>
      </c>
      <c r="BP258" s="75">
        <f t="shared" si="31"/>
        <v>8.5470085470085479E-3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161.7037037037037</v>
      </c>
      <c r="Y259" s="41">
        <f>IFERROR(Y251/H251,"0")+IFERROR(Y252/H252,"0")+IFERROR(Y253/H253,"0")+IFERROR(Y254/H254,"0")+IFERROR(Y255/H255,"0")+IFERROR(Y256/H256,"0")+IFERROR(Y257/H257,"0")+IFERROR(Y258/H258,"0")</f>
        <v>164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1.4472800000000001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844.40000000000009</v>
      </c>
      <c r="Y260" s="41">
        <f>IFERROR(SUM(Y251:Y258),"0")</f>
        <v>856.80000000000018</v>
      </c>
      <c r="Z260" s="40"/>
      <c r="AA260" s="64"/>
      <c r="AB260" s="64"/>
      <c r="AC260" s="64"/>
    </row>
    <row r="261" spans="1:68" ht="14.25" hidden="1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>
        <v>8</v>
      </c>
      <c r="Y262" s="53">
        <f t="shared" ref="Y262:Y271" si="32">IFERROR(IF(X262="",0,CEILING((X262/$H262),1)*$H262),"")</f>
        <v>8.1</v>
      </c>
      <c r="Z262" s="39">
        <f>IFERROR(IF(Y262=0,"",ROUNDUP(Y262/H262,0)*0.01898),"")</f>
        <v>1.898E-2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8.4879012345679019</v>
      </c>
      <c r="BN262" s="75">
        <f t="shared" ref="BN262:BN271" si="34">IFERROR(Y262*I262/H262,"0")</f>
        <v>8.5939999999999994</v>
      </c>
      <c r="BO262" s="75">
        <f t="shared" ref="BO262:BO271" si="35">IFERROR(1/J262*(X262/H262),"0")</f>
        <v>1.54320987654321E-2</v>
      </c>
      <c r="BP262" s="75">
        <f t="shared" ref="BP262:BP271" si="36">IFERROR(1/J262*(Y262/H262),"0")</f>
        <v>1.5625E-2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>
        <v>258</v>
      </c>
      <c r="Y264" s="53">
        <f t="shared" si="32"/>
        <v>261</v>
      </c>
      <c r="Z264" s="39">
        <f>IFERROR(IF(Y264=0,"",ROUNDUP(Y264/H264,0)*0.01898),"")</f>
        <v>0.56940000000000002</v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272.64965517241382</v>
      </c>
      <c r="BN264" s="75">
        <f t="shared" si="34"/>
        <v>275.82000000000005</v>
      </c>
      <c r="BO264" s="75">
        <f t="shared" si="35"/>
        <v>0.46336206896551729</v>
      </c>
      <c r="BP264" s="75">
        <f t="shared" si="36"/>
        <v>0.46875000000000006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>
        <v>2.4</v>
      </c>
      <c r="Y265" s="53">
        <f t="shared" si="32"/>
        <v>2.4</v>
      </c>
      <c r="Z265" s="39">
        <f t="shared" ref="Z265:Z271" si="37">IFERROR(IF(Y265=0,"",ROUNDUP(Y265/H265,0)*0.00651),"")</f>
        <v>6.5100000000000002E-3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2.67</v>
      </c>
      <c r="BN265" s="75">
        <f t="shared" si="34"/>
        <v>2.67</v>
      </c>
      <c r="BO265" s="75">
        <f t="shared" si="35"/>
        <v>5.4945054945054949E-3</v>
      </c>
      <c r="BP265" s="75">
        <f t="shared" si="36"/>
        <v>5.4945054945054949E-3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>
        <v>2.4</v>
      </c>
      <c r="Y267" s="53">
        <f t="shared" si="32"/>
        <v>2.4</v>
      </c>
      <c r="Z267" s="39">
        <f t="shared" si="37"/>
        <v>6.5100000000000002E-3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2.6520000000000001</v>
      </c>
      <c r="BN267" s="75">
        <f t="shared" si="34"/>
        <v>2.6520000000000001</v>
      </c>
      <c r="BO267" s="75">
        <f t="shared" si="35"/>
        <v>5.4945054945054949E-3</v>
      </c>
      <c r="BP267" s="75">
        <f t="shared" si="36"/>
        <v>5.4945054945054949E-3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/>
      <c r="Y268" s="53">
        <f t="shared" si="32"/>
        <v>0</v>
      </c>
      <c r="Z268" s="39" t="str">
        <f t="shared" si="37"/>
        <v/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0</v>
      </c>
      <c r="BN268" s="75">
        <f t="shared" si="34"/>
        <v>0</v>
      </c>
      <c r="BO268" s="75">
        <f t="shared" si="35"/>
        <v>0</v>
      </c>
      <c r="BP268" s="75">
        <f t="shared" si="36"/>
        <v>0</v>
      </c>
    </row>
    <row r="269" spans="1:68" ht="27" hidden="1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/>
      <c r="Y269" s="53">
        <f t="shared" si="32"/>
        <v>0</v>
      </c>
      <c r="Z269" s="39" t="str">
        <f t="shared" si="37"/>
        <v/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0</v>
      </c>
      <c r="BN269" s="75">
        <f t="shared" si="34"/>
        <v>0</v>
      </c>
      <c r="BO269" s="75">
        <f t="shared" si="35"/>
        <v>0</v>
      </c>
      <c r="BP269" s="75">
        <f t="shared" si="36"/>
        <v>0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>
        <v>2.4</v>
      </c>
      <c r="Y270" s="53">
        <f t="shared" si="32"/>
        <v>2.4</v>
      </c>
      <c r="Z270" s="39">
        <f t="shared" si="37"/>
        <v>6.5100000000000002E-3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2.6579999999999999</v>
      </c>
      <c r="BN270" s="75">
        <f t="shared" si="34"/>
        <v>2.6579999999999999</v>
      </c>
      <c r="BO270" s="75">
        <f t="shared" si="35"/>
        <v>5.4945054945054949E-3</v>
      </c>
      <c r="BP270" s="75">
        <f t="shared" si="36"/>
        <v>5.4945054945054949E-3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33.642826734780762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34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0.60791000000000006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273.19999999999993</v>
      </c>
      <c r="Y273" s="41">
        <f>IFERROR(SUM(Y262:Y271),"0")</f>
        <v>276.29999999999995</v>
      </c>
      <c r="Z273" s="40"/>
      <c r="AA273" s="64"/>
      <c r="AB273" s="64"/>
      <c r="AC273" s="64"/>
    </row>
    <row r="274" spans="1:68" ht="14.25" hidden="1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hidden="1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hidden="1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>
        <v>10</v>
      </c>
      <c r="Y308" s="53">
        <f>IFERROR(IF(X308="",0,CEILING((X308/$H308),1)*$H308),"")</f>
        <v>10.8</v>
      </c>
      <c r="Z308" s="39">
        <f>IFERROR(IF(Y308=0,"",ROUNDUP(Y308/H308,0)*0.01898),"")</f>
        <v>1.898E-2</v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10.37962962962963</v>
      </c>
      <c r="BN308" s="75">
        <f>IFERROR(Y308*I308/H308,"0")</f>
        <v>11.21</v>
      </c>
      <c r="BO308" s="75">
        <f>IFERROR(1/J308*(X308/H308),"0")</f>
        <v>1.4467592592592591E-2</v>
      </c>
      <c r="BP308" s="75">
        <f>IFERROR(1/J308*(Y308/H308),"0")</f>
        <v>1.5625E-2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>
        <v>10</v>
      </c>
      <c r="Y310" s="53">
        <f>IFERROR(IF(X310="",0,CEILING((X310/$H310),1)*$H310),"")</f>
        <v>10.8</v>
      </c>
      <c r="Z310" s="39">
        <f>IFERROR(IF(Y310=0,"",ROUNDUP(Y310/H310,0)*0.01898),"")</f>
        <v>1.898E-2</v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10.37962962962963</v>
      </c>
      <c r="BN310" s="75">
        <f>IFERROR(Y310*I310/H310,"0")</f>
        <v>11.21</v>
      </c>
      <c r="BO310" s="75">
        <f>IFERROR(1/J310*(X310/H310),"0")</f>
        <v>1.4467592592592591E-2</v>
      </c>
      <c r="BP310" s="75">
        <f>IFERROR(1/J310*(Y310/H310),"0")</f>
        <v>1.5625E-2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1.8518518518518516</v>
      </c>
      <c r="Y313" s="41">
        <f>IFERROR(Y308/H308,"0")+IFERROR(Y309/H309,"0")+IFERROR(Y310/H310,"0")+IFERROR(Y311/H311,"0")+IFERROR(Y312/H312,"0")</f>
        <v>2</v>
      </c>
      <c r="Z313" s="41">
        <f>IFERROR(IF(Z308="",0,Z308),"0")+IFERROR(IF(Z309="",0,Z309),"0")+IFERROR(IF(Z310="",0,Z310),"0")+IFERROR(IF(Z311="",0,Z311),"0")+IFERROR(IF(Z312="",0,Z312),"0")</f>
        <v>3.7960000000000001E-2</v>
      </c>
      <c r="AA313" s="64"/>
      <c r="AB313" s="64"/>
      <c r="AC313" s="64"/>
    </row>
    <row r="314" spans="1:68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20</v>
      </c>
      <c r="Y314" s="41">
        <f>IFERROR(SUM(Y308:Y312),"0")</f>
        <v>21.6</v>
      </c>
      <c r="Z314" s="40"/>
      <c r="AA314" s="64"/>
      <c r="AB314" s="64"/>
      <c r="AC314" s="64"/>
    </row>
    <row r="315" spans="1:68" ht="16.5" hidden="1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hidden="1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/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/>
      <c r="Y319" s="53">
        <f>IFERROR(IF(X319="",0,CEILING((X319/$H319),1)*$H319),"")</f>
        <v>0</v>
      </c>
      <c r="Z319" s="39" t="str">
        <f>IFERROR(IF(Y319=0,"",ROUNDUP(Y319/H319,0)*0.00651),"")</f>
        <v/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idden="1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0</v>
      </c>
      <c r="Y320" s="41">
        <f>IFERROR(Y317/H317,"0")+IFERROR(Y318/H318,"0")+IFERROR(Y319/H319,"0")</f>
        <v>0</v>
      </c>
      <c r="Z320" s="41">
        <f>IFERROR(IF(Z317="",0,Z317),"0")+IFERROR(IF(Z318="",0,Z318),"0")+IFERROR(IF(Z319="",0,Z319),"0")</f>
        <v>0</v>
      </c>
      <c r="AA320" s="64"/>
      <c r="AB320" s="64"/>
      <c r="AC320" s="64"/>
    </row>
    <row r="321" spans="1:68" hidden="1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0</v>
      </c>
      <c r="Y321" s="41">
        <f>IFERROR(SUM(Y317:Y319),"0")</f>
        <v>0</v>
      </c>
      <c r="Z321" s="40"/>
      <c r="AA321" s="64"/>
      <c r="AB321" s="64"/>
      <c r="AC321" s="64"/>
    </row>
    <row r="322" spans="1:68" ht="16.5" hidden="1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hidden="1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hidden="1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hidden="1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160</v>
      </c>
      <c r="Y354" s="53">
        <f t="shared" ref="Y354:Y360" si="48">IFERROR(IF(X354="",0,CEILING((X354/$H354),1)*$H354),"")</f>
        <v>163.80000000000001</v>
      </c>
      <c r="Z354" s="39">
        <f>IFERROR(IF(Y354=0,"",ROUNDUP(Y354/H354,0)*0.00902),"")</f>
        <v>0.35177999999999998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169.52380952380952</v>
      </c>
      <c r="BN354" s="75">
        <f t="shared" ref="BN354:BN360" si="50">IFERROR(Y354*I354/H354,"0")</f>
        <v>173.55</v>
      </c>
      <c r="BO354" s="75">
        <f t="shared" ref="BO354:BO360" si="51">IFERROR(1/J354*(X354/H354),"0")</f>
        <v>0.28860028860028858</v>
      </c>
      <c r="BP354" s="75">
        <f t="shared" ref="BP354:BP360" si="52">IFERROR(1/J354*(Y354/H354),"0")</f>
        <v>0.29545454545454547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150</v>
      </c>
      <c r="Y355" s="53">
        <f t="shared" si="48"/>
        <v>151.20000000000002</v>
      </c>
      <c r="Z355" s="39">
        <f>IFERROR(IF(Y355=0,"",ROUNDUP(Y355/H355,0)*0.00902),"")</f>
        <v>0.32472000000000001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158.92857142857142</v>
      </c>
      <c r="BN355" s="75">
        <f t="shared" si="50"/>
        <v>160.20000000000002</v>
      </c>
      <c r="BO355" s="75">
        <f t="shared" si="51"/>
        <v>0.27056277056277056</v>
      </c>
      <c r="BP355" s="75">
        <f t="shared" si="52"/>
        <v>0.27272727272727271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73.80952380952381</v>
      </c>
      <c r="Y361" s="41">
        <f>IFERROR(Y354/H354,"0")+IFERROR(Y355/H355,"0")+IFERROR(Y356/H356,"0")+IFERROR(Y357/H357,"0")+IFERROR(Y358/H358,"0")+IFERROR(Y359/H359,"0")+IFERROR(Y360/H360,"0")</f>
        <v>75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0.67649999999999999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310</v>
      </c>
      <c r="Y362" s="41">
        <f>IFERROR(SUM(Y354:Y360),"0")</f>
        <v>315</v>
      </c>
      <c r="Z362" s="40"/>
      <c r="AA362" s="64"/>
      <c r="AB362" s="64"/>
      <c r="AC362" s="64"/>
    </row>
    <row r="363" spans="1:68" ht="14.25" hidden="1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>
        <v>24</v>
      </c>
      <c r="Y364" s="53">
        <f>IFERROR(IF(X364="",0,CEILING((X364/$H364),1)*$H364),"")</f>
        <v>31.2</v>
      </c>
      <c r="Z364" s="39">
        <f>IFERROR(IF(Y364=0,"",ROUNDUP(Y364/H364,0)*0.01898),"")</f>
        <v>7.5920000000000001E-2</v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25.501538461538463</v>
      </c>
      <c r="BN364" s="75">
        <f>IFERROR(Y364*I364/H364,"0")</f>
        <v>33.152000000000001</v>
      </c>
      <c r="BO364" s="75">
        <f>IFERROR(1/J364*(X364/H364),"0")</f>
        <v>4.807692307692308E-2</v>
      </c>
      <c r="BP364" s="75">
        <f>IFERROR(1/J364*(Y364/H364),"0")</f>
        <v>6.25E-2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3.0769230769230771</v>
      </c>
      <c r="Y368" s="41">
        <f>IFERROR(Y364/H364,"0")+IFERROR(Y365/H365,"0")+IFERROR(Y366/H366,"0")+IFERROR(Y367/H367,"0")</f>
        <v>4</v>
      </c>
      <c r="Z368" s="41">
        <f>IFERROR(IF(Z364="",0,Z364),"0")+IFERROR(IF(Z365="",0,Z365),"0")+IFERROR(IF(Z366="",0,Z366),"0")+IFERROR(IF(Z367="",0,Z367),"0")</f>
        <v>7.5920000000000001E-2</v>
      </c>
      <c r="AA368" s="64"/>
      <c r="AB368" s="64"/>
      <c r="AC368" s="64"/>
    </row>
    <row r="369" spans="1:68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24</v>
      </c>
      <c r="Y369" s="41">
        <f>IFERROR(SUM(Y364:Y367),"0")</f>
        <v>31.2</v>
      </c>
      <c r="Z369" s="40"/>
      <c r="AA369" s="64"/>
      <c r="AB369" s="64"/>
      <c r="AC369" s="64"/>
    </row>
    <row r="370" spans="1:68" ht="14.25" hidden="1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274</v>
      </c>
      <c r="Y371" s="53">
        <f>IFERROR(IF(X371="",0,CEILING((X371/$H371),1)*$H371),"")</f>
        <v>277.2</v>
      </c>
      <c r="Z371" s="39">
        <f>IFERROR(IF(Y371=0,"",ROUNDUP(Y371/H371,0)*0.01898),"")</f>
        <v>0.62634000000000001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290.11380952380955</v>
      </c>
      <c r="BN371" s="75">
        <f>IFERROR(Y371*I371/H371,"0")</f>
        <v>293.50200000000001</v>
      </c>
      <c r="BO371" s="75">
        <f>IFERROR(1/J371*(X371/H371),"0")</f>
        <v>0.50967261904761907</v>
      </c>
      <c r="BP371" s="75">
        <f>IFERROR(1/J371*(Y371/H371),"0")</f>
        <v>0.515625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624</v>
      </c>
      <c r="Y372" s="53">
        <f>IFERROR(IF(X372="",0,CEILING((X372/$H372),1)*$H372),"")</f>
        <v>624</v>
      </c>
      <c r="Z372" s="39">
        <f>IFERROR(IF(Y372=0,"",ROUNDUP(Y372/H372,0)*0.01898),"")</f>
        <v>1.5184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663.52</v>
      </c>
      <c r="BN372" s="75">
        <f>IFERROR(Y372*I372/H372,"0")</f>
        <v>663.52</v>
      </c>
      <c r="BO372" s="75">
        <f>IFERROR(1/J372*(X372/H372),"0")</f>
        <v>1.25</v>
      </c>
      <c r="BP372" s="75">
        <f>IFERROR(1/J372*(Y372/H372),"0")</f>
        <v>1.25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116</v>
      </c>
      <c r="Y373" s="53">
        <f>IFERROR(IF(X373="",0,CEILING((X373/$H373),1)*$H373),"")</f>
        <v>117.60000000000001</v>
      </c>
      <c r="Z373" s="39">
        <f>IFERROR(IF(Y373=0,"",ROUNDUP(Y373/H373,0)*0.01898),"")</f>
        <v>0.26572000000000001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122.82190476190475</v>
      </c>
      <c r="BN373" s="75">
        <f>IFERROR(Y373*I373/H373,"0")</f>
        <v>124.51600000000001</v>
      </c>
      <c r="BO373" s="75">
        <f>IFERROR(1/J373*(X373/H373),"0")</f>
        <v>0.21577380952380951</v>
      </c>
      <c r="BP373" s="75">
        <f>IFERROR(1/J373*(Y373/H373),"0")</f>
        <v>0.21875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126.42857142857143</v>
      </c>
      <c r="Y374" s="41">
        <f>IFERROR(Y371/H371,"0")+IFERROR(Y372/H372,"0")+IFERROR(Y373/H373,"0")</f>
        <v>127</v>
      </c>
      <c r="Z374" s="41">
        <f>IFERROR(IF(Z371="",0,Z371),"0")+IFERROR(IF(Z372="",0,Z372),"0")+IFERROR(IF(Z373="",0,Z373),"0")</f>
        <v>2.41046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1014</v>
      </c>
      <c r="Y375" s="41">
        <f>IFERROR(SUM(Y371:Y373),"0")</f>
        <v>1018.8000000000001</v>
      </c>
      <c r="Z375" s="40"/>
      <c r="AA375" s="64"/>
      <c r="AB375" s="64"/>
      <c r="AC375" s="64"/>
    </row>
    <row r="376" spans="1:68" ht="14.25" hidden="1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hidden="1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>
        <v>74</v>
      </c>
      <c r="Y391" s="53">
        <f>IFERROR(IF(X391="",0,CEILING((X391/$H391),1)*$H391),"")</f>
        <v>81</v>
      </c>
      <c r="Z391" s="39">
        <f>IFERROR(IF(Y391=0,"",ROUNDUP(Y391/H391,0)*0.01898),"")</f>
        <v>0.1898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78.51308641975308</v>
      </c>
      <c r="BN391" s="75">
        <f>IFERROR(Y391*I391/H391,"0")</f>
        <v>85.94</v>
      </c>
      <c r="BO391" s="75">
        <f>IFERROR(1/J391*(X391/H391),"0")</f>
        <v>0.14274691358024691</v>
      </c>
      <c r="BP391" s="75">
        <f>IFERROR(1/J391*(Y391/H391),"0")</f>
        <v>0.15625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>
        <v>31.5</v>
      </c>
      <c r="Y392" s="53">
        <f>IFERROR(IF(X392="",0,CEILING((X392/$H392),1)*$H392),"")</f>
        <v>31.5</v>
      </c>
      <c r="Z392" s="39">
        <f>IFERROR(IF(Y392=0,"",ROUNDUP(Y392/H392,0)*0.00651),"")</f>
        <v>9.7650000000000001E-2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35.279999999999994</v>
      </c>
      <c r="BN392" s="75">
        <f>IFERROR(Y392*I392/H392,"0")</f>
        <v>35.279999999999994</v>
      </c>
      <c r="BO392" s="75">
        <f>IFERROR(1/J392*(X392/H392),"0")</f>
        <v>8.241758241758243E-2</v>
      </c>
      <c r="BP392" s="75">
        <f>IFERROR(1/J392*(Y392/H392),"0")</f>
        <v>8.241758241758243E-2</v>
      </c>
    </row>
    <row r="393" spans="1:68" ht="27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>
        <v>31.5</v>
      </c>
      <c r="Y393" s="53">
        <f>IFERROR(IF(X393="",0,CEILING((X393/$H393),1)*$H393),"")</f>
        <v>31.5</v>
      </c>
      <c r="Z393" s="39">
        <f>IFERROR(IF(Y393=0,"",ROUNDUP(Y393/H393,0)*0.00651),"")</f>
        <v>9.7650000000000001E-2</v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35.099999999999994</v>
      </c>
      <c r="BN393" s="75">
        <f>IFERROR(Y393*I393/H393,"0")</f>
        <v>35.099999999999994</v>
      </c>
      <c r="BO393" s="75">
        <f>IFERROR(1/J393*(X393/H393),"0")</f>
        <v>8.241758241758243E-2</v>
      </c>
      <c r="BP393" s="75">
        <f>IFERROR(1/J393*(Y393/H393),"0")</f>
        <v>8.241758241758243E-2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39.135802469135804</v>
      </c>
      <c r="Y394" s="41">
        <f>IFERROR(Y391/H391,"0")+IFERROR(Y392/H392,"0")+IFERROR(Y393/H393,"0")</f>
        <v>40</v>
      </c>
      <c r="Z394" s="41">
        <f>IFERROR(IF(Z391="",0,Z391),"0")+IFERROR(IF(Z392="",0,Z392),"0")+IFERROR(IF(Z393="",0,Z393),"0")</f>
        <v>0.3851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137</v>
      </c>
      <c r="Y395" s="41">
        <f>IFERROR(SUM(Y391:Y393),"0")</f>
        <v>144</v>
      </c>
      <c r="Z395" s="40"/>
      <c r="AA395" s="64"/>
      <c r="AB395" s="64"/>
      <c r="AC395" s="64"/>
    </row>
    <row r="396" spans="1:68" ht="27.75" hidden="1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hidden="1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hidden="1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3200</v>
      </c>
      <c r="Y400" s="53">
        <f t="shared" si="53"/>
        <v>3210</v>
      </c>
      <c r="Z400" s="39">
        <f>IFERROR(IF(Y400=0,"",ROUNDUP(Y400/H400,0)*0.02175),"")</f>
        <v>4.6544999999999996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3300.2666666666669</v>
      </c>
      <c r="BN400" s="75">
        <f t="shared" si="55"/>
        <v>3310.5800000000004</v>
      </c>
      <c r="BO400" s="75">
        <f t="shared" si="56"/>
        <v>4.4444444444444446</v>
      </c>
      <c r="BP400" s="75">
        <f t="shared" si="57"/>
        <v>4.458333333333333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3130</v>
      </c>
      <c r="Y401" s="53">
        <f t="shared" si="53"/>
        <v>3135</v>
      </c>
      <c r="Z401" s="39">
        <f>IFERROR(IF(Y401=0,"",ROUNDUP(Y401/H401,0)*0.02175),"")</f>
        <v>4.54575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3228.0733333333333</v>
      </c>
      <c r="BN401" s="75">
        <f t="shared" si="55"/>
        <v>3233.2300000000005</v>
      </c>
      <c r="BO401" s="75">
        <f t="shared" si="56"/>
        <v>4.3472222222222214</v>
      </c>
      <c r="BP401" s="75">
        <f t="shared" si="57"/>
        <v>4.3541666666666661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2750</v>
      </c>
      <c r="Y402" s="53">
        <f t="shared" si="53"/>
        <v>2760</v>
      </c>
      <c r="Z402" s="39">
        <f>IFERROR(IF(Y402=0,"",ROUNDUP(Y402/H402,0)*0.02175),"")</f>
        <v>4.0019999999999998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2836.1666666666665</v>
      </c>
      <c r="BN402" s="75">
        <f t="shared" si="55"/>
        <v>2846.4800000000005</v>
      </c>
      <c r="BO402" s="75">
        <f t="shared" si="56"/>
        <v>3.8194444444444446</v>
      </c>
      <c r="BP402" s="75">
        <f t="shared" si="57"/>
        <v>3.833333333333333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605.33333333333337</v>
      </c>
      <c r="Y407" s="41">
        <f>IFERROR(Y399/H399,"0")+IFERROR(Y400/H400,"0")+IFERROR(Y401/H401,"0")+IFERROR(Y402/H402,"0")+IFERROR(Y403/H403,"0")+IFERROR(Y404/H404,"0")+IFERROR(Y405/H405,"0")+IFERROR(Y406/H406,"0")</f>
        <v>607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13.202249999999999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9080</v>
      </c>
      <c r="Y408" s="41">
        <f>IFERROR(SUM(Y399:Y406),"0")</f>
        <v>9105</v>
      </c>
      <c r="Z408" s="40"/>
      <c r="AA408" s="64"/>
      <c r="AB408" s="64"/>
      <c r="AC408" s="64"/>
    </row>
    <row r="409" spans="1:68" ht="14.25" hidden="1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hidden="1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/>
      <c r="Y410" s="53">
        <f>IFERROR(IF(X410="",0,CEILING((X410/$H410),1)*$H410),"")</f>
        <v>0</v>
      </c>
      <c r="Z410" s="39" t="str">
        <f>IFERROR(IF(Y410=0,"",ROUNDUP(Y410/H410,0)*0.02175),"")</f>
        <v/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4.25" hidden="1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932</v>
      </c>
      <c r="Y416" s="53">
        <f>IFERROR(IF(X416="",0,CEILING((X416/$H416),1)*$H416),"")</f>
        <v>936</v>
      </c>
      <c r="Z416" s="39">
        <f>IFERROR(IF(Y416=0,"",ROUNDUP(Y416/H416,0)*0.01898),"")</f>
        <v>1.9739200000000001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983.77777777777783</v>
      </c>
      <c r="BN416" s="75">
        <f>IFERROR(Y416*I416/H416,"0")</f>
        <v>988</v>
      </c>
      <c r="BO416" s="75">
        <f>IFERROR(1/J416*(X416/H416),"0")</f>
        <v>1.6180555555555556</v>
      </c>
      <c r="BP416" s="75">
        <f>IFERROR(1/J416*(Y416/H416),"0")</f>
        <v>1.625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166</v>
      </c>
      <c r="Y417" s="53">
        <f>IFERROR(IF(X417="",0,CEILING((X417/$H417),1)*$H417),"")</f>
        <v>171</v>
      </c>
      <c r="Z417" s="39">
        <f>IFERROR(IF(Y417=0,"",ROUNDUP(Y417/H417,0)*0.01898),"")</f>
        <v>0.36062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175.11155555555555</v>
      </c>
      <c r="BN417" s="75">
        <f>IFERROR(Y417*I417/H417,"0")</f>
        <v>180.386</v>
      </c>
      <c r="BO417" s="75">
        <f>IFERROR(1/J417*(X417/H417),"0")</f>
        <v>0.28819444444444442</v>
      </c>
      <c r="BP417" s="75">
        <f>IFERROR(1/J417*(Y417/H417),"0")</f>
        <v>0.296875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122</v>
      </c>
      <c r="Y418" s="41">
        <f>IFERROR(Y416/H416,"0")+IFERROR(Y417/H417,"0")</f>
        <v>123</v>
      </c>
      <c r="Z418" s="41">
        <f>IFERROR(IF(Z416="",0,Z416),"0")+IFERROR(IF(Z417="",0,Z417),"0")</f>
        <v>2.3345400000000001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1098</v>
      </c>
      <c r="Y419" s="41">
        <f>IFERROR(SUM(Y416:Y417),"0")</f>
        <v>1107</v>
      </c>
      <c r="Z419" s="40"/>
      <c r="AA419" s="64"/>
      <c r="AB419" s="64"/>
      <c r="AC419" s="64"/>
    </row>
    <row r="420" spans="1:68" ht="14.25" hidden="1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300</v>
      </c>
      <c r="Y421" s="53">
        <f>IFERROR(IF(X421="",0,CEILING((X421/$H421),1)*$H421),"")</f>
        <v>306</v>
      </c>
      <c r="Z421" s="39">
        <f>IFERROR(IF(Y421=0,"",ROUNDUP(Y421/H421,0)*0.01898),"")</f>
        <v>0.64532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316.46666666666664</v>
      </c>
      <c r="BN421" s="75">
        <f>IFERROR(Y421*I421/H421,"0")</f>
        <v>322.79599999999999</v>
      </c>
      <c r="BO421" s="75">
        <f>IFERROR(1/J421*(X421/H421),"0")</f>
        <v>0.52083333333333337</v>
      </c>
      <c r="BP421" s="75">
        <f>IFERROR(1/J421*(Y421/H421),"0")</f>
        <v>0.53125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33.333333333333336</v>
      </c>
      <c r="Y422" s="41">
        <f>IFERROR(Y421/H421,"0")</f>
        <v>34</v>
      </c>
      <c r="Z422" s="41">
        <f>IFERROR(IF(Z421="",0,Z421),"0")</f>
        <v>0.64532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300</v>
      </c>
      <c r="Y423" s="41">
        <f>IFERROR(SUM(Y421:Y421),"0")</f>
        <v>306</v>
      </c>
      <c r="Z423" s="40"/>
      <c r="AA423" s="64"/>
      <c r="AB423" s="64"/>
      <c r="AC423" s="64"/>
    </row>
    <row r="424" spans="1:68" ht="16.5" hidden="1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hidden="1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>
        <v>20</v>
      </c>
      <c r="Y431" s="53">
        <f>IFERROR(IF(X431="",0,CEILING((X431/$H431),1)*$H431),"")</f>
        <v>21</v>
      </c>
      <c r="Z431" s="39">
        <f>IFERROR(IF(Y431=0,"",ROUNDUP(Y431/H431,0)*0.00902),"")</f>
        <v>4.5100000000000001E-2</v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21.19047619047619</v>
      </c>
      <c r="BN431" s="75">
        <f>IFERROR(Y431*I431/H431,"0")</f>
        <v>22.25</v>
      </c>
      <c r="BO431" s="75">
        <f>IFERROR(1/J431*(X431/H431),"0")</f>
        <v>3.6075036075036072E-2</v>
      </c>
      <c r="BP431" s="75">
        <f>IFERROR(1/J431*(Y431/H431),"0")</f>
        <v>3.787878787878788E-2</v>
      </c>
    </row>
    <row r="432" spans="1:68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4.7619047619047619</v>
      </c>
      <c r="Y432" s="41">
        <f>IFERROR(Y431/H431,"0")</f>
        <v>5</v>
      </c>
      <c r="Z432" s="41">
        <f>IFERROR(IF(Z431="",0,Z431),"0")</f>
        <v>4.5100000000000001E-2</v>
      </c>
      <c r="AA432" s="64"/>
      <c r="AB432" s="64"/>
      <c r="AC432" s="64"/>
    </row>
    <row r="433" spans="1:68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20</v>
      </c>
      <c r="Y433" s="41">
        <f>IFERROR(SUM(Y431:Y431),"0")</f>
        <v>21</v>
      </c>
      <c r="Z433" s="40"/>
      <c r="AA433" s="64"/>
      <c r="AB433" s="64"/>
      <c r="AC433" s="64"/>
    </row>
    <row r="434" spans="1:68" ht="14.25" hidden="1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406</v>
      </c>
      <c r="Y435" s="53">
        <f>IFERROR(IF(X435="",0,CEILING((X435/$H435),1)*$H435),"")</f>
        <v>414</v>
      </c>
      <c r="Z435" s="39">
        <f>IFERROR(IF(Y435=0,"",ROUNDUP(Y435/H435,0)*0.01898),"")</f>
        <v>0.87307999999999997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428.28488888888887</v>
      </c>
      <c r="BN435" s="75">
        <f>IFERROR(Y435*I435/H435,"0")</f>
        <v>436.72399999999999</v>
      </c>
      <c r="BO435" s="75">
        <f>IFERROR(1/J435*(X435/H435),"0")</f>
        <v>0.70486111111111116</v>
      </c>
      <c r="BP435" s="75">
        <f>IFERROR(1/J435*(Y435/H435),"0")</f>
        <v>0.71875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45.111111111111114</v>
      </c>
      <c r="Y438" s="41">
        <f>IFERROR(Y435/H435,"0")+IFERROR(Y436/H436,"0")+IFERROR(Y437/H437,"0")</f>
        <v>46</v>
      </c>
      <c r="Z438" s="41">
        <f>IFERROR(IF(Z435="",0,Z435),"0")+IFERROR(IF(Z436="",0,Z436),"0")+IFERROR(IF(Z437="",0,Z437),"0")</f>
        <v>0.87307999999999997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406</v>
      </c>
      <c r="Y439" s="41">
        <f>IFERROR(SUM(Y435:Y437),"0")</f>
        <v>414</v>
      </c>
      <c r="Z439" s="40"/>
      <c r="AA439" s="64"/>
      <c r="AB439" s="64"/>
      <c r="AC439" s="64"/>
    </row>
    <row r="440" spans="1:68" ht="27.75" hidden="1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hidden="1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hidden="1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30</v>
      </c>
      <c r="Y443" s="53">
        <f t="shared" ref="Y443:Y448" si="58">IFERROR(IF(X443="",0,CEILING((X443/$H443),1)*$H443),"")</f>
        <v>32.400000000000006</v>
      </c>
      <c r="Z443" s="39">
        <f>IFERROR(IF(Y443=0,"",ROUNDUP(Y443/H443,0)*0.00902),"")</f>
        <v>5.4120000000000001E-2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31.05555555555555</v>
      </c>
      <c r="BN443" s="75">
        <f t="shared" ref="BN443:BN448" si="60">IFERROR(Y443*I443/H443,"0")</f>
        <v>33.54</v>
      </c>
      <c r="BO443" s="75">
        <f t="shared" ref="BO443:BO448" si="61">IFERROR(1/J443*(X443/H443),"0")</f>
        <v>4.208754208754209E-2</v>
      </c>
      <c r="BP443" s="75">
        <f t="shared" ref="BP443:BP448" si="62">IFERROR(1/J443*(Y443/H443),"0")</f>
        <v>4.5454545454545463E-2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30</v>
      </c>
      <c r="Y444" s="53">
        <f t="shared" si="58"/>
        <v>32.400000000000006</v>
      </c>
      <c r="Z444" s="39">
        <f>IFERROR(IF(Y444=0,"",ROUNDUP(Y444/H444,0)*0.00902),"")</f>
        <v>5.4120000000000001E-2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31.05555555555555</v>
      </c>
      <c r="BN444" s="75">
        <f t="shared" si="60"/>
        <v>33.54</v>
      </c>
      <c r="BO444" s="75">
        <f t="shared" si="61"/>
        <v>4.208754208754209E-2</v>
      </c>
      <c r="BP444" s="75">
        <f t="shared" si="62"/>
        <v>4.5454545454545463E-2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hidden="1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/>
      <c r="Y446" s="53">
        <f t="shared" si="58"/>
        <v>0</v>
      </c>
      <c r="Z446" s="39" t="str">
        <f>IFERROR(IF(Y446=0,"",ROUNDUP(Y446/H446,0)*0.00502),"")</f>
        <v/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0</v>
      </c>
      <c r="BN446" s="75">
        <f t="shared" si="60"/>
        <v>0</v>
      </c>
      <c r="BO446" s="75">
        <f t="shared" si="61"/>
        <v>0</v>
      </c>
      <c r="BP446" s="75">
        <f t="shared" si="62"/>
        <v>0</v>
      </c>
    </row>
    <row r="447" spans="1:68" ht="27" hidden="1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/>
      <c r="Y447" s="53">
        <f t="shared" si="58"/>
        <v>0</v>
      </c>
      <c r="Z447" s="39" t="str">
        <f>IFERROR(IF(Y447=0,"",ROUNDUP(Y447/H447,0)*0.00502),"")</f>
        <v/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0</v>
      </c>
      <c r="BN447" s="75">
        <f t="shared" si="60"/>
        <v>0</v>
      </c>
      <c r="BO447" s="75">
        <f t="shared" si="61"/>
        <v>0</v>
      </c>
      <c r="BP447" s="75">
        <f t="shared" si="62"/>
        <v>0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11.111111111111111</v>
      </c>
      <c r="Y449" s="41">
        <f>IFERROR(Y443/H443,"0")+IFERROR(Y444/H444,"0")+IFERROR(Y445/H445,"0")+IFERROR(Y446/H446,"0")+IFERROR(Y447/H447,"0")+IFERROR(Y448/H448,"0")</f>
        <v>12.000000000000002</v>
      </c>
      <c r="Z449" s="41">
        <f>IFERROR(IF(Z443="",0,Z443),"0")+IFERROR(IF(Z444="",0,Z444),"0")+IFERROR(IF(Z445="",0,Z445),"0")+IFERROR(IF(Z446="",0,Z446),"0")+IFERROR(IF(Z447="",0,Z447),"0")+IFERROR(IF(Z448="",0,Z448),"0")</f>
        <v>0.10824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60</v>
      </c>
      <c r="Y450" s="41">
        <f>IFERROR(SUM(Y443:Y448),"0")</f>
        <v>64.800000000000011</v>
      </c>
      <c r="Z450" s="40"/>
      <c r="AA450" s="64"/>
      <c r="AB450" s="64"/>
      <c r="AC450" s="64"/>
    </row>
    <row r="451" spans="1:68" ht="14.25" hidden="1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hidden="1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hidden="1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/>
      <c r="Y458" s="53">
        <f>IFERROR(IF(X458="",0,CEILING((X458/$H458),1)*$H458),"")</f>
        <v>0</v>
      </c>
      <c r="Z458" s="39" t="str">
        <f>IFERROR(IF(Y458=0,"",ROUNDUP(Y458/H458,0)*0.00651),"")</f>
        <v/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idden="1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0</v>
      </c>
      <c r="Y459" s="41">
        <f>IFERROR(Y458/H458,"0")</f>
        <v>0</v>
      </c>
      <c r="Z459" s="41">
        <f>IFERROR(IF(Z458="",0,Z458),"0")</f>
        <v>0</v>
      </c>
      <c r="AA459" s="64"/>
      <c r="AB459" s="64"/>
      <c r="AC459" s="64"/>
    </row>
    <row r="460" spans="1:68" hidden="1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0</v>
      </c>
      <c r="Y460" s="41">
        <f>IFERROR(SUM(Y458:Y458),"0")</f>
        <v>0</v>
      </c>
      <c r="Z460" s="40"/>
      <c r="AA460" s="64"/>
      <c r="AB460" s="64"/>
      <c r="AC460" s="64"/>
    </row>
    <row r="461" spans="1:68" ht="14.25" hidden="1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180</v>
      </c>
      <c r="Y462" s="53">
        <f>IFERROR(IF(X462="",0,CEILING((X462/$H462),1)*$H462),"")</f>
        <v>183.60000000000002</v>
      </c>
      <c r="Z462" s="39">
        <f>IFERROR(IF(Y462=0,"",ROUNDUP(Y462/H462,0)*0.00902),"")</f>
        <v>0.30668000000000001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186.33333333333331</v>
      </c>
      <c r="BN462" s="75">
        <f>IFERROR(Y462*I462/H462,"0")</f>
        <v>190.06</v>
      </c>
      <c r="BO462" s="75">
        <f>IFERROR(1/J462*(X462/H462),"0")</f>
        <v>0.25252525252525249</v>
      </c>
      <c r="BP462" s="75">
        <f>IFERROR(1/J462*(Y462/H462),"0")</f>
        <v>0.25757575757575757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33.333333333333329</v>
      </c>
      <c r="Y465" s="41">
        <f>IFERROR(Y462/H462,"0")+IFERROR(Y463/H463,"0")+IFERROR(Y464/H464,"0")</f>
        <v>34</v>
      </c>
      <c r="Z465" s="41">
        <f>IFERROR(IF(Z462="",0,Z462),"0")+IFERROR(IF(Z463="",0,Z463),"0")+IFERROR(IF(Z464="",0,Z464),"0")</f>
        <v>0.30668000000000001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180</v>
      </c>
      <c r="Y466" s="41">
        <f>IFERROR(SUM(Y462:Y464),"0")</f>
        <v>183.60000000000002</v>
      </c>
      <c r="Z466" s="40"/>
      <c r="AA466" s="64"/>
      <c r="AB466" s="64"/>
      <c r="AC466" s="64"/>
    </row>
    <row r="467" spans="1:68" ht="27.75" hidden="1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hidden="1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hidden="1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hidden="1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/>
      <c r="Y470" s="53">
        <f t="shared" ref="Y470:Y478" si="63">IFERROR(IF(X470="",0,CEILING((X470/$H470),1)*$H470),"")</f>
        <v>0</v>
      </c>
      <c r="Z470" s="39" t="str">
        <f t="shared" ref="Z470:Z475" si="64">IFERROR(IF(Y470=0,"",ROUNDUP(Y470/H470,0)*0.01196),"")</f>
        <v/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0</v>
      </c>
      <c r="BN470" s="75">
        <f t="shared" ref="BN470:BN478" si="66">IFERROR(Y470*I470/H470,"0")</f>
        <v>0</v>
      </c>
      <c r="BO470" s="75">
        <f t="shared" ref="BO470:BO478" si="67">IFERROR(1/J470*(X470/H470),"0")</f>
        <v>0</v>
      </c>
      <c r="BP470" s="75">
        <f t="shared" ref="BP470:BP478" si="68">IFERROR(1/J470*(Y470/H470),"0")</f>
        <v>0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>
        <v>5</v>
      </c>
      <c r="Y472" s="53">
        <f t="shared" si="63"/>
        <v>5.28</v>
      </c>
      <c r="Z472" s="39">
        <f t="shared" si="64"/>
        <v>1.196E-2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5.3314393939393936</v>
      </c>
      <c r="BN472" s="75">
        <f t="shared" si="66"/>
        <v>5.63</v>
      </c>
      <c r="BO472" s="75">
        <f t="shared" si="67"/>
        <v>9.1054778554778559E-3</v>
      </c>
      <c r="BP472" s="75">
        <f t="shared" si="68"/>
        <v>9.6153846153846159E-3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25</v>
      </c>
      <c r="Y473" s="53">
        <f t="shared" si="63"/>
        <v>26.400000000000002</v>
      </c>
      <c r="Z473" s="39">
        <f t="shared" si="64"/>
        <v>5.9799999999999999E-2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26.657196969696969</v>
      </c>
      <c r="BN473" s="75">
        <f t="shared" si="66"/>
        <v>28.15</v>
      </c>
      <c r="BO473" s="75">
        <f t="shared" si="67"/>
        <v>4.5527389277389273E-2</v>
      </c>
      <c r="BP473" s="75">
        <f t="shared" si="68"/>
        <v>4.807692307692308E-2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335</v>
      </c>
      <c r="Y475" s="53">
        <f t="shared" si="63"/>
        <v>337.92</v>
      </c>
      <c r="Z475" s="39">
        <f t="shared" si="64"/>
        <v>0.76544000000000001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357.20643939393938</v>
      </c>
      <c r="BN475" s="75">
        <f t="shared" si="66"/>
        <v>360.32</v>
      </c>
      <c r="BO475" s="75">
        <f t="shared" si="67"/>
        <v>0.61006701631701632</v>
      </c>
      <c r="BP475" s="75">
        <f t="shared" si="68"/>
        <v>0.61538461538461542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69.128787878787875</v>
      </c>
      <c r="Y479" s="41">
        <f>IFERROR(Y470/H470,"0")+IFERROR(Y471/H471,"0")+IFERROR(Y472/H472,"0")+IFERROR(Y473/H473,"0")+IFERROR(Y474/H474,"0")+IFERROR(Y475/H475,"0")+IFERROR(Y476/H476,"0")+IFERROR(Y477/H477,"0")+IFERROR(Y478/H478,"0")</f>
        <v>70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0.83720000000000006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365</v>
      </c>
      <c r="Y480" s="41">
        <f>IFERROR(SUM(Y470:Y478),"0")</f>
        <v>369.6</v>
      </c>
      <c r="Z480" s="40"/>
      <c r="AA480" s="64"/>
      <c r="AB480" s="64"/>
      <c r="AC480" s="64"/>
    </row>
    <row r="481" spans="1:68" ht="14.25" hidden="1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325</v>
      </c>
      <c r="Y482" s="53">
        <f>IFERROR(IF(X482="",0,CEILING((X482/$H482),1)*$H482),"")</f>
        <v>327.36</v>
      </c>
      <c r="Z482" s="39">
        <f>IFERROR(IF(Y482=0,"",ROUNDUP(Y482/H482,0)*0.01196),"")</f>
        <v>0.74151999999999996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346.54356060606057</v>
      </c>
      <c r="BN482" s="75">
        <f>IFERROR(Y482*I482/H482,"0")</f>
        <v>349.06</v>
      </c>
      <c r="BO482" s="75">
        <f>IFERROR(1/J482*(X482/H482),"0")</f>
        <v>0.59185606060606055</v>
      </c>
      <c r="BP482" s="75">
        <f>IFERROR(1/J482*(Y482/H482),"0")</f>
        <v>0.59615384615384615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61.553030303030297</v>
      </c>
      <c r="Y485" s="41">
        <f>IFERROR(Y482/H482,"0")+IFERROR(Y483/H483,"0")+IFERROR(Y484/H484,"0")</f>
        <v>62</v>
      </c>
      <c r="Z485" s="41">
        <f>IFERROR(IF(Z482="",0,Z482),"0")+IFERROR(IF(Z483="",0,Z483),"0")+IFERROR(IF(Z484="",0,Z484),"0")</f>
        <v>0.74151999999999996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325</v>
      </c>
      <c r="Y486" s="41">
        <f>IFERROR(SUM(Y482:Y484),"0")</f>
        <v>327.36</v>
      </c>
      <c r="Z486" s="40"/>
      <c r="AA486" s="64"/>
      <c r="AB486" s="64"/>
      <c r="AC486" s="64"/>
    </row>
    <row r="487" spans="1:68" ht="14.25" hidden="1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>
        <v>125</v>
      </c>
      <c r="Y488" s="53">
        <f t="shared" ref="Y488:Y494" si="69">IFERROR(IF(X488="",0,CEILING((X488/$H488),1)*$H488),"")</f>
        <v>126.72</v>
      </c>
      <c r="Z488" s="39">
        <f>IFERROR(IF(Y488=0,"",ROUNDUP(Y488/H488,0)*0.01196),"")</f>
        <v>0.28704000000000002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133.28598484848484</v>
      </c>
      <c r="BN488" s="75">
        <f t="shared" ref="BN488:BN494" si="71">IFERROR(Y488*I488/H488,"0")</f>
        <v>135.11999999999998</v>
      </c>
      <c r="BO488" s="75">
        <f t="shared" ref="BO488:BO494" si="72">IFERROR(1/J488*(X488/H488),"0")</f>
        <v>0.22763694638694637</v>
      </c>
      <c r="BP488" s="75">
        <f t="shared" ref="BP488:BP494" si="73">IFERROR(1/J488*(Y488/H488),"0")</f>
        <v>0.23076923076923078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30</v>
      </c>
      <c r="Y489" s="53">
        <f t="shared" si="69"/>
        <v>31.68</v>
      </c>
      <c r="Z489" s="39">
        <f>IFERROR(IF(Y489=0,"",ROUNDUP(Y489/H489,0)*0.01196),"")</f>
        <v>7.1760000000000004E-2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31.988636363636363</v>
      </c>
      <c r="BN489" s="75">
        <f t="shared" si="71"/>
        <v>33.779999999999994</v>
      </c>
      <c r="BO489" s="75">
        <f t="shared" si="72"/>
        <v>5.4632867132867136E-2</v>
      </c>
      <c r="BP489" s="75">
        <f t="shared" si="73"/>
        <v>5.7692307692307696E-2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110</v>
      </c>
      <c r="Y490" s="53">
        <f t="shared" si="69"/>
        <v>110.88000000000001</v>
      </c>
      <c r="Z490" s="39">
        <f>IFERROR(IF(Y490=0,"",ROUNDUP(Y490/H490,0)*0.01196),"")</f>
        <v>0.25115999999999999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117.29166666666666</v>
      </c>
      <c r="BN490" s="75">
        <f t="shared" si="71"/>
        <v>118.23</v>
      </c>
      <c r="BO490" s="75">
        <f t="shared" si="72"/>
        <v>0.20032051282051283</v>
      </c>
      <c r="BP490" s="75">
        <f t="shared" si="73"/>
        <v>0.20192307692307693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50.189393939393938</v>
      </c>
      <c r="Y495" s="41">
        <f>IFERROR(Y488/H488,"0")+IFERROR(Y489/H489,"0")+IFERROR(Y490/H490,"0")+IFERROR(Y491/H491,"0")+IFERROR(Y492/H492,"0")+IFERROR(Y493/H493,"0")+IFERROR(Y494/H494,"0")</f>
        <v>51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0.60996000000000006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265</v>
      </c>
      <c r="Y496" s="41">
        <f>IFERROR(SUM(Y488:Y494),"0")</f>
        <v>269.28000000000003</v>
      </c>
      <c r="Z496" s="40"/>
      <c r="AA496" s="64"/>
      <c r="AB496" s="64"/>
      <c r="AC496" s="64"/>
    </row>
    <row r="497" spans="1:68" ht="27.75" hidden="1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hidden="1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hidden="1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1630</v>
      </c>
      <c r="Y500" s="53">
        <f>IFERROR(IF(X500="",0,CEILING((X500/$H500),1)*$H500),"")</f>
        <v>1632</v>
      </c>
      <c r="Z500" s="39">
        <f>IFERROR(IF(Y500=0,"",ROUNDUP(Y500/H500,0)*0.01898),"")</f>
        <v>2.58128</v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1685.6916666666666</v>
      </c>
      <c r="BN500" s="75">
        <f>IFERROR(Y500*I500/H500,"0")</f>
        <v>1687.76</v>
      </c>
      <c r="BO500" s="75">
        <f>IFERROR(1/J500*(X500/H500),"0")</f>
        <v>2.1223958333333335</v>
      </c>
      <c r="BP500" s="75">
        <f>IFERROR(1/J500*(Y500/H500),"0")</f>
        <v>2.125</v>
      </c>
    </row>
    <row r="501" spans="1:68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135.83333333333334</v>
      </c>
      <c r="Y501" s="41">
        <f>IFERROR(Y500/H500,"0")</f>
        <v>136</v>
      </c>
      <c r="Z501" s="41">
        <f>IFERROR(IF(Z500="",0,Z500),"0")</f>
        <v>2.58128</v>
      </c>
      <c r="AA501" s="64"/>
      <c r="AB501" s="64"/>
      <c r="AC501" s="64"/>
    </row>
    <row r="502" spans="1:68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1630</v>
      </c>
      <c r="Y502" s="41">
        <f>IFERROR(SUM(Y500:Y500),"0")</f>
        <v>1632</v>
      </c>
      <c r="Z502" s="40"/>
      <c r="AA502" s="64"/>
      <c r="AB502" s="64"/>
      <c r="AC502" s="64"/>
    </row>
    <row r="503" spans="1:68" ht="14.25" hidden="1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/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50</v>
      </c>
      <c r="Y508" s="53">
        <f>IFERROR(IF(X508="",0,CEILING((X508/$H508),1)*$H508),"")</f>
        <v>52.8</v>
      </c>
      <c r="Z508" s="39">
        <f>IFERROR(IF(Y508=0,"",ROUNDUP(Y508/H508,0)*0.00902),"")</f>
        <v>9.9220000000000003E-2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52.604166666666671</v>
      </c>
      <c r="BN508" s="75">
        <f>IFERROR(Y508*I508/H508,"0")</f>
        <v>55.55</v>
      </c>
      <c r="BO508" s="75">
        <f>IFERROR(1/J508*(X508/H508),"0")</f>
        <v>7.8914141414141423E-2</v>
      </c>
      <c r="BP508" s="75">
        <f>IFERROR(1/J508*(Y508/H508),"0")</f>
        <v>8.3333333333333343E-2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10.416666666666668</v>
      </c>
      <c r="Y509" s="41">
        <f>IFERROR(Y508/H508,"0")</f>
        <v>11</v>
      </c>
      <c r="Z509" s="41">
        <f>IFERROR(IF(Z508="",0,Z508),"0")</f>
        <v>9.9220000000000003E-2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50</v>
      </c>
      <c r="Y510" s="41">
        <f>IFERROR(SUM(Y508:Y508),"0")</f>
        <v>52.8</v>
      </c>
      <c r="Z510" s="40"/>
      <c r="AA510" s="64"/>
      <c r="AB510" s="64"/>
      <c r="AC510" s="64"/>
    </row>
    <row r="511" spans="1:68" ht="14.25" hidden="1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hidden="1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18009.599999999999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18167.34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18744.413964437223</v>
      </c>
      <c r="Y526" s="41">
        <f>IFERROR(SUM(BN22:BN522),"0")</f>
        <v>18909.521999999997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28</v>
      </c>
      <c r="Y527" s="42">
        <f>ROUNDUP(SUM(BP22:BP522),0)</f>
        <v>28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19444.413964437223</v>
      </c>
      <c r="Y528" s="41">
        <f>GrossWeightTotalR+PalletQtyTotalR*25</f>
        <v>19609.521999999997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1809.0186515272719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1829</v>
      </c>
      <c r="Z529" s="40"/>
      <c r="AA529" s="64"/>
      <c r="AB529" s="64"/>
      <c r="AC529" s="64"/>
    </row>
    <row r="530" spans="1:32" ht="14.25" hidden="1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31.400760000000005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367.20000000000005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249.6</v>
      </c>
      <c r="F535" s="50">
        <f>IFERROR(Y91*1,"0")+IFERROR(Y92*1,"0")+IFERROR(Y93*1,"0")+IFERROR(Y94*1,"0")+IFERROR(Y98*1,"0")+IFERROR(Y99*1,"0")+IFERROR(Y100*1,"0")+IFERROR(Y101*1,"0")</f>
        <v>232.2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645.29999999999995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106.5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50.400000000000006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1133.1000000000004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21.6</v>
      </c>
      <c r="Q535" s="50">
        <f>IFERROR(Y317*1,"0")+IFERROR(Y318*1,"0")+IFERROR(Y319*1,"0")</f>
        <v>0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1365</v>
      </c>
      <c r="U535" s="50">
        <f>IFERROR(Y391*1,"0")+IFERROR(Y392*1,"0")+IFERROR(Y393*1,"0")</f>
        <v>144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10518</v>
      </c>
      <c r="W535" s="50">
        <f>IFERROR(Y426*1,"0")+IFERROR(Y427*1,"0")+IFERROR(Y431*1,"0")+IFERROR(Y435*1,"0")+IFERROR(Y436*1,"0")+IFERROR(Y437*1,"0")</f>
        <v>435</v>
      </c>
      <c r="X535" s="50">
        <f>IFERROR(Y443*1,"0")+IFERROR(Y444*1,"0")+IFERROR(Y445*1,"0")+IFERROR(Y446*1,"0")+IFERROR(Y447*1,"0")+IFERROR(Y448*1,"0")+IFERROR(Y452*1,"0")+IFERROR(Y453*1,"0")</f>
        <v>64.800000000000011</v>
      </c>
      <c r="Y535" s="50">
        <f>IFERROR(Y458*1,"0")+IFERROR(Y462*1,"0")+IFERROR(Y463*1,"0")+IFERROR(Y464*1,"0")</f>
        <v>183.60000000000002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966.24</v>
      </c>
      <c r="AA535" s="50">
        <f>IFERROR(Y500*1,"0")+IFERROR(Y504*1,"0")+IFERROR(Y508*1,"0")+IFERROR(Y512*1,"0")+IFERROR(Y516*1,"0")+IFERROR(Y517*1,"0")</f>
        <v>1684.8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4,00"/>
        <filter val="1 098,00"/>
        <filter val="1 630,00"/>
        <filter val="1 809,02"/>
        <filter val="1,85"/>
        <filter val="10,00"/>
        <filter val="10,19"/>
        <filter val="10,42"/>
        <filter val="100,00"/>
        <filter val="11,11"/>
        <filter val="11,90"/>
        <filter val="110,00"/>
        <filter val="116,00"/>
        <filter val="122,00"/>
        <filter val="125,00"/>
        <filter val="126,43"/>
        <filter val="135,83"/>
        <filter val="137,00"/>
        <filter val="14,81"/>
        <filter val="142,00"/>
        <filter val="150,00"/>
        <filter val="160,00"/>
        <filter val="161,70"/>
        <filter val="165,00"/>
        <filter val="166,00"/>
        <filter val="17,53"/>
        <filter val="18 009,60"/>
        <filter val="18 744,41"/>
        <filter val="180,00"/>
        <filter val="19 444,41"/>
        <filter val="19,84"/>
        <filter val="195,00"/>
        <filter val="2 750,00"/>
        <filter val="2,40"/>
        <filter val="20,00"/>
        <filter val="235,00"/>
        <filter val="24,00"/>
        <filter val="25,00"/>
        <filter val="258,00"/>
        <filter val="265,00"/>
        <filter val="273,20"/>
        <filter val="274,00"/>
        <filter val="28"/>
        <filter val="3 130,00"/>
        <filter val="3 200,00"/>
        <filter val="3,08"/>
        <filter val="3,60"/>
        <filter val="30,00"/>
        <filter val="300,00"/>
        <filter val="31,50"/>
        <filter val="310,00"/>
        <filter val="325,00"/>
        <filter val="33,33"/>
        <filter val="33,64"/>
        <filter val="335,00"/>
        <filter val="360,00"/>
        <filter val="365,00"/>
        <filter val="39,14"/>
        <filter val="4,76"/>
        <filter val="406,00"/>
        <filter val="45,11"/>
        <filter val="5,00"/>
        <filter val="50,00"/>
        <filter val="50,19"/>
        <filter val="526,00"/>
        <filter val="60,00"/>
        <filter val="605,33"/>
        <filter val="61,55"/>
        <filter val="624,00"/>
        <filter val="64,94"/>
        <filter val="69,13"/>
        <filter val="7,31"/>
        <filter val="7,41"/>
        <filter val="73,81"/>
        <filter val="74,00"/>
        <filter val="8,00"/>
        <filter val="80,00"/>
        <filter val="844,40"/>
        <filter val="9 080,00"/>
        <filter val="932,00"/>
      </filters>
    </filterColumn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4" priority="4" stopIfTrue="1">
      <formula>IF($V$5="самовывоз",1,0)</formula>
    </cfRule>
  </conditionalFormatting>
  <conditionalFormatting sqref="P5:R6">
    <cfRule type="expression" dxfId="3" priority="3" stopIfTrue="1">
      <formula>IF($V$5="доставка",1,0)</formula>
    </cfRule>
  </conditionalFormatting>
  <conditionalFormatting sqref="P8">
    <cfRule type="expression" dxfId="2" priority="2" stopIfTrue="1">
      <formula>IF($V$5="доставка",1,0)</formula>
    </cfRule>
  </conditionalFormatting>
  <conditionalFormatting sqref="P9:R13">
    <cfRule type="expression" dxfId="1" priority="15" stopIfTrue="1">
      <formula>IF($V$5="самовывоз",1,0)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2026-07-28T12:25:37Z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