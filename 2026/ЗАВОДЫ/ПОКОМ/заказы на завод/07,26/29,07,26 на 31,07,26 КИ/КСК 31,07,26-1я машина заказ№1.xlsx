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06458BC-9DFF-449F-A8B4-B073341F1B9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Z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Z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Y323" i="2" s="1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N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P236" i="2"/>
  <c r="BO236" i="2"/>
  <c r="BM236" i="2"/>
  <c r="Y236" i="2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Z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Z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J9" i="2" s="1"/>
  <c r="D7" i="2"/>
  <c r="Q6" i="2"/>
  <c r="P2" i="2"/>
  <c r="BN115" i="2" l="1"/>
  <c r="BN155" i="2"/>
  <c r="Y262" i="2"/>
  <c r="BN284" i="2"/>
  <c r="BN416" i="2"/>
  <c r="BN446" i="2"/>
  <c r="BN463" i="2"/>
  <c r="BN30" i="2"/>
  <c r="Z31" i="2"/>
  <c r="Y79" i="2"/>
  <c r="BN82" i="2"/>
  <c r="Z90" i="2"/>
  <c r="BN214" i="2"/>
  <c r="Z231" i="2"/>
  <c r="BN231" i="2"/>
  <c r="BN288" i="2"/>
  <c r="Z302" i="2"/>
  <c r="Z363" i="2"/>
  <c r="BN364" i="2"/>
  <c r="Z373" i="2"/>
  <c r="BN389" i="2"/>
  <c r="BN457" i="2"/>
  <c r="BN472" i="2"/>
  <c r="Z173" i="2"/>
  <c r="BP187" i="2"/>
  <c r="Z182" i="2"/>
  <c r="Z270" i="2"/>
  <c r="BN515" i="2"/>
  <c r="Y532" i="2"/>
  <c r="BN517" i="2"/>
  <c r="Z504" i="2"/>
  <c r="BN498" i="2"/>
  <c r="BN473" i="2"/>
  <c r="Z472" i="2"/>
  <c r="BN470" i="2"/>
  <c r="Z457" i="2"/>
  <c r="Z458" i="2" s="1"/>
  <c r="Y458" i="2"/>
  <c r="BN441" i="2"/>
  <c r="BN429" i="2"/>
  <c r="BP428" i="2"/>
  <c r="Z425" i="2"/>
  <c r="BN424" i="2"/>
  <c r="Y412" i="2"/>
  <c r="Z402" i="2"/>
  <c r="BN402" i="2"/>
  <c r="BN396" i="2"/>
  <c r="BN383" i="2"/>
  <c r="BN374" i="2"/>
  <c r="BN373" i="2"/>
  <c r="BN368" i="2"/>
  <c r="Z364" i="2"/>
  <c r="BP363" i="2"/>
  <c r="BN358" i="2"/>
  <c r="Y360" i="2"/>
  <c r="BN351" i="2"/>
  <c r="Z346" i="2"/>
  <c r="Z336" i="2"/>
  <c r="Z328" i="2"/>
  <c r="Z320" i="2"/>
  <c r="Z304" i="2"/>
  <c r="BP304" i="2"/>
  <c r="Z290" i="2"/>
  <c r="BN290" i="2"/>
  <c r="BP283" i="2"/>
  <c r="Z283" i="2"/>
  <c r="Z280" i="2"/>
  <c r="BN274" i="2"/>
  <c r="BP273" i="2"/>
  <c r="Z273" i="2"/>
  <c r="BN264" i="2"/>
  <c r="Z264" i="2"/>
  <c r="BN259" i="2"/>
  <c r="Z250" i="2"/>
  <c r="Z244" i="2"/>
  <c r="BN235" i="2"/>
  <c r="Z230" i="2"/>
  <c r="BN226" i="2"/>
  <c r="BN209" i="2"/>
  <c r="Y204" i="2"/>
  <c r="Z192" i="2"/>
  <c r="BN186" i="2"/>
  <c r="BP185" i="2"/>
  <c r="Z185" i="2"/>
  <c r="Z167" i="2"/>
  <c r="Z157" i="2"/>
  <c r="Y158" i="2"/>
  <c r="Y151" i="2"/>
  <c r="BN148" i="2"/>
  <c r="Y137" i="2"/>
  <c r="Z132" i="2"/>
  <c r="BN132" i="2"/>
  <c r="Y128" i="2"/>
  <c r="BP127" i="2"/>
  <c r="Z122" i="2"/>
  <c r="BN120" i="2"/>
  <c r="Z113" i="2"/>
  <c r="BN106" i="2"/>
  <c r="F561" i="2"/>
  <c r="BN77" i="2"/>
  <c r="BN72" i="2"/>
  <c r="BN61" i="2"/>
  <c r="Z59" i="2"/>
  <c r="Y55" i="2"/>
  <c r="Z43" i="2"/>
  <c r="Y37" i="2"/>
  <c r="BP35" i="2"/>
  <c r="Z35" i="2"/>
  <c r="Z36" i="2" s="1"/>
  <c r="X555" i="2"/>
  <c r="BN28" i="2"/>
  <c r="Y25" i="2"/>
  <c r="Z22" i="2"/>
  <c r="BP44" i="2"/>
  <c r="BP121" i="2"/>
  <c r="Y125" i="2"/>
  <c r="BP133" i="2"/>
  <c r="Y170" i="2"/>
  <c r="Y169" i="2"/>
  <c r="Z166" i="2"/>
  <c r="BN172" i="2"/>
  <c r="Z172" i="2"/>
  <c r="Z174" i="2" s="1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BP90" i="2"/>
  <c r="Y99" i="2"/>
  <c r="Z103" i="2"/>
  <c r="Y109" i="2"/>
  <c r="Z112" i="2"/>
  <c r="BN113" i="2"/>
  <c r="Z124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Z261" i="2" s="1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Z359" i="2" s="1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84" i="2"/>
  <c r="Z266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Z158" i="2" s="1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Z245" i="2" s="1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76" i="2"/>
  <c r="BN398" i="2"/>
  <c r="Z408" i="2"/>
  <c r="BN423" i="2"/>
  <c r="Z478" i="2"/>
  <c r="Z480" i="2" s="1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Z117" i="2" s="1"/>
  <c r="BP139" i="2"/>
  <c r="Z147" i="2"/>
  <c r="Z150" i="2" s="1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64" i="2" s="1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51" i="2" s="1"/>
  <c r="Z272" i="2"/>
  <c r="Z282" i="2"/>
  <c r="Y293" i="2"/>
  <c r="Z303" i="2"/>
  <c r="BN315" i="2"/>
  <c r="Z326" i="2"/>
  <c r="Z337" i="2"/>
  <c r="BN350" i="2"/>
  <c r="Z372" i="2"/>
  <c r="Z382" i="2"/>
  <c r="BN404" i="2"/>
  <c r="Z415" i="2"/>
  <c r="Z418" i="2" s="1"/>
  <c r="Z427" i="2"/>
  <c r="BN462" i="2"/>
  <c r="BN474" i="2"/>
  <c r="BN499" i="2"/>
  <c r="BN509" i="2"/>
  <c r="BN519" i="2"/>
  <c r="Z543" i="2"/>
  <c r="Z544" i="2" s="1"/>
  <c r="Y549" i="2"/>
  <c r="X561" i="2"/>
  <c r="Z42" i="2"/>
  <c r="Z65" i="2"/>
  <c r="BN42" i="2"/>
  <c r="BN88" i="2"/>
  <c r="Z45" i="2"/>
  <c r="Z135" i="2"/>
  <c r="Z136" i="2" s="1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475" i="2" l="1"/>
  <c r="Z369" i="2"/>
  <c r="Z322" i="2"/>
  <c r="Z277" i="2"/>
  <c r="Z411" i="2"/>
  <c r="Z405" i="2"/>
  <c r="Z386" i="2"/>
  <c r="Z338" i="2"/>
  <c r="Z292" i="2"/>
  <c r="Z215" i="2"/>
  <c r="X554" i="2"/>
  <c r="Z32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<sst xmlns="http://schemas.openxmlformats.org/spreadsheetml/2006/main" count="4194" uniqueCount="891">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</sst>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4" sqref="AA4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67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68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2" t="s">
        <v>8</v>
      </c>
      <c r="B5" s="972"/>
      <c r="C5" s="972"/>
      <c r="D5" s="994"/>
      <c r="E5" s="994"/>
      <c r="F5" s="995" t="s">
        <v>14</v>
      </c>
      <c r="G5" s="995"/>
      <c r="H5" s="994" t="s">
        <v>890</v>
      </c>
      <c r="I5" s="994"/>
      <c r="J5" s="994"/>
      <c r="K5" s="994"/>
      <c r="L5" s="994"/>
      <c r="M5" s="994"/>
      <c r="N5" s="72"/>
      <c r="P5" s="27" t="s">
        <v>4</v>
      </c>
      <c r="Q5" s="996">
        <v>46234</v>
      </c>
      <c r="R5" s="996"/>
      <c r="T5" s="997" t="s">
        <v>3</v>
      </c>
      <c r="U5" s="998"/>
      <c r="V5" s="999" t="s">
        <v>871</v>
      </c>
      <c r="W5" s="1000"/>
      <c r="AB5" s="59"/>
      <c r="AC5" s="59"/>
      <c r="AD5" s="59"/>
      <c r="AE5" s="59"/>
    </row>
    <row r="6" spans="1:32" s="17" customFormat="1" ht="24" customHeight="1" x14ac:dyDescent="0.2">
      <c r="A6" s="972" t="s">
        <v>1</v>
      </c>
      <c r="B6" s="972"/>
      <c r="C6" s="972"/>
      <c r="D6" s="973" t="s">
        <v>872</v>
      </c>
      <c r="E6" s="973"/>
      <c r="F6" s="973"/>
      <c r="G6" s="973"/>
      <c r="H6" s="973"/>
      <c r="I6" s="973"/>
      <c r="J6" s="973"/>
      <c r="K6" s="973"/>
      <c r="L6" s="973"/>
      <c r="M6" s="973"/>
      <c r="N6" s="73"/>
      <c r="P6" s="27" t="s">
        <v>27</v>
      </c>
      <c r="Q6" s="974" t="str">
        <f>IF(Q5=0," ",CHOOSE(WEEKDAY(Q5,2),"Понедельник","Вторник","Среда","Четверг","Пятница","Суббота","Воскресенье"))</f>
        <v>Пятница</v>
      </c>
      <c r="R6" s="974"/>
      <c r="T6" s="975" t="s">
        <v>5</v>
      </c>
      <c r="U6" s="976"/>
      <c r="V6" s="977" t="s">
        <v>70</v>
      </c>
      <c r="W6" s="97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3" t="str">
        <f>IFERROR(VLOOKUP(DeliveryAddress,Table,3,0),1)</f>
        <v>1</v>
      </c>
      <c r="E7" s="984"/>
      <c r="F7" s="984"/>
      <c r="G7" s="984"/>
      <c r="H7" s="984"/>
      <c r="I7" s="984"/>
      <c r="J7" s="984"/>
      <c r="K7" s="984"/>
      <c r="L7" s="984"/>
      <c r="M7" s="985"/>
      <c r="N7" s="74"/>
      <c r="P7" s="29"/>
      <c r="Q7" s="48"/>
      <c r="R7" s="48"/>
      <c r="T7" s="975"/>
      <c r="U7" s="976"/>
      <c r="V7" s="979"/>
      <c r="W7" s="980"/>
      <c r="AB7" s="59"/>
      <c r="AC7" s="59"/>
      <c r="AD7" s="59"/>
      <c r="AE7" s="59"/>
    </row>
    <row r="8" spans="1:32" s="17" customFormat="1" ht="25.5" customHeight="1" x14ac:dyDescent="0.2">
      <c r="A8" s="986" t="s">
        <v>58</v>
      </c>
      <c r="B8" s="986"/>
      <c r="C8" s="986"/>
      <c r="D8" s="987"/>
      <c r="E8" s="987"/>
      <c r="F8" s="987"/>
      <c r="G8" s="987"/>
      <c r="H8" s="987"/>
      <c r="I8" s="987"/>
      <c r="J8" s="987"/>
      <c r="K8" s="987"/>
      <c r="L8" s="987"/>
      <c r="M8" s="987"/>
      <c r="N8" s="75"/>
      <c r="P8" s="27" t="s">
        <v>11</v>
      </c>
      <c r="Q8" s="970">
        <v>0.375</v>
      </c>
      <c r="R8" s="970"/>
      <c r="T8" s="975"/>
      <c r="U8" s="976"/>
      <c r="V8" s="979"/>
      <c r="W8" s="980"/>
      <c r="AB8" s="59"/>
      <c r="AC8" s="59"/>
      <c r="AD8" s="59"/>
      <c r="AE8" s="59"/>
    </row>
    <row r="9" spans="1:32" s="17" customFormat="1" ht="39.950000000000003" customHeight="1" x14ac:dyDescent="0.2">
      <c r="A9" s="9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2"/>
      <c r="C9" s="962"/>
      <c r="D9" s="963" t="s">
        <v>46</v>
      </c>
      <c r="E9" s="964"/>
      <c r="F9" s="9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2"/>
      <c r="H9" s="988" t="str">
        <f>IF(AND($A$9="Тип доверенности/получателя при получении в адресе перегруза:",$D$9="Разовая доверенность"),"Введите ФИО","")</f>
        <v/>
      </c>
      <c r="I9" s="988"/>
      <c r="J9" s="98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8"/>
      <c r="L9" s="988"/>
      <c r="M9" s="988"/>
      <c r="N9" s="70"/>
      <c r="P9" s="31" t="s">
        <v>15</v>
      </c>
      <c r="Q9" s="989"/>
      <c r="R9" s="989"/>
      <c r="T9" s="975"/>
      <c r="U9" s="976"/>
      <c r="V9" s="981"/>
      <c r="W9" s="98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2"/>
      <c r="C10" s="962"/>
      <c r="D10" s="963"/>
      <c r="E10" s="964"/>
      <c r="F10" s="9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2"/>
      <c r="H10" s="965" t="str">
        <f>IFERROR(VLOOKUP($D$10,Proxy,2,FALSE),"")</f>
        <v/>
      </c>
      <c r="I10" s="965"/>
      <c r="J10" s="965"/>
      <c r="K10" s="965"/>
      <c r="L10" s="965"/>
      <c r="M10" s="965"/>
      <c r="N10" s="71"/>
      <c r="P10" s="31" t="s">
        <v>32</v>
      </c>
      <c r="Q10" s="966"/>
      <c r="R10" s="966"/>
      <c r="U10" s="29" t="s">
        <v>12</v>
      </c>
      <c r="V10" s="967" t="s">
        <v>71</v>
      </c>
      <c r="W10" s="96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9"/>
      <c r="R11" s="969"/>
      <c r="U11" s="29" t="s">
        <v>28</v>
      </c>
      <c r="V11" s="948" t="s">
        <v>55</v>
      </c>
      <c r="W11" s="94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47" t="s">
        <v>72</v>
      </c>
      <c r="B12" s="947"/>
      <c r="C12" s="947"/>
      <c r="D12" s="947"/>
      <c r="E12" s="947"/>
      <c r="F12" s="947"/>
      <c r="G12" s="947"/>
      <c r="H12" s="947"/>
      <c r="I12" s="947"/>
      <c r="J12" s="947"/>
      <c r="K12" s="947"/>
      <c r="L12" s="947"/>
      <c r="M12" s="947"/>
      <c r="N12" s="76"/>
      <c r="P12" s="27" t="s">
        <v>30</v>
      </c>
      <c r="Q12" s="970"/>
      <c r="R12" s="970"/>
      <c r="S12" s="28"/>
      <c r="T12"/>
      <c r="U12" s="29" t="s">
        <v>46</v>
      </c>
      <c r="V12" s="971"/>
      <c r="W12" s="971"/>
      <c r="X12"/>
      <c r="AB12" s="59"/>
      <c r="AC12" s="59"/>
      <c r="AD12" s="59"/>
      <c r="AE12" s="59"/>
    </row>
    <row r="13" spans="1:32" s="17" customFormat="1" ht="23.25" customHeight="1" x14ac:dyDescent="0.2">
      <c r="A13" s="947" t="s">
        <v>73</v>
      </c>
      <c r="B13" s="947"/>
      <c r="C13" s="947"/>
      <c r="D13" s="947"/>
      <c r="E13" s="947"/>
      <c r="F13" s="947"/>
      <c r="G13" s="947"/>
      <c r="H13" s="947"/>
      <c r="I13" s="947"/>
      <c r="J13" s="947"/>
      <c r="K13" s="947"/>
      <c r="L13" s="947"/>
      <c r="M13" s="947"/>
      <c r="N13" s="76"/>
      <c r="O13" s="31"/>
      <c r="P13" s="31" t="s">
        <v>31</v>
      </c>
      <c r="Q13" s="948"/>
      <c r="R13" s="94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47" t="s">
        <v>74</v>
      </c>
      <c r="B14" s="947"/>
      <c r="C14" s="947"/>
      <c r="D14" s="947"/>
      <c r="E14" s="947"/>
      <c r="F14" s="947"/>
      <c r="G14" s="947"/>
      <c r="H14" s="947"/>
      <c r="I14" s="947"/>
      <c r="J14" s="947"/>
      <c r="K14" s="947"/>
      <c r="L14" s="947"/>
      <c r="M14" s="94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49" t="s">
        <v>75</v>
      </c>
      <c r="B15" s="949"/>
      <c r="C15" s="949"/>
      <c r="D15" s="949"/>
      <c r="E15" s="949"/>
      <c r="F15" s="949"/>
      <c r="G15" s="949"/>
      <c r="H15" s="949"/>
      <c r="I15" s="949"/>
      <c r="J15" s="949"/>
      <c r="K15" s="949"/>
      <c r="L15" s="949"/>
      <c r="M15" s="949"/>
      <c r="N15" s="77"/>
      <c r="O15"/>
      <c r="P15" s="950" t="s">
        <v>61</v>
      </c>
      <c r="Q15" s="950"/>
      <c r="R15" s="950"/>
      <c r="S15" s="950"/>
      <c r="T15" s="95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1"/>
      <c r="Q16" s="951"/>
      <c r="R16" s="951"/>
      <c r="S16" s="951"/>
      <c r="T16" s="95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3" t="s">
        <v>59</v>
      </c>
      <c r="B17" s="933" t="s">
        <v>49</v>
      </c>
      <c r="C17" s="954" t="s">
        <v>48</v>
      </c>
      <c r="D17" s="956" t="s">
        <v>50</v>
      </c>
      <c r="E17" s="957"/>
      <c r="F17" s="933" t="s">
        <v>21</v>
      </c>
      <c r="G17" s="933" t="s">
        <v>24</v>
      </c>
      <c r="H17" s="933" t="s">
        <v>22</v>
      </c>
      <c r="I17" s="933" t="s">
        <v>23</v>
      </c>
      <c r="J17" s="933" t="s">
        <v>16</v>
      </c>
      <c r="K17" s="933" t="s">
        <v>66</v>
      </c>
      <c r="L17" s="933" t="s">
        <v>64</v>
      </c>
      <c r="M17" s="933" t="s">
        <v>2</v>
      </c>
      <c r="N17" s="933" t="s">
        <v>63</v>
      </c>
      <c r="O17" s="933" t="s">
        <v>25</v>
      </c>
      <c r="P17" s="956" t="s">
        <v>17</v>
      </c>
      <c r="Q17" s="960"/>
      <c r="R17" s="960"/>
      <c r="S17" s="960"/>
      <c r="T17" s="957"/>
      <c r="U17" s="952" t="s">
        <v>56</v>
      </c>
      <c r="V17" s="953"/>
      <c r="W17" s="933" t="s">
        <v>6</v>
      </c>
      <c r="X17" s="933" t="s">
        <v>41</v>
      </c>
      <c r="Y17" s="935" t="s">
        <v>54</v>
      </c>
      <c r="Z17" s="937" t="s">
        <v>18</v>
      </c>
      <c r="AA17" s="939" t="s">
        <v>60</v>
      </c>
      <c r="AB17" s="939" t="s">
        <v>19</v>
      </c>
      <c r="AC17" s="939" t="s">
        <v>65</v>
      </c>
      <c r="AD17" s="941" t="s">
        <v>57</v>
      </c>
      <c r="AE17" s="942"/>
      <c r="AF17" s="943"/>
      <c r="AG17" s="82"/>
      <c r="BD17" s="81" t="s">
        <v>62</v>
      </c>
    </row>
    <row r="18" spans="1:68" ht="14.25" customHeight="1" x14ac:dyDescent="0.2">
      <c r="A18" s="934"/>
      <c r="B18" s="934"/>
      <c r="C18" s="955"/>
      <c r="D18" s="958"/>
      <c r="E18" s="959"/>
      <c r="F18" s="934"/>
      <c r="G18" s="934"/>
      <c r="H18" s="934"/>
      <c r="I18" s="934"/>
      <c r="J18" s="934"/>
      <c r="K18" s="934"/>
      <c r="L18" s="934"/>
      <c r="M18" s="934"/>
      <c r="N18" s="934"/>
      <c r="O18" s="934"/>
      <c r="P18" s="958"/>
      <c r="Q18" s="961"/>
      <c r="R18" s="961"/>
      <c r="S18" s="961"/>
      <c r="T18" s="959"/>
      <c r="U18" s="83" t="s">
        <v>44</v>
      </c>
      <c r="V18" s="83" t="s">
        <v>43</v>
      </c>
      <c r="W18" s="934"/>
      <c r="X18" s="934"/>
      <c r="Y18" s="936"/>
      <c r="Z18" s="938"/>
      <c r="AA18" s="940"/>
      <c r="AB18" s="940"/>
      <c r="AC18" s="940"/>
      <c r="AD18" s="944"/>
      <c r="AE18" s="945"/>
      <c r="AF18" s="946"/>
      <c r="AG18" s="82"/>
      <c r="BD18" s="81"/>
    </row>
    <row r="19" spans="1:68" ht="27.75" hidden="1" customHeight="1" x14ac:dyDescent="0.2">
      <c r="A19" s="662" t="s">
        <v>76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54"/>
      <c r="AB19" s="54"/>
      <c r="AC19" s="54"/>
    </row>
    <row r="20" spans="1:68" ht="16.5" hidden="1" customHeight="1" x14ac:dyDescent="0.25">
      <c r="A20" s="655" t="s">
        <v>76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5"/>
      <c r="AB20" s="65"/>
      <c r="AC20" s="79"/>
    </row>
    <row r="21" spans="1:68" ht="14.25" hidden="1" customHeight="1" x14ac:dyDescent="0.25">
      <c r="A21" s="656" t="s">
        <v>77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1">
        <v>4680115886643</v>
      </c>
      <c r="E22" s="65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3"/>
      <c r="R22" s="653"/>
      <c r="S22" s="653"/>
      <c r="T22" s="65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1">
        <v>4680115889071</v>
      </c>
      <c r="E23" s="65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3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3"/>
      <c r="R23" s="653"/>
      <c r="S23" s="653"/>
      <c r="T23" s="65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42" t="s">
        <v>40</v>
      </c>
      <c r="Q24" s="643"/>
      <c r="R24" s="643"/>
      <c r="S24" s="643"/>
      <c r="T24" s="643"/>
      <c r="U24" s="643"/>
      <c r="V24" s="64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5"/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6"/>
      <c r="P25" s="642" t="s">
        <v>40</v>
      </c>
      <c r="Q25" s="643"/>
      <c r="R25" s="643"/>
      <c r="S25" s="643"/>
      <c r="T25" s="643"/>
      <c r="U25" s="643"/>
      <c r="V25" s="64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6" t="s">
        <v>86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1">
        <v>4680115885912</v>
      </c>
      <c r="E27" s="65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2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3"/>
      <c r="R27" s="653"/>
      <c r="S27" s="653"/>
      <c r="T27" s="65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1">
        <v>4607091388237</v>
      </c>
      <c r="E28" s="65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3"/>
      <c r="R28" s="653"/>
      <c r="S28" s="653"/>
      <c r="T28" s="65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1">
        <v>4680115887350</v>
      </c>
      <c r="E29" s="65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2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3"/>
      <c r="R29" s="653"/>
      <c r="S29" s="653"/>
      <c r="T29" s="65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1">
        <v>4680115885905</v>
      </c>
      <c r="E30" s="65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3"/>
      <c r="R30" s="653"/>
      <c r="S30" s="653"/>
      <c r="T30" s="65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1">
        <v>4680115887619</v>
      </c>
      <c r="E31" s="65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3"/>
      <c r="R31" s="653"/>
      <c r="S31" s="653"/>
      <c r="T31" s="65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42" t="s">
        <v>40</v>
      </c>
      <c r="Q32" s="643"/>
      <c r="R32" s="643"/>
      <c r="S32" s="643"/>
      <c r="T32" s="643"/>
      <c r="U32" s="643"/>
      <c r="V32" s="64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5"/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6"/>
      <c r="P33" s="642" t="s">
        <v>40</v>
      </c>
      <c r="Q33" s="643"/>
      <c r="R33" s="643"/>
      <c r="S33" s="643"/>
      <c r="T33" s="643"/>
      <c r="U33" s="643"/>
      <c r="V33" s="64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56" t="s">
        <v>104</v>
      </c>
      <c r="B34" s="656"/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  <c r="O34" s="656"/>
      <c r="P34" s="656"/>
      <c r="Q34" s="656"/>
      <c r="R34" s="656"/>
      <c r="S34" s="656"/>
      <c r="T34" s="656"/>
      <c r="U34" s="656"/>
      <c r="V34" s="656"/>
      <c r="W34" s="656"/>
      <c r="X34" s="656"/>
      <c r="Y34" s="656"/>
      <c r="Z34" s="656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651">
        <v>4607091388503</v>
      </c>
      <c r="E35" s="65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9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53"/>
      <c r="R35" s="653"/>
      <c r="S35" s="653"/>
      <c r="T35" s="65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5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42" t="s">
        <v>40</v>
      </c>
      <c r="Q36" s="643"/>
      <c r="R36" s="643"/>
      <c r="S36" s="643"/>
      <c r="T36" s="643"/>
      <c r="U36" s="643"/>
      <c r="V36" s="64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42" t="s">
        <v>40</v>
      </c>
      <c r="Q37" s="643"/>
      <c r="R37" s="643"/>
      <c r="S37" s="643"/>
      <c r="T37" s="643"/>
      <c r="U37" s="643"/>
      <c r="V37" s="64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62" t="s">
        <v>45</v>
      </c>
      <c r="B38" s="662"/>
      <c r="C38" s="662"/>
      <c r="D38" s="662"/>
      <c r="E38" s="662"/>
      <c r="F38" s="662"/>
      <c r="G38" s="662"/>
      <c r="H38" s="662"/>
      <c r="I38" s="662"/>
      <c r="J38" s="662"/>
      <c r="K38" s="662"/>
      <c r="L38" s="662"/>
      <c r="M38" s="662"/>
      <c r="N38" s="662"/>
      <c r="O38" s="662"/>
      <c r="P38" s="662"/>
      <c r="Q38" s="662"/>
      <c r="R38" s="662"/>
      <c r="S38" s="662"/>
      <c r="T38" s="662"/>
      <c r="U38" s="662"/>
      <c r="V38" s="662"/>
      <c r="W38" s="662"/>
      <c r="X38" s="662"/>
      <c r="Y38" s="662"/>
      <c r="Z38" s="662"/>
      <c r="AA38" s="54"/>
      <c r="AB38" s="54"/>
      <c r="AC38" s="54"/>
    </row>
    <row r="39" spans="1:68" ht="16.5" hidden="1" customHeight="1" x14ac:dyDescent="0.25">
      <c r="A39" s="655" t="s">
        <v>110</v>
      </c>
      <c r="B39" s="655"/>
      <c r="C39" s="655"/>
      <c r="D39" s="655"/>
      <c r="E39" s="655"/>
      <c r="F39" s="655"/>
      <c r="G39" s="655"/>
      <c r="H39" s="655"/>
      <c r="I39" s="655"/>
      <c r="J39" s="655"/>
      <c r="K39" s="655"/>
      <c r="L39" s="655"/>
      <c r="M39" s="655"/>
      <c r="N39" s="655"/>
      <c r="O39" s="655"/>
      <c r="P39" s="655"/>
      <c r="Q39" s="655"/>
      <c r="R39" s="655"/>
      <c r="S39" s="655"/>
      <c r="T39" s="655"/>
      <c r="U39" s="655"/>
      <c r="V39" s="655"/>
      <c r="W39" s="655"/>
      <c r="X39" s="655"/>
      <c r="Y39" s="655"/>
      <c r="Z39" s="655"/>
      <c r="AA39" s="65"/>
      <c r="AB39" s="65"/>
      <c r="AC39" s="79"/>
    </row>
    <row r="40" spans="1:68" ht="14.25" hidden="1" customHeight="1" x14ac:dyDescent="0.25">
      <c r="A40" s="656" t="s">
        <v>86</v>
      </c>
      <c r="B40" s="656"/>
      <c r="C40" s="656"/>
      <c r="D40" s="656"/>
      <c r="E40" s="656"/>
      <c r="F40" s="656"/>
      <c r="G40" s="656"/>
      <c r="H40" s="656"/>
      <c r="I40" s="656"/>
      <c r="J40" s="656"/>
      <c r="K40" s="656"/>
      <c r="L40" s="656"/>
      <c r="M40" s="656"/>
      <c r="N40" s="656"/>
      <c r="O40" s="656"/>
      <c r="P40" s="656"/>
      <c r="Q40" s="656"/>
      <c r="R40" s="656"/>
      <c r="S40" s="656"/>
      <c r="T40" s="656"/>
      <c r="U40" s="656"/>
      <c r="V40" s="656"/>
      <c r="W40" s="656"/>
      <c r="X40" s="656"/>
      <c r="Y40" s="656"/>
      <c r="Z40" s="656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651">
        <v>4680115889354</v>
      </c>
      <c r="E41" s="65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92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3"/>
      <c r="R41" s="653"/>
      <c r="S41" s="653"/>
      <c r="T41" s="65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651">
        <v>4680115888463</v>
      </c>
      <c r="E42" s="65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3"/>
      <c r="R42" s="653"/>
      <c r="S42" s="653"/>
      <c r="T42" s="65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651">
        <v>4680115888494</v>
      </c>
      <c r="E43" s="65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924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53"/>
      <c r="R43" s="653"/>
      <c r="S43" s="653"/>
      <c r="T43" s="65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651">
        <v>4680115888272</v>
      </c>
      <c r="E44" s="65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92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3"/>
      <c r="R44" s="653"/>
      <c r="S44" s="653"/>
      <c r="T44" s="654"/>
      <c r="U44" s="39" t="s">
        <v>46</v>
      </c>
      <c r="V44" s="39" t="s">
        <v>46</v>
      </c>
      <c r="W44" s="40" t="s">
        <v>0</v>
      </c>
      <c r="X44" s="58">
        <v>32</v>
      </c>
      <c r="Y44" s="55">
        <f>IFERROR(IF(X44="",0,CEILING((X44/$H44),1)*$H44),"")</f>
        <v>32.64</v>
      </c>
      <c r="Z44" s="41">
        <f>IFERROR(IF(Y44=0,"",ROUNDUP(Y44/H44,0)*0.00651),"")</f>
        <v>0.11067</v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35</v>
      </c>
      <c r="BN44" s="78">
        <f>IFERROR(Y44*I44/H44,"0")</f>
        <v>35.70000000000001</v>
      </c>
      <c r="BO44" s="78">
        <f>IFERROR(1/J44*(X44/H44),"0")</f>
        <v>9.1575091575091583E-2</v>
      </c>
      <c r="BP44" s="78">
        <f>IFERROR(1/J44*(Y44/H44),"0")</f>
        <v>9.3406593406593408E-2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651">
        <v>4680115888364</v>
      </c>
      <c r="E45" s="65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92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3"/>
      <c r="R45" s="653"/>
      <c r="S45" s="653"/>
      <c r="T45" s="654"/>
      <c r="U45" s="39" t="s">
        <v>46</v>
      </c>
      <c r="V45" s="39" t="s">
        <v>46</v>
      </c>
      <c r="W45" s="40" t="s">
        <v>0</v>
      </c>
      <c r="X45" s="58">
        <v>19.2</v>
      </c>
      <c r="Y45" s="55">
        <f>IFERROR(IF(X45="",0,CEILING((X45/$H45),1)*$H45),"")</f>
        <v>19.2</v>
      </c>
      <c r="Z45" s="41">
        <f>IFERROR(IF(Y45=0,"",ROUNDUP(Y45/H45,0)*0.00651),"")</f>
        <v>6.5100000000000005E-2</v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21</v>
      </c>
      <c r="BN45" s="78">
        <f>IFERROR(Y45*I45/H45,"0")</f>
        <v>21</v>
      </c>
      <c r="BO45" s="78">
        <f>IFERROR(1/J45*(X45/H45),"0")</f>
        <v>5.4945054945054951E-2</v>
      </c>
      <c r="BP45" s="78">
        <f>IFERROR(1/J45*(Y45/H45),"0")</f>
        <v>5.4945054945054951E-2</v>
      </c>
    </row>
    <row r="46" spans="1:68" x14ac:dyDescent="0.2">
      <c r="A46" s="645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42" t="s">
        <v>40</v>
      </c>
      <c r="Q46" s="643"/>
      <c r="R46" s="643"/>
      <c r="S46" s="643"/>
      <c r="T46" s="643"/>
      <c r="U46" s="643"/>
      <c r="V46" s="644"/>
      <c r="W46" s="42" t="s">
        <v>39</v>
      </c>
      <c r="X46" s="43">
        <f>IFERROR(X41/H41,"0")+IFERROR(X42/H42,"0")+IFERROR(X43/H43,"0")+IFERROR(X44/H44,"0")+IFERROR(X45/H45,"0")</f>
        <v>26.666666666666668</v>
      </c>
      <c r="Y46" s="43">
        <f>IFERROR(Y41/H41,"0")+IFERROR(Y42/H42,"0")+IFERROR(Y43/H43,"0")+IFERROR(Y44/H44,"0")+IFERROR(Y45/H45,"0")</f>
        <v>27</v>
      </c>
      <c r="Z46" s="43">
        <f>IFERROR(IF(Z41="",0,Z41),"0")+IFERROR(IF(Z42="",0,Z42),"0")+IFERROR(IF(Z43="",0,Z43),"0")+IFERROR(IF(Z44="",0,Z44),"0")+IFERROR(IF(Z45="",0,Z45),"0")</f>
        <v>0.17577000000000001</v>
      </c>
      <c r="AA46" s="67"/>
      <c r="AB46" s="67"/>
      <c r="AC46" s="67"/>
    </row>
    <row r="47" spans="1:68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42" t="s">
        <v>40</v>
      </c>
      <c r="Q47" s="643"/>
      <c r="R47" s="643"/>
      <c r="S47" s="643"/>
      <c r="T47" s="643"/>
      <c r="U47" s="643"/>
      <c r="V47" s="644"/>
      <c r="W47" s="42" t="s">
        <v>0</v>
      </c>
      <c r="X47" s="43">
        <f>IFERROR(SUM(X41:X45),"0")</f>
        <v>51.2</v>
      </c>
      <c r="Y47" s="43">
        <f>IFERROR(SUM(Y41:Y45),"0")</f>
        <v>51.84</v>
      </c>
      <c r="Z47" s="42"/>
      <c r="AA47" s="67"/>
      <c r="AB47" s="67"/>
      <c r="AC47" s="67"/>
    </row>
    <row r="48" spans="1:68" ht="27.75" hidden="1" customHeight="1" x14ac:dyDescent="0.2">
      <c r="A48" s="662" t="s">
        <v>126</v>
      </c>
      <c r="B48" s="662"/>
      <c r="C48" s="662"/>
      <c r="D48" s="662"/>
      <c r="E48" s="662"/>
      <c r="F48" s="662"/>
      <c r="G48" s="662"/>
      <c r="H48" s="662"/>
      <c r="I48" s="662"/>
      <c r="J48" s="662"/>
      <c r="K48" s="662"/>
      <c r="L48" s="662"/>
      <c r="M48" s="662"/>
      <c r="N48" s="662"/>
      <c r="O48" s="662"/>
      <c r="P48" s="662"/>
      <c r="Q48" s="662"/>
      <c r="R48" s="662"/>
      <c r="S48" s="662"/>
      <c r="T48" s="662"/>
      <c r="U48" s="662"/>
      <c r="V48" s="662"/>
      <c r="W48" s="662"/>
      <c r="X48" s="662"/>
      <c r="Y48" s="662"/>
      <c r="Z48" s="662"/>
      <c r="AA48" s="54"/>
      <c r="AB48" s="54"/>
      <c r="AC48" s="54"/>
    </row>
    <row r="49" spans="1:68" ht="16.5" hidden="1" customHeight="1" x14ac:dyDescent="0.25">
      <c r="A49" s="655" t="s">
        <v>127</v>
      </c>
      <c r="B49" s="655"/>
      <c r="C49" s="655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5"/>
      <c r="Q49" s="655"/>
      <c r="R49" s="655"/>
      <c r="S49" s="655"/>
      <c r="T49" s="655"/>
      <c r="U49" s="655"/>
      <c r="V49" s="655"/>
      <c r="W49" s="655"/>
      <c r="X49" s="655"/>
      <c r="Y49" s="655"/>
      <c r="Z49" s="655"/>
      <c r="AA49" s="65"/>
      <c r="AB49" s="65"/>
      <c r="AC49" s="79"/>
    </row>
    <row r="50" spans="1:68" ht="14.25" hidden="1" customHeight="1" x14ac:dyDescent="0.25">
      <c r="A50" s="656" t="s">
        <v>128</v>
      </c>
      <c r="B50" s="656"/>
      <c r="C50" s="656"/>
      <c r="D50" s="656"/>
      <c r="E50" s="656"/>
      <c r="F50" s="656"/>
      <c r="G50" s="656"/>
      <c r="H50" s="656"/>
      <c r="I50" s="656"/>
      <c r="J50" s="656"/>
      <c r="K50" s="656"/>
      <c r="L50" s="656"/>
      <c r="M50" s="656"/>
      <c r="N50" s="656"/>
      <c r="O50" s="656"/>
      <c r="P50" s="656"/>
      <c r="Q50" s="656"/>
      <c r="R50" s="656"/>
      <c r="S50" s="656"/>
      <c r="T50" s="656"/>
      <c r="U50" s="656"/>
      <c r="V50" s="656"/>
      <c r="W50" s="656"/>
      <c r="X50" s="656"/>
      <c r="Y50" s="656"/>
      <c r="Z50" s="656"/>
      <c r="AA50" s="66"/>
      <c r="AB50" s="66"/>
      <c r="AC50" s="80"/>
    </row>
    <row r="51" spans="1:68" ht="16.5" hidden="1" customHeight="1" x14ac:dyDescent="0.25">
      <c r="A51" s="63" t="s">
        <v>129</v>
      </c>
      <c r="B51" s="63" t="s">
        <v>130</v>
      </c>
      <c r="C51" s="36">
        <v>4301011380</v>
      </c>
      <c r="D51" s="651">
        <v>4607091385670</v>
      </c>
      <c r="E51" s="65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9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3"/>
      <c r="R51" s="653"/>
      <c r="S51" s="653"/>
      <c r="T51" s="65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651">
        <v>4680115887725</v>
      </c>
      <c r="E52" s="65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9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3"/>
      <c r="R52" s="653"/>
      <c r="S52" s="653"/>
      <c r="T52" s="65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651">
        <v>4607091385687</v>
      </c>
      <c r="E53" s="65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9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3"/>
      <c r="R53" s="653"/>
      <c r="S53" s="653"/>
      <c r="T53" s="654"/>
      <c r="U53" s="39" t="s">
        <v>46</v>
      </c>
      <c r="V53" s="39" t="s">
        <v>46</v>
      </c>
      <c r="W53" s="40" t="s">
        <v>0</v>
      </c>
      <c r="X53" s="58">
        <v>320</v>
      </c>
      <c r="Y53" s="55">
        <f>IFERROR(IF(X53="",0,CEILING((X53/$H53),1)*$H53),"")</f>
        <v>320</v>
      </c>
      <c r="Z53" s="41">
        <f>IFERROR(IF(Y53=0,"",ROUNDUP(Y53/H53,0)*0.00902),"")</f>
        <v>0.72160000000000002</v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335.20000000000005</v>
      </c>
      <c r="BN53" s="78">
        <f>IFERROR(Y53*I53/H53,"0")</f>
        <v>335.20000000000005</v>
      </c>
      <c r="BO53" s="78">
        <f>IFERROR(1/J53*(X53/H53),"0")</f>
        <v>0.60606060606060608</v>
      </c>
      <c r="BP53" s="78">
        <f>IFERROR(1/J53*(Y53/H53),"0")</f>
        <v>0.60606060606060608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651">
        <v>4680115882539</v>
      </c>
      <c r="E54" s="65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9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3"/>
      <c r="R54" s="653"/>
      <c r="S54" s="653"/>
      <c r="T54" s="65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45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42" t="s">
        <v>40</v>
      </c>
      <c r="Q55" s="643"/>
      <c r="R55" s="643"/>
      <c r="S55" s="643"/>
      <c r="T55" s="643"/>
      <c r="U55" s="643"/>
      <c r="V55" s="644"/>
      <c r="W55" s="42" t="s">
        <v>39</v>
      </c>
      <c r="X55" s="43">
        <f>IFERROR(X51/H51,"0")+IFERROR(X52/H52,"0")+IFERROR(X53/H53,"0")+IFERROR(X54/H54,"0")</f>
        <v>80</v>
      </c>
      <c r="Y55" s="43">
        <f>IFERROR(Y51/H51,"0")+IFERROR(Y52/H52,"0")+IFERROR(Y53/H53,"0")+IFERROR(Y54/H54,"0")</f>
        <v>80</v>
      </c>
      <c r="Z55" s="43">
        <f>IFERROR(IF(Z51="",0,Z51),"0")+IFERROR(IF(Z52="",0,Z52),"0")+IFERROR(IF(Z53="",0,Z53),"0")+IFERROR(IF(Z54="",0,Z54),"0")</f>
        <v>0.72160000000000002</v>
      </c>
      <c r="AA55" s="67"/>
      <c r="AB55" s="67"/>
      <c r="AC55" s="67"/>
    </row>
    <row r="56" spans="1:68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42" t="s">
        <v>40</v>
      </c>
      <c r="Q56" s="643"/>
      <c r="R56" s="643"/>
      <c r="S56" s="643"/>
      <c r="T56" s="643"/>
      <c r="U56" s="643"/>
      <c r="V56" s="644"/>
      <c r="W56" s="42" t="s">
        <v>0</v>
      </c>
      <c r="X56" s="43">
        <f>IFERROR(SUM(X51:X54),"0")</f>
        <v>320</v>
      </c>
      <c r="Y56" s="43">
        <f>IFERROR(SUM(Y51:Y54),"0")</f>
        <v>320</v>
      </c>
      <c r="Z56" s="42"/>
      <c r="AA56" s="67"/>
      <c r="AB56" s="67"/>
      <c r="AC56" s="67"/>
    </row>
    <row r="57" spans="1:68" ht="16.5" hidden="1" customHeight="1" x14ac:dyDescent="0.25">
      <c r="A57" s="655" t="s">
        <v>143</v>
      </c>
      <c r="B57" s="655"/>
      <c r="C57" s="655"/>
      <c r="D57" s="655"/>
      <c r="E57" s="655"/>
      <c r="F57" s="655"/>
      <c r="G57" s="655"/>
      <c r="H57" s="655"/>
      <c r="I57" s="655"/>
      <c r="J57" s="655"/>
      <c r="K57" s="655"/>
      <c r="L57" s="655"/>
      <c r="M57" s="655"/>
      <c r="N57" s="655"/>
      <c r="O57" s="655"/>
      <c r="P57" s="655"/>
      <c r="Q57" s="655"/>
      <c r="R57" s="655"/>
      <c r="S57" s="655"/>
      <c r="T57" s="655"/>
      <c r="U57" s="655"/>
      <c r="V57" s="655"/>
      <c r="W57" s="655"/>
      <c r="X57" s="655"/>
      <c r="Y57" s="655"/>
      <c r="Z57" s="655"/>
      <c r="AA57" s="65"/>
      <c r="AB57" s="65"/>
      <c r="AC57" s="79"/>
    </row>
    <row r="58" spans="1:68" ht="14.25" hidden="1" customHeight="1" x14ac:dyDescent="0.25">
      <c r="A58" s="656" t="s">
        <v>128</v>
      </c>
      <c r="B58" s="656"/>
      <c r="C58" s="656"/>
      <c r="D58" s="656"/>
      <c r="E58" s="656"/>
      <c r="F58" s="656"/>
      <c r="G58" s="656"/>
      <c r="H58" s="656"/>
      <c r="I58" s="656"/>
      <c r="J58" s="656"/>
      <c r="K58" s="656"/>
      <c r="L58" s="656"/>
      <c r="M58" s="656"/>
      <c r="N58" s="656"/>
      <c r="O58" s="656"/>
      <c r="P58" s="656"/>
      <c r="Q58" s="656"/>
      <c r="R58" s="656"/>
      <c r="S58" s="656"/>
      <c r="T58" s="656"/>
      <c r="U58" s="656"/>
      <c r="V58" s="656"/>
      <c r="W58" s="656"/>
      <c r="X58" s="656"/>
      <c r="Y58" s="656"/>
      <c r="Z58" s="656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651">
        <v>4680115885882</v>
      </c>
      <c r="E59" s="65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91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53"/>
      <c r="R59" s="653"/>
      <c r="S59" s="653"/>
      <c r="T59" s="65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651">
        <v>4680115885882</v>
      </c>
      <c r="E60" s="65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91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53"/>
      <c r="R60" s="653"/>
      <c r="S60" s="653"/>
      <c r="T60" s="65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149</v>
      </c>
      <c r="B61" s="63" t="s">
        <v>150</v>
      </c>
      <c r="C61" s="36">
        <v>4301011816</v>
      </c>
      <c r="D61" s="651">
        <v>4680115881426</v>
      </c>
      <c r="E61" s="65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90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53"/>
      <c r="R61" s="653"/>
      <c r="S61" s="653"/>
      <c r="T61" s="65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651">
        <v>4680115880283</v>
      </c>
      <c r="E62" s="65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91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53"/>
      <c r="R62" s="653"/>
      <c r="S62" s="653"/>
      <c r="T62" s="65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651">
        <v>4680115880283</v>
      </c>
      <c r="E63" s="65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91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53"/>
      <c r="R63" s="653"/>
      <c r="S63" s="653"/>
      <c r="T63" s="65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651">
        <v>4680115881525</v>
      </c>
      <c r="E64" s="65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9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53"/>
      <c r="R64" s="653"/>
      <c r="S64" s="653"/>
      <c r="T64" s="65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651">
        <v>4680115885899</v>
      </c>
      <c r="E65" s="65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91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3"/>
      <c r="R65" s="653"/>
      <c r="S65" s="653"/>
      <c r="T65" s="65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651">
        <v>4680115881419</v>
      </c>
      <c r="E66" s="65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90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53"/>
      <c r="R66" s="653"/>
      <c r="S66" s="653"/>
      <c r="T66" s="654"/>
      <c r="U66" s="39" t="s">
        <v>46</v>
      </c>
      <c r="V66" s="39" t="s">
        <v>46</v>
      </c>
      <c r="W66" s="40" t="s">
        <v>0</v>
      </c>
      <c r="X66" s="58">
        <v>225</v>
      </c>
      <c r="Y66" s="55">
        <f t="shared" si="0"/>
        <v>225</v>
      </c>
      <c r="Z66" s="41">
        <f>IFERROR(IF(Y66=0,"",ROUNDUP(Y66/H66,0)*0.00902),"")</f>
        <v>0.45100000000000001</v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234.5</v>
      </c>
      <c r="BN66" s="78">
        <f t="shared" si="2"/>
        <v>234.5</v>
      </c>
      <c r="BO66" s="78">
        <f t="shared" si="3"/>
        <v>0.37878787878787878</v>
      </c>
      <c r="BP66" s="78">
        <f t="shared" si="4"/>
        <v>0.37878787878787878</v>
      </c>
    </row>
    <row r="67" spans="1:68" x14ac:dyDescent="0.2">
      <c r="A67" s="645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42" t="s">
        <v>40</v>
      </c>
      <c r="Q67" s="643"/>
      <c r="R67" s="643"/>
      <c r="S67" s="643"/>
      <c r="T67" s="643"/>
      <c r="U67" s="643"/>
      <c r="V67" s="64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50</v>
      </c>
      <c r="Y67" s="43">
        <f>IFERROR(Y59/H59,"0")+IFERROR(Y60/H60,"0")+IFERROR(Y61/H61,"0")+IFERROR(Y62/H62,"0")+IFERROR(Y63/H63,"0")+IFERROR(Y64/H64,"0")+IFERROR(Y65/H65,"0")+IFERROR(Y66/H66,"0")</f>
        <v>50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0.45100000000000001</v>
      </c>
      <c r="AA67" s="67"/>
      <c r="AB67" s="67"/>
      <c r="AC67" s="67"/>
    </row>
    <row r="68" spans="1:68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42" t="s">
        <v>40</v>
      </c>
      <c r="Q68" s="643"/>
      <c r="R68" s="643"/>
      <c r="S68" s="643"/>
      <c r="T68" s="643"/>
      <c r="U68" s="643"/>
      <c r="V68" s="644"/>
      <c r="W68" s="42" t="s">
        <v>0</v>
      </c>
      <c r="X68" s="43">
        <f>IFERROR(SUM(X59:X66),"0")</f>
        <v>225</v>
      </c>
      <c r="Y68" s="43">
        <f>IFERROR(SUM(Y59:Y66),"0")</f>
        <v>225</v>
      </c>
      <c r="Z68" s="42"/>
      <c r="AA68" s="67"/>
      <c r="AB68" s="67"/>
      <c r="AC68" s="67"/>
    </row>
    <row r="69" spans="1:68" ht="14.25" hidden="1" customHeight="1" x14ac:dyDescent="0.25">
      <c r="A69" s="656" t="s">
        <v>164</v>
      </c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6"/>
      <c r="P69" s="656"/>
      <c r="Q69" s="656"/>
      <c r="R69" s="656"/>
      <c r="S69" s="656"/>
      <c r="T69" s="656"/>
      <c r="U69" s="656"/>
      <c r="V69" s="656"/>
      <c r="W69" s="656"/>
      <c r="X69" s="656"/>
      <c r="Y69" s="656"/>
      <c r="Z69" s="656"/>
      <c r="AA69" s="66"/>
      <c r="AB69" s="66"/>
      <c r="AC69" s="80"/>
    </row>
    <row r="70" spans="1:68" ht="16.5" hidden="1" customHeight="1" x14ac:dyDescent="0.25">
      <c r="A70" s="63" t="s">
        <v>165</v>
      </c>
      <c r="B70" s="63" t="s">
        <v>166</v>
      </c>
      <c r="C70" s="36">
        <v>4301020298</v>
      </c>
      <c r="D70" s="651">
        <v>4680115881440</v>
      </c>
      <c r="E70" s="65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90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53"/>
      <c r="R70" s="653"/>
      <c r="S70" s="653"/>
      <c r="T70" s="65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651">
        <v>4680115885950</v>
      </c>
      <c r="E71" s="65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90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3"/>
      <c r="R71" s="653"/>
      <c r="S71" s="653"/>
      <c r="T71" s="65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651">
        <v>4680115887688</v>
      </c>
      <c r="E72" s="65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9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3"/>
      <c r="R72" s="653"/>
      <c r="S72" s="653"/>
      <c r="T72" s="65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173</v>
      </c>
      <c r="B73" s="63" t="s">
        <v>174</v>
      </c>
      <c r="C73" s="36">
        <v>4301020296</v>
      </c>
      <c r="D73" s="651">
        <v>4680115881433</v>
      </c>
      <c r="E73" s="65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90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53"/>
      <c r="R73" s="653"/>
      <c r="S73" s="653"/>
      <c r="T73" s="65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5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42" t="s">
        <v>40</v>
      </c>
      <c r="Q74" s="643"/>
      <c r="R74" s="643"/>
      <c r="S74" s="643"/>
      <c r="T74" s="643"/>
      <c r="U74" s="643"/>
      <c r="V74" s="644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42" t="s">
        <v>40</v>
      </c>
      <c r="Q75" s="643"/>
      <c r="R75" s="643"/>
      <c r="S75" s="643"/>
      <c r="T75" s="643"/>
      <c r="U75" s="643"/>
      <c r="V75" s="644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56" t="s">
        <v>86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/>
      <c r="V76" s="656"/>
      <c r="W76" s="656"/>
      <c r="X76" s="656"/>
      <c r="Y76" s="656"/>
      <c r="Z76" s="656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651">
        <v>4680115884311</v>
      </c>
      <c r="E77" s="65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90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3"/>
      <c r="R77" s="653"/>
      <c r="S77" s="653"/>
      <c r="T77" s="65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178</v>
      </c>
      <c r="B78" s="63" t="s">
        <v>179</v>
      </c>
      <c r="C78" s="36">
        <v>4301051929</v>
      </c>
      <c r="D78" s="651">
        <v>4680115884403</v>
      </c>
      <c r="E78" s="65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9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53"/>
      <c r="R78" s="653"/>
      <c r="S78" s="653"/>
      <c r="T78" s="65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5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42" t="s">
        <v>40</v>
      </c>
      <c r="Q79" s="643"/>
      <c r="R79" s="643"/>
      <c r="S79" s="643"/>
      <c r="T79" s="643"/>
      <c r="U79" s="643"/>
      <c r="V79" s="64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42" t="s">
        <v>40</v>
      </c>
      <c r="Q80" s="643"/>
      <c r="R80" s="643"/>
      <c r="S80" s="643"/>
      <c r="T80" s="643"/>
      <c r="U80" s="643"/>
      <c r="V80" s="64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6" t="s">
        <v>181</v>
      </c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6"/>
      <c r="P81" s="656"/>
      <c r="Q81" s="656"/>
      <c r="R81" s="656"/>
      <c r="S81" s="656"/>
      <c r="T81" s="656"/>
      <c r="U81" s="656"/>
      <c r="V81" s="656"/>
      <c r="W81" s="656"/>
      <c r="X81" s="656"/>
      <c r="Y81" s="656"/>
      <c r="Z81" s="656"/>
      <c r="AA81" s="66"/>
      <c r="AB81" s="66"/>
      <c r="AC81" s="80"/>
    </row>
    <row r="82" spans="1:68" ht="27" hidden="1" customHeight="1" x14ac:dyDescent="0.25">
      <c r="A82" s="63" t="s">
        <v>182</v>
      </c>
      <c r="B82" s="63" t="s">
        <v>183</v>
      </c>
      <c r="C82" s="36">
        <v>4301060455</v>
      </c>
      <c r="D82" s="651">
        <v>4680115881532</v>
      </c>
      <c r="E82" s="65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9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3"/>
      <c r="R82" s="653"/>
      <c r="S82" s="653"/>
      <c r="T82" s="65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651">
        <v>4680115881464</v>
      </c>
      <c r="E83" s="65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90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53"/>
      <c r="R83" s="653"/>
      <c r="S83" s="653"/>
      <c r="T83" s="65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45"/>
      <c r="B84" s="645"/>
      <c r="C84" s="645"/>
      <c r="D84" s="645"/>
      <c r="E84" s="645"/>
      <c r="F84" s="645"/>
      <c r="G84" s="645"/>
      <c r="H84" s="645"/>
      <c r="I84" s="645"/>
      <c r="J84" s="645"/>
      <c r="K84" s="645"/>
      <c r="L84" s="645"/>
      <c r="M84" s="645"/>
      <c r="N84" s="645"/>
      <c r="O84" s="646"/>
      <c r="P84" s="642" t="s">
        <v>40</v>
      </c>
      <c r="Q84" s="643"/>
      <c r="R84" s="643"/>
      <c r="S84" s="643"/>
      <c r="T84" s="643"/>
      <c r="U84" s="643"/>
      <c r="V84" s="64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45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42" t="s">
        <v>40</v>
      </c>
      <c r="Q85" s="643"/>
      <c r="R85" s="643"/>
      <c r="S85" s="643"/>
      <c r="T85" s="643"/>
      <c r="U85" s="643"/>
      <c r="V85" s="64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55" t="s">
        <v>188</v>
      </c>
      <c r="B86" s="655"/>
      <c r="C86" s="655"/>
      <c r="D86" s="655"/>
      <c r="E86" s="655"/>
      <c r="F86" s="655"/>
      <c r="G86" s="655"/>
      <c r="H86" s="655"/>
      <c r="I86" s="655"/>
      <c r="J86" s="655"/>
      <c r="K86" s="655"/>
      <c r="L86" s="655"/>
      <c r="M86" s="655"/>
      <c r="N86" s="655"/>
      <c r="O86" s="655"/>
      <c r="P86" s="655"/>
      <c r="Q86" s="655"/>
      <c r="R86" s="655"/>
      <c r="S86" s="655"/>
      <c r="T86" s="655"/>
      <c r="U86" s="655"/>
      <c r="V86" s="655"/>
      <c r="W86" s="655"/>
      <c r="X86" s="655"/>
      <c r="Y86" s="655"/>
      <c r="Z86" s="655"/>
      <c r="AA86" s="65"/>
      <c r="AB86" s="65"/>
      <c r="AC86" s="79"/>
    </row>
    <row r="87" spans="1:68" ht="14.25" hidden="1" customHeight="1" x14ac:dyDescent="0.25">
      <c r="A87" s="656" t="s">
        <v>128</v>
      </c>
      <c r="B87" s="656"/>
      <c r="C87" s="656"/>
      <c r="D87" s="656"/>
      <c r="E87" s="656"/>
      <c r="F87" s="656"/>
      <c r="G87" s="656"/>
      <c r="H87" s="656"/>
      <c r="I87" s="656"/>
      <c r="J87" s="656"/>
      <c r="K87" s="656"/>
      <c r="L87" s="656"/>
      <c r="M87" s="656"/>
      <c r="N87" s="656"/>
      <c r="O87" s="656"/>
      <c r="P87" s="656"/>
      <c r="Q87" s="656"/>
      <c r="R87" s="656"/>
      <c r="S87" s="656"/>
      <c r="T87" s="656"/>
      <c r="U87" s="656"/>
      <c r="V87" s="656"/>
      <c r="W87" s="656"/>
      <c r="X87" s="656"/>
      <c r="Y87" s="656"/>
      <c r="Z87" s="656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651">
        <v>4680115881327</v>
      </c>
      <c r="E88" s="65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89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3"/>
      <c r="R88" s="653"/>
      <c r="S88" s="653"/>
      <c r="T88" s="654"/>
      <c r="U88" s="39" t="s">
        <v>46</v>
      </c>
      <c r="V88" s="39" t="s">
        <v>46</v>
      </c>
      <c r="W88" s="40" t="s">
        <v>0</v>
      </c>
      <c r="X88" s="58">
        <v>300</v>
      </c>
      <c r="Y88" s="55">
        <f>IFERROR(IF(X88="",0,CEILING((X88/$H88),1)*$H88),"")</f>
        <v>302.40000000000003</v>
      </c>
      <c r="Z88" s="41">
        <f>IFERROR(IF(Y88=0,"",ROUNDUP(Y88/H88,0)*0.01898),"")</f>
        <v>0.53144000000000002</v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311.38888888888891</v>
      </c>
      <c r="BN88" s="78">
        <f>IFERROR(Y88*I88/H88,"0")</f>
        <v>313.88</v>
      </c>
      <c r="BO88" s="78">
        <f>IFERROR(1/J88*(X88/H88),"0")</f>
        <v>0.43402777777777773</v>
      </c>
      <c r="BP88" s="78">
        <f>IFERROR(1/J88*(Y88/H88),"0")</f>
        <v>0.4375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651">
        <v>4680115887732</v>
      </c>
      <c r="E89" s="65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89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3"/>
      <c r="R89" s="653"/>
      <c r="S89" s="653"/>
      <c r="T89" s="65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651">
        <v>4680115881518</v>
      </c>
      <c r="E90" s="65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89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3"/>
      <c r="R90" s="653"/>
      <c r="S90" s="653"/>
      <c r="T90" s="65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651">
        <v>4680115881303</v>
      </c>
      <c r="E91" s="65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89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53"/>
      <c r="R91" s="653"/>
      <c r="S91" s="653"/>
      <c r="T91" s="654"/>
      <c r="U91" s="39" t="s">
        <v>46</v>
      </c>
      <c r="V91" s="39" t="s">
        <v>46</v>
      </c>
      <c r="W91" s="40" t="s">
        <v>0</v>
      </c>
      <c r="X91" s="58">
        <v>495</v>
      </c>
      <c r="Y91" s="55">
        <f>IFERROR(IF(X91="",0,CEILING((X91/$H91),1)*$H91),"")</f>
        <v>495</v>
      </c>
      <c r="Z91" s="41">
        <f>IFERROR(IF(Y91=0,"",ROUNDUP(Y91/H91,0)*0.00902),"")</f>
        <v>0.99219999999999997</v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515.90000000000009</v>
      </c>
      <c r="BN91" s="78">
        <f>IFERROR(Y91*I91/H91,"0")</f>
        <v>515.90000000000009</v>
      </c>
      <c r="BO91" s="78">
        <f>IFERROR(1/J91*(X91/H91),"0")</f>
        <v>0.83333333333333337</v>
      </c>
      <c r="BP91" s="78">
        <f>IFERROR(1/J91*(Y91/H91),"0")</f>
        <v>0.83333333333333337</v>
      </c>
    </row>
    <row r="92" spans="1:68" x14ac:dyDescent="0.2">
      <c r="A92" s="645"/>
      <c r="B92" s="645"/>
      <c r="C92" s="645"/>
      <c r="D92" s="645"/>
      <c r="E92" s="645"/>
      <c r="F92" s="645"/>
      <c r="G92" s="645"/>
      <c r="H92" s="645"/>
      <c r="I92" s="645"/>
      <c r="J92" s="645"/>
      <c r="K92" s="645"/>
      <c r="L92" s="645"/>
      <c r="M92" s="645"/>
      <c r="N92" s="645"/>
      <c r="O92" s="646"/>
      <c r="P92" s="642" t="s">
        <v>40</v>
      </c>
      <c r="Q92" s="643"/>
      <c r="R92" s="643"/>
      <c r="S92" s="643"/>
      <c r="T92" s="643"/>
      <c r="U92" s="643"/>
      <c r="V92" s="644"/>
      <c r="W92" s="42" t="s">
        <v>39</v>
      </c>
      <c r="X92" s="43">
        <f>IFERROR(X88/H88,"0")+IFERROR(X89/H89,"0")+IFERROR(X90/H90,"0")+IFERROR(X91/H91,"0")</f>
        <v>137.77777777777777</v>
      </c>
      <c r="Y92" s="43">
        <f>IFERROR(Y88/H88,"0")+IFERROR(Y89/H89,"0")+IFERROR(Y90/H90,"0")+IFERROR(Y91/H91,"0")</f>
        <v>138</v>
      </c>
      <c r="Z92" s="43">
        <f>IFERROR(IF(Z88="",0,Z88),"0")+IFERROR(IF(Z89="",0,Z89),"0")+IFERROR(IF(Z90="",0,Z90),"0")+IFERROR(IF(Z91="",0,Z91),"0")</f>
        <v>1.5236399999999999</v>
      </c>
      <c r="AA92" s="67"/>
      <c r="AB92" s="67"/>
      <c r="AC92" s="67"/>
    </row>
    <row r="93" spans="1:68" x14ac:dyDescent="0.2">
      <c r="A93" s="645"/>
      <c r="B93" s="645"/>
      <c r="C93" s="645"/>
      <c r="D93" s="645"/>
      <c r="E93" s="645"/>
      <c r="F93" s="645"/>
      <c r="G93" s="645"/>
      <c r="H93" s="645"/>
      <c r="I93" s="645"/>
      <c r="J93" s="645"/>
      <c r="K93" s="645"/>
      <c r="L93" s="645"/>
      <c r="M93" s="645"/>
      <c r="N93" s="645"/>
      <c r="O93" s="646"/>
      <c r="P93" s="642" t="s">
        <v>40</v>
      </c>
      <c r="Q93" s="643"/>
      <c r="R93" s="643"/>
      <c r="S93" s="643"/>
      <c r="T93" s="643"/>
      <c r="U93" s="643"/>
      <c r="V93" s="644"/>
      <c r="W93" s="42" t="s">
        <v>0</v>
      </c>
      <c r="X93" s="43">
        <f>IFERROR(SUM(X88:X91),"0")</f>
        <v>795</v>
      </c>
      <c r="Y93" s="43">
        <f>IFERROR(SUM(Y88:Y91),"0")</f>
        <v>797.40000000000009</v>
      </c>
      <c r="Z93" s="42"/>
      <c r="AA93" s="67"/>
      <c r="AB93" s="67"/>
      <c r="AC93" s="67"/>
    </row>
    <row r="94" spans="1:68" ht="14.25" hidden="1" customHeight="1" x14ac:dyDescent="0.25">
      <c r="A94" s="656" t="s">
        <v>86</v>
      </c>
      <c r="B94" s="656"/>
      <c r="C94" s="656"/>
      <c r="D94" s="656"/>
      <c r="E94" s="656"/>
      <c r="F94" s="656"/>
      <c r="G94" s="656"/>
      <c r="H94" s="656"/>
      <c r="I94" s="656"/>
      <c r="J94" s="656"/>
      <c r="K94" s="656"/>
      <c r="L94" s="656"/>
      <c r="M94" s="656"/>
      <c r="N94" s="656"/>
      <c r="O94" s="656"/>
      <c r="P94" s="656"/>
      <c r="Q94" s="656"/>
      <c r="R94" s="656"/>
      <c r="S94" s="656"/>
      <c r="T94" s="656"/>
      <c r="U94" s="656"/>
      <c r="V94" s="656"/>
      <c r="W94" s="656"/>
      <c r="X94" s="656"/>
      <c r="Y94" s="656"/>
      <c r="Z94" s="656"/>
      <c r="AA94" s="66"/>
      <c r="AB94" s="66"/>
      <c r="AC94" s="80"/>
    </row>
    <row r="95" spans="1:68" ht="27" hidden="1" customHeight="1" x14ac:dyDescent="0.25">
      <c r="A95" s="63" t="s">
        <v>199</v>
      </c>
      <c r="B95" s="63" t="s">
        <v>200</v>
      </c>
      <c r="C95" s="36">
        <v>4301051712</v>
      </c>
      <c r="D95" s="651">
        <v>4607091386967</v>
      </c>
      <c r="E95" s="65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89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53"/>
      <c r="R95" s="653"/>
      <c r="S95" s="653"/>
      <c r="T95" s="65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651">
        <v>4680115884953</v>
      </c>
      <c r="E96" s="65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9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53"/>
      <c r="R96" s="653"/>
      <c r="S96" s="653"/>
      <c r="T96" s="65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651">
        <v>4607091385731</v>
      </c>
      <c r="E97" s="65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3"/>
      <c r="R97" s="653"/>
      <c r="S97" s="653"/>
      <c r="T97" s="654"/>
      <c r="U97" s="39" t="s">
        <v>46</v>
      </c>
      <c r="V97" s="39" t="s">
        <v>46</v>
      </c>
      <c r="W97" s="40" t="s">
        <v>0</v>
      </c>
      <c r="X97" s="58">
        <v>945</v>
      </c>
      <c r="Y97" s="55">
        <f>IFERROR(IF(X97="",0,CEILING((X97/$H97),1)*$H97),"")</f>
        <v>945.00000000000011</v>
      </c>
      <c r="Z97" s="41">
        <f>IFERROR(IF(Y97=0,"",ROUNDUP(Y97/H97,0)*0.00651),"")</f>
        <v>2.2785000000000002</v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1033.1999999999998</v>
      </c>
      <c r="BN97" s="78">
        <f>IFERROR(Y97*I97/H97,"0")</f>
        <v>1033.2</v>
      </c>
      <c r="BO97" s="78">
        <f>IFERROR(1/J97*(X97/H97),"0")</f>
        <v>1.9230769230769231</v>
      </c>
      <c r="BP97" s="78">
        <f>IFERROR(1/J97*(Y97/H97),"0")</f>
        <v>1.9230769230769231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651">
        <v>4680115880894</v>
      </c>
      <c r="E98" s="65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9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3"/>
      <c r="R98" s="653"/>
      <c r="S98" s="653"/>
      <c r="T98" s="65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45"/>
      <c r="B99" s="645"/>
      <c r="C99" s="645"/>
      <c r="D99" s="645"/>
      <c r="E99" s="645"/>
      <c r="F99" s="645"/>
      <c r="G99" s="645"/>
      <c r="H99" s="645"/>
      <c r="I99" s="645"/>
      <c r="J99" s="645"/>
      <c r="K99" s="645"/>
      <c r="L99" s="645"/>
      <c r="M99" s="645"/>
      <c r="N99" s="645"/>
      <c r="O99" s="646"/>
      <c r="P99" s="642" t="s">
        <v>40</v>
      </c>
      <c r="Q99" s="643"/>
      <c r="R99" s="643"/>
      <c r="S99" s="643"/>
      <c r="T99" s="643"/>
      <c r="U99" s="643"/>
      <c r="V99" s="644"/>
      <c r="W99" s="42" t="s">
        <v>39</v>
      </c>
      <c r="X99" s="43">
        <f>IFERROR(X95/H95,"0")+IFERROR(X96/H96,"0")+IFERROR(X97/H97,"0")+IFERROR(X98/H98,"0")</f>
        <v>350</v>
      </c>
      <c r="Y99" s="43">
        <f>IFERROR(Y95/H95,"0")+IFERROR(Y96/H96,"0")+IFERROR(Y97/H97,"0")+IFERROR(Y98/H98,"0")</f>
        <v>350</v>
      </c>
      <c r="Z99" s="43">
        <f>IFERROR(IF(Z95="",0,Z95),"0")+IFERROR(IF(Z96="",0,Z96),"0")+IFERROR(IF(Z97="",0,Z97),"0")+IFERROR(IF(Z98="",0,Z98),"0")</f>
        <v>2.2785000000000002</v>
      </c>
      <c r="AA99" s="67"/>
      <c r="AB99" s="67"/>
      <c r="AC99" s="67"/>
    </row>
    <row r="100" spans="1:68" x14ac:dyDescent="0.2">
      <c r="A100" s="645"/>
      <c r="B100" s="645"/>
      <c r="C100" s="645"/>
      <c r="D100" s="645"/>
      <c r="E100" s="645"/>
      <c r="F100" s="645"/>
      <c r="G100" s="645"/>
      <c r="H100" s="645"/>
      <c r="I100" s="645"/>
      <c r="J100" s="645"/>
      <c r="K100" s="645"/>
      <c r="L100" s="645"/>
      <c r="M100" s="645"/>
      <c r="N100" s="645"/>
      <c r="O100" s="646"/>
      <c r="P100" s="642" t="s">
        <v>40</v>
      </c>
      <c r="Q100" s="643"/>
      <c r="R100" s="643"/>
      <c r="S100" s="643"/>
      <c r="T100" s="643"/>
      <c r="U100" s="643"/>
      <c r="V100" s="644"/>
      <c r="W100" s="42" t="s">
        <v>0</v>
      </c>
      <c r="X100" s="43">
        <f>IFERROR(SUM(X95:X98),"0")</f>
        <v>945</v>
      </c>
      <c r="Y100" s="43">
        <f>IFERROR(SUM(Y95:Y98),"0")</f>
        <v>945.00000000000011</v>
      </c>
      <c r="Z100" s="42"/>
      <c r="AA100" s="67"/>
      <c r="AB100" s="67"/>
      <c r="AC100" s="67"/>
    </row>
    <row r="101" spans="1:68" ht="16.5" hidden="1" customHeight="1" x14ac:dyDescent="0.25">
      <c r="A101" s="655" t="s">
        <v>209</v>
      </c>
      <c r="B101" s="655"/>
      <c r="C101" s="655"/>
      <c r="D101" s="655"/>
      <c r="E101" s="655"/>
      <c r="F101" s="655"/>
      <c r="G101" s="655"/>
      <c r="H101" s="655"/>
      <c r="I101" s="655"/>
      <c r="J101" s="655"/>
      <c r="K101" s="655"/>
      <c r="L101" s="655"/>
      <c r="M101" s="655"/>
      <c r="N101" s="655"/>
      <c r="O101" s="655"/>
      <c r="P101" s="655"/>
      <c r="Q101" s="655"/>
      <c r="R101" s="655"/>
      <c r="S101" s="655"/>
      <c r="T101" s="655"/>
      <c r="U101" s="655"/>
      <c r="V101" s="655"/>
      <c r="W101" s="655"/>
      <c r="X101" s="655"/>
      <c r="Y101" s="655"/>
      <c r="Z101" s="655"/>
      <c r="AA101" s="65"/>
      <c r="AB101" s="65"/>
      <c r="AC101" s="79"/>
    </row>
    <row r="102" spans="1:68" ht="14.25" hidden="1" customHeight="1" x14ac:dyDescent="0.25">
      <c r="A102" s="656" t="s">
        <v>128</v>
      </c>
      <c r="B102" s="656"/>
      <c r="C102" s="656"/>
      <c r="D102" s="656"/>
      <c r="E102" s="656"/>
      <c r="F102" s="656"/>
      <c r="G102" s="656"/>
      <c r="H102" s="656"/>
      <c r="I102" s="656"/>
      <c r="J102" s="656"/>
      <c r="K102" s="656"/>
      <c r="L102" s="656"/>
      <c r="M102" s="656"/>
      <c r="N102" s="656"/>
      <c r="O102" s="656"/>
      <c r="P102" s="656"/>
      <c r="Q102" s="656"/>
      <c r="R102" s="656"/>
      <c r="S102" s="656"/>
      <c r="T102" s="656"/>
      <c r="U102" s="656"/>
      <c r="V102" s="656"/>
      <c r="W102" s="656"/>
      <c r="X102" s="656"/>
      <c r="Y102" s="656"/>
      <c r="Z102" s="656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651">
        <v>4680115882133</v>
      </c>
      <c r="E103" s="65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8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3"/>
      <c r="R103" s="653"/>
      <c r="S103" s="653"/>
      <c r="T103" s="654"/>
      <c r="U103" s="39" t="s">
        <v>46</v>
      </c>
      <c r="V103" s="39" t="s">
        <v>46</v>
      </c>
      <c r="W103" s="40" t="s">
        <v>0</v>
      </c>
      <c r="X103" s="58">
        <v>40</v>
      </c>
      <c r="Y103" s="55">
        <f t="shared" ref="Y103:Y108" si="5">IFERROR(IF(X103="",0,CEILING((X103/$H103),1)*$H103),"")</f>
        <v>43.2</v>
      </c>
      <c r="Z103" s="41">
        <f>IFERROR(IF(Y103=0,"",ROUNDUP(Y103/H103,0)*0.01898),"")</f>
        <v>7.5920000000000001E-2</v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41.518518518518519</v>
      </c>
      <c r="BN103" s="78">
        <f t="shared" ref="BN103:BN108" si="7">IFERROR(Y103*I103/H103,"0")</f>
        <v>44.84</v>
      </c>
      <c r="BO103" s="78">
        <f t="shared" ref="BO103:BO108" si="8">IFERROR(1/J103*(X103/H103),"0")</f>
        <v>5.7870370370370364E-2</v>
      </c>
      <c r="BP103" s="78">
        <f t="shared" ref="BP103:BP108" si="9">IFERROR(1/J103*(Y103/H103),"0")</f>
        <v>6.25E-2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651">
        <v>4680115887718</v>
      </c>
      <c r="E104" s="65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88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3"/>
      <c r="R104" s="653"/>
      <c r="S104" s="653"/>
      <c r="T104" s="65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651">
        <v>4680115887718</v>
      </c>
      <c r="E105" s="65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89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3"/>
      <c r="R105" s="653"/>
      <c r="S105" s="653"/>
      <c r="T105" s="65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651">
        <v>4680115880269</v>
      </c>
      <c r="E106" s="65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8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3"/>
      <c r="R106" s="653"/>
      <c r="S106" s="653"/>
      <c r="T106" s="65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4301011415</v>
      </c>
      <c r="D107" s="651">
        <v>4680115880429</v>
      </c>
      <c r="E107" s="65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88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53"/>
      <c r="R107" s="653"/>
      <c r="S107" s="653"/>
      <c r="T107" s="65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651">
        <v>4680115881457</v>
      </c>
      <c r="E108" s="65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88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53"/>
      <c r="R108" s="653"/>
      <c r="S108" s="653"/>
      <c r="T108" s="65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45"/>
      <c r="B109" s="645"/>
      <c r="C109" s="645"/>
      <c r="D109" s="645"/>
      <c r="E109" s="645"/>
      <c r="F109" s="645"/>
      <c r="G109" s="645"/>
      <c r="H109" s="645"/>
      <c r="I109" s="645"/>
      <c r="J109" s="645"/>
      <c r="K109" s="645"/>
      <c r="L109" s="645"/>
      <c r="M109" s="645"/>
      <c r="N109" s="645"/>
      <c r="O109" s="646"/>
      <c r="P109" s="642" t="s">
        <v>40</v>
      </c>
      <c r="Q109" s="643"/>
      <c r="R109" s="643"/>
      <c r="S109" s="643"/>
      <c r="T109" s="643"/>
      <c r="U109" s="643"/>
      <c r="V109" s="644"/>
      <c r="W109" s="42" t="s">
        <v>39</v>
      </c>
      <c r="X109" s="43">
        <f>IFERROR(X103/H103,"0")+IFERROR(X104/H104,"0")+IFERROR(X105/H105,"0")+IFERROR(X106/H106,"0")+IFERROR(X107/H107,"0")+IFERROR(X108/H108,"0")</f>
        <v>3.7037037037037033</v>
      </c>
      <c r="Y109" s="43">
        <f>IFERROR(Y103/H103,"0")+IFERROR(Y104/H104,"0")+IFERROR(Y105/H105,"0")+IFERROR(Y106/H106,"0")+IFERROR(Y107/H107,"0")+IFERROR(Y108/H108,"0")</f>
        <v>4</v>
      </c>
      <c r="Z109" s="43">
        <f>IFERROR(IF(Z103="",0,Z103),"0")+IFERROR(IF(Z104="",0,Z104),"0")+IFERROR(IF(Z105="",0,Z105),"0")+IFERROR(IF(Z106="",0,Z106),"0")+IFERROR(IF(Z107="",0,Z107),"0")+IFERROR(IF(Z108="",0,Z108),"0")</f>
        <v>7.5920000000000001E-2</v>
      </c>
      <c r="AA109" s="67"/>
      <c r="AB109" s="67"/>
      <c r="AC109" s="67"/>
    </row>
    <row r="110" spans="1:68" x14ac:dyDescent="0.2">
      <c r="A110" s="645"/>
      <c r="B110" s="645"/>
      <c r="C110" s="645"/>
      <c r="D110" s="645"/>
      <c r="E110" s="645"/>
      <c r="F110" s="645"/>
      <c r="G110" s="645"/>
      <c r="H110" s="645"/>
      <c r="I110" s="645"/>
      <c r="J110" s="645"/>
      <c r="K110" s="645"/>
      <c r="L110" s="645"/>
      <c r="M110" s="645"/>
      <c r="N110" s="645"/>
      <c r="O110" s="646"/>
      <c r="P110" s="642" t="s">
        <v>40</v>
      </c>
      <c r="Q110" s="643"/>
      <c r="R110" s="643"/>
      <c r="S110" s="643"/>
      <c r="T110" s="643"/>
      <c r="U110" s="643"/>
      <c r="V110" s="644"/>
      <c r="W110" s="42" t="s">
        <v>0</v>
      </c>
      <c r="X110" s="43">
        <f>IFERROR(SUM(X103:X108),"0")</f>
        <v>40</v>
      </c>
      <c r="Y110" s="43">
        <f>IFERROR(SUM(Y103:Y108),"0")</f>
        <v>43.2</v>
      </c>
      <c r="Z110" s="42"/>
      <c r="AA110" s="67"/>
      <c r="AB110" s="67"/>
      <c r="AC110" s="67"/>
    </row>
    <row r="111" spans="1:68" ht="14.25" hidden="1" customHeight="1" x14ac:dyDescent="0.25">
      <c r="A111" s="656" t="s">
        <v>164</v>
      </c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6"/>
      <c r="P111" s="656"/>
      <c r="Q111" s="656"/>
      <c r="R111" s="656"/>
      <c r="S111" s="656"/>
      <c r="T111" s="656"/>
      <c r="U111" s="656"/>
      <c r="V111" s="656"/>
      <c r="W111" s="656"/>
      <c r="X111" s="656"/>
      <c r="Y111" s="656"/>
      <c r="Z111" s="656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651">
        <v>4680115881488</v>
      </c>
      <c r="E112" s="65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3"/>
      <c r="R112" s="653"/>
      <c r="S112" s="653"/>
      <c r="T112" s="65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651">
        <v>4680115887664</v>
      </c>
      <c r="E113" s="651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88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3"/>
      <c r="R113" s="653"/>
      <c r="S113" s="653"/>
      <c r="T113" s="65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651">
        <v>4680115887664</v>
      </c>
      <c r="E114" s="651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88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3"/>
      <c r="R114" s="653"/>
      <c r="S114" s="653"/>
      <c r="T114" s="65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651">
        <v>4680115882775</v>
      </c>
      <c r="E115" s="651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88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3"/>
      <c r="R115" s="653"/>
      <c r="S115" s="653"/>
      <c r="T115" s="65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651">
        <v>4680115880658</v>
      </c>
      <c r="E116" s="651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88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3"/>
      <c r="R116" s="653"/>
      <c r="S116" s="653"/>
      <c r="T116" s="65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45"/>
      <c r="B117" s="645"/>
      <c r="C117" s="645"/>
      <c r="D117" s="645"/>
      <c r="E117" s="645"/>
      <c r="F117" s="645"/>
      <c r="G117" s="645"/>
      <c r="H117" s="645"/>
      <c r="I117" s="645"/>
      <c r="J117" s="645"/>
      <c r="K117" s="645"/>
      <c r="L117" s="645"/>
      <c r="M117" s="645"/>
      <c r="N117" s="645"/>
      <c r="O117" s="646"/>
      <c r="P117" s="642" t="s">
        <v>40</v>
      </c>
      <c r="Q117" s="643"/>
      <c r="R117" s="643"/>
      <c r="S117" s="643"/>
      <c r="T117" s="643"/>
      <c r="U117" s="643"/>
      <c r="V117" s="64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45"/>
      <c r="B118" s="645"/>
      <c r="C118" s="645"/>
      <c r="D118" s="645"/>
      <c r="E118" s="645"/>
      <c r="F118" s="645"/>
      <c r="G118" s="645"/>
      <c r="H118" s="645"/>
      <c r="I118" s="645"/>
      <c r="J118" s="645"/>
      <c r="K118" s="645"/>
      <c r="L118" s="645"/>
      <c r="M118" s="645"/>
      <c r="N118" s="645"/>
      <c r="O118" s="646"/>
      <c r="P118" s="642" t="s">
        <v>40</v>
      </c>
      <c r="Q118" s="643"/>
      <c r="R118" s="643"/>
      <c r="S118" s="643"/>
      <c r="T118" s="643"/>
      <c r="U118" s="643"/>
      <c r="V118" s="64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56" t="s">
        <v>86</v>
      </c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6"/>
      <c r="P119" s="656"/>
      <c r="Q119" s="656"/>
      <c r="R119" s="656"/>
      <c r="S119" s="656"/>
      <c r="T119" s="656"/>
      <c r="U119" s="656"/>
      <c r="V119" s="656"/>
      <c r="W119" s="656"/>
      <c r="X119" s="656"/>
      <c r="Y119" s="656"/>
      <c r="Z119" s="656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651">
        <v>4607091385168</v>
      </c>
      <c r="E120" s="651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87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53"/>
      <c r="R120" s="653"/>
      <c r="S120" s="653"/>
      <c r="T120" s="654"/>
      <c r="U120" s="39" t="s">
        <v>46</v>
      </c>
      <c r="V120" s="39" t="s">
        <v>46</v>
      </c>
      <c r="W120" s="40" t="s">
        <v>0</v>
      </c>
      <c r="X120" s="58">
        <v>1500</v>
      </c>
      <c r="Y120" s="55">
        <f>IFERROR(IF(X120="",0,CEILING((X120/$H120),1)*$H120),"")</f>
        <v>1506.6</v>
      </c>
      <c r="Z120" s="41">
        <f>IFERROR(IF(Y120=0,"",ROUNDUP(Y120/H120,0)*0.01898),"")</f>
        <v>3.5302799999999999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1590.3703703703702</v>
      </c>
      <c r="BN120" s="78">
        <f>IFERROR(Y120*I120/H120,"0")</f>
        <v>1597.3679999999999</v>
      </c>
      <c r="BO120" s="78">
        <f>IFERROR(1/J120*(X120/H120),"0")</f>
        <v>2.8935185185185186</v>
      </c>
      <c r="BP120" s="78">
        <f>IFERROR(1/J120*(Y120/H120),"0")</f>
        <v>2.90625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651">
        <v>4607091383256</v>
      </c>
      <c r="E121" s="651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87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53"/>
      <c r="R121" s="653"/>
      <c r="S121" s="653"/>
      <c r="T121" s="65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651">
        <v>4607091385748</v>
      </c>
      <c r="E122" s="651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87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53"/>
      <c r="R122" s="653"/>
      <c r="S122" s="653"/>
      <c r="T122" s="654"/>
      <c r="U122" s="39" t="s">
        <v>46</v>
      </c>
      <c r="V122" s="39" t="s">
        <v>46</v>
      </c>
      <c r="W122" s="40" t="s">
        <v>0</v>
      </c>
      <c r="X122" s="58">
        <v>720</v>
      </c>
      <c r="Y122" s="55">
        <f>IFERROR(IF(X122="",0,CEILING((X122/$H122),1)*$H122),"")</f>
        <v>720.90000000000009</v>
      </c>
      <c r="Z122" s="41">
        <f>IFERROR(IF(Y122=0,"",ROUNDUP(Y122/H122,0)*0.00651),"")</f>
        <v>1.73817</v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787.19999999999993</v>
      </c>
      <c r="BN122" s="78">
        <f>IFERROR(Y122*I122/H122,"0")</f>
        <v>788.18400000000008</v>
      </c>
      <c r="BO122" s="78">
        <f>IFERROR(1/J122*(X122/H122),"0")</f>
        <v>1.4652014652014651</v>
      </c>
      <c r="BP122" s="78">
        <f>IFERROR(1/J122*(Y122/H122),"0")</f>
        <v>1.4670329670329672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651">
        <v>4680115884533</v>
      </c>
      <c r="E123" s="651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53"/>
      <c r="R123" s="653"/>
      <c r="S123" s="653"/>
      <c r="T123" s="654"/>
      <c r="U123" s="39" t="s">
        <v>46</v>
      </c>
      <c r="V123" s="39" t="s">
        <v>46</v>
      </c>
      <c r="W123" s="40" t="s">
        <v>0</v>
      </c>
      <c r="X123" s="58">
        <v>57</v>
      </c>
      <c r="Y123" s="55">
        <f>IFERROR(IF(X123="",0,CEILING((X123/$H123),1)*$H123),"")</f>
        <v>57.6</v>
      </c>
      <c r="Z123" s="41">
        <f>IFERROR(IF(Y123=0,"",ROUNDUP(Y123/H123,0)*0.00651),"")</f>
        <v>0.20832000000000001</v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62.699999999999996</v>
      </c>
      <c r="BN123" s="78">
        <f>IFERROR(Y123*I123/H123,"0")</f>
        <v>63.36</v>
      </c>
      <c r="BO123" s="78">
        <f>IFERROR(1/J123*(X123/H123),"0")</f>
        <v>0.17399267399267399</v>
      </c>
      <c r="BP123" s="78">
        <f>IFERROR(1/J123*(Y123/H123),"0")</f>
        <v>0.17582417582417584</v>
      </c>
    </row>
    <row r="124" spans="1:68" x14ac:dyDescent="0.2">
      <c r="A124" s="645"/>
      <c r="B124" s="645"/>
      <c r="C124" s="645"/>
      <c r="D124" s="645"/>
      <c r="E124" s="645"/>
      <c r="F124" s="645"/>
      <c r="G124" s="645"/>
      <c r="H124" s="645"/>
      <c r="I124" s="645"/>
      <c r="J124" s="645"/>
      <c r="K124" s="645"/>
      <c r="L124" s="645"/>
      <c r="M124" s="645"/>
      <c r="N124" s="645"/>
      <c r="O124" s="646"/>
      <c r="P124" s="642" t="s">
        <v>40</v>
      </c>
      <c r="Q124" s="643"/>
      <c r="R124" s="643"/>
      <c r="S124" s="643"/>
      <c r="T124" s="643"/>
      <c r="U124" s="643"/>
      <c r="V124" s="644"/>
      <c r="W124" s="42" t="s">
        <v>39</v>
      </c>
      <c r="X124" s="43">
        <f>IFERROR(X120/H120,"0")+IFERROR(X121/H121,"0")+IFERROR(X122/H122,"0")+IFERROR(X123/H123,"0")</f>
        <v>483.51851851851853</v>
      </c>
      <c r="Y124" s="43">
        <f>IFERROR(Y120/H120,"0")+IFERROR(Y121/H121,"0")+IFERROR(Y122/H122,"0")+IFERROR(Y123/H123,"0")</f>
        <v>485</v>
      </c>
      <c r="Z124" s="43">
        <f>IFERROR(IF(Z120="",0,Z120),"0")+IFERROR(IF(Z121="",0,Z121),"0")+IFERROR(IF(Z122="",0,Z122),"0")+IFERROR(IF(Z123="",0,Z123),"0")</f>
        <v>5.4767699999999992</v>
      </c>
      <c r="AA124" s="67"/>
      <c r="AB124" s="67"/>
      <c r="AC124" s="67"/>
    </row>
    <row r="125" spans="1:68" x14ac:dyDescent="0.2">
      <c r="A125" s="645"/>
      <c r="B125" s="645"/>
      <c r="C125" s="645"/>
      <c r="D125" s="645"/>
      <c r="E125" s="645"/>
      <c r="F125" s="645"/>
      <c r="G125" s="645"/>
      <c r="H125" s="645"/>
      <c r="I125" s="645"/>
      <c r="J125" s="645"/>
      <c r="K125" s="645"/>
      <c r="L125" s="645"/>
      <c r="M125" s="645"/>
      <c r="N125" s="645"/>
      <c r="O125" s="646"/>
      <c r="P125" s="642" t="s">
        <v>40</v>
      </c>
      <c r="Q125" s="643"/>
      <c r="R125" s="643"/>
      <c r="S125" s="643"/>
      <c r="T125" s="643"/>
      <c r="U125" s="643"/>
      <c r="V125" s="644"/>
      <c r="W125" s="42" t="s">
        <v>0</v>
      </c>
      <c r="X125" s="43">
        <f>IFERROR(SUM(X120:X123),"0")</f>
        <v>2277</v>
      </c>
      <c r="Y125" s="43">
        <f>IFERROR(SUM(Y120:Y123),"0")</f>
        <v>2285.1</v>
      </c>
      <c r="Z125" s="42"/>
      <c r="AA125" s="67"/>
      <c r="AB125" s="67"/>
      <c r="AC125" s="67"/>
    </row>
    <row r="126" spans="1:68" ht="14.25" hidden="1" customHeight="1" x14ac:dyDescent="0.25">
      <c r="A126" s="656" t="s">
        <v>181</v>
      </c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6"/>
      <c r="P126" s="656"/>
      <c r="Q126" s="656"/>
      <c r="R126" s="656"/>
      <c r="S126" s="656"/>
      <c r="T126" s="656"/>
      <c r="U126" s="656"/>
      <c r="V126" s="656"/>
      <c r="W126" s="656"/>
      <c r="X126" s="656"/>
      <c r="Y126" s="656"/>
      <c r="Z126" s="656"/>
      <c r="AA126" s="66"/>
      <c r="AB126" s="66"/>
      <c r="AC126" s="80"/>
    </row>
    <row r="127" spans="1:68" ht="16.5" hidden="1" customHeight="1" x14ac:dyDescent="0.25">
      <c r="A127" s="63" t="s">
        <v>245</v>
      </c>
      <c r="B127" s="63" t="s">
        <v>246</v>
      </c>
      <c r="C127" s="36">
        <v>4301060317</v>
      </c>
      <c r="D127" s="651">
        <v>4680115880238</v>
      </c>
      <c r="E127" s="651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53"/>
      <c r="R127" s="653"/>
      <c r="S127" s="653"/>
      <c r="T127" s="654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42" t="s">
        <v>40</v>
      </c>
      <c r="Q128" s="643"/>
      <c r="R128" s="643"/>
      <c r="S128" s="643"/>
      <c r="T128" s="643"/>
      <c r="U128" s="643"/>
      <c r="V128" s="64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45"/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6"/>
      <c r="P129" s="642" t="s">
        <v>40</v>
      </c>
      <c r="Q129" s="643"/>
      <c r="R129" s="643"/>
      <c r="S129" s="643"/>
      <c r="T129" s="643"/>
      <c r="U129" s="643"/>
      <c r="V129" s="64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55" t="s">
        <v>248</v>
      </c>
      <c r="B130" s="655"/>
      <c r="C130" s="655"/>
      <c r="D130" s="655"/>
      <c r="E130" s="655"/>
      <c r="F130" s="655"/>
      <c r="G130" s="655"/>
      <c r="H130" s="655"/>
      <c r="I130" s="655"/>
      <c r="J130" s="655"/>
      <c r="K130" s="655"/>
      <c r="L130" s="655"/>
      <c r="M130" s="655"/>
      <c r="N130" s="655"/>
      <c r="O130" s="655"/>
      <c r="P130" s="655"/>
      <c r="Q130" s="655"/>
      <c r="R130" s="655"/>
      <c r="S130" s="655"/>
      <c r="T130" s="655"/>
      <c r="U130" s="655"/>
      <c r="V130" s="655"/>
      <c r="W130" s="655"/>
      <c r="X130" s="655"/>
      <c r="Y130" s="655"/>
      <c r="Z130" s="655"/>
      <c r="AA130" s="65"/>
      <c r="AB130" s="65"/>
      <c r="AC130" s="79"/>
    </row>
    <row r="131" spans="1:68" ht="14.25" hidden="1" customHeight="1" x14ac:dyDescent="0.25">
      <c r="A131" s="656" t="s">
        <v>128</v>
      </c>
      <c r="B131" s="656"/>
      <c r="C131" s="656"/>
      <c r="D131" s="656"/>
      <c r="E131" s="656"/>
      <c r="F131" s="656"/>
      <c r="G131" s="656"/>
      <c r="H131" s="656"/>
      <c r="I131" s="656"/>
      <c r="J131" s="656"/>
      <c r="K131" s="656"/>
      <c r="L131" s="656"/>
      <c r="M131" s="656"/>
      <c r="N131" s="656"/>
      <c r="O131" s="656"/>
      <c r="P131" s="656"/>
      <c r="Q131" s="656"/>
      <c r="R131" s="656"/>
      <c r="S131" s="656"/>
      <c r="T131" s="656"/>
      <c r="U131" s="656"/>
      <c r="V131" s="656"/>
      <c r="W131" s="656"/>
      <c r="X131" s="656"/>
      <c r="Y131" s="656"/>
      <c r="Z131" s="656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4301012347</v>
      </c>
      <c r="D132" s="651">
        <v>4680115888784</v>
      </c>
      <c r="E132" s="651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87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53"/>
      <c r="R132" s="653"/>
      <c r="S132" s="653"/>
      <c r="T132" s="65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254</v>
      </c>
      <c r="B133" s="63" t="s">
        <v>255</v>
      </c>
      <c r="C133" s="36">
        <v>4301012350</v>
      </c>
      <c r="D133" s="651">
        <v>4680115888845</v>
      </c>
      <c r="E133" s="651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873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53"/>
      <c r="R133" s="653"/>
      <c r="S133" s="653"/>
      <c r="T133" s="654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256</v>
      </c>
      <c r="B134" s="63" t="s">
        <v>257</v>
      </c>
      <c r="C134" s="36">
        <v>4301011562</v>
      </c>
      <c r="D134" s="651">
        <v>4680115882577</v>
      </c>
      <c r="E134" s="65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8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3"/>
      <c r="R134" s="653"/>
      <c r="S134" s="653"/>
      <c r="T134" s="65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256</v>
      </c>
      <c r="B135" s="63" t="s">
        <v>259</v>
      </c>
      <c r="C135" s="36">
        <v>4301011564</v>
      </c>
      <c r="D135" s="651">
        <v>4680115882577</v>
      </c>
      <c r="E135" s="65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3"/>
      <c r="R135" s="653"/>
      <c r="S135" s="653"/>
      <c r="T135" s="65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45"/>
      <c r="B136" s="645"/>
      <c r="C136" s="645"/>
      <c r="D136" s="645"/>
      <c r="E136" s="645"/>
      <c r="F136" s="645"/>
      <c r="G136" s="645"/>
      <c r="H136" s="645"/>
      <c r="I136" s="645"/>
      <c r="J136" s="645"/>
      <c r="K136" s="645"/>
      <c r="L136" s="645"/>
      <c r="M136" s="645"/>
      <c r="N136" s="645"/>
      <c r="O136" s="646"/>
      <c r="P136" s="642" t="s">
        <v>40</v>
      </c>
      <c r="Q136" s="643"/>
      <c r="R136" s="643"/>
      <c r="S136" s="643"/>
      <c r="T136" s="643"/>
      <c r="U136" s="643"/>
      <c r="V136" s="644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645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42" t="s">
        <v>40</v>
      </c>
      <c r="Q137" s="643"/>
      <c r="R137" s="643"/>
      <c r="S137" s="643"/>
      <c r="T137" s="643"/>
      <c r="U137" s="643"/>
      <c r="V137" s="644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56" t="s">
        <v>77</v>
      </c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6"/>
      <c r="P138" s="656"/>
      <c r="Q138" s="656"/>
      <c r="R138" s="656"/>
      <c r="S138" s="656"/>
      <c r="T138" s="656"/>
      <c r="U138" s="656"/>
      <c r="V138" s="656"/>
      <c r="W138" s="656"/>
      <c r="X138" s="656"/>
      <c r="Y138" s="656"/>
      <c r="Z138" s="656"/>
      <c r="AA138" s="66"/>
      <c r="AB138" s="66"/>
      <c r="AC138" s="80"/>
    </row>
    <row r="139" spans="1:68" ht="16.5" hidden="1" customHeight="1" x14ac:dyDescent="0.25">
      <c r="A139" s="63" t="s">
        <v>260</v>
      </c>
      <c r="B139" s="63" t="s">
        <v>261</v>
      </c>
      <c r="C139" s="36">
        <v>4301031506</v>
      </c>
      <c r="D139" s="651">
        <v>4680115888913</v>
      </c>
      <c r="E139" s="651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869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53"/>
      <c r="R139" s="653"/>
      <c r="S139" s="653"/>
      <c r="T139" s="654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263</v>
      </c>
      <c r="B140" s="63" t="s">
        <v>264</v>
      </c>
      <c r="C140" s="36">
        <v>4301031504</v>
      </c>
      <c r="D140" s="651">
        <v>4680115888920</v>
      </c>
      <c r="E140" s="651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87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53"/>
      <c r="R140" s="653"/>
      <c r="S140" s="653"/>
      <c r="T140" s="65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265</v>
      </c>
      <c r="B141" s="63" t="s">
        <v>266</v>
      </c>
      <c r="C141" s="36">
        <v>4301031234</v>
      </c>
      <c r="D141" s="651">
        <v>4680115883444</v>
      </c>
      <c r="E141" s="65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87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3"/>
      <c r="R141" s="653"/>
      <c r="S141" s="653"/>
      <c r="T141" s="65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651">
        <v>4680115883444</v>
      </c>
      <c r="E142" s="651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8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3"/>
      <c r="R142" s="653"/>
      <c r="S142" s="653"/>
      <c r="T142" s="65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42" t="s">
        <v>40</v>
      </c>
      <c r="Q143" s="643"/>
      <c r="R143" s="643"/>
      <c r="S143" s="643"/>
      <c r="T143" s="643"/>
      <c r="U143" s="643"/>
      <c r="V143" s="644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645"/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6"/>
      <c r="P144" s="642" t="s">
        <v>40</v>
      </c>
      <c r="Q144" s="643"/>
      <c r="R144" s="643"/>
      <c r="S144" s="643"/>
      <c r="T144" s="643"/>
      <c r="U144" s="643"/>
      <c r="V144" s="644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656" t="s">
        <v>86</v>
      </c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6"/>
      <c r="P145" s="656"/>
      <c r="Q145" s="656"/>
      <c r="R145" s="656"/>
      <c r="S145" s="656"/>
      <c r="T145" s="656"/>
      <c r="U145" s="656"/>
      <c r="V145" s="656"/>
      <c r="W145" s="656"/>
      <c r="X145" s="656"/>
      <c r="Y145" s="656"/>
      <c r="Z145" s="656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4301052218</v>
      </c>
      <c r="D146" s="651">
        <v>4680115888937</v>
      </c>
      <c r="E146" s="651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86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53"/>
      <c r="R146" s="653"/>
      <c r="S146" s="653"/>
      <c r="T146" s="65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271</v>
      </c>
      <c r="B147" s="63" t="s">
        <v>272</v>
      </c>
      <c r="C147" s="36">
        <v>4301052219</v>
      </c>
      <c r="D147" s="651">
        <v>4680115888944</v>
      </c>
      <c r="E147" s="651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86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53"/>
      <c r="R147" s="653"/>
      <c r="S147" s="653"/>
      <c r="T147" s="654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273</v>
      </c>
      <c r="B148" s="63" t="s">
        <v>274</v>
      </c>
      <c r="C148" s="36">
        <v>4301051476</v>
      </c>
      <c r="D148" s="651">
        <v>4680115882584</v>
      </c>
      <c r="E148" s="651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8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53"/>
      <c r="R148" s="653"/>
      <c r="S148" s="653"/>
      <c r="T148" s="654"/>
      <c r="U148" s="39" t="s">
        <v>46</v>
      </c>
      <c r="V148" s="39" t="s">
        <v>46</v>
      </c>
      <c r="W148" s="40" t="s">
        <v>0</v>
      </c>
      <c r="X148" s="58">
        <v>49.5</v>
      </c>
      <c r="Y148" s="55">
        <f>IFERROR(IF(X148="",0,CEILING((X148/$H148),1)*$H148),"")</f>
        <v>50.160000000000004</v>
      </c>
      <c r="Z148" s="41">
        <f>IFERROR(IF(Y148=0,"",ROUNDUP(Y148/H148,0)*0.00651),"")</f>
        <v>0.12369000000000001</v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54.524999999999999</v>
      </c>
      <c r="BN148" s="78">
        <f>IFERROR(Y148*I148/H148,"0")</f>
        <v>55.252000000000002</v>
      </c>
      <c r="BO148" s="78">
        <f>IFERROR(1/J148*(X148/H148),"0")</f>
        <v>0.10302197802197803</v>
      </c>
      <c r="BP148" s="78">
        <f>IFERROR(1/J148*(Y148/H148),"0")</f>
        <v>0.1043956043956044</v>
      </c>
    </row>
    <row r="149" spans="1:68" ht="16.5" hidden="1" customHeight="1" x14ac:dyDescent="0.25">
      <c r="A149" s="63" t="s">
        <v>273</v>
      </c>
      <c r="B149" s="63" t="s">
        <v>275</v>
      </c>
      <c r="C149" s="36">
        <v>4301051477</v>
      </c>
      <c r="D149" s="651">
        <v>4680115882584</v>
      </c>
      <c r="E149" s="651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86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53"/>
      <c r="R149" s="653"/>
      <c r="S149" s="653"/>
      <c r="T149" s="654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645"/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6"/>
      <c r="P150" s="642" t="s">
        <v>40</v>
      </c>
      <c r="Q150" s="643"/>
      <c r="R150" s="643"/>
      <c r="S150" s="643"/>
      <c r="T150" s="643"/>
      <c r="U150" s="643"/>
      <c r="V150" s="644"/>
      <c r="W150" s="42" t="s">
        <v>39</v>
      </c>
      <c r="X150" s="43">
        <f>IFERROR(X146/H146,"0")+IFERROR(X147/H147,"0")+IFERROR(X148/H148,"0")+IFERROR(X149/H149,"0")</f>
        <v>18.75</v>
      </c>
      <c r="Y150" s="43">
        <f>IFERROR(Y146/H146,"0")+IFERROR(Y147/H147,"0")+IFERROR(Y148/H148,"0")+IFERROR(Y149/H149,"0")</f>
        <v>19</v>
      </c>
      <c r="Z150" s="43">
        <f>IFERROR(IF(Z146="",0,Z146),"0")+IFERROR(IF(Z147="",0,Z147),"0")+IFERROR(IF(Z148="",0,Z148),"0")+IFERROR(IF(Z149="",0,Z149),"0")</f>
        <v>0.12369000000000001</v>
      </c>
      <c r="AA150" s="67"/>
      <c r="AB150" s="67"/>
      <c r="AC150" s="67"/>
    </row>
    <row r="151" spans="1:68" x14ac:dyDescent="0.2">
      <c r="A151" s="645"/>
      <c r="B151" s="645"/>
      <c r="C151" s="645"/>
      <c r="D151" s="645"/>
      <c r="E151" s="645"/>
      <c r="F151" s="645"/>
      <c r="G151" s="645"/>
      <c r="H151" s="645"/>
      <c r="I151" s="645"/>
      <c r="J151" s="645"/>
      <c r="K151" s="645"/>
      <c r="L151" s="645"/>
      <c r="M151" s="645"/>
      <c r="N151" s="645"/>
      <c r="O151" s="646"/>
      <c r="P151" s="642" t="s">
        <v>40</v>
      </c>
      <c r="Q151" s="643"/>
      <c r="R151" s="643"/>
      <c r="S151" s="643"/>
      <c r="T151" s="643"/>
      <c r="U151" s="643"/>
      <c r="V151" s="644"/>
      <c r="W151" s="42" t="s">
        <v>0</v>
      </c>
      <c r="X151" s="43">
        <f>IFERROR(SUM(X146:X149),"0")</f>
        <v>49.5</v>
      </c>
      <c r="Y151" s="43">
        <f>IFERROR(SUM(Y146:Y149),"0")</f>
        <v>50.160000000000004</v>
      </c>
      <c r="Z151" s="42"/>
      <c r="AA151" s="67"/>
      <c r="AB151" s="67"/>
      <c r="AC151" s="67"/>
    </row>
    <row r="152" spans="1:68" ht="16.5" hidden="1" customHeight="1" x14ac:dyDescent="0.25">
      <c r="A152" s="655" t="s">
        <v>276</v>
      </c>
      <c r="B152" s="655"/>
      <c r="C152" s="655"/>
      <c r="D152" s="655"/>
      <c r="E152" s="655"/>
      <c r="F152" s="655"/>
      <c r="G152" s="655"/>
      <c r="H152" s="655"/>
      <c r="I152" s="655"/>
      <c r="J152" s="655"/>
      <c r="K152" s="655"/>
      <c r="L152" s="655"/>
      <c r="M152" s="655"/>
      <c r="N152" s="655"/>
      <c r="O152" s="655"/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  <c r="AA152" s="65"/>
      <c r="AB152" s="65"/>
      <c r="AC152" s="79"/>
    </row>
    <row r="153" spans="1:68" ht="14.25" hidden="1" customHeight="1" x14ac:dyDescent="0.25">
      <c r="A153" s="656" t="s">
        <v>86</v>
      </c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6"/>
      <c r="P153" s="656"/>
      <c r="Q153" s="656"/>
      <c r="R153" s="656"/>
      <c r="S153" s="656"/>
      <c r="T153" s="656"/>
      <c r="U153" s="656"/>
      <c r="V153" s="656"/>
      <c r="W153" s="656"/>
      <c r="X153" s="656"/>
      <c r="Y153" s="656"/>
      <c r="Z153" s="656"/>
      <c r="AA153" s="66"/>
      <c r="AB153" s="66"/>
      <c r="AC153" s="80"/>
    </row>
    <row r="154" spans="1:68" ht="27" hidden="1" customHeight="1" x14ac:dyDescent="0.25">
      <c r="A154" s="63" t="s">
        <v>277</v>
      </c>
      <c r="B154" s="63" t="s">
        <v>278</v>
      </c>
      <c r="C154" s="36">
        <v>4301052254</v>
      </c>
      <c r="D154" s="651">
        <v>4680115888203</v>
      </c>
      <c r="E154" s="65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53"/>
      <c r="R154" s="653"/>
      <c r="S154" s="653"/>
      <c r="T154" s="654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280</v>
      </c>
      <c r="B155" s="63" t="s">
        <v>281</v>
      </c>
      <c r="C155" s="36">
        <v>4301052172</v>
      </c>
      <c r="D155" s="651">
        <v>4680115888180</v>
      </c>
      <c r="E155" s="651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6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53"/>
      <c r="R155" s="653"/>
      <c r="S155" s="653"/>
      <c r="T155" s="654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283</v>
      </c>
      <c r="B156" s="63" t="s">
        <v>284</v>
      </c>
      <c r="C156" s="36">
        <v>4301052173</v>
      </c>
      <c r="D156" s="651">
        <v>4680115888197</v>
      </c>
      <c r="E156" s="651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6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53"/>
      <c r="R156" s="653"/>
      <c r="S156" s="653"/>
      <c r="T156" s="65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286</v>
      </c>
      <c r="B157" s="63" t="s">
        <v>287</v>
      </c>
      <c r="C157" s="36">
        <v>4301052175</v>
      </c>
      <c r="D157" s="651">
        <v>4680115888210</v>
      </c>
      <c r="E157" s="651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6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53"/>
      <c r="R157" s="653"/>
      <c r="S157" s="653"/>
      <c r="T157" s="65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45"/>
      <c r="B158" s="645"/>
      <c r="C158" s="645"/>
      <c r="D158" s="645"/>
      <c r="E158" s="645"/>
      <c r="F158" s="645"/>
      <c r="G158" s="645"/>
      <c r="H158" s="645"/>
      <c r="I158" s="645"/>
      <c r="J158" s="645"/>
      <c r="K158" s="645"/>
      <c r="L158" s="645"/>
      <c r="M158" s="645"/>
      <c r="N158" s="645"/>
      <c r="O158" s="646"/>
      <c r="P158" s="642" t="s">
        <v>40</v>
      </c>
      <c r="Q158" s="643"/>
      <c r="R158" s="643"/>
      <c r="S158" s="643"/>
      <c r="T158" s="643"/>
      <c r="U158" s="643"/>
      <c r="V158" s="644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645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42" t="s">
        <v>40</v>
      </c>
      <c r="Q159" s="643"/>
      <c r="R159" s="643"/>
      <c r="S159" s="643"/>
      <c r="T159" s="643"/>
      <c r="U159" s="643"/>
      <c r="V159" s="644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656" t="s">
        <v>104</v>
      </c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6"/>
      <c r="P160" s="656"/>
      <c r="Q160" s="656"/>
      <c r="R160" s="656"/>
      <c r="S160" s="656"/>
      <c r="T160" s="656"/>
      <c r="U160" s="656"/>
      <c r="V160" s="656"/>
      <c r="W160" s="656"/>
      <c r="X160" s="656"/>
      <c r="Y160" s="656"/>
      <c r="Z160" s="656"/>
      <c r="AA160" s="66"/>
      <c r="AB160" s="66"/>
      <c r="AC160" s="80"/>
    </row>
    <row r="161" spans="1:68" ht="27" hidden="1" customHeight="1" x14ac:dyDescent="0.25">
      <c r="A161" s="63" t="s">
        <v>289</v>
      </c>
      <c r="B161" s="63" t="s">
        <v>290</v>
      </c>
      <c r="C161" s="36">
        <v>4301032067</v>
      </c>
      <c r="D161" s="651">
        <v>4680115889132</v>
      </c>
      <c r="E161" s="651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85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53"/>
      <c r="R161" s="653"/>
      <c r="S161" s="653"/>
      <c r="T161" s="654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645"/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6"/>
      <c r="P162" s="642" t="s">
        <v>40</v>
      </c>
      <c r="Q162" s="643"/>
      <c r="R162" s="643"/>
      <c r="S162" s="643"/>
      <c r="T162" s="643"/>
      <c r="U162" s="643"/>
      <c r="V162" s="644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645"/>
      <c r="B163" s="645"/>
      <c r="C163" s="645"/>
      <c r="D163" s="645"/>
      <c r="E163" s="645"/>
      <c r="F163" s="645"/>
      <c r="G163" s="645"/>
      <c r="H163" s="645"/>
      <c r="I163" s="645"/>
      <c r="J163" s="645"/>
      <c r="K163" s="645"/>
      <c r="L163" s="645"/>
      <c r="M163" s="645"/>
      <c r="N163" s="645"/>
      <c r="O163" s="646"/>
      <c r="P163" s="642" t="s">
        <v>40</v>
      </c>
      <c r="Q163" s="643"/>
      <c r="R163" s="643"/>
      <c r="S163" s="643"/>
      <c r="T163" s="643"/>
      <c r="U163" s="643"/>
      <c r="V163" s="644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655" t="s">
        <v>126</v>
      </c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5"/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  <c r="AA164" s="65"/>
      <c r="AB164" s="65"/>
      <c r="AC164" s="79"/>
    </row>
    <row r="165" spans="1:68" ht="14.25" hidden="1" customHeight="1" x14ac:dyDescent="0.25">
      <c r="A165" s="656" t="s">
        <v>128</v>
      </c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6"/>
      <c r="P165" s="656"/>
      <c r="Q165" s="656"/>
      <c r="R165" s="656"/>
      <c r="S165" s="656"/>
      <c r="T165" s="656"/>
      <c r="U165" s="656"/>
      <c r="V165" s="656"/>
      <c r="W165" s="656"/>
      <c r="X165" s="656"/>
      <c r="Y165" s="656"/>
      <c r="Z165" s="656"/>
      <c r="AA165" s="66"/>
      <c r="AB165" s="66"/>
      <c r="AC165" s="80"/>
    </row>
    <row r="166" spans="1:68" ht="16.5" hidden="1" customHeight="1" x14ac:dyDescent="0.25">
      <c r="A166" s="63" t="s">
        <v>294</v>
      </c>
      <c r="B166" s="63" t="s">
        <v>295</v>
      </c>
      <c r="C166" s="36">
        <v>4301012344</v>
      </c>
      <c r="D166" s="651">
        <v>4680115888876</v>
      </c>
      <c r="E166" s="651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5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3"/>
      <c r="R166" s="653"/>
      <c r="S166" s="653"/>
      <c r="T166" s="654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297</v>
      </c>
      <c r="B167" s="63" t="s">
        <v>298</v>
      </c>
      <c r="C167" s="36">
        <v>4301012244</v>
      </c>
      <c r="D167" s="651">
        <v>4680115887374</v>
      </c>
      <c r="E167" s="651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85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53"/>
      <c r="R167" s="653"/>
      <c r="S167" s="653"/>
      <c r="T167" s="654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300</v>
      </c>
      <c r="B168" s="63" t="s">
        <v>301</v>
      </c>
      <c r="C168" s="36">
        <v>4301011705</v>
      </c>
      <c r="D168" s="651">
        <v>4607091384604</v>
      </c>
      <c r="E168" s="651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85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53"/>
      <c r="R168" s="653"/>
      <c r="S168" s="653"/>
      <c r="T168" s="654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645"/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6"/>
      <c r="P169" s="642" t="s">
        <v>40</v>
      </c>
      <c r="Q169" s="643"/>
      <c r="R169" s="643"/>
      <c r="S169" s="643"/>
      <c r="T169" s="643"/>
      <c r="U169" s="643"/>
      <c r="V169" s="644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645"/>
      <c r="B170" s="645"/>
      <c r="C170" s="645"/>
      <c r="D170" s="645"/>
      <c r="E170" s="645"/>
      <c r="F170" s="645"/>
      <c r="G170" s="645"/>
      <c r="H170" s="645"/>
      <c r="I170" s="645"/>
      <c r="J170" s="645"/>
      <c r="K170" s="645"/>
      <c r="L170" s="645"/>
      <c r="M170" s="645"/>
      <c r="N170" s="645"/>
      <c r="O170" s="646"/>
      <c r="P170" s="642" t="s">
        <v>40</v>
      </c>
      <c r="Q170" s="643"/>
      <c r="R170" s="643"/>
      <c r="S170" s="643"/>
      <c r="T170" s="643"/>
      <c r="U170" s="643"/>
      <c r="V170" s="644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656" t="s">
        <v>164</v>
      </c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6"/>
      <c r="P171" s="656"/>
      <c r="Q171" s="656"/>
      <c r="R171" s="656"/>
      <c r="S171" s="656"/>
      <c r="T171" s="656"/>
      <c r="U171" s="656"/>
      <c r="V171" s="656"/>
      <c r="W171" s="656"/>
      <c r="X171" s="656"/>
      <c r="Y171" s="656"/>
      <c r="Z171" s="656"/>
      <c r="AA171" s="66"/>
      <c r="AB171" s="66"/>
      <c r="AC171" s="80"/>
    </row>
    <row r="172" spans="1:68" ht="16.5" hidden="1" customHeight="1" x14ac:dyDescent="0.25">
      <c r="A172" s="63" t="s">
        <v>303</v>
      </c>
      <c r="B172" s="63" t="s">
        <v>304</v>
      </c>
      <c r="C172" s="36">
        <v>4301020439</v>
      </c>
      <c r="D172" s="651">
        <v>4680115889491</v>
      </c>
      <c r="E172" s="651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857" t="s">
        <v>305</v>
      </c>
      <c r="Q172" s="653"/>
      <c r="R172" s="653"/>
      <c r="S172" s="653"/>
      <c r="T172" s="654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4301020410</v>
      </c>
      <c r="D173" s="651">
        <v>4680115887695</v>
      </c>
      <c r="E173" s="651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85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53"/>
      <c r="R173" s="653"/>
      <c r="S173" s="653"/>
      <c r="T173" s="654"/>
      <c r="U173" s="39" t="s">
        <v>46</v>
      </c>
      <c r="V173" s="39" t="s">
        <v>46</v>
      </c>
      <c r="W173" s="40" t="s">
        <v>0</v>
      </c>
      <c r="X173" s="58">
        <v>24</v>
      </c>
      <c r="Y173" s="55">
        <f>IFERROR(IF(X173="",0,CEILING((X173/$H173),1)*$H173),"")</f>
        <v>24.48</v>
      </c>
      <c r="Z173" s="41">
        <f>IFERROR(IF(Y173=0,"",ROUNDUP(Y173/H173,0)*0.00556),"")</f>
        <v>0.18903999999999999</v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28.333333333333332</v>
      </c>
      <c r="BN173" s="78">
        <f>IFERROR(Y173*I173/H173,"0")</f>
        <v>28.900000000000002</v>
      </c>
      <c r="BO173" s="78">
        <f>IFERROR(1/J173*(X173/H173),"0")</f>
        <v>0.13227513227513227</v>
      </c>
      <c r="BP173" s="78">
        <f>IFERROR(1/J173*(Y173/H173),"0")</f>
        <v>0.13492063492063491</v>
      </c>
    </row>
    <row r="174" spans="1:68" x14ac:dyDescent="0.2">
      <c r="A174" s="645"/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6"/>
      <c r="P174" s="642" t="s">
        <v>40</v>
      </c>
      <c r="Q174" s="643"/>
      <c r="R174" s="643"/>
      <c r="S174" s="643"/>
      <c r="T174" s="643"/>
      <c r="U174" s="643"/>
      <c r="V174" s="644"/>
      <c r="W174" s="42" t="s">
        <v>39</v>
      </c>
      <c r="X174" s="43">
        <f>IFERROR(X172/H172,"0")+IFERROR(X173/H173,"0")</f>
        <v>33.333333333333336</v>
      </c>
      <c r="Y174" s="43">
        <f>IFERROR(Y172/H172,"0")+IFERROR(Y173/H173,"0")</f>
        <v>34</v>
      </c>
      <c r="Z174" s="43">
        <f>IFERROR(IF(Z172="",0,Z172),"0")+IFERROR(IF(Z173="",0,Z173),"0")</f>
        <v>0.18903999999999999</v>
      </c>
      <c r="AA174" s="67"/>
      <c r="AB174" s="67"/>
      <c r="AC174" s="67"/>
    </row>
    <row r="175" spans="1:68" x14ac:dyDescent="0.2">
      <c r="A175" s="645"/>
      <c r="B175" s="645"/>
      <c r="C175" s="645"/>
      <c r="D175" s="645"/>
      <c r="E175" s="645"/>
      <c r="F175" s="645"/>
      <c r="G175" s="645"/>
      <c r="H175" s="645"/>
      <c r="I175" s="645"/>
      <c r="J175" s="645"/>
      <c r="K175" s="645"/>
      <c r="L175" s="645"/>
      <c r="M175" s="645"/>
      <c r="N175" s="645"/>
      <c r="O175" s="646"/>
      <c r="P175" s="642" t="s">
        <v>40</v>
      </c>
      <c r="Q175" s="643"/>
      <c r="R175" s="643"/>
      <c r="S175" s="643"/>
      <c r="T175" s="643"/>
      <c r="U175" s="643"/>
      <c r="V175" s="644"/>
      <c r="W175" s="42" t="s">
        <v>0</v>
      </c>
      <c r="X175" s="43">
        <f>IFERROR(SUM(X172:X173),"0")</f>
        <v>24</v>
      </c>
      <c r="Y175" s="43">
        <f>IFERROR(SUM(Y172:Y173),"0")</f>
        <v>24.48</v>
      </c>
      <c r="Z175" s="42"/>
      <c r="AA175" s="67"/>
      <c r="AB175" s="67"/>
      <c r="AC175" s="67"/>
    </row>
    <row r="176" spans="1:68" ht="14.25" hidden="1" customHeight="1" x14ac:dyDescent="0.25">
      <c r="A176" s="656" t="s">
        <v>77</v>
      </c>
      <c r="B176" s="656"/>
      <c r="C176" s="656"/>
      <c r="D176" s="656"/>
      <c r="E176" s="656"/>
      <c r="F176" s="656"/>
      <c r="G176" s="656"/>
      <c r="H176" s="656"/>
      <c r="I176" s="656"/>
      <c r="J176" s="656"/>
      <c r="K176" s="656"/>
      <c r="L176" s="656"/>
      <c r="M176" s="656"/>
      <c r="N176" s="656"/>
      <c r="O176" s="656"/>
      <c r="P176" s="656"/>
      <c r="Q176" s="656"/>
      <c r="R176" s="656"/>
      <c r="S176" s="656"/>
      <c r="T176" s="656"/>
      <c r="U176" s="656"/>
      <c r="V176" s="656"/>
      <c r="W176" s="656"/>
      <c r="X176" s="656"/>
      <c r="Y176" s="656"/>
      <c r="Z176" s="656"/>
      <c r="AA176" s="66"/>
      <c r="AB176" s="66"/>
      <c r="AC176" s="80"/>
    </row>
    <row r="177" spans="1:68" ht="27" hidden="1" customHeight="1" x14ac:dyDescent="0.25">
      <c r="A177" s="63" t="s">
        <v>310</v>
      </c>
      <c r="B177" s="63" t="s">
        <v>311</v>
      </c>
      <c r="C177" s="36">
        <v>4301031496</v>
      </c>
      <c r="D177" s="651">
        <v>4680115887428</v>
      </c>
      <c r="E177" s="65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85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3"/>
      <c r="R177" s="653"/>
      <c r="S177" s="653"/>
      <c r="T177" s="65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313</v>
      </c>
      <c r="B178" s="63" t="s">
        <v>314</v>
      </c>
      <c r="C178" s="36">
        <v>4301031509</v>
      </c>
      <c r="D178" s="651">
        <v>4680115889170</v>
      </c>
      <c r="E178" s="651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85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3"/>
      <c r="R178" s="653"/>
      <c r="S178" s="653"/>
      <c r="T178" s="65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316</v>
      </c>
      <c r="B179" s="63" t="s">
        <v>317</v>
      </c>
      <c r="C179" s="36">
        <v>4301031498</v>
      </c>
      <c r="D179" s="651">
        <v>4680115887398</v>
      </c>
      <c r="E179" s="651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84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3"/>
      <c r="R179" s="653"/>
      <c r="S179" s="653"/>
      <c r="T179" s="654"/>
      <c r="U179" s="39" t="s">
        <v>46</v>
      </c>
      <c r="V179" s="39" t="s">
        <v>46</v>
      </c>
      <c r="W179" s="40" t="s">
        <v>0</v>
      </c>
      <c r="X179" s="58">
        <v>360</v>
      </c>
      <c r="Y179" s="55">
        <f t="shared" si="10"/>
        <v>360.5</v>
      </c>
      <c r="Z179" s="41">
        <f>IFERROR(IF(Y179=0,"",ROUNDUP(Y179/H179,0)*0.00902),"")</f>
        <v>0.92906</v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379.54285714285714</v>
      </c>
      <c r="BN179" s="78">
        <f t="shared" si="12"/>
        <v>380.07</v>
      </c>
      <c r="BO179" s="78">
        <f t="shared" si="13"/>
        <v>0.77922077922077926</v>
      </c>
      <c r="BP179" s="78">
        <f t="shared" si="14"/>
        <v>0.78030303030303028</v>
      </c>
    </row>
    <row r="180" spans="1:68" ht="27" hidden="1" customHeight="1" x14ac:dyDescent="0.25">
      <c r="A180" s="63" t="s">
        <v>319</v>
      </c>
      <c r="B180" s="63" t="s">
        <v>320</v>
      </c>
      <c r="C180" s="36">
        <v>4301031497</v>
      </c>
      <c r="D180" s="651">
        <v>4680115887336</v>
      </c>
      <c r="E180" s="651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84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3"/>
      <c r="R180" s="653"/>
      <c r="S180" s="653"/>
      <c r="T180" s="65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customHeight="1" x14ac:dyDescent="0.25">
      <c r="A181" s="63" t="s">
        <v>322</v>
      </c>
      <c r="B181" s="63" t="s">
        <v>323</v>
      </c>
      <c r="C181" s="36">
        <v>4301032049</v>
      </c>
      <c r="D181" s="651">
        <v>4680115887787</v>
      </c>
      <c r="E181" s="651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3"/>
      <c r="R181" s="653"/>
      <c r="S181" s="653"/>
      <c r="T181" s="654"/>
      <c r="U181" s="39" t="s">
        <v>46</v>
      </c>
      <c r="V181" s="39" t="s">
        <v>46</v>
      </c>
      <c r="W181" s="40" t="s">
        <v>0</v>
      </c>
      <c r="X181" s="58">
        <v>6.3</v>
      </c>
      <c r="Y181" s="55">
        <f t="shared" si="10"/>
        <v>6.3</v>
      </c>
      <c r="Z181" s="41">
        <f>IFERROR(IF(Y181=0,"",ROUNDUP(Y181/H181,0)*0.00417),"")</f>
        <v>2.9190000000000001E-2</v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7.7700000000000005</v>
      </c>
      <c r="BN181" s="78">
        <f t="shared" si="12"/>
        <v>7.7700000000000005</v>
      </c>
      <c r="BO181" s="78">
        <f t="shared" si="13"/>
        <v>2.0833333333333332E-2</v>
      </c>
      <c r="BP181" s="78">
        <f t="shared" si="14"/>
        <v>2.0833333333333332E-2</v>
      </c>
    </row>
    <row r="182" spans="1:68" ht="27" customHeight="1" x14ac:dyDescent="0.25">
      <c r="A182" s="63" t="s">
        <v>325</v>
      </c>
      <c r="B182" s="63" t="s">
        <v>326</v>
      </c>
      <c r="C182" s="36">
        <v>4301031448</v>
      </c>
      <c r="D182" s="651">
        <v>4680115887503</v>
      </c>
      <c r="E182" s="65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5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3"/>
      <c r="R182" s="653"/>
      <c r="S182" s="653"/>
      <c r="T182" s="654"/>
      <c r="U182" s="39" t="s">
        <v>46</v>
      </c>
      <c r="V182" s="39" t="s">
        <v>46</v>
      </c>
      <c r="W182" s="40" t="s">
        <v>0</v>
      </c>
      <c r="X182" s="58">
        <v>224.00000000000003</v>
      </c>
      <c r="Y182" s="55">
        <f t="shared" si="10"/>
        <v>225.12</v>
      </c>
      <c r="Z182" s="41">
        <f>IFERROR(IF(Y182=0,"",ROUNDUP(Y182/H182,0)*0.00502),"")</f>
        <v>0.67268000000000006</v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237.3333333333334</v>
      </c>
      <c r="BN182" s="78">
        <f t="shared" si="12"/>
        <v>238.52000000000004</v>
      </c>
      <c r="BO182" s="78">
        <f t="shared" si="13"/>
        <v>0.56980056980056992</v>
      </c>
      <c r="BP182" s="78">
        <f t="shared" si="14"/>
        <v>0.57264957264957272</v>
      </c>
    </row>
    <row r="183" spans="1:68" ht="27" hidden="1" customHeight="1" x14ac:dyDescent="0.25">
      <c r="A183" s="63" t="s">
        <v>327</v>
      </c>
      <c r="B183" s="63" t="s">
        <v>328</v>
      </c>
      <c r="C183" s="36">
        <v>4301031389</v>
      </c>
      <c r="D183" s="651">
        <v>4680115887763</v>
      </c>
      <c r="E183" s="651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3"/>
      <c r="R183" s="653"/>
      <c r="S183" s="653"/>
      <c r="T183" s="65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327</v>
      </c>
      <c r="B184" s="63" t="s">
        <v>330</v>
      </c>
      <c r="C184" s="36">
        <v>4301031510</v>
      </c>
      <c r="D184" s="651">
        <v>4680115887763</v>
      </c>
      <c r="E184" s="651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4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53"/>
      <c r="R184" s="653"/>
      <c r="S184" s="653"/>
      <c r="T184" s="65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4301031454</v>
      </c>
      <c r="D185" s="651">
        <v>4680115887480</v>
      </c>
      <c r="E185" s="651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4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53"/>
      <c r="R185" s="653"/>
      <c r="S185" s="653"/>
      <c r="T185" s="654"/>
      <c r="U185" s="39" t="s">
        <v>46</v>
      </c>
      <c r="V185" s="39" t="s">
        <v>46</v>
      </c>
      <c r="W185" s="40" t="s">
        <v>0</v>
      </c>
      <c r="X185" s="58">
        <v>168.00000000000003</v>
      </c>
      <c r="Y185" s="55">
        <f t="shared" si="10"/>
        <v>168</v>
      </c>
      <c r="Z185" s="41">
        <f>IFERROR(IF(Y185=0,"",ROUNDUP(Y185/H185,0)*0.00502),"")</f>
        <v>0.502</v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178.00000000000006</v>
      </c>
      <c r="BN185" s="78">
        <f t="shared" si="12"/>
        <v>178.00000000000003</v>
      </c>
      <c r="BO185" s="78">
        <f t="shared" si="13"/>
        <v>0.42735042735042744</v>
      </c>
      <c r="BP185" s="78">
        <f t="shared" si="14"/>
        <v>0.42735042735042739</v>
      </c>
    </row>
    <row r="186" spans="1:68" ht="27" hidden="1" customHeight="1" x14ac:dyDescent="0.25">
      <c r="A186" s="63" t="s">
        <v>333</v>
      </c>
      <c r="B186" s="63" t="s">
        <v>334</v>
      </c>
      <c r="C186" s="36">
        <v>4301031434</v>
      </c>
      <c r="D186" s="651">
        <v>4680115888067</v>
      </c>
      <c r="E186" s="651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4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53"/>
      <c r="R186" s="653"/>
      <c r="S186" s="653"/>
      <c r="T186" s="654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customHeight="1" x14ac:dyDescent="0.25">
      <c r="A187" s="63" t="s">
        <v>336</v>
      </c>
      <c r="B187" s="63" t="s">
        <v>337</v>
      </c>
      <c r="C187" s="36">
        <v>4301031451</v>
      </c>
      <c r="D187" s="651">
        <v>4680115887435</v>
      </c>
      <c r="E187" s="651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4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53"/>
      <c r="R187" s="653"/>
      <c r="S187" s="653"/>
      <c r="T187" s="654"/>
      <c r="U187" s="39" t="s">
        <v>46</v>
      </c>
      <c r="V187" s="39" t="s">
        <v>46</v>
      </c>
      <c r="W187" s="40" t="s">
        <v>0</v>
      </c>
      <c r="X187" s="58">
        <v>140</v>
      </c>
      <c r="Y187" s="55">
        <f t="shared" si="10"/>
        <v>141.12</v>
      </c>
      <c r="Z187" s="41">
        <f>IFERROR(IF(Y187=0,"",ROUNDUP(Y187/H187,0)*0.00502),"")</f>
        <v>0.42168</v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148.33333333333334</v>
      </c>
      <c r="BN187" s="78">
        <f t="shared" si="12"/>
        <v>149.52000000000001</v>
      </c>
      <c r="BO187" s="78">
        <f t="shared" si="13"/>
        <v>0.35612535612535623</v>
      </c>
      <c r="BP187" s="78">
        <f t="shared" si="14"/>
        <v>0.35897435897435903</v>
      </c>
    </row>
    <row r="188" spans="1:68" x14ac:dyDescent="0.2">
      <c r="A188" s="645"/>
      <c r="B188" s="645"/>
      <c r="C188" s="645"/>
      <c r="D188" s="645"/>
      <c r="E188" s="645"/>
      <c r="F188" s="645"/>
      <c r="G188" s="645"/>
      <c r="H188" s="645"/>
      <c r="I188" s="645"/>
      <c r="J188" s="645"/>
      <c r="K188" s="645"/>
      <c r="L188" s="645"/>
      <c r="M188" s="645"/>
      <c r="N188" s="645"/>
      <c r="O188" s="646"/>
      <c r="P188" s="642" t="s">
        <v>40</v>
      </c>
      <c r="Q188" s="643"/>
      <c r="R188" s="643"/>
      <c r="S188" s="643"/>
      <c r="T188" s="643"/>
      <c r="U188" s="643"/>
      <c r="V188" s="64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426.52380952380952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428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2.5546099999999998</v>
      </c>
      <c r="AA188" s="67"/>
      <c r="AB188" s="67"/>
      <c r="AC188" s="67"/>
    </row>
    <row r="189" spans="1:68" x14ac:dyDescent="0.2">
      <c r="A189" s="645"/>
      <c r="B189" s="645"/>
      <c r="C189" s="645"/>
      <c r="D189" s="645"/>
      <c r="E189" s="645"/>
      <c r="F189" s="645"/>
      <c r="G189" s="645"/>
      <c r="H189" s="645"/>
      <c r="I189" s="645"/>
      <c r="J189" s="645"/>
      <c r="K189" s="645"/>
      <c r="L189" s="645"/>
      <c r="M189" s="645"/>
      <c r="N189" s="645"/>
      <c r="O189" s="646"/>
      <c r="P189" s="642" t="s">
        <v>40</v>
      </c>
      <c r="Q189" s="643"/>
      <c r="R189" s="643"/>
      <c r="S189" s="643"/>
      <c r="T189" s="643"/>
      <c r="U189" s="643"/>
      <c r="V189" s="644"/>
      <c r="W189" s="42" t="s">
        <v>0</v>
      </c>
      <c r="X189" s="43">
        <f>IFERROR(SUM(X177:X187),"0")</f>
        <v>898.30000000000007</v>
      </c>
      <c r="Y189" s="43">
        <f>IFERROR(SUM(Y177:Y187),"0")</f>
        <v>901.04000000000008</v>
      </c>
      <c r="Z189" s="42"/>
      <c r="AA189" s="67"/>
      <c r="AB189" s="67"/>
      <c r="AC189" s="67"/>
    </row>
    <row r="190" spans="1:68" ht="14.25" hidden="1" customHeight="1" x14ac:dyDescent="0.25">
      <c r="A190" s="656" t="s">
        <v>86</v>
      </c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6"/>
      <c r="P190" s="656"/>
      <c r="Q190" s="656"/>
      <c r="R190" s="656"/>
      <c r="S190" s="656"/>
      <c r="T190" s="656"/>
      <c r="U190" s="656"/>
      <c r="V190" s="656"/>
      <c r="W190" s="656"/>
      <c r="X190" s="656"/>
      <c r="Y190" s="656"/>
      <c r="Z190" s="656"/>
      <c r="AA190" s="66"/>
      <c r="AB190" s="66"/>
      <c r="AC190" s="80"/>
    </row>
    <row r="191" spans="1:68" ht="16.5" hidden="1" customHeight="1" x14ac:dyDescent="0.25">
      <c r="A191" s="63" t="s">
        <v>338</v>
      </c>
      <c r="B191" s="63" t="s">
        <v>339</v>
      </c>
      <c r="C191" s="36">
        <v>4301052193</v>
      </c>
      <c r="D191" s="651">
        <v>4680115888395</v>
      </c>
      <c r="E191" s="651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4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53"/>
      <c r="R191" s="653"/>
      <c r="S191" s="653"/>
      <c r="T191" s="654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341</v>
      </c>
      <c r="B192" s="63" t="s">
        <v>342</v>
      </c>
      <c r="C192" s="36">
        <v>4301052191</v>
      </c>
      <c r="D192" s="651">
        <v>4680115888371</v>
      </c>
      <c r="E192" s="651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4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53"/>
      <c r="R192" s="653"/>
      <c r="S192" s="653"/>
      <c r="T192" s="654"/>
      <c r="U192" s="39" t="s">
        <v>46</v>
      </c>
      <c r="V192" s="39" t="s">
        <v>46</v>
      </c>
      <c r="W192" s="40" t="s">
        <v>0</v>
      </c>
      <c r="X192" s="58">
        <v>84</v>
      </c>
      <c r="Y192" s="55">
        <f>IFERROR(IF(X192="",0,CEILING((X192/$H192),1)*$H192),"")</f>
        <v>85.68</v>
      </c>
      <c r="Z192" s="41">
        <f>IFERROR(IF(Y192=0,"",ROUNDUP(Y192/H192,0)*0.00651),"")</f>
        <v>0.22134000000000001</v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92.2</v>
      </c>
      <c r="BN192" s="78">
        <f>IFERROR(Y192*I192/H192,"0")</f>
        <v>94.044000000000011</v>
      </c>
      <c r="BO192" s="78">
        <f>IFERROR(1/J192*(X192/H192),"0")</f>
        <v>0.18315018315018317</v>
      </c>
      <c r="BP192" s="78">
        <f>IFERROR(1/J192*(Y192/H192),"0")</f>
        <v>0.18681318681318682</v>
      </c>
    </row>
    <row r="193" spans="1:68" ht="27" hidden="1" customHeight="1" x14ac:dyDescent="0.25">
      <c r="A193" s="63" t="s">
        <v>344</v>
      </c>
      <c r="B193" s="63" t="s">
        <v>345</v>
      </c>
      <c r="C193" s="36">
        <v>4301052064</v>
      </c>
      <c r="D193" s="651">
        <v>4680115887459</v>
      </c>
      <c r="E193" s="651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4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53"/>
      <c r="R193" s="653"/>
      <c r="S193" s="653"/>
      <c r="T193" s="65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45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42" t="s">
        <v>40</v>
      </c>
      <c r="Q194" s="643"/>
      <c r="R194" s="643"/>
      <c r="S194" s="643"/>
      <c r="T194" s="643"/>
      <c r="U194" s="643"/>
      <c r="V194" s="644"/>
      <c r="W194" s="42" t="s">
        <v>39</v>
      </c>
      <c r="X194" s="43">
        <f>IFERROR(X191/H191,"0")+IFERROR(X192/H192,"0")+IFERROR(X193/H193,"0")</f>
        <v>33.333333333333336</v>
      </c>
      <c r="Y194" s="43">
        <f>IFERROR(Y191/H191,"0")+IFERROR(Y192/H192,"0")+IFERROR(Y193/H193,"0")</f>
        <v>34</v>
      </c>
      <c r="Z194" s="43">
        <f>IFERROR(IF(Z191="",0,Z191),"0")+IFERROR(IF(Z192="",0,Z192),"0")+IFERROR(IF(Z193="",0,Z193),"0")</f>
        <v>0.22134000000000001</v>
      </c>
      <c r="AA194" s="67"/>
      <c r="AB194" s="67"/>
      <c r="AC194" s="67"/>
    </row>
    <row r="195" spans="1:68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42" t="s">
        <v>40</v>
      </c>
      <c r="Q195" s="643"/>
      <c r="R195" s="643"/>
      <c r="S195" s="643"/>
      <c r="T195" s="643"/>
      <c r="U195" s="643"/>
      <c r="V195" s="644"/>
      <c r="W195" s="42" t="s">
        <v>0</v>
      </c>
      <c r="X195" s="43">
        <f>IFERROR(SUM(X191:X193),"0")</f>
        <v>84</v>
      </c>
      <c r="Y195" s="43">
        <f>IFERROR(SUM(Y191:Y193),"0")</f>
        <v>85.68</v>
      </c>
      <c r="Z195" s="42"/>
      <c r="AA195" s="67"/>
      <c r="AB195" s="67"/>
      <c r="AC195" s="67"/>
    </row>
    <row r="196" spans="1:68" ht="14.25" hidden="1" customHeight="1" x14ac:dyDescent="0.25">
      <c r="A196" s="656" t="s">
        <v>104</v>
      </c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6"/>
      <c r="P196" s="656"/>
      <c r="Q196" s="656"/>
      <c r="R196" s="656"/>
      <c r="S196" s="656"/>
      <c r="T196" s="656"/>
      <c r="U196" s="656"/>
      <c r="V196" s="656"/>
      <c r="W196" s="656"/>
      <c r="X196" s="656"/>
      <c r="Y196" s="656"/>
      <c r="Z196" s="656"/>
      <c r="AA196" s="66"/>
      <c r="AB196" s="66"/>
      <c r="AC196" s="80"/>
    </row>
    <row r="197" spans="1:68" ht="16.5" hidden="1" customHeight="1" x14ac:dyDescent="0.25">
      <c r="A197" s="63" t="s">
        <v>347</v>
      </c>
      <c r="B197" s="63" t="s">
        <v>348</v>
      </c>
      <c r="C197" s="36">
        <v>4301032058</v>
      </c>
      <c r="D197" s="651">
        <v>4680115889026</v>
      </c>
      <c r="E197" s="651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3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53"/>
      <c r="R197" s="653"/>
      <c r="S197" s="653"/>
      <c r="T197" s="654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351</v>
      </c>
      <c r="B198" s="63" t="s">
        <v>352</v>
      </c>
      <c r="C198" s="36">
        <v>4301032057</v>
      </c>
      <c r="D198" s="651">
        <v>4680115889088</v>
      </c>
      <c r="E198" s="651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3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53"/>
      <c r="R198" s="653"/>
      <c r="S198" s="653"/>
      <c r="T198" s="65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42" t="s">
        <v>40</v>
      </c>
      <c r="Q199" s="643"/>
      <c r="R199" s="643"/>
      <c r="S199" s="643"/>
      <c r="T199" s="643"/>
      <c r="U199" s="643"/>
      <c r="V199" s="644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645"/>
      <c r="B200" s="645"/>
      <c r="C200" s="645"/>
      <c r="D200" s="645"/>
      <c r="E200" s="645"/>
      <c r="F200" s="645"/>
      <c r="G200" s="645"/>
      <c r="H200" s="645"/>
      <c r="I200" s="645"/>
      <c r="J200" s="645"/>
      <c r="K200" s="645"/>
      <c r="L200" s="645"/>
      <c r="M200" s="645"/>
      <c r="N200" s="645"/>
      <c r="O200" s="646"/>
      <c r="P200" s="642" t="s">
        <v>40</v>
      </c>
      <c r="Q200" s="643"/>
      <c r="R200" s="643"/>
      <c r="S200" s="643"/>
      <c r="T200" s="643"/>
      <c r="U200" s="643"/>
      <c r="V200" s="644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656" t="s">
        <v>354</v>
      </c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6"/>
      <c r="P201" s="656"/>
      <c r="Q201" s="656"/>
      <c r="R201" s="656"/>
      <c r="S201" s="656"/>
      <c r="T201" s="656"/>
      <c r="U201" s="656"/>
      <c r="V201" s="656"/>
      <c r="W201" s="656"/>
      <c r="X201" s="656"/>
      <c r="Y201" s="656"/>
      <c r="Z201" s="656"/>
      <c r="AA201" s="66"/>
      <c r="AB201" s="66"/>
      <c r="AC201" s="80"/>
    </row>
    <row r="202" spans="1:68" ht="27" hidden="1" customHeight="1" x14ac:dyDescent="0.25">
      <c r="A202" s="63" t="s">
        <v>355</v>
      </c>
      <c r="B202" s="63" t="s">
        <v>356</v>
      </c>
      <c r="C202" s="36">
        <v>4301041009</v>
      </c>
      <c r="D202" s="651">
        <v>4680115889033</v>
      </c>
      <c r="E202" s="651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3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53"/>
      <c r="R202" s="653"/>
      <c r="S202" s="653"/>
      <c r="T202" s="654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645"/>
      <c r="B203" s="645"/>
      <c r="C203" s="645"/>
      <c r="D203" s="645"/>
      <c r="E203" s="645"/>
      <c r="F203" s="645"/>
      <c r="G203" s="645"/>
      <c r="H203" s="645"/>
      <c r="I203" s="645"/>
      <c r="J203" s="645"/>
      <c r="K203" s="645"/>
      <c r="L203" s="645"/>
      <c r="M203" s="645"/>
      <c r="N203" s="645"/>
      <c r="O203" s="646"/>
      <c r="P203" s="642" t="s">
        <v>40</v>
      </c>
      <c r="Q203" s="643"/>
      <c r="R203" s="643"/>
      <c r="S203" s="643"/>
      <c r="T203" s="643"/>
      <c r="U203" s="643"/>
      <c r="V203" s="644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645"/>
      <c r="B204" s="645"/>
      <c r="C204" s="645"/>
      <c r="D204" s="645"/>
      <c r="E204" s="645"/>
      <c r="F204" s="645"/>
      <c r="G204" s="645"/>
      <c r="H204" s="645"/>
      <c r="I204" s="645"/>
      <c r="J204" s="645"/>
      <c r="K204" s="645"/>
      <c r="L204" s="645"/>
      <c r="M204" s="645"/>
      <c r="N204" s="645"/>
      <c r="O204" s="646"/>
      <c r="P204" s="642" t="s">
        <v>40</v>
      </c>
      <c r="Q204" s="643"/>
      <c r="R204" s="643"/>
      <c r="S204" s="643"/>
      <c r="T204" s="643"/>
      <c r="U204" s="643"/>
      <c r="V204" s="644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662" t="s">
        <v>358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54"/>
      <c r="AB205" s="54"/>
      <c r="AC205" s="54"/>
    </row>
    <row r="206" spans="1:68" ht="16.5" hidden="1" customHeight="1" x14ac:dyDescent="0.25">
      <c r="A206" s="655" t="s">
        <v>359</v>
      </c>
      <c r="B206" s="655"/>
      <c r="C206" s="655"/>
      <c r="D206" s="655"/>
      <c r="E206" s="655"/>
      <c r="F206" s="655"/>
      <c r="G206" s="655"/>
      <c r="H206" s="655"/>
      <c r="I206" s="655"/>
      <c r="J206" s="655"/>
      <c r="K206" s="655"/>
      <c r="L206" s="655"/>
      <c r="M206" s="655"/>
      <c r="N206" s="655"/>
      <c r="O206" s="655"/>
      <c r="P206" s="655"/>
      <c r="Q206" s="655"/>
      <c r="R206" s="655"/>
      <c r="S206" s="655"/>
      <c r="T206" s="655"/>
      <c r="U206" s="655"/>
      <c r="V206" s="655"/>
      <c r="W206" s="655"/>
      <c r="X206" s="655"/>
      <c r="Y206" s="655"/>
      <c r="Z206" s="655"/>
      <c r="AA206" s="65"/>
      <c r="AB206" s="65"/>
      <c r="AC206" s="79"/>
    </row>
    <row r="207" spans="1:68" ht="14.25" hidden="1" customHeight="1" x14ac:dyDescent="0.25">
      <c r="A207" s="656" t="s">
        <v>128</v>
      </c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6"/>
      <c r="P207" s="656"/>
      <c r="Q207" s="656"/>
      <c r="R207" s="656"/>
      <c r="S207" s="656"/>
      <c r="T207" s="656"/>
      <c r="U207" s="656"/>
      <c r="V207" s="656"/>
      <c r="W207" s="656"/>
      <c r="X207" s="656"/>
      <c r="Y207" s="656"/>
      <c r="Z207" s="656"/>
      <c r="AA207" s="66"/>
      <c r="AB207" s="66"/>
      <c r="AC207" s="80"/>
    </row>
    <row r="208" spans="1:68" ht="27" hidden="1" customHeight="1" x14ac:dyDescent="0.25">
      <c r="A208" s="63" t="s">
        <v>360</v>
      </c>
      <c r="B208" s="63" t="s">
        <v>361</v>
      </c>
      <c r="C208" s="36">
        <v>4301011223</v>
      </c>
      <c r="D208" s="651">
        <v>4607091383423</v>
      </c>
      <c r="E208" s="651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53"/>
      <c r="R208" s="653"/>
      <c r="S208" s="653"/>
      <c r="T208" s="65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4301012340</v>
      </c>
      <c r="D209" s="651">
        <v>4680115888760</v>
      </c>
      <c r="E209" s="651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3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53"/>
      <c r="R209" s="653"/>
      <c r="S209" s="653"/>
      <c r="T209" s="65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365</v>
      </c>
      <c r="B210" s="63" t="s">
        <v>366</v>
      </c>
      <c r="C210" s="36">
        <v>4301012341</v>
      </c>
      <c r="D210" s="651">
        <v>4680115888807</v>
      </c>
      <c r="E210" s="651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3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53"/>
      <c r="R210" s="653"/>
      <c r="S210" s="653"/>
      <c r="T210" s="65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368</v>
      </c>
      <c r="B211" s="63" t="s">
        <v>369</v>
      </c>
      <c r="C211" s="36">
        <v>4301012342</v>
      </c>
      <c r="D211" s="651">
        <v>4680115888852</v>
      </c>
      <c r="E211" s="651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53"/>
      <c r="R211" s="653"/>
      <c r="S211" s="653"/>
      <c r="T211" s="654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371</v>
      </c>
      <c r="B212" s="63" t="s">
        <v>372</v>
      </c>
      <c r="C212" s="36">
        <v>4301012370</v>
      </c>
      <c r="D212" s="651">
        <v>4680115886957</v>
      </c>
      <c r="E212" s="651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53"/>
      <c r="R212" s="653"/>
      <c r="S212" s="653"/>
      <c r="T212" s="654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374</v>
      </c>
      <c r="B213" s="63" t="s">
        <v>375</v>
      </c>
      <c r="C213" s="36">
        <v>4301012098</v>
      </c>
      <c r="D213" s="651">
        <v>4680115885660</v>
      </c>
      <c r="E213" s="651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3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53"/>
      <c r="R213" s="653"/>
      <c r="S213" s="653"/>
      <c r="T213" s="65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377</v>
      </c>
      <c r="B214" s="63" t="s">
        <v>378</v>
      </c>
      <c r="C214" s="36">
        <v>4301012369</v>
      </c>
      <c r="D214" s="651">
        <v>4680115886773</v>
      </c>
      <c r="E214" s="651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53"/>
      <c r="R214" s="653"/>
      <c r="S214" s="653"/>
      <c r="T214" s="65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645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42" t="s">
        <v>40</v>
      </c>
      <c r="Q215" s="643"/>
      <c r="R215" s="643"/>
      <c r="S215" s="643"/>
      <c r="T215" s="643"/>
      <c r="U215" s="643"/>
      <c r="V215" s="644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42" t="s">
        <v>40</v>
      </c>
      <c r="Q216" s="643"/>
      <c r="R216" s="643"/>
      <c r="S216" s="643"/>
      <c r="T216" s="643"/>
      <c r="U216" s="643"/>
      <c r="V216" s="644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655" t="s">
        <v>380</v>
      </c>
      <c r="B217" s="655"/>
      <c r="C217" s="655"/>
      <c r="D217" s="655"/>
      <c r="E217" s="655"/>
      <c r="F217" s="655"/>
      <c r="G217" s="655"/>
      <c r="H217" s="655"/>
      <c r="I217" s="655"/>
      <c r="J217" s="655"/>
      <c r="K217" s="655"/>
      <c r="L217" s="655"/>
      <c r="M217" s="655"/>
      <c r="N217" s="655"/>
      <c r="O217" s="655"/>
      <c r="P217" s="655"/>
      <c r="Q217" s="655"/>
      <c r="R217" s="655"/>
      <c r="S217" s="655"/>
      <c r="T217" s="655"/>
      <c r="U217" s="655"/>
      <c r="V217" s="655"/>
      <c r="W217" s="655"/>
      <c r="X217" s="655"/>
      <c r="Y217" s="655"/>
      <c r="Z217" s="655"/>
      <c r="AA217" s="65"/>
      <c r="AB217" s="65"/>
      <c r="AC217" s="79"/>
    </row>
    <row r="218" spans="1:68" ht="14.25" hidden="1" customHeight="1" x14ac:dyDescent="0.25">
      <c r="A218" s="656" t="s">
        <v>164</v>
      </c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6"/>
      <c r="P218" s="656"/>
      <c r="Q218" s="656"/>
      <c r="R218" s="656"/>
      <c r="S218" s="656"/>
      <c r="T218" s="656"/>
      <c r="U218" s="656"/>
      <c r="V218" s="656"/>
      <c r="W218" s="656"/>
      <c r="X218" s="656"/>
      <c r="Y218" s="656"/>
      <c r="Z218" s="656"/>
      <c r="AA218" s="66"/>
      <c r="AB218" s="66"/>
      <c r="AC218" s="80"/>
    </row>
    <row r="219" spans="1:68" ht="27" hidden="1" customHeight="1" x14ac:dyDescent="0.25">
      <c r="A219" s="63" t="s">
        <v>381</v>
      </c>
      <c r="B219" s="63" t="s">
        <v>382</v>
      </c>
      <c r="C219" s="36">
        <v>4301020323</v>
      </c>
      <c r="D219" s="651">
        <v>4680115886223</v>
      </c>
      <c r="E219" s="651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53"/>
      <c r="R219" s="653"/>
      <c r="S219" s="653"/>
      <c r="T219" s="654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645"/>
      <c r="B220" s="645"/>
      <c r="C220" s="645"/>
      <c r="D220" s="645"/>
      <c r="E220" s="645"/>
      <c r="F220" s="645"/>
      <c r="G220" s="645"/>
      <c r="H220" s="645"/>
      <c r="I220" s="645"/>
      <c r="J220" s="645"/>
      <c r="K220" s="645"/>
      <c r="L220" s="645"/>
      <c r="M220" s="645"/>
      <c r="N220" s="645"/>
      <c r="O220" s="646"/>
      <c r="P220" s="642" t="s">
        <v>40</v>
      </c>
      <c r="Q220" s="643"/>
      <c r="R220" s="643"/>
      <c r="S220" s="643"/>
      <c r="T220" s="643"/>
      <c r="U220" s="643"/>
      <c r="V220" s="644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645"/>
      <c r="B221" s="645"/>
      <c r="C221" s="645"/>
      <c r="D221" s="645"/>
      <c r="E221" s="645"/>
      <c r="F221" s="645"/>
      <c r="G221" s="645"/>
      <c r="H221" s="645"/>
      <c r="I221" s="645"/>
      <c r="J221" s="645"/>
      <c r="K221" s="645"/>
      <c r="L221" s="645"/>
      <c r="M221" s="645"/>
      <c r="N221" s="645"/>
      <c r="O221" s="646"/>
      <c r="P221" s="642" t="s">
        <v>40</v>
      </c>
      <c r="Q221" s="643"/>
      <c r="R221" s="643"/>
      <c r="S221" s="643"/>
      <c r="T221" s="643"/>
      <c r="U221" s="643"/>
      <c r="V221" s="644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656" t="s">
        <v>77</v>
      </c>
      <c r="B222" s="656"/>
      <c r="C222" s="656"/>
      <c r="D222" s="656"/>
      <c r="E222" s="656"/>
      <c r="F222" s="656"/>
      <c r="G222" s="656"/>
      <c r="H222" s="656"/>
      <c r="I222" s="656"/>
      <c r="J222" s="656"/>
      <c r="K222" s="656"/>
      <c r="L222" s="656"/>
      <c r="M222" s="656"/>
      <c r="N222" s="656"/>
      <c r="O222" s="656"/>
      <c r="P222" s="656"/>
      <c r="Q222" s="656"/>
      <c r="R222" s="656"/>
      <c r="S222" s="656"/>
      <c r="T222" s="656"/>
      <c r="U222" s="656"/>
      <c r="V222" s="656"/>
      <c r="W222" s="656"/>
      <c r="X222" s="656"/>
      <c r="Y222" s="656"/>
      <c r="Z222" s="656"/>
      <c r="AA222" s="66"/>
      <c r="AB222" s="66"/>
      <c r="AC222" s="80"/>
    </row>
    <row r="223" spans="1:68" ht="27" customHeight="1" x14ac:dyDescent="0.25">
      <c r="A223" s="63" t="s">
        <v>384</v>
      </c>
      <c r="B223" s="63" t="s">
        <v>385</v>
      </c>
      <c r="C223" s="36">
        <v>4301031191</v>
      </c>
      <c r="D223" s="651">
        <v>4680115880993</v>
      </c>
      <c r="E223" s="651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53"/>
      <c r="R223" s="653"/>
      <c r="S223" s="653"/>
      <c r="T223" s="654"/>
      <c r="U223" s="39" t="s">
        <v>46</v>
      </c>
      <c r="V223" s="39" t="s">
        <v>46</v>
      </c>
      <c r="W223" s="40" t="s">
        <v>0</v>
      </c>
      <c r="X223" s="58">
        <v>100</v>
      </c>
      <c r="Y223" s="55">
        <f t="shared" ref="Y223:Y236" si="21">IFERROR(IF(X223="",0,CEILING((X223/$H223),1)*$H223),"")</f>
        <v>100.80000000000001</v>
      </c>
      <c r="Z223" s="41">
        <f>IFERROR(IF(Y223=0,"",ROUNDUP(Y223/H223,0)*0.00902),"")</f>
        <v>0.21648000000000001</v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105.95238095238095</v>
      </c>
      <c r="BN223" s="78">
        <f t="shared" ref="BN223:BN236" si="23">IFERROR(Y223*I223/H223,"0")</f>
        <v>106.80000000000001</v>
      </c>
      <c r="BO223" s="78">
        <f t="shared" ref="BO223:BO236" si="24">IFERROR(1/J223*(X223/H223),"0")</f>
        <v>0.18037518037518038</v>
      </c>
      <c r="BP223" s="78">
        <f t="shared" ref="BP223:BP236" si="25">IFERROR(1/J223*(Y223/H223),"0")</f>
        <v>0.18181818181818182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4301031204</v>
      </c>
      <c r="D224" s="651">
        <v>4680115881761</v>
      </c>
      <c r="E224" s="651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53"/>
      <c r="R224" s="653"/>
      <c r="S224" s="653"/>
      <c r="T224" s="65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390</v>
      </c>
      <c r="B225" s="63" t="s">
        <v>391</v>
      </c>
      <c r="C225" s="36">
        <v>4301031201</v>
      </c>
      <c r="D225" s="651">
        <v>4680115881563</v>
      </c>
      <c r="E225" s="651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53"/>
      <c r="R225" s="653"/>
      <c r="S225" s="653"/>
      <c r="T225" s="654"/>
      <c r="U225" s="39" t="s">
        <v>46</v>
      </c>
      <c r="V225" s="39" t="s">
        <v>46</v>
      </c>
      <c r="W225" s="40" t="s">
        <v>0</v>
      </c>
      <c r="X225" s="58">
        <v>50</v>
      </c>
      <c r="Y225" s="55">
        <f t="shared" si="21"/>
        <v>50.400000000000006</v>
      </c>
      <c r="Z225" s="41">
        <f>IFERROR(IF(Y225=0,"",ROUNDUP(Y225/H225,0)*0.00902),"")</f>
        <v>0.10824</v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52.261904761904752</v>
      </c>
      <c r="BN225" s="78">
        <f t="shared" si="23"/>
        <v>52.68</v>
      </c>
      <c r="BO225" s="78">
        <f t="shared" si="24"/>
        <v>9.0187590187590191E-2</v>
      </c>
      <c r="BP225" s="78">
        <f t="shared" si="25"/>
        <v>9.0909090909090912E-2</v>
      </c>
    </row>
    <row r="226" spans="1:68" ht="37.5" hidden="1" customHeight="1" x14ac:dyDescent="0.25">
      <c r="A226" s="63" t="s">
        <v>393</v>
      </c>
      <c r="B226" s="63" t="s">
        <v>394</v>
      </c>
      <c r="C226" s="36">
        <v>4301031447</v>
      </c>
      <c r="D226" s="651">
        <v>4680115887565</v>
      </c>
      <c r="E226" s="651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53"/>
      <c r="R226" s="653"/>
      <c r="S226" s="653"/>
      <c r="T226" s="65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4301031199</v>
      </c>
      <c r="D227" s="651">
        <v>4680115880986</v>
      </c>
      <c r="E227" s="651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53"/>
      <c r="R227" s="653"/>
      <c r="S227" s="653"/>
      <c r="T227" s="654"/>
      <c r="U227" s="39" t="s">
        <v>46</v>
      </c>
      <c r="V227" s="39" t="s">
        <v>46</v>
      </c>
      <c r="W227" s="40" t="s">
        <v>0</v>
      </c>
      <c r="X227" s="58">
        <v>140</v>
      </c>
      <c r="Y227" s="55">
        <f t="shared" si="21"/>
        <v>140.70000000000002</v>
      </c>
      <c r="Z227" s="41">
        <f t="shared" ref="Z227:Z232" si="26">IFERROR(IF(Y227=0,"",ROUNDUP(Y227/H227,0)*0.00502),"")</f>
        <v>0.33634000000000003</v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148.66666666666666</v>
      </c>
      <c r="BN227" s="78">
        <f t="shared" si="23"/>
        <v>149.41</v>
      </c>
      <c r="BO227" s="78">
        <f t="shared" si="24"/>
        <v>0.28490028490028491</v>
      </c>
      <c r="BP227" s="78">
        <f t="shared" si="25"/>
        <v>0.28632478632478636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4301031443</v>
      </c>
      <c r="D228" s="651">
        <v>4680115887213</v>
      </c>
      <c r="E228" s="651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53"/>
      <c r="R228" s="653"/>
      <c r="S228" s="653"/>
      <c r="T228" s="65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4301031205</v>
      </c>
      <c r="D229" s="651">
        <v>4680115881785</v>
      </c>
      <c r="E229" s="651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53"/>
      <c r="R229" s="653"/>
      <c r="S229" s="653"/>
      <c r="T229" s="654"/>
      <c r="U229" s="39" t="s">
        <v>46</v>
      </c>
      <c r="V229" s="39" t="s">
        <v>46</v>
      </c>
      <c r="W229" s="40" t="s">
        <v>0</v>
      </c>
      <c r="X229" s="58">
        <v>244.99999999999997</v>
      </c>
      <c r="Y229" s="55">
        <f t="shared" si="21"/>
        <v>245.70000000000002</v>
      </c>
      <c r="Z229" s="41">
        <f t="shared" si="26"/>
        <v>0.58733999999999997</v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260.16666666666663</v>
      </c>
      <c r="BN229" s="78">
        <f t="shared" si="23"/>
        <v>260.91000000000003</v>
      </c>
      <c r="BO229" s="78">
        <f t="shared" si="24"/>
        <v>0.49857549857549854</v>
      </c>
      <c r="BP229" s="78">
        <f t="shared" si="25"/>
        <v>0.5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4301031499</v>
      </c>
      <c r="D230" s="651">
        <v>4680115888432</v>
      </c>
      <c r="E230" s="651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53"/>
      <c r="R230" s="653"/>
      <c r="S230" s="653"/>
      <c r="T230" s="65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406</v>
      </c>
      <c r="B231" s="63" t="s">
        <v>407</v>
      </c>
      <c r="C231" s="36">
        <v>4301031427</v>
      </c>
      <c r="D231" s="651">
        <v>4680115888104</v>
      </c>
      <c r="E231" s="651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1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53"/>
      <c r="R231" s="653"/>
      <c r="S231" s="653"/>
      <c r="T231" s="65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409</v>
      </c>
      <c r="B232" s="63" t="s">
        <v>410</v>
      </c>
      <c r="C232" s="36">
        <v>4301031399</v>
      </c>
      <c r="D232" s="651">
        <v>4680115886537</v>
      </c>
      <c r="E232" s="651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1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53"/>
      <c r="R232" s="653"/>
      <c r="S232" s="653"/>
      <c r="T232" s="65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4301031279</v>
      </c>
      <c r="D233" s="651">
        <v>4680115887596</v>
      </c>
      <c r="E233" s="651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1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53"/>
      <c r="R233" s="653"/>
      <c r="S233" s="653"/>
      <c r="T233" s="654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customHeight="1" x14ac:dyDescent="0.25">
      <c r="A234" s="63" t="s">
        <v>415</v>
      </c>
      <c r="B234" s="63" t="s">
        <v>416</v>
      </c>
      <c r="C234" s="36">
        <v>4301031202</v>
      </c>
      <c r="D234" s="651">
        <v>4680115881679</v>
      </c>
      <c r="E234" s="651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1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53"/>
      <c r="R234" s="653"/>
      <c r="S234" s="653"/>
      <c r="T234" s="654"/>
      <c r="U234" s="39" t="s">
        <v>46</v>
      </c>
      <c r="V234" s="39" t="s">
        <v>46</v>
      </c>
      <c r="W234" s="40" t="s">
        <v>0</v>
      </c>
      <c r="X234" s="58">
        <v>105</v>
      </c>
      <c r="Y234" s="55">
        <f t="shared" si="21"/>
        <v>105</v>
      </c>
      <c r="Z234" s="41">
        <f>IFERROR(IF(Y234=0,"",ROUNDUP(Y234/H234,0)*0.00502),"")</f>
        <v>0.251</v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110.00000000000001</v>
      </c>
      <c r="BN234" s="78">
        <f t="shared" si="23"/>
        <v>110.00000000000001</v>
      </c>
      <c r="BO234" s="78">
        <f t="shared" si="24"/>
        <v>0.21367521367521369</v>
      </c>
      <c r="BP234" s="78">
        <f t="shared" si="25"/>
        <v>0.21367521367521369</v>
      </c>
    </row>
    <row r="235" spans="1:68" ht="27" hidden="1" customHeight="1" x14ac:dyDescent="0.25">
      <c r="A235" s="63" t="s">
        <v>417</v>
      </c>
      <c r="B235" s="63" t="s">
        <v>418</v>
      </c>
      <c r="C235" s="36">
        <v>4301031158</v>
      </c>
      <c r="D235" s="651">
        <v>4680115880191</v>
      </c>
      <c r="E235" s="651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2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53"/>
      <c r="R235" s="653"/>
      <c r="S235" s="653"/>
      <c r="T235" s="654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419</v>
      </c>
      <c r="B236" s="63" t="s">
        <v>420</v>
      </c>
      <c r="C236" s="36">
        <v>4301031245</v>
      </c>
      <c r="D236" s="651">
        <v>4680115883963</v>
      </c>
      <c r="E236" s="651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53"/>
      <c r="R236" s="653"/>
      <c r="S236" s="653"/>
      <c r="T236" s="65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645"/>
      <c r="B237" s="645"/>
      <c r="C237" s="645"/>
      <c r="D237" s="645"/>
      <c r="E237" s="645"/>
      <c r="F237" s="645"/>
      <c r="G237" s="645"/>
      <c r="H237" s="645"/>
      <c r="I237" s="645"/>
      <c r="J237" s="645"/>
      <c r="K237" s="645"/>
      <c r="L237" s="645"/>
      <c r="M237" s="645"/>
      <c r="N237" s="645"/>
      <c r="O237" s="646"/>
      <c r="P237" s="642" t="s">
        <v>40</v>
      </c>
      <c r="Q237" s="643"/>
      <c r="R237" s="643"/>
      <c r="S237" s="643"/>
      <c r="T237" s="643"/>
      <c r="U237" s="643"/>
      <c r="V237" s="644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269.04761904761904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270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1.4994000000000001</v>
      </c>
      <c r="AA237" s="67"/>
      <c r="AB237" s="67"/>
      <c r="AC237" s="67"/>
    </row>
    <row r="238" spans="1:68" x14ac:dyDescent="0.2">
      <c r="A238" s="645"/>
      <c r="B238" s="645"/>
      <c r="C238" s="645"/>
      <c r="D238" s="645"/>
      <c r="E238" s="645"/>
      <c r="F238" s="645"/>
      <c r="G238" s="645"/>
      <c r="H238" s="645"/>
      <c r="I238" s="645"/>
      <c r="J238" s="645"/>
      <c r="K238" s="645"/>
      <c r="L238" s="645"/>
      <c r="M238" s="645"/>
      <c r="N238" s="645"/>
      <c r="O238" s="646"/>
      <c r="P238" s="642" t="s">
        <v>40</v>
      </c>
      <c r="Q238" s="643"/>
      <c r="R238" s="643"/>
      <c r="S238" s="643"/>
      <c r="T238" s="643"/>
      <c r="U238" s="643"/>
      <c r="V238" s="644"/>
      <c r="W238" s="42" t="s">
        <v>0</v>
      </c>
      <c r="X238" s="43">
        <f>IFERROR(SUM(X223:X236),"0")</f>
        <v>640</v>
      </c>
      <c r="Y238" s="43">
        <f>IFERROR(SUM(Y223:Y236),"0")</f>
        <v>642.6</v>
      </c>
      <c r="Z238" s="42"/>
      <c r="AA238" s="67"/>
      <c r="AB238" s="67"/>
      <c r="AC238" s="67"/>
    </row>
    <row r="239" spans="1:68" ht="14.25" hidden="1" customHeight="1" x14ac:dyDescent="0.25">
      <c r="A239" s="656" t="s">
        <v>86</v>
      </c>
      <c r="B239" s="656"/>
      <c r="C239" s="656"/>
      <c r="D239" s="656"/>
      <c r="E239" s="656"/>
      <c r="F239" s="656"/>
      <c r="G239" s="656"/>
      <c r="H239" s="656"/>
      <c r="I239" s="656"/>
      <c r="J239" s="656"/>
      <c r="K239" s="656"/>
      <c r="L239" s="656"/>
      <c r="M239" s="656"/>
      <c r="N239" s="656"/>
      <c r="O239" s="656"/>
      <c r="P239" s="656"/>
      <c r="Q239" s="656"/>
      <c r="R239" s="656"/>
      <c r="S239" s="656"/>
      <c r="T239" s="656"/>
      <c r="U239" s="656"/>
      <c r="V239" s="656"/>
      <c r="W239" s="656"/>
      <c r="X239" s="656"/>
      <c r="Y239" s="656"/>
      <c r="Z239" s="656"/>
      <c r="AA239" s="66"/>
      <c r="AB239" s="66"/>
      <c r="AC239" s="80"/>
    </row>
    <row r="240" spans="1:68" ht="16.5" hidden="1" customHeight="1" x14ac:dyDescent="0.25">
      <c r="A240" s="63" t="s">
        <v>422</v>
      </c>
      <c r="B240" s="63" t="s">
        <v>423</v>
      </c>
      <c r="C240" s="36">
        <v>4301052209</v>
      </c>
      <c r="D240" s="651">
        <v>4680115888692</v>
      </c>
      <c r="E240" s="651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1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53"/>
      <c r="R240" s="653"/>
      <c r="S240" s="653"/>
      <c r="T240" s="65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425</v>
      </c>
      <c r="B241" s="63" t="s">
        <v>426</v>
      </c>
      <c r="C241" s="36">
        <v>4301052213</v>
      </c>
      <c r="D241" s="651">
        <v>4680115888722</v>
      </c>
      <c r="E241" s="651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1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3"/>
      <c r="R241" s="653"/>
      <c r="S241" s="653"/>
      <c r="T241" s="654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428</v>
      </c>
      <c r="B242" s="63" t="s">
        <v>429</v>
      </c>
      <c r="C242" s="36">
        <v>4301052177</v>
      </c>
      <c r="D242" s="651">
        <v>4680115888951</v>
      </c>
      <c r="E242" s="651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3"/>
      <c r="R242" s="653"/>
      <c r="S242" s="653"/>
      <c r="T242" s="654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4301052178</v>
      </c>
      <c r="D243" s="651">
        <v>4680115888975</v>
      </c>
      <c r="E243" s="651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1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53"/>
      <c r="R243" s="653"/>
      <c r="S243" s="653"/>
      <c r="T243" s="654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434</v>
      </c>
      <c r="B244" s="63" t="s">
        <v>435</v>
      </c>
      <c r="C244" s="36">
        <v>4301052176</v>
      </c>
      <c r="D244" s="651">
        <v>4680115888982</v>
      </c>
      <c r="E244" s="651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1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3"/>
      <c r="R244" s="653"/>
      <c r="S244" s="653"/>
      <c r="T244" s="65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45"/>
      <c r="B245" s="645"/>
      <c r="C245" s="645"/>
      <c r="D245" s="645"/>
      <c r="E245" s="645"/>
      <c r="F245" s="645"/>
      <c r="G245" s="645"/>
      <c r="H245" s="645"/>
      <c r="I245" s="645"/>
      <c r="J245" s="645"/>
      <c r="K245" s="645"/>
      <c r="L245" s="645"/>
      <c r="M245" s="645"/>
      <c r="N245" s="645"/>
      <c r="O245" s="646"/>
      <c r="P245" s="642" t="s">
        <v>40</v>
      </c>
      <c r="Q245" s="643"/>
      <c r="R245" s="643"/>
      <c r="S245" s="643"/>
      <c r="T245" s="643"/>
      <c r="U245" s="643"/>
      <c r="V245" s="644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645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42" t="s">
        <v>40</v>
      </c>
      <c r="Q246" s="643"/>
      <c r="R246" s="643"/>
      <c r="S246" s="643"/>
      <c r="T246" s="643"/>
      <c r="U246" s="643"/>
      <c r="V246" s="644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656" t="s">
        <v>104</v>
      </c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6"/>
      <c r="P247" s="656"/>
      <c r="Q247" s="656"/>
      <c r="R247" s="656"/>
      <c r="S247" s="656"/>
      <c r="T247" s="656"/>
      <c r="U247" s="656"/>
      <c r="V247" s="656"/>
      <c r="W247" s="656"/>
      <c r="X247" s="656"/>
      <c r="Y247" s="656"/>
      <c r="Z247" s="656"/>
      <c r="AA247" s="66"/>
      <c r="AB247" s="66"/>
      <c r="AC247" s="80"/>
    </row>
    <row r="248" spans="1:68" ht="27" customHeight="1" x14ac:dyDescent="0.25">
      <c r="A248" s="63" t="s">
        <v>436</v>
      </c>
      <c r="B248" s="63" t="s">
        <v>437</v>
      </c>
      <c r="C248" s="36">
        <v>4301032053</v>
      </c>
      <c r="D248" s="651">
        <v>4680115886780</v>
      </c>
      <c r="E248" s="651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3"/>
      <c r="R248" s="653"/>
      <c r="S248" s="653"/>
      <c r="T248" s="654"/>
      <c r="U248" s="39" t="s">
        <v>46</v>
      </c>
      <c r="V248" s="39" t="s">
        <v>46</v>
      </c>
      <c r="W248" s="40" t="s">
        <v>0</v>
      </c>
      <c r="X248" s="58">
        <v>21.000000000000004</v>
      </c>
      <c r="Y248" s="55">
        <f>IFERROR(IF(X248="",0,CEILING((X248/$H248),1)*$H248),"")</f>
        <v>21.42</v>
      </c>
      <c r="Z248" s="41">
        <f>IFERROR(IF(Y248=0,"",ROUNDUP(Y248/H248,0)*0.0059),"")</f>
        <v>0.1003</v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24.166666666666668</v>
      </c>
      <c r="BN248" s="78">
        <f>IFERROR(Y248*I248/H248,"0")</f>
        <v>24.650000000000002</v>
      </c>
      <c r="BO248" s="78">
        <f>IFERROR(1/J248*(X248/H248),"0")</f>
        <v>7.716049382716049E-2</v>
      </c>
      <c r="BP248" s="78">
        <f>IFERROR(1/J248*(Y248/H248),"0")</f>
        <v>7.8703703703703692E-2</v>
      </c>
    </row>
    <row r="249" spans="1:68" ht="27" customHeight="1" x14ac:dyDescent="0.25">
      <c r="A249" s="63" t="s">
        <v>439</v>
      </c>
      <c r="B249" s="63" t="s">
        <v>440</v>
      </c>
      <c r="C249" s="36">
        <v>4301032051</v>
      </c>
      <c r="D249" s="651">
        <v>4680115886742</v>
      </c>
      <c r="E249" s="651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3"/>
      <c r="R249" s="653"/>
      <c r="S249" s="653"/>
      <c r="T249" s="654"/>
      <c r="U249" s="39" t="s">
        <v>46</v>
      </c>
      <c r="V249" s="39" t="s">
        <v>46</v>
      </c>
      <c r="W249" s="40" t="s">
        <v>0</v>
      </c>
      <c r="X249" s="58">
        <v>15.400000000000002</v>
      </c>
      <c r="Y249" s="55">
        <f>IFERROR(IF(X249="",0,CEILING((X249/$H249),1)*$H249),"")</f>
        <v>16.38</v>
      </c>
      <c r="Z249" s="41">
        <f>IFERROR(IF(Y249=0,"",ROUNDUP(Y249/H249,0)*0.0059),"")</f>
        <v>7.6700000000000004E-2</v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17.722222222222225</v>
      </c>
      <c r="BN249" s="78">
        <f>IFERROR(Y249*I249/H249,"0")</f>
        <v>18.849999999999998</v>
      </c>
      <c r="BO249" s="78">
        <f>IFERROR(1/J249*(X249/H249),"0")</f>
        <v>5.6584362139917695E-2</v>
      </c>
      <c r="BP249" s="78">
        <f>IFERROR(1/J249*(Y249/H249),"0")</f>
        <v>6.0185185185185182E-2</v>
      </c>
    </row>
    <row r="250" spans="1:68" ht="27" customHeight="1" x14ac:dyDescent="0.25">
      <c r="A250" s="63" t="s">
        <v>442</v>
      </c>
      <c r="B250" s="63" t="s">
        <v>443</v>
      </c>
      <c r="C250" s="36">
        <v>4301032052</v>
      </c>
      <c r="D250" s="651">
        <v>4680115886766</v>
      </c>
      <c r="E250" s="65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3"/>
      <c r="R250" s="653"/>
      <c r="S250" s="653"/>
      <c r="T250" s="654"/>
      <c r="U250" s="39" t="s">
        <v>46</v>
      </c>
      <c r="V250" s="39" t="s">
        <v>46</v>
      </c>
      <c r="W250" s="40" t="s">
        <v>0</v>
      </c>
      <c r="X250" s="58">
        <v>26.6</v>
      </c>
      <c r="Y250" s="55">
        <f>IFERROR(IF(X250="",0,CEILING((X250/$H250),1)*$H250),"")</f>
        <v>27.72</v>
      </c>
      <c r="Z250" s="41">
        <f>IFERROR(IF(Y250=0,"",ROUNDUP(Y250/H250,0)*0.0059),"")</f>
        <v>0.1298</v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30.611111111111111</v>
      </c>
      <c r="BN250" s="78">
        <f>IFERROR(Y250*I250/H250,"0")</f>
        <v>31.899999999999995</v>
      </c>
      <c r="BO250" s="78">
        <f>IFERROR(1/J250*(X250/H250),"0")</f>
        <v>9.7736625514403291E-2</v>
      </c>
      <c r="BP250" s="78">
        <f>IFERROR(1/J250*(Y250/H250),"0")</f>
        <v>0.10185185185185185</v>
      </c>
    </row>
    <row r="251" spans="1:68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42" t="s">
        <v>40</v>
      </c>
      <c r="Q251" s="643"/>
      <c r="R251" s="643"/>
      <c r="S251" s="643"/>
      <c r="T251" s="643"/>
      <c r="U251" s="643"/>
      <c r="V251" s="644"/>
      <c r="W251" s="42" t="s">
        <v>39</v>
      </c>
      <c r="X251" s="43">
        <f>IFERROR(X248/H248,"0")+IFERROR(X249/H249,"0")+IFERROR(X250/H250,"0")</f>
        <v>50</v>
      </c>
      <c r="Y251" s="43">
        <f>IFERROR(Y248/H248,"0")+IFERROR(Y249/H249,"0")+IFERROR(Y250/H250,"0")</f>
        <v>52</v>
      </c>
      <c r="Z251" s="43">
        <f>IFERROR(IF(Z248="",0,Z248),"0")+IFERROR(IF(Z249="",0,Z249),"0")+IFERROR(IF(Z250="",0,Z250),"0")</f>
        <v>0.30679999999999996</v>
      </c>
      <c r="AA251" s="67"/>
      <c r="AB251" s="67"/>
      <c r="AC251" s="67"/>
    </row>
    <row r="252" spans="1:68" x14ac:dyDescent="0.2">
      <c r="A252" s="645"/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6"/>
      <c r="P252" s="642" t="s">
        <v>40</v>
      </c>
      <c r="Q252" s="643"/>
      <c r="R252" s="643"/>
      <c r="S252" s="643"/>
      <c r="T252" s="643"/>
      <c r="U252" s="643"/>
      <c r="V252" s="644"/>
      <c r="W252" s="42" t="s">
        <v>0</v>
      </c>
      <c r="X252" s="43">
        <f>IFERROR(SUM(X248:X250),"0")</f>
        <v>63.000000000000007</v>
      </c>
      <c r="Y252" s="43">
        <f>IFERROR(SUM(Y248:Y250),"0")</f>
        <v>65.52</v>
      </c>
      <c r="Z252" s="42"/>
      <c r="AA252" s="67"/>
      <c r="AB252" s="67"/>
      <c r="AC252" s="67"/>
    </row>
    <row r="253" spans="1:68" ht="14.25" hidden="1" customHeight="1" x14ac:dyDescent="0.25">
      <c r="A253" s="656" t="s">
        <v>444</v>
      </c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6"/>
      <c r="P253" s="656"/>
      <c r="Q253" s="656"/>
      <c r="R253" s="656"/>
      <c r="S253" s="656"/>
      <c r="T253" s="656"/>
      <c r="U253" s="656"/>
      <c r="V253" s="656"/>
      <c r="W253" s="656"/>
      <c r="X253" s="656"/>
      <c r="Y253" s="656"/>
      <c r="Z253" s="656"/>
      <c r="AA253" s="66"/>
      <c r="AB253" s="66"/>
      <c r="AC253" s="80"/>
    </row>
    <row r="254" spans="1:68" ht="27" hidden="1" customHeight="1" x14ac:dyDescent="0.25">
      <c r="A254" s="63" t="s">
        <v>445</v>
      </c>
      <c r="B254" s="63" t="s">
        <v>446</v>
      </c>
      <c r="C254" s="36">
        <v>4301170013</v>
      </c>
      <c r="D254" s="651">
        <v>4680115886797</v>
      </c>
      <c r="E254" s="651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0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3"/>
      <c r="R254" s="653"/>
      <c r="S254" s="653"/>
      <c r="T254" s="65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645"/>
      <c r="B255" s="645"/>
      <c r="C255" s="645"/>
      <c r="D255" s="645"/>
      <c r="E255" s="645"/>
      <c r="F255" s="645"/>
      <c r="G255" s="645"/>
      <c r="H255" s="645"/>
      <c r="I255" s="645"/>
      <c r="J255" s="645"/>
      <c r="K255" s="645"/>
      <c r="L255" s="645"/>
      <c r="M255" s="645"/>
      <c r="N255" s="645"/>
      <c r="O255" s="646"/>
      <c r="P255" s="642" t="s">
        <v>40</v>
      </c>
      <c r="Q255" s="643"/>
      <c r="R255" s="643"/>
      <c r="S255" s="643"/>
      <c r="T255" s="643"/>
      <c r="U255" s="643"/>
      <c r="V255" s="644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645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42" t="s">
        <v>40</v>
      </c>
      <c r="Q256" s="643"/>
      <c r="R256" s="643"/>
      <c r="S256" s="643"/>
      <c r="T256" s="643"/>
      <c r="U256" s="643"/>
      <c r="V256" s="644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655" t="s">
        <v>447</v>
      </c>
      <c r="B257" s="655"/>
      <c r="C257" s="655"/>
      <c r="D257" s="655"/>
      <c r="E257" s="655"/>
      <c r="F257" s="655"/>
      <c r="G257" s="655"/>
      <c r="H257" s="655"/>
      <c r="I257" s="655"/>
      <c r="J257" s="655"/>
      <c r="K257" s="655"/>
      <c r="L257" s="655"/>
      <c r="M257" s="655"/>
      <c r="N257" s="655"/>
      <c r="O257" s="655"/>
      <c r="P257" s="655"/>
      <c r="Q257" s="655"/>
      <c r="R257" s="655"/>
      <c r="S257" s="655"/>
      <c r="T257" s="655"/>
      <c r="U257" s="655"/>
      <c r="V257" s="655"/>
      <c r="W257" s="655"/>
      <c r="X257" s="655"/>
      <c r="Y257" s="655"/>
      <c r="Z257" s="655"/>
      <c r="AA257" s="65"/>
      <c r="AB257" s="65"/>
      <c r="AC257" s="79"/>
    </row>
    <row r="258" spans="1:68" ht="14.25" hidden="1" customHeight="1" x14ac:dyDescent="0.25">
      <c r="A258" s="656" t="s">
        <v>128</v>
      </c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6"/>
      <c r="P258" s="656"/>
      <c r="Q258" s="656"/>
      <c r="R258" s="656"/>
      <c r="S258" s="656"/>
      <c r="T258" s="656"/>
      <c r="U258" s="656"/>
      <c r="V258" s="656"/>
      <c r="W258" s="656"/>
      <c r="X258" s="656"/>
      <c r="Y258" s="656"/>
      <c r="Z258" s="656"/>
      <c r="AA258" s="66"/>
      <c r="AB258" s="66"/>
      <c r="AC258" s="80"/>
    </row>
    <row r="259" spans="1:68" ht="27" hidden="1" customHeight="1" x14ac:dyDescent="0.25">
      <c r="A259" s="63" t="s">
        <v>448</v>
      </c>
      <c r="B259" s="63" t="s">
        <v>449</v>
      </c>
      <c r="C259" s="36">
        <v>4301011450</v>
      </c>
      <c r="D259" s="651">
        <v>4680115881402</v>
      </c>
      <c r="E259" s="651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3"/>
      <c r="R259" s="653"/>
      <c r="S259" s="653"/>
      <c r="T259" s="654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451</v>
      </c>
      <c r="B260" s="63" t="s">
        <v>452</v>
      </c>
      <c r="C260" s="36">
        <v>4301011768</v>
      </c>
      <c r="D260" s="651">
        <v>4680115881396</v>
      </c>
      <c r="E260" s="651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3"/>
      <c r="R260" s="653"/>
      <c r="S260" s="653"/>
      <c r="T260" s="65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45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42" t="s">
        <v>40</v>
      </c>
      <c r="Q261" s="643"/>
      <c r="R261" s="643"/>
      <c r="S261" s="643"/>
      <c r="T261" s="643"/>
      <c r="U261" s="643"/>
      <c r="V261" s="644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42" t="s">
        <v>40</v>
      </c>
      <c r="Q262" s="643"/>
      <c r="R262" s="643"/>
      <c r="S262" s="643"/>
      <c r="T262" s="643"/>
      <c r="U262" s="643"/>
      <c r="V262" s="644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56" t="s">
        <v>164</v>
      </c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6"/>
      <c r="P263" s="656"/>
      <c r="Q263" s="656"/>
      <c r="R263" s="656"/>
      <c r="S263" s="656"/>
      <c r="T263" s="656"/>
      <c r="U263" s="656"/>
      <c r="V263" s="656"/>
      <c r="W263" s="656"/>
      <c r="X263" s="656"/>
      <c r="Y263" s="656"/>
      <c r="Z263" s="656"/>
      <c r="AA263" s="66"/>
      <c r="AB263" s="66"/>
      <c r="AC263" s="80"/>
    </row>
    <row r="264" spans="1:68" ht="16.5" hidden="1" customHeight="1" x14ac:dyDescent="0.25">
      <c r="A264" s="63" t="s">
        <v>453</v>
      </c>
      <c r="B264" s="63" t="s">
        <v>454</v>
      </c>
      <c r="C264" s="36">
        <v>4301020261</v>
      </c>
      <c r="D264" s="651">
        <v>4680115882935</v>
      </c>
      <c r="E264" s="65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0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3"/>
      <c r="R264" s="653"/>
      <c r="S264" s="653"/>
      <c r="T264" s="654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456</v>
      </c>
      <c r="B265" s="63" t="s">
        <v>457</v>
      </c>
      <c r="C265" s="36">
        <v>4301020220</v>
      </c>
      <c r="D265" s="651">
        <v>4680115880764</v>
      </c>
      <c r="E265" s="651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0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3"/>
      <c r="R265" s="653"/>
      <c r="S265" s="653"/>
      <c r="T265" s="654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645"/>
      <c r="B266" s="645"/>
      <c r="C266" s="645"/>
      <c r="D266" s="645"/>
      <c r="E266" s="645"/>
      <c r="F266" s="645"/>
      <c r="G266" s="645"/>
      <c r="H266" s="645"/>
      <c r="I266" s="645"/>
      <c r="J266" s="645"/>
      <c r="K266" s="645"/>
      <c r="L266" s="645"/>
      <c r="M266" s="645"/>
      <c r="N266" s="645"/>
      <c r="O266" s="646"/>
      <c r="P266" s="642" t="s">
        <v>40</v>
      </c>
      <c r="Q266" s="643"/>
      <c r="R266" s="643"/>
      <c r="S266" s="643"/>
      <c r="T266" s="643"/>
      <c r="U266" s="643"/>
      <c r="V266" s="644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645"/>
      <c r="B267" s="645"/>
      <c r="C267" s="645"/>
      <c r="D267" s="645"/>
      <c r="E267" s="645"/>
      <c r="F267" s="645"/>
      <c r="G267" s="645"/>
      <c r="H267" s="645"/>
      <c r="I267" s="645"/>
      <c r="J267" s="645"/>
      <c r="K267" s="645"/>
      <c r="L267" s="645"/>
      <c r="M267" s="645"/>
      <c r="N267" s="645"/>
      <c r="O267" s="646"/>
      <c r="P267" s="642" t="s">
        <v>40</v>
      </c>
      <c r="Q267" s="643"/>
      <c r="R267" s="643"/>
      <c r="S267" s="643"/>
      <c r="T267" s="643"/>
      <c r="U267" s="643"/>
      <c r="V267" s="644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656" t="s">
        <v>77</v>
      </c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6"/>
      <c r="P268" s="656"/>
      <c r="Q268" s="656"/>
      <c r="R268" s="656"/>
      <c r="S268" s="656"/>
      <c r="T268" s="656"/>
      <c r="U268" s="656"/>
      <c r="V268" s="656"/>
      <c r="W268" s="656"/>
      <c r="X268" s="656"/>
      <c r="Y268" s="656"/>
      <c r="Z268" s="656"/>
      <c r="AA268" s="66"/>
      <c r="AB268" s="66"/>
      <c r="AC268" s="80"/>
    </row>
    <row r="269" spans="1:68" ht="27" hidden="1" customHeight="1" x14ac:dyDescent="0.25">
      <c r="A269" s="63" t="s">
        <v>458</v>
      </c>
      <c r="B269" s="63" t="s">
        <v>459</v>
      </c>
      <c r="C269" s="36">
        <v>4301031224</v>
      </c>
      <c r="D269" s="651">
        <v>4680115882683</v>
      </c>
      <c r="E269" s="651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7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3"/>
      <c r="R269" s="653"/>
      <c r="S269" s="653"/>
      <c r="T269" s="65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customHeight="1" x14ac:dyDescent="0.25">
      <c r="A270" s="63" t="s">
        <v>461</v>
      </c>
      <c r="B270" s="63" t="s">
        <v>462</v>
      </c>
      <c r="C270" s="36">
        <v>4301031230</v>
      </c>
      <c r="D270" s="651">
        <v>4680115882690</v>
      </c>
      <c r="E270" s="651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3"/>
      <c r="R270" s="653"/>
      <c r="S270" s="653"/>
      <c r="T270" s="654"/>
      <c r="U270" s="39" t="s">
        <v>46</v>
      </c>
      <c r="V270" s="39" t="s">
        <v>46</v>
      </c>
      <c r="W270" s="40" t="s">
        <v>0</v>
      </c>
      <c r="X270" s="58">
        <v>150</v>
      </c>
      <c r="Y270" s="55">
        <f t="shared" si="27"/>
        <v>151.20000000000002</v>
      </c>
      <c r="Z270" s="41">
        <f>IFERROR(IF(Y270=0,"",ROUNDUP(Y270/H270,0)*0.00902),"")</f>
        <v>0.25256000000000001</v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155.27777777777777</v>
      </c>
      <c r="BN270" s="78">
        <f t="shared" si="29"/>
        <v>156.52000000000001</v>
      </c>
      <c r="BO270" s="78">
        <f t="shared" si="30"/>
        <v>0.21043771043771042</v>
      </c>
      <c r="BP270" s="78">
        <f t="shared" si="31"/>
        <v>0.21212121212121213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651">
        <v>4680115882669</v>
      </c>
      <c r="E271" s="651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0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3"/>
      <c r="R271" s="653"/>
      <c r="S271" s="653"/>
      <c r="T271" s="654"/>
      <c r="U271" s="39" t="s">
        <v>46</v>
      </c>
      <c r="V271" s="39" t="s">
        <v>46</v>
      </c>
      <c r="W271" s="40" t="s">
        <v>0</v>
      </c>
      <c r="X271" s="58">
        <v>400</v>
      </c>
      <c r="Y271" s="55">
        <f t="shared" si="27"/>
        <v>405</v>
      </c>
      <c r="Z271" s="41">
        <f>IFERROR(IF(Y271=0,"",ROUNDUP(Y271/H271,0)*0.00902),"")</f>
        <v>0.67649999999999999</v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414.07407407407402</v>
      </c>
      <c r="BN271" s="78">
        <f t="shared" si="29"/>
        <v>419.24999999999994</v>
      </c>
      <c r="BO271" s="78">
        <f t="shared" si="30"/>
        <v>0.5611672278338945</v>
      </c>
      <c r="BP271" s="78">
        <f t="shared" si="31"/>
        <v>0.56818181818181823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4301031221</v>
      </c>
      <c r="D272" s="651">
        <v>4680115882676</v>
      </c>
      <c r="E272" s="651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3"/>
      <c r="R272" s="653"/>
      <c r="S272" s="653"/>
      <c r="T272" s="65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customHeight="1" x14ac:dyDescent="0.25">
      <c r="A273" s="63" t="s">
        <v>470</v>
      </c>
      <c r="B273" s="63" t="s">
        <v>471</v>
      </c>
      <c r="C273" s="36">
        <v>4301031223</v>
      </c>
      <c r="D273" s="651">
        <v>4680115884014</v>
      </c>
      <c r="E273" s="651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79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3"/>
      <c r="R273" s="653"/>
      <c r="S273" s="653"/>
      <c r="T273" s="654"/>
      <c r="U273" s="39" t="s">
        <v>46</v>
      </c>
      <c r="V273" s="39" t="s">
        <v>46</v>
      </c>
      <c r="W273" s="40" t="s">
        <v>0</v>
      </c>
      <c r="X273" s="58">
        <v>330</v>
      </c>
      <c r="Y273" s="55">
        <f t="shared" si="27"/>
        <v>331.2</v>
      </c>
      <c r="Z273" s="41">
        <f>IFERROR(IF(Y273=0,"",ROUNDUP(Y273/H273,0)*0.00502),"")</f>
        <v>0.92368000000000006</v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353.83333333333331</v>
      </c>
      <c r="BN273" s="78">
        <f t="shared" si="29"/>
        <v>355.12</v>
      </c>
      <c r="BO273" s="78">
        <f t="shared" si="30"/>
        <v>0.78347578347578362</v>
      </c>
      <c r="BP273" s="78">
        <f t="shared" si="31"/>
        <v>0.78632478632478642</v>
      </c>
    </row>
    <row r="274" spans="1:68" ht="27" hidden="1" customHeight="1" x14ac:dyDescent="0.25">
      <c r="A274" s="63" t="s">
        <v>472</v>
      </c>
      <c r="B274" s="63" t="s">
        <v>473</v>
      </c>
      <c r="C274" s="36">
        <v>4301031222</v>
      </c>
      <c r="D274" s="651">
        <v>4680115884007</v>
      </c>
      <c r="E274" s="651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3"/>
      <c r="R274" s="653"/>
      <c r="S274" s="653"/>
      <c r="T274" s="65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customHeight="1" x14ac:dyDescent="0.25">
      <c r="A275" s="63" t="s">
        <v>474</v>
      </c>
      <c r="B275" s="63" t="s">
        <v>475</v>
      </c>
      <c r="C275" s="36">
        <v>4301031229</v>
      </c>
      <c r="D275" s="651">
        <v>4680115884038</v>
      </c>
      <c r="E275" s="651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7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3"/>
      <c r="R275" s="653"/>
      <c r="S275" s="653"/>
      <c r="T275" s="654"/>
      <c r="U275" s="39" t="s">
        <v>46</v>
      </c>
      <c r="V275" s="39" t="s">
        <v>46</v>
      </c>
      <c r="W275" s="40" t="s">
        <v>0</v>
      </c>
      <c r="X275" s="58">
        <v>360</v>
      </c>
      <c r="Y275" s="55">
        <f t="shared" si="27"/>
        <v>360</v>
      </c>
      <c r="Z275" s="41">
        <f>IFERROR(IF(Y275=0,"",ROUNDUP(Y275/H275,0)*0.00502),"")</f>
        <v>1.004</v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380</v>
      </c>
      <c r="BN275" s="78">
        <f t="shared" si="29"/>
        <v>380</v>
      </c>
      <c r="BO275" s="78">
        <f t="shared" si="30"/>
        <v>0.85470085470085477</v>
      </c>
      <c r="BP275" s="78">
        <f t="shared" si="31"/>
        <v>0.85470085470085477</v>
      </c>
    </row>
    <row r="276" spans="1:68" ht="27" customHeight="1" x14ac:dyDescent="0.25">
      <c r="A276" s="63" t="s">
        <v>476</v>
      </c>
      <c r="B276" s="63" t="s">
        <v>477</v>
      </c>
      <c r="C276" s="36">
        <v>4301031225</v>
      </c>
      <c r="D276" s="651">
        <v>4680115884021</v>
      </c>
      <c r="E276" s="651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3"/>
      <c r="R276" s="653"/>
      <c r="S276" s="653"/>
      <c r="T276" s="654"/>
      <c r="U276" s="39" t="s">
        <v>46</v>
      </c>
      <c r="V276" s="39" t="s">
        <v>46</v>
      </c>
      <c r="W276" s="40" t="s">
        <v>0</v>
      </c>
      <c r="X276" s="58">
        <v>180</v>
      </c>
      <c r="Y276" s="55">
        <f t="shared" si="27"/>
        <v>180</v>
      </c>
      <c r="Z276" s="41">
        <f>IFERROR(IF(Y276=0,"",ROUNDUP(Y276/H276,0)*0.00502),"")</f>
        <v>0.502</v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190</v>
      </c>
      <c r="BN276" s="78">
        <f t="shared" si="29"/>
        <v>190</v>
      </c>
      <c r="BO276" s="78">
        <f t="shared" si="30"/>
        <v>0.42735042735042739</v>
      </c>
      <c r="BP276" s="78">
        <f t="shared" si="31"/>
        <v>0.42735042735042739</v>
      </c>
    </row>
    <row r="277" spans="1:68" x14ac:dyDescent="0.2">
      <c r="A277" s="645"/>
      <c r="B277" s="645"/>
      <c r="C277" s="645"/>
      <c r="D277" s="645"/>
      <c r="E277" s="645"/>
      <c r="F277" s="645"/>
      <c r="G277" s="645"/>
      <c r="H277" s="645"/>
      <c r="I277" s="645"/>
      <c r="J277" s="645"/>
      <c r="K277" s="645"/>
      <c r="L277" s="645"/>
      <c r="M277" s="645"/>
      <c r="N277" s="645"/>
      <c r="O277" s="646"/>
      <c r="P277" s="642" t="s">
        <v>40</v>
      </c>
      <c r="Q277" s="643"/>
      <c r="R277" s="643"/>
      <c r="S277" s="643"/>
      <c r="T277" s="643"/>
      <c r="U277" s="643"/>
      <c r="V277" s="644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585.18518518518522</v>
      </c>
      <c r="Y277" s="43">
        <f>IFERROR(Y269/H269,"0")+IFERROR(Y270/H270,"0")+IFERROR(Y271/H271,"0")+IFERROR(Y272/H272,"0")+IFERROR(Y273/H273,"0")+IFERROR(Y274/H274,"0")+IFERROR(Y275/H275,"0")+IFERROR(Y276/H276,"0")</f>
        <v>587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3.3587400000000001</v>
      </c>
      <c r="AA277" s="67"/>
      <c r="AB277" s="67"/>
      <c r="AC277" s="67"/>
    </row>
    <row r="278" spans="1:68" x14ac:dyDescent="0.2">
      <c r="A278" s="645"/>
      <c r="B278" s="645"/>
      <c r="C278" s="645"/>
      <c r="D278" s="645"/>
      <c r="E278" s="645"/>
      <c r="F278" s="645"/>
      <c r="G278" s="645"/>
      <c r="H278" s="645"/>
      <c r="I278" s="645"/>
      <c r="J278" s="645"/>
      <c r="K278" s="645"/>
      <c r="L278" s="645"/>
      <c r="M278" s="645"/>
      <c r="N278" s="645"/>
      <c r="O278" s="646"/>
      <c r="P278" s="642" t="s">
        <v>40</v>
      </c>
      <c r="Q278" s="643"/>
      <c r="R278" s="643"/>
      <c r="S278" s="643"/>
      <c r="T278" s="643"/>
      <c r="U278" s="643"/>
      <c r="V278" s="644"/>
      <c r="W278" s="42" t="s">
        <v>0</v>
      </c>
      <c r="X278" s="43">
        <f>IFERROR(SUM(X269:X276),"0")</f>
        <v>1420</v>
      </c>
      <c r="Y278" s="43">
        <f>IFERROR(SUM(Y269:Y276),"0")</f>
        <v>1427.4</v>
      </c>
      <c r="Z278" s="42"/>
      <c r="AA278" s="67"/>
      <c r="AB278" s="67"/>
      <c r="AC278" s="67"/>
    </row>
    <row r="279" spans="1:68" ht="14.25" hidden="1" customHeight="1" x14ac:dyDescent="0.25">
      <c r="A279" s="656" t="s">
        <v>86</v>
      </c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6"/>
      <c r="P279" s="656"/>
      <c r="Q279" s="656"/>
      <c r="R279" s="656"/>
      <c r="S279" s="656"/>
      <c r="T279" s="656"/>
      <c r="U279" s="656"/>
      <c r="V279" s="656"/>
      <c r="W279" s="656"/>
      <c r="X279" s="656"/>
      <c r="Y279" s="656"/>
      <c r="Z279" s="656"/>
      <c r="AA279" s="66"/>
      <c r="AB279" s="66"/>
      <c r="AC279" s="80"/>
    </row>
    <row r="280" spans="1:68" ht="27" hidden="1" customHeight="1" x14ac:dyDescent="0.25">
      <c r="A280" s="63" t="s">
        <v>478</v>
      </c>
      <c r="B280" s="63" t="s">
        <v>479</v>
      </c>
      <c r="C280" s="36">
        <v>4301051408</v>
      </c>
      <c r="D280" s="651">
        <v>4680115881594</v>
      </c>
      <c r="E280" s="651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7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3"/>
      <c r="R280" s="653"/>
      <c r="S280" s="653"/>
      <c r="T280" s="65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customHeight="1" x14ac:dyDescent="0.25">
      <c r="A281" s="63" t="s">
        <v>481</v>
      </c>
      <c r="B281" s="63" t="s">
        <v>482</v>
      </c>
      <c r="C281" s="36">
        <v>4301051411</v>
      </c>
      <c r="D281" s="651">
        <v>4680115881617</v>
      </c>
      <c r="E281" s="651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7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3"/>
      <c r="R281" s="653"/>
      <c r="S281" s="653"/>
      <c r="T281" s="654"/>
      <c r="U281" s="39" t="s">
        <v>46</v>
      </c>
      <c r="V281" s="39" t="s">
        <v>46</v>
      </c>
      <c r="W281" s="40" t="s">
        <v>0</v>
      </c>
      <c r="X281" s="58">
        <v>250</v>
      </c>
      <c r="Y281" s="55">
        <f t="shared" si="32"/>
        <v>251.1</v>
      </c>
      <c r="Z281" s="41">
        <f>IFERROR(IF(Y281=0,"",ROUNDUP(Y281/H281,0)*0.01898),"")</f>
        <v>0.58838000000000001</v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264.6913580246914</v>
      </c>
      <c r="BN281" s="78">
        <f t="shared" si="34"/>
        <v>265.85600000000005</v>
      </c>
      <c r="BO281" s="78">
        <f t="shared" si="35"/>
        <v>0.48225308641975312</v>
      </c>
      <c r="BP281" s="78">
        <f t="shared" si="36"/>
        <v>0.484375</v>
      </c>
    </row>
    <row r="282" spans="1:68" ht="27" customHeight="1" x14ac:dyDescent="0.25">
      <c r="A282" s="63" t="s">
        <v>484</v>
      </c>
      <c r="B282" s="63" t="s">
        <v>485</v>
      </c>
      <c r="C282" s="36">
        <v>4301051656</v>
      </c>
      <c r="D282" s="651">
        <v>4680115880573</v>
      </c>
      <c r="E282" s="651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7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3"/>
      <c r="R282" s="653"/>
      <c r="S282" s="653"/>
      <c r="T282" s="654"/>
      <c r="U282" s="39" t="s">
        <v>46</v>
      </c>
      <c r="V282" s="39" t="s">
        <v>46</v>
      </c>
      <c r="W282" s="40" t="s">
        <v>0</v>
      </c>
      <c r="X282" s="58">
        <v>800</v>
      </c>
      <c r="Y282" s="55">
        <f t="shared" si="32"/>
        <v>800.4</v>
      </c>
      <c r="Z282" s="41">
        <f>IFERROR(IF(Y282=0,"",ROUNDUP(Y282/H282,0)*0.01898),"")</f>
        <v>1.7461599999999999</v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845.42528735632197</v>
      </c>
      <c r="BN282" s="78">
        <f t="shared" si="34"/>
        <v>845.84800000000018</v>
      </c>
      <c r="BO282" s="78">
        <f t="shared" si="35"/>
        <v>1.4367816091954024</v>
      </c>
      <c r="BP282" s="78">
        <f t="shared" si="36"/>
        <v>1.4375</v>
      </c>
    </row>
    <row r="283" spans="1:68" ht="27" customHeight="1" x14ac:dyDescent="0.25">
      <c r="A283" s="63" t="s">
        <v>487</v>
      </c>
      <c r="B283" s="63" t="s">
        <v>488</v>
      </c>
      <c r="C283" s="36">
        <v>4301051407</v>
      </c>
      <c r="D283" s="651">
        <v>4680115882195</v>
      </c>
      <c r="E283" s="651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78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3"/>
      <c r="R283" s="653"/>
      <c r="S283" s="653"/>
      <c r="T283" s="654"/>
      <c r="U283" s="39" t="s">
        <v>46</v>
      </c>
      <c r="V283" s="39" t="s">
        <v>46</v>
      </c>
      <c r="W283" s="40" t="s">
        <v>0</v>
      </c>
      <c r="X283" s="58">
        <v>200</v>
      </c>
      <c r="Y283" s="55">
        <f t="shared" si="32"/>
        <v>201.6</v>
      </c>
      <c r="Z283" s="41">
        <f>IFERROR(IF(Y283=0,"",ROUNDUP(Y283/H283,0)*0.00651),"")</f>
        <v>0.54683999999999999</v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222.5</v>
      </c>
      <c r="BN283" s="78">
        <f t="shared" si="34"/>
        <v>224.27999999999997</v>
      </c>
      <c r="BO283" s="78">
        <f t="shared" si="35"/>
        <v>0.45787545787545797</v>
      </c>
      <c r="BP283" s="78">
        <f t="shared" si="36"/>
        <v>0.46153846153846156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4301051752</v>
      </c>
      <c r="D284" s="651">
        <v>4680115882607</v>
      </c>
      <c r="E284" s="651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78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3"/>
      <c r="R284" s="653"/>
      <c r="S284" s="653"/>
      <c r="T284" s="65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4301052143</v>
      </c>
      <c r="D285" s="651">
        <v>4680115882607</v>
      </c>
      <c r="E285" s="651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78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3"/>
      <c r="R285" s="653"/>
      <c r="S285" s="653"/>
      <c r="T285" s="65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494</v>
      </c>
      <c r="B286" s="63" t="s">
        <v>495</v>
      </c>
      <c r="C286" s="36">
        <v>4301051666</v>
      </c>
      <c r="D286" s="651">
        <v>4680115880092</v>
      </c>
      <c r="E286" s="65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8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3"/>
      <c r="R286" s="653"/>
      <c r="S286" s="653"/>
      <c r="T286" s="65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4301052214</v>
      </c>
      <c r="D287" s="651">
        <v>4680115889064</v>
      </c>
      <c r="E287" s="651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79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3"/>
      <c r="R287" s="653"/>
      <c r="S287" s="653"/>
      <c r="T287" s="65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4301051668</v>
      </c>
      <c r="D288" s="651">
        <v>4680115880221</v>
      </c>
      <c r="E288" s="651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3"/>
      <c r="R288" s="653"/>
      <c r="S288" s="653"/>
      <c r="T288" s="65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customHeight="1" x14ac:dyDescent="0.25">
      <c r="A289" s="63" t="s">
        <v>500</v>
      </c>
      <c r="B289" s="63" t="s">
        <v>501</v>
      </c>
      <c r="C289" s="36">
        <v>4301051945</v>
      </c>
      <c r="D289" s="651">
        <v>4680115880504</v>
      </c>
      <c r="E289" s="651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7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3"/>
      <c r="R289" s="653"/>
      <c r="S289" s="653"/>
      <c r="T289" s="654"/>
      <c r="U289" s="39" t="s">
        <v>46</v>
      </c>
      <c r="V289" s="39" t="s">
        <v>46</v>
      </c>
      <c r="W289" s="40" t="s">
        <v>0</v>
      </c>
      <c r="X289" s="58">
        <v>120</v>
      </c>
      <c r="Y289" s="55">
        <f t="shared" si="32"/>
        <v>120</v>
      </c>
      <c r="Z289" s="41">
        <f>IFERROR(IF(Y289=0,"",ROUNDUP(Y289/H289,0)*0.00651),"")</f>
        <v>0.32550000000000001</v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132.60000000000002</v>
      </c>
      <c r="BN289" s="78">
        <f t="shared" si="34"/>
        <v>132.60000000000002</v>
      </c>
      <c r="BO289" s="78">
        <f t="shared" si="35"/>
        <v>0.27472527472527475</v>
      </c>
      <c r="BP289" s="78">
        <f t="shared" si="36"/>
        <v>0.27472527472527475</v>
      </c>
    </row>
    <row r="290" spans="1:68" ht="27" customHeight="1" x14ac:dyDescent="0.25">
      <c r="A290" s="63" t="s">
        <v>503</v>
      </c>
      <c r="B290" s="63" t="s">
        <v>504</v>
      </c>
      <c r="C290" s="36">
        <v>4301051410</v>
      </c>
      <c r="D290" s="651">
        <v>4680115882164</v>
      </c>
      <c r="E290" s="651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78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3"/>
      <c r="R290" s="653"/>
      <c r="S290" s="653"/>
      <c r="T290" s="654"/>
      <c r="U290" s="39" t="s">
        <v>46</v>
      </c>
      <c r="V290" s="39" t="s">
        <v>46</v>
      </c>
      <c r="W290" s="40" t="s">
        <v>0</v>
      </c>
      <c r="X290" s="58">
        <v>160</v>
      </c>
      <c r="Y290" s="55">
        <f t="shared" si="32"/>
        <v>160.79999999999998</v>
      </c>
      <c r="Z290" s="41">
        <f>IFERROR(IF(Y290=0,"",ROUNDUP(Y290/H290,0)*0.00651),"")</f>
        <v>0.43617</v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177.2</v>
      </c>
      <c r="BN290" s="78">
        <f t="shared" si="34"/>
        <v>178.08599999999998</v>
      </c>
      <c r="BO290" s="78">
        <f t="shared" si="35"/>
        <v>0.36630036630036633</v>
      </c>
      <c r="BP290" s="78">
        <f t="shared" si="36"/>
        <v>0.36813186813186816</v>
      </c>
    </row>
    <row r="291" spans="1:68" ht="27" hidden="1" customHeight="1" x14ac:dyDescent="0.25">
      <c r="A291" s="63" t="s">
        <v>506</v>
      </c>
      <c r="B291" s="63" t="s">
        <v>507</v>
      </c>
      <c r="C291" s="36">
        <v>4301052180</v>
      </c>
      <c r="D291" s="651">
        <v>4680115888340</v>
      </c>
      <c r="E291" s="65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78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3"/>
      <c r="R291" s="653"/>
      <c r="S291" s="653"/>
      <c r="T291" s="65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42" t="s">
        <v>40</v>
      </c>
      <c r="Q292" s="643"/>
      <c r="R292" s="643"/>
      <c r="S292" s="643"/>
      <c r="T292" s="643"/>
      <c r="U292" s="643"/>
      <c r="V292" s="644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322.81822051936996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324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3.6430500000000001</v>
      </c>
      <c r="AA292" s="67"/>
      <c r="AB292" s="67"/>
      <c r="AC292" s="67"/>
    </row>
    <row r="293" spans="1:68" x14ac:dyDescent="0.2">
      <c r="A293" s="645"/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6"/>
      <c r="P293" s="642" t="s">
        <v>40</v>
      </c>
      <c r="Q293" s="643"/>
      <c r="R293" s="643"/>
      <c r="S293" s="643"/>
      <c r="T293" s="643"/>
      <c r="U293" s="643"/>
      <c r="V293" s="644"/>
      <c r="W293" s="42" t="s">
        <v>0</v>
      </c>
      <c r="X293" s="43">
        <f>IFERROR(SUM(X280:X291),"0")</f>
        <v>1530</v>
      </c>
      <c r="Y293" s="43">
        <f>IFERROR(SUM(Y280:Y291),"0")</f>
        <v>1533.8999999999999</v>
      </c>
      <c r="Z293" s="42"/>
      <c r="AA293" s="67"/>
      <c r="AB293" s="67"/>
      <c r="AC293" s="67"/>
    </row>
    <row r="294" spans="1:68" ht="14.25" hidden="1" customHeight="1" x14ac:dyDescent="0.25">
      <c r="A294" s="656" t="s">
        <v>181</v>
      </c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6"/>
      <c r="P294" s="656"/>
      <c r="Q294" s="656"/>
      <c r="R294" s="656"/>
      <c r="S294" s="656"/>
      <c r="T294" s="656"/>
      <c r="U294" s="656"/>
      <c r="V294" s="656"/>
      <c r="W294" s="656"/>
      <c r="X294" s="656"/>
      <c r="Y294" s="656"/>
      <c r="Z294" s="656"/>
      <c r="AA294" s="66"/>
      <c r="AB294" s="66"/>
      <c r="AC294" s="80"/>
    </row>
    <row r="295" spans="1:68" ht="27" hidden="1" customHeight="1" x14ac:dyDescent="0.25">
      <c r="A295" s="63" t="s">
        <v>509</v>
      </c>
      <c r="B295" s="63" t="s">
        <v>510</v>
      </c>
      <c r="C295" s="36">
        <v>4301060463</v>
      </c>
      <c r="D295" s="651">
        <v>4680115880818</v>
      </c>
      <c r="E295" s="65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78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3"/>
      <c r="R295" s="653"/>
      <c r="S295" s="653"/>
      <c r="T295" s="654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4301060389</v>
      </c>
      <c r="D296" s="651">
        <v>4680115880801</v>
      </c>
      <c r="E296" s="65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7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3"/>
      <c r="R296" s="653"/>
      <c r="S296" s="653"/>
      <c r="T296" s="654"/>
      <c r="U296" s="39" t="s">
        <v>46</v>
      </c>
      <c r="V296" s="39" t="s">
        <v>46</v>
      </c>
      <c r="W296" s="40" t="s">
        <v>0</v>
      </c>
      <c r="X296" s="58">
        <v>80</v>
      </c>
      <c r="Y296" s="55">
        <f>IFERROR(IF(X296="",0,CEILING((X296/$H296),1)*$H296),"")</f>
        <v>81.599999999999994</v>
      </c>
      <c r="Z296" s="41">
        <f>IFERROR(IF(Y296=0,"",ROUNDUP(Y296/H296,0)*0.00651),"")</f>
        <v>0.22134000000000001</v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88.40000000000002</v>
      </c>
      <c r="BN296" s="78">
        <f>IFERROR(Y296*I296/H296,"0")</f>
        <v>90.168000000000006</v>
      </c>
      <c r="BO296" s="78">
        <f>IFERROR(1/J296*(X296/H296),"0")</f>
        <v>0.18315018315018317</v>
      </c>
      <c r="BP296" s="78">
        <f>IFERROR(1/J296*(Y296/H296),"0")</f>
        <v>0.18681318681318682</v>
      </c>
    </row>
    <row r="297" spans="1:68" x14ac:dyDescent="0.2">
      <c r="A297" s="645"/>
      <c r="B297" s="645"/>
      <c r="C297" s="645"/>
      <c r="D297" s="645"/>
      <c r="E297" s="645"/>
      <c r="F297" s="645"/>
      <c r="G297" s="645"/>
      <c r="H297" s="645"/>
      <c r="I297" s="645"/>
      <c r="J297" s="645"/>
      <c r="K297" s="645"/>
      <c r="L297" s="645"/>
      <c r="M297" s="645"/>
      <c r="N297" s="645"/>
      <c r="O297" s="646"/>
      <c r="P297" s="642" t="s">
        <v>40</v>
      </c>
      <c r="Q297" s="643"/>
      <c r="R297" s="643"/>
      <c r="S297" s="643"/>
      <c r="T297" s="643"/>
      <c r="U297" s="643"/>
      <c r="V297" s="644"/>
      <c r="W297" s="42" t="s">
        <v>39</v>
      </c>
      <c r="X297" s="43">
        <f>IFERROR(X295/H295,"0")+IFERROR(X296/H296,"0")</f>
        <v>33.333333333333336</v>
      </c>
      <c r="Y297" s="43">
        <f>IFERROR(Y295/H295,"0")+IFERROR(Y296/H296,"0")</f>
        <v>34</v>
      </c>
      <c r="Z297" s="43">
        <f>IFERROR(IF(Z295="",0,Z295),"0")+IFERROR(IF(Z296="",0,Z296),"0")</f>
        <v>0.22134000000000001</v>
      </c>
      <c r="AA297" s="67"/>
      <c r="AB297" s="67"/>
      <c r="AC297" s="67"/>
    </row>
    <row r="298" spans="1:68" x14ac:dyDescent="0.2">
      <c r="A298" s="645"/>
      <c r="B298" s="645"/>
      <c r="C298" s="645"/>
      <c r="D298" s="645"/>
      <c r="E298" s="645"/>
      <c r="F298" s="645"/>
      <c r="G298" s="645"/>
      <c r="H298" s="645"/>
      <c r="I298" s="645"/>
      <c r="J298" s="645"/>
      <c r="K298" s="645"/>
      <c r="L298" s="645"/>
      <c r="M298" s="645"/>
      <c r="N298" s="645"/>
      <c r="O298" s="646"/>
      <c r="P298" s="642" t="s">
        <v>40</v>
      </c>
      <c r="Q298" s="643"/>
      <c r="R298" s="643"/>
      <c r="S298" s="643"/>
      <c r="T298" s="643"/>
      <c r="U298" s="643"/>
      <c r="V298" s="644"/>
      <c r="W298" s="42" t="s">
        <v>0</v>
      </c>
      <c r="X298" s="43">
        <f>IFERROR(SUM(X295:X296),"0")</f>
        <v>80</v>
      </c>
      <c r="Y298" s="43">
        <f>IFERROR(SUM(Y295:Y296),"0")</f>
        <v>81.599999999999994</v>
      </c>
      <c r="Z298" s="42"/>
      <c r="AA298" s="67"/>
      <c r="AB298" s="67"/>
      <c r="AC298" s="67"/>
    </row>
    <row r="299" spans="1:68" ht="16.5" hidden="1" customHeight="1" x14ac:dyDescent="0.25">
      <c r="A299" s="655" t="s">
        <v>515</v>
      </c>
      <c r="B299" s="655"/>
      <c r="C299" s="655"/>
      <c r="D299" s="655"/>
      <c r="E299" s="655"/>
      <c r="F299" s="655"/>
      <c r="G299" s="655"/>
      <c r="H299" s="655"/>
      <c r="I299" s="655"/>
      <c r="J299" s="655"/>
      <c r="K299" s="655"/>
      <c r="L299" s="655"/>
      <c r="M299" s="655"/>
      <c r="N299" s="655"/>
      <c r="O299" s="655"/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  <c r="AA299" s="65"/>
      <c r="AB299" s="65"/>
      <c r="AC299" s="79"/>
    </row>
    <row r="300" spans="1:68" ht="14.25" hidden="1" customHeight="1" x14ac:dyDescent="0.25">
      <c r="A300" s="656" t="s">
        <v>128</v>
      </c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6"/>
      <c r="P300" s="656"/>
      <c r="Q300" s="656"/>
      <c r="R300" s="656"/>
      <c r="S300" s="656"/>
      <c r="T300" s="656"/>
      <c r="U300" s="656"/>
      <c r="V300" s="656"/>
      <c r="W300" s="656"/>
      <c r="X300" s="656"/>
      <c r="Y300" s="656"/>
      <c r="Z300" s="656"/>
      <c r="AA300" s="66"/>
      <c r="AB300" s="66"/>
      <c r="AC300" s="80"/>
    </row>
    <row r="301" spans="1:68" ht="27" hidden="1" customHeight="1" x14ac:dyDescent="0.25">
      <c r="A301" s="63" t="s">
        <v>516</v>
      </c>
      <c r="B301" s="63" t="s">
        <v>517</v>
      </c>
      <c r="C301" s="36">
        <v>4301011826</v>
      </c>
      <c r="D301" s="651">
        <v>4680115884137</v>
      </c>
      <c r="E301" s="651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77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3"/>
      <c r="R301" s="653"/>
      <c r="S301" s="653"/>
      <c r="T301" s="65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4301011724</v>
      </c>
      <c r="D302" s="651">
        <v>4680115884236</v>
      </c>
      <c r="E302" s="651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77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3"/>
      <c r="R302" s="653"/>
      <c r="S302" s="653"/>
      <c r="T302" s="65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4301011721</v>
      </c>
      <c r="D303" s="651">
        <v>4680115884175</v>
      </c>
      <c r="E303" s="651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3"/>
      <c r="R303" s="653"/>
      <c r="S303" s="653"/>
      <c r="T303" s="65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4301011824</v>
      </c>
      <c r="D304" s="651">
        <v>4680115884144</v>
      </c>
      <c r="E304" s="651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3"/>
      <c r="R304" s="653"/>
      <c r="S304" s="653"/>
      <c r="T304" s="654"/>
      <c r="U304" s="39" t="s">
        <v>46</v>
      </c>
      <c r="V304" s="39" t="s">
        <v>46</v>
      </c>
      <c r="W304" s="40" t="s">
        <v>0</v>
      </c>
      <c r="X304" s="58">
        <v>12</v>
      </c>
      <c r="Y304" s="55">
        <f t="shared" si="37"/>
        <v>12</v>
      </c>
      <c r="Z304" s="41">
        <f>IFERROR(IF(Y304=0,"",ROUNDUP(Y304/H304,0)*0.00902),"")</f>
        <v>2.7060000000000001E-2</v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12.57</v>
      </c>
      <c r="BN304" s="78">
        <f t="shared" si="39"/>
        <v>12.57</v>
      </c>
      <c r="BO304" s="78">
        <f t="shared" si="40"/>
        <v>2.2727272727272728E-2</v>
      </c>
      <c r="BP304" s="78">
        <f t="shared" si="41"/>
        <v>2.2727272727272728E-2</v>
      </c>
    </row>
    <row r="305" spans="1:68" ht="27" hidden="1" customHeight="1" x14ac:dyDescent="0.25">
      <c r="A305" s="63" t="s">
        <v>526</v>
      </c>
      <c r="B305" s="63" t="s">
        <v>527</v>
      </c>
      <c r="C305" s="36">
        <v>4301012149</v>
      </c>
      <c r="D305" s="651">
        <v>4680115886551</v>
      </c>
      <c r="E305" s="651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7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3"/>
      <c r="R305" s="653"/>
      <c r="S305" s="653"/>
      <c r="T305" s="654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529</v>
      </c>
      <c r="B306" s="63" t="s">
        <v>530</v>
      </c>
      <c r="C306" s="36">
        <v>4301012228</v>
      </c>
      <c r="D306" s="651">
        <v>4680115887282</v>
      </c>
      <c r="E306" s="651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7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3"/>
      <c r="R306" s="653"/>
      <c r="S306" s="653"/>
      <c r="T306" s="654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532</v>
      </c>
      <c r="B307" s="63" t="s">
        <v>533</v>
      </c>
      <c r="C307" s="36">
        <v>4301011722</v>
      </c>
      <c r="D307" s="651">
        <v>4680115884205</v>
      </c>
      <c r="E307" s="651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7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3"/>
      <c r="R307" s="653"/>
      <c r="S307" s="653"/>
      <c r="T307" s="654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x14ac:dyDescent="0.2">
      <c r="A308" s="645"/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6"/>
      <c r="P308" s="642" t="s">
        <v>40</v>
      </c>
      <c r="Q308" s="643"/>
      <c r="R308" s="643"/>
      <c r="S308" s="643"/>
      <c r="T308" s="643"/>
      <c r="U308" s="643"/>
      <c r="V308" s="644"/>
      <c r="W308" s="42" t="s">
        <v>39</v>
      </c>
      <c r="X308" s="43">
        <f>IFERROR(X301/H301,"0")+IFERROR(X302/H302,"0")+IFERROR(X303/H303,"0")+IFERROR(X304/H304,"0")+IFERROR(X305/H305,"0")+IFERROR(X306/H306,"0")+IFERROR(X307/H307,"0")</f>
        <v>3</v>
      </c>
      <c r="Y308" s="43">
        <f>IFERROR(Y301/H301,"0")+IFERROR(Y302/H302,"0")+IFERROR(Y303/H303,"0")+IFERROR(Y304/H304,"0")+IFERROR(Y305/H305,"0")+IFERROR(Y306/H306,"0")+IFERROR(Y307/H307,"0")</f>
        <v>3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2.7060000000000001E-2</v>
      </c>
      <c r="AA308" s="67"/>
      <c r="AB308" s="67"/>
      <c r="AC308" s="67"/>
    </row>
    <row r="309" spans="1:68" x14ac:dyDescent="0.2">
      <c r="A309" s="645"/>
      <c r="B309" s="645"/>
      <c r="C309" s="645"/>
      <c r="D309" s="645"/>
      <c r="E309" s="645"/>
      <c r="F309" s="645"/>
      <c r="G309" s="645"/>
      <c r="H309" s="645"/>
      <c r="I309" s="645"/>
      <c r="J309" s="645"/>
      <c r="K309" s="645"/>
      <c r="L309" s="645"/>
      <c r="M309" s="645"/>
      <c r="N309" s="645"/>
      <c r="O309" s="646"/>
      <c r="P309" s="642" t="s">
        <v>40</v>
      </c>
      <c r="Q309" s="643"/>
      <c r="R309" s="643"/>
      <c r="S309" s="643"/>
      <c r="T309" s="643"/>
      <c r="U309" s="643"/>
      <c r="V309" s="644"/>
      <c r="W309" s="42" t="s">
        <v>0</v>
      </c>
      <c r="X309" s="43">
        <f>IFERROR(SUM(X301:X307),"0")</f>
        <v>12</v>
      </c>
      <c r="Y309" s="43">
        <f>IFERROR(SUM(Y301:Y307),"0")</f>
        <v>12</v>
      </c>
      <c r="Z309" s="42"/>
      <c r="AA309" s="67"/>
      <c r="AB309" s="67"/>
      <c r="AC309" s="67"/>
    </row>
    <row r="310" spans="1:68" ht="14.25" hidden="1" customHeight="1" x14ac:dyDescent="0.25">
      <c r="A310" s="656" t="s">
        <v>164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6"/>
      <c r="AB310" s="66"/>
      <c r="AC310" s="80"/>
    </row>
    <row r="311" spans="1:68" ht="27" customHeight="1" x14ac:dyDescent="0.25">
      <c r="A311" s="63" t="s">
        <v>534</v>
      </c>
      <c r="B311" s="63" t="s">
        <v>535</v>
      </c>
      <c r="C311" s="36">
        <v>4301020377</v>
      </c>
      <c r="D311" s="651">
        <v>4680115885981</v>
      </c>
      <c r="E311" s="651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7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3"/>
      <c r="R311" s="653"/>
      <c r="S311" s="653"/>
      <c r="T311" s="654"/>
      <c r="U311" s="39" t="s">
        <v>46</v>
      </c>
      <c r="V311" s="39" t="s">
        <v>46</v>
      </c>
      <c r="W311" s="40" t="s">
        <v>0</v>
      </c>
      <c r="X311" s="58">
        <v>26.400000000000002</v>
      </c>
      <c r="Y311" s="55">
        <f>IFERROR(IF(X311="",0,CEILING((X311/$H311),1)*$H311),"")</f>
        <v>27.72</v>
      </c>
      <c r="Z311" s="41">
        <f>IFERROR(IF(Y311=0,"",ROUNDUP(Y311/H311,0)*0.00502),"")</f>
        <v>7.0280000000000009E-2</v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27.733333333333338</v>
      </c>
      <c r="BN311" s="78">
        <f>IFERROR(Y311*I311/H311,"0")</f>
        <v>29.12</v>
      </c>
      <c r="BO311" s="78">
        <f>IFERROR(1/J311*(X311/H311),"0")</f>
        <v>5.6980056980056988E-2</v>
      </c>
      <c r="BP311" s="78">
        <f>IFERROR(1/J311*(Y311/H311),"0")</f>
        <v>5.9829059829059839E-2</v>
      </c>
    </row>
    <row r="312" spans="1:68" x14ac:dyDescent="0.2">
      <c r="A312" s="645"/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6"/>
      <c r="P312" s="642" t="s">
        <v>40</v>
      </c>
      <c r="Q312" s="643"/>
      <c r="R312" s="643"/>
      <c r="S312" s="643"/>
      <c r="T312" s="643"/>
      <c r="U312" s="643"/>
      <c r="V312" s="644"/>
      <c r="W312" s="42" t="s">
        <v>39</v>
      </c>
      <c r="X312" s="43">
        <f>IFERROR(X311/H311,"0")</f>
        <v>13.333333333333334</v>
      </c>
      <c r="Y312" s="43">
        <f>IFERROR(Y311/H311,"0")</f>
        <v>14</v>
      </c>
      <c r="Z312" s="43">
        <f>IFERROR(IF(Z311="",0,Z311),"0")</f>
        <v>7.0280000000000009E-2</v>
      </c>
      <c r="AA312" s="67"/>
      <c r="AB312" s="67"/>
      <c r="AC312" s="67"/>
    </row>
    <row r="313" spans="1:68" x14ac:dyDescent="0.2">
      <c r="A313" s="645"/>
      <c r="B313" s="645"/>
      <c r="C313" s="645"/>
      <c r="D313" s="645"/>
      <c r="E313" s="645"/>
      <c r="F313" s="645"/>
      <c r="G313" s="645"/>
      <c r="H313" s="645"/>
      <c r="I313" s="645"/>
      <c r="J313" s="645"/>
      <c r="K313" s="645"/>
      <c r="L313" s="645"/>
      <c r="M313" s="645"/>
      <c r="N313" s="645"/>
      <c r="O313" s="646"/>
      <c r="P313" s="642" t="s">
        <v>40</v>
      </c>
      <c r="Q313" s="643"/>
      <c r="R313" s="643"/>
      <c r="S313" s="643"/>
      <c r="T313" s="643"/>
      <c r="U313" s="643"/>
      <c r="V313" s="644"/>
      <c r="W313" s="42" t="s">
        <v>0</v>
      </c>
      <c r="X313" s="43">
        <f>IFERROR(SUM(X311:X311),"0")</f>
        <v>26.400000000000002</v>
      </c>
      <c r="Y313" s="43">
        <f>IFERROR(SUM(Y311:Y311),"0")</f>
        <v>27.72</v>
      </c>
      <c r="Z313" s="42"/>
      <c r="AA313" s="67"/>
      <c r="AB313" s="67"/>
      <c r="AC313" s="67"/>
    </row>
    <row r="314" spans="1:68" ht="14.25" hidden="1" customHeight="1" x14ac:dyDescent="0.25">
      <c r="A314" s="656" t="s">
        <v>537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6"/>
      <c r="AB314" s="66"/>
      <c r="AC314" s="80"/>
    </row>
    <row r="315" spans="1:68" ht="27" hidden="1" customHeight="1" x14ac:dyDescent="0.25">
      <c r="A315" s="63" t="s">
        <v>538</v>
      </c>
      <c r="B315" s="63" t="s">
        <v>539</v>
      </c>
      <c r="C315" s="36">
        <v>4301040362</v>
      </c>
      <c r="D315" s="651">
        <v>4680115886803</v>
      </c>
      <c r="E315" s="651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77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3"/>
      <c r="R315" s="653"/>
      <c r="S315" s="653"/>
      <c r="T315" s="65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645"/>
      <c r="B316" s="645"/>
      <c r="C316" s="645"/>
      <c r="D316" s="645"/>
      <c r="E316" s="645"/>
      <c r="F316" s="645"/>
      <c r="G316" s="645"/>
      <c r="H316" s="645"/>
      <c r="I316" s="645"/>
      <c r="J316" s="645"/>
      <c r="K316" s="645"/>
      <c r="L316" s="645"/>
      <c r="M316" s="645"/>
      <c r="N316" s="645"/>
      <c r="O316" s="646"/>
      <c r="P316" s="642" t="s">
        <v>40</v>
      </c>
      <c r="Q316" s="643"/>
      <c r="R316" s="643"/>
      <c r="S316" s="643"/>
      <c r="T316" s="643"/>
      <c r="U316" s="643"/>
      <c r="V316" s="64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645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42" t="s">
        <v>40</v>
      </c>
      <c r="Q317" s="643"/>
      <c r="R317" s="643"/>
      <c r="S317" s="643"/>
      <c r="T317" s="643"/>
      <c r="U317" s="643"/>
      <c r="V317" s="64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656" t="s">
        <v>354</v>
      </c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6"/>
      <c r="P318" s="656"/>
      <c r="Q318" s="656"/>
      <c r="R318" s="656"/>
      <c r="S318" s="656"/>
      <c r="T318" s="656"/>
      <c r="U318" s="656"/>
      <c r="V318" s="656"/>
      <c r="W318" s="656"/>
      <c r="X318" s="656"/>
      <c r="Y318" s="656"/>
      <c r="Z318" s="656"/>
      <c r="AA318" s="66"/>
      <c r="AB318" s="66"/>
      <c r="AC318" s="80"/>
    </row>
    <row r="319" spans="1:68" ht="27" hidden="1" customHeight="1" x14ac:dyDescent="0.25">
      <c r="A319" s="63" t="s">
        <v>541</v>
      </c>
      <c r="B319" s="63" t="s">
        <v>542</v>
      </c>
      <c r="C319" s="36">
        <v>4301041004</v>
      </c>
      <c r="D319" s="651">
        <v>4680115886704</v>
      </c>
      <c r="E319" s="651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76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3"/>
      <c r="R319" s="653"/>
      <c r="S319" s="653"/>
      <c r="T319" s="65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544</v>
      </c>
      <c r="B320" s="63" t="s">
        <v>545</v>
      </c>
      <c r="C320" s="36">
        <v>4301041008</v>
      </c>
      <c r="D320" s="651">
        <v>4680115886681</v>
      </c>
      <c r="E320" s="651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76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3"/>
      <c r="R320" s="653"/>
      <c r="S320" s="653"/>
      <c r="T320" s="654"/>
      <c r="U320" s="39" t="s">
        <v>46</v>
      </c>
      <c r="V320" s="39" t="s">
        <v>46</v>
      </c>
      <c r="W320" s="40" t="s">
        <v>0</v>
      </c>
      <c r="X320" s="58">
        <v>14.399999999999999</v>
      </c>
      <c r="Y320" s="55">
        <f>IFERROR(IF(X320="",0,CEILING((X320/$H320),1)*$H320),"")</f>
        <v>14.4</v>
      </c>
      <c r="Z320" s="41">
        <f>IFERROR(IF(Y320=0,"",ROUNDUP(Y320/H320,0)*0.0059),"")</f>
        <v>4.7199999999999999E-2</v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15.799999999999999</v>
      </c>
      <c r="BN320" s="78">
        <f>IFERROR(Y320*I320/H320,"0")</f>
        <v>15.8</v>
      </c>
      <c r="BO320" s="78">
        <f>IFERROR(1/J320*(X320/H320),"0")</f>
        <v>3.7037037037037028E-2</v>
      </c>
      <c r="BP320" s="78">
        <f>IFERROR(1/J320*(Y320/H320),"0")</f>
        <v>3.7037037037037035E-2</v>
      </c>
    </row>
    <row r="321" spans="1:68" ht="27" hidden="1" customHeight="1" x14ac:dyDescent="0.25">
      <c r="A321" s="63" t="s">
        <v>546</v>
      </c>
      <c r="B321" s="63" t="s">
        <v>547</v>
      </c>
      <c r="C321" s="36">
        <v>4301041007</v>
      </c>
      <c r="D321" s="651">
        <v>4680115886735</v>
      </c>
      <c r="E321" s="651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77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3"/>
      <c r="R321" s="653"/>
      <c r="S321" s="653"/>
      <c r="T321" s="654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645"/>
      <c r="B322" s="645"/>
      <c r="C322" s="645"/>
      <c r="D322" s="645"/>
      <c r="E322" s="645"/>
      <c r="F322" s="645"/>
      <c r="G322" s="645"/>
      <c r="H322" s="645"/>
      <c r="I322" s="645"/>
      <c r="J322" s="645"/>
      <c r="K322" s="645"/>
      <c r="L322" s="645"/>
      <c r="M322" s="645"/>
      <c r="N322" s="645"/>
      <c r="O322" s="646"/>
      <c r="P322" s="642" t="s">
        <v>40</v>
      </c>
      <c r="Q322" s="643"/>
      <c r="R322" s="643"/>
      <c r="S322" s="643"/>
      <c r="T322" s="643"/>
      <c r="U322" s="643"/>
      <c r="V322" s="644"/>
      <c r="W322" s="42" t="s">
        <v>39</v>
      </c>
      <c r="X322" s="43">
        <f>IFERROR(X319/H319,"0")+IFERROR(X320/H320,"0")+IFERROR(X321/H321,"0")</f>
        <v>7.9999999999999991</v>
      </c>
      <c r="Y322" s="43">
        <f>IFERROR(Y319/H319,"0")+IFERROR(Y320/H320,"0")+IFERROR(Y321/H321,"0")</f>
        <v>8</v>
      </c>
      <c r="Z322" s="43">
        <f>IFERROR(IF(Z319="",0,Z319),"0")+IFERROR(IF(Z320="",0,Z320),"0")+IFERROR(IF(Z321="",0,Z321),"0")</f>
        <v>4.7199999999999999E-2</v>
      </c>
      <c r="AA322" s="67"/>
      <c r="AB322" s="67"/>
      <c r="AC322" s="67"/>
    </row>
    <row r="323" spans="1:68" x14ac:dyDescent="0.2">
      <c r="A323" s="645"/>
      <c r="B323" s="645"/>
      <c r="C323" s="645"/>
      <c r="D323" s="645"/>
      <c r="E323" s="645"/>
      <c r="F323" s="645"/>
      <c r="G323" s="645"/>
      <c r="H323" s="645"/>
      <c r="I323" s="645"/>
      <c r="J323" s="645"/>
      <c r="K323" s="645"/>
      <c r="L323" s="645"/>
      <c r="M323" s="645"/>
      <c r="N323" s="645"/>
      <c r="O323" s="646"/>
      <c r="P323" s="642" t="s">
        <v>40</v>
      </c>
      <c r="Q323" s="643"/>
      <c r="R323" s="643"/>
      <c r="S323" s="643"/>
      <c r="T323" s="643"/>
      <c r="U323" s="643"/>
      <c r="V323" s="644"/>
      <c r="W323" s="42" t="s">
        <v>0</v>
      </c>
      <c r="X323" s="43">
        <f>IFERROR(SUM(X319:X321),"0")</f>
        <v>14.399999999999999</v>
      </c>
      <c r="Y323" s="43">
        <f>IFERROR(SUM(Y319:Y321),"0")</f>
        <v>14.4</v>
      </c>
      <c r="Z323" s="42"/>
      <c r="AA323" s="67"/>
      <c r="AB323" s="67"/>
      <c r="AC323" s="67"/>
    </row>
    <row r="324" spans="1:68" ht="16.5" hidden="1" customHeight="1" x14ac:dyDescent="0.25">
      <c r="A324" s="655" t="s">
        <v>548</v>
      </c>
      <c r="B324" s="655"/>
      <c r="C324" s="655"/>
      <c r="D324" s="655"/>
      <c r="E324" s="655"/>
      <c r="F324" s="655"/>
      <c r="G324" s="655"/>
      <c r="H324" s="655"/>
      <c r="I324" s="655"/>
      <c r="J324" s="655"/>
      <c r="K324" s="655"/>
      <c r="L324" s="655"/>
      <c r="M324" s="655"/>
      <c r="N324" s="655"/>
      <c r="O324" s="655"/>
      <c r="P324" s="655"/>
      <c r="Q324" s="655"/>
      <c r="R324" s="655"/>
      <c r="S324" s="655"/>
      <c r="T324" s="655"/>
      <c r="U324" s="655"/>
      <c r="V324" s="655"/>
      <c r="W324" s="655"/>
      <c r="X324" s="655"/>
      <c r="Y324" s="655"/>
      <c r="Z324" s="655"/>
      <c r="AA324" s="65"/>
      <c r="AB324" s="65"/>
      <c r="AC324" s="79"/>
    </row>
    <row r="325" spans="1:68" ht="14.25" hidden="1" customHeight="1" x14ac:dyDescent="0.25">
      <c r="A325" s="656" t="s">
        <v>128</v>
      </c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6"/>
      <c r="P325" s="656"/>
      <c r="Q325" s="656"/>
      <c r="R325" s="656"/>
      <c r="S325" s="656"/>
      <c r="T325" s="656"/>
      <c r="U325" s="656"/>
      <c r="V325" s="656"/>
      <c r="W325" s="656"/>
      <c r="X325" s="656"/>
      <c r="Y325" s="656"/>
      <c r="Z325" s="656"/>
      <c r="AA325" s="66"/>
      <c r="AB325" s="66"/>
      <c r="AC325" s="80"/>
    </row>
    <row r="326" spans="1:68" ht="27" hidden="1" customHeight="1" x14ac:dyDescent="0.25">
      <c r="A326" s="63" t="s">
        <v>549</v>
      </c>
      <c r="B326" s="63" t="s">
        <v>550</v>
      </c>
      <c r="C326" s="36">
        <v>4301011855</v>
      </c>
      <c r="D326" s="651">
        <v>4680115885837</v>
      </c>
      <c r="E326" s="651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7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3"/>
      <c r="R326" s="653"/>
      <c r="S326" s="653"/>
      <c r="T326" s="65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552</v>
      </c>
      <c r="B327" s="63" t="s">
        <v>553</v>
      </c>
      <c r="C327" s="36">
        <v>4301012234</v>
      </c>
      <c r="D327" s="651">
        <v>4680115887237</v>
      </c>
      <c r="E327" s="651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76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3"/>
      <c r="R327" s="653"/>
      <c r="S327" s="653"/>
      <c r="T327" s="65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555</v>
      </c>
      <c r="B328" s="63" t="s">
        <v>556</v>
      </c>
      <c r="C328" s="36">
        <v>4301011850</v>
      </c>
      <c r="D328" s="651">
        <v>4680115885806</v>
      </c>
      <c r="E328" s="651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3"/>
      <c r="R328" s="653"/>
      <c r="S328" s="653"/>
      <c r="T328" s="654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558</v>
      </c>
      <c r="B329" s="63" t="s">
        <v>559</v>
      </c>
      <c r="C329" s="36">
        <v>4301011852</v>
      </c>
      <c r="D329" s="651">
        <v>4680115885844</v>
      </c>
      <c r="E329" s="651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7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3"/>
      <c r="R329" s="653"/>
      <c r="S329" s="653"/>
      <c r="T329" s="65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561</v>
      </c>
      <c r="B330" s="63" t="s">
        <v>562</v>
      </c>
      <c r="C330" s="36">
        <v>4301011851</v>
      </c>
      <c r="D330" s="651">
        <v>4680115885820</v>
      </c>
      <c r="E330" s="651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7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3"/>
      <c r="R330" s="653"/>
      <c r="S330" s="653"/>
      <c r="T330" s="65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645"/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6"/>
      <c r="P331" s="642" t="s">
        <v>40</v>
      </c>
      <c r="Q331" s="643"/>
      <c r="R331" s="643"/>
      <c r="S331" s="643"/>
      <c r="T331" s="643"/>
      <c r="U331" s="643"/>
      <c r="V331" s="644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645"/>
      <c r="B332" s="645"/>
      <c r="C332" s="645"/>
      <c r="D332" s="645"/>
      <c r="E332" s="645"/>
      <c r="F332" s="645"/>
      <c r="G332" s="645"/>
      <c r="H332" s="645"/>
      <c r="I332" s="645"/>
      <c r="J332" s="645"/>
      <c r="K332" s="645"/>
      <c r="L332" s="645"/>
      <c r="M332" s="645"/>
      <c r="N332" s="645"/>
      <c r="O332" s="646"/>
      <c r="P332" s="642" t="s">
        <v>40</v>
      </c>
      <c r="Q332" s="643"/>
      <c r="R332" s="643"/>
      <c r="S332" s="643"/>
      <c r="T332" s="643"/>
      <c r="U332" s="643"/>
      <c r="V332" s="644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655" t="s">
        <v>564</v>
      </c>
      <c r="B333" s="655"/>
      <c r="C333" s="655"/>
      <c r="D333" s="655"/>
      <c r="E333" s="655"/>
      <c r="F333" s="655"/>
      <c r="G333" s="655"/>
      <c r="H333" s="655"/>
      <c r="I333" s="655"/>
      <c r="J333" s="655"/>
      <c r="K333" s="655"/>
      <c r="L333" s="655"/>
      <c r="M333" s="655"/>
      <c r="N333" s="655"/>
      <c r="O333" s="655"/>
      <c r="P333" s="655"/>
      <c r="Q333" s="655"/>
      <c r="R333" s="655"/>
      <c r="S333" s="655"/>
      <c r="T333" s="655"/>
      <c r="U333" s="655"/>
      <c r="V333" s="655"/>
      <c r="W333" s="655"/>
      <c r="X333" s="655"/>
      <c r="Y333" s="655"/>
      <c r="Z333" s="655"/>
      <c r="AA333" s="65"/>
      <c r="AB333" s="65"/>
      <c r="AC333" s="79"/>
    </row>
    <row r="334" spans="1:68" ht="14.25" hidden="1" customHeight="1" x14ac:dyDescent="0.25">
      <c r="A334" s="656" t="s">
        <v>86</v>
      </c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6"/>
      <c r="P334" s="656"/>
      <c r="Q334" s="656"/>
      <c r="R334" s="656"/>
      <c r="S334" s="656"/>
      <c r="T334" s="656"/>
      <c r="U334" s="656"/>
      <c r="V334" s="656"/>
      <c r="W334" s="656"/>
      <c r="X334" s="656"/>
      <c r="Y334" s="656"/>
      <c r="Z334" s="656"/>
      <c r="AA334" s="66"/>
      <c r="AB334" s="66"/>
      <c r="AC334" s="80"/>
    </row>
    <row r="335" spans="1:68" ht="27" hidden="1" customHeight="1" x14ac:dyDescent="0.25">
      <c r="A335" s="63" t="s">
        <v>565</v>
      </c>
      <c r="B335" s="63" t="s">
        <v>566</v>
      </c>
      <c r="C335" s="36">
        <v>4301051893</v>
      </c>
      <c r="D335" s="651">
        <v>4680115886186</v>
      </c>
      <c r="E335" s="651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3"/>
      <c r="R335" s="653"/>
      <c r="S335" s="653"/>
      <c r="T335" s="65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568</v>
      </c>
      <c r="B336" s="63" t="s">
        <v>569</v>
      </c>
      <c r="C336" s="36">
        <v>4301051795</v>
      </c>
      <c r="D336" s="651">
        <v>4680115881228</v>
      </c>
      <c r="E336" s="651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7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3"/>
      <c r="R336" s="653"/>
      <c r="S336" s="653"/>
      <c r="T336" s="654"/>
      <c r="U336" s="39" t="s">
        <v>46</v>
      </c>
      <c r="V336" s="39" t="s">
        <v>46</v>
      </c>
      <c r="W336" s="40" t="s">
        <v>0</v>
      </c>
      <c r="X336" s="58">
        <v>40</v>
      </c>
      <c r="Y336" s="55">
        <f>IFERROR(IF(X336="",0,CEILING((X336/$H336),1)*$H336),"")</f>
        <v>40.799999999999997</v>
      </c>
      <c r="Z336" s="41">
        <f>IFERROR(IF(Y336=0,"",ROUNDUP(Y336/H336,0)*0.00651),"")</f>
        <v>0.11067</v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44.20000000000001</v>
      </c>
      <c r="BN336" s="78">
        <f>IFERROR(Y336*I336/H336,"0")</f>
        <v>45.084000000000003</v>
      </c>
      <c r="BO336" s="78">
        <f>IFERROR(1/J336*(X336/H336),"0")</f>
        <v>9.1575091575091583E-2</v>
      </c>
      <c r="BP336" s="78">
        <f>IFERROR(1/J336*(Y336/H336),"0")</f>
        <v>9.3406593406593408E-2</v>
      </c>
    </row>
    <row r="337" spans="1:68" ht="27" customHeight="1" x14ac:dyDescent="0.25">
      <c r="A337" s="63" t="s">
        <v>571</v>
      </c>
      <c r="B337" s="63" t="s">
        <v>572</v>
      </c>
      <c r="C337" s="36">
        <v>4301051388</v>
      </c>
      <c r="D337" s="651">
        <v>4680115881211</v>
      </c>
      <c r="E337" s="651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3"/>
      <c r="R337" s="653"/>
      <c r="S337" s="653"/>
      <c r="T337" s="654"/>
      <c r="U337" s="39" t="s">
        <v>46</v>
      </c>
      <c r="V337" s="39" t="s">
        <v>46</v>
      </c>
      <c r="W337" s="40" t="s">
        <v>0</v>
      </c>
      <c r="X337" s="58">
        <v>200</v>
      </c>
      <c r="Y337" s="55">
        <f>IFERROR(IF(X337="",0,CEILING((X337/$H337),1)*$H337),"")</f>
        <v>201.6</v>
      </c>
      <c r="Z337" s="41">
        <f>IFERROR(IF(Y337=0,"",ROUNDUP(Y337/H337,0)*0.00651),"")</f>
        <v>0.54683999999999999</v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215</v>
      </c>
      <c r="BN337" s="78">
        <f>IFERROR(Y337*I337/H337,"0")</f>
        <v>216.72000000000003</v>
      </c>
      <c r="BO337" s="78">
        <f>IFERROR(1/J337*(X337/H337),"0")</f>
        <v>0.45787545787545797</v>
      </c>
      <c r="BP337" s="78">
        <f>IFERROR(1/J337*(Y337/H337),"0")</f>
        <v>0.46153846153846156</v>
      </c>
    </row>
    <row r="338" spans="1:68" x14ac:dyDescent="0.2">
      <c r="A338" s="645"/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6"/>
      <c r="P338" s="642" t="s">
        <v>40</v>
      </c>
      <c r="Q338" s="643"/>
      <c r="R338" s="643"/>
      <c r="S338" s="643"/>
      <c r="T338" s="643"/>
      <c r="U338" s="643"/>
      <c r="V338" s="644"/>
      <c r="W338" s="42" t="s">
        <v>39</v>
      </c>
      <c r="X338" s="43">
        <f>IFERROR(X335/H335,"0")+IFERROR(X336/H336,"0")+IFERROR(X337/H337,"0")</f>
        <v>100.00000000000001</v>
      </c>
      <c r="Y338" s="43">
        <f>IFERROR(Y335/H335,"0")+IFERROR(Y336/H336,"0")+IFERROR(Y337/H337,"0")</f>
        <v>101</v>
      </c>
      <c r="Z338" s="43">
        <f>IFERROR(IF(Z335="",0,Z335),"0")+IFERROR(IF(Z336="",0,Z336),"0")+IFERROR(IF(Z337="",0,Z337),"0")</f>
        <v>0.65751000000000004</v>
      </c>
      <c r="AA338" s="67"/>
      <c r="AB338" s="67"/>
      <c r="AC338" s="67"/>
    </row>
    <row r="339" spans="1:68" x14ac:dyDescent="0.2">
      <c r="A339" s="645"/>
      <c r="B339" s="645"/>
      <c r="C339" s="645"/>
      <c r="D339" s="645"/>
      <c r="E339" s="645"/>
      <c r="F339" s="645"/>
      <c r="G339" s="645"/>
      <c r="H339" s="645"/>
      <c r="I339" s="645"/>
      <c r="J339" s="645"/>
      <c r="K339" s="645"/>
      <c r="L339" s="645"/>
      <c r="M339" s="645"/>
      <c r="N339" s="645"/>
      <c r="O339" s="646"/>
      <c r="P339" s="642" t="s">
        <v>40</v>
      </c>
      <c r="Q339" s="643"/>
      <c r="R339" s="643"/>
      <c r="S339" s="643"/>
      <c r="T339" s="643"/>
      <c r="U339" s="643"/>
      <c r="V339" s="644"/>
      <c r="W339" s="42" t="s">
        <v>0</v>
      </c>
      <c r="X339" s="43">
        <f>IFERROR(SUM(X335:X337),"0")</f>
        <v>240</v>
      </c>
      <c r="Y339" s="43">
        <f>IFERROR(SUM(Y335:Y337),"0")</f>
        <v>242.39999999999998</v>
      </c>
      <c r="Z339" s="42"/>
      <c r="AA339" s="67"/>
      <c r="AB339" s="67"/>
      <c r="AC339" s="67"/>
    </row>
    <row r="340" spans="1:68" ht="16.5" hidden="1" customHeight="1" x14ac:dyDescent="0.25">
      <c r="A340" s="655" t="s">
        <v>573</v>
      </c>
      <c r="B340" s="655"/>
      <c r="C340" s="655"/>
      <c r="D340" s="655"/>
      <c r="E340" s="655"/>
      <c r="F340" s="655"/>
      <c r="G340" s="655"/>
      <c r="H340" s="655"/>
      <c r="I340" s="655"/>
      <c r="J340" s="655"/>
      <c r="K340" s="655"/>
      <c r="L340" s="655"/>
      <c r="M340" s="655"/>
      <c r="N340" s="655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  <c r="AA340" s="65"/>
      <c r="AB340" s="65"/>
      <c r="AC340" s="79"/>
    </row>
    <row r="341" spans="1:68" ht="14.25" hidden="1" customHeight="1" x14ac:dyDescent="0.25">
      <c r="A341" s="656" t="s">
        <v>77</v>
      </c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6"/>
      <c r="P341" s="656"/>
      <c r="Q341" s="656"/>
      <c r="R341" s="656"/>
      <c r="S341" s="656"/>
      <c r="T341" s="656"/>
      <c r="U341" s="656"/>
      <c r="V341" s="656"/>
      <c r="W341" s="656"/>
      <c r="X341" s="656"/>
      <c r="Y341" s="656"/>
      <c r="Z341" s="656"/>
      <c r="AA341" s="66"/>
      <c r="AB341" s="66"/>
      <c r="AC341" s="80"/>
    </row>
    <row r="342" spans="1:68" ht="27" hidden="1" customHeight="1" x14ac:dyDescent="0.25">
      <c r="A342" s="63" t="s">
        <v>574</v>
      </c>
      <c r="B342" s="63" t="s">
        <v>575</v>
      </c>
      <c r="C342" s="36">
        <v>4301031445</v>
      </c>
      <c r="D342" s="651">
        <v>4680115888319</v>
      </c>
      <c r="E342" s="651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75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3"/>
      <c r="R342" s="653"/>
      <c r="S342" s="653"/>
      <c r="T342" s="65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576</v>
      </c>
      <c r="B343" s="63" t="s">
        <v>577</v>
      </c>
      <c r="C343" s="36">
        <v>4301031502</v>
      </c>
      <c r="D343" s="651">
        <v>4680115884700</v>
      </c>
      <c r="E343" s="651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5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3"/>
      <c r="R343" s="653"/>
      <c r="S343" s="653"/>
      <c r="T343" s="65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579</v>
      </c>
      <c r="B344" s="63" t="s">
        <v>580</v>
      </c>
      <c r="C344" s="36">
        <v>4301031307</v>
      </c>
      <c r="D344" s="651">
        <v>4680115880344</v>
      </c>
      <c r="E344" s="651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3"/>
      <c r="R344" s="653"/>
      <c r="S344" s="653"/>
      <c r="T344" s="65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582</v>
      </c>
      <c r="B345" s="63" t="s">
        <v>583</v>
      </c>
      <c r="C345" s="36">
        <v>4301031501</v>
      </c>
      <c r="D345" s="651">
        <v>4680115886919</v>
      </c>
      <c r="E345" s="651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75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3"/>
      <c r="R345" s="653"/>
      <c r="S345" s="653"/>
      <c r="T345" s="654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585</v>
      </c>
      <c r="B346" s="63" t="s">
        <v>586</v>
      </c>
      <c r="C346" s="36">
        <v>4301031246</v>
      </c>
      <c r="D346" s="651">
        <v>4680115883970</v>
      </c>
      <c r="E346" s="651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5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3"/>
      <c r="R346" s="653"/>
      <c r="S346" s="653"/>
      <c r="T346" s="65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45"/>
      <c r="B347" s="645"/>
      <c r="C347" s="645"/>
      <c r="D347" s="645"/>
      <c r="E347" s="645"/>
      <c r="F347" s="645"/>
      <c r="G347" s="645"/>
      <c r="H347" s="645"/>
      <c r="I347" s="645"/>
      <c r="J347" s="645"/>
      <c r="K347" s="645"/>
      <c r="L347" s="645"/>
      <c r="M347" s="645"/>
      <c r="N347" s="645"/>
      <c r="O347" s="646"/>
      <c r="P347" s="642" t="s">
        <v>40</v>
      </c>
      <c r="Q347" s="643"/>
      <c r="R347" s="643"/>
      <c r="S347" s="643"/>
      <c r="T347" s="643"/>
      <c r="U347" s="643"/>
      <c r="V347" s="644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45"/>
      <c r="B348" s="645"/>
      <c r="C348" s="645"/>
      <c r="D348" s="645"/>
      <c r="E348" s="645"/>
      <c r="F348" s="645"/>
      <c r="G348" s="645"/>
      <c r="H348" s="645"/>
      <c r="I348" s="645"/>
      <c r="J348" s="645"/>
      <c r="K348" s="645"/>
      <c r="L348" s="645"/>
      <c r="M348" s="645"/>
      <c r="N348" s="645"/>
      <c r="O348" s="646"/>
      <c r="P348" s="642" t="s">
        <v>40</v>
      </c>
      <c r="Q348" s="643"/>
      <c r="R348" s="643"/>
      <c r="S348" s="643"/>
      <c r="T348" s="643"/>
      <c r="U348" s="643"/>
      <c r="V348" s="644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656" t="s">
        <v>86</v>
      </c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6"/>
      <c r="P349" s="656"/>
      <c r="Q349" s="656"/>
      <c r="R349" s="656"/>
      <c r="S349" s="656"/>
      <c r="T349" s="656"/>
      <c r="U349" s="656"/>
      <c r="V349" s="656"/>
      <c r="W349" s="656"/>
      <c r="X349" s="656"/>
      <c r="Y349" s="656"/>
      <c r="Z349" s="656"/>
      <c r="AA349" s="66"/>
      <c r="AB349" s="66"/>
      <c r="AC349" s="80"/>
    </row>
    <row r="350" spans="1:68" ht="27" hidden="1" customHeight="1" x14ac:dyDescent="0.25">
      <c r="A350" s="63" t="s">
        <v>588</v>
      </c>
      <c r="B350" s="63" t="s">
        <v>589</v>
      </c>
      <c r="C350" s="36">
        <v>4301051782</v>
      </c>
      <c r="D350" s="651">
        <v>4680115884618</v>
      </c>
      <c r="E350" s="651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7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3"/>
      <c r="R350" s="653"/>
      <c r="S350" s="653"/>
      <c r="T350" s="65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4301052057</v>
      </c>
      <c r="D351" s="651">
        <v>4680115887114</v>
      </c>
      <c r="E351" s="651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7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3"/>
      <c r="R351" s="653"/>
      <c r="S351" s="653"/>
      <c r="T351" s="65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45"/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6"/>
      <c r="P352" s="642" t="s">
        <v>40</v>
      </c>
      <c r="Q352" s="643"/>
      <c r="R352" s="643"/>
      <c r="S352" s="643"/>
      <c r="T352" s="643"/>
      <c r="U352" s="643"/>
      <c r="V352" s="644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645"/>
      <c r="B353" s="645"/>
      <c r="C353" s="645"/>
      <c r="D353" s="645"/>
      <c r="E353" s="645"/>
      <c r="F353" s="645"/>
      <c r="G353" s="645"/>
      <c r="H353" s="645"/>
      <c r="I353" s="645"/>
      <c r="J353" s="645"/>
      <c r="K353" s="645"/>
      <c r="L353" s="645"/>
      <c r="M353" s="645"/>
      <c r="N353" s="645"/>
      <c r="O353" s="646"/>
      <c r="P353" s="642" t="s">
        <v>40</v>
      </c>
      <c r="Q353" s="643"/>
      <c r="R353" s="643"/>
      <c r="S353" s="643"/>
      <c r="T353" s="643"/>
      <c r="U353" s="643"/>
      <c r="V353" s="644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655" t="s">
        <v>594</v>
      </c>
      <c r="B354" s="655"/>
      <c r="C354" s="655"/>
      <c r="D354" s="655"/>
      <c r="E354" s="655"/>
      <c r="F354" s="655"/>
      <c r="G354" s="655"/>
      <c r="H354" s="655"/>
      <c r="I354" s="655"/>
      <c r="J354" s="655"/>
      <c r="K354" s="655"/>
      <c r="L354" s="655"/>
      <c r="M354" s="655"/>
      <c r="N354" s="655"/>
      <c r="O354" s="655"/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  <c r="AA354" s="65"/>
      <c r="AB354" s="65"/>
      <c r="AC354" s="79"/>
    </row>
    <row r="355" spans="1:68" ht="14.25" hidden="1" customHeight="1" x14ac:dyDescent="0.25">
      <c r="A355" s="656" t="s">
        <v>128</v>
      </c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6"/>
      <c r="P355" s="656"/>
      <c r="Q355" s="656"/>
      <c r="R355" s="656"/>
      <c r="S355" s="656"/>
      <c r="T355" s="656"/>
      <c r="U355" s="656"/>
      <c r="V355" s="656"/>
      <c r="W355" s="656"/>
      <c r="X355" s="656"/>
      <c r="Y355" s="656"/>
      <c r="Z355" s="656"/>
      <c r="AA355" s="66"/>
      <c r="AB355" s="66"/>
      <c r="AC355" s="80"/>
    </row>
    <row r="356" spans="1:68" ht="27" hidden="1" customHeight="1" x14ac:dyDescent="0.25">
      <c r="A356" s="63" t="s">
        <v>595</v>
      </c>
      <c r="B356" s="63" t="s">
        <v>596</v>
      </c>
      <c r="C356" s="36">
        <v>4301012324</v>
      </c>
      <c r="D356" s="651">
        <v>4680115887947</v>
      </c>
      <c r="E356" s="651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75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3"/>
      <c r="R356" s="653"/>
      <c r="S356" s="653"/>
      <c r="T356" s="654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25">
      <c r="A357" s="63" t="s">
        <v>597</v>
      </c>
      <c r="B357" s="63" t="s">
        <v>598</v>
      </c>
      <c r="C357" s="36">
        <v>4301012325</v>
      </c>
      <c r="D357" s="651">
        <v>4680115887978</v>
      </c>
      <c r="E357" s="651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75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3"/>
      <c r="R357" s="653"/>
      <c r="S357" s="653"/>
      <c r="T357" s="654"/>
      <c r="U357" s="39" t="s">
        <v>46</v>
      </c>
      <c r="V357" s="39" t="s">
        <v>46</v>
      </c>
      <c r="W357" s="40" t="s">
        <v>0</v>
      </c>
      <c r="X357" s="58">
        <v>100</v>
      </c>
      <c r="Y357" s="55">
        <f>IFERROR(IF(X357="",0,CEILING((X357/$H357),1)*$H357),"")</f>
        <v>101.39999999999999</v>
      </c>
      <c r="Z357" s="41">
        <f>IFERROR(IF(Y357=0,"",ROUNDUP(Y357/H357,0)*0.01898),"")</f>
        <v>0.24674000000000001</v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105.25641025641028</v>
      </c>
      <c r="BN357" s="78">
        <f>IFERROR(Y357*I357/H357,"0")</f>
        <v>106.73</v>
      </c>
      <c r="BO357" s="78">
        <f>IFERROR(1/J357*(X357/H357),"0")</f>
        <v>0.20032051282051283</v>
      </c>
      <c r="BP357" s="78">
        <f>IFERROR(1/J357*(Y357/H357),"0")</f>
        <v>0.203125</v>
      </c>
    </row>
    <row r="358" spans="1:68" ht="27" customHeight="1" x14ac:dyDescent="0.25">
      <c r="A358" s="63" t="s">
        <v>600</v>
      </c>
      <c r="B358" s="63" t="s">
        <v>601</v>
      </c>
      <c r="C358" s="36">
        <v>4301012327</v>
      </c>
      <c r="D358" s="651">
        <v>4680115887992</v>
      </c>
      <c r="E358" s="651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74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3"/>
      <c r="R358" s="653"/>
      <c r="S358" s="653"/>
      <c r="T358" s="654"/>
      <c r="U358" s="39" t="s">
        <v>46</v>
      </c>
      <c r="V358" s="39" t="s">
        <v>46</v>
      </c>
      <c r="W358" s="40" t="s">
        <v>0</v>
      </c>
      <c r="X358" s="58">
        <v>90</v>
      </c>
      <c r="Y358" s="55">
        <f>IFERROR(IF(X358="",0,CEILING((X358/$H358),1)*$H358),"")</f>
        <v>93.6</v>
      </c>
      <c r="Z358" s="41">
        <f>IFERROR(IF(Y358=0,"",ROUNDUP(Y358/H358,0)*0.01898),"")</f>
        <v>0.22776000000000002</v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94.730769230769241</v>
      </c>
      <c r="BN358" s="78">
        <f>IFERROR(Y358*I358/H358,"0")</f>
        <v>98.52000000000001</v>
      </c>
      <c r="BO358" s="78">
        <f>IFERROR(1/J358*(X358/H358),"0")</f>
        <v>0.18028846153846154</v>
      </c>
      <c r="BP358" s="78">
        <f>IFERROR(1/J358*(Y358/H358),"0")</f>
        <v>0.1875</v>
      </c>
    </row>
    <row r="359" spans="1:68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42" t="s">
        <v>40</v>
      </c>
      <c r="Q359" s="643"/>
      <c r="R359" s="643"/>
      <c r="S359" s="643"/>
      <c r="T359" s="643"/>
      <c r="U359" s="643"/>
      <c r="V359" s="644"/>
      <c r="W359" s="42" t="s">
        <v>39</v>
      </c>
      <c r="X359" s="43">
        <f>IFERROR(X356/H356,"0")+IFERROR(X357/H357,"0")+IFERROR(X358/H358,"0")</f>
        <v>24.358974358974358</v>
      </c>
      <c r="Y359" s="43">
        <f>IFERROR(Y356/H356,"0")+IFERROR(Y357/H357,"0")+IFERROR(Y358/H358,"0")</f>
        <v>25</v>
      </c>
      <c r="Z359" s="43">
        <f>IFERROR(IF(Z356="",0,Z356),"0")+IFERROR(IF(Z357="",0,Z357),"0")+IFERROR(IF(Z358="",0,Z358),"0")</f>
        <v>0.47450000000000003</v>
      </c>
      <c r="AA359" s="67"/>
      <c r="AB359" s="67"/>
      <c r="AC359" s="67"/>
    </row>
    <row r="360" spans="1:68" x14ac:dyDescent="0.2">
      <c r="A360" s="645"/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6"/>
      <c r="P360" s="642" t="s">
        <v>40</v>
      </c>
      <c r="Q360" s="643"/>
      <c r="R360" s="643"/>
      <c r="S360" s="643"/>
      <c r="T360" s="643"/>
      <c r="U360" s="643"/>
      <c r="V360" s="644"/>
      <c r="W360" s="42" t="s">
        <v>0</v>
      </c>
      <c r="X360" s="43">
        <f>IFERROR(SUM(X356:X358),"0")</f>
        <v>190</v>
      </c>
      <c r="Y360" s="43">
        <f>IFERROR(SUM(Y356:Y358),"0")</f>
        <v>195</v>
      </c>
      <c r="Z360" s="42"/>
      <c r="AA360" s="67"/>
      <c r="AB360" s="67"/>
      <c r="AC360" s="67"/>
    </row>
    <row r="361" spans="1:68" ht="16.5" hidden="1" customHeight="1" x14ac:dyDescent="0.25">
      <c r="A361" s="655" t="s">
        <v>603</v>
      </c>
      <c r="B361" s="655"/>
      <c r="C361" s="655"/>
      <c r="D361" s="655"/>
      <c r="E361" s="655"/>
      <c r="F361" s="655"/>
      <c r="G361" s="655"/>
      <c r="H361" s="655"/>
      <c r="I361" s="655"/>
      <c r="J361" s="655"/>
      <c r="K361" s="655"/>
      <c r="L361" s="655"/>
      <c r="M361" s="655"/>
      <c r="N361" s="655"/>
      <c r="O361" s="655"/>
      <c r="P361" s="655"/>
      <c r="Q361" s="655"/>
      <c r="R361" s="655"/>
      <c r="S361" s="655"/>
      <c r="T361" s="655"/>
      <c r="U361" s="655"/>
      <c r="V361" s="655"/>
      <c r="W361" s="655"/>
      <c r="X361" s="655"/>
      <c r="Y361" s="655"/>
      <c r="Z361" s="655"/>
      <c r="AA361" s="65"/>
      <c r="AB361" s="65"/>
      <c r="AC361" s="79"/>
    </row>
    <row r="362" spans="1:68" ht="14.25" hidden="1" customHeight="1" x14ac:dyDescent="0.25">
      <c r="A362" s="656" t="s">
        <v>128</v>
      </c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6"/>
      <c r="P362" s="656"/>
      <c r="Q362" s="656"/>
      <c r="R362" s="656"/>
      <c r="S362" s="656"/>
      <c r="T362" s="656"/>
      <c r="U362" s="656"/>
      <c r="V362" s="656"/>
      <c r="W362" s="656"/>
      <c r="X362" s="656"/>
      <c r="Y362" s="656"/>
      <c r="Z362" s="656"/>
      <c r="AA362" s="66"/>
      <c r="AB362" s="66"/>
      <c r="AC362" s="80"/>
    </row>
    <row r="363" spans="1:68" ht="27" hidden="1" customHeight="1" x14ac:dyDescent="0.25">
      <c r="A363" s="63" t="s">
        <v>604</v>
      </c>
      <c r="B363" s="63" t="s">
        <v>605</v>
      </c>
      <c r="C363" s="36">
        <v>4301012126</v>
      </c>
      <c r="D363" s="651">
        <v>4607091386004</v>
      </c>
      <c r="E363" s="651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75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53"/>
      <c r="R363" s="653"/>
      <c r="S363" s="653"/>
      <c r="T363" s="65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4301012235</v>
      </c>
      <c r="D364" s="651">
        <v>4680115887190</v>
      </c>
      <c r="E364" s="651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74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3"/>
      <c r="R364" s="653"/>
      <c r="S364" s="653"/>
      <c r="T364" s="65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610</v>
      </c>
      <c r="B365" s="63" t="s">
        <v>611</v>
      </c>
      <c r="C365" s="36">
        <v>4301012233</v>
      </c>
      <c r="D365" s="651">
        <v>4680115887138</v>
      </c>
      <c r="E365" s="651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74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3"/>
      <c r="R365" s="653"/>
      <c r="S365" s="653"/>
      <c r="T365" s="65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4301012016</v>
      </c>
      <c r="D366" s="651">
        <v>4680115885554</v>
      </c>
      <c r="E366" s="651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3"/>
      <c r="R366" s="653"/>
      <c r="S366" s="653"/>
      <c r="T366" s="65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616</v>
      </c>
      <c r="B367" s="63" t="s">
        <v>617</v>
      </c>
      <c r="C367" s="36">
        <v>4301012236</v>
      </c>
      <c r="D367" s="651">
        <v>4680115887220</v>
      </c>
      <c r="E367" s="651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3"/>
      <c r="R367" s="653"/>
      <c r="S367" s="653"/>
      <c r="T367" s="65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618</v>
      </c>
      <c r="B368" s="63" t="s">
        <v>619</v>
      </c>
      <c r="C368" s="36">
        <v>4301011859</v>
      </c>
      <c r="D368" s="651">
        <v>4680115885608</v>
      </c>
      <c r="E368" s="65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3"/>
      <c r="R368" s="653"/>
      <c r="S368" s="653"/>
      <c r="T368" s="65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645"/>
      <c r="B369" s="645"/>
      <c r="C369" s="645"/>
      <c r="D369" s="645"/>
      <c r="E369" s="645"/>
      <c r="F369" s="645"/>
      <c r="G369" s="645"/>
      <c r="H369" s="645"/>
      <c r="I369" s="645"/>
      <c r="J369" s="645"/>
      <c r="K369" s="645"/>
      <c r="L369" s="645"/>
      <c r="M369" s="645"/>
      <c r="N369" s="645"/>
      <c r="O369" s="646"/>
      <c r="P369" s="642" t="s">
        <v>40</v>
      </c>
      <c r="Q369" s="643"/>
      <c r="R369" s="643"/>
      <c r="S369" s="643"/>
      <c r="T369" s="643"/>
      <c r="U369" s="643"/>
      <c r="V369" s="644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645"/>
      <c r="B370" s="645"/>
      <c r="C370" s="645"/>
      <c r="D370" s="645"/>
      <c r="E370" s="645"/>
      <c r="F370" s="645"/>
      <c r="G370" s="645"/>
      <c r="H370" s="645"/>
      <c r="I370" s="645"/>
      <c r="J370" s="645"/>
      <c r="K370" s="645"/>
      <c r="L370" s="645"/>
      <c r="M370" s="645"/>
      <c r="N370" s="645"/>
      <c r="O370" s="646"/>
      <c r="P370" s="642" t="s">
        <v>40</v>
      </c>
      <c r="Q370" s="643"/>
      <c r="R370" s="643"/>
      <c r="S370" s="643"/>
      <c r="T370" s="643"/>
      <c r="U370" s="643"/>
      <c r="V370" s="644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656" t="s">
        <v>77</v>
      </c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6"/>
      <c r="P371" s="656"/>
      <c r="Q371" s="656"/>
      <c r="R371" s="656"/>
      <c r="S371" s="656"/>
      <c r="T371" s="656"/>
      <c r="U371" s="656"/>
      <c r="V371" s="656"/>
      <c r="W371" s="656"/>
      <c r="X371" s="656"/>
      <c r="Y371" s="656"/>
      <c r="Z371" s="656"/>
      <c r="AA371" s="66"/>
      <c r="AB371" s="66"/>
      <c r="AC371" s="80"/>
    </row>
    <row r="372" spans="1:68" ht="27" hidden="1" customHeight="1" x14ac:dyDescent="0.25">
      <c r="A372" s="63" t="s">
        <v>621</v>
      </c>
      <c r="B372" s="63" t="s">
        <v>622</v>
      </c>
      <c r="C372" s="36">
        <v>4301030878</v>
      </c>
      <c r="D372" s="651">
        <v>4607091387193</v>
      </c>
      <c r="E372" s="651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7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3"/>
      <c r="R372" s="653"/>
      <c r="S372" s="653"/>
      <c r="T372" s="65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624</v>
      </c>
      <c r="B373" s="63" t="s">
        <v>625</v>
      </c>
      <c r="C373" s="36">
        <v>4301031153</v>
      </c>
      <c r="D373" s="651">
        <v>4607091387230</v>
      </c>
      <c r="E373" s="65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3"/>
      <c r="R373" s="653"/>
      <c r="S373" s="653"/>
      <c r="T373" s="65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4301031154</v>
      </c>
      <c r="D374" s="651">
        <v>4607091387292</v>
      </c>
      <c r="E374" s="651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3"/>
      <c r="R374" s="653"/>
      <c r="S374" s="653"/>
      <c r="T374" s="65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4301031152</v>
      </c>
      <c r="D375" s="651">
        <v>4607091387285</v>
      </c>
      <c r="E375" s="651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73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3"/>
      <c r="R375" s="653"/>
      <c r="S375" s="653"/>
      <c r="T375" s="654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4301031305</v>
      </c>
      <c r="D376" s="651">
        <v>4607091389845</v>
      </c>
      <c r="E376" s="651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73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3"/>
      <c r="R376" s="653"/>
      <c r="S376" s="653"/>
      <c r="T376" s="654"/>
      <c r="U376" s="39" t="s">
        <v>46</v>
      </c>
      <c r="V376" s="39" t="s">
        <v>46</v>
      </c>
      <c r="W376" s="40" t="s">
        <v>0</v>
      </c>
      <c r="X376" s="58">
        <v>315</v>
      </c>
      <c r="Y376" s="55">
        <f t="shared" si="47"/>
        <v>315</v>
      </c>
      <c r="Z376" s="41">
        <f>IFERROR(IF(Y376=0,"",ROUNDUP(Y376/H376,0)*0.00502),"")</f>
        <v>0.753</v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330</v>
      </c>
      <c r="BN376" s="78">
        <f t="shared" si="49"/>
        <v>330</v>
      </c>
      <c r="BO376" s="78">
        <f t="shared" si="50"/>
        <v>0.64102564102564108</v>
      </c>
      <c r="BP376" s="78">
        <f t="shared" si="51"/>
        <v>0.64102564102564108</v>
      </c>
    </row>
    <row r="377" spans="1:68" ht="27" hidden="1" customHeight="1" x14ac:dyDescent="0.25">
      <c r="A377" s="63" t="s">
        <v>635</v>
      </c>
      <c r="B377" s="63" t="s">
        <v>636</v>
      </c>
      <c r="C377" s="36">
        <v>4301031460</v>
      </c>
      <c r="D377" s="651">
        <v>4680115887442</v>
      </c>
      <c r="E377" s="651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73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3"/>
      <c r="R377" s="653"/>
      <c r="S377" s="653"/>
      <c r="T377" s="654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customHeight="1" x14ac:dyDescent="0.25">
      <c r="A378" s="63" t="s">
        <v>637</v>
      </c>
      <c r="B378" s="63" t="s">
        <v>638</v>
      </c>
      <c r="C378" s="36">
        <v>4301031066</v>
      </c>
      <c r="D378" s="651">
        <v>4607091383836</v>
      </c>
      <c r="E378" s="651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74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3"/>
      <c r="R378" s="653"/>
      <c r="S378" s="653"/>
      <c r="T378" s="654"/>
      <c r="U378" s="39" t="s">
        <v>46</v>
      </c>
      <c r="V378" s="39" t="s">
        <v>46</v>
      </c>
      <c r="W378" s="40" t="s">
        <v>0</v>
      </c>
      <c r="X378" s="58">
        <v>45</v>
      </c>
      <c r="Y378" s="55">
        <f t="shared" si="47"/>
        <v>45</v>
      </c>
      <c r="Z378" s="41">
        <f>IFERROR(IF(Y378=0,"",ROUNDUP(Y378/H378,0)*0.00651),"")</f>
        <v>0.16275000000000001</v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50.7</v>
      </c>
      <c r="BN378" s="78">
        <f t="shared" si="49"/>
        <v>50.7</v>
      </c>
      <c r="BO378" s="78">
        <f t="shared" si="50"/>
        <v>0.13736263736263737</v>
      </c>
      <c r="BP378" s="78">
        <f t="shared" si="51"/>
        <v>0.13736263736263737</v>
      </c>
    </row>
    <row r="379" spans="1:68" x14ac:dyDescent="0.2">
      <c r="A379" s="645"/>
      <c r="B379" s="645"/>
      <c r="C379" s="645"/>
      <c r="D379" s="645"/>
      <c r="E379" s="645"/>
      <c r="F379" s="645"/>
      <c r="G379" s="645"/>
      <c r="H379" s="645"/>
      <c r="I379" s="645"/>
      <c r="J379" s="645"/>
      <c r="K379" s="645"/>
      <c r="L379" s="645"/>
      <c r="M379" s="645"/>
      <c r="N379" s="645"/>
      <c r="O379" s="646"/>
      <c r="P379" s="642" t="s">
        <v>40</v>
      </c>
      <c r="Q379" s="643"/>
      <c r="R379" s="643"/>
      <c r="S379" s="643"/>
      <c r="T379" s="643"/>
      <c r="U379" s="643"/>
      <c r="V379" s="644"/>
      <c r="W379" s="42" t="s">
        <v>39</v>
      </c>
      <c r="X379" s="43">
        <f>IFERROR(X372/H372,"0")+IFERROR(X373/H373,"0")+IFERROR(X374/H374,"0")+IFERROR(X375/H375,"0")+IFERROR(X376/H376,"0")+IFERROR(X377/H377,"0")+IFERROR(X378/H378,"0")</f>
        <v>175</v>
      </c>
      <c r="Y379" s="43">
        <f>IFERROR(Y372/H372,"0")+IFERROR(Y373/H373,"0")+IFERROR(Y374/H374,"0")+IFERROR(Y375/H375,"0")+IFERROR(Y376/H376,"0")+IFERROR(Y377/H377,"0")+IFERROR(Y378/H378,"0")</f>
        <v>175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0.91575000000000006</v>
      </c>
      <c r="AA379" s="67"/>
      <c r="AB379" s="67"/>
      <c r="AC379" s="67"/>
    </row>
    <row r="380" spans="1:68" x14ac:dyDescent="0.2">
      <c r="A380" s="645"/>
      <c r="B380" s="645"/>
      <c r="C380" s="645"/>
      <c r="D380" s="645"/>
      <c r="E380" s="645"/>
      <c r="F380" s="645"/>
      <c r="G380" s="645"/>
      <c r="H380" s="645"/>
      <c r="I380" s="645"/>
      <c r="J380" s="645"/>
      <c r="K380" s="645"/>
      <c r="L380" s="645"/>
      <c r="M380" s="645"/>
      <c r="N380" s="645"/>
      <c r="O380" s="646"/>
      <c r="P380" s="642" t="s">
        <v>40</v>
      </c>
      <c r="Q380" s="643"/>
      <c r="R380" s="643"/>
      <c r="S380" s="643"/>
      <c r="T380" s="643"/>
      <c r="U380" s="643"/>
      <c r="V380" s="644"/>
      <c r="W380" s="42" t="s">
        <v>0</v>
      </c>
      <c r="X380" s="43">
        <f>IFERROR(SUM(X372:X378),"0")</f>
        <v>360</v>
      </c>
      <c r="Y380" s="43">
        <f>IFERROR(SUM(Y372:Y378),"0")</f>
        <v>360</v>
      </c>
      <c r="Z380" s="42"/>
      <c r="AA380" s="67"/>
      <c r="AB380" s="67"/>
      <c r="AC380" s="67"/>
    </row>
    <row r="381" spans="1:68" ht="14.25" hidden="1" customHeight="1" x14ac:dyDescent="0.25">
      <c r="A381" s="656" t="s">
        <v>86</v>
      </c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6"/>
      <c r="P381" s="656"/>
      <c r="Q381" s="656"/>
      <c r="R381" s="656"/>
      <c r="S381" s="656"/>
      <c r="T381" s="656"/>
      <c r="U381" s="656"/>
      <c r="V381" s="656"/>
      <c r="W381" s="656"/>
      <c r="X381" s="656"/>
      <c r="Y381" s="656"/>
      <c r="Z381" s="656"/>
      <c r="AA381" s="66"/>
      <c r="AB381" s="66"/>
      <c r="AC381" s="80"/>
    </row>
    <row r="382" spans="1:68" ht="27" hidden="1" customHeight="1" x14ac:dyDescent="0.25">
      <c r="A382" s="63" t="s">
        <v>640</v>
      </c>
      <c r="B382" s="63" t="s">
        <v>641</v>
      </c>
      <c r="C382" s="36">
        <v>4301051100</v>
      </c>
      <c r="D382" s="651">
        <v>4607091387766</v>
      </c>
      <c r="E382" s="651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7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3"/>
      <c r="R382" s="653"/>
      <c r="S382" s="653"/>
      <c r="T382" s="654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643</v>
      </c>
      <c r="B383" s="63" t="s">
        <v>644</v>
      </c>
      <c r="C383" s="36">
        <v>4301051818</v>
      </c>
      <c r="D383" s="651">
        <v>4607091387957</v>
      </c>
      <c r="E383" s="651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7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3"/>
      <c r="R383" s="653"/>
      <c r="S383" s="653"/>
      <c r="T383" s="654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646</v>
      </c>
      <c r="B384" s="63" t="s">
        <v>647</v>
      </c>
      <c r="C384" s="36">
        <v>4301051819</v>
      </c>
      <c r="D384" s="651">
        <v>4607091387964</v>
      </c>
      <c r="E384" s="651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7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3"/>
      <c r="R384" s="653"/>
      <c r="S384" s="653"/>
      <c r="T384" s="65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4301051734</v>
      </c>
      <c r="D385" s="651">
        <v>4680115884588</v>
      </c>
      <c r="E385" s="651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73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3"/>
      <c r="R385" s="653"/>
      <c r="S385" s="653"/>
      <c r="T385" s="65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645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42" t="s">
        <v>40</v>
      </c>
      <c r="Q386" s="643"/>
      <c r="R386" s="643"/>
      <c r="S386" s="643"/>
      <c r="T386" s="643"/>
      <c r="U386" s="643"/>
      <c r="V386" s="644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42" t="s">
        <v>40</v>
      </c>
      <c r="Q387" s="643"/>
      <c r="R387" s="643"/>
      <c r="S387" s="643"/>
      <c r="T387" s="643"/>
      <c r="U387" s="643"/>
      <c r="V387" s="644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656" t="s">
        <v>181</v>
      </c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6"/>
      <c r="P388" s="656"/>
      <c r="Q388" s="656"/>
      <c r="R388" s="656"/>
      <c r="S388" s="656"/>
      <c r="T388" s="656"/>
      <c r="U388" s="656"/>
      <c r="V388" s="656"/>
      <c r="W388" s="656"/>
      <c r="X388" s="656"/>
      <c r="Y388" s="656"/>
      <c r="Z388" s="656"/>
      <c r="AA388" s="66"/>
      <c r="AB388" s="66"/>
      <c r="AC388" s="80"/>
    </row>
    <row r="389" spans="1:68" ht="27" hidden="1" customHeight="1" x14ac:dyDescent="0.25">
      <c r="A389" s="63" t="s">
        <v>651</v>
      </c>
      <c r="B389" s="63" t="s">
        <v>652</v>
      </c>
      <c r="C389" s="36">
        <v>4301060387</v>
      </c>
      <c r="D389" s="651">
        <v>4607091380880</v>
      </c>
      <c r="E389" s="651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7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3"/>
      <c r="R389" s="653"/>
      <c r="S389" s="653"/>
      <c r="T389" s="65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654</v>
      </c>
      <c r="B390" s="63" t="s">
        <v>655</v>
      </c>
      <c r="C390" s="36">
        <v>4301060406</v>
      </c>
      <c r="D390" s="651">
        <v>4607091384482</v>
      </c>
      <c r="E390" s="651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7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3"/>
      <c r="R390" s="653"/>
      <c r="S390" s="653"/>
      <c r="T390" s="654"/>
      <c r="U390" s="39" t="s">
        <v>46</v>
      </c>
      <c r="V390" s="39" t="s">
        <v>46</v>
      </c>
      <c r="W390" s="40" t="s">
        <v>0</v>
      </c>
      <c r="X390" s="58">
        <v>700</v>
      </c>
      <c r="Y390" s="55">
        <f>IFERROR(IF(X390="",0,CEILING((X390/$H390),1)*$H390),"")</f>
        <v>702</v>
      </c>
      <c r="Z390" s="41">
        <f>IFERROR(IF(Y390=0,"",ROUNDUP(Y390/H390,0)*0.01898),"")</f>
        <v>1.7081999999999999</v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744.33333333333337</v>
      </c>
      <c r="BN390" s="78">
        <f>IFERROR(Y390*I390/H390,"0")</f>
        <v>746.46</v>
      </c>
      <c r="BO390" s="78">
        <f>IFERROR(1/J390*(X390/H390),"0")</f>
        <v>1.4022435897435899</v>
      </c>
      <c r="BP390" s="78">
        <f>IFERROR(1/J390*(Y390/H390),"0")</f>
        <v>1.40625</v>
      </c>
    </row>
    <row r="391" spans="1:68" ht="16.5" hidden="1" customHeight="1" x14ac:dyDescent="0.25">
      <c r="A391" s="63" t="s">
        <v>657</v>
      </c>
      <c r="B391" s="63" t="s">
        <v>658</v>
      </c>
      <c r="C391" s="36">
        <v>4301060484</v>
      </c>
      <c r="D391" s="651">
        <v>4607091380897</v>
      </c>
      <c r="E391" s="651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7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3"/>
      <c r="R391" s="653"/>
      <c r="S391" s="653"/>
      <c r="T391" s="65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x14ac:dyDescent="0.2">
      <c r="A392" s="645"/>
      <c r="B392" s="645"/>
      <c r="C392" s="645"/>
      <c r="D392" s="645"/>
      <c r="E392" s="645"/>
      <c r="F392" s="645"/>
      <c r="G392" s="645"/>
      <c r="H392" s="645"/>
      <c r="I392" s="645"/>
      <c r="J392" s="645"/>
      <c r="K392" s="645"/>
      <c r="L392" s="645"/>
      <c r="M392" s="645"/>
      <c r="N392" s="645"/>
      <c r="O392" s="646"/>
      <c r="P392" s="642" t="s">
        <v>40</v>
      </c>
      <c r="Q392" s="643"/>
      <c r="R392" s="643"/>
      <c r="S392" s="643"/>
      <c r="T392" s="643"/>
      <c r="U392" s="643"/>
      <c r="V392" s="644"/>
      <c r="W392" s="42" t="s">
        <v>39</v>
      </c>
      <c r="X392" s="43">
        <f>IFERROR(X389/H389,"0")+IFERROR(X390/H390,"0")+IFERROR(X391/H391,"0")</f>
        <v>89.743589743589752</v>
      </c>
      <c r="Y392" s="43">
        <f>IFERROR(Y389/H389,"0")+IFERROR(Y390/H390,"0")+IFERROR(Y391/H391,"0")</f>
        <v>90</v>
      </c>
      <c r="Z392" s="43">
        <f>IFERROR(IF(Z389="",0,Z389),"0")+IFERROR(IF(Z390="",0,Z390),"0")+IFERROR(IF(Z391="",0,Z391),"0")</f>
        <v>1.7081999999999999</v>
      </c>
      <c r="AA392" s="67"/>
      <c r="AB392" s="67"/>
      <c r="AC392" s="67"/>
    </row>
    <row r="393" spans="1:68" x14ac:dyDescent="0.2">
      <c r="A393" s="645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42" t="s">
        <v>40</v>
      </c>
      <c r="Q393" s="643"/>
      <c r="R393" s="643"/>
      <c r="S393" s="643"/>
      <c r="T393" s="643"/>
      <c r="U393" s="643"/>
      <c r="V393" s="644"/>
      <c r="W393" s="42" t="s">
        <v>0</v>
      </c>
      <c r="X393" s="43">
        <f>IFERROR(SUM(X389:X391),"0")</f>
        <v>700</v>
      </c>
      <c r="Y393" s="43">
        <f>IFERROR(SUM(Y389:Y391),"0")</f>
        <v>702</v>
      </c>
      <c r="Z393" s="42"/>
      <c r="AA393" s="67"/>
      <c r="AB393" s="67"/>
      <c r="AC393" s="67"/>
    </row>
    <row r="394" spans="1:68" ht="14.25" hidden="1" customHeight="1" x14ac:dyDescent="0.25">
      <c r="A394" s="656" t="s">
        <v>104</v>
      </c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6"/>
      <c r="P394" s="656"/>
      <c r="Q394" s="656"/>
      <c r="R394" s="656"/>
      <c r="S394" s="656"/>
      <c r="T394" s="656"/>
      <c r="U394" s="656"/>
      <c r="V394" s="656"/>
      <c r="W394" s="656"/>
      <c r="X394" s="656"/>
      <c r="Y394" s="656"/>
      <c r="Z394" s="656"/>
      <c r="AA394" s="66"/>
      <c r="AB394" s="66"/>
      <c r="AC394" s="80"/>
    </row>
    <row r="395" spans="1:68" ht="27" hidden="1" customHeight="1" x14ac:dyDescent="0.25">
      <c r="A395" s="63" t="s">
        <v>660</v>
      </c>
      <c r="B395" s="63" t="s">
        <v>661</v>
      </c>
      <c r="C395" s="36">
        <v>4301030235</v>
      </c>
      <c r="D395" s="651">
        <v>4607091388381</v>
      </c>
      <c r="E395" s="651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7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3"/>
      <c r="R395" s="653"/>
      <c r="S395" s="653"/>
      <c r="T395" s="654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663</v>
      </c>
      <c r="B396" s="63" t="s">
        <v>664</v>
      </c>
      <c r="C396" s="36">
        <v>4301030232</v>
      </c>
      <c r="D396" s="651">
        <v>4607091388374</v>
      </c>
      <c r="E396" s="651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7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3"/>
      <c r="R396" s="653"/>
      <c r="S396" s="653"/>
      <c r="T396" s="65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665</v>
      </c>
      <c r="B397" s="63" t="s">
        <v>666</v>
      </c>
      <c r="C397" s="36">
        <v>4301032015</v>
      </c>
      <c r="D397" s="651">
        <v>4607091383102</v>
      </c>
      <c r="E397" s="651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3"/>
      <c r="R397" s="653"/>
      <c r="S397" s="653"/>
      <c r="T397" s="65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667</v>
      </c>
      <c r="B398" s="63" t="s">
        <v>668</v>
      </c>
      <c r="C398" s="36">
        <v>4301030233</v>
      </c>
      <c r="D398" s="651">
        <v>4607091388404</v>
      </c>
      <c r="E398" s="651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7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3"/>
      <c r="R398" s="653"/>
      <c r="S398" s="653"/>
      <c r="T398" s="654"/>
      <c r="U398" s="39" t="s">
        <v>46</v>
      </c>
      <c r="V398" s="39" t="s">
        <v>46</v>
      </c>
      <c r="W398" s="40" t="s">
        <v>0</v>
      </c>
      <c r="X398" s="58">
        <v>85</v>
      </c>
      <c r="Y398" s="55">
        <f>IFERROR(IF(X398="",0,CEILING((X398/$H398),1)*$H398),"")</f>
        <v>86.699999999999989</v>
      </c>
      <c r="Z398" s="41">
        <f>IFERROR(IF(Y398=0,"",ROUNDUP(Y398/H398,0)*0.00651),"")</f>
        <v>0.22134000000000001</v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96</v>
      </c>
      <c r="BN398" s="78">
        <f>IFERROR(Y398*I398/H398,"0")</f>
        <v>97.92</v>
      </c>
      <c r="BO398" s="78">
        <f>IFERROR(1/J398*(X398/H398),"0")</f>
        <v>0.18315018315018317</v>
      </c>
      <c r="BP398" s="78">
        <f>IFERROR(1/J398*(Y398/H398),"0")</f>
        <v>0.18681318681318682</v>
      </c>
    </row>
    <row r="399" spans="1:68" x14ac:dyDescent="0.2">
      <c r="A399" s="645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42" t="s">
        <v>40</v>
      </c>
      <c r="Q399" s="643"/>
      <c r="R399" s="643"/>
      <c r="S399" s="643"/>
      <c r="T399" s="643"/>
      <c r="U399" s="643"/>
      <c r="V399" s="644"/>
      <c r="W399" s="42" t="s">
        <v>39</v>
      </c>
      <c r="X399" s="43">
        <f>IFERROR(X395/H395,"0")+IFERROR(X396/H396,"0")+IFERROR(X397/H397,"0")+IFERROR(X398/H398,"0")</f>
        <v>33.333333333333336</v>
      </c>
      <c r="Y399" s="43">
        <f>IFERROR(Y395/H395,"0")+IFERROR(Y396/H396,"0")+IFERROR(Y397/H397,"0")+IFERROR(Y398/H398,"0")</f>
        <v>34</v>
      </c>
      <c r="Z399" s="43">
        <f>IFERROR(IF(Z395="",0,Z395),"0")+IFERROR(IF(Z396="",0,Z396),"0")+IFERROR(IF(Z397="",0,Z397),"0")+IFERROR(IF(Z398="",0,Z398),"0")</f>
        <v>0.22134000000000001</v>
      </c>
      <c r="AA399" s="67"/>
      <c r="AB399" s="67"/>
      <c r="AC399" s="67"/>
    </row>
    <row r="400" spans="1:68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42" t="s">
        <v>40</v>
      </c>
      <c r="Q400" s="643"/>
      <c r="R400" s="643"/>
      <c r="S400" s="643"/>
      <c r="T400" s="643"/>
      <c r="U400" s="643"/>
      <c r="V400" s="644"/>
      <c r="W400" s="42" t="s">
        <v>0</v>
      </c>
      <c r="X400" s="43">
        <f>IFERROR(SUM(X395:X398),"0")</f>
        <v>85</v>
      </c>
      <c r="Y400" s="43">
        <f>IFERROR(SUM(Y395:Y398),"0")</f>
        <v>86.699999999999989</v>
      </c>
      <c r="Z400" s="42"/>
      <c r="AA400" s="67"/>
      <c r="AB400" s="67"/>
      <c r="AC400" s="67"/>
    </row>
    <row r="401" spans="1:68" ht="14.25" hidden="1" customHeight="1" x14ac:dyDescent="0.25">
      <c r="A401" s="656" t="s">
        <v>669</v>
      </c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6"/>
      <c r="P401" s="656"/>
      <c r="Q401" s="656"/>
      <c r="R401" s="656"/>
      <c r="S401" s="656"/>
      <c r="T401" s="656"/>
      <c r="U401" s="656"/>
      <c r="V401" s="656"/>
      <c r="W401" s="656"/>
      <c r="X401" s="656"/>
      <c r="Y401" s="656"/>
      <c r="Z401" s="656"/>
      <c r="AA401" s="66"/>
      <c r="AB401" s="66"/>
      <c r="AC401" s="80"/>
    </row>
    <row r="402" spans="1:68" ht="16.5" hidden="1" customHeight="1" x14ac:dyDescent="0.25">
      <c r="A402" s="63" t="s">
        <v>670</v>
      </c>
      <c r="B402" s="63" t="s">
        <v>671</v>
      </c>
      <c r="C402" s="36">
        <v>4301180007</v>
      </c>
      <c r="D402" s="651">
        <v>4680115881808</v>
      </c>
      <c r="E402" s="651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7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3"/>
      <c r="R402" s="653"/>
      <c r="S402" s="653"/>
      <c r="T402" s="65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674</v>
      </c>
      <c r="B403" s="63" t="s">
        <v>675</v>
      </c>
      <c r="C403" s="36">
        <v>4301180006</v>
      </c>
      <c r="D403" s="651">
        <v>4680115881822</v>
      </c>
      <c r="E403" s="651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7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3"/>
      <c r="R403" s="653"/>
      <c r="S403" s="653"/>
      <c r="T403" s="65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676</v>
      </c>
      <c r="B404" s="63" t="s">
        <v>677</v>
      </c>
      <c r="C404" s="36">
        <v>4301180001</v>
      </c>
      <c r="D404" s="651">
        <v>4680115880016</v>
      </c>
      <c r="E404" s="651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7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3"/>
      <c r="R404" s="653"/>
      <c r="S404" s="653"/>
      <c r="T404" s="654"/>
      <c r="U404" s="39" t="s">
        <v>46</v>
      </c>
      <c r="V404" s="39" t="s">
        <v>46</v>
      </c>
      <c r="W404" s="40" t="s">
        <v>0</v>
      </c>
      <c r="X404" s="58">
        <v>50</v>
      </c>
      <c r="Y404" s="55">
        <f>IFERROR(IF(X404="",0,CEILING((X404/$H404),1)*$H404),"")</f>
        <v>50</v>
      </c>
      <c r="Z404" s="41">
        <f>IFERROR(IF(Y404=0,"",ROUNDUP(Y404/H404,0)*0.00474),"")</f>
        <v>0.11850000000000001</v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56.000000000000007</v>
      </c>
      <c r="BN404" s="78">
        <f>IFERROR(Y404*I404/H404,"0")</f>
        <v>56.000000000000007</v>
      </c>
      <c r="BO404" s="78">
        <f>IFERROR(1/J404*(X404/H404),"0")</f>
        <v>0.10504201680672269</v>
      </c>
      <c r="BP404" s="78">
        <f>IFERROR(1/J404*(Y404/H404),"0")</f>
        <v>0.10504201680672269</v>
      </c>
    </row>
    <row r="405" spans="1:68" x14ac:dyDescent="0.2">
      <c r="A405" s="645"/>
      <c r="B405" s="645"/>
      <c r="C405" s="645"/>
      <c r="D405" s="645"/>
      <c r="E405" s="645"/>
      <c r="F405" s="645"/>
      <c r="G405" s="645"/>
      <c r="H405" s="645"/>
      <c r="I405" s="645"/>
      <c r="J405" s="645"/>
      <c r="K405" s="645"/>
      <c r="L405" s="645"/>
      <c r="M405" s="645"/>
      <c r="N405" s="645"/>
      <c r="O405" s="646"/>
      <c r="P405" s="642" t="s">
        <v>40</v>
      </c>
      <c r="Q405" s="643"/>
      <c r="R405" s="643"/>
      <c r="S405" s="643"/>
      <c r="T405" s="643"/>
      <c r="U405" s="643"/>
      <c r="V405" s="644"/>
      <c r="W405" s="42" t="s">
        <v>39</v>
      </c>
      <c r="X405" s="43">
        <f>IFERROR(X402/H402,"0")+IFERROR(X403/H403,"0")+IFERROR(X404/H404,"0")</f>
        <v>25</v>
      </c>
      <c r="Y405" s="43">
        <f>IFERROR(Y402/H402,"0")+IFERROR(Y403/H403,"0")+IFERROR(Y404/H404,"0")</f>
        <v>25</v>
      </c>
      <c r="Z405" s="43">
        <f>IFERROR(IF(Z402="",0,Z402),"0")+IFERROR(IF(Z403="",0,Z403),"0")+IFERROR(IF(Z404="",0,Z404),"0")</f>
        <v>0.11850000000000001</v>
      </c>
      <c r="AA405" s="67"/>
      <c r="AB405" s="67"/>
      <c r="AC405" s="67"/>
    </row>
    <row r="406" spans="1:68" x14ac:dyDescent="0.2">
      <c r="A406" s="645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42" t="s">
        <v>40</v>
      </c>
      <c r="Q406" s="643"/>
      <c r="R406" s="643"/>
      <c r="S406" s="643"/>
      <c r="T406" s="643"/>
      <c r="U406" s="643"/>
      <c r="V406" s="644"/>
      <c r="W406" s="42" t="s">
        <v>0</v>
      </c>
      <c r="X406" s="43">
        <f>IFERROR(SUM(X402:X404),"0")</f>
        <v>50</v>
      </c>
      <c r="Y406" s="43">
        <f>IFERROR(SUM(Y402:Y404),"0")</f>
        <v>50</v>
      </c>
      <c r="Z406" s="42"/>
      <c r="AA406" s="67"/>
      <c r="AB406" s="67"/>
      <c r="AC406" s="67"/>
    </row>
    <row r="407" spans="1:68" ht="14.25" hidden="1" customHeight="1" x14ac:dyDescent="0.25">
      <c r="A407" s="656" t="s">
        <v>678</v>
      </c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6"/>
      <c r="P407" s="656"/>
      <c r="Q407" s="656"/>
      <c r="R407" s="656"/>
      <c r="S407" s="656"/>
      <c r="T407" s="656"/>
      <c r="U407" s="656"/>
      <c r="V407" s="656"/>
      <c r="W407" s="656"/>
      <c r="X407" s="656"/>
      <c r="Y407" s="656"/>
      <c r="Z407" s="656"/>
      <c r="AA407" s="66"/>
      <c r="AB407" s="66"/>
      <c r="AC407" s="80"/>
    </row>
    <row r="408" spans="1:68" ht="27" hidden="1" customHeight="1" x14ac:dyDescent="0.25">
      <c r="A408" s="63" t="s">
        <v>679</v>
      </c>
      <c r="B408" s="63" t="s">
        <v>680</v>
      </c>
      <c r="C408" s="36">
        <v>4301220003</v>
      </c>
      <c r="D408" s="651">
        <v>4680115888678</v>
      </c>
      <c r="E408" s="651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7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3"/>
      <c r="R408" s="653"/>
      <c r="S408" s="653"/>
      <c r="T408" s="65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682</v>
      </c>
      <c r="B409" s="63" t="s">
        <v>683</v>
      </c>
      <c r="C409" s="36">
        <v>4301220001</v>
      </c>
      <c r="D409" s="651">
        <v>4680115888654</v>
      </c>
      <c r="E409" s="651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7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3"/>
      <c r="R409" s="653"/>
      <c r="S409" s="653"/>
      <c r="T409" s="65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685</v>
      </c>
      <c r="B410" s="63" t="s">
        <v>686</v>
      </c>
      <c r="C410" s="36">
        <v>4301220002</v>
      </c>
      <c r="D410" s="651">
        <v>4680115888753</v>
      </c>
      <c r="E410" s="651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71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3"/>
      <c r="R410" s="653"/>
      <c r="S410" s="653"/>
      <c r="T410" s="65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45"/>
      <c r="B411" s="645"/>
      <c r="C411" s="645"/>
      <c r="D411" s="645"/>
      <c r="E411" s="645"/>
      <c r="F411" s="645"/>
      <c r="G411" s="645"/>
      <c r="H411" s="645"/>
      <c r="I411" s="645"/>
      <c r="J411" s="645"/>
      <c r="K411" s="645"/>
      <c r="L411" s="645"/>
      <c r="M411" s="645"/>
      <c r="N411" s="645"/>
      <c r="O411" s="646"/>
      <c r="P411" s="642" t="s">
        <v>40</v>
      </c>
      <c r="Q411" s="643"/>
      <c r="R411" s="643"/>
      <c r="S411" s="643"/>
      <c r="T411" s="643"/>
      <c r="U411" s="643"/>
      <c r="V411" s="644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645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42" t="s">
        <v>40</v>
      </c>
      <c r="Q412" s="643"/>
      <c r="R412" s="643"/>
      <c r="S412" s="643"/>
      <c r="T412" s="643"/>
      <c r="U412" s="643"/>
      <c r="V412" s="644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655" t="s">
        <v>687</v>
      </c>
      <c r="B413" s="655"/>
      <c r="C413" s="655"/>
      <c r="D413" s="655"/>
      <c r="E413" s="655"/>
      <c r="F413" s="655"/>
      <c r="G413" s="655"/>
      <c r="H413" s="655"/>
      <c r="I413" s="655"/>
      <c r="J413" s="655"/>
      <c r="K413" s="655"/>
      <c r="L413" s="655"/>
      <c r="M413" s="655"/>
      <c r="N413" s="655"/>
      <c r="O413" s="655"/>
      <c r="P413" s="655"/>
      <c r="Q413" s="655"/>
      <c r="R413" s="655"/>
      <c r="S413" s="655"/>
      <c r="T413" s="655"/>
      <c r="U413" s="655"/>
      <c r="V413" s="655"/>
      <c r="W413" s="655"/>
      <c r="X413" s="655"/>
      <c r="Y413" s="655"/>
      <c r="Z413" s="655"/>
      <c r="AA413" s="65"/>
      <c r="AB413" s="65"/>
      <c r="AC413" s="79"/>
    </row>
    <row r="414" spans="1:68" ht="14.25" hidden="1" customHeight="1" x14ac:dyDescent="0.25">
      <c r="A414" s="656" t="s">
        <v>86</v>
      </c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6"/>
      <c r="P414" s="656"/>
      <c r="Q414" s="656"/>
      <c r="R414" s="656"/>
      <c r="S414" s="656"/>
      <c r="T414" s="656"/>
      <c r="U414" s="656"/>
      <c r="V414" s="656"/>
      <c r="W414" s="656"/>
      <c r="X414" s="656"/>
      <c r="Y414" s="656"/>
      <c r="Z414" s="656"/>
      <c r="AA414" s="66"/>
      <c r="AB414" s="66"/>
      <c r="AC414" s="80"/>
    </row>
    <row r="415" spans="1:68" ht="27" hidden="1" customHeight="1" x14ac:dyDescent="0.25">
      <c r="A415" s="63" t="s">
        <v>688</v>
      </c>
      <c r="B415" s="63" t="s">
        <v>689</v>
      </c>
      <c r="C415" s="36">
        <v>4301051489</v>
      </c>
      <c r="D415" s="651">
        <v>4607091387919</v>
      </c>
      <c r="E415" s="651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53"/>
      <c r="R415" s="653"/>
      <c r="S415" s="653"/>
      <c r="T415" s="654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691</v>
      </c>
      <c r="B416" s="63" t="s">
        <v>692</v>
      </c>
      <c r="C416" s="36">
        <v>4301051461</v>
      </c>
      <c r="D416" s="651">
        <v>4680115883604</v>
      </c>
      <c r="E416" s="651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53"/>
      <c r="R416" s="653"/>
      <c r="S416" s="653"/>
      <c r="T416" s="65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694</v>
      </c>
      <c r="B417" s="63" t="s">
        <v>695</v>
      </c>
      <c r="C417" s="36">
        <v>4301051864</v>
      </c>
      <c r="D417" s="651">
        <v>4680115883567</v>
      </c>
      <c r="E417" s="651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53"/>
      <c r="R417" s="653"/>
      <c r="S417" s="653"/>
      <c r="T417" s="654"/>
      <c r="U417" s="39" t="s">
        <v>46</v>
      </c>
      <c r="V417" s="39" t="s">
        <v>46</v>
      </c>
      <c r="W417" s="40" t="s">
        <v>0</v>
      </c>
      <c r="X417" s="58">
        <v>350</v>
      </c>
      <c r="Y417" s="55">
        <f>IFERROR(IF(X417="",0,CEILING((X417/$H417),1)*$H417),"")</f>
        <v>350.7</v>
      </c>
      <c r="Z417" s="41">
        <f>IFERROR(IF(Y417=0,"",ROUNDUP(Y417/H417,0)*0.00651),"")</f>
        <v>1.08717</v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390</v>
      </c>
      <c r="BN417" s="78">
        <f>IFERROR(Y417*I417/H417,"0")</f>
        <v>390.78</v>
      </c>
      <c r="BO417" s="78">
        <f>IFERROR(1/J417*(X417/H417),"0")</f>
        <v>0.91575091575091572</v>
      </c>
      <c r="BP417" s="78">
        <f>IFERROR(1/J417*(Y417/H417),"0")</f>
        <v>0.91758241758241765</v>
      </c>
    </row>
    <row r="418" spans="1:68" x14ac:dyDescent="0.2">
      <c r="A418" s="645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42" t="s">
        <v>40</v>
      </c>
      <c r="Q418" s="643"/>
      <c r="R418" s="643"/>
      <c r="S418" s="643"/>
      <c r="T418" s="643"/>
      <c r="U418" s="643"/>
      <c r="V418" s="644"/>
      <c r="W418" s="42" t="s">
        <v>39</v>
      </c>
      <c r="X418" s="43">
        <f>IFERROR(X415/H415,"0")+IFERROR(X416/H416,"0")+IFERROR(X417/H417,"0")</f>
        <v>166.66666666666666</v>
      </c>
      <c r="Y418" s="43">
        <f>IFERROR(Y415/H415,"0")+IFERROR(Y416/H416,"0")+IFERROR(Y417/H417,"0")</f>
        <v>167</v>
      </c>
      <c r="Z418" s="43">
        <f>IFERROR(IF(Z415="",0,Z415),"0")+IFERROR(IF(Z416="",0,Z416),"0")+IFERROR(IF(Z417="",0,Z417),"0")</f>
        <v>1.08717</v>
      </c>
      <c r="AA418" s="67"/>
      <c r="AB418" s="67"/>
      <c r="AC418" s="67"/>
    </row>
    <row r="419" spans="1:68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42" t="s">
        <v>40</v>
      </c>
      <c r="Q419" s="643"/>
      <c r="R419" s="643"/>
      <c r="S419" s="643"/>
      <c r="T419" s="643"/>
      <c r="U419" s="643"/>
      <c r="V419" s="644"/>
      <c r="W419" s="42" t="s">
        <v>0</v>
      </c>
      <c r="X419" s="43">
        <f>IFERROR(SUM(X415:X417),"0")</f>
        <v>350</v>
      </c>
      <c r="Y419" s="43">
        <f>IFERROR(SUM(Y415:Y417),"0")</f>
        <v>350.7</v>
      </c>
      <c r="Z419" s="42"/>
      <c r="AA419" s="67"/>
      <c r="AB419" s="67"/>
      <c r="AC419" s="67"/>
    </row>
    <row r="420" spans="1:68" ht="27.75" hidden="1" customHeight="1" x14ac:dyDescent="0.2">
      <c r="A420" s="662" t="s">
        <v>697</v>
      </c>
      <c r="B420" s="662"/>
      <c r="C420" s="662"/>
      <c r="D420" s="662"/>
      <c r="E420" s="662"/>
      <c r="F420" s="662"/>
      <c r="G420" s="662"/>
      <c r="H420" s="662"/>
      <c r="I420" s="662"/>
      <c r="J420" s="662"/>
      <c r="K420" s="662"/>
      <c r="L420" s="662"/>
      <c r="M420" s="662"/>
      <c r="N420" s="662"/>
      <c r="O420" s="662"/>
      <c r="P420" s="662"/>
      <c r="Q420" s="662"/>
      <c r="R420" s="662"/>
      <c r="S420" s="662"/>
      <c r="T420" s="662"/>
      <c r="U420" s="662"/>
      <c r="V420" s="662"/>
      <c r="W420" s="662"/>
      <c r="X420" s="662"/>
      <c r="Y420" s="662"/>
      <c r="Z420" s="662"/>
      <c r="AA420" s="54"/>
      <c r="AB420" s="54"/>
      <c r="AC420" s="54"/>
    </row>
    <row r="421" spans="1:68" ht="16.5" hidden="1" customHeight="1" x14ac:dyDescent="0.25">
      <c r="A421" s="655" t="s">
        <v>698</v>
      </c>
      <c r="B421" s="655"/>
      <c r="C421" s="655"/>
      <c r="D421" s="655"/>
      <c r="E421" s="655"/>
      <c r="F421" s="655"/>
      <c r="G421" s="655"/>
      <c r="H421" s="655"/>
      <c r="I421" s="655"/>
      <c r="J421" s="655"/>
      <c r="K421" s="655"/>
      <c r="L421" s="655"/>
      <c r="M421" s="655"/>
      <c r="N421" s="655"/>
      <c r="O421" s="655"/>
      <c r="P421" s="655"/>
      <c r="Q421" s="655"/>
      <c r="R421" s="655"/>
      <c r="S421" s="655"/>
      <c r="T421" s="655"/>
      <c r="U421" s="655"/>
      <c r="V421" s="655"/>
      <c r="W421" s="655"/>
      <c r="X421" s="655"/>
      <c r="Y421" s="655"/>
      <c r="Z421" s="655"/>
      <c r="AA421" s="65"/>
      <c r="AB421" s="65"/>
      <c r="AC421" s="79"/>
    </row>
    <row r="422" spans="1:68" ht="14.25" hidden="1" customHeight="1" x14ac:dyDescent="0.25">
      <c r="A422" s="656" t="s">
        <v>128</v>
      </c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6"/>
      <c r="P422" s="656"/>
      <c r="Q422" s="656"/>
      <c r="R422" s="656"/>
      <c r="S422" s="656"/>
      <c r="T422" s="656"/>
      <c r="U422" s="656"/>
      <c r="V422" s="656"/>
      <c r="W422" s="656"/>
      <c r="X422" s="656"/>
      <c r="Y422" s="656"/>
      <c r="Z422" s="656"/>
      <c r="AA422" s="66"/>
      <c r="AB422" s="66"/>
      <c r="AC422" s="80"/>
    </row>
    <row r="423" spans="1:68" ht="27" hidden="1" customHeight="1" x14ac:dyDescent="0.25">
      <c r="A423" s="63" t="s">
        <v>699</v>
      </c>
      <c r="B423" s="63" t="s">
        <v>700</v>
      </c>
      <c r="C423" s="36">
        <v>4301012332</v>
      </c>
      <c r="D423" s="651">
        <v>4680115888401</v>
      </c>
      <c r="E423" s="651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53"/>
      <c r="R423" s="653"/>
      <c r="S423" s="653"/>
      <c r="T423" s="654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hidden="1" customHeight="1" x14ac:dyDescent="0.25">
      <c r="A424" s="63" t="s">
        <v>702</v>
      </c>
      <c r="B424" s="63" t="s">
        <v>703</v>
      </c>
      <c r="C424" s="36">
        <v>4301011869</v>
      </c>
      <c r="D424" s="651">
        <v>4680115884847</v>
      </c>
      <c r="E424" s="65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53"/>
      <c r="R424" s="653"/>
      <c r="S424" s="653"/>
      <c r="T424" s="654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customHeight="1" x14ac:dyDescent="0.25">
      <c r="A425" s="63" t="s">
        <v>705</v>
      </c>
      <c r="B425" s="63" t="s">
        <v>706</v>
      </c>
      <c r="C425" s="36">
        <v>4301012083</v>
      </c>
      <c r="D425" s="651">
        <v>4680115884854</v>
      </c>
      <c r="E425" s="65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53"/>
      <c r="R425" s="653"/>
      <c r="S425" s="653"/>
      <c r="T425" s="654"/>
      <c r="U425" s="39" t="s">
        <v>46</v>
      </c>
      <c r="V425" s="39" t="s">
        <v>46</v>
      </c>
      <c r="W425" s="40" t="s">
        <v>0</v>
      </c>
      <c r="X425" s="58">
        <v>500</v>
      </c>
      <c r="Y425" s="55">
        <f t="shared" si="52"/>
        <v>510</v>
      </c>
      <c r="Z425" s="41">
        <f>IFERROR(IF(Y425=0,"",ROUNDUP(Y425/H425,0)*0.02175),"")</f>
        <v>0.73949999999999994</v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515.66666666666663</v>
      </c>
      <c r="BN425" s="78">
        <f t="shared" si="54"/>
        <v>525.98</v>
      </c>
      <c r="BO425" s="78">
        <f t="shared" si="55"/>
        <v>0.69444444444444442</v>
      </c>
      <c r="BP425" s="78">
        <f t="shared" si="56"/>
        <v>0.70833333333333326</v>
      </c>
    </row>
    <row r="426" spans="1:68" ht="27" hidden="1" customHeight="1" x14ac:dyDescent="0.25">
      <c r="A426" s="63" t="s">
        <v>708</v>
      </c>
      <c r="B426" s="63" t="s">
        <v>709</v>
      </c>
      <c r="C426" s="36">
        <v>4301011867</v>
      </c>
      <c r="D426" s="651">
        <v>4680115884830</v>
      </c>
      <c r="E426" s="65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53"/>
      <c r="R426" s="653"/>
      <c r="S426" s="653"/>
      <c r="T426" s="654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customHeight="1" x14ac:dyDescent="0.25">
      <c r="A427" s="63" t="s">
        <v>711</v>
      </c>
      <c r="B427" s="63" t="s">
        <v>712</v>
      </c>
      <c r="C427" s="36">
        <v>4301012356</v>
      </c>
      <c r="D427" s="651">
        <v>4680115889231</v>
      </c>
      <c r="E427" s="65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70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53"/>
      <c r="R427" s="653"/>
      <c r="S427" s="653"/>
      <c r="T427" s="654"/>
      <c r="U427" s="39" t="s">
        <v>46</v>
      </c>
      <c r="V427" s="39" t="s">
        <v>46</v>
      </c>
      <c r="W427" s="40" t="s">
        <v>0</v>
      </c>
      <c r="X427" s="58">
        <v>500</v>
      </c>
      <c r="Y427" s="55">
        <f t="shared" si="52"/>
        <v>510</v>
      </c>
      <c r="Z427" s="41">
        <f>IFERROR(IF(Y427=0,"",ROUNDUP(Y427/H427,0)*0.02175),"")</f>
        <v>0.73949999999999994</v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515.66666666666663</v>
      </c>
      <c r="BN427" s="78">
        <f t="shared" si="54"/>
        <v>525.98</v>
      </c>
      <c r="BO427" s="78">
        <f t="shared" si="55"/>
        <v>0.69444444444444442</v>
      </c>
      <c r="BP427" s="78">
        <f t="shared" si="56"/>
        <v>0.70833333333333326</v>
      </c>
    </row>
    <row r="428" spans="1:68" ht="27" hidden="1" customHeight="1" x14ac:dyDescent="0.25">
      <c r="A428" s="63" t="s">
        <v>714</v>
      </c>
      <c r="B428" s="63" t="s">
        <v>715</v>
      </c>
      <c r="C428" s="36">
        <v>4301011433</v>
      </c>
      <c r="D428" s="651">
        <v>4680115882638</v>
      </c>
      <c r="E428" s="651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7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53"/>
      <c r="R428" s="653"/>
      <c r="S428" s="653"/>
      <c r="T428" s="65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717</v>
      </c>
      <c r="B429" s="63" t="s">
        <v>718</v>
      </c>
      <c r="C429" s="36">
        <v>4301011952</v>
      </c>
      <c r="D429" s="651">
        <v>4680115884922</v>
      </c>
      <c r="E429" s="651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7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53"/>
      <c r="R429" s="653"/>
      <c r="S429" s="653"/>
      <c r="T429" s="65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720</v>
      </c>
      <c r="B430" s="63" t="s">
        <v>721</v>
      </c>
      <c r="C430" s="36">
        <v>4301011868</v>
      </c>
      <c r="D430" s="651">
        <v>4680115884861</v>
      </c>
      <c r="E430" s="651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71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53"/>
      <c r="R430" s="653"/>
      <c r="S430" s="653"/>
      <c r="T430" s="65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645"/>
      <c r="B431" s="645"/>
      <c r="C431" s="645"/>
      <c r="D431" s="645"/>
      <c r="E431" s="645"/>
      <c r="F431" s="645"/>
      <c r="G431" s="645"/>
      <c r="H431" s="645"/>
      <c r="I431" s="645"/>
      <c r="J431" s="645"/>
      <c r="K431" s="645"/>
      <c r="L431" s="645"/>
      <c r="M431" s="645"/>
      <c r="N431" s="645"/>
      <c r="O431" s="646"/>
      <c r="P431" s="642" t="s">
        <v>40</v>
      </c>
      <c r="Q431" s="643"/>
      <c r="R431" s="643"/>
      <c r="S431" s="643"/>
      <c r="T431" s="643"/>
      <c r="U431" s="643"/>
      <c r="V431" s="644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66.666666666666671</v>
      </c>
      <c r="Y431" s="43">
        <f>IFERROR(Y423/H423,"0")+IFERROR(Y424/H424,"0")+IFERROR(Y425/H425,"0")+IFERROR(Y426/H426,"0")+IFERROR(Y427/H427,"0")+IFERROR(Y428/H428,"0")+IFERROR(Y429/H429,"0")+IFERROR(Y430/H430,"0")</f>
        <v>68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1.4789999999999999</v>
      </c>
      <c r="AA431" s="67"/>
      <c r="AB431" s="67"/>
      <c r="AC431" s="67"/>
    </row>
    <row r="432" spans="1:68" x14ac:dyDescent="0.2">
      <c r="A432" s="645"/>
      <c r="B432" s="645"/>
      <c r="C432" s="645"/>
      <c r="D432" s="645"/>
      <c r="E432" s="645"/>
      <c r="F432" s="645"/>
      <c r="G432" s="645"/>
      <c r="H432" s="645"/>
      <c r="I432" s="645"/>
      <c r="J432" s="645"/>
      <c r="K432" s="645"/>
      <c r="L432" s="645"/>
      <c r="M432" s="645"/>
      <c r="N432" s="645"/>
      <c r="O432" s="646"/>
      <c r="P432" s="642" t="s">
        <v>40</v>
      </c>
      <c r="Q432" s="643"/>
      <c r="R432" s="643"/>
      <c r="S432" s="643"/>
      <c r="T432" s="643"/>
      <c r="U432" s="643"/>
      <c r="V432" s="644"/>
      <c r="W432" s="42" t="s">
        <v>0</v>
      </c>
      <c r="X432" s="43">
        <f>IFERROR(SUM(X423:X430),"0")</f>
        <v>1000</v>
      </c>
      <c r="Y432" s="43">
        <f>IFERROR(SUM(Y423:Y430),"0")</f>
        <v>1020</v>
      </c>
      <c r="Z432" s="42"/>
      <c r="AA432" s="67"/>
      <c r="AB432" s="67"/>
      <c r="AC432" s="67"/>
    </row>
    <row r="433" spans="1:68" ht="14.25" hidden="1" customHeight="1" x14ac:dyDescent="0.25">
      <c r="A433" s="656" t="s">
        <v>164</v>
      </c>
      <c r="B433" s="656"/>
      <c r="C433" s="656"/>
      <c r="D433" s="656"/>
      <c r="E433" s="656"/>
      <c r="F433" s="656"/>
      <c r="G433" s="656"/>
      <c r="H433" s="656"/>
      <c r="I433" s="656"/>
      <c r="J433" s="656"/>
      <c r="K433" s="656"/>
      <c r="L433" s="656"/>
      <c r="M433" s="656"/>
      <c r="N433" s="656"/>
      <c r="O433" s="656"/>
      <c r="P433" s="656"/>
      <c r="Q433" s="656"/>
      <c r="R433" s="656"/>
      <c r="S433" s="656"/>
      <c r="T433" s="656"/>
      <c r="U433" s="656"/>
      <c r="V433" s="656"/>
      <c r="W433" s="656"/>
      <c r="X433" s="656"/>
      <c r="Y433" s="656"/>
      <c r="Z433" s="656"/>
      <c r="AA433" s="66"/>
      <c r="AB433" s="66"/>
      <c r="AC433" s="80"/>
    </row>
    <row r="434" spans="1:68" ht="27" hidden="1" customHeight="1" x14ac:dyDescent="0.25">
      <c r="A434" s="63" t="s">
        <v>723</v>
      </c>
      <c r="B434" s="63" t="s">
        <v>724</v>
      </c>
      <c r="C434" s="36">
        <v>4301020178</v>
      </c>
      <c r="D434" s="651">
        <v>4607091383980</v>
      </c>
      <c r="E434" s="651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53"/>
      <c r="R434" s="653"/>
      <c r="S434" s="653"/>
      <c r="T434" s="654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726</v>
      </c>
      <c r="B435" s="63" t="s">
        <v>727</v>
      </c>
      <c r="C435" s="36">
        <v>4301020355</v>
      </c>
      <c r="D435" s="651">
        <v>4680115888425</v>
      </c>
      <c r="E435" s="651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53"/>
      <c r="R435" s="653"/>
      <c r="S435" s="653"/>
      <c r="T435" s="65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729</v>
      </c>
      <c r="B436" s="63" t="s">
        <v>730</v>
      </c>
      <c r="C436" s="36">
        <v>4301020179</v>
      </c>
      <c r="D436" s="651">
        <v>4607091384178</v>
      </c>
      <c r="E436" s="651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53"/>
      <c r="R436" s="653"/>
      <c r="S436" s="653"/>
      <c r="T436" s="65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645"/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6"/>
      <c r="P437" s="642" t="s">
        <v>40</v>
      </c>
      <c r="Q437" s="643"/>
      <c r="R437" s="643"/>
      <c r="S437" s="643"/>
      <c r="T437" s="643"/>
      <c r="U437" s="643"/>
      <c r="V437" s="644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645"/>
      <c r="B438" s="645"/>
      <c r="C438" s="645"/>
      <c r="D438" s="645"/>
      <c r="E438" s="645"/>
      <c r="F438" s="645"/>
      <c r="G438" s="645"/>
      <c r="H438" s="645"/>
      <c r="I438" s="645"/>
      <c r="J438" s="645"/>
      <c r="K438" s="645"/>
      <c r="L438" s="645"/>
      <c r="M438" s="645"/>
      <c r="N438" s="645"/>
      <c r="O438" s="646"/>
      <c r="P438" s="642" t="s">
        <v>40</v>
      </c>
      <c r="Q438" s="643"/>
      <c r="R438" s="643"/>
      <c r="S438" s="643"/>
      <c r="T438" s="643"/>
      <c r="U438" s="643"/>
      <c r="V438" s="644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656" t="s">
        <v>86</v>
      </c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6"/>
      <c r="P439" s="656"/>
      <c r="Q439" s="656"/>
      <c r="R439" s="656"/>
      <c r="S439" s="656"/>
      <c r="T439" s="656"/>
      <c r="U439" s="656"/>
      <c r="V439" s="656"/>
      <c r="W439" s="656"/>
      <c r="X439" s="656"/>
      <c r="Y439" s="656"/>
      <c r="Z439" s="656"/>
      <c r="AA439" s="66"/>
      <c r="AB439" s="66"/>
      <c r="AC439" s="80"/>
    </row>
    <row r="440" spans="1:68" ht="27" hidden="1" customHeight="1" x14ac:dyDescent="0.25">
      <c r="A440" s="63" t="s">
        <v>732</v>
      </c>
      <c r="B440" s="63" t="s">
        <v>733</v>
      </c>
      <c r="C440" s="36">
        <v>4301051903</v>
      </c>
      <c r="D440" s="651">
        <v>4607091383928</v>
      </c>
      <c r="E440" s="651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7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53"/>
      <c r="R440" s="653"/>
      <c r="S440" s="653"/>
      <c r="T440" s="654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735</v>
      </c>
      <c r="B441" s="63" t="s">
        <v>736</v>
      </c>
      <c r="C441" s="36">
        <v>4301051897</v>
      </c>
      <c r="D441" s="651">
        <v>4607091384260</v>
      </c>
      <c r="E441" s="651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7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53"/>
      <c r="R441" s="653"/>
      <c r="S441" s="653"/>
      <c r="T441" s="654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738</v>
      </c>
      <c r="B442" s="63" t="s">
        <v>739</v>
      </c>
      <c r="C442" s="36">
        <v>4301052220</v>
      </c>
      <c r="D442" s="651">
        <v>4680115889538</v>
      </c>
      <c r="E442" s="651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70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53"/>
      <c r="R442" s="653"/>
      <c r="S442" s="653"/>
      <c r="T442" s="65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645"/>
      <c r="B443" s="645"/>
      <c r="C443" s="645"/>
      <c r="D443" s="645"/>
      <c r="E443" s="645"/>
      <c r="F443" s="645"/>
      <c r="G443" s="645"/>
      <c r="H443" s="645"/>
      <c r="I443" s="645"/>
      <c r="J443" s="645"/>
      <c r="K443" s="645"/>
      <c r="L443" s="645"/>
      <c r="M443" s="645"/>
      <c r="N443" s="645"/>
      <c r="O443" s="646"/>
      <c r="P443" s="642" t="s">
        <v>40</v>
      </c>
      <c r="Q443" s="643"/>
      <c r="R443" s="643"/>
      <c r="S443" s="643"/>
      <c r="T443" s="643"/>
      <c r="U443" s="643"/>
      <c r="V443" s="644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645"/>
      <c r="B444" s="645"/>
      <c r="C444" s="645"/>
      <c r="D444" s="645"/>
      <c r="E444" s="645"/>
      <c r="F444" s="645"/>
      <c r="G444" s="645"/>
      <c r="H444" s="645"/>
      <c r="I444" s="645"/>
      <c r="J444" s="645"/>
      <c r="K444" s="645"/>
      <c r="L444" s="645"/>
      <c r="M444" s="645"/>
      <c r="N444" s="645"/>
      <c r="O444" s="646"/>
      <c r="P444" s="642" t="s">
        <v>40</v>
      </c>
      <c r="Q444" s="643"/>
      <c r="R444" s="643"/>
      <c r="S444" s="643"/>
      <c r="T444" s="643"/>
      <c r="U444" s="643"/>
      <c r="V444" s="644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656" t="s">
        <v>181</v>
      </c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6"/>
      <c r="P445" s="656"/>
      <c r="Q445" s="656"/>
      <c r="R445" s="656"/>
      <c r="S445" s="656"/>
      <c r="T445" s="656"/>
      <c r="U445" s="656"/>
      <c r="V445" s="656"/>
      <c r="W445" s="656"/>
      <c r="X445" s="656"/>
      <c r="Y445" s="656"/>
      <c r="Z445" s="656"/>
      <c r="AA445" s="66"/>
      <c r="AB445" s="66"/>
      <c r="AC445" s="80"/>
    </row>
    <row r="446" spans="1:68" ht="27" hidden="1" customHeight="1" x14ac:dyDescent="0.25">
      <c r="A446" s="63" t="s">
        <v>741</v>
      </c>
      <c r="B446" s="63" t="s">
        <v>742</v>
      </c>
      <c r="C446" s="36">
        <v>4301060537</v>
      </c>
      <c r="D446" s="651">
        <v>4680115889545</v>
      </c>
      <c r="E446" s="651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70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53"/>
      <c r="R446" s="653"/>
      <c r="S446" s="653"/>
      <c r="T446" s="654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customHeight="1" x14ac:dyDescent="0.25">
      <c r="A447" s="63" t="s">
        <v>744</v>
      </c>
      <c r="B447" s="63" t="s">
        <v>745</v>
      </c>
      <c r="C447" s="36">
        <v>4301060524</v>
      </c>
      <c r="D447" s="651">
        <v>4607091384673</v>
      </c>
      <c r="E447" s="651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7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53"/>
      <c r="R447" s="653"/>
      <c r="S447" s="653"/>
      <c r="T447" s="654"/>
      <c r="U447" s="39" t="s">
        <v>46</v>
      </c>
      <c r="V447" s="39" t="s">
        <v>46</v>
      </c>
      <c r="W447" s="40" t="s">
        <v>0</v>
      </c>
      <c r="X447" s="58">
        <v>150</v>
      </c>
      <c r="Y447" s="55">
        <f>IFERROR(IF(X447="",0,CEILING((X447/$H447),1)*$H447),"")</f>
        <v>153</v>
      </c>
      <c r="Z447" s="41">
        <f>IFERROR(IF(Y447=0,"",ROUNDUP(Y447/H447,0)*0.01898),"")</f>
        <v>0.32266</v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158.23333333333332</v>
      </c>
      <c r="BN447" s="78">
        <f>IFERROR(Y447*I447/H447,"0")</f>
        <v>161.398</v>
      </c>
      <c r="BO447" s="78">
        <f>IFERROR(1/J447*(X447/H447),"0")</f>
        <v>0.26041666666666669</v>
      </c>
      <c r="BP447" s="78">
        <f>IFERROR(1/J447*(Y447/H447),"0")</f>
        <v>0.265625</v>
      </c>
    </row>
    <row r="448" spans="1:68" x14ac:dyDescent="0.2">
      <c r="A448" s="645"/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6"/>
      <c r="P448" s="642" t="s">
        <v>40</v>
      </c>
      <c r="Q448" s="643"/>
      <c r="R448" s="643"/>
      <c r="S448" s="643"/>
      <c r="T448" s="643"/>
      <c r="U448" s="643"/>
      <c r="V448" s="644"/>
      <c r="W448" s="42" t="s">
        <v>39</v>
      </c>
      <c r="X448" s="43">
        <f>IFERROR(X446/H446,"0")+IFERROR(X447/H447,"0")</f>
        <v>16.666666666666668</v>
      </c>
      <c r="Y448" s="43">
        <f>IFERROR(Y446/H446,"0")+IFERROR(Y447/H447,"0")</f>
        <v>17</v>
      </c>
      <c r="Z448" s="43">
        <f>IFERROR(IF(Z446="",0,Z446),"0")+IFERROR(IF(Z447="",0,Z447),"0")</f>
        <v>0.32266</v>
      </c>
      <c r="AA448" s="67"/>
      <c r="AB448" s="67"/>
      <c r="AC448" s="67"/>
    </row>
    <row r="449" spans="1:68" x14ac:dyDescent="0.2">
      <c r="A449" s="645"/>
      <c r="B449" s="645"/>
      <c r="C449" s="645"/>
      <c r="D449" s="645"/>
      <c r="E449" s="645"/>
      <c r="F449" s="645"/>
      <c r="G449" s="645"/>
      <c r="H449" s="645"/>
      <c r="I449" s="645"/>
      <c r="J449" s="645"/>
      <c r="K449" s="645"/>
      <c r="L449" s="645"/>
      <c r="M449" s="645"/>
      <c r="N449" s="645"/>
      <c r="O449" s="646"/>
      <c r="P449" s="642" t="s">
        <v>40</v>
      </c>
      <c r="Q449" s="643"/>
      <c r="R449" s="643"/>
      <c r="S449" s="643"/>
      <c r="T449" s="643"/>
      <c r="U449" s="643"/>
      <c r="V449" s="644"/>
      <c r="W449" s="42" t="s">
        <v>0</v>
      </c>
      <c r="X449" s="43">
        <f>IFERROR(SUM(X446:X447),"0")</f>
        <v>150</v>
      </c>
      <c r="Y449" s="43">
        <f>IFERROR(SUM(Y446:Y447),"0")</f>
        <v>153</v>
      </c>
      <c r="Z449" s="42"/>
      <c r="AA449" s="67"/>
      <c r="AB449" s="67"/>
      <c r="AC449" s="67"/>
    </row>
    <row r="450" spans="1:68" ht="16.5" hidden="1" customHeight="1" x14ac:dyDescent="0.25">
      <c r="A450" s="655" t="s">
        <v>747</v>
      </c>
      <c r="B450" s="655"/>
      <c r="C450" s="655"/>
      <c r="D450" s="655"/>
      <c r="E450" s="655"/>
      <c r="F450" s="655"/>
      <c r="G450" s="655"/>
      <c r="H450" s="655"/>
      <c r="I450" s="655"/>
      <c r="J450" s="655"/>
      <c r="K450" s="655"/>
      <c r="L450" s="655"/>
      <c r="M450" s="655"/>
      <c r="N450" s="655"/>
      <c r="O450" s="655"/>
      <c r="P450" s="655"/>
      <c r="Q450" s="655"/>
      <c r="R450" s="655"/>
      <c r="S450" s="655"/>
      <c r="T450" s="655"/>
      <c r="U450" s="655"/>
      <c r="V450" s="655"/>
      <c r="W450" s="655"/>
      <c r="X450" s="655"/>
      <c r="Y450" s="655"/>
      <c r="Z450" s="655"/>
      <c r="AA450" s="65"/>
      <c r="AB450" s="65"/>
      <c r="AC450" s="79"/>
    </row>
    <row r="451" spans="1:68" ht="14.25" hidden="1" customHeight="1" x14ac:dyDescent="0.25">
      <c r="A451" s="656" t="s">
        <v>128</v>
      </c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6"/>
      <c r="P451" s="656"/>
      <c r="Q451" s="656"/>
      <c r="R451" s="656"/>
      <c r="S451" s="656"/>
      <c r="T451" s="656"/>
      <c r="U451" s="656"/>
      <c r="V451" s="656"/>
      <c r="W451" s="656"/>
      <c r="X451" s="656"/>
      <c r="Y451" s="656"/>
      <c r="Z451" s="656"/>
      <c r="AA451" s="66"/>
      <c r="AB451" s="66"/>
      <c r="AC451" s="80"/>
    </row>
    <row r="452" spans="1:68" ht="27" customHeight="1" x14ac:dyDescent="0.25">
      <c r="A452" s="63" t="s">
        <v>748</v>
      </c>
      <c r="B452" s="63" t="s">
        <v>749</v>
      </c>
      <c r="C452" s="36">
        <v>4301011875</v>
      </c>
      <c r="D452" s="651">
        <v>4680115884885</v>
      </c>
      <c r="E452" s="651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6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53"/>
      <c r="R452" s="653"/>
      <c r="S452" s="653"/>
      <c r="T452" s="654"/>
      <c r="U452" s="39" t="s">
        <v>46</v>
      </c>
      <c r="V452" s="39" t="s">
        <v>46</v>
      </c>
      <c r="W452" s="40" t="s">
        <v>0</v>
      </c>
      <c r="X452" s="58">
        <v>100</v>
      </c>
      <c r="Y452" s="55">
        <f>IFERROR(IF(X452="",0,CEILING((X452/$H452),1)*$H452),"")</f>
        <v>108</v>
      </c>
      <c r="Z452" s="41">
        <f>IFERROR(IF(Y452=0,"",ROUNDUP(Y452/H452,0)*0.01898),"")</f>
        <v>0.17082</v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103.41666666666667</v>
      </c>
      <c r="BN452" s="78">
        <f>IFERROR(Y452*I452/H452,"0")</f>
        <v>111.69</v>
      </c>
      <c r="BO452" s="78">
        <f>IFERROR(1/J452*(X452/H452),"0")</f>
        <v>0.13020833333333334</v>
      </c>
      <c r="BP452" s="78">
        <f>IFERROR(1/J452*(Y452/H452),"0")</f>
        <v>0.140625</v>
      </c>
    </row>
    <row r="453" spans="1:68" ht="37.5" hidden="1" customHeight="1" x14ac:dyDescent="0.25">
      <c r="A453" s="63" t="s">
        <v>751</v>
      </c>
      <c r="B453" s="63" t="s">
        <v>752</v>
      </c>
      <c r="C453" s="36">
        <v>4301011871</v>
      </c>
      <c r="D453" s="651">
        <v>4680115884908</v>
      </c>
      <c r="E453" s="651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7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53"/>
      <c r="R453" s="653"/>
      <c r="S453" s="653"/>
      <c r="T453" s="65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645"/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6"/>
      <c r="P454" s="642" t="s">
        <v>40</v>
      </c>
      <c r="Q454" s="643"/>
      <c r="R454" s="643"/>
      <c r="S454" s="643"/>
      <c r="T454" s="643"/>
      <c r="U454" s="643"/>
      <c r="V454" s="644"/>
      <c r="W454" s="42" t="s">
        <v>39</v>
      </c>
      <c r="X454" s="43">
        <f>IFERROR(X452/H452,"0")+IFERROR(X453/H453,"0")</f>
        <v>8.3333333333333339</v>
      </c>
      <c r="Y454" s="43">
        <f>IFERROR(Y452/H452,"0")+IFERROR(Y453/H453,"0")</f>
        <v>9</v>
      </c>
      <c r="Z454" s="43">
        <f>IFERROR(IF(Z452="",0,Z452),"0")+IFERROR(IF(Z453="",0,Z453),"0")</f>
        <v>0.17082</v>
      </c>
      <c r="AA454" s="67"/>
      <c r="AB454" s="67"/>
      <c r="AC454" s="67"/>
    </row>
    <row r="455" spans="1:68" x14ac:dyDescent="0.2">
      <c r="A455" s="645"/>
      <c r="B455" s="645"/>
      <c r="C455" s="645"/>
      <c r="D455" s="645"/>
      <c r="E455" s="645"/>
      <c r="F455" s="645"/>
      <c r="G455" s="645"/>
      <c r="H455" s="645"/>
      <c r="I455" s="645"/>
      <c r="J455" s="645"/>
      <c r="K455" s="645"/>
      <c r="L455" s="645"/>
      <c r="M455" s="645"/>
      <c r="N455" s="645"/>
      <c r="O455" s="646"/>
      <c r="P455" s="642" t="s">
        <v>40</v>
      </c>
      <c r="Q455" s="643"/>
      <c r="R455" s="643"/>
      <c r="S455" s="643"/>
      <c r="T455" s="643"/>
      <c r="U455" s="643"/>
      <c r="V455" s="644"/>
      <c r="W455" s="42" t="s">
        <v>0</v>
      </c>
      <c r="X455" s="43">
        <f>IFERROR(SUM(X452:X453),"0")</f>
        <v>100</v>
      </c>
      <c r="Y455" s="43">
        <f>IFERROR(SUM(Y452:Y453),"0")</f>
        <v>108</v>
      </c>
      <c r="Z455" s="42"/>
      <c r="AA455" s="67"/>
      <c r="AB455" s="67"/>
      <c r="AC455" s="67"/>
    </row>
    <row r="456" spans="1:68" ht="14.25" hidden="1" customHeight="1" x14ac:dyDescent="0.25">
      <c r="A456" s="656" t="s">
        <v>77</v>
      </c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6"/>
      <c r="P456" s="656"/>
      <c r="Q456" s="656"/>
      <c r="R456" s="656"/>
      <c r="S456" s="656"/>
      <c r="T456" s="656"/>
      <c r="U456" s="656"/>
      <c r="V456" s="656"/>
      <c r="W456" s="656"/>
      <c r="X456" s="656"/>
      <c r="Y456" s="656"/>
      <c r="Z456" s="656"/>
      <c r="AA456" s="66"/>
      <c r="AB456" s="66"/>
      <c r="AC456" s="80"/>
    </row>
    <row r="457" spans="1:68" ht="27" hidden="1" customHeight="1" x14ac:dyDescent="0.25">
      <c r="A457" s="63" t="s">
        <v>753</v>
      </c>
      <c r="B457" s="63" t="s">
        <v>754</v>
      </c>
      <c r="C457" s="36">
        <v>4301031457</v>
      </c>
      <c r="D457" s="651">
        <v>4607091384802</v>
      </c>
      <c r="E457" s="651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6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53"/>
      <c r="R457" s="653"/>
      <c r="S457" s="653"/>
      <c r="T457" s="654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45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42" t="s">
        <v>40</v>
      </c>
      <c r="Q458" s="643"/>
      <c r="R458" s="643"/>
      <c r="S458" s="643"/>
      <c r="T458" s="643"/>
      <c r="U458" s="643"/>
      <c r="V458" s="644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42" t="s">
        <v>40</v>
      </c>
      <c r="Q459" s="643"/>
      <c r="R459" s="643"/>
      <c r="S459" s="643"/>
      <c r="T459" s="643"/>
      <c r="U459" s="643"/>
      <c r="V459" s="644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56" t="s">
        <v>86</v>
      </c>
      <c r="B460" s="656"/>
      <c r="C460" s="656"/>
      <c r="D460" s="656"/>
      <c r="E460" s="656"/>
      <c r="F460" s="656"/>
      <c r="G460" s="656"/>
      <c r="H460" s="656"/>
      <c r="I460" s="656"/>
      <c r="J460" s="656"/>
      <c r="K460" s="656"/>
      <c r="L460" s="656"/>
      <c r="M460" s="656"/>
      <c r="N460" s="656"/>
      <c r="O460" s="656"/>
      <c r="P460" s="656"/>
      <c r="Q460" s="656"/>
      <c r="R460" s="656"/>
      <c r="S460" s="656"/>
      <c r="T460" s="656"/>
      <c r="U460" s="656"/>
      <c r="V460" s="656"/>
      <c r="W460" s="656"/>
      <c r="X460" s="656"/>
      <c r="Y460" s="656"/>
      <c r="Z460" s="656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4301051899</v>
      </c>
      <c r="D461" s="651">
        <v>4607091384246</v>
      </c>
      <c r="E461" s="651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53"/>
      <c r="R461" s="653"/>
      <c r="S461" s="653"/>
      <c r="T461" s="65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759</v>
      </c>
      <c r="B462" s="63" t="s">
        <v>760</v>
      </c>
      <c r="C462" s="36">
        <v>4301051660</v>
      </c>
      <c r="D462" s="651">
        <v>4607091384253</v>
      </c>
      <c r="E462" s="651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53"/>
      <c r="R462" s="653"/>
      <c r="S462" s="653"/>
      <c r="T462" s="654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759</v>
      </c>
      <c r="B463" s="63" t="s">
        <v>761</v>
      </c>
      <c r="C463" s="36">
        <v>4301052069</v>
      </c>
      <c r="D463" s="651">
        <v>4607091384253</v>
      </c>
      <c r="E463" s="651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6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53"/>
      <c r="R463" s="653"/>
      <c r="S463" s="653"/>
      <c r="T463" s="65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42" t="s">
        <v>40</v>
      </c>
      <c r="Q464" s="643"/>
      <c r="R464" s="643"/>
      <c r="S464" s="643"/>
      <c r="T464" s="643"/>
      <c r="U464" s="643"/>
      <c r="V464" s="644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645"/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6"/>
      <c r="P465" s="642" t="s">
        <v>40</v>
      </c>
      <c r="Q465" s="643"/>
      <c r="R465" s="643"/>
      <c r="S465" s="643"/>
      <c r="T465" s="643"/>
      <c r="U465" s="643"/>
      <c r="V465" s="644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662" t="s">
        <v>763</v>
      </c>
      <c r="B466" s="662"/>
      <c r="C466" s="662"/>
      <c r="D466" s="662"/>
      <c r="E466" s="662"/>
      <c r="F466" s="662"/>
      <c r="G466" s="662"/>
      <c r="H466" s="662"/>
      <c r="I466" s="662"/>
      <c r="J466" s="662"/>
      <c r="K466" s="662"/>
      <c r="L466" s="662"/>
      <c r="M466" s="662"/>
      <c r="N466" s="662"/>
      <c r="O466" s="662"/>
      <c r="P466" s="662"/>
      <c r="Q466" s="662"/>
      <c r="R466" s="662"/>
      <c r="S466" s="662"/>
      <c r="T466" s="662"/>
      <c r="U466" s="662"/>
      <c r="V466" s="662"/>
      <c r="W466" s="662"/>
      <c r="X466" s="662"/>
      <c r="Y466" s="662"/>
      <c r="Z466" s="662"/>
      <c r="AA466" s="54"/>
      <c r="AB466" s="54"/>
      <c r="AC466" s="54"/>
    </row>
    <row r="467" spans="1:68" ht="16.5" hidden="1" customHeight="1" x14ac:dyDescent="0.25">
      <c r="A467" s="655" t="s">
        <v>764</v>
      </c>
      <c r="B467" s="655"/>
      <c r="C467" s="655"/>
      <c r="D467" s="655"/>
      <c r="E467" s="655"/>
      <c r="F467" s="655"/>
      <c r="G467" s="655"/>
      <c r="H467" s="655"/>
      <c r="I467" s="655"/>
      <c r="J467" s="655"/>
      <c r="K467" s="655"/>
      <c r="L467" s="655"/>
      <c r="M467" s="655"/>
      <c r="N467" s="655"/>
      <c r="O467" s="655"/>
      <c r="P467" s="655"/>
      <c r="Q467" s="655"/>
      <c r="R467" s="655"/>
      <c r="S467" s="655"/>
      <c r="T467" s="655"/>
      <c r="U467" s="655"/>
      <c r="V467" s="655"/>
      <c r="W467" s="655"/>
      <c r="X467" s="655"/>
      <c r="Y467" s="655"/>
      <c r="Z467" s="655"/>
      <c r="AA467" s="65"/>
      <c r="AB467" s="65"/>
      <c r="AC467" s="79"/>
    </row>
    <row r="468" spans="1:68" ht="14.25" hidden="1" customHeight="1" x14ac:dyDescent="0.25">
      <c r="A468" s="656" t="s">
        <v>77</v>
      </c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6"/>
      <c r="P468" s="656"/>
      <c r="Q468" s="656"/>
      <c r="R468" s="656"/>
      <c r="S468" s="656"/>
      <c r="T468" s="656"/>
      <c r="U468" s="656"/>
      <c r="V468" s="656"/>
      <c r="W468" s="656"/>
      <c r="X468" s="656"/>
      <c r="Y468" s="656"/>
      <c r="Z468" s="656"/>
      <c r="AA468" s="66"/>
      <c r="AB468" s="66"/>
      <c r="AC468" s="80"/>
    </row>
    <row r="469" spans="1:68" ht="27" hidden="1" customHeight="1" x14ac:dyDescent="0.25">
      <c r="A469" s="63" t="s">
        <v>765</v>
      </c>
      <c r="B469" s="63" t="s">
        <v>766</v>
      </c>
      <c r="C469" s="36">
        <v>4301031405</v>
      </c>
      <c r="D469" s="651">
        <v>4680115886100</v>
      </c>
      <c r="E469" s="651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6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53"/>
      <c r="R469" s="653"/>
      <c r="S469" s="653"/>
      <c r="T469" s="654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768</v>
      </c>
      <c r="B470" s="63" t="s">
        <v>769</v>
      </c>
      <c r="C470" s="36">
        <v>4301031402</v>
      </c>
      <c r="D470" s="651">
        <v>4680115886124</v>
      </c>
      <c r="E470" s="65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68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53"/>
      <c r="R470" s="653"/>
      <c r="S470" s="653"/>
      <c r="T470" s="654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771</v>
      </c>
      <c r="B471" s="63" t="s">
        <v>772</v>
      </c>
      <c r="C471" s="36">
        <v>4301031362</v>
      </c>
      <c r="D471" s="651">
        <v>4607091384338</v>
      </c>
      <c r="E471" s="651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9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53"/>
      <c r="R471" s="653"/>
      <c r="S471" s="653"/>
      <c r="T471" s="65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773</v>
      </c>
      <c r="B472" s="63" t="s">
        <v>774</v>
      </c>
      <c r="C472" s="36">
        <v>4301031364</v>
      </c>
      <c r="D472" s="651">
        <v>4680115883161</v>
      </c>
      <c r="E472" s="651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53"/>
      <c r="R472" s="653"/>
      <c r="S472" s="653"/>
      <c r="T472" s="65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776</v>
      </c>
      <c r="B473" s="63" t="s">
        <v>777</v>
      </c>
      <c r="C473" s="36">
        <v>4301031358</v>
      </c>
      <c r="D473" s="651">
        <v>4607091389531</v>
      </c>
      <c r="E473" s="65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53"/>
      <c r="R473" s="653"/>
      <c r="S473" s="653"/>
      <c r="T473" s="65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779</v>
      </c>
      <c r="B474" s="63" t="s">
        <v>780</v>
      </c>
      <c r="C474" s="36">
        <v>4301031360</v>
      </c>
      <c r="D474" s="651">
        <v>4607091384345</v>
      </c>
      <c r="E474" s="651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53"/>
      <c r="R474" s="653"/>
      <c r="S474" s="653"/>
      <c r="T474" s="65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645"/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6"/>
      <c r="P475" s="642" t="s">
        <v>40</v>
      </c>
      <c r="Q475" s="643"/>
      <c r="R475" s="643"/>
      <c r="S475" s="643"/>
      <c r="T475" s="643"/>
      <c r="U475" s="643"/>
      <c r="V475" s="644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645"/>
      <c r="B476" s="645"/>
      <c r="C476" s="645"/>
      <c r="D476" s="645"/>
      <c r="E476" s="645"/>
      <c r="F476" s="645"/>
      <c r="G476" s="645"/>
      <c r="H476" s="645"/>
      <c r="I476" s="645"/>
      <c r="J476" s="645"/>
      <c r="K476" s="645"/>
      <c r="L476" s="645"/>
      <c r="M476" s="645"/>
      <c r="N476" s="645"/>
      <c r="O476" s="646"/>
      <c r="P476" s="642" t="s">
        <v>40</v>
      </c>
      <c r="Q476" s="643"/>
      <c r="R476" s="643"/>
      <c r="S476" s="643"/>
      <c r="T476" s="643"/>
      <c r="U476" s="643"/>
      <c r="V476" s="644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656" t="s">
        <v>86</v>
      </c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6"/>
      <c r="P477" s="656"/>
      <c r="Q477" s="656"/>
      <c r="R477" s="656"/>
      <c r="S477" s="656"/>
      <c r="T477" s="656"/>
      <c r="U477" s="656"/>
      <c r="V477" s="656"/>
      <c r="W477" s="656"/>
      <c r="X477" s="656"/>
      <c r="Y477" s="656"/>
      <c r="Z477" s="656"/>
      <c r="AA477" s="66"/>
      <c r="AB477" s="66"/>
      <c r="AC477" s="80"/>
    </row>
    <row r="478" spans="1:68" ht="27" hidden="1" customHeight="1" x14ac:dyDescent="0.25">
      <c r="A478" s="63" t="s">
        <v>781</v>
      </c>
      <c r="B478" s="63" t="s">
        <v>782</v>
      </c>
      <c r="C478" s="36">
        <v>4301051284</v>
      </c>
      <c r="D478" s="651">
        <v>4607091384352</v>
      </c>
      <c r="E478" s="651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53"/>
      <c r="R478" s="653"/>
      <c r="S478" s="653"/>
      <c r="T478" s="654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784</v>
      </c>
      <c r="B479" s="63" t="s">
        <v>785</v>
      </c>
      <c r="C479" s="36">
        <v>4301051431</v>
      </c>
      <c r="D479" s="651">
        <v>4607091389654</v>
      </c>
      <c r="E479" s="651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6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53"/>
      <c r="R479" s="653"/>
      <c r="S479" s="653"/>
      <c r="T479" s="65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42" t="s">
        <v>40</v>
      </c>
      <c r="Q480" s="643"/>
      <c r="R480" s="643"/>
      <c r="S480" s="643"/>
      <c r="T480" s="643"/>
      <c r="U480" s="643"/>
      <c r="V480" s="644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645"/>
      <c r="B481" s="645"/>
      <c r="C481" s="645"/>
      <c r="D481" s="645"/>
      <c r="E481" s="645"/>
      <c r="F481" s="645"/>
      <c r="G481" s="645"/>
      <c r="H481" s="645"/>
      <c r="I481" s="645"/>
      <c r="J481" s="645"/>
      <c r="K481" s="645"/>
      <c r="L481" s="645"/>
      <c r="M481" s="645"/>
      <c r="N481" s="645"/>
      <c r="O481" s="646"/>
      <c r="P481" s="642" t="s">
        <v>40</v>
      </c>
      <c r="Q481" s="643"/>
      <c r="R481" s="643"/>
      <c r="S481" s="643"/>
      <c r="T481" s="643"/>
      <c r="U481" s="643"/>
      <c r="V481" s="644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655" t="s">
        <v>787</v>
      </c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5"/>
      <c r="P482" s="655"/>
      <c r="Q482" s="655"/>
      <c r="R482" s="655"/>
      <c r="S482" s="655"/>
      <c r="T482" s="655"/>
      <c r="U482" s="655"/>
      <c r="V482" s="655"/>
      <c r="W482" s="655"/>
      <c r="X482" s="655"/>
      <c r="Y482" s="655"/>
      <c r="Z482" s="655"/>
      <c r="AA482" s="65"/>
      <c r="AB482" s="65"/>
      <c r="AC482" s="79"/>
    </row>
    <row r="483" spans="1:68" ht="14.25" hidden="1" customHeight="1" x14ac:dyDescent="0.25">
      <c r="A483" s="656" t="s">
        <v>164</v>
      </c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6"/>
      <c r="P483" s="656"/>
      <c r="Q483" s="656"/>
      <c r="R483" s="656"/>
      <c r="S483" s="656"/>
      <c r="T483" s="656"/>
      <c r="U483" s="656"/>
      <c r="V483" s="656"/>
      <c r="W483" s="656"/>
      <c r="X483" s="656"/>
      <c r="Y483" s="656"/>
      <c r="Z483" s="656"/>
      <c r="AA483" s="66"/>
      <c r="AB483" s="66"/>
      <c r="AC483" s="80"/>
    </row>
    <row r="484" spans="1:68" ht="27" hidden="1" customHeight="1" x14ac:dyDescent="0.25">
      <c r="A484" s="63" t="s">
        <v>788</v>
      </c>
      <c r="B484" s="63" t="s">
        <v>789</v>
      </c>
      <c r="C484" s="36">
        <v>4301020416</v>
      </c>
      <c r="D484" s="651">
        <v>4680115885240</v>
      </c>
      <c r="E484" s="651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53"/>
      <c r="R484" s="653"/>
      <c r="S484" s="653"/>
      <c r="T484" s="654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645"/>
      <c r="B485" s="645"/>
      <c r="C485" s="645"/>
      <c r="D485" s="645"/>
      <c r="E485" s="645"/>
      <c r="F485" s="645"/>
      <c r="G485" s="645"/>
      <c r="H485" s="645"/>
      <c r="I485" s="645"/>
      <c r="J485" s="645"/>
      <c r="K485" s="645"/>
      <c r="L485" s="645"/>
      <c r="M485" s="645"/>
      <c r="N485" s="645"/>
      <c r="O485" s="646"/>
      <c r="P485" s="642" t="s">
        <v>40</v>
      </c>
      <c r="Q485" s="643"/>
      <c r="R485" s="643"/>
      <c r="S485" s="643"/>
      <c r="T485" s="643"/>
      <c r="U485" s="643"/>
      <c r="V485" s="644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645"/>
      <c r="B486" s="645"/>
      <c r="C486" s="645"/>
      <c r="D486" s="645"/>
      <c r="E486" s="645"/>
      <c r="F486" s="645"/>
      <c r="G486" s="645"/>
      <c r="H486" s="645"/>
      <c r="I486" s="645"/>
      <c r="J486" s="645"/>
      <c r="K486" s="645"/>
      <c r="L486" s="645"/>
      <c r="M486" s="645"/>
      <c r="N486" s="645"/>
      <c r="O486" s="646"/>
      <c r="P486" s="642" t="s">
        <v>40</v>
      </c>
      <c r="Q486" s="643"/>
      <c r="R486" s="643"/>
      <c r="S486" s="643"/>
      <c r="T486" s="643"/>
      <c r="U486" s="643"/>
      <c r="V486" s="644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656" t="s">
        <v>77</v>
      </c>
      <c r="B487" s="656"/>
      <c r="C487" s="656"/>
      <c r="D487" s="656"/>
      <c r="E487" s="656"/>
      <c r="F487" s="656"/>
      <c r="G487" s="656"/>
      <c r="H487" s="656"/>
      <c r="I487" s="656"/>
      <c r="J487" s="656"/>
      <c r="K487" s="656"/>
      <c r="L487" s="656"/>
      <c r="M487" s="656"/>
      <c r="N487" s="656"/>
      <c r="O487" s="656"/>
      <c r="P487" s="656"/>
      <c r="Q487" s="656"/>
      <c r="R487" s="656"/>
      <c r="S487" s="656"/>
      <c r="T487" s="656"/>
      <c r="U487" s="656"/>
      <c r="V487" s="656"/>
      <c r="W487" s="656"/>
      <c r="X487" s="656"/>
      <c r="Y487" s="656"/>
      <c r="Z487" s="656"/>
      <c r="AA487" s="66"/>
      <c r="AB487" s="66"/>
      <c r="AC487" s="80"/>
    </row>
    <row r="488" spans="1:68" ht="27" hidden="1" customHeight="1" x14ac:dyDescent="0.25">
      <c r="A488" s="63" t="s">
        <v>791</v>
      </c>
      <c r="B488" s="63" t="s">
        <v>792</v>
      </c>
      <c r="C488" s="36">
        <v>4301031407</v>
      </c>
      <c r="D488" s="651">
        <v>4680115886094</v>
      </c>
      <c r="E488" s="651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68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53"/>
      <c r="R488" s="653"/>
      <c r="S488" s="653"/>
      <c r="T488" s="654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794</v>
      </c>
      <c r="B489" s="63" t="s">
        <v>795</v>
      </c>
      <c r="C489" s="36">
        <v>4301031373</v>
      </c>
      <c r="D489" s="651">
        <v>4680115880771</v>
      </c>
      <c r="E489" s="651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8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53"/>
      <c r="R489" s="653"/>
      <c r="S489" s="653"/>
      <c r="T489" s="654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797</v>
      </c>
      <c r="B490" s="63" t="s">
        <v>798</v>
      </c>
      <c r="C490" s="36">
        <v>4301031359</v>
      </c>
      <c r="D490" s="651">
        <v>4607091389500</v>
      </c>
      <c r="E490" s="651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68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53"/>
      <c r="R490" s="653"/>
      <c r="S490" s="653"/>
      <c r="T490" s="65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42" t="s">
        <v>40</v>
      </c>
      <c r="Q491" s="643"/>
      <c r="R491" s="643"/>
      <c r="S491" s="643"/>
      <c r="T491" s="643"/>
      <c r="U491" s="643"/>
      <c r="V491" s="644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645"/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6"/>
      <c r="P492" s="642" t="s">
        <v>40</v>
      </c>
      <c r="Q492" s="643"/>
      <c r="R492" s="643"/>
      <c r="S492" s="643"/>
      <c r="T492" s="643"/>
      <c r="U492" s="643"/>
      <c r="V492" s="644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662" t="s">
        <v>799</v>
      </c>
      <c r="B493" s="662"/>
      <c r="C493" s="662"/>
      <c r="D493" s="662"/>
      <c r="E493" s="662"/>
      <c r="F493" s="662"/>
      <c r="G493" s="662"/>
      <c r="H493" s="662"/>
      <c r="I493" s="662"/>
      <c r="J493" s="662"/>
      <c r="K493" s="662"/>
      <c r="L493" s="662"/>
      <c r="M493" s="662"/>
      <c r="N493" s="662"/>
      <c r="O493" s="662"/>
      <c r="P493" s="662"/>
      <c r="Q493" s="662"/>
      <c r="R493" s="662"/>
      <c r="S493" s="662"/>
      <c r="T493" s="662"/>
      <c r="U493" s="662"/>
      <c r="V493" s="662"/>
      <c r="W493" s="662"/>
      <c r="X493" s="662"/>
      <c r="Y493" s="662"/>
      <c r="Z493" s="662"/>
      <c r="AA493" s="54"/>
      <c r="AB493" s="54"/>
      <c r="AC493" s="54"/>
    </row>
    <row r="494" spans="1:68" ht="16.5" hidden="1" customHeight="1" x14ac:dyDescent="0.25">
      <c r="A494" s="655" t="s">
        <v>799</v>
      </c>
      <c r="B494" s="655"/>
      <c r="C494" s="655"/>
      <c r="D494" s="655"/>
      <c r="E494" s="655"/>
      <c r="F494" s="655"/>
      <c r="G494" s="655"/>
      <c r="H494" s="655"/>
      <c r="I494" s="655"/>
      <c r="J494" s="655"/>
      <c r="K494" s="655"/>
      <c r="L494" s="655"/>
      <c r="M494" s="655"/>
      <c r="N494" s="655"/>
      <c r="O494" s="655"/>
      <c r="P494" s="655"/>
      <c r="Q494" s="655"/>
      <c r="R494" s="655"/>
      <c r="S494" s="655"/>
      <c r="T494" s="655"/>
      <c r="U494" s="655"/>
      <c r="V494" s="655"/>
      <c r="W494" s="655"/>
      <c r="X494" s="655"/>
      <c r="Y494" s="655"/>
      <c r="Z494" s="655"/>
      <c r="AA494" s="65"/>
      <c r="AB494" s="65"/>
      <c r="AC494" s="79"/>
    </row>
    <row r="495" spans="1:68" ht="14.25" hidden="1" customHeight="1" x14ac:dyDescent="0.25">
      <c r="A495" s="656" t="s">
        <v>128</v>
      </c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6"/>
      <c r="P495" s="656"/>
      <c r="Q495" s="656"/>
      <c r="R495" s="656"/>
      <c r="S495" s="656"/>
      <c r="T495" s="656"/>
      <c r="U495" s="656"/>
      <c r="V495" s="656"/>
      <c r="W495" s="656"/>
      <c r="X495" s="656"/>
      <c r="Y495" s="656"/>
      <c r="Z495" s="656"/>
      <c r="AA495" s="66"/>
      <c r="AB495" s="66"/>
      <c r="AC495" s="80"/>
    </row>
    <row r="496" spans="1:68" ht="27" hidden="1" customHeight="1" x14ac:dyDescent="0.25">
      <c r="A496" s="63" t="s">
        <v>800</v>
      </c>
      <c r="B496" s="63" t="s">
        <v>801</v>
      </c>
      <c r="C496" s="36">
        <v>4301011769</v>
      </c>
      <c r="D496" s="651">
        <v>4607091389067</v>
      </c>
      <c r="E496" s="65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6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53"/>
      <c r="R496" s="653"/>
      <c r="S496" s="653"/>
      <c r="T496" s="65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802</v>
      </c>
      <c r="B497" s="63" t="s">
        <v>803</v>
      </c>
      <c r="C497" s="36">
        <v>4301012380</v>
      </c>
      <c r="D497" s="651">
        <v>4680115889576</v>
      </c>
      <c r="E497" s="65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68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53"/>
      <c r="R497" s="653"/>
      <c r="S497" s="653"/>
      <c r="T497" s="65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805</v>
      </c>
      <c r="B498" s="63" t="s">
        <v>806</v>
      </c>
      <c r="C498" s="36">
        <v>4301011961</v>
      </c>
      <c r="D498" s="651">
        <v>4680115885271</v>
      </c>
      <c r="E498" s="65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53"/>
      <c r="R498" s="653"/>
      <c r="S498" s="653"/>
      <c r="T498" s="65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808</v>
      </c>
      <c r="B499" s="63" t="s">
        <v>809</v>
      </c>
      <c r="C499" s="36">
        <v>4301011369</v>
      </c>
      <c r="D499" s="651">
        <v>4680115885226</v>
      </c>
      <c r="E499" s="65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53"/>
      <c r="R499" s="653"/>
      <c r="S499" s="653"/>
      <c r="T499" s="65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811</v>
      </c>
      <c r="B500" s="63" t="s">
        <v>812</v>
      </c>
      <c r="C500" s="36">
        <v>4301011797</v>
      </c>
      <c r="D500" s="651">
        <v>4680115884502</v>
      </c>
      <c r="E500" s="65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6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53"/>
      <c r="R500" s="653"/>
      <c r="S500" s="653"/>
      <c r="T500" s="65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814</v>
      </c>
      <c r="B501" s="63" t="s">
        <v>815</v>
      </c>
      <c r="C501" s="36">
        <v>4301011771</v>
      </c>
      <c r="D501" s="651">
        <v>4607091389104</v>
      </c>
      <c r="E501" s="65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6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53"/>
      <c r="R501" s="653"/>
      <c r="S501" s="653"/>
      <c r="T501" s="65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817</v>
      </c>
      <c r="B502" s="63" t="s">
        <v>818</v>
      </c>
      <c r="C502" s="36">
        <v>4301012125</v>
      </c>
      <c r="D502" s="651">
        <v>4680115886391</v>
      </c>
      <c r="E502" s="651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6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53"/>
      <c r="R502" s="653"/>
      <c r="S502" s="653"/>
      <c r="T502" s="65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customHeight="1" x14ac:dyDescent="0.25">
      <c r="A503" s="63" t="s">
        <v>819</v>
      </c>
      <c r="B503" s="63" t="s">
        <v>820</v>
      </c>
      <c r="C503" s="36">
        <v>4301012048</v>
      </c>
      <c r="D503" s="651">
        <v>4680115880603</v>
      </c>
      <c r="E503" s="651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6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53"/>
      <c r="R503" s="653"/>
      <c r="S503" s="653"/>
      <c r="T503" s="654"/>
      <c r="U503" s="39" t="s">
        <v>46</v>
      </c>
      <c r="V503" s="39" t="s">
        <v>46</v>
      </c>
      <c r="W503" s="40" t="s">
        <v>0</v>
      </c>
      <c r="X503" s="58">
        <v>24</v>
      </c>
      <c r="Y503" s="55">
        <f t="shared" si="62"/>
        <v>24</v>
      </c>
      <c r="Z503" s="41">
        <f>IFERROR(IF(Y503=0,"",ROUNDUP(Y503/H503,0)*0.00902),"")</f>
        <v>4.5100000000000001E-2</v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34.550000000000004</v>
      </c>
      <c r="BN503" s="78">
        <f t="shared" si="65"/>
        <v>34.550000000000004</v>
      </c>
      <c r="BO503" s="78">
        <f t="shared" si="66"/>
        <v>3.787878787878788E-2</v>
      </c>
      <c r="BP503" s="78">
        <f t="shared" si="67"/>
        <v>3.787878787878788E-2</v>
      </c>
    </row>
    <row r="504" spans="1:68" ht="27" customHeight="1" x14ac:dyDescent="0.25">
      <c r="A504" s="63" t="s">
        <v>821</v>
      </c>
      <c r="B504" s="63" t="s">
        <v>822</v>
      </c>
      <c r="C504" s="36">
        <v>4301012034</v>
      </c>
      <c r="D504" s="651">
        <v>4607091389982</v>
      </c>
      <c r="E504" s="651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6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53"/>
      <c r="R504" s="653"/>
      <c r="S504" s="653"/>
      <c r="T504" s="654"/>
      <c r="U504" s="39" t="s">
        <v>46</v>
      </c>
      <c r="V504" s="39" t="s">
        <v>46</v>
      </c>
      <c r="W504" s="40" t="s">
        <v>0</v>
      </c>
      <c r="X504" s="58">
        <v>210</v>
      </c>
      <c r="Y504" s="55">
        <f t="shared" si="62"/>
        <v>211.2</v>
      </c>
      <c r="Z504" s="41">
        <f>IFERROR(IF(Y504=0,"",ROUNDUP(Y504/H504,0)*0.00902),"")</f>
        <v>0.39688000000000001</v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302.31250000000006</v>
      </c>
      <c r="BN504" s="78">
        <f t="shared" si="65"/>
        <v>304.04000000000002</v>
      </c>
      <c r="BO504" s="78">
        <f t="shared" si="66"/>
        <v>0.33143939393939392</v>
      </c>
      <c r="BP504" s="78">
        <f t="shared" si="67"/>
        <v>0.33333333333333337</v>
      </c>
    </row>
    <row r="505" spans="1:68" x14ac:dyDescent="0.2">
      <c r="A505" s="645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42" t="s">
        <v>40</v>
      </c>
      <c r="Q505" s="643"/>
      <c r="R505" s="643"/>
      <c r="S505" s="643"/>
      <c r="T505" s="643"/>
      <c r="U505" s="643"/>
      <c r="V505" s="644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48.75</v>
      </c>
      <c r="Y505" s="43">
        <f>IFERROR(Y496/H496,"0")+IFERROR(Y497/H497,"0")+IFERROR(Y498/H498,"0")+IFERROR(Y499/H499,"0")+IFERROR(Y500/H500,"0")+IFERROR(Y501/H501,"0")+IFERROR(Y502/H502,"0")+IFERROR(Y503/H503,"0")+IFERROR(Y504/H504,"0")</f>
        <v>49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0.44198000000000004</v>
      </c>
      <c r="AA505" s="67"/>
      <c r="AB505" s="67"/>
      <c r="AC505" s="67"/>
    </row>
    <row r="506" spans="1:68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42" t="s">
        <v>40</v>
      </c>
      <c r="Q506" s="643"/>
      <c r="R506" s="643"/>
      <c r="S506" s="643"/>
      <c r="T506" s="643"/>
      <c r="U506" s="643"/>
      <c r="V506" s="644"/>
      <c r="W506" s="42" t="s">
        <v>0</v>
      </c>
      <c r="X506" s="43">
        <f>IFERROR(SUM(X496:X504),"0")</f>
        <v>234</v>
      </c>
      <c r="Y506" s="43">
        <f>IFERROR(SUM(Y496:Y504),"0")</f>
        <v>235.2</v>
      </c>
      <c r="Z506" s="42"/>
      <c r="AA506" s="67"/>
      <c r="AB506" s="67"/>
      <c r="AC506" s="67"/>
    </row>
    <row r="507" spans="1:68" ht="14.25" hidden="1" customHeight="1" x14ac:dyDescent="0.25">
      <c r="A507" s="656" t="s">
        <v>164</v>
      </c>
      <c r="B507" s="656"/>
      <c r="C507" s="656"/>
      <c r="D507" s="656"/>
      <c r="E507" s="656"/>
      <c r="F507" s="656"/>
      <c r="G507" s="656"/>
      <c r="H507" s="656"/>
      <c r="I507" s="656"/>
      <c r="J507" s="656"/>
      <c r="K507" s="656"/>
      <c r="L507" s="656"/>
      <c r="M507" s="656"/>
      <c r="N507" s="656"/>
      <c r="O507" s="656"/>
      <c r="P507" s="656"/>
      <c r="Q507" s="656"/>
      <c r="R507" s="656"/>
      <c r="S507" s="656"/>
      <c r="T507" s="656"/>
      <c r="U507" s="656"/>
      <c r="V507" s="656"/>
      <c r="W507" s="656"/>
      <c r="X507" s="656"/>
      <c r="Y507" s="656"/>
      <c r="Z507" s="656"/>
      <c r="AA507" s="66"/>
      <c r="AB507" s="66"/>
      <c r="AC507" s="80"/>
    </row>
    <row r="508" spans="1:68" ht="16.5" customHeight="1" x14ac:dyDescent="0.25">
      <c r="A508" s="63" t="s">
        <v>823</v>
      </c>
      <c r="B508" s="63" t="s">
        <v>824</v>
      </c>
      <c r="C508" s="36">
        <v>4301020334</v>
      </c>
      <c r="D508" s="651">
        <v>4607091388930</v>
      </c>
      <c r="E508" s="651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6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53"/>
      <c r="R508" s="653"/>
      <c r="S508" s="653"/>
      <c r="T508" s="654"/>
      <c r="U508" s="39" t="s">
        <v>46</v>
      </c>
      <c r="V508" s="39" t="s">
        <v>46</v>
      </c>
      <c r="W508" s="40" t="s">
        <v>0</v>
      </c>
      <c r="X508" s="58">
        <v>200</v>
      </c>
      <c r="Y508" s="55">
        <f>IFERROR(IF(X508="",0,CEILING((X508/$H508),1)*$H508),"")</f>
        <v>200.64000000000001</v>
      </c>
      <c r="Z508" s="41">
        <f>IFERROR(IF(Y508=0,"",ROUNDUP(Y508/H508,0)*0.01196),"")</f>
        <v>0.45448</v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213.25757575757575</v>
      </c>
      <c r="BN508" s="78">
        <f>IFERROR(Y508*I508/H508,"0")</f>
        <v>213.94</v>
      </c>
      <c r="BO508" s="78">
        <f>IFERROR(1/J508*(X508/H508),"0")</f>
        <v>0.36421911421911418</v>
      </c>
      <c r="BP508" s="78">
        <f>IFERROR(1/J508*(Y508/H508),"0")</f>
        <v>0.36538461538461542</v>
      </c>
    </row>
    <row r="509" spans="1:68" ht="16.5" hidden="1" customHeight="1" x14ac:dyDescent="0.25">
      <c r="A509" s="63" t="s">
        <v>826</v>
      </c>
      <c r="B509" s="63" t="s">
        <v>827</v>
      </c>
      <c r="C509" s="36">
        <v>4301020374</v>
      </c>
      <c r="D509" s="651">
        <v>4680115886407</v>
      </c>
      <c r="E509" s="651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6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53"/>
      <c r="R509" s="653"/>
      <c r="S509" s="653"/>
      <c r="T509" s="654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828</v>
      </c>
      <c r="B510" s="63" t="s">
        <v>829</v>
      </c>
      <c r="C510" s="36">
        <v>4301020385</v>
      </c>
      <c r="D510" s="651">
        <v>4680115880054</v>
      </c>
      <c r="E510" s="651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6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53"/>
      <c r="R510" s="653"/>
      <c r="S510" s="653"/>
      <c r="T510" s="654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x14ac:dyDescent="0.2">
      <c r="A511" s="645"/>
      <c r="B511" s="645"/>
      <c r="C511" s="645"/>
      <c r="D511" s="645"/>
      <c r="E511" s="645"/>
      <c r="F511" s="645"/>
      <c r="G511" s="645"/>
      <c r="H511" s="645"/>
      <c r="I511" s="645"/>
      <c r="J511" s="645"/>
      <c r="K511" s="645"/>
      <c r="L511" s="645"/>
      <c r="M511" s="645"/>
      <c r="N511" s="645"/>
      <c r="O511" s="646"/>
      <c r="P511" s="642" t="s">
        <v>40</v>
      </c>
      <c r="Q511" s="643"/>
      <c r="R511" s="643"/>
      <c r="S511" s="643"/>
      <c r="T511" s="643"/>
      <c r="U511" s="643"/>
      <c r="V511" s="644"/>
      <c r="W511" s="42" t="s">
        <v>39</v>
      </c>
      <c r="X511" s="43">
        <f>IFERROR(X508/H508,"0")+IFERROR(X509/H509,"0")+IFERROR(X510/H510,"0")</f>
        <v>37.878787878787875</v>
      </c>
      <c r="Y511" s="43">
        <f>IFERROR(Y508/H508,"0")+IFERROR(Y509/H509,"0")+IFERROR(Y510/H510,"0")</f>
        <v>38</v>
      </c>
      <c r="Z511" s="43">
        <f>IFERROR(IF(Z508="",0,Z508),"0")+IFERROR(IF(Z509="",0,Z509),"0")+IFERROR(IF(Z510="",0,Z510),"0")</f>
        <v>0.45448</v>
      </c>
      <c r="AA511" s="67"/>
      <c r="AB511" s="67"/>
      <c r="AC511" s="67"/>
    </row>
    <row r="512" spans="1:68" x14ac:dyDescent="0.2">
      <c r="A512" s="645"/>
      <c r="B512" s="645"/>
      <c r="C512" s="645"/>
      <c r="D512" s="645"/>
      <c r="E512" s="645"/>
      <c r="F512" s="645"/>
      <c r="G512" s="645"/>
      <c r="H512" s="645"/>
      <c r="I512" s="645"/>
      <c r="J512" s="645"/>
      <c r="K512" s="645"/>
      <c r="L512" s="645"/>
      <c r="M512" s="645"/>
      <c r="N512" s="645"/>
      <c r="O512" s="646"/>
      <c r="P512" s="642" t="s">
        <v>40</v>
      </c>
      <c r="Q512" s="643"/>
      <c r="R512" s="643"/>
      <c r="S512" s="643"/>
      <c r="T512" s="643"/>
      <c r="U512" s="643"/>
      <c r="V512" s="644"/>
      <c r="W512" s="42" t="s">
        <v>0</v>
      </c>
      <c r="X512" s="43">
        <f>IFERROR(SUM(X508:X510),"0")</f>
        <v>200</v>
      </c>
      <c r="Y512" s="43">
        <f>IFERROR(SUM(Y508:Y510),"0")</f>
        <v>200.64000000000001</v>
      </c>
      <c r="Z512" s="42"/>
      <c r="AA512" s="67"/>
      <c r="AB512" s="67"/>
      <c r="AC512" s="67"/>
    </row>
    <row r="513" spans="1:68" ht="14.25" hidden="1" customHeight="1" x14ac:dyDescent="0.25">
      <c r="A513" s="656" t="s">
        <v>77</v>
      </c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6"/>
      <c r="P513" s="656"/>
      <c r="Q513" s="656"/>
      <c r="R513" s="656"/>
      <c r="S513" s="656"/>
      <c r="T513" s="656"/>
      <c r="U513" s="656"/>
      <c r="V513" s="656"/>
      <c r="W513" s="656"/>
      <c r="X513" s="656"/>
      <c r="Y513" s="656"/>
      <c r="Z513" s="656"/>
      <c r="AA513" s="66"/>
      <c r="AB513" s="66"/>
      <c r="AC513" s="80"/>
    </row>
    <row r="514" spans="1:68" ht="27" hidden="1" customHeight="1" x14ac:dyDescent="0.25">
      <c r="A514" s="63" t="s">
        <v>830</v>
      </c>
      <c r="B514" s="63" t="s">
        <v>831</v>
      </c>
      <c r="C514" s="36">
        <v>4301031349</v>
      </c>
      <c r="D514" s="651">
        <v>4680115883116</v>
      </c>
      <c r="E514" s="651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6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53"/>
      <c r="R514" s="653"/>
      <c r="S514" s="653"/>
      <c r="T514" s="654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customHeight="1" x14ac:dyDescent="0.25">
      <c r="A515" s="63" t="s">
        <v>833</v>
      </c>
      <c r="B515" s="63" t="s">
        <v>834</v>
      </c>
      <c r="C515" s="36">
        <v>4301031350</v>
      </c>
      <c r="D515" s="651">
        <v>4680115883093</v>
      </c>
      <c r="E515" s="651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53"/>
      <c r="R515" s="653"/>
      <c r="S515" s="653"/>
      <c r="T515" s="654"/>
      <c r="U515" s="39" t="s">
        <v>46</v>
      </c>
      <c r="V515" s="39" t="s">
        <v>46</v>
      </c>
      <c r="W515" s="40" t="s">
        <v>0</v>
      </c>
      <c r="X515" s="58">
        <v>50</v>
      </c>
      <c r="Y515" s="55">
        <f t="shared" si="68"/>
        <v>52.800000000000004</v>
      </c>
      <c r="Z515" s="41">
        <f>IFERROR(IF(Y515=0,"",ROUNDUP(Y515/H515,0)*0.01196),"")</f>
        <v>0.1196</v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53.314393939393938</v>
      </c>
      <c r="BN515" s="78">
        <f t="shared" si="70"/>
        <v>56.3</v>
      </c>
      <c r="BO515" s="78">
        <f t="shared" si="71"/>
        <v>9.1054778554778545E-2</v>
      </c>
      <c r="BP515" s="78">
        <f t="shared" si="72"/>
        <v>9.6153846153846159E-2</v>
      </c>
    </row>
    <row r="516" spans="1:68" ht="27" customHeight="1" x14ac:dyDescent="0.25">
      <c r="A516" s="63" t="s">
        <v>836</v>
      </c>
      <c r="B516" s="63" t="s">
        <v>837</v>
      </c>
      <c r="C516" s="36">
        <v>4301031353</v>
      </c>
      <c r="D516" s="651">
        <v>4680115883109</v>
      </c>
      <c r="E516" s="65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53"/>
      <c r="R516" s="653"/>
      <c r="S516" s="653"/>
      <c r="T516" s="654"/>
      <c r="U516" s="39" t="s">
        <v>46</v>
      </c>
      <c r="V516" s="39" t="s">
        <v>46</v>
      </c>
      <c r="W516" s="40" t="s">
        <v>0</v>
      </c>
      <c r="X516" s="58">
        <v>220</v>
      </c>
      <c r="Y516" s="55">
        <f t="shared" si="68"/>
        <v>221.76000000000002</v>
      </c>
      <c r="Z516" s="41">
        <f>IFERROR(IF(Y516=0,"",ROUNDUP(Y516/H516,0)*0.01196),"")</f>
        <v>0.50231999999999999</v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234.58333333333331</v>
      </c>
      <c r="BN516" s="78">
        <f t="shared" si="70"/>
        <v>236.46</v>
      </c>
      <c r="BO516" s="78">
        <f t="shared" si="71"/>
        <v>0.40064102564102566</v>
      </c>
      <c r="BP516" s="78">
        <f t="shared" si="72"/>
        <v>0.40384615384615385</v>
      </c>
    </row>
    <row r="517" spans="1:68" ht="27" customHeight="1" x14ac:dyDescent="0.25">
      <c r="A517" s="63" t="s">
        <v>839</v>
      </c>
      <c r="B517" s="63" t="s">
        <v>840</v>
      </c>
      <c r="C517" s="36">
        <v>4301031419</v>
      </c>
      <c r="D517" s="651">
        <v>4680115882072</v>
      </c>
      <c r="E517" s="651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6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53"/>
      <c r="R517" s="653"/>
      <c r="S517" s="653"/>
      <c r="T517" s="654"/>
      <c r="U517" s="39" t="s">
        <v>46</v>
      </c>
      <c r="V517" s="39" t="s">
        <v>46</v>
      </c>
      <c r="W517" s="40" t="s">
        <v>0</v>
      </c>
      <c r="X517" s="58">
        <v>90</v>
      </c>
      <c r="Y517" s="55">
        <f t="shared" si="68"/>
        <v>91.2</v>
      </c>
      <c r="Z517" s="41">
        <f>IFERROR(IF(Y517=0,"",ROUNDUP(Y517/H517,0)*0.00902),"")</f>
        <v>0.17138</v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129.5625</v>
      </c>
      <c r="BN517" s="78">
        <f t="shared" si="70"/>
        <v>131.29000000000002</v>
      </c>
      <c r="BO517" s="78">
        <f t="shared" si="71"/>
        <v>0.14204545454545456</v>
      </c>
      <c r="BP517" s="78">
        <f t="shared" si="72"/>
        <v>0.14393939393939395</v>
      </c>
    </row>
    <row r="518" spans="1:68" ht="27" hidden="1" customHeight="1" x14ac:dyDescent="0.25">
      <c r="A518" s="63" t="s">
        <v>841</v>
      </c>
      <c r="B518" s="63" t="s">
        <v>842</v>
      </c>
      <c r="C518" s="36">
        <v>4301031352</v>
      </c>
      <c r="D518" s="651">
        <v>4680115882102</v>
      </c>
      <c r="E518" s="651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6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53"/>
      <c r="R518" s="653"/>
      <c r="S518" s="653"/>
      <c r="T518" s="654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841</v>
      </c>
      <c r="B519" s="63" t="s">
        <v>843</v>
      </c>
      <c r="C519" s="36">
        <v>4301031418</v>
      </c>
      <c r="D519" s="651">
        <v>4680115882102</v>
      </c>
      <c r="E519" s="651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6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53"/>
      <c r="R519" s="653"/>
      <c r="S519" s="653"/>
      <c r="T519" s="65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customHeight="1" x14ac:dyDescent="0.25">
      <c r="A520" s="63" t="s">
        <v>844</v>
      </c>
      <c r="B520" s="63" t="s">
        <v>845</v>
      </c>
      <c r="C520" s="36">
        <v>4301031417</v>
      </c>
      <c r="D520" s="651">
        <v>4680115882096</v>
      </c>
      <c r="E520" s="651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53"/>
      <c r="R520" s="653"/>
      <c r="S520" s="653"/>
      <c r="T520" s="654"/>
      <c r="U520" s="39" t="s">
        <v>46</v>
      </c>
      <c r="V520" s="39" t="s">
        <v>46</v>
      </c>
      <c r="W520" s="40" t="s">
        <v>0</v>
      </c>
      <c r="X520" s="58">
        <v>108</v>
      </c>
      <c r="Y520" s="55">
        <f t="shared" si="68"/>
        <v>110.39999999999999</v>
      </c>
      <c r="Z520" s="41">
        <f>IFERROR(IF(Y520=0,"",ROUNDUP(Y520/H520,0)*0.00902),"")</f>
        <v>0.20746000000000001</v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150.07500000000002</v>
      </c>
      <c r="BN520" s="78">
        <f t="shared" si="70"/>
        <v>153.41</v>
      </c>
      <c r="BO520" s="78">
        <f t="shared" si="71"/>
        <v>0.17045454545454547</v>
      </c>
      <c r="BP520" s="78">
        <f t="shared" si="72"/>
        <v>0.17424242424242425</v>
      </c>
    </row>
    <row r="521" spans="1:68" x14ac:dyDescent="0.2">
      <c r="A521" s="645"/>
      <c r="B521" s="645"/>
      <c r="C521" s="645"/>
      <c r="D521" s="645"/>
      <c r="E521" s="645"/>
      <c r="F521" s="645"/>
      <c r="G521" s="645"/>
      <c r="H521" s="645"/>
      <c r="I521" s="645"/>
      <c r="J521" s="645"/>
      <c r="K521" s="645"/>
      <c r="L521" s="645"/>
      <c r="M521" s="645"/>
      <c r="N521" s="645"/>
      <c r="O521" s="646"/>
      <c r="P521" s="642" t="s">
        <v>40</v>
      </c>
      <c r="Q521" s="643"/>
      <c r="R521" s="643"/>
      <c r="S521" s="643"/>
      <c r="T521" s="643"/>
      <c r="U521" s="643"/>
      <c r="V521" s="644"/>
      <c r="W521" s="42" t="s">
        <v>39</v>
      </c>
      <c r="X521" s="43">
        <f>IFERROR(X514/H514,"0")+IFERROR(X515/H515,"0")+IFERROR(X516/H516,"0")+IFERROR(X517/H517,"0")+IFERROR(X518/H518,"0")+IFERROR(X519/H519,"0")+IFERROR(X520/H520,"0")</f>
        <v>92.386363636363626</v>
      </c>
      <c r="Y521" s="43">
        <f>IFERROR(Y514/H514,"0")+IFERROR(Y515/H515,"0")+IFERROR(Y516/H516,"0")+IFERROR(Y517/H517,"0")+IFERROR(Y518/H518,"0")+IFERROR(Y519/H519,"0")+IFERROR(Y520/H520,"0")</f>
        <v>94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1.0007600000000001</v>
      </c>
      <c r="AA521" s="67"/>
      <c r="AB521" s="67"/>
      <c r="AC521" s="67"/>
    </row>
    <row r="522" spans="1:68" x14ac:dyDescent="0.2">
      <c r="A522" s="645"/>
      <c r="B522" s="645"/>
      <c r="C522" s="645"/>
      <c r="D522" s="645"/>
      <c r="E522" s="645"/>
      <c r="F522" s="645"/>
      <c r="G522" s="645"/>
      <c r="H522" s="645"/>
      <c r="I522" s="645"/>
      <c r="J522" s="645"/>
      <c r="K522" s="645"/>
      <c r="L522" s="645"/>
      <c r="M522" s="645"/>
      <c r="N522" s="645"/>
      <c r="O522" s="646"/>
      <c r="P522" s="642" t="s">
        <v>40</v>
      </c>
      <c r="Q522" s="643"/>
      <c r="R522" s="643"/>
      <c r="S522" s="643"/>
      <c r="T522" s="643"/>
      <c r="U522" s="643"/>
      <c r="V522" s="644"/>
      <c r="W522" s="42" t="s">
        <v>0</v>
      </c>
      <c r="X522" s="43">
        <f>IFERROR(SUM(X514:X520),"0")</f>
        <v>468</v>
      </c>
      <c r="Y522" s="43">
        <f>IFERROR(SUM(Y514:Y520),"0")</f>
        <v>476.15999999999997</v>
      </c>
      <c r="Z522" s="42"/>
      <c r="AA522" s="67"/>
      <c r="AB522" s="67"/>
      <c r="AC522" s="67"/>
    </row>
    <row r="523" spans="1:68" ht="27.75" hidden="1" customHeight="1" x14ac:dyDescent="0.2">
      <c r="A523" s="662" t="s">
        <v>846</v>
      </c>
      <c r="B523" s="662"/>
      <c r="C523" s="662"/>
      <c r="D523" s="662"/>
      <c r="E523" s="662"/>
      <c r="F523" s="662"/>
      <c r="G523" s="662"/>
      <c r="H523" s="662"/>
      <c r="I523" s="662"/>
      <c r="J523" s="662"/>
      <c r="K523" s="662"/>
      <c r="L523" s="662"/>
      <c r="M523" s="662"/>
      <c r="N523" s="662"/>
      <c r="O523" s="662"/>
      <c r="P523" s="662"/>
      <c r="Q523" s="662"/>
      <c r="R523" s="662"/>
      <c r="S523" s="662"/>
      <c r="T523" s="662"/>
      <c r="U523" s="662"/>
      <c r="V523" s="662"/>
      <c r="W523" s="662"/>
      <c r="X523" s="662"/>
      <c r="Y523" s="662"/>
      <c r="Z523" s="662"/>
      <c r="AA523" s="54"/>
      <c r="AB523" s="54"/>
      <c r="AC523" s="54"/>
    </row>
    <row r="524" spans="1:68" ht="16.5" hidden="1" customHeight="1" x14ac:dyDescent="0.25">
      <c r="A524" s="655" t="s">
        <v>846</v>
      </c>
      <c r="B524" s="655"/>
      <c r="C524" s="655"/>
      <c r="D524" s="655"/>
      <c r="E524" s="655"/>
      <c r="F524" s="655"/>
      <c r="G524" s="655"/>
      <c r="H524" s="655"/>
      <c r="I524" s="655"/>
      <c r="J524" s="655"/>
      <c r="K524" s="655"/>
      <c r="L524" s="655"/>
      <c r="M524" s="655"/>
      <c r="N524" s="655"/>
      <c r="O524" s="655"/>
      <c r="P524" s="655"/>
      <c r="Q524" s="655"/>
      <c r="R524" s="655"/>
      <c r="S524" s="655"/>
      <c r="T524" s="655"/>
      <c r="U524" s="655"/>
      <c r="V524" s="655"/>
      <c r="W524" s="655"/>
      <c r="X524" s="655"/>
      <c r="Y524" s="655"/>
      <c r="Z524" s="655"/>
      <c r="AA524" s="65"/>
      <c r="AB524" s="65"/>
      <c r="AC524" s="79"/>
    </row>
    <row r="525" spans="1:68" ht="14.25" hidden="1" customHeight="1" x14ac:dyDescent="0.25">
      <c r="A525" s="656" t="s">
        <v>128</v>
      </c>
      <c r="B525" s="656"/>
      <c r="C525" s="656"/>
      <c r="D525" s="656"/>
      <c r="E525" s="656"/>
      <c r="F525" s="656"/>
      <c r="G525" s="656"/>
      <c r="H525" s="656"/>
      <c r="I525" s="656"/>
      <c r="J525" s="656"/>
      <c r="K525" s="656"/>
      <c r="L525" s="656"/>
      <c r="M525" s="656"/>
      <c r="N525" s="656"/>
      <c r="O525" s="656"/>
      <c r="P525" s="656"/>
      <c r="Q525" s="656"/>
      <c r="R525" s="656"/>
      <c r="S525" s="656"/>
      <c r="T525" s="656"/>
      <c r="U525" s="656"/>
      <c r="V525" s="656"/>
      <c r="W525" s="656"/>
      <c r="X525" s="656"/>
      <c r="Y525" s="656"/>
      <c r="Z525" s="656"/>
      <c r="AA525" s="66"/>
      <c r="AB525" s="66"/>
      <c r="AC525" s="80"/>
    </row>
    <row r="526" spans="1:68" ht="27" hidden="1" customHeight="1" x14ac:dyDescent="0.25">
      <c r="A526" s="63" t="s">
        <v>847</v>
      </c>
      <c r="B526" s="63" t="s">
        <v>848</v>
      </c>
      <c r="C526" s="36">
        <v>4301011584</v>
      </c>
      <c r="D526" s="651">
        <v>4640242180564</v>
      </c>
      <c r="E526" s="651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66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53"/>
      <c r="R526" s="653"/>
      <c r="S526" s="653"/>
      <c r="T526" s="65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45"/>
      <c r="B527" s="645"/>
      <c r="C527" s="645"/>
      <c r="D527" s="645"/>
      <c r="E527" s="645"/>
      <c r="F527" s="645"/>
      <c r="G527" s="645"/>
      <c r="H527" s="645"/>
      <c r="I527" s="645"/>
      <c r="J527" s="645"/>
      <c r="K527" s="645"/>
      <c r="L527" s="645"/>
      <c r="M527" s="645"/>
      <c r="N527" s="645"/>
      <c r="O527" s="646"/>
      <c r="P527" s="642" t="s">
        <v>40</v>
      </c>
      <c r="Q527" s="643"/>
      <c r="R527" s="643"/>
      <c r="S527" s="643"/>
      <c r="T527" s="643"/>
      <c r="U527" s="643"/>
      <c r="V527" s="644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645"/>
      <c r="B528" s="645"/>
      <c r="C528" s="645"/>
      <c r="D528" s="645"/>
      <c r="E528" s="645"/>
      <c r="F528" s="645"/>
      <c r="G528" s="645"/>
      <c r="H528" s="645"/>
      <c r="I528" s="645"/>
      <c r="J528" s="645"/>
      <c r="K528" s="645"/>
      <c r="L528" s="645"/>
      <c r="M528" s="645"/>
      <c r="N528" s="645"/>
      <c r="O528" s="646"/>
      <c r="P528" s="642" t="s">
        <v>40</v>
      </c>
      <c r="Q528" s="643"/>
      <c r="R528" s="643"/>
      <c r="S528" s="643"/>
      <c r="T528" s="643"/>
      <c r="U528" s="643"/>
      <c r="V528" s="644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656" t="s">
        <v>164</v>
      </c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6"/>
      <c r="P529" s="656"/>
      <c r="Q529" s="656"/>
      <c r="R529" s="656"/>
      <c r="S529" s="656"/>
      <c r="T529" s="656"/>
      <c r="U529" s="656"/>
      <c r="V529" s="656"/>
      <c r="W529" s="656"/>
      <c r="X529" s="656"/>
      <c r="Y529" s="656"/>
      <c r="Z529" s="656"/>
      <c r="AA529" s="66"/>
      <c r="AB529" s="66"/>
      <c r="AC529" s="80"/>
    </row>
    <row r="530" spans="1:68" ht="27" hidden="1" customHeight="1" x14ac:dyDescent="0.25">
      <c r="A530" s="63" t="s">
        <v>850</v>
      </c>
      <c r="B530" s="63" t="s">
        <v>851</v>
      </c>
      <c r="C530" s="36">
        <v>4301020400</v>
      </c>
      <c r="D530" s="651">
        <v>4640242180519</v>
      </c>
      <c r="E530" s="651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66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53"/>
      <c r="R530" s="653"/>
      <c r="S530" s="653"/>
      <c r="T530" s="654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45"/>
      <c r="B531" s="645"/>
      <c r="C531" s="645"/>
      <c r="D531" s="645"/>
      <c r="E531" s="645"/>
      <c r="F531" s="645"/>
      <c r="G531" s="645"/>
      <c r="H531" s="645"/>
      <c r="I531" s="645"/>
      <c r="J531" s="645"/>
      <c r="K531" s="645"/>
      <c r="L531" s="645"/>
      <c r="M531" s="645"/>
      <c r="N531" s="645"/>
      <c r="O531" s="646"/>
      <c r="P531" s="642" t="s">
        <v>40</v>
      </c>
      <c r="Q531" s="643"/>
      <c r="R531" s="643"/>
      <c r="S531" s="643"/>
      <c r="T531" s="643"/>
      <c r="U531" s="643"/>
      <c r="V531" s="644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45"/>
      <c r="B532" s="645"/>
      <c r="C532" s="645"/>
      <c r="D532" s="645"/>
      <c r="E532" s="645"/>
      <c r="F532" s="645"/>
      <c r="G532" s="645"/>
      <c r="H532" s="645"/>
      <c r="I532" s="645"/>
      <c r="J532" s="645"/>
      <c r="K532" s="645"/>
      <c r="L532" s="645"/>
      <c r="M532" s="645"/>
      <c r="N532" s="645"/>
      <c r="O532" s="646"/>
      <c r="P532" s="642" t="s">
        <v>40</v>
      </c>
      <c r="Q532" s="643"/>
      <c r="R532" s="643"/>
      <c r="S532" s="643"/>
      <c r="T532" s="643"/>
      <c r="U532" s="643"/>
      <c r="V532" s="644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56" t="s">
        <v>77</v>
      </c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6"/>
      <c r="P533" s="656"/>
      <c r="Q533" s="656"/>
      <c r="R533" s="656"/>
      <c r="S533" s="656"/>
      <c r="T533" s="656"/>
      <c r="U533" s="656"/>
      <c r="V533" s="656"/>
      <c r="W533" s="656"/>
      <c r="X533" s="656"/>
      <c r="Y533" s="656"/>
      <c r="Z533" s="656"/>
      <c r="AA533" s="66"/>
      <c r="AB533" s="66"/>
      <c r="AC533" s="80"/>
    </row>
    <row r="534" spans="1:68" ht="27" hidden="1" customHeight="1" x14ac:dyDescent="0.25">
      <c r="A534" s="63" t="s">
        <v>853</v>
      </c>
      <c r="B534" s="63" t="s">
        <v>854</v>
      </c>
      <c r="C534" s="36">
        <v>4301031500</v>
      </c>
      <c r="D534" s="651">
        <v>4640242180595</v>
      </c>
      <c r="E534" s="651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66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53"/>
      <c r="R534" s="653"/>
      <c r="S534" s="653"/>
      <c r="T534" s="654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42" t="s">
        <v>40</v>
      </c>
      <c r="Q535" s="643"/>
      <c r="R535" s="643"/>
      <c r="S535" s="643"/>
      <c r="T535" s="643"/>
      <c r="U535" s="643"/>
      <c r="V535" s="644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45"/>
      <c r="B536" s="645"/>
      <c r="C536" s="645"/>
      <c r="D536" s="645"/>
      <c r="E536" s="645"/>
      <c r="F536" s="645"/>
      <c r="G536" s="645"/>
      <c r="H536" s="645"/>
      <c r="I536" s="645"/>
      <c r="J536" s="645"/>
      <c r="K536" s="645"/>
      <c r="L536" s="645"/>
      <c r="M536" s="645"/>
      <c r="N536" s="645"/>
      <c r="O536" s="646"/>
      <c r="P536" s="642" t="s">
        <v>40</v>
      </c>
      <c r="Q536" s="643"/>
      <c r="R536" s="643"/>
      <c r="S536" s="643"/>
      <c r="T536" s="643"/>
      <c r="U536" s="643"/>
      <c r="V536" s="644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56" t="s">
        <v>86</v>
      </c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6"/>
      <c r="P537" s="656"/>
      <c r="Q537" s="656"/>
      <c r="R537" s="656"/>
      <c r="S537" s="656"/>
      <c r="T537" s="656"/>
      <c r="U537" s="656"/>
      <c r="V537" s="656"/>
      <c r="W537" s="656"/>
      <c r="X537" s="656"/>
      <c r="Y537" s="656"/>
      <c r="Z537" s="656"/>
      <c r="AA537" s="66"/>
      <c r="AB537" s="66"/>
      <c r="AC537" s="80"/>
    </row>
    <row r="538" spans="1:68" ht="27" customHeight="1" x14ac:dyDescent="0.25">
      <c r="A538" s="63" t="s">
        <v>856</v>
      </c>
      <c r="B538" s="63" t="s">
        <v>857</v>
      </c>
      <c r="C538" s="36">
        <v>4301052043</v>
      </c>
      <c r="D538" s="651">
        <v>4640242180533</v>
      </c>
      <c r="E538" s="651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53"/>
      <c r="R538" s="653"/>
      <c r="S538" s="653"/>
      <c r="T538" s="654"/>
      <c r="U538" s="39" t="s">
        <v>46</v>
      </c>
      <c r="V538" s="39" t="s">
        <v>46</v>
      </c>
      <c r="W538" s="40" t="s">
        <v>0</v>
      </c>
      <c r="X538" s="58">
        <v>150</v>
      </c>
      <c r="Y538" s="55">
        <f>IFERROR(IF(X538="",0,CEILING((X538/$H538),1)*$H538),"")</f>
        <v>153</v>
      </c>
      <c r="Z538" s="41">
        <f>IFERROR(IF(Y538=0,"",ROUNDUP(Y538/H538,0)*0.01898),"")</f>
        <v>0.32266</v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158.23333333333332</v>
      </c>
      <c r="BN538" s="78">
        <f>IFERROR(Y538*I538/H538,"0")</f>
        <v>161.398</v>
      </c>
      <c r="BO538" s="78">
        <f>IFERROR(1/J538*(X538/H538),"0")</f>
        <v>0.26041666666666669</v>
      </c>
      <c r="BP538" s="78">
        <f>IFERROR(1/J538*(Y538/H538),"0")</f>
        <v>0.265625</v>
      </c>
    </row>
    <row r="539" spans="1:68" x14ac:dyDescent="0.2">
      <c r="A539" s="645"/>
      <c r="B539" s="645"/>
      <c r="C539" s="645"/>
      <c r="D539" s="645"/>
      <c r="E539" s="645"/>
      <c r="F539" s="645"/>
      <c r="G539" s="645"/>
      <c r="H539" s="645"/>
      <c r="I539" s="645"/>
      <c r="J539" s="645"/>
      <c r="K539" s="645"/>
      <c r="L539" s="645"/>
      <c r="M539" s="645"/>
      <c r="N539" s="645"/>
      <c r="O539" s="646"/>
      <c r="P539" s="642" t="s">
        <v>40</v>
      </c>
      <c r="Q539" s="643"/>
      <c r="R539" s="643"/>
      <c r="S539" s="643"/>
      <c r="T539" s="643"/>
      <c r="U539" s="643"/>
      <c r="V539" s="644"/>
      <c r="W539" s="42" t="s">
        <v>39</v>
      </c>
      <c r="X539" s="43">
        <f>IFERROR(X538/H538,"0")</f>
        <v>16.666666666666668</v>
      </c>
      <c r="Y539" s="43">
        <f>IFERROR(Y538/H538,"0")</f>
        <v>17</v>
      </c>
      <c r="Z539" s="43">
        <f>IFERROR(IF(Z538="",0,Z538),"0")</f>
        <v>0.32266</v>
      </c>
      <c r="AA539" s="67"/>
      <c r="AB539" s="67"/>
      <c r="AC539" s="67"/>
    </row>
    <row r="540" spans="1:68" x14ac:dyDescent="0.2">
      <c r="A540" s="645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42" t="s">
        <v>40</v>
      </c>
      <c r="Q540" s="643"/>
      <c r="R540" s="643"/>
      <c r="S540" s="643"/>
      <c r="T540" s="643"/>
      <c r="U540" s="643"/>
      <c r="V540" s="644"/>
      <c r="W540" s="42" t="s">
        <v>0</v>
      </c>
      <c r="X540" s="43">
        <f>IFERROR(SUM(X538:X538),"0")</f>
        <v>150</v>
      </c>
      <c r="Y540" s="43">
        <f>IFERROR(SUM(Y538:Y538),"0")</f>
        <v>153</v>
      </c>
      <c r="Z540" s="42"/>
      <c r="AA540" s="67"/>
      <c r="AB540" s="67"/>
      <c r="AC540" s="67"/>
    </row>
    <row r="541" spans="1:68" ht="14.25" hidden="1" customHeight="1" x14ac:dyDescent="0.25">
      <c r="A541" s="656" t="s">
        <v>181</v>
      </c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6"/>
      <c r="P541" s="656"/>
      <c r="Q541" s="656"/>
      <c r="R541" s="656"/>
      <c r="S541" s="656"/>
      <c r="T541" s="656"/>
      <c r="U541" s="656"/>
      <c r="V541" s="656"/>
      <c r="W541" s="656"/>
      <c r="X541" s="656"/>
      <c r="Y541" s="656"/>
      <c r="Z541" s="656"/>
      <c r="AA541" s="66"/>
      <c r="AB541" s="66"/>
      <c r="AC541" s="80"/>
    </row>
    <row r="542" spans="1:68" ht="27" hidden="1" customHeight="1" x14ac:dyDescent="0.25">
      <c r="A542" s="63" t="s">
        <v>859</v>
      </c>
      <c r="B542" s="63" t="s">
        <v>860</v>
      </c>
      <c r="C542" s="36">
        <v>4301060535</v>
      </c>
      <c r="D542" s="651">
        <v>4640242180120</v>
      </c>
      <c r="E542" s="651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65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53"/>
      <c r="R542" s="653"/>
      <c r="S542" s="653"/>
      <c r="T542" s="654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862</v>
      </c>
      <c r="B543" s="63" t="s">
        <v>863</v>
      </c>
      <c r="C543" s="36">
        <v>4301060536</v>
      </c>
      <c r="D543" s="651">
        <v>4640242180137</v>
      </c>
      <c r="E543" s="651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65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53"/>
      <c r="R543" s="653"/>
      <c r="S543" s="653"/>
      <c r="T543" s="654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45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42" t="s">
        <v>40</v>
      </c>
      <c r="Q544" s="643"/>
      <c r="R544" s="643"/>
      <c r="S544" s="643"/>
      <c r="T544" s="643"/>
      <c r="U544" s="643"/>
      <c r="V544" s="644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42" t="s">
        <v>40</v>
      </c>
      <c r="Q545" s="643"/>
      <c r="R545" s="643"/>
      <c r="S545" s="643"/>
      <c r="T545" s="643"/>
      <c r="U545" s="643"/>
      <c r="V545" s="644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655" t="s">
        <v>865</v>
      </c>
      <c r="B546" s="655"/>
      <c r="C546" s="655"/>
      <c r="D546" s="655"/>
      <c r="E546" s="655"/>
      <c r="F546" s="655"/>
      <c r="G546" s="655"/>
      <c r="H546" s="655"/>
      <c r="I546" s="655"/>
      <c r="J546" s="655"/>
      <c r="K546" s="655"/>
      <c r="L546" s="655"/>
      <c r="M546" s="655"/>
      <c r="N546" s="655"/>
      <c r="O546" s="655"/>
      <c r="P546" s="655"/>
      <c r="Q546" s="655"/>
      <c r="R546" s="655"/>
      <c r="S546" s="655"/>
      <c r="T546" s="655"/>
      <c r="U546" s="655"/>
      <c r="V546" s="655"/>
      <c r="W546" s="655"/>
      <c r="X546" s="655"/>
      <c r="Y546" s="655"/>
      <c r="Z546" s="655"/>
      <c r="AA546" s="65"/>
      <c r="AB546" s="65"/>
      <c r="AC546" s="79"/>
    </row>
    <row r="547" spans="1:68" ht="14.25" hidden="1" customHeight="1" x14ac:dyDescent="0.25">
      <c r="A547" s="656" t="s">
        <v>164</v>
      </c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6"/>
      <c r="P547" s="656"/>
      <c r="Q547" s="656"/>
      <c r="R547" s="656"/>
      <c r="S547" s="656"/>
      <c r="T547" s="656"/>
      <c r="U547" s="656"/>
      <c r="V547" s="656"/>
      <c r="W547" s="656"/>
      <c r="X547" s="656"/>
      <c r="Y547" s="656"/>
      <c r="Z547" s="656"/>
      <c r="AA547" s="66"/>
      <c r="AB547" s="66"/>
      <c r="AC547" s="80"/>
    </row>
    <row r="548" spans="1:68" ht="27" hidden="1" customHeight="1" x14ac:dyDescent="0.25">
      <c r="A548" s="63" t="s">
        <v>866</v>
      </c>
      <c r="B548" s="63" t="s">
        <v>867</v>
      </c>
      <c r="C548" s="36">
        <v>4301020428</v>
      </c>
      <c r="D548" s="651">
        <v>4640242180090</v>
      </c>
      <c r="E548" s="651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65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53"/>
      <c r="R548" s="653"/>
      <c r="S548" s="653"/>
      <c r="T548" s="654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42" t="s">
        <v>40</v>
      </c>
      <c r="Q549" s="643"/>
      <c r="R549" s="643"/>
      <c r="S549" s="643"/>
      <c r="T549" s="643"/>
      <c r="U549" s="643"/>
      <c r="V549" s="64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45"/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6"/>
      <c r="P550" s="642" t="s">
        <v>40</v>
      </c>
      <c r="Q550" s="643"/>
      <c r="R550" s="643"/>
      <c r="S550" s="643"/>
      <c r="T550" s="643"/>
      <c r="U550" s="643"/>
      <c r="V550" s="64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645"/>
      <c r="B551" s="645"/>
      <c r="C551" s="645"/>
      <c r="D551" s="645"/>
      <c r="E551" s="645"/>
      <c r="F551" s="645"/>
      <c r="G551" s="645"/>
      <c r="H551" s="645"/>
      <c r="I551" s="645"/>
      <c r="J551" s="645"/>
      <c r="K551" s="645"/>
      <c r="L551" s="645"/>
      <c r="M551" s="645"/>
      <c r="N551" s="645"/>
      <c r="O551" s="650"/>
      <c r="P551" s="647" t="s">
        <v>33</v>
      </c>
      <c r="Q551" s="648"/>
      <c r="R551" s="648"/>
      <c r="S551" s="648"/>
      <c r="T551" s="648"/>
      <c r="U551" s="648"/>
      <c r="V551" s="649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13771.8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13866.84</v>
      </c>
      <c r="Z551" s="42"/>
      <c r="AA551" s="67"/>
      <c r="AB551" s="67"/>
      <c r="AC551" s="67"/>
    </row>
    <row r="552" spans="1:68" x14ac:dyDescent="0.2">
      <c r="A552" s="645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50"/>
      <c r="P552" s="647" t="s">
        <v>34</v>
      </c>
      <c r="Q552" s="648"/>
      <c r="R552" s="648"/>
      <c r="S552" s="648"/>
      <c r="T552" s="648"/>
      <c r="U552" s="648"/>
      <c r="V552" s="649"/>
      <c r="W552" s="42" t="s">
        <v>0</v>
      </c>
      <c r="X552" s="43">
        <f>IFERROR(SUM(BM22:BM548),"0")</f>
        <v>14818.760900385269</v>
      </c>
      <c r="Y552" s="43">
        <f>IFERROR(SUM(BN22:BN548),"0")</f>
        <v>14920.975999999999</v>
      </c>
      <c r="Z552" s="42"/>
      <c r="AA552" s="67"/>
      <c r="AB552" s="67"/>
      <c r="AC552" s="67"/>
    </row>
    <row r="553" spans="1:68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50"/>
      <c r="P553" s="647" t="s">
        <v>35</v>
      </c>
      <c r="Q553" s="648"/>
      <c r="R553" s="648"/>
      <c r="S553" s="648"/>
      <c r="T553" s="648"/>
      <c r="U553" s="648"/>
      <c r="V553" s="649"/>
      <c r="W553" s="42" t="s">
        <v>20</v>
      </c>
      <c r="X553" s="44">
        <f>ROUNDUP(SUM(BO22:BO548),0)</f>
        <v>28</v>
      </c>
      <c r="Y553" s="44">
        <f>ROUNDUP(SUM(BP22:BP548),0)</f>
        <v>28</v>
      </c>
      <c r="Z553" s="42"/>
      <c r="AA553" s="67"/>
      <c r="AB553" s="67"/>
      <c r="AC553" s="67"/>
    </row>
    <row r="554" spans="1:68" x14ac:dyDescent="0.2">
      <c r="A554" s="645"/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50"/>
      <c r="P554" s="647" t="s">
        <v>36</v>
      </c>
      <c r="Q554" s="648"/>
      <c r="R554" s="648"/>
      <c r="S554" s="648"/>
      <c r="T554" s="648"/>
      <c r="U554" s="648"/>
      <c r="V554" s="649"/>
      <c r="W554" s="42" t="s">
        <v>0</v>
      </c>
      <c r="X554" s="43">
        <f>GrossWeightTotal+PalletQtyTotal*25</f>
        <v>15518.760900385269</v>
      </c>
      <c r="Y554" s="43">
        <f>GrossWeightTotalR+PalletQtyTotalR*25</f>
        <v>15620.975999999999</v>
      </c>
      <c r="Z554" s="42"/>
      <c r="AA554" s="67"/>
      <c r="AB554" s="67"/>
      <c r="AC554" s="67"/>
    </row>
    <row r="555" spans="1:68" x14ac:dyDescent="0.2">
      <c r="A555" s="645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45"/>
      <c r="O555" s="650"/>
      <c r="P555" s="647" t="s">
        <v>37</v>
      </c>
      <c r="Q555" s="648"/>
      <c r="R555" s="648"/>
      <c r="S555" s="648"/>
      <c r="T555" s="648"/>
      <c r="U555" s="648"/>
      <c r="V555" s="649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3829.7758832270324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3850</v>
      </c>
      <c r="Z555" s="42"/>
      <c r="AA555" s="67"/>
      <c r="AB555" s="67"/>
      <c r="AC555" s="67"/>
    </row>
    <row r="556" spans="1:68" ht="14.25" hidden="1" x14ac:dyDescent="0.2">
      <c r="A556" s="645"/>
      <c r="B556" s="645"/>
      <c r="C556" s="645"/>
      <c r="D556" s="645"/>
      <c r="E556" s="645"/>
      <c r="F556" s="645"/>
      <c r="G556" s="645"/>
      <c r="H556" s="645"/>
      <c r="I556" s="645"/>
      <c r="J556" s="645"/>
      <c r="K556" s="645"/>
      <c r="L556" s="645"/>
      <c r="M556" s="645"/>
      <c r="N556" s="645"/>
      <c r="O556" s="650"/>
      <c r="P556" s="647" t="s">
        <v>38</v>
      </c>
      <c r="Q556" s="648"/>
      <c r="R556" s="648"/>
      <c r="S556" s="648"/>
      <c r="T556" s="648"/>
      <c r="U556" s="648"/>
      <c r="V556" s="649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32.341079999999998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638" t="s">
        <v>126</v>
      </c>
      <c r="E558" s="638" t="s">
        <v>126</v>
      </c>
      <c r="F558" s="638" t="s">
        <v>126</v>
      </c>
      <c r="G558" s="638" t="s">
        <v>126</v>
      </c>
      <c r="H558" s="638" t="s">
        <v>126</v>
      </c>
      <c r="I558" s="638" t="s">
        <v>126</v>
      </c>
      <c r="J558" s="638" t="s">
        <v>126</v>
      </c>
      <c r="K558" s="638" t="s">
        <v>358</v>
      </c>
      <c r="L558" s="638" t="s">
        <v>358</v>
      </c>
      <c r="M558" s="638" t="s">
        <v>358</v>
      </c>
      <c r="N558" s="639"/>
      <c r="O558" s="638" t="s">
        <v>358</v>
      </c>
      <c r="P558" s="638" t="s">
        <v>358</v>
      </c>
      <c r="Q558" s="638" t="s">
        <v>358</v>
      </c>
      <c r="R558" s="638" t="s">
        <v>358</v>
      </c>
      <c r="S558" s="638" t="s">
        <v>358</v>
      </c>
      <c r="T558" s="638" t="s">
        <v>358</v>
      </c>
      <c r="U558" s="638" t="s">
        <v>358</v>
      </c>
      <c r="V558" s="638" t="s">
        <v>697</v>
      </c>
      <c r="W558" s="638" t="s">
        <v>697</v>
      </c>
      <c r="X558" s="638" t="s">
        <v>763</v>
      </c>
      <c r="Y558" s="638" t="s">
        <v>763</v>
      </c>
      <c r="Z558" s="85" t="s">
        <v>799</v>
      </c>
      <c r="AA558" s="638" t="s">
        <v>846</v>
      </c>
      <c r="AB558" s="638" t="s">
        <v>846</v>
      </c>
      <c r="AC558" s="60"/>
      <c r="AF558" s="1"/>
    </row>
    <row r="559" spans="1:68" ht="14.25" customHeight="1" thickTop="1" x14ac:dyDescent="0.2">
      <c r="A559" s="640" t="s">
        <v>10</v>
      </c>
      <c r="B559" s="638" t="s">
        <v>76</v>
      </c>
      <c r="C559" s="638" t="s">
        <v>110</v>
      </c>
      <c r="D559" s="638" t="s">
        <v>127</v>
      </c>
      <c r="E559" s="638" t="s">
        <v>143</v>
      </c>
      <c r="F559" s="638" t="s">
        <v>188</v>
      </c>
      <c r="G559" s="638" t="s">
        <v>209</v>
      </c>
      <c r="H559" s="638" t="s">
        <v>248</v>
      </c>
      <c r="I559" s="638" t="s">
        <v>276</v>
      </c>
      <c r="J559" s="638" t="s">
        <v>126</v>
      </c>
      <c r="K559" s="638" t="s">
        <v>359</v>
      </c>
      <c r="L559" s="638" t="s">
        <v>380</v>
      </c>
      <c r="M559" s="638" t="s">
        <v>447</v>
      </c>
      <c r="N559" s="1"/>
      <c r="O559" s="638" t="s">
        <v>515</v>
      </c>
      <c r="P559" s="638" t="s">
        <v>548</v>
      </c>
      <c r="Q559" s="638" t="s">
        <v>564</v>
      </c>
      <c r="R559" s="638" t="s">
        <v>573</v>
      </c>
      <c r="S559" s="638" t="s">
        <v>594</v>
      </c>
      <c r="T559" s="638" t="s">
        <v>603</v>
      </c>
      <c r="U559" s="638" t="s">
        <v>687</v>
      </c>
      <c r="V559" s="638" t="s">
        <v>698</v>
      </c>
      <c r="W559" s="638" t="s">
        <v>747</v>
      </c>
      <c r="X559" s="638" t="s">
        <v>764</v>
      </c>
      <c r="Y559" s="638" t="s">
        <v>787</v>
      </c>
      <c r="Z559" s="638" t="s">
        <v>799</v>
      </c>
      <c r="AA559" s="638" t="s">
        <v>846</v>
      </c>
      <c r="AB559" s="638" t="s">
        <v>865</v>
      </c>
      <c r="AC559" s="60"/>
      <c r="AF559" s="1"/>
    </row>
    <row r="560" spans="1:68" ht="13.5" thickBot="1" x14ac:dyDescent="0.25">
      <c r="A560" s="641"/>
      <c r="B560" s="638"/>
      <c r="C560" s="638"/>
      <c r="D560" s="638"/>
      <c r="E560" s="638"/>
      <c r="F560" s="638"/>
      <c r="G560" s="638"/>
      <c r="H560" s="638"/>
      <c r="I560" s="638"/>
      <c r="J560" s="638"/>
      <c r="K560" s="638"/>
      <c r="L560" s="638"/>
      <c r="M560" s="638"/>
      <c r="N560" s="1"/>
      <c r="O560" s="638"/>
      <c r="P560" s="638"/>
      <c r="Q560" s="638"/>
      <c r="R560" s="638"/>
      <c r="S560" s="638"/>
      <c r="T560" s="638"/>
      <c r="U560" s="638"/>
      <c r="V560" s="638"/>
      <c r="W560" s="638"/>
      <c r="X560" s="638"/>
      <c r="Y560" s="638"/>
      <c r="Z560" s="638"/>
      <c r="AA560" s="638"/>
      <c r="AB560" s="638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51.84</v>
      </c>
      <c r="D561" s="52">
        <f>IFERROR(Y51*1,"0")+IFERROR(Y52*1,"0")+IFERROR(Y53*1,"0")+IFERROR(Y54*1,"0")</f>
        <v>320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225</v>
      </c>
      <c r="F561" s="52">
        <f>IFERROR(Y88*1,"0")+IFERROR(Y89*1,"0")+IFERROR(Y90*1,"0")+IFERROR(Y91*1,"0")+IFERROR(Y95*1,"0")+IFERROR(Y96*1,"0")+IFERROR(Y97*1,"0")+IFERROR(Y98*1,"0")</f>
        <v>1742.4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2328.2999999999997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50.160000000000004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1011.2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708.12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3042.9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54.12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242.39999999999998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195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1198.7</v>
      </c>
      <c r="U561" s="52">
        <f>IFERROR(Y415*1,"0")+IFERROR(Y416*1,"0")+IFERROR(Y417*1,"0")</f>
        <v>350.7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1173</v>
      </c>
      <c r="W561" s="52">
        <f>IFERROR(Y452*1,"0")+IFERROR(Y453*1,"0")+IFERROR(Y457*1,"0")+IFERROR(Y461*1,"0")+IFERROR(Y462*1,"0")+IFERROR(Y463*1,"0")</f>
        <v>108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912.00000000000011</v>
      </c>
      <c r="AA561" s="52">
        <f>IFERROR(Y526*1,"0")+IFERROR(Y530*1,"0")+IFERROR(Y534*1,"0")+IFERROR(Y538*1,"0")+IFERROR(Y542*1,"0")+IFERROR(Y543*1,"0")</f>
        <v>153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420,00"/>
        <filter val="1 500,00"/>
        <filter val="1 530,00"/>
        <filter val="100,00"/>
        <filter val="105,00"/>
        <filter val="108,00"/>
        <filter val="12,00"/>
        <filter val="120,00"/>
        <filter val="13 771,80"/>
        <filter val="13,33"/>
        <filter val="137,78"/>
        <filter val="14 818,76"/>
        <filter val="14,40"/>
        <filter val="140,00"/>
        <filter val="15 518,76"/>
        <filter val="15,40"/>
        <filter val="150,00"/>
        <filter val="16,67"/>
        <filter val="160,00"/>
        <filter val="166,67"/>
        <filter val="168,00"/>
        <filter val="175,00"/>
        <filter val="18,75"/>
        <filter val="180,00"/>
        <filter val="19,20"/>
        <filter val="190,00"/>
        <filter val="2 277,00"/>
        <filter val="200,00"/>
        <filter val="21,00"/>
        <filter val="210,00"/>
        <filter val="220,00"/>
        <filter val="224,00"/>
        <filter val="225,00"/>
        <filter val="234,00"/>
        <filter val="24,00"/>
        <filter val="24,36"/>
        <filter val="240,00"/>
        <filter val="245,00"/>
        <filter val="25,00"/>
        <filter val="250,00"/>
        <filter val="26,40"/>
        <filter val="26,60"/>
        <filter val="26,67"/>
        <filter val="269,05"/>
        <filter val="28"/>
        <filter val="3 829,78"/>
        <filter val="3,00"/>
        <filter val="3,70"/>
        <filter val="300,00"/>
        <filter val="315,00"/>
        <filter val="32,00"/>
        <filter val="320,00"/>
        <filter val="322,82"/>
        <filter val="33,33"/>
        <filter val="330,00"/>
        <filter val="350,00"/>
        <filter val="360,00"/>
        <filter val="37,88"/>
        <filter val="40,00"/>
        <filter val="400,00"/>
        <filter val="426,52"/>
        <filter val="45,00"/>
        <filter val="468,00"/>
        <filter val="48,75"/>
        <filter val="483,52"/>
        <filter val="49,50"/>
        <filter val="495,00"/>
        <filter val="50,00"/>
        <filter val="500,00"/>
        <filter val="51,20"/>
        <filter val="57,00"/>
        <filter val="585,19"/>
        <filter val="6,30"/>
        <filter val="63,00"/>
        <filter val="640,00"/>
        <filter val="66,67"/>
        <filter val="700,00"/>
        <filter val="720,00"/>
        <filter val="795,00"/>
        <filter val="8,00"/>
        <filter val="8,33"/>
        <filter val="80,00"/>
        <filter val="800,00"/>
        <filter val="84,00"/>
        <filter val="85,00"/>
        <filter val="89,74"/>
        <filter val="898,30"/>
        <filter val="90,00"/>
        <filter val="92,39"/>
        <filter val="945,00"/>
      </filters>
    </filterColumn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9" spans="2:8" x14ac:dyDescent="0.2">
      <c r="B9" s="53" t="s">
        <v>878</v>
      </c>
      <c r="C9" s="53" t="s">
        <v>873</v>
      </c>
      <c r="D9" s="53" t="s">
        <v>46</v>
      </c>
      <c r="E9" s="53" t="s">
        <v>46</v>
      </c>
    </row>
    <row r="11" spans="2:8" x14ac:dyDescent="0.2">
      <c r="B11" s="53" t="s">
        <v>878</v>
      </c>
      <c r="C11" s="53" t="s">
        <v>876</v>
      </c>
      <c r="D11" s="53" t="s">
        <v>46</v>
      </c>
      <c r="E11" s="53" t="s">
        <v>46</v>
      </c>
    </row>
    <row r="13" spans="2:8" x14ac:dyDescent="0.2">
      <c r="B13" s="53" t="s">
        <v>879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889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2026-07-29T13:06:42Z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