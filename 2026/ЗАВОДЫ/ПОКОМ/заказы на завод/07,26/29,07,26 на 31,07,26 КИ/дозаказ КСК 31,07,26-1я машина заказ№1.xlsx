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F05811-4260-42FE-81B4-6D8076E2CD4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Y262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Z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P127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82" i="2"/>
  <c r="BN115" i="2"/>
  <c r="BN155" i="2"/>
  <c r="BN214" i="2"/>
  <c r="BN260" i="2"/>
  <c r="BP264" i="2"/>
  <c r="BN284" i="2"/>
  <c r="BN290" i="2"/>
  <c r="BN304" i="2"/>
  <c r="BN364" i="2"/>
  <c r="BN396" i="2"/>
  <c r="BN416" i="2"/>
  <c r="BN463" i="2"/>
  <c r="BN498" i="2"/>
  <c r="BN515" i="2"/>
  <c r="BN30" i="2"/>
  <c r="Z35" i="2"/>
  <c r="Z36" i="2" s="1"/>
  <c r="BN61" i="2"/>
  <c r="Z182" i="2"/>
  <c r="BN186" i="2"/>
  <c r="Z192" i="2"/>
  <c r="BP202" i="2"/>
  <c r="BN231" i="2"/>
  <c r="BN259" i="2"/>
  <c r="Z264" i="2"/>
  <c r="BN288" i="2"/>
  <c r="BN389" i="2"/>
  <c r="BN402" i="2"/>
  <c r="BN446" i="2"/>
  <c r="BN457" i="2"/>
  <c r="BN472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<sst xmlns="http://schemas.openxmlformats.org/spreadsheetml/2006/main" count="4194" uniqueCount="891">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</sst>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1400</v>
      </c>
      <c r="Y424" s="55">
        <f t="shared" si="52"/>
        <v>1410</v>
      </c>
      <c r="Z424" s="41">
        <f>IFERROR(IF(Y424=0,"",ROUNDUP(Y424/H424,0)*0.02175),"")</f>
        <v>2.0444999999999998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1443.8666666666666</v>
      </c>
      <c r="BN424" s="78">
        <f t="shared" si="54"/>
        <v>1454.18</v>
      </c>
      <c r="BO424" s="78">
        <f t="shared" si="55"/>
        <v>1.9444444444444442</v>
      </c>
      <c r="BP424" s="78">
        <f t="shared" si="56"/>
        <v>1.9583333333333333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400</v>
      </c>
      <c r="Y427" s="55">
        <f t="shared" si="52"/>
        <v>405</v>
      </c>
      <c r="Z427" s="41">
        <f>IFERROR(IF(Y427=0,"",ROUNDUP(Y427/H427,0)*0.02175),"")</f>
        <v>0.58724999999999994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412.53333333333336</v>
      </c>
      <c r="BN427" s="78">
        <f t="shared" si="54"/>
        <v>417.69</v>
      </c>
      <c r="BO427" s="78">
        <f t="shared" si="55"/>
        <v>0.55555555555555558</v>
      </c>
      <c r="BP427" s="78">
        <f t="shared" si="56"/>
        <v>0.5625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120</v>
      </c>
      <c r="Y431" s="43">
        <f>IFERROR(Y423/H423,"0")+IFERROR(Y424/H424,"0")+IFERROR(Y425/H425,"0")+IFERROR(Y426/H426,"0")+IFERROR(Y427/H427,"0")+IFERROR(Y428/H428,"0")+IFERROR(Y429/H429,"0")+IFERROR(Y430/H430,"0")</f>
        <v>121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2.6317499999999998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1800</v>
      </c>
      <c r="Y432" s="43">
        <f>IFERROR(SUM(Y423:Y430),"0")</f>
        <v>1815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1815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1856.3999999999999</v>
      </c>
      <c r="Y552" s="43">
        <f>IFERROR(SUM(BN22:BN548),"0")</f>
        <v>1871.8700000000001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1931.3999999999999</v>
      </c>
      <c r="Y554" s="43">
        <f>GrossWeightTotalR+PalletQtyTotalR*25</f>
        <v>1946.8700000000001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121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2.6317499999999998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1815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800,00"/>
        <filter val="1 856,40"/>
        <filter val="1 931,40"/>
        <filter val="120,00"/>
        <filter val="3"/>
        <filter val="4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