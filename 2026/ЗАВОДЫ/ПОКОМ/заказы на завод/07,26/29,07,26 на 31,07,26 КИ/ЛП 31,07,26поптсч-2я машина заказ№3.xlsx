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1F6A59B-538B-4021-A6D4-8BBD0C6EF44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2" i="2" s="1"/>
  <c r="P530" i="2"/>
  <c r="X528" i="2"/>
  <c r="X527" i="2"/>
  <c r="BO526" i="2"/>
  <c r="BM526" i="2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BO516" i="2"/>
  <c r="BM516" i="2"/>
  <c r="Y516" i="2"/>
  <c r="P516" i="2"/>
  <c r="BO515" i="2"/>
  <c r="BM515" i="2"/>
  <c r="Y515" i="2"/>
  <c r="Z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Y512" i="2" s="1"/>
  <c r="P508" i="2"/>
  <c r="X506" i="2"/>
  <c r="X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BN497" i="2" s="1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P488" i="2" s="1"/>
  <c r="P488" i="2"/>
  <c r="X486" i="2"/>
  <c r="X485" i="2"/>
  <c r="BO484" i="2"/>
  <c r="BM484" i="2"/>
  <c r="Y484" i="2"/>
  <c r="Y486" i="2" s="1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N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BP463" i="2" s="1"/>
  <c r="P463" i="2"/>
  <c r="BO462" i="2"/>
  <c r="BM462" i="2"/>
  <c r="Y462" i="2"/>
  <c r="BP462" i="2" s="1"/>
  <c r="P462" i="2"/>
  <c r="BO461" i="2"/>
  <c r="BM461" i="2"/>
  <c r="Y461" i="2"/>
  <c r="Y465" i="2" s="1"/>
  <c r="P461" i="2"/>
  <c r="X459" i="2"/>
  <c r="X458" i="2"/>
  <c r="BO457" i="2"/>
  <c r="BM457" i="2"/>
  <c r="Y457" i="2"/>
  <c r="Y459" i="2" s="1"/>
  <c r="P457" i="2"/>
  <c r="X455" i="2"/>
  <c r="X454" i="2"/>
  <c r="BO453" i="2"/>
  <c r="BM453" i="2"/>
  <c r="Y453" i="2"/>
  <c r="BP453" i="2" s="1"/>
  <c r="P453" i="2"/>
  <c r="BO452" i="2"/>
  <c r="BM452" i="2"/>
  <c r="Y452" i="2"/>
  <c r="P452" i="2"/>
  <c r="X449" i="2"/>
  <c r="X448" i="2"/>
  <c r="BO447" i="2"/>
  <c r="BM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N442" i="2" s="1"/>
  <c r="P442" i="2"/>
  <c r="BO441" i="2"/>
  <c r="BM441" i="2"/>
  <c r="Y441" i="2"/>
  <c r="P441" i="2"/>
  <c r="BO440" i="2"/>
  <c r="BM440" i="2"/>
  <c r="Y440" i="2"/>
  <c r="BP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Y434" i="2"/>
  <c r="BN434" i="2" s="1"/>
  <c r="P434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P428" i="2" s="1"/>
  <c r="P428" i="2"/>
  <c r="BO427" i="2"/>
  <c r="BM427" i="2"/>
  <c r="Z427" i="2"/>
  <c r="Y427" i="2"/>
  <c r="BP427" i="2" s="1"/>
  <c r="P427" i="2"/>
  <c r="BO426" i="2"/>
  <c r="BM426" i="2"/>
  <c r="Y426" i="2"/>
  <c r="P426" i="2"/>
  <c r="BO425" i="2"/>
  <c r="BM425" i="2"/>
  <c r="Y425" i="2"/>
  <c r="BN425" i="2" s="1"/>
  <c r="P425" i="2"/>
  <c r="BO424" i="2"/>
  <c r="BM424" i="2"/>
  <c r="Y424" i="2"/>
  <c r="P424" i="2"/>
  <c r="BO423" i="2"/>
  <c r="BM423" i="2"/>
  <c r="Y423" i="2"/>
  <c r="P423" i="2"/>
  <c r="X419" i="2"/>
  <c r="X418" i="2"/>
  <c r="BO417" i="2"/>
  <c r="BM417" i="2"/>
  <c r="Y417" i="2"/>
  <c r="Z417" i="2" s="1"/>
  <c r="P417" i="2"/>
  <c r="BO416" i="2"/>
  <c r="BM416" i="2"/>
  <c r="Y416" i="2"/>
  <c r="BN416" i="2" s="1"/>
  <c r="P416" i="2"/>
  <c r="BO415" i="2"/>
  <c r="BM415" i="2"/>
  <c r="Y415" i="2"/>
  <c r="P415" i="2"/>
  <c r="X412" i="2"/>
  <c r="X411" i="2"/>
  <c r="BO410" i="2"/>
  <c r="BM410" i="2"/>
  <c r="Y410" i="2"/>
  <c r="Z410" i="2" s="1"/>
  <c r="P410" i="2"/>
  <c r="BO409" i="2"/>
  <c r="BM409" i="2"/>
  <c r="Y409" i="2"/>
  <c r="BP409" i="2" s="1"/>
  <c r="P409" i="2"/>
  <c r="BO408" i="2"/>
  <c r="BM408" i="2"/>
  <c r="Y408" i="2"/>
  <c r="Z408" i="2" s="1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Y405" i="2" s="1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N389" i="2" s="1"/>
  <c r="P389" i="2"/>
  <c r="X387" i="2"/>
  <c r="X386" i="2"/>
  <c r="BO385" i="2"/>
  <c r="BM385" i="2"/>
  <c r="Y385" i="2"/>
  <c r="P385" i="2"/>
  <c r="BO384" i="2"/>
  <c r="BM384" i="2"/>
  <c r="Y384" i="2"/>
  <c r="Z384" i="2" s="1"/>
  <c r="P384" i="2"/>
  <c r="BO383" i="2"/>
  <c r="BM383" i="2"/>
  <c r="Y383" i="2"/>
  <c r="P383" i="2"/>
  <c r="BO382" i="2"/>
  <c r="BM382" i="2"/>
  <c r="Y382" i="2"/>
  <c r="BP382" i="2" s="1"/>
  <c r="P382" i="2"/>
  <c r="X380" i="2"/>
  <c r="X379" i="2"/>
  <c r="BO378" i="2"/>
  <c r="BM378" i="2"/>
  <c r="Y378" i="2"/>
  <c r="P378" i="2"/>
  <c r="BO377" i="2"/>
  <c r="BM377" i="2"/>
  <c r="Y377" i="2"/>
  <c r="BP377" i="2" s="1"/>
  <c r="P377" i="2"/>
  <c r="BO376" i="2"/>
  <c r="BM376" i="2"/>
  <c r="Y376" i="2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BN368" i="2" s="1"/>
  <c r="P368" i="2"/>
  <c r="BO367" i="2"/>
  <c r="BM367" i="2"/>
  <c r="Y367" i="2"/>
  <c r="P367" i="2"/>
  <c r="BO366" i="2"/>
  <c r="BM366" i="2"/>
  <c r="Y366" i="2"/>
  <c r="P366" i="2"/>
  <c r="BP365" i="2"/>
  <c r="BO365" i="2"/>
  <c r="BM365" i="2"/>
  <c r="Y365" i="2"/>
  <c r="P365" i="2"/>
  <c r="BO364" i="2"/>
  <c r="BM364" i="2"/>
  <c r="Y364" i="2"/>
  <c r="Z364" i="2" s="1"/>
  <c r="P364" i="2"/>
  <c r="BO363" i="2"/>
  <c r="BM363" i="2"/>
  <c r="Y363" i="2"/>
  <c r="Z363" i="2" s="1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P346" i="2"/>
  <c r="BO345" i="2"/>
  <c r="BM345" i="2"/>
  <c r="Y345" i="2"/>
  <c r="P345" i="2"/>
  <c r="BO344" i="2"/>
  <c r="BM344" i="2"/>
  <c r="Y344" i="2"/>
  <c r="BN344" i="2" s="1"/>
  <c r="P344" i="2"/>
  <c r="BO343" i="2"/>
  <c r="BM343" i="2"/>
  <c r="Y343" i="2"/>
  <c r="P343" i="2"/>
  <c r="BO342" i="2"/>
  <c r="BM342" i="2"/>
  <c r="Y342" i="2"/>
  <c r="P342" i="2"/>
  <c r="X339" i="2"/>
  <c r="X338" i="2"/>
  <c r="BO337" i="2"/>
  <c r="BM337" i="2"/>
  <c r="Y337" i="2"/>
  <c r="BN337" i="2" s="1"/>
  <c r="P337" i="2"/>
  <c r="BO336" i="2"/>
  <c r="BM336" i="2"/>
  <c r="Y336" i="2"/>
  <c r="P336" i="2"/>
  <c r="BO335" i="2"/>
  <c r="BM335" i="2"/>
  <c r="Y335" i="2"/>
  <c r="Z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Z328" i="2" s="1"/>
  <c r="P328" i="2"/>
  <c r="BO327" i="2"/>
  <c r="BM327" i="2"/>
  <c r="Y327" i="2"/>
  <c r="P327" i="2"/>
  <c r="BO326" i="2"/>
  <c r="BM326" i="2"/>
  <c r="Y326" i="2"/>
  <c r="Y331" i="2" s="1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BP319" i="2" s="1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P311" i="2"/>
  <c r="X309" i="2"/>
  <c r="X308" i="2"/>
  <c r="BO307" i="2"/>
  <c r="BM307" i="2"/>
  <c r="Y307" i="2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Y304" i="2"/>
  <c r="P304" i="2"/>
  <c r="BP303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P296" i="2"/>
  <c r="BO295" i="2"/>
  <c r="BM295" i="2"/>
  <c r="Y295" i="2"/>
  <c r="P295" i="2"/>
  <c r="X293" i="2"/>
  <c r="X292" i="2"/>
  <c r="BO291" i="2"/>
  <c r="BM291" i="2"/>
  <c r="Y291" i="2"/>
  <c r="BP291" i="2" s="1"/>
  <c r="P291" i="2"/>
  <c r="BO290" i="2"/>
  <c r="BM290" i="2"/>
  <c r="Y290" i="2"/>
  <c r="Z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BP283" i="2" s="1"/>
  <c r="P283" i="2"/>
  <c r="BO282" i="2"/>
  <c r="BM282" i="2"/>
  <c r="Y282" i="2"/>
  <c r="BN282" i="2" s="1"/>
  <c r="P282" i="2"/>
  <c r="BO281" i="2"/>
  <c r="BM281" i="2"/>
  <c r="Y281" i="2"/>
  <c r="P281" i="2"/>
  <c r="BO280" i="2"/>
  <c r="BM280" i="2"/>
  <c r="Y280" i="2"/>
  <c r="Z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P273" i="2"/>
  <c r="BO272" i="2"/>
  <c r="BM272" i="2"/>
  <c r="Y272" i="2"/>
  <c r="BN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P269" i="2"/>
  <c r="X267" i="2"/>
  <c r="X266" i="2"/>
  <c r="BO265" i="2"/>
  <c r="BM265" i="2"/>
  <c r="Y265" i="2"/>
  <c r="BP265" i="2" s="1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P250" i="2"/>
  <c r="BO249" i="2"/>
  <c r="BM249" i="2"/>
  <c r="Y249" i="2"/>
  <c r="P249" i="2"/>
  <c r="BO248" i="2"/>
  <c r="BM248" i="2"/>
  <c r="Y248" i="2"/>
  <c r="BP248" i="2" s="1"/>
  <c r="P248" i="2"/>
  <c r="X246" i="2"/>
  <c r="X245" i="2"/>
  <c r="BO244" i="2"/>
  <c r="BM244" i="2"/>
  <c r="Y244" i="2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Z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P234" i="2"/>
  <c r="BO233" i="2"/>
  <c r="BM233" i="2"/>
  <c r="Y233" i="2"/>
  <c r="BP233" i="2" s="1"/>
  <c r="P233" i="2"/>
  <c r="BO232" i="2"/>
  <c r="BM232" i="2"/>
  <c r="Z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P208" i="2"/>
  <c r="X204" i="2"/>
  <c r="X203" i="2"/>
  <c r="BO202" i="2"/>
  <c r="BM202" i="2"/>
  <c r="Y202" i="2"/>
  <c r="BP202" i="2" s="1"/>
  <c r="P202" i="2"/>
  <c r="X200" i="2"/>
  <c r="X199" i="2"/>
  <c r="BO198" i="2"/>
  <c r="BM198" i="2"/>
  <c r="Y198" i="2"/>
  <c r="P198" i="2"/>
  <c r="BO197" i="2"/>
  <c r="BM197" i="2"/>
  <c r="Y197" i="2"/>
  <c r="Y200" i="2" s="1"/>
  <c r="P197" i="2"/>
  <c r="X195" i="2"/>
  <c r="X194" i="2"/>
  <c r="BO193" i="2"/>
  <c r="BM193" i="2"/>
  <c r="Y193" i="2"/>
  <c r="BN193" i="2" s="1"/>
  <c r="P193" i="2"/>
  <c r="BO192" i="2"/>
  <c r="BM192" i="2"/>
  <c r="Y192" i="2"/>
  <c r="P192" i="2"/>
  <c r="BO191" i="2"/>
  <c r="BM191" i="2"/>
  <c r="Y191" i="2"/>
  <c r="BN191" i="2" s="1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P185" i="2"/>
  <c r="BO184" i="2"/>
  <c r="BM184" i="2"/>
  <c r="Y184" i="2"/>
  <c r="BN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X175" i="2"/>
  <c r="X174" i="2"/>
  <c r="BO173" i="2"/>
  <c r="BM173" i="2"/>
  <c r="Y173" i="2"/>
  <c r="BN173" i="2" s="1"/>
  <c r="P173" i="2"/>
  <c r="BO172" i="2"/>
  <c r="BM172" i="2"/>
  <c r="Y172" i="2"/>
  <c r="Y175" i="2" s="1"/>
  <c r="X170" i="2"/>
  <c r="X169" i="2"/>
  <c r="BO168" i="2"/>
  <c r="BM168" i="2"/>
  <c r="Y168" i="2"/>
  <c r="BN168" i="2" s="1"/>
  <c r="P168" i="2"/>
  <c r="BO167" i="2"/>
  <c r="BM167" i="2"/>
  <c r="Y167" i="2"/>
  <c r="P167" i="2"/>
  <c r="BO166" i="2"/>
  <c r="BM166" i="2"/>
  <c r="Y166" i="2"/>
  <c r="P166" i="2"/>
  <c r="X163" i="2"/>
  <c r="X162" i="2"/>
  <c r="BO161" i="2"/>
  <c r="BM161" i="2"/>
  <c r="Y161" i="2"/>
  <c r="Y162" i="2" s="1"/>
  <c r="P161" i="2"/>
  <c r="X159" i="2"/>
  <c r="X158" i="2"/>
  <c r="BO157" i="2"/>
  <c r="BM157" i="2"/>
  <c r="Y157" i="2"/>
  <c r="P157" i="2"/>
  <c r="BO156" i="2"/>
  <c r="BM156" i="2"/>
  <c r="Y156" i="2"/>
  <c r="Z156" i="2" s="1"/>
  <c r="P156" i="2"/>
  <c r="BO155" i="2"/>
  <c r="BM155" i="2"/>
  <c r="Y155" i="2"/>
  <c r="Z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Y150" i="2" s="1"/>
  <c r="P146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BO140" i="2"/>
  <c r="BM140" i="2"/>
  <c r="Y140" i="2"/>
  <c r="Z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P135" i="2"/>
  <c r="BO134" i="2"/>
  <c r="BM134" i="2"/>
  <c r="Y134" i="2"/>
  <c r="BN134" i="2" s="1"/>
  <c r="P134" i="2"/>
  <c r="BO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P123" i="2"/>
  <c r="BO122" i="2"/>
  <c r="BM122" i="2"/>
  <c r="Y122" i="2"/>
  <c r="Z122" i="2" s="1"/>
  <c r="P122" i="2"/>
  <c r="BO121" i="2"/>
  <c r="BM121" i="2"/>
  <c r="Y121" i="2"/>
  <c r="Z121" i="2" s="1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P97" i="2"/>
  <c r="BO96" i="2"/>
  <c r="BM96" i="2"/>
  <c r="Y96" i="2"/>
  <c r="Z96" i="2" s="1"/>
  <c r="P96" i="2"/>
  <c r="BO95" i="2"/>
  <c r="BM95" i="2"/>
  <c r="Y95" i="2"/>
  <c r="BN95" i="2" s="1"/>
  <c r="P95" i="2"/>
  <c r="X93" i="2"/>
  <c r="X92" i="2"/>
  <c r="BO91" i="2"/>
  <c r="BM91" i="2"/>
  <c r="Z91" i="2"/>
  <c r="Y91" i="2"/>
  <c r="BN91" i="2" s="1"/>
  <c r="P91" i="2"/>
  <c r="BO90" i="2"/>
  <c r="BM90" i="2"/>
  <c r="Y90" i="2"/>
  <c r="BN90" i="2" s="1"/>
  <c r="P90" i="2"/>
  <c r="BO89" i="2"/>
  <c r="BM89" i="2"/>
  <c r="Y89" i="2"/>
  <c r="P89" i="2"/>
  <c r="BO88" i="2"/>
  <c r="BM88" i="2"/>
  <c r="Y88" i="2"/>
  <c r="BP88" i="2" s="1"/>
  <c r="P88" i="2"/>
  <c r="X85" i="2"/>
  <c r="X84" i="2"/>
  <c r="BO83" i="2"/>
  <c r="BM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Z78" i="2" s="1"/>
  <c r="P78" i="2"/>
  <c r="BO77" i="2"/>
  <c r="BM77" i="2"/>
  <c r="Y77" i="2"/>
  <c r="Z77" i="2" s="1"/>
  <c r="P77" i="2"/>
  <c r="X75" i="2"/>
  <c r="X74" i="2"/>
  <c r="BO73" i="2"/>
  <c r="BM73" i="2"/>
  <c r="Y73" i="2"/>
  <c r="Z73" i="2" s="1"/>
  <c r="P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Z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D561" i="2" s="1"/>
  <c r="P51" i="2"/>
  <c r="X47" i="2"/>
  <c r="X46" i="2"/>
  <c r="BO45" i="2"/>
  <c r="BM45" i="2"/>
  <c r="Y45" i="2"/>
  <c r="BN45" i="2" s="1"/>
  <c r="P45" i="2"/>
  <c r="BO44" i="2"/>
  <c r="BM44" i="2"/>
  <c r="Y44" i="2"/>
  <c r="BN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P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Z141" i="2" l="1"/>
  <c r="Z191" i="2"/>
  <c r="Z272" i="2"/>
  <c r="Z330" i="2"/>
  <c r="Z469" i="2"/>
  <c r="Z184" i="2"/>
  <c r="Z282" i="2"/>
  <c r="Z319" i="2"/>
  <c r="Z344" i="2"/>
  <c r="BP344" i="2"/>
  <c r="Z377" i="2"/>
  <c r="Z434" i="2"/>
  <c r="BP484" i="2"/>
  <c r="Z62" i="2"/>
  <c r="Z116" i="2"/>
  <c r="Z149" i="2"/>
  <c r="Z416" i="2"/>
  <c r="W561" i="2"/>
  <c r="Y163" i="2"/>
  <c r="Y203" i="2"/>
  <c r="Y204" i="2"/>
  <c r="X555" i="2"/>
  <c r="Z28" i="2"/>
  <c r="Z88" i="2"/>
  <c r="BN88" i="2"/>
  <c r="Y93" i="2"/>
  <c r="Z98" i="2"/>
  <c r="Z139" i="2"/>
  <c r="Z142" i="2"/>
  <c r="BN142" i="2"/>
  <c r="Z161" i="2"/>
  <c r="Z162" i="2" s="1"/>
  <c r="Z187" i="2"/>
  <c r="Z230" i="2"/>
  <c r="BN230" i="2"/>
  <c r="Z242" i="2"/>
  <c r="Z265" i="2"/>
  <c r="Z266" i="2" s="1"/>
  <c r="Z275" i="2"/>
  <c r="Z306" i="2"/>
  <c r="Z329" i="2"/>
  <c r="Z337" i="2"/>
  <c r="Z372" i="2"/>
  <c r="BP391" i="2"/>
  <c r="Z409" i="2"/>
  <c r="Z425" i="2"/>
  <c r="Z457" i="2"/>
  <c r="Z458" i="2" s="1"/>
  <c r="Z478" i="2"/>
  <c r="BN478" i="2"/>
  <c r="BN29" i="2"/>
  <c r="Y47" i="2"/>
  <c r="Y55" i="2"/>
  <c r="BP83" i="2"/>
  <c r="BN120" i="2"/>
  <c r="H561" i="2"/>
  <c r="Z132" i="2"/>
  <c r="BN140" i="2"/>
  <c r="BP166" i="2"/>
  <c r="BN166" i="2"/>
  <c r="Z166" i="2"/>
  <c r="BP185" i="2"/>
  <c r="BN185" i="2"/>
  <c r="Z185" i="2"/>
  <c r="BN198" i="2"/>
  <c r="Z198" i="2"/>
  <c r="BN208" i="2"/>
  <c r="Z208" i="2"/>
  <c r="BN226" i="2"/>
  <c r="Z226" i="2"/>
  <c r="BN231" i="2"/>
  <c r="BN234" i="2"/>
  <c r="BP234" i="2"/>
  <c r="BN240" i="2"/>
  <c r="Z240" i="2"/>
  <c r="BN249" i="2"/>
  <c r="Z249" i="2"/>
  <c r="BN264" i="2"/>
  <c r="BP269" i="2"/>
  <c r="BN269" i="2"/>
  <c r="Z269" i="2"/>
  <c r="BN284" i="2"/>
  <c r="BN304" i="2"/>
  <c r="Z304" i="2"/>
  <c r="BN327" i="2"/>
  <c r="Z327" i="2"/>
  <c r="BP346" i="2"/>
  <c r="Z346" i="2"/>
  <c r="BN366" i="2"/>
  <c r="Z366" i="2"/>
  <c r="BN375" i="2"/>
  <c r="BP383" i="2"/>
  <c r="BN383" i="2"/>
  <c r="Z383" i="2"/>
  <c r="Y387" i="2"/>
  <c r="Z385" i="2"/>
  <c r="BP415" i="2"/>
  <c r="Z415" i="2"/>
  <c r="Z418" i="2" s="1"/>
  <c r="BN426" i="2"/>
  <c r="BP426" i="2"/>
  <c r="BN429" i="2"/>
  <c r="BN441" i="2"/>
  <c r="Z441" i="2"/>
  <c r="BN470" i="2"/>
  <c r="BN479" i="2"/>
  <c r="BN489" i="2"/>
  <c r="BP503" i="2"/>
  <c r="BN503" i="2"/>
  <c r="Z503" i="2"/>
  <c r="BN515" i="2"/>
  <c r="BN30" i="2"/>
  <c r="Z41" i="2"/>
  <c r="BN41" i="2"/>
  <c r="BN42" i="2"/>
  <c r="Z51" i="2"/>
  <c r="BN52" i="2"/>
  <c r="Z53" i="2"/>
  <c r="BN53" i="2"/>
  <c r="BN54" i="2"/>
  <c r="Z64" i="2"/>
  <c r="BN64" i="2"/>
  <c r="BN65" i="2"/>
  <c r="Z72" i="2"/>
  <c r="BN77" i="2"/>
  <c r="Z83" i="2"/>
  <c r="Y85" i="2"/>
  <c r="BP90" i="2"/>
  <c r="Z95" i="2"/>
  <c r="BP98" i="2"/>
  <c r="BN121" i="2"/>
  <c r="BP132" i="2"/>
  <c r="BN135" i="2"/>
  <c r="Z135" i="2"/>
  <c r="Y143" i="2"/>
  <c r="BN156" i="2"/>
  <c r="BN178" i="2"/>
  <c r="Z178" i="2"/>
  <c r="BN181" i="2"/>
  <c r="Z181" i="2"/>
  <c r="BP211" i="2"/>
  <c r="BN211" i="2"/>
  <c r="Z211" i="2"/>
  <c r="BN225" i="2"/>
  <c r="Z225" i="2"/>
  <c r="BP226" i="2"/>
  <c r="BP240" i="2"/>
  <c r="BN241" i="2"/>
  <c r="BN244" i="2"/>
  <c r="BP244" i="2"/>
  <c r="BP273" i="2"/>
  <c r="BN273" i="2"/>
  <c r="Z273" i="2"/>
  <c r="BN283" i="2"/>
  <c r="Z283" i="2"/>
  <c r="BP295" i="2"/>
  <c r="BN295" i="2"/>
  <c r="Z295" i="2"/>
  <c r="Y298" i="2"/>
  <c r="BP304" i="2"/>
  <c r="BN305" i="2"/>
  <c r="BP307" i="2"/>
  <c r="BN307" i="2"/>
  <c r="Z307" i="2"/>
  <c r="Y313" i="2"/>
  <c r="Z311" i="2"/>
  <c r="Z312" i="2" s="1"/>
  <c r="BP327" i="2"/>
  <c r="BN328" i="2"/>
  <c r="BP342" i="2"/>
  <c r="BN342" i="2"/>
  <c r="Z342" i="2"/>
  <c r="Y369" i="2"/>
  <c r="Z365" i="2"/>
  <c r="BP366" i="2"/>
  <c r="BP367" i="2"/>
  <c r="Z367" i="2"/>
  <c r="BP385" i="2"/>
  <c r="BN396" i="2"/>
  <c r="Z411" i="2"/>
  <c r="BP423" i="2"/>
  <c r="BN423" i="2"/>
  <c r="Z423" i="2"/>
  <c r="BN428" i="2"/>
  <c r="Z428" i="2"/>
  <c r="BP441" i="2"/>
  <c r="BN453" i="2"/>
  <c r="BN501" i="2"/>
  <c r="Z501" i="2"/>
  <c r="BP538" i="2"/>
  <c r="Z538" i="2"/>
  <c r="Z539" i="2" s="1"/>
  <c r="BP141" i="2"/>
  <c r="BP161" i="2"/>
  <c r="Y170" i="2"/>
  <c r="BP187" i="2"/>
  <c r="BN202" i="2"/>
  <c r="BN235" i="2"/>
  <c r="BN260" i="2"/>
  <c r="BN290" i="2"/>
  <c r="BP329" i="2"/>
  <c r="Y370" i="2"/>
  <c r="BP363" i="2"/>
  <c r="BN364" i="2"/>
  <c r="BN384" i="2"/>
  <c r="Y412" i="2"/>
  <c r="BP408" i="2"/>
  <c r="BP416" i="2"/>
  <c r="BN417" i="2"/>
  <c r="BP434" i="2"/>
  <c r="Y437" i="2"/>
  <c r="BP457" i="2"/>
  <c r="BN504" i="2"/>
  <c r="Y531" i="2"/>
  <c r="Y37" i="2"/>
  <c r="BP209" i="2"/>
  <c r="Z209" i="2"/>
  <c r="BN250" i="2"/>
  <c r="BP250" i="2"/>
  <c r="Z250" i="2"/>
  <c r="B561" i="2"/>
  <c r="X551" i="2"/>
  <c r="Y32" i="2"/>
  <c r="Z84" i="2"/>
  <c r="BP82" i="2"/>
  <c r="BP97" i="2"/>
  <c r="G561" i="2"/>
  <c r="BP106" i="2"/>
  <c r="BN107" i="2"/>
  <c r="Z108" i="2"/>
  <c r="Y117" i="2"/>
  <c r="BP116" i="2"/>
  <c r="Y125" i="2"/>
  <c r="Y124" i="2"/>
  <c r="Z127" i="2"/>
  <c r="Z128" i="2" s="1"/>
  <c r="BP127" i="2"/>
  <c r="Y129" i="2"/>
  <c r="BP134" i="2"/>
  <c r="BN161" i="2"/>
  <c r="J561" i="2"/>
  <c r="BP173" i="2"/>
  <c r="BP184" i="2"/>
  <c r="Z210" i="2"/>
  <c r="BN210" i="2"/>
  <c r="BN229" i="2"/>
  <c r="Z229" i="2"/>
  <c r="Y252" i="2"/>
  <c r="BP259" i="2"/>
  <c r="Y261" i="2"/>
  <c r="BN259" i="2"/>
  <c r="BN281" i="2"/>
  <c r="BP281" i="2"/>
  <c r="BP285" i="2"/>
  <c r="BN285" i="2"/>
  <c r="Z285" i="2"/>
  <c r="BP289" i="2"/>
  <c r="BN289" i="2"/>
  <c r="BN303" i="2"/>
  <c r="Z303" i="2"/>
  <c r="BP326" i="2"/>
  <c r="BN336" i="2"/>
  <c r="BP336" i="2"/>
  <c r="BN376" i="2"/>
  <c r="BP376" i="2"/>
  <c r="Z376" i="2"/>
  <c r="BP390" i="2"/>
  <c r="Z390" i="2"/>
  <c r="BN398" i="2"/>
  <c r="BP398" i="2"/>
  <c r="Z398" i="2"/>
  <c r="BN430" i="2"/>
  <c r="BP430" i="2"/>
  <c r="Z430" i="2"/>
  <c r="BP446" i="2"/>
  <c r="BN446" i="2"/>
  <c r="BN542" i="2"/>
  <c r="BP542" i="2"/>
  <c r="BN373" i="2"/>
  <c r="BP373" i="2"/>
  <c r="Z373" i="2"/>
  <c r="J9" i="2"/>
  <c r="X552" i="2"/>
  <c r="BP30" i="2"/>
  <c r="BN31" i="2"/>
  <c r="BN35" i="2"/>
  <c r="Y36" i="2"/>
  <c r="C561" i="2"/>
  <c r="Z42" i="2"/>
  <c r="Z54" i="2"/>
  <c r="Z55" i="2" s="1"/>
  <c r="Z65" i="2"/>
  <c r="BP72" i="2"/>
  <c r="BN73" i="2"/>
  <c r="Y79" i="2"/>
  <c r="Y84" i="2"/>
  <c r="F561" i="2"/>
  <c r="BP91" i="2"/>
  <c r="BP95" i="2"/>
  <c r="BN96" i="2"/>
  <c r="Z97" i="2"/>
  <c r="Y99" i="2"/>
  <c r="Z106" i="2"/>
  <c r="BN112" i="2"/>
  <c r="BP121" i="2"/>
  <c r="BN122" i="2"/>
  <c r="BN132" i="2"/>
  <c r="Y137" i="2"/>
  <c r="BN155" i="2"/>
  <c r="Z179" i="2"/>
  <c r="BN179" i="2"/>
  <c r="BP180" i="2"/>
  <c r="Z180" i="2"/>
  <c r="Z186" i="2"/>
  <c r="BN186" i="2"/>
  <c r="BN209" i="2"/>
  <c r="BN219" i="2"/>
  <c r="Y221" i="2"/>
  <c r="Z219" i="2"/>
  <c r="Z220" i="2" s="1"/>
  <c r="BN326" i="2"/>
  <c r="Z326" i="2"/>
  <c r="BN345" i="2"/>
  <c r="BP345" i="2"/>
  <c r="Z345" i="2"/>
  <c r="BN378" i="2"/>
  <c r="BP378" i="2"/>
  <c r="Y432" i="2"/>
  <c r="BP35" i="2"/>
  <c r="BP108" i="2"/>
  <c r="BP155" i="2"/>
  <c r="BP214" i="2"/>
  <c r="BN214" i="2"/>
  <c r="Z274" i="2"/>
  <c r="BN274" i="2"/>
  <c r="BN320" i="2"/>
  <c r="BP320" i="2"/>
  <c r="Z516" i="2"/>
  <c r="BN516" i="2"/>
  <c r="X553" i="2"/>
  <c r="BP28" i="2"/>
  <c r="BP44" i="2"/>
  <c r="BP51" i="2"/>
  <c r="E561" i="2"/>
  <c r="BP62" i="2"/>
  <c r="BN63" i="2"/>
  <c r="BP77" i="2"/>
  <c r="BN78" i="2"/>
  <c r="BN82" i="2"/>
  <c r="BN127" i="2"/>
  <c r="BP135" i="2"/>
  <c r="BP139" i="2"/>
  <c r="BP149" i="2"/>
  <c r="I561" i="2"/>
  <c r="Y159" i="2"/>
  <c r="Y158" i="2"/>
  <c r="BP168" i="2"/>
  <c r="BP181" i="2"/>
  <c r="BP191" i="2"/>
  <c r="Y278" i="2"/>
  <c r="Z270" i="2"/>
  <c r="BP274" i="2"/>
  <c r="Z343" i="2"/>
  <c r="BN343" i="2"/>
  <c r="Y360" i="2"/>
  <c r="BN356" i="2"/>
  <c r="BP356" i="2"/>
  <c r="Z356" i="2"/>
  <c r="BN424" i="2"/>
  <c r="BP424" i="2"/>
  <c r="Z424" i="2"/>
  <c r="BP514" i="2"/>
  <c r="BN514" i="2"/>
  <c r="Z514" i="2"/>
  <c r="BP516" i="2"/>
  <c r="AA561" i="2"/>
  <c r="Z526" i="2"/>
  <c r="Z527" i="2" s="1"/>
  <c r="Y189" i="2"/>
  <c r="BP178" i="2"/>
  <c r="BP183" i="2"/>
  <c r="BP193" i="2"/>
  <c r="BP198" i="2"/>
  <c r="BP223" i="2"/>
  <c r="BP227" i="2"/>
  <c r="BP231" i="2"/>
  <c r="BN236" i="2"/>
  <c r="BP241" i="2"/>
  <c r="Y251" i="2"/>
  <c r="BP264" i="2"/>
  <c r="Y266" i="2"/>
  <c r="BP271" i="2"/>
  <c r="BN275" i="2"/>
  <c r="BP282" i="2"/>
  <c r="BP287" i="2"/>
  <c r="BN288" i="2"/>
  <c r="Y309" i="2"/>
  <c r="BP301" i="2"/>
  <c r="BP305" i="2"/>
  <c r="BN319" i="2"/>
  <c r="BP328" i="2"/>
  <c r="BN330" i="2"/>
  <c r="BP337" i="2"/>
  <c r="R561" i="2"/>
  <c r="BN363" i="2"/>
  <c r="BP364" i="2"/>
  <c r="BP368" i="2"/>
  <c r="BN374" i="2"/>
  <c r="Y379" i="2"/>
  <c r="BP384" i="2"/>
  <c r="Y393" i="2"/>
  <c r="Y399" i="2"/>
  <c r="BN410" i="2"/>
  <c r="Y411" i="2"/>
  <c r="BP417" i="2"/>
  <c r="V561" i="2"/>
  <c r="BP435" i="2"/>
  <c r="BN452" i="2"/>
  <c r="Y455" i="2"/>
  <c r="BP470" i="2"/>
  <c r="Y195" i="2"/>
  <c r="BP208" i="2"/>
  <c r="BP213" i="2"/>
  <c r="Y216" i="2"/>
  <c r="Z223" i="2"/>
  <c r="Z227" i="2"/>
  <c r="BP228" i="2"/>
  <c r="BN232" i="2"/>
  <c r="BN242" i="2"/>
  <c r="BP249" i="2"/>
  <c r="BN265" i="2"/>
  <c r="Y293" i="2"/>
  <c r="BP280" i="2"/>
  <c r="BP284" i="2"/>
  <c r="Y292" i="2"/>
  <c r="BP302" i="2"/>
  <c r="BN306" i="2"/>
  <c r="Y323" i="2"/>
  <c r="T561" i="2"/>
  <c r="BN365" i="2"/>
  <c r="Z375" i="2"/>
  <c r="Z382" i="2"/>
  <c r="BN385" i="2"/>
  <c r="Z389" i="2"/>
  <c r="BP389" i="2"/>
  <c r="Y392" i="2"/>
  <c r="Z396" i="2"/>
  <c r="BN408" i="2"/>
  <c r="BP429" i="2"/>
  <c r="Y438" i="2"/>
  <c r="Z435" i="2"/>
  <c r="BP436" i="2"/>
  <c r="Z453" i="2"/>
  <c r="BN457" i="2"/>
  <c r="Y458" i="2"/>
  <c r="BN469" i="2"/>
  <c r="Z479" i="2"/>
  <c r="Z480" i="2" s="1"/>
  <c r="Y485" i="2"/>
  <c r="Z489" i="2"/>
  <c r="Y505" i="2"/>
  <c r="Z504" i="2"/>
  <c r="BP515" i="2"/>
  <c r="BP530" i="2"/>
  <c r="Y246" i="2"/>
  <c r="Y267" i="2"/>
  <c r="BP272" i="2"/>
  <c r="Q561" i="2"/>
  <c r="Y359" i="2"/>
  <c r="BP374" i="2"/>
  <c r="Y380" i="2"/>
  <c r="BP410" i="2"/>
  <c r="BP425" i="2"/>
  <c r="BP452" i="2"/>
  <c r="Y475" i="2"/>
  <c r="Z79" i="2"/>
  <c r="Z66" i="2"/>
  <c r="BP52" i="2"/>
  <c r="Z61" i="2"/>
  <c r="Z71" i="2"/>
  <c r="BP96" i="2"/>
  <c r="Z105" i="2"/>
  <c r="BP107" i="2"/>
  <c r="Z115" i="2"/>
  <c r="BP140" i="2"/>
  <c r="Z148" i="2"/>
  <c r="Z177" i="2"/>
  <c r="BP179" i="2"/>
  <c r="Z197" i="2"/>
  <c r="BP224" i="2"/>
  <c r="Y245" i="2"/>
  <c r="BP254" i="2"/>
  <c r="BP343" i="2"/>
  <c r="Z351" i="2"/>
  <c r="Z395" i="2"/>
  <c r="BP397" i="2"/>
  <c r="Y419" i="2"/>
  <c r="Z440" i="2"/>
  <c r="BP442" i="2"/>
  <c r="Z463" i="2"/>
  <c r="Y480" i="2"/>
  <c r="Z488" i="2"/>
  <c r="BP490" i="2"/>
  <c r="Z500" i="2"/>
  <c r="BP502" i="2"/>
  <c r="Z510" i="2"/>
  <c r="Z520" i="2"/>
  <c r="Y527" i="2"/>
  <c r="Z534" i="2"/>
  <c r="Z535" i="2" s="1"/>
  <c r="Y539" i="2"/>
  <c r="Y118" i="2"/>
  <c r="Z89" i="2"/>
  <c r="Z133" i="2"/>
  <c r="Z167" i="2"/>
  <c r="Z172" i="2"/>
  <c r="Z182" i="2"/>
  <c r="Z192" i="2"/>
  <c r="Y316" i="2"/>
  <c r="F10" i="2"/>
  <c r="BP63" i="2"/>
  <c r="BP73" i="2"/>
  <c r="Z29" i="2"/>
  <c r="BP31" i="2"/>
  <c r="BN43" i="2"/>
  <c r="Y46" i="2"/>
  <c r="Y56" i="2"/>
  <c r="BN66" i="2"/>
  <c r="BP78" i="2"/>
  <c r="BN89" i="2"/>
  <c r="Y92" i="2"/>
  <c r="Y100" i="2"/>
  <c r="BP112" i="2"/>
  <c r="Z120" i="2"/>
  <c r="BP122" i="2"/>
  <c r="BN133" i="2"/>
  <c r="Y136" i="2"/>
  <c r="Y144" i="2"/>
  <c r="Z154" i="2"/>
  <c r="BP156" i="2"/>
  <c r="BN167" i="2"/>
  <c r="BN172" i="2"/>
  <c r="BN182" i="2"/>
  <c r="BN192" i="2"/>
  <c r="Z202" i="2"/>
  <c r="Z203" i="2" s="1"/>
  <c r="Z214" i="2"/>
  <c r="Y220" i="2"/>
  <c r="Z235" i="2"/>
  <c r="BP260" i="2"/>
  <c r="BN270" i="2"/>
  <c r="BN280" i="2"/>
  <c r="Z288" i="2"/>
  <c r="BP290" i="2"/>
  <c r="BN301" i="2"/>
  <c r="BN311" i="2"/>
  <c r="Z321" i="2"/>
  <c r="BN335" i="2"/>
  <c r="Y338" i="2"/>
  <c r="BN346" i="2"/>
  <c r="Z357" i="2"/>
  <c r="Z368" i="2"/>
  <c r="Z378" i="2"/>
  <c r="BN390" i="2"/>
  <c r="BP402" i="2"/>
  <c r="BP447" i="2"/>
  <c r="BP472" i="2"/>
  <c r="BP497" i="2"/>
  <c r="Y506" i="2"/>
  <c r="BP517" i="2"/>
  <c r="Y544" i="2"/>
  <c r="K561" i="2"/>
  <c r="Y151" i="2"/>
  <c r="Y238" i="2"/>
  <c r="Y25" i="2"/>
  <c r="BN61" i="2"/>
  <c r="BN71" i="2"/>
  <c r="Y74" i="2"/>
  <c r="BN105" i="2"/>
  <c r="BN115" i="2"/>
  <c r="BN148" i="2"/>
  <c r="BN177" i="2"/>
  <c r="BN197" i="2"/>
  <c r="Y255" i="2"/>
  <c r="Y317" i="2"/>
  <c r="BN351" i="2"/>
  <c r="BN395" i="2"/>
  <c r="Y406" i="2"/>
  <c r="BN440" i="2"/>
  <c r="Y443" i="2"/>
  <c r="BN463" i="2"/>
  <c r="Y476" i="2"/>
  <c r="BN488" i="2"/>
  <c r="Y491" i="2"/>
  <c r="BN500" i="2"/>
  <c r="BN510" i="2"/>
  <c r="BN520" i="2"/>
  <c r="BN534" i="2"/>
  <c r="L561" i="2"/>
  <c r="BP311" i="2"/>
  <c r="BN321" i="2"/>
  <c r="BP335" i="2"/>
  <c r="BN357" i="2"/>
  <c r="Y448" i="2"/>
  <c r="Y481" i="2"/>
  <c r="Y528" i="2"/>
  <c r="Y540" i="2"/>
  <c r="M561" i="2"/>
  <c r="BP89" i="2"/>
  <c r="Y339" i="2"/>
  <c r="Y386" i="2"/>
  <c r="BP395" i="2"/>
  <c r="Z403" i="2"/>
  <c r="Y431" i="2"/>
  <c r="Y454" i="2"/>
  <c r="Z461" i="2"/>
  <c r="Z473" i="2"/>
  <c r="Z498" i="2"/>
  <c r="Z508" i="2"/>
  <c r="Z518" i="2"/>
  <c r="BP534" i="2"/>
  <c r="Y545" i="2"/>
  <c r="O561" i="2"/>
  <c r="Z22" i="2"/>
  <c r="Z103" i="2"/>
  <c r="BP177" i="2"/>
  <c r="Y188" i="2"/>
  <c r="BP197" i="2"/>
  <c r="Z27" i="2"/>
  <c r="Y67" i="2"/>
  <c r="Y75" i="2"/>
  <c r="BP154" i="2"/>
  <c r="Z212" i="2"/>
  <c r="Z233" i="2"/>
  <c r="Z243" i="2"/>
  <c r="Y256" i="2"/>
  <c r="Z276" i="2"/>
  <c r="Z286" i="2"/>
  <c r="Z296" i="2"/>
  <c r="Z297" i="2" s="1"/>
  <c r="Y312" i="2"/>
  <c r="Y347" i="2"/>
  <c r="Y444" i="2"/>
  <c r="Y492" i="2"/>
  <c r="P561" i="2"/>
  <c r="A10" i="2"/>
  <c r="BP133" i="2"/>
  <c r="BP192" i="2"/>
  <c r="Z59" i="2"/>
  <c r="Z113" i="2"/>
  <c r="Z123" i="2"/>
  <c r="Z291" i="2"/>
  <c r="BN22" i="2"/>
  <c r="Y33" i="2"/>
  <c r="Z44" i="2"/>
  <c r="BN59" i="2"/>
  <c r="Y80" i="2"/>
  <c r="Z90" i="2"/>
  <c r="BN103" i="2"/>
  <c r="BN113" i="2"/>
  <c r="BN123" i="2"/>
  <c r="Z134" i="2"/>
  <c r="BN146" i="2"/>
  <c r="BN157" i="2"/>
  <c r="Z168" i="2"/>
  <c r="Z173" i="2"/>
  <c r="Z183" i="2"/>
  <c r="Z193" i="2"/>
  <c r="Z228" i="2"/>
  <c r="Z248" i="2"/>
  <c r="Z251" i="2" s="1"/>
  <c r="Y262" i="2"/>
  <c r="Z271" i="2"/>
  <c r="Z281" i="2"/>
  <c r="BN291" i="2"/>
  <c r="Z302" i="2"/>
  <c r="Z336" i="2"/>
  <c r="Z338" i="2" s="1"/>
  <c r="Y352" i="2"/>
  <c r="Z391" i="2"/>
  <c r="BN403" i="2"/>
  <c r="Z426" i="2"/>
  <c r="Z436" i="2"/>
  <c r="Y449" i="2"/>
  <c r="BN461" i="2"/>
  <c r="Y464" i="2"/>
  <c r="BN473" i="2"/>
  <c r="Z484" i="2"/>
  <c r="Z485" i="2" s="1"/>
  <c r="BN498" i="2"/>
  <c r="BN508" i="2"/>
  <c r="Y511" i="2"/>
  <c r="BN518" i="2"/>
  <c r="Y521" i="2"/>
  <c r="Z530" i="2"/>
  <c r="Z531" i="2" s="1"/>
  <c r="Y535" i="2"/>
  <c r="Z542" i="2"/>
  <c r="Y24" i="2"/>
  <c r="Z43" i="2"/>
  <c r="BP43" i="2"/>
  <c r="BP172" i="2"/>
  <c r="Z146" i="2"/>
  <c r="Z157" i="2"/>
  <c r="BN27" i="2"/>
  <c r="BN296" i="2"/>
  <c r="Y322" i="2"/>
  <c r="Z548" i="2"/>
  <c r="Z549" i="2" s="1"/>
  <c r="BN212" i="2"/>
  <c r="Y215" i="2"/>
  <c r="BN233" i="2"/>
  <c r="BN243" i="2"/>
  <c r="BN286" i="2"/>
  <c r="BP59" i="2"/>
  <c r="BP103" i="2"/>
  <c r="BP123" i="2"/>
  <c r="BP146" i="2"/>
  <c r="BP157" i="2"/>
  <c r="Z236" i="2"/>
  <c r="BN248" i="2"/>
  <c r="Z259" i="2"/>
  <c r="Z261" i="2" s="1"/>
  <c r="Z289" i="2"/>
  <c r="Y348" i="2"/>
  <c r="Z358" i="2"/>
  <c r="Z446" i="2"/>
  <c r="BP461" i="2"/>
  <c r="Z471" i="2"/>
  <c r="BN484" i="2"/>
  <c r="Z496" i="2"/>
  <c r="BP508" i="2"/>
  <c r="BN530" i="2"/>
  <c r="S561" i="2"/>
  <c r="BP45" i="2"/>
  <c r="BP167" i="2"/>
  <c r="BN276" i="2"/>
  <c r="BP22" i="2"/>
  <c r="Y68" i="2"/>
  <c r="BP113" i="2"/>
  <c r="BN51" i="2"/>
  <c r="Y109" i="2"/>
  <c r="BP296" i="2"/>
  <c r="Y353" i="2"/>
  <c r="Z452" i="2"/>
  <c r="Y522" i="2"/>
  <c r="BN548" i="2"/>
  <c r="U561" i="2"/>
  <c r="Z23" i="2"/>
  <c r="Z60" i="2"/>
  <c r="Z70" i="2"/>
  <c r="Z104" i="2"/>
  <c r="Z114" i="2"/>
  <c r="Z147" i="2"/>
  <c r="Y277" i="2"/>
  <c r="Y297" i="2"/>
  <c r="Y308" i="2"/>
  <c r="Z315" i="2"/>
  <c r="Z316" i="2" s="1"/>
  <c r="Z350" i="2"/>
  <c r="Z352" i="2" s="1"/>
  <c r="Z404" i="2"/>
  <c r="Z462" i="2"/>
  <c r="Z474" i="2"/>
  <c r="Z499" i="2"/>
  <c r="Z509" i="2"/>
  <c r="Z519" i="2"/>
  <c r="BP548" i="2"/>
  <c r="Y110" i="2"/>
  <c r="Y169" i="2"/>
  <c r="Y174" i="2"/>
  <c r="Y194" i="2"/>
  <c r="Z213" i="2"/>
  <c r="Z234" i="2"/>
  <c r="Z244" i="2"/>
  <c r="Z287" i="2"/>
  <c r="Z320" i="2"/>
  <c r="BP358" i="2"/>
  <c r="Y400" i="2"/>
  <c r="BP471" i="2"/>
  <c r="BP496" i="2"/>
  <c r="BN114" i="2"/>
  <c r="BN315" i="2"/>
  <c r="BN404" i="2"/>
  <c r="BN462" i="2"/>
  <c r="BN474" i="2"/>
  <c r="BN499" i="2"/>
  <c r="BN509" i="2"/>
  <c r="BN519" i="2"/>
  <c r="Z543" i="2"/>
  <c r="Y549" i="2"/>
  <c r="X561" i="2"/>
  <c r="BN23" i="2"/>
  <c r="BN60" i="2"/>
  <c r="BN70" i="2"/>
  <c r="BN104" i="2"/>
  <c r="BN147" i="2"/>
  <c r="Y199" i="2"/>
  <c r="BN350" i="2"/>
  <c r="F9" i="2"/>
  <c r="Y237" i="2"/>
  <c r="Z254" i="2"/>
  <c r="Z255" i="2" s="1"/>
  <c r="Y332" i="2"/>
  <c r="BN367" i="2"/>
  <c r="BN377" i="2"/>
  <c r="Z397" i="2"/>
  <c r="BN409" i="2"/>
  <c r="Z442" i="2"/>
  <c r="Z490" i="2"/>
  <c r="Z502" i="2"/>
  <c r="BN526" i="2"/>
  <c r="BN538" i="2"/>
  <c r="Y561" i="2"/>
  <c r="Z45" i="2"/>
  <c r="Z224" i="2"/>
  <c r="BN372" i="2"/>
  <c r="BN382" i="2"/>
  <c r="Z402" i="2"/>
  <c r="BN415" i="2"/>
  <c r="Y418" i="2"/>
  <c r="BN427" i="2"/>
  <c r="Z447" i="2"/>
  <c r="Z472" i="2"/>
  <c r="Z497" i="2"/>
  <c r="Z517" i="2"/>
  <c r="BN543" i="2"/>
  <c r="Z561" i="2"/>
  <c r="BP526" i="2"/>
  <c r="Y550" i="2"/>
  <c r="BN402" i="2"/>
  <c r="Z386" i="2" l="1"/>
  <c r="Z347" i="2"/>
  <c r="Z143" i="2"/>
  <c r="Z322" i="2"/>
  <c r="Z454" i="2"/>
  <c r="Z437" i="2"/>
  <c r="Z369" i="2"/>
  <c r="X554" i="2"/>
  <c r="Z292" i="2"/>
  <c r="Z431" i="2"/>
  <c r="Z277" i="2"/>
  <c r="Z136" i="2"/>
  <c r="Z199" i="2"/>
  <c r="Z379" i="2"/>
  <c r="Z331" i="2"/>
  <c r="Z99" i="2"/>
  <c r="Z237" i="2"/>
  <c r="Z245" i="2"/>
  <c r="Z521" i="2"/>
  <c r="Z475" i="2"/>
  <c r="Z308" i="2"/>
  <c r="Z92" i="2"/>
  <c r="Z194" i="2"/>
  <c r="Z544" i="2"/>
  <c r="Z392" i="2"/>
  <c r="Z117" i="2"/>
  <c r="Z215" i="2"/>
  <c r="Z109" i="2"/>
  <c r="Z359" i="2"/>
  <c r="Z46" i="2"/>
  <c r="Z67" i="2"/>
  <c r="Z24" i="2"/>
  <c r="Z158" i="2"/>
  <c r="Z169" i="2"/>
  <c r="Z491" i="2"/>
  <c r="Z188" i="2"/>
  <c r="Z32" i="2"/>
  <c r="Y551" i="2"/>
  <c r="Z405" i="2"/>
  <c r="Z448" i="2"/>
  <c r="Z443" i="2"/>
  <c r="Z124" i="2"/>
  <c r="Z174" i="2"/>
  <c r="Z150" i="2"/>
  <c r="Z399" i="2"/>
  <c r="Y555" i="2"/>
  <c r="Z511" i="2"/>
  <c r="Z74" i="2"/>
  <c r="Y553" i="2"/>
  <c r="Z505" i="2"/>
  <c r="Y552" i="2"/>
  <c r="Y554" i="2" s="1"/>
  <c r="Z464" i="2"/>
  <c r="Z556" i="2" l="1"/>
</calcChain>
</file>

<file path=xl/sharedStrings.xml><?xml version="1.0" encoding="utf-8"?>
<sst xmlns="http://schemas.openxmlformats.org/spreadsheetml/2006/main" count="4202" uniqueCount="896">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</sst>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382" sqref="AA38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67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68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 t="s">
        <v>895</v>
      </c>
      <c r="I5" s="643"/>
      <c r="J5" s="643"/>
      <c r="K5" s="643"/>
      <c r="L5" s="643"/>
      <c r="M5" s="643"/>
      <c r="N5" s="72"/>
      <c r="P5" s="27" t="s">
        <v>4</v>
      </c>
      <c r="Q5" s="645">
        <v>46234</v>
      </c>
      <c r="R5" s="645"/>
      <c r="T5" s="646" t="s">
        <v>3</v>
      </c>
      <c r="U5" s="647"/>
      <c r="V5" s="648" t="s">
        <v>871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878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Пятница</v>
      </c>
      <c r="R6" s="651"/>
      <c r="T6" s="652" t="s">
        <v>5</v>
      </c>
      <c r="U6" s="653"/>
      <c r="V6" s="654" t="s">
        <v>70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3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58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0.41666666666666669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71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55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72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73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74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75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61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59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66</v>
      </c>
      <c r="L17" s="684" t="s">
        <v>64</v>
      </c>
      <c r="M17" s="684" t="s">
        <v>2</v>
      </c>
      <c r="N17" s="684" t="s">
        <v>63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56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60</v>
      </c>
      <c r="AB17" s="698" t="s">
        <v>19</v>
      </c>
      <c r="AC17" s="698" t="s">
        <v>65</v>
      </c>
      <c r="AD17" s="700" t="s">
        <v>57</v>
      </c>
      <c r="AE17" s="701"/>
      <c r="AF17" s="702"/>
      <c r="AG17" s="82"/>
      <c r="BD17" s="81" t="s">
        <v>62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hidden="1" customHeight="1" x14ac:dyDescent="0.2">
      <c r="A19" s="706" t="s">
        <v>76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hidden="1" customHeight="1" x14ac:dyDescent="0.25">
      <c r="A20" s="707" t="s">
        <v>76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hidden="1" customHeight="1" x14ac:dyDescent="0.25">
      <c r="A21" s="708" t="s">
        <v>77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8" t="s">
        <v>86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708" t="s">
        <v>104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hidden="1" customHeight="1" x14ac:dyDescent="0.25">
      <c r="A39" s="707" t="s">
        <v>110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hidden="1" customHeight="1" x14ac:dyDescent="0.25">
      <c r="A40" s="708" t="s">
        <v>86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120</v>
      </c>
      <c r="B44" s="63" t="s">
        <v>121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06" t="s">
        <v>126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hidden="1" customHeight="1" x14ac:dyDescent="0.25">
      <c r="A49" s="707" t="s">
        <v>127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hidden="1" customHeight="1" x14ac:dyDescent="0.25">
      <c r="A50" s="708" t="s">
        <v>128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hidden="1" customHeight="1" x14ac:dyDescent="0.25">
      <c r="A51" s="63" t="s">
        <v>129</v>
      </c>
      <c r="B51" s="63" t="s">
        <v>130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138</v>
      </c>
      <c r="B53" s="63" t="s">
        <v>139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707" t="s">
        <v>143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hidden="1" customHeight="1" x14ac:dyDescent="0.25">
      <c r="A58" s="708" t="s">
        <v>128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hidden="1" customHeight="1" x14ac:dyDescent="0.25">
      <c r="A59" s="63" t="s">
        <v>144</v>
      </c>
      <c r="B59" s="63" t="s">
        <v>145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149</v>
      </c>
      <c r="B61" s="63" t="s">
        <v>150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159</v>
      </c>
      <c r="B65" s="63" t="s">
        <v>160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161</v>
      </c>
      <c r="B66" s="63" t="s">
        <v>162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708" t="s">
        <v>164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hidden="1" customHeight="1" x14ac:dyDescent="0.25">
      <c r="A70" s="63" t="s">
        <v>165</v>
      </c>
      <c r="B70" s="63" t="s">
        <v>166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173</v>
      </c>
      <c r="B73" s="63" t="s">
        <v>174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708" t="s">
        <v>86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hidden="1" customHeight="1" x14ac:dyDescent="0.25">
      <c r="A77" s="63" t="s">
        <v>175</v>
      </c>
      <c r="B77" s="63" t="s">
        <v>176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178</v>
      </c>
      <c r="B78" s="63" t="s">
        <v>179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08" t="s">
        <v>181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hidden="1" customHeight="1" x14ac:dyDescent="0.25">
      <c r="A82" s="63" t="s">
        <v>182</v>
      </c>
      <c r="B82" s="63" t="s">
        <v>183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707" t="s">
        <v>188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hidden="1" customHeight="1" x14ac:dyDescent="0.25">
      <c r="A87" s="708" t="s">
        <v>128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hidden="1" customHeight="1" x14ac:dyDescent="0.25">
      <c r="A88" s="63" t="s">
        <v>189</v>
      </c>
      <c r="B88" s="63" t="s">
        <v>190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197</v>
      </c>
      <c r="B91" s="63" t="s">
        <v>198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708" t="s">
        <v>86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hidden="1" customHeight="1" x14ac:dyDescent="0.25">
      <c r="A95" s="63" t="s">
        <v>199</v>
      </c>
      <c r="B95" s="63" t="s">
        <v>200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204</v>
      </c>
      <c r="B97" s="63" t="s">
        <v>205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707" t="s">
        <v>209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hidden="1" customHeight="1" x14ac:dyDescent="0.25">
      <c r="A102" s="708" t="s">
        <v>128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08" t="s">
        <v>164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hidden="1" customHeight="1" x14ac:dyDescent="0.25">
      <c r="A112" s="63" t="s">
        <v>223</v>
      </c>
      <c r="B112" s="63" t="s">
        <v>224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227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08" t="s">
        <v>86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hidden="1" customHeight="1" x14ac:dyDescent="0.25">
      <c r="A120" s="63" t="s">
        <v>235</v>
      </c>
      <c r="B120" s="63" t="s">
        <v>236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240</v>
      </c>
      <c r="B122" s="63" t="s">
        <v>241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242</v>
      </c>
      <c r="B123" s="63" t="s">
        <v>243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708" t="s">
        <v>181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hidden="1" customHeight="1" x14ac:dyDescent="0.25">
      <c r="A127" s="63" t="s">
        <v>245</v>
      </c>
      <c r="B127" s="63" t="s">
        <v>246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7" t="s">
        <v>248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hidden="1" customHeight="1" x14ac:dyDescent="0.25">
      <c r="A131" s="708" t="s">
        <v>128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254</v>
      </c>
      <c r="B133" s="63" t="s">
        <v>255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256</v>
      </c>
      <c r="B134" s="63" t="s">
        <v>257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256</v>
      </c>
      <c r="B135" s="63" t="s">
        <v>259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08" t="s">
        <v>77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hidden="1" customHeight="1" x14ac:dyDescent="0.25">
      <c r="A139" s="63" t="s">
        <v>260</v>
      </c>
      <c r="B139" s="63" t="s">
        <v>261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263</v>
      </c>
      <c r="B140" s="63" t="s">
        <v>264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265</v>
      </c>
      <c r="B141" s="63" t="s">
        <v>266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08" t="s">
        <v>86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271</v>
      </c>
      <c r="B147" s="63" t="s">
        <v>272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273</v>
      </c>
      <c r="B148" s="63" t="s">
        <v>274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273</v>
      </c>
      <c r="B149" s="63" t="s">
        <v>275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07" t="s">
        <v>276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hidden="1" customHeight="1" x14ac:dyDescent="0.25">
      <c r="A153" s="708" t="s">
        <v>86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hidden="1" customHeight="1" x14ac:dyDescent="0.25">
      <c r="A154" s="63" t="s">
        <v>277</v>
      </c>
      <c r="B154" s="63" t="s">
        <v>278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280</v>
      </c>
      <c r="B155" s="63" t="s">
        <v>281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283</v>
      </c>
      <c r="B156" s="63" t="s">
        <v>284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286</v>
      </c>
      <c r="B157" s="63" t="s">
        <v>287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8" t="s">
        <v>104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hidden="1" customHeight="1" x14ac:dyDescent="0.25">
      <c r="A161" s="63" t="s">
        <v>289</v>
      </c>
      <c r="B161" s="63" t="s">
        <v>290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7" t="s">
        <v>126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hidden="1" customHeight="1" x14ac:dyDescent="0.25">
      <c r="A165" s="708" t="s">
        <v>128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hidden="1" customHeight="1" x14ac:dyDescent="0.25">
      <c r="A166" s="63" t="s">
        <v>294</v>
      </c>
      <c r="B166" s="63" t="s">
        <v>295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297</v>
      </c>
      <c r="B167" s="63" t="s">
        <v>298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300</v>
      </c>
      <c r="B168" s="63" t="s">
        <v>301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08" t="s">
        <v>164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hidden="1" customHeight="1" x14ac:dyDescent="0.25">
      <c r="A172" s="63" t="s">
        <v>303</v>
      </c>
      <c r="B172" s="63" t="s">
        <v>304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794" t="s">
        <v>305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8" t="s">
        <v>77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hidden="1" customHeight="1" x14ac:dyDescent="0.25">
      <c r="A177" s="63" t="s">
        <v>310</v>
      </c>
      <c r="B177" s="63" t="s">
        <v>311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313</v>
      </c>
      <c r="B178" s="63" t="s">
        <v>314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316</v>
      </c>
      <c r="B179" s="63" t="s">
        <v>317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319</v>
      </c>
      <c r="B180" s="63" t="s">
        <v>320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322</v>
      </c>
      <c r="B181" s="63" t="s">
        <v>323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325</v>
      </c>
      <c r="B182" s="63" t="s">
        <v>326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327</v>
      </c>
      <c r="B183" s="63" t="s">
        <v>328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327</v>
      </c>
      <c r="B184" s="63" t="s">
        <v>330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333</v>
      </c>
      <c r="B186" s="63" t="s">
        <v>334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336</v>
      </c>
      <c r="B187" s="63" t="s">
        <v>337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708" t="s">
        <v>86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hidden="1" customHeight="1" x14ac:dyDescent="0.25">
      <c r="A191" s="63" t="s">
        <v>338</v>
      </c>
      <c r="B191" s="63" t="s">
        <v>339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341</v>
      </c>
      <c r="B192" s="63" t="s">
        <v>342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344</v>
      </c>
      <c r="B193" s="63" t="s">
        <v>345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8" t="s">
        <v>104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hidden="1" customHeight="1" x14ac:dyDescent="0.25">
      <c r="A197" s="63" t="s">
        <v>347</v>
      </c>
      <c r="B197" s="63" t="s">
        <v>348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351</v>
      </c>
      <c r="B198" s="63" t="s">
        <v>352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8" t="s">
        <v>354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hidden="1" customHeight="1" x14ac:dyDescent="0.25">
      <c r="A202" s="63" t="s">
        <v>355</v>
      </c>
      <c r="B202" s="63" t="s">
        <v>356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6" t="s">
        <v>358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hidden="1" customHeight="1" x14ac:dyDescent="0.25">
      <c r="A206" s="707" t="s">
        <v>359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hidden="1" customHeight="1" x14ac:dyDescent="0.25">
      <c r="A207" s="708" t="s">
        <v>128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hidden="1" customHeight="1" x14ac:dyDescent="0.25">
      <c r="A208" s="63" t="s">
        <v>360</v>
      </c>
      <c r="B208" s="63" t="s">
        <v>361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365</v>
      </c>
      <c r="B210" s="63" t="s">
        <v>366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368</v>
      </c>
      <c r="B211" s="63" t="s">
        <v>369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371</v>
      </c>
      <c r="B212" s="63" t="s">
        <v>372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374</v>
      </c>
      <c r="B213" s="63" t="s">
        <v>375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377</v>
      </c>
      <c r="B214" s="63" t="s">
        <v>378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7" t="s">
        <v>380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hidden="1" customHeight="1" x14ac:dyDescent="0.25">
      <c r="A218" s="708" t="s">
        <v>164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hidden="1" customHeight="1" x14ac:dyDescent="0.25">
      <c r="A219" s="63" t="s">
        <v>381</v>
      </c>
      <c r="B219" s="63" t="s">
        <v>382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8" t="s">
        <v>77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hidden="1" customHeight="1" x14ac:dyDescent="0.25">
      <c r="A223" s="63" t="s">
        <v>384</v>
      </c>
      <c r="B223" s="63" t="s">
        <v>385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387</v>
      </c>
      <c r="B224" s="63" t="s">
        <v>388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390</v>
      </c>
      <c r="B225" s="63" t="s">
        <v>391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393</v>
      </c>
      <c r="B226" s="63" t="s">
        <v>394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406</v>
      </c>
      <c r="B231" s="63" t="s">
        <v>407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409</v>
      </c>
      <c r="B232" s="63" t="s">
        <v>410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415</v>
      </c>
      <c r="B234" s="63" t="s">
        <v>416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417</v>
      </c>
      <c r="B235" s="63" t="s">
        <v>418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419</v>
      </c>
      <c r="B236" s="63" t="s">
        <v>420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708" t="s">
        <v>86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hidden="1" customHeight="1" x14ac:dyDescent="0.25">
      <c r="A240" s="63" t="s">
        <v>422</v>
      </c>
      <c r="B240" s="63" t="s">
        <v>423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425</v>
      </c>
      <c r="B241" s="63" t="s">
        <v>426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428</v>
      </c>
      <c r="B242" s="63" t="s">
        <v>429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434</v>
      </c>
      <c r="B244" s="63" t="s">
        <v>435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8" t="s">
        <v>104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hidden="1" customHeight="1" x14ac:dyDescent="0.25">
      <c r="A248" s="63" t="s">
        <v>436</v>
      </c>
      <c r="B248" s="63" t="s">
        <v>437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439</v>
      </c>
      <c r="B249" s="63" t="s">
        <v>440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442</v>
      </c>
      <c r="B250" s="63" t="s">
        <v>443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8" t="s">
        <v>444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hidden="1" customHeight="1" x14ac:dyDescent="0.25">
      <c r="A254" s="63" t="s">
        <v>445</v>
      </c>
      <c r="B254" s="63" t="s">
        <v>446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7" t="s">
        <v>447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hidden="1" customHeight="1" x14ac:dyDescent="0.25">
      <c r="A258" s="708" t="s">
        <v>128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hidden="1" customHeight="1" x14ac:dyDescent="0.25">
      <c r="A259" s="63" t="s">
        <v>448</v>
      </c>
      <c r="B259" s="63" t="s">
        <v>449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451</v>
      </c>
      <c r="B260" s="63" t="s">
        <v>452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8" t="s">
        <v>164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hidden="1" customHeight="1" x14ac:dyDescent="0.25">
      <c r="A264" s="63" t="s">
        <v>453</v>
      </c>
      <c r="B264" s="63" t="s">
        <v>454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456</v>
      </c>
      <c r="B265" s="63" t="s">
        <v>457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8" t="s">
        <v>77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hidden="1" customHeight="1" x14ac:dyDescent="0.25">
      <c r="A269" s="63" t="s">
        <v>458</v>
      </c>
      <c r="B269" s="63" t="s">
        <v>459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461</v>
      </c>
      <c r="B270" s="63" t="s">
        <v>462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464</v>
      </c>
      <c r="B271" s="63" t="s">
        <v>465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470</v>
      </c>
      <c r="B273" s="63" t="s">
        <v>471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472</v>
      </c>
      <c r="B274" s="63" t="s">
        <v>473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474</v>
      </c>
      <c r="B275" s="63" t="s">
        <v>475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476</v>
      </c>
      <c r="B276" s="63" t="s">
        <v>477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708" t="s">
        <v>86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hidden="1" customHeight="1" x14ac:dyDescent="0.25">
      <c r="A280" s="63" t="s">
        <v>478</v>
      </c>
      <c r="B280" s="63" t="s">
        <v>479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481</v>
      </c>
      <c r="B281" s="63" t="s">
        <v>482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494</v>
      </c>
      <c r="B286" s="63" t="s">
        <v>495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500</v>
      </c>
      <c r="B289" s="63" t="s">
        <v>501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503</v>
      </c>
      <c r="B290" s="63" t="s">
        <v>504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506</v>
      </c>
      <c r="B291" s="63" t="s">
        <v>507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708" t="s">
        <v>181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hidden="1" customHeight="1" x14ac:dyDescent="0.25">
      <c r="A295" s="63" t="s">
        <v>509</v>
      </c>
      <c r="B295" s="63" t="s">
        <v>510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07" t="s">
        <v>515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hidden="1" customHeight="1" x14ac:dyDescent="0.25">
      <c r="A300" s="708" t="s">
        <v>128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hidden="1" customHeight="1" x14ac:dyDescent="0.25">
      <c r="A301" s="63" t="s">
        <v>516</v>
      </c>
      <c r="B301" s="63" t="s">
        <v>517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526</v>
      </c>
      <c r="B305" s="63" t="s">
        <v>527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529</v>
      </c>
      <c r="B306" s="63" t="s">
        <v>530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532</v>
      </c>
      <c r="B307" s="63" t="s">
        <v>533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8" t="s">
        <v>164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hidden="1" customHeight="1" x14ac:dyDescent="0.25">
      <c r="A311" s="63" t="s">
        <v>534</v>
      </c>
      <c r="B311" s="63" t="s">
        <v>535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8" t="s">
        <v>537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hidden="1" customHeight="1" x14ac:dyDescent="0.25">
      <c r="A315" s="63" t="s">
        <v>538</v>
      </c>
      <c r="B315" s="63" t="s">
        <v>539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8" t="s">
        <v>354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hidden="1" customHeight="1" x14ac:dyDescent="0.25">
      <c r="A319" s="63" t="s">
        <v>541</v>
      </c>
      <c r="B319" s="63" t="s">
        <v>542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544</v>
      </c>
      <c r="B320" s="63" t="s">
        <v>545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546</v>
      </c>
      <c r="B321" s="63" t="s">
        <v>547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7" t="s">
        <v>548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hidden="1" customHeight="1" x14ac:dyDescent="0.25">
      <c r="A325" s="708" t="s">
        <v>128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hidden="1" customHeight="1" x14ac:dyDescent="0.25">
      <c r="A326" s="63" t="s">
        <v>549</v>
      </c>
      <c r="B326" s="63" t="s">
        <v>550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552</v>
      </c>
      <c r="B327" s="63" t="s">
        <v>553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555</v>
      </c>
      <c r="B328" s="63" t="s">
        <v>556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558</v>
      </c>
      <c r="B329" s="63" t="s">
        <v>559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561</v>
      </c>
      <c r="B330" s="63" t="s">
        <v>562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07" t="s">
        <v>564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hidden="1" customHeight="1" x14ac:dyDescent="0.25">
      <c r="A334" s="708" t="s">
        <v>86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hidden="1" customHeight="1" x14ac:dyDescent="0.25">
      <c r="A335" s="63" t="s">
        <v>565</v>
      </c>
      <c r="B335" s="63" t="s">
        <v>566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568</v>
      </c>
      <c r="B336" s="63" t="s">
        <v>569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571</v>
      </c>
      <c r="B337" s="63" t="s">
        <v>572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07" t="s">
        <v>573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hidden="1" customHeight="1" x14ac:dyDescent="0.25">
      <c r="A341" s="708" t="s">
        <v>77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hidden="1" customHeight="1" x14ac:dyDescent="0.25">
      <c r="A342" s="63" t="s">
        <v>574</v>
      </c>
      <c r="B342" s="63" t="s">
        <v>575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576</v>
      </c>
      <c r="B343" s="63" t="s">
        <v>577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579</v>
      </c>
      <c r="B344" s="63" t="s">
        <v>580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582</v>
      </c>
      <c r="B345" s="63" t="s">
        <v>583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585</v>
      </c>
      <c r="B346" s="63" t="s">
        <v>586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8" t="s">
        <v>86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hidden="1" customHeight="1" x14ac:dyDescent="0.25">
      <c r="A350" s="63" t="s">
        <v>588</v>
      </c>
      <c r="B350" s="63" t="s">
        <v>589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7" t="s">
        <v>594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hidden="1" customHeight="1" x14ac:dyDescent="0.25">
      <c r="A355" s="708" t="s">
        <v>128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hidden="1" customHeight="1" x14ac:dyDescent="0.25">
      <c r="A356" s="63" t="s">
        <v>595</v>
      </c>
      <c r="B356" s="63" t="s">
        <v>596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597</v>
      </c>
      <c r="B357" s="63" t="s">
        <v>598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600</v>
      </c>
      <c r="B358" s="63" t="s">
        <v>601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07" t="s">
        <v>603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hidden="1" customHeight="1" x14ac:dyDescent="0.25">
      <c r="A362" s="708" t="s">
        <v>128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hidden="1" customHeight="1" x14ac:dyDescent="0.25">
      <c r="A363" s="63" t="s">
        <v>604</v>
      </c>
      <c r="B363" s="63" t="s">
        <v>605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607</v>
      </c>
      <c r="B364" s="63" t="s">
        <v>608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610</v>
      </c>
      <c r="B365" s="63" t="s">
        <v>611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616</v>
      </c>
      <c r="B367" s="63" t="s">
        <v>617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618</v>
      </c>
      <c r="B368" s="63" t="s">
        <v>619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708" t="s">
        <v>77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hidden="1" customHeight="1" x14ac:dyDescent="0.25">
      <c r="A372" s="63" t="s">
        <v>621</v>
      </c>
      <c r="B372" s="63" t="s">
        <v>622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624</v>
      </c>
      <c r="B373" s="63" t="s">
        <v>625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635</v>
      </c>
      <c r="B377" s="63" t="s">
        <v>636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637</v>
      </c>
      <c r="B378" s="63" t="s">
        <v>638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hidden="1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708" t="s">
        <v>86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customHeight="1" x14ac:dyDescent="0.25">
      <c r="A382" s="63" t="s">
        <v>640</v>
      </c>
      <c r="B382" s="63" t="s">
        <v>641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5700</v>
      </c>
      <c r="Y382" s="55">
        <f>IFERROR(IF(X382="",0,CEILING((X382/$H382),1)*$H382),"")</f>
        <v>5701.8</v>
      </c>
      <c r="Z382" s="41">
        <f>IFERROR(IF(Y382=0,"",ROUNDUP(Y382/H382,0)*0.01898),"")</f>
        <v>13.87438</v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6056.6153846153848</v>
      </c>
      <c r="BN382" s="78">
        <f>IFERROR(Y382*I382/H382,"0")</f>
        <v>6058.5280000000002</v>
      </c>
      <c r="BO382" s="78">
        <f>IFERROR(1/J382*(X382/H382),"0")</f>
        <v>11.418269230769232</v>
      </c>
      <c r="BP382" s="78">
        <f>IFERROR(1/J382*(Y382/H382),"0")</f>
        <v>11.421875</v>
      </c>
    </row>
    <row r="383" spans="1:68" ht="27" hidden="1" customHeight="1" x14ac:dyDescent="0.25">
      <c r="A383" s="63" t="s">
        <v>643</v>
      </c>
      <c r="B383" s="63" t="s">
        <v>644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646</v>
      </c>
      <c r="B384" s="63" t="s">
        <v>647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730.76923076923083</v>
      </c>
      <c r="Y386" s="43">
        <f>IFERROR(Y382/H382,"0")+IFERROR(Y383/H383,"0")+IFERROR(Y384/H384,"0")+IFERROR(Y385/H385,"0")</f>
        <v>731</v>
      </c>
      <c r="Z386" s="43">
        <f>IFERROR(IF(Z382="",0,Z382),"0")+IFERROR(IF(Z383="",0,Z383),"0")+IFERROR(IF(Z384="",0,Z384),"0")+IFERROR(IF(Z385="",0,Z385),"0")</f>
        <v>13.87438</v>
      </c>
      <c r="AA386" s="67"/>
      <c r="AB386" s="67"/>
      <c r="AC386" s="67"/>
    </row>
    <row r="387" spans="1:68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5700</v>
      </c>
      <c r="Y387" s="43">
        <f>IFERROR(SUM(Y382:Y385),"0")</f>
        <v>5701.8</v>
      </c>
      <c r="Z387" s="42"/>
      <c r="AA387" s="67"/>
      <c r="AB387" s="67"/>
      <c r="AC387" s="67"/>
    </row>
    <row r="388" spans="1:68" ht="14.25" hidden="1" customHeight="1" x14ac:dyDescent="0.25">
      <c r="A388" s="708" t="s">
        <v>181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hidden="1" customHeight="1" x14ac:dyDescent="0.25">
      <c r="A389" s="63" t="s">
        <v>651</v>
      </c>
      <c r="B389" s="63" t="s">
        <v>652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654</v>
      </c>
      <c r="B390" s="63" t="s">
        <v>655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hidden="1" customHeight="1" x14ac:dyDescent="0.25">
      <c r="A391" s="63" t="s">
        <v>657</v>
      </c>
      <c r="B391" s="63" t="s">
        <v>658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708" t="s">
        <v>104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hidden="1" customHeight="1" x14ac:dyDescent="0.25">
      <c r="A395" s="63" t="s">
        <v>660</v>
      </c>
      <c r="B395" s="63" t="s">
        <v>661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663</v>
      </c>
      <c r="B396" s="63" t="s">
        <v>664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665</v>
      </c>
      <c r="B397" s="63" t="s">
        <v>666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667</v>
      </c>
      <c r="B398" s="63" t="s">
        <v>668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08" t="s">
        <v>669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hidden="1" customHeight="1" x14ac:dyDescent="0.25">
      <c r="A402" s="63" t="s">
        <v>670</v>
      </c>
      <c r="B402" s="63" t="s">
        <v>671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674</v>
      </c>
      <c r="B403" s="63" t="s">
        <v>675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676</v>
      </c>
      <c r="B404" s="63" t="s">
        <v>677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08" t="s">
        <v>678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hidden="1" customHeight="1" x14ac:dyDescent="0.25">
      <c r="A408" s="63" t="s">
        <v>679</v>
      </c>
      <c r="B408" s="63" t="s">
        <v>680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682</v>
      </c>
      <c r="B409" s="63" t="s">
        <v>683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685</v>
      </c>
      <c r="B410" s="63" t="s">
        <v>686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07" t="s">
        <v>687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hidden="1" customHeight="1" x14ac:dyDescent="0.25">
      <c r="A414" s="708" t="s">
        <v>86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hidden="1" customHeight="1" x14ac:dyDescent="0.25">
      <c r="A415" s="63" t="s">
        <v>688</v>
      </c>
      <c r="B415" s="63" t="s">
        <v>689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691</v>
      </c>
      <c r="B416" s="63" t="s">
        <v>692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694</v>
      </c>
      <c r="B417" s="63" t="s">
        <v>695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hidden="1" customHeight="1" x14ac:dyDescent="0.2">
      <c r="A420" s="706" t="s">
        <v>697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hidden="1" customHeight="1" x14ac:dyDescent="0.25">
      <c r="A421" s="707" t="s">
        <v>698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hidden="1" customHeight="1" x14ac:dyDescent="0.25">
      <c r="A422" s="708" t="s">
        <v>128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hidden="1" customHeight="1" x14ac:dyDescent="0.25">
      <c r="A423" s="63" t="s">
        <v>699</v>
      </c>
      <c r="B423" s="63" t="s">
        <v>700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hidden="1" customHeight="1" x14ac:dyDescent="0.25">
      <c r="A424" s="63" t="s">
        <v>702</v>
      </c>
      <c r="B424" s="63" t="s">
        <v>703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52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0</v>
      </c>
      <c r="BN424" s="78">
        <f t="shared" si="54"/>
        <v>0</v>
      </c>
      <c r="BO424" s="78">
        <f t="shared" si="55"/>
        <v>0</v>
      </c>
      <c r="BP424" s="78">
        <f t="shared" si="56"/>
        <v>0</v>
      </c>
    </row>
    <row r="425" spans="1:68" ht="27" hidden="1" customHeight="1" x14ac:dyDescent="0.25">
      <c r="A425" s="63" t="s">
        <v>705</v>
      </c>
      <c r="B425" s="63" t="s">
        <v>706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hidden="1" customHeight="1" x14ac:dyDescent="0.25">
      <c r="A426" s="63" t="s">
        <v>708</v>
      </c>
      <c r="B426" s="63" t="s">
        <v>709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2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0</v>
      </c>
      <c r="BN426" s="78">
        <f t="shared" si="54"/>
        <v>0</v>
      </c>
      <c r="BO426" s="78">
        <f t="shared" si="55"/>
        <v>0</v>
      </c>
      <c r="BP426" s="78">
        <f t="shared" si="56"/>
        <v>0</v>
      </c>
    </row>
    <row r="427" spans="1:68" ht="27" hidden="1" customHeight="1" x14ac:dyDescent="0.25">
      <c r="A427" s="63" t="s">
        <v>711</v>
      </c>
      <c r="B427" s="63" t="s">
        <v>712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hidden="1" customHeight="1" x14ac:dyDescent="0.25">
      <c r="A428" s="63" t="s">
        <v>714</v>
      </c>
      <c r="B428" s="63" t="s">
        <v>715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717</v>
      </c>
      <c r="B429" s="63" t="s">
        <v>718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720</v>
      </c>
      <c r="B430" s="63" t="s">
        <v>721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hidden="1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0</v>
      </c>
      <c r="Y431" s="43">
        <f>IFERROR(Y423/H423,"0")+IFERROR(Y424/H424,"0")+IFERROR(Y425/H425,"0")+IFERROR(Y426/H426,"0")+IFERROR(Y427/H427,"0")+IFERROR(Y428/H428,"0")+IFERROR(Y429/H429,"0")+IFERROR(Y430/H430,"0")</f>
        <v>0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0</v>
      </c>
      <c r="AA431" s="67"/>
      <c r="AB431" s="67"/>
      <c r="AC431" s="67"/>
    </row>
    <row r="432" spans="1:68" hidden="1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0</v>
      </c>
      <c r="Y432" s="43">
        <f>IFERROR(SUM(Y423:Y430),"0")</f>
        <v>0</v>
      </c>
      <c r="Z432" s="42"/>
      <c r="AA432" s="67"/>
      <c r="AB432" s="67"/>
      <c r="AC432" s="67"/>
    </row>
    <row r="433" spans="1:68" ht="14.25" hidden="1" customHeight="1" x14ac:dyDescent="0.25">
      <c r="A433" s="708" t="s">
        <v>164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hidden="1" customHeight="1" x14ac:dyDescent="0.25">
      <c r="A434" s="63" t="s">
        <v>723</v>
      </c>
      <c r="B434" s="63" t="s">
        <v>724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726</v>
      </c>
      <c r="B435" s="63" t="s">
        <v>727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729</v>
      </c>
      <c r="B436" s="63" t="s">
        <v>730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idden="1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hidden="1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hidden="1" customHeight="1" x14ac:dyDescent="0.25">
      <c r="A439" s="708" t="s">
        <v>86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hidden="1" customHeight="1" x14ac:dyDescent="0.25">
      <c r="A440" s="63" t="s">
        <v>732</v>
      </c>
      <c r="B440" s="63" t="s">
        <v>733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735</v>
      </c>
      <c r="B441" s="63" t="s">
        <v>736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738</v>
      </c>
      <c r="B442" s="63" t="s">
        <v>739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708" t="s">
        <v>181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hidden="1" customHeight="1" x14ac:dyDescent="0.25">
      <c r="A446" s="63" t="s">
        <v>741</v>
      </c>
      <c r="B446" s="63" t="s">
        <v>742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744</v>
      </c>
      <c r="B447" s="63" t="s">
        <v>745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707" t="s">
        <v>747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hidden="1" customHeight="1" x14ac:dyDescent="0.25">
      <c r="A451" s="708" t="s">
        <v>128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hidden="1" customHeight="1" x14ac:dyDescent="0.25">
      <c r="A452" s="63" t="s">
        <v>748</v>
      </c>
      <c r="B452" s="63" t="s">
        <v>749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751</v>
      </c>
      <c r="B453" s="63" t="s">
        <v>752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708" t="s">
        <v>77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hidden="1" customHeight="1" x14ac:dyDescent="0.25">
      <c r="A457" s="63" t="s">
        <v>753</v>
      </c>
      <c r="B457" s="63" t="s">
        <v>754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08" t="s">
        <v>86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759</v>
      </c>
      <c r="B462" s="63" t="s">
        <v>760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759</v>
      </c>
      <c r="B463" s="63" t="s">
        <v>761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706" t="s">
        <v>763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hidden="1" customHeight="1" x14ac:dyDescent="0.25">
      <c r="A467" s="707" t="s">
        <v>764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hidden="1" customHeight="1" x14ac:dyDescent="0.25">
      <c r="A468" s="708" t="s">
        <v>77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hidden="1" customHeight="1" x14ac:dyDescent="0.25">
      <c r="A469" s="63" t="s">
        <v>765</v>
      </c>
      <c r="B469" s="63" t="s">
        <v>766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768</v>
      </c>
      <c r="B470" s="63" t="s">
        <v>769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771</v>
      </c>
      <c r="B471" s="63" t="s">
        <v>772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773</v>
      </c>
      <c r="B472" s="63" t="s">
        <v>774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776</v>
      </c>
      <c r="B473" s="63" t="s">
        <v>777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779</v>
      </c>
      <c r="B474" s="63" t="s">
        <v>780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708" t="s">
        <v>86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hidden="1" customHeight="1" x14ac:dyDescent="0.25">
      <c r="A478" s="63" t="s">
        <v>781</v>
      </c>
      <c r="B478" s="63" t="s">
        <v>782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784</v>
      </c>
      <c r="B479" s="63" t="s">
        <v>785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707" t="s">
        <v>787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hidden="1" customHeight="1" x14ac:dyDescent="0.25">
      <c r="A483" s="708" t="s">
        <v>164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hidden="1" customHeight="1" x14ac:dyDescent="0.25">
      <c r="A484" s="63" t="s">
        <v>788</v>
      </c>
      <c r="B484" s="63" t="s">
        <v>789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08" t="s">
        <v>77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hidden="1" customHeight="1" x14ac:dyDescent="0.25">
      <c r="A488" s="63" t="s">
        <v>791</v>
      </c>
      <c r="B488" s="63" t="s">
        <v>792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794</v>
      </c>
      <c r="B489" s="63" t="s">
        <v>795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797</v>
      </c>
      <c r="B490" s="63" t="s">
        <v>798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706" t="s">
        <v>799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hidden="1" customHeight="1" x14ac:dyDescent="0.25">
      <c r="A494" s="707" t="s">
        <v>799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hidden="1" customHeight="1" x14ac:dyDescent="0.25">
      <c r="A495" s="708" t="s">
        <v>128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hidden="1" customHeight="1" x14ac:dyDescent="0.25">
      <c r="A496" s="63" t="s">
        <v>800</v>
      </c>
      <c r="B496" s="63" t="s">
        <v>801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802</v>
      </c>
      <c r="B497" s="63" t="s">
        <v>803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805</v>
      </c>
      <c r="B498" s="63" t="s">
        <v>806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808</v>
      </c>
      <c r="B499" s="63" t="s">
        <v>809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811</v>
      </c>
      <c r="B500" s="63" t="s">
        <v>812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814</v>
      </c>
      <c r="B501" s="63" t="s">
        <v>815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817</v>
      </c>
      <c r="B502" s="63" t="s">
        <v>818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819</v>
      </c>
      <c r="B503" s="63" t="s">
        <v>820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821</v>
      </c>
      <c r="B504" s="63" t="s">
        <v>822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idden="1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708" t="s">
        <v>164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hidden="1" customHeight="1" x14ac:dyDescent="0.25">
      <c r="A508" s="63" t="s">
        <v>823</v>
      </c>
      <c r="B508" s="63" t="s">
        <v>824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826</v>
      </c>
      <c r="B509" s="63" t="s">
        <v>827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828</v>
      </c>
      <c r="B510" s="63" t="s">
        <v>829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idden="1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hidden="1" customHeight="1" x14ac:dyDescent="0.25">
      <c r="A513" s="708" t="s">
        <v>77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hidden="1" customHeight="1" x14ac:dyDescent="0.25">
      <c r="A514" s="63" t="s">
        <v>830</v>
      </c>
      <c r="B514" s="63" t="s">
        <v>831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833</v>
      </c>
      <c r="B515" s="63" t="s">
        <v>834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hidden="1" customHeight="1" x14ac:dyDescent="0.25">
      <c r="A516" s="63" t="s">
        <v>836</v>
      </c>
      <c r="B516" s="63" t="s">
        <v>837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hidden="1" customHeight="1" x14ac:dyDescent="0.25">
      <c r="A517" s="63" t="s">
        <v>839</v>
      </c>
      <c r="B517" s="63" t="s">
        <v>840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841</v>
      </c>
      <c r="B518" s="63" t="s">
        <v>842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841</v>
      </c>
      <c r="B519" s="63" t="s">
        <v>843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844</v>
      </c>
      <c r="B520" s="63" t="s">
        <v>845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hidden="1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hidden="1" customHeight="1" x14ac:dyDescent="0.2">
      <c r="A523" s="706" t="s">
        <v>846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hidden="1" customHeight="1" x14ac:dyDescent="0.25">
      <c r="A524" s="707" t="s">
        <v>846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hidden="1" customHeight="1" x14ac:dyDescent="0.25">
      <c r="A525" s="708" t="s">
        <v>128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hidden="1" customHeight="1" x14ac:dyDescent="0.25">
      <c r="A526" s="63" t="s">
        <v>847</v>
      </c>
      <c r="B526" s="63" t="s">
        <v>848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708" t="s">
        <v>164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hidden="1" customHeight="1" x14ac:dyDescent="0.25">
      <c r="A530" s="63" t="s">
        <v>850</v>
      </c>
      <c r="B530" s="63" t="s">
        <v>851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08" t="s">
        <v>77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hidden="1" customHeight="1" x14ac:dyDescent="0.25">
      <c r="A534" s="63" t="s">
        <v>853</v>
      </c>
      <c r="B534" s="63" t="s">
        <v>854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08" t="s">
        <v>86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hidden="1" customHeight="1" x14ac:dyDescent="0.25">
      <c r="A538" s="63" t="s">
        <v>856</v>
      </c>
      <c r="B538" s="63" t="s">
        <v>857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08" t="s">
        <v>181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hidden="1" customHeight="1" x14ac:dyDescent="0.25">
      <c r="A542" s="63" t="s">
        <v>859</v>
      </c>
      <c r="B542" s="63" t="s">
        <v>860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862</v>
      </c>
      <c r="B543" s="63" t="s">
        <v>863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707" t="s">
        <v>865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hidden="1" customHeight="1" x14ac:dyDescent="0.25">
      <c r="A547" s="708" t="s">
        <v>164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hidden="1" customHeight="1" x14ac:dyDescent="0.25">
      <c r="A548" s="63" t="s">
        <v>866</v>
      </c>
      <c r="B548" s="63" t="s">
        <v>867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5700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5701.8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6056.6153846153848</v>
      </c>
      <c r="Y552" s="43">
        <f>IFERROR(SUM(BN22:BN548),"0")</f>
        <v>6058.5280000000002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12</v>
      </c>
      <c r="Y553" s="44">
        <f>ROUNDUP(SUM(BP22:BP548),0)</f>
        <v>12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6356.6153846153848</v>
      </c>
      <c r="Y554" s="43">
        <f>GrossWeightTotalR+PalletQtyTotalR*25</f>
        <v>6358.5280000000002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730.76923076923083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731</v>
      </c>
      <c r="Z555" s="42"/>
      <c r="AA555" s="67"/>
      <c r="AB555" s="67"/>
      <c r="AC555" s="67"/>
    </row>
    <row r="556" spans="1:68" ht="14.25" hidden="1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13.87438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999" t="s">
        <v>126</v>
      </c>
      <c r="E558" s="999" t="s">
        <v>126</v>
      </c>
      <c r="F558" s="999" t="s">
        <v>126</v>
      </c>
      <c r="G558" s="999" t="s">
        <v>126</v>
      </c>
      <c r="H558" s="999" t="s">
        <v>126</v>
      </c>
      <c r="I558" s="999" t="s">
        <v>126</v>
      </c>
      <c r="J558" s="999" t="s">
        <v>126</v>
      </c>
      <c r="K558" s="999" t="s">
        <v>358</v>
      </c>
      <c r="L558" s="999" t="s">
        <v>358</v>
      </c>
      <c r="M558" s="999" t="s">
        <v>358</v>
      </c>
      <c r="N558" s="1000"/>
      <c r="O558" s="999" t="s">
        <v>358</v>
      </c>
      <c r="P558" s="999" t="s">
        <v>358</v>
      </c>
      <c r="Q558" s="999" t="s">
        <v>358</v>
      </c>
      <c r="R558" s="999" t="s">
        <v>358</v>
      </c>
      <c r="S558" s="999" t="s">
        <v>358</v>
      </c>
      <c r="T558" s="999" t="s">
        <v>358</v>
      </c>
      <c r="U558" s="999" t="s">
        <v>358</v>
      </c>
      <c r="V558" s="999" t="s">
        <v>697</v>
      </c>
      <c r="W558" s="999" t="s">
        <v>697</v>
      </c>
      <c r="X558" s="999" t="s">
        <v>763</v>
      </c>
      <c r="Y558" s="999" t="s">
        <v>763</v>
      </c>
      <c r="Z558" s="85" t="s">
        <v>799</v>
      </c>
      <c r="AA558" s="999" t="s">
        <v>846</v>
      </c>
      <c r="AB558" s="999" t="s">
        <v>846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76</v>
      </c>
      <c r="C559" s="999" t="s">
        <v>110</v>
      </c>
      <c r="D559" s="999" t="s">
        <v>127</v>
      </c>
      <c r="E559" s="999" t="s">
        <v>143</v>
      </c>
      <c r="F559" s="999" t="s">
        <v>188</v>
      </c>
      <c r="G559" s="999" t="s">
        <v>209</v>
      </c>
      <c r="H559" s="999" t="s">
        <v>248</v>
      </c>
      <c r="I559" s="999" t="s">
        <v>276</v>
      </c>
      <c r="J559" s="999" t="s">
        <v>126</v>
      </c>
      <c r="K559" s="999" t="s">
        <v>359</v>
      </c>
      <c r="L559" s="999" t="s">
        <v>380</v>
      </c>
      <c r="M559" s="999" t="s">
        <v>447</v>
      </c>
      <c r="N559" s="1"/>
      <c r="O559" s="999" t="s">
        <v>515</v>
      </c>
      <c r="P559" s="999" t="s">
        <v>548</v>
      </c>
      <c r="Q559" s="999" t="s">
        <v>564</v>
      </c>
      <c r="R559" s="999" t="s">
        <v>573</v>
      </c>
      <c r="S559" s="999" t="s">
        <v>594</v>
      </c>
      <c r="T559" s="999" t="s">
        <v>603</v>
      </c>
      <c r="U559" s="999" t="s">
        <v>687</v>
      </c>
      <c r="V559" s="999" t="s">
        <v>698</v>
      </c>
      <c r="W559" s="999" t="s">
        <v>747</v>
      </c>
      <c r="X559" s="999" t="s">
        <v>764</v>
      </c>
      <c r="Y559" s="999" t="s">
        <v>787</v>
      </c>
      <c r="Z559" s="999" t="s">
        <v>799</v>
      </c>
      <c r="AA559" s="999" t="s">
        <v>846</v>
      </c>
      <c r="AB559" s="999" t="s">
        <v>865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5701.8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0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T7xSE20UqUr4ycvLYNUEH0mgfle55rnWrkRSUgpr9uZTcHRoR7LvwWd1KSCiZLan3xuWyPSjpScbmZEjZiLqZQ==" saltValue="h/DgYzqWWIKnkGstEyghhA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2"/>
        <filter val="5 700,00"/>
        <filter val="6 056,62"/>
        <filter val="6 356,62"/>
        <filter val="730,77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8" spans="2:8" x14ac:dyDescent="0.2">
      <c r="B8" s="53" t="s">
        <v>878</v>
      </c>
      <c r="C8" s="53" t="s">
        <v>879</v>
      </c>
      <c r="D8" s="53" t="s">
        <v>880</v>
      </c>
      <c r="E8" s="53" t="s">
        <v>46</v>
      </c>
    </row>
    <row r="10" spans="2:8" x14ac:dyDescent="0.2">
      <c r="B10" s="53" t="s">
        <v>881</v>
      </c>
      <c r="C10" s="53" t="s">
        <v>873</v>
      </c>
      <c r="D10" s="53" t="s">
        <v>46</v>
      </c>
      <c r="E10" s="53" t="s">
        <v>46</v>
      </c>
    </row>
    <row r="12" spans="2:8" x14ac:dyDescent="0.2">
      <c r="B12" s="53" t="s">
        <v>882</v>
      </c>
      <c r="C12" s="53" t="s">
        <v>876</v>
      </c>
      <c r="D12" s="53" t="s">
        <v>46</v>
      </c>
      <c r="E12" s="53" t="s">
        <v>46</v>
      </c>
    </row>
    <row r="14" spans="2:8" x14ac:dyDescent="0.2">
      <c r="B14" s="53" t="s">
        <v>883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894</v>
      </c>
      <c r="C26" s="53" t="s">
        <v>46</v>
      </c>
      <c r="D26" s="53" t="s">
        <v>46</v>
      </c>
      <c r="E26" s="53" t="s">
        <v>46</v>
      </c>
    </row>
  </sheetData>
  <sheetProtection algorithmName="SHA-512" hashValue="suTgqx5KhQpN1BmhuYsCwvUQHKnY5zlK6ru3EnRNq8q9fIDHhna5P7d4PpywUaKtwW4HDNhu8Jhd19KUzDGn5g==" saltValue="x9AfwdVgygcJbnLgmMPc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1149</vt:i4>
      </vt:variant>
    </vt:vector>
  </HeadingPairs>
  <TitlesOfParts>
    <vt:vector size="11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2026-07-29T13:14:47Z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