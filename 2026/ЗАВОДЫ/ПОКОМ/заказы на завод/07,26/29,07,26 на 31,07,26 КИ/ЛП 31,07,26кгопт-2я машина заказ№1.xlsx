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CD2F03-FECD-42A3-A55C-64B7F7FC096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150" i="2" l="1"/>
  <c r="Y405" i="2"/>
  <c r="BP90" i="2"/>
  <c r="Z208" i="2"/>
  <c r="Z269" i="2"/>
  <c r="BN269" i="2"/>
  <c r="Z415" i="2"/>
  <c r="Z64" i="2"/>
  <c r="BN64" i="2"/>
  <c r="Z181" i="2"/>
  <c r="BP234" i="2"/>
  <c r="Z295" i="2"/>
  <c r="BN295" i="2"/>
  <c r="Z366" i="2"/>
  <c r="Z441" i="2"/>
  <c r="Z41" i="2"/>
  <c r="BN41" i="2"/>
  <c r="Z83" i="2"/>
  <c r="Z226" i="2"/>
  <c r="BP244" i="2"/>
  <c r="Z307" i="2"/>
  <c r="BN307" i="2"/>
  <c r="Z311" i="2"/>
  <c r="Z312" i="2" s="1"/>
  <c r="Z346" i="2"/>
  <c r="Y370" i="2"/>
  <c r="Z383" i="2"/>
  <c r="BN383" i="2"/>
  <c r="BP426" i="2"/>
  <c r="Z503" i="2"/>
  <c r="BN503" i="2"/>
  <c r="Z53" i="2"/>
  <c r="BN53" i="2"/>
  <c r="Z72" i="2"/>
  <c r="Y85" i="2"/>
  <c r="Z95" i="2"/>
  <c r="Z135" i="2"/>
  <c r="Z166" i="2"/>
  <c r="BN166" i="2"/>
  <c r="Y170" i="2"/>
  <c r="Z178" i="2"/>
  <c r="Z185" i="2"/>
  <c r="BN185" i="2"/>
  <c r="Z198" i="2"/>
  <c r="Z211" i="2"/>
  <c r="BN211" i="2"/>
  <c r="Z225" i="2"/>
  <c r="Z240" i="2"/>
  <c r="Z249" i="2"/>
  <c r="Z273" i="2"/>
  <c r="BN273" i="2"/>
  <c r="Z283" i="2"/>
  <c r="Z304" i="2"/>
  <c r="Z327" i="2"/>
  <c r="Z342" i="2"/>
  <c r="BN342" i="2"/>
  <c r="Z367" i="2"/>
  <c r="Z423" i="2"/>
  <c r="BN423" i="2"/>
  <c r="Z428" i="2"/>
  <c r="Z501" i="2"/>
  <c r="Z538" i="2"/>
  <c r="Z539" i="2" s="1"/>
  <c r="BN30" i="2"/>
  <c r="BN42" i="2"/>
  <c r="BN52" i="2"/>
  <c r="BN54" i="2"/>
  <c r="BN65" i="2"/>
  <c r="BN77" i="2"/>
  <c r="BP98" i="2"/>
  <c r="BN121" i="2"/>
  <c r="BP142" i="2"/>
  <c r="BN142" i="2"/>
  <c r="Z142" i="2"/>
  <c r="BN149" i="2"/>
  <c r="Z149" i="2"/>
  <c r="Y162" i="2"/>
  <c r="Y163" i="2"/>
  <c r="Z161" i="2"/>
  <c r="Z162" i="2" s="1"/>
  <c r="BN184" i="2"/>
  <c r="Z184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H561" i="2"/>
  <c r="BP132" i="2"/>
  <c r="BN139" i="2"/>
  <c r="Y143" i="2"/>
  <c r="Z139" i="2"/>
  <c r="BN141" i="2"/>
  <c r="Z141" i="2"/>
  <c r="BP16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Z319" i="2"/>
  <c r="Y331" i="2"/>
  <c r="BP327" i="2"/>
  <c r="BN328" i="2"/>
  <c r="Z329" i="2"/>
  <c r="Z330" i="2"/>
  <c r="Z337" i="2"/>
  <c r="Z344" i="2"/>
  <c r="BN344" i="2"/>
  <c r="Z363" i="2"/>
  <c r="Y369" i="2"/>
  <c r="BP365" i="2"/>
  <c r="BP366" i="2"/>
  <c r="Z372" i="2"/>
  <c r="BN375" i="2"/>
  <c r="Z377" i="2"/>
  <c r="Y387" i="2"/>
  <c r="BP385" i="2"/>
  <c r="BP391" i="2"/>
  <c r="BN396" i="2"/>
  <c r="Z408" i="2"/>
  <c r="Z409" i="2"/>
  <c r="Z416" i="2"/>
  <c r="Z425" i="2"/>
  <c r="Z427" i="2"/>
  <c r="BP428" i="2"/>
  <c r="BN429" i="2"/>
  <c r="Z434" i="2"/>
  <c r="BP441" i="2"/>
  <c r="W561" i="2"/>
  <c r="BN453" i="2"/>
  <c r="Z457" i="2"/>
  <c r="Z458" i="2" s="1"/>
  <c r="Z469" i="2"/>
  <c r="BN470" i="2"/>
  <c r="Z478" i="2"/>
  <c r="BN478" i="2"/>
  <c r="BN479" i="2"/>
  <c r="BP484" i="2"/>
  <c r="BN489" i="2"/>
  <c r="BP501" i="2"/>
  <c r="BN515" i="2"/>
  <c r="BP329" i="2"/>
  <c r="BP363" i="2"/>
  <c r="BN364" i="2"/>
  <c r="BN384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199" i="2" l="1"/>
  <c r="Z418" i="2"/>
  <c r="Z297" i="2"/>
  <c r="Z99" i="2"/>
  <c r="Z322" i="2"/>
  <c r="Z437" i="2"/>
  <c r="Z369" i="2"/>
  <c r="Z480" i="2"/>
  <c r="Z143" i="2"/>
  <c r="Z347" i="2"/>
  <c r="Z338" i="2"/>
  <c r="Z251" i="2"/>
  <c r="X554" i="2"/>
  <c r="Z292" i="2"/>
  <c r="Z431" i="2"/>
  <c r="Z277" i="2"/>
  <c r="Z136" i="2"/>
  <c r="Z379" i="2"/>
  <c r="Z331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<sst xmlns="http://schemas.openxmlformats.org/spreadsheetml/2006/main" count="4202" uniqueCount="896">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</sst>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46234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11.25925925925926</v>
      </c>
      <c r="Y55" s="43">
        <f>IFERROR(Y51/H51,"0")+IFERROR(Y52/H52,"0")+IFERROR(Y53/H53,"0")+IFERROR(Y54/H54,"0")</f>
        <v>12</v>
      </c>
      <c r="Z55" s="43">
        <f>IFERROR(IF(Z51="",0,Z51),"0")+IFERROR(IF(Z52="",0,Z52),"0")+IFERROR(IF(Z53="",0,Z53),"0")+IFERROR(IF(Z54="",0,Z54),"0")</f>
        <v>0.20784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108</v>
      </c>
      <c r="Y56" s="43">
        <f>IFERROR(SUM(Y51:Y54),"0")</f>
        <v>116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8</v>
      </c>
      <c r="Y64" s="55">
        <f t="shared" si="0"/>
        <v>8</v>
      </c>
      <c r="Z64" s="41">
        <f>IFERROR(IF(Y64=0,"",ROUNDUP(Y64/H64,0)*0.00902),"")</f>
        <v>1.804E-2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8.3800000000000008</v>
      </c>
      <c r="BN64" s="78">
        <f t="shared" si="2"/>
        <v>8.3800000000000008</v>
      </c>
      <c r="BO64" s="78">
        <f t="shared" si="3"/>
        <v>1.5151515151515152E-2</v>
      </c>
      <c r="BP64" s="78">
        <f t="shared" si="4"/>
        <v>1.5151515151515152E-2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6.6296296296296298</v>
      </c>
      <c r="Y67" s="43">
        <f>IFERROR(Y59/H59,"0")+IFERROR(Y60/H60,"0")+IFERROR(Y61/H61,"0")+IFERROR(Y62/H62,"0")+IFERROR(Y63/H63,"0")+IFERROR(Y64/H64,"0")+IFERROR(Y65/H65,"0")+IFERROR(Y66/H66,"0")</f>
        <v>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0.11294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58</v>
      </c>
      <c r="Y68" s="43">
        <f>IFERROR(SUM(Y59:Y66),"0")</f>
        <v>62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230</v>
      </c>
      <c r="Y70" s="55">
        <f>IFERROR(IF(X70="",0,CEILING((X70/$H70),1)*$H70),"")</f>
        <v>237.60000000000002</v>
      </c>
      <c r="Z70" s="41">
        <f>IFERROR(IF(Y70=0,"",ROUNDUP(Y70/H70,0)*0.01898),"")</f>
        <v>0.41755999999999999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238.7314814814815</v>
      </c>
      <c r="BN70" s="78">
        <f>IFERROR(Y70*I70/H70,"0")</f>
        <v>246.62000000000003</v>
      </c>
      <c r="BO70" s="78">
        <f>IFERROR(1/J70*(X70/H70),"0")</f>
        <v>0.33275462962962959</v>
      </c>
      <c r="BP70" s="78">
        <f>IFERROR(1/J70*(Y70/H70),"0")</f>
        <v>0.34375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21.296296296296294</v>
      </c>
      <c r="Y74" s="43">
        <f>IFERROR(Y70/H70,"0")+IFERROR(Y71/H71,"0")+IFERROR(Y72/H72,"0")+IFERROR(Y73/H73,"0")</f>
        <v>22</v>
      </c>
      <c r="Z74" s="43">
        <f>IFERROR(IF(Z70="",0,Z70),"0")+IFERROR(IF(Z71="",0,Z71),"0")+IFERROR(IF(Z72="",0,Z72),"0")+IFERROR(IF(Z73="",0,Z73),"0")</f>
        <v>0.41755999999999999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230</v>
      </c>
      <c r="Y75" s="43">
        <f>IFERROR(SUM(Y70:Y73),"0")</f>
        <v>237.60000000000002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30</v>
      </c>
      <c r="Y88" s="55">
        <f>IFERROR(IF(X88="",0,CEILING((X88/$H88),1)*$H88),"")</f>
        <v>32.400000000000006</v>
      </c>
      <c r="Z88" s="41">
        <f>IFERROR(IF(Y88=0,"",ROUNDUP(Y88/H88,0)*0.01898),"")</f>
        <v>5.6940000000000004E-2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31.138888888888889</v>
      </c>
      <c r="BN88" s="78">
        <f>IFERROR(Y88*I88/H88,"0")</f>
        <v>33.630000000000003</v>
      </c>
      <c r="BO88" s="78">
        <f>IFERROR(1/J88*(X88/H88),"0")</f>
        <v>4.3402777777777776E-2</v>
      </c>
      <c r="BP88" s="78">
        <f>IFERROR(1/J88*(Y88/H88),"0")</f>
        <v>4.6875000000000007E-2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8</v>
      </c>
      <c r="Y90" s="55">
        <f>IFERROR(IF(X90="",0,CEILING((X90/$H90),1)*$H90),"")</f>
        <v>8</v>
      </c>
      <c r="Z90" s="41">
        <f>IFERROR(IF(Y90=0,"",ROUNDUP(Y90/H90,0)*0.00902),"")</f>
        <v>1.804E-2</v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8.3800000000000008</v>
      </c>
      <c r="BN90" s="78">
        <f>IFERROR(Y90*I90/H90,"0")</f>
        <v>8.3800000000000008</v>
      </c>
      <c r="BO90" s="78">
        <f>IFERROR(1/J90*(X90/H90),"0")</f>
        <v>1.5151515151515152E-2</v>
      </c>
      <c r="BP90" s="78">
        <f>IFERROR(1/J90*(Y90/H90),"0")</f>
        <v>1.5151515151515152E-2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4.7777777777777777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7.4980000000000005E-2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38</v>
      </c>
      <c r="Y93" s="43">
        <f>IFERROR(SUM(Y88:Y91),"0")</f>
        <v>40.400000000000006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60</v>
      </c>
      <c r="Y95" s="55">
        <f>IFERROR(IF(X95="",0,CEILING((X95/$H95),1)*$H95),"")</f>
        <v>64.8</v>
      </c>
      <c r="Z95" s="41">
        <f>IFERROR(IF(Y95=0,"",ROUNDUP(Y95/H95,0)*0.01898),"")</f>
        <v>0.15184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63.659259259259258</v>
      </c>
      <c r="BN95" s="78">
        <f>IFERROR(Y95*I95/H95,"0")</f>
        <v>68.751999999999995</v>
      </c>
      <c r="BO95" s="78">
        <f>IFERROR(1/J95*(X95/H95),"0")</f>
        <v>0.11574074074074074</v>
      </c>
      <c r="BP95" s="78">
        <f>IFERROR(1/J95*(Y95/H95),"0")</f>
        <v>0.125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3.96</v>
      </c>
      <c r="Y98" s="55">
        <f>IFERROR(IF(X98="",0,CEILING((X98/$H98),1)*$H98),"")</f>
        <v>3.96</v>
      </c>
      <c r="Z98" s="41">
        <f>IFERROR(IF(Y98=0,"",ROUNDUP(Y98/H98,0)*0.00651),"")</f>
        <v>1.302E-2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4.476</v>
      </c>
      <c r="BN98" s="78">
        <f>IFERROR(Y98*I98/H98,"0")</f>
        <v>4.476</v>
      </c>
      <c r="BO98" s="78">
        <f>IFERROR(1/J98*(X98/H98),"0")</f>
        <v>1.098901098901099E-2</v>
      </c>
      <c r="BP98" s="78">
        <f>IFERROR(1/J98*(Y98/H98),"0")</f>
        <v>1.098901098901099E-2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9.4074074074074083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0.16486000000000001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63.96</v>
      </c>
      <c r="Y100" s="43">
        <f>IFERROR(SUM(Y95:Y98),"0")</f>
        <v>68.759999999999991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30</v>
      </c>
      <c r="Y120" s="55">
        <f>IFERROR(IF(X120="",0,CEILING((X120/$H120),1)*$H120),"")</f>
        <v>32.4</v>
      </c>
      <c r="Z120" s="41">
        <f>IFERROR(IF(Y120=0,"",ROUNDUP(Y120/H120,0)*0.01898),"")</f>
        <v>7.5920000000000001E-2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31.807407407407407</v>
      </c>
      <c r="BN120" s="78">
        <f>IFERROR(Y120*I120/H120,"0")</f>
        <v>34.351999999999997</v>
      </c>
      <c r="BO120" s="78">
        <f>IFERROR(1/J120*(X120/H120),"0")</f>
        <v>5.7870370370370371E-2</v>
      </c>
      <c r="BP120" s="78">
        <f>IFERROR(1/J120*(Y120/H120),"0")</f>
        <v>6.25E-2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3.7037037037037037</v>
      </c>
      <c r="Y124" s="43">
        <f>IFERROR(Y120/H120,"0")+IFERROR(Y121/H121,"0")+IFERROR(Y122/H122,"0")+IFERROR(Y123/H123,"0")</f>
        <v>4</v>
      </c>
      <c r="Z124" s="43">
        <f>IFERROR(IF(Z120="",0,Z120),"0")+IFERROR(IF(Z121="",0,Z121),"0")+IFERROR(IF(Z122="",0,Z122),"0")+IFERROR(IF(Z123="",0,Z123),"0")</f>
        <v>7.5920000000000001E-2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30</v>
      </c>
      <c r="Y125" s="43">
        <f>IFERROR(SUM(Y120:Y123),"0")</f>
        <v>32.4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8</v>
      </c>
      <c r="Y168" s="55">
        <f>IFERROR(IF(X168="",0,CEILING((X168/$H168),1)*$H168),"")</f>
        <v>8</v>
      </c>
      <c r="Z168" s="41">
        <f>IFERROR(IF(Y168=0,"",ROUNDUP(Y168/H168,0)*0.00902),"")</f>
        <v>1.804E-2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8.3800000000000008</v>
      </c>
      <c r="BN168" s="78">
        <f>IFERROR(Y168*I168/H168,"0")</f>
        <v>8.3800000000000008</v>
      </c>
      <c r="BO168" s="78">
        <f>IFERROR(1/J168*(X168/H168),"0")</f>
        <v>1.5151515151515152E-2</v>
      </c>
      <c r="BP168" s="78">
        <f>IFERROR(1/J168*(Y168/H168),"0")</f>
        <v>1.5151515151515152E-2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2</v>
      </c>
      <c r="Y169" s="43">
        <f>IFERROR(Y166/H166,"0")+IFERROR(Y167/H167,"0")+IFERROR(Y168/H168,"0")</f>
        <v>2</v>
      </c>
      <c r="Z169" s="43">
        <f>IFERROR(IF(Z166="",0,Z166),"0")+IFERROR(IF(Z167="",0,Z167),"0")+IFERROR(IF(Z168="",0,Z168),"0")</f>
        <v>1.804E-2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8</v>
      </c>
      <c r="Y170" s="43">
        <f>IFERROR(SUM(Y166:Y168),"0")</f>
        <v>8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30</v>
      </c>
      <c r="Y225" s="55">
        <f t="shared" si="21"/>
        <v>33.6</v>
      </c>
      <c r="Z225" s="41">
        <f>IFERROR(IF(Y225=0,"",ROUNDUP(Y225/H225,0)*0.00902),"")</f>
        <v>7.2160000000000002E-2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31.357142857142854</v>
      </c>
      <c r="BN225" s="78">
        <f t="shared" si="23"/>
        <v>35.119999999999997</v>
      </c>
      <c r="BO225" s="78">
        <f t="shared" si="24"/>
        <v>5.4112554112554112E-2</v>
      </c>
      <c r="BP225" s="78">
        <f t="shared" si="25"/>
        <v>6.0606060606060608E-2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7.1428571428571423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8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7.2160000000000002E-2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30</v>
      </c>
      <c r="Y238" s="43">
        <f>IFERROR(SUM(Y223:Y236),"0")</f>
        <v>33.6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ref="Y269:Y276" si="27">IFERROR(IF(X269="",0,CEILING((X269/$H269),1)*$H269),"")</f>
        <v>32.400000000000006</v>
      </c>
      <c r="Z269" s="41">
        <f>IFERROR(IF(Y269=0,"",ROUNDUP(Y269/H269,0)*0.00902),"")</f>
        <v>5.4120000000000001E-2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31.05555555555555</v>
      </c>
      <c r="BN269" s="78">
        <f t="shared" ref="BN269:BN276" si="29">IFERROR(Y269*I269/H269,"0")</f>
        <v>33.54</v>
      </c>
      <c r="BO269" s="78">
        <f t="shared" ref="BO269:BO276" si="30">IFERROR(1/J269*(X269/H269),"0")</f>
        <v>4.208754208754209E-2</v>
      </c>
      <c r="BP269" s="78">
        <f t="shared" ref="BP269:BP276" si="31">IFERROR(1/J269*(Y269/H269),"0")</f>
        <v>4.5454545454545463E-2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27"/>
        <v>124.2</v>
      </c>
      <c r="Z271" s="41">
        <f>IFERROR(IF(Y271=0,"",ROUNDUP(Y271/H271,0)*0.00902),"")</f>
        <v>0.20746000000000001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124.2222222222222</v>
      </c>
      <c r="BN271" s="78">
        <f t="shared" si="29"/>
        <v>128.57</v>
      </c>
      <c r="BO271" s="78">
        <f t="shared" si="30"/>
        <v>0.16835016835016836</v>
      </c>
      <c r="BP271" s="78">
        <f t="shared" si="31"/>
        <v>0.17424242424242425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27.777777777777779</v>
      </c>
      <c r="Y277" s="43">
        <f>IFERROR(Y269/H269,"0")+IFERROR(Y270/H270,"0")+IFERROR(Y271/H271,"0")+IFERROR(Y272/H272,"0")+IFERROR(Y273/H273,"0")+IFERROR(Y274/H274,"0")+IFERROR(Y275/H275,"0")+IFERROR(Y276/H276,"0")</f>
        <v>29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0.26158000000000003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150</v>
      </c>
      <c r="Y278" s="43">
        <f>IFERROR(SUM(Y269:Y276),"0")</f>
        <v>156.60000000000002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4.8</v>
      </c>
      <c r="Y283" s="55">
        <f t="shared" si="32"/>
        <v>4.8</v>
      </c>
      <c r="Z283" s="41">
        <f>IFERROR(IF(Y283=0,"",ROUNDUP(Y283/H283,0)*0.00651),"")</f>
        <v>1.302E-2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5.34</v>
      </c>
      <c r="BN283" s="78">
        <f t="shared" si="34"/>
        <v>5.34</v>
      </c>
      <c r="BO283" s="78">
        <f t="shared" si="35"/>
        <v>1.098901098901099E-2</v>
      </c>
      <c r="BP283" s="78">
        <f t="shared" si="36"/>
        <v>1.098901098901099E-2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1.302E-2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4.8</v>
      </c>
      <c r="Y293" s="43">
        <f>IFERROR(SUM(Y280:Y291),"0")</f>
        <v>4.8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400</v>
      </c>
      <c r="Y366" s="55">
        <f t="shared" si="42"/>
        <v>410.40000000000003</v>
      </c>
      <c r="Z366" s="41">
        <f>IFERROR(IF(Y366=0,"",ROUNDUP(Y366/H366,0)*0.01898),"")</f>
        <v>0.72123999999999999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415.18518518518516</v>
      </c>
      <c r="BN366" s="78">
        <f t="shared" si="44"/>
        <v>425.98</v>
      </c>
      <c r="BO366" s="78">
        <f t="shared" si="45"/>
        <v>0.57870370370370372</v>
      </c>
      <c r="BP366" s="78">
        <f t="shared" si="46"/>
        <v>0.59375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37.037037037037038</v>
      </c>
      <c r="Y369" s="43">
        <f>IFERROR(Y363/H363,"0")+IFERROR(Y364/H364,"0")+IFERROR(Y365/H365,"0")+IFERROR(Y366/H366,"0")+IFERROR(Y367/H367,"0")+IFERROR(Y368/H368,"0")</f>
        <v>38</v>
      </c>
      <c r="Z369" s="43">
        <f>IFERROR(IF(Z363="",0,Z363),"0")+IFERROR(IF(Z364="",0,Z364),"0")+IFERROR(IF(Z365="",0,Z365),"0")+IFERROR(IF(Z366="",0,Z366),"0")+IFERROR(IF(Z367="",0,Z367),"0")+IFERROR(IF(Z368="",0,Z368),"0")</f>
        <v>0.72123999999999999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400</v>
      </c>
      <c r="Y370" s="43">
        <f>IFERROR(SUM(Y363:Y368),"0")</f>
        <v>410.40000000000003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50</v>
      </c>
      <c r="Y372" s="55">
        <f t="shared" ref="Y372:Y378" si="47">IFERROR(IF(X372="",0,CEILING((X372/$H372),1)*$H372),"")</f>
        <v>50.400000000000006</v>
      </c>
      <c r="Z372" s="41">
        <f>IFERROR(IF(Y372=0,"",ROUNDUP(Y372/H372,0)*0.00902),"")</f>
        <v>0.10824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52.976190476190474</v>
      </c>
      <c r="BN372" s="78">
        <f t="shared" ref="BN372:BN378" si="49">IFERROR(Y372*I372/H372,"0")</f>
        <v>53.400000000000006</v>
      </c>
      <c r="BO372" s="78">
        <f t="shared" ref="BO372:BO378" si="50">IFERROR(1/J372*(X372/H372),"0")</f>
        <v>9.0187590187590191E-2</v>
      </c>
      <c r="BP372" s="78">
        <f t="shared" ref="BP372:BP378" si="51">IFERROR(1/J372*(Y372/H372),"0")</f>
        <v>9.0909090909090912E-2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800</v>
      </c>
      <c r="Y373" s="55">
        <f t="shared" si="47"/>
        <v>802.2</v>
      </c>
      <c r="Z373" s="41">
        <f>IFERROR(IF(Y373=0,"",ROUNDUP(Y373/H373,0)*0.00902),"")</f>
        <v>1.72282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847.61904761904759</v>
      </c>
      <c r="BN373" s="78">
        <f t="shared" si="49"/>
        <v>849.95</v>
      </c>
      <c r="BO373" s="78">
        <f t="shared" si="50"/>
        <v>1.4430014430014431</v>
      </c>
      <c r="BP373" s="78">
        <f t="shared" si="51"/>
        <v>1.446969696969697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202.38095238095238</v>
      </c>
      <c r="Y379" s="43">
        <f>IFERROR(Y372/H372,"0")+IFERROR(Y373/H373,"0")+IFERROR(Y374/H374,"0")+IFERROR(Y375/H375,"0")+IFERROR(Y376/H376,"0")+IFERROR(Y377/H377,"0")+IFERROR(Y378/H378,"0")</f>
        <v>203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1.8310599999999999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850</v>
      </c>
      <c r="Y380" s="43">
        <f>IFERROR(SUM(Y372:Y378),"0")</f>
        <v>852.6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3000</v>
      </c>
      <c r="Y382" s="55">
        <f>IFERROR(IF(X382="",0,CEILING((X382/$H382),1)*$H382),"")</f>
        <v>3003</v>
      </c>
      <c r="Z382" s="41">
        <f>IFERROR(IF(Y382=0,"",ROUNDUP(Y382/H382,0)*0.01898),"")</f>
        <v>7.3073000000000006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3187.6923076923076</v>
      </c>
      <c r="BN382" s="78">
        <f>IFERROR(Y382*I382/H382,"0")</f>
        <v>3190.88</v>
      </c>
      <c r="BO382" s="78">
        <f>IFERROR(1/J382*(X382/H382),"0")</f>
        <v>6.009615384615385</v>
      </c>
      <c r="BP382" s="78">
        <f>IFERROR(1/J382*(Y382/H382),"0")</f>
        <v>6.015625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384.61538461538464</v>
      </c>
      <c r="Y386" s="43">
        <f>IFERROR(Y382/H382,"0")+IFERROR(Y383/H383,"0")+IFERROR(Y384/H384,"0")+IFERROR(Y385/H385,"0")</f>
        <v>385</v>
      </c>
      <c r="Z386" s="43">
        <f>IFERROR(IF(Z382="",0,Z382),"0")+IFERROR(IF(Z383="",0,Z383),"0")+IFERROR(IF(Z384="",0,Z384),"0")+IFERROR(IF(Z385="",0,Z385),"0")</f>
        <v>7.3073000000000006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3000</v>
      </c>
      <c r="Y387" s="43">
        <f>IFERROR(SUM(Y382:Y385),"0")</f>
        <v>3003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100</v>
      </c>
      <c r="Y390" s="55">
        <f>IFERROR(IF(X390="",0,CEILING((X390/$H390),1)*$H390),"")</f>
        <v>101.39999999999999</v>
      </c>
      <c r="Z390" s="41">
        <f>IFERROR(IF(Y390=0,"",ROUNDUP(Y390/H390,0)*0.01898),"")</f>
        <v>0.24674000000000001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106.33333333333334</v>
      </c>
      <c r="BN390" s="78">
        <f>IFERROR(Y390*I390/H390,"0")</f>
        <v>107.82199999999999</v>
      </c>
      <c r="BO390" s="78">
        <f>IFERROR(1/J390*(X390/H390),"0")</f>
        <v>0.20032051282051283</v>
      </c>
      <c r="BP390" s="78">
        <f>IFERROR(1/J390*(Y390/H390),"0")</f>
        <v>0.203125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12.820512820512821</v>
      </c>
      <c r="Y392" s="43">
        <f>IFERROR(Y389/H389,"0")+IFERROR(Y390/H390,"0")+IFERROR(Y391/H391,"0")</f>
        <v>13</v>
      </c>
      <c r="Z392" s="43">
        <f>IFERROR(IF(Z389="",0,Z389),"0")+IFERROR(IF(Z390="",0,Z390),"0")+IFERROR(IF(Z391="",0,Z391),"0")</f>
        <v>0.24674000000000001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100</v>
      </c>
      <c r="Y393" s="43">
        <f>IFERROR(SUM(Y389:Y391),"0")</f>
        <v>101.39999999999999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30</v>
      </c>
      <c r="Y402" s="55">
        <f>IFERROR(IF(X402="",0,CEILING((X402/$H402),1)*$H402),"")</f>
        <v>30</v>
      </c>
      <c r="Z402" s="41">
        <f>IFERROR(IF(Y402=0,"",ROUNDUP(Y402/H402,0)*0.00474),"")</f>
        <v>7.110000000000001E-2</v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33.6</v>
      </c>
      <c r="BN402" s="78">
        <f>IFERROR(Y402*I402/H402,"0")</f>
        <v>33.6</v>
      </c>
      <c r="BO402" s="78">
        <f>IFERROR(1/J402*(X402/H402),"0")</f>
        <v>6.3025210084033612E-2</v>
      </c>
      <c r="BP402" s="78">
        <f>IFERROR(1/J402*(Y402/H402),"0")</f>
        <v>6.3025210084033612E-2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30</v>
      </c>
      <c r="Y403" s="55">
        <f>IFERROR(IF(X403="",0,CEILING((X403/$H403),1)*$H403),"")</f>
        <v>30</v>
      </c>
      <c r="Z403" s="41">
        <f>IFERROR(IF(Y403=0,"",ROUNDUP(Y403/H403,0)*0.00474),"")</f>
        <v>7.110000000000001E-2</v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33.6</v>
      </c>
      <c r="BN403" s="78">
        <f>IFERROR(Y403*I403/H403,"0")</f>
        <v>33.6</v>
      </c>
      <c r="BO403" s="78">
        <f>IFERROR(1/J403*(X403/H403),"0")</f>
        <v>6.3025210084033612E-2</v>
      </c>
      <c r="BP403" s="78">
        <f>IFERROR(1/J403*(Y403/H403),"0")</f>
        <v>6.3025210084033612E-2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30</v>
      </c>
      <c r="Y404" s="55">
        <f>IFERROR(IF(X404="",0,CEILING((X404/$H404),1)*$H404),"")</f>
        <v>30</v>
      </c>
      <c r="Z404" s="41">
        <f>IFERROR(IF(Y404=0,"",ROUNDUP(Y404/H404,0)*0.00474),"")</f>
        <v>7.110000000000001E-2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33.6</v>
      </c>
      <c r="BN404" s="78">
        <f>IFERROR(Y404*I404/H404,"0")</f>
        <v>33.6</v>
      </c>
      <c r="BO404" s="78">
        <f>IFERROR(1/J404*(X404/H404),"0")</f>
        <v>6.3025210084033612E-2</v>
      </c>
      <c r="BP404" s="78">
        <f>IFERROR(1/J404*(Y404/H404),"0")</f>
        <v>6.3025210084033612E-2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45</v>
      </c>
      <c r="Y405" s="43">
        <f>IFERROR(Y402/H402,"0")+IFERROR(Y403/H403,"0")+IFERROR(Y404/H404,"0")</f>
        <v>45</v>
      </c>
      <c r="Z405" s="43">
        <f>IFERROR(IF(Z402="",0,Z402),"0")+IFERROR(IF(Z403="",0,Z403),"0")+IFERROR(IF(Z404="",0,Z404),"0")</f>
        <v>0.21330000000000005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90</v>
      </c>
      <c r="Y406" s="43">
        <f>IFERROR(SUM(Y402:Y404),"0")</f>
        <v>90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50</v>
      </c>
      <c r="Y415" s="55">
        <f>IFERROR(IF(X415="",0,CEILING((X415/$H415),1)*$H415),"")</f>
        <v>56.699999999999996</v>
      </c>
      <c r="Z415" s="41">
        <f>IFERROR(IF(Y415=0,"",ROUNDUP(Y415/H415,0)*0.01898),"")</f>
        <v>0.13286000000000001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53.049382716049386</v>
      </c>
      <c r="BN415" s="78">
        <f>IFERROR(Y415*I415/H415,"0")</f>
        <v>60.157999999999994</v>
      </c>
      <c r="BO415" s="78">
        <f>IFERROR(1/J415*(X415/H415),"0")</f>
        <v>9.6450617283950615E-2</v>
      </c>
      <c r="BP415" s="78">
        <f>IFERROR(1/J415*(Y415/H415),"0")</f>
        <v>0.109375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4.2</v>
      </c>
      <c r="Y416" s="55">
        <f>IFERROR(IF(X416="",0,CEILING((X416/$H416),1)*$H416),"")</f>
        <v>4.2</v>
      </c>
      <c r="Z416" s="41">
        <f>IFERROR(IF(Y416=0,"",ROUNDUP(Y416/H416,0)*0.00651),"")</f>
        <v>1.302E-2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4.7039999999999997</v>
      </c>
      <c r="BN416" s="78">
        <f>IFERROR(Y416*I416/H416,"0")</f>
        <v>4.7039999999999997</v>
      </c>
      <c r="BO416" s="78">
        <f>IFERROR(1/J416*(X416/H416),"0")</f>
        <v>1.098901098901099E-2</v>
      </c>
      <c r="BP416" s="78">
        <f>IFERROR(1/J416*(Y416/H416),"0")</f>
        <v>1.098901098901099E-2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8.1728395061728385</v>
      </c>
      <c r="Y418" s="43">
        <f>IFERROR(Y415/H415,"0")+IFERROR(Y416/H416,"0")+IFERROR(Y417/H417,"0")</f>
        <v>9</v>
      </c>
      <c r="Z418" s="43">
        <f>IFERROR(IF(Z415="",0,Z415),"0")+IFERROR(IF(Z416="",0,Z416),"0")+IFERROR(IF(Z417="",0,Z417),"0")</f>
        <v>0.14588000000000001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54.2</v>
      </c>
      <c r="Y419" s="43">
        <f>IFERROR(SUM(Y415:Y417),"0")</f>
        <v>60.9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210</v>
      </c>
      <c r="Y424" s="55">
        <f t="shared" si="52"/>
        <v>210</v>
      </c>
      <c r="Z424" s="41">
        <f>IFERROR(IF(Y424=0,"",ROUNDUP(Y424/H424,0)*0.02175),"")</f>
        <v>0.30449999999999999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216.58</v>
      </c>
      <c r="BN424" s="78">
        <f t="shared" si="54"/>
        <v>216.58</v>
      </c>
      <c r="BO424" s="78">
        <f t="shared" si="55"/>
        <v>0.29166666666666663</v>
      </c>
      <c r="BP424" s="78">
        <f t="shared" si="56"/>
        <v>0.29166666666666663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90</v>
      </c>
      <c r="Y425" s="55">
        <f t="shared" si="52"/>
        <v>90</v>
      </c>
      <c r="Z425" s="41">
        <f>IFERROR(IF(Y425=0,"",ROUNDUP(Y425/H425,0)*0.02175),"")</f>
        <v>0.1305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92.82</v>
      </c>
      <c r="BN425" s="78">
        <f t="shared" si="54"/>
        <v>92.82</v>
      </c>
      <c r="BO425" s="78">
        <f t="shared" si="55"/>
        <v>0.125</v>
      </c>
      <c r="BP425" s="78">
        <f t="shared" si="56"/>
        <v>0.125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2000</v>
      </c>
      <c r="Y426" s="55">
        <f t="shared" si="52"/>
        <v>2010</v>
      </c>
      <c r="Z426" s="41">
        <f>IFERROR(IF(Y426=0,"",ROUNDUP(Y426/H426,0)*0.02175),"")</f>
        <v>2.9144999999999999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2062.6666666666665</v>
      </c>
      <c r="BN426" s="78">
        <f t="shared" si="54"/>
        <v>2072.98</v>
      </c>
      <c r="BO426" s="78">
        <f t="shared" si="55"/>
        <v>2.7777777777777777</v>
      </c>
      <c r="BP426" s="78">
        <f t="shared" si="56"/>
        <v>2.7916666666666665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153.33333333333334</v>
      </c>
      <c r="Y431" s="43">
        <f>IFERROR(Y423/H423,"0")+IFERROR(Y424/H424,"0")+IFERROR(Y425/H425,"0")+IFERROR(Y426/H426,"0")+IFERROR(Y427/H427,"0")+IFERROR(Y428/H428,"0")+IFERROR(Y429/H429,"0")+IFERROR(Y430/H430,"0")</f>
        <v>154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3.3494999999999999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2300</v>
      </c>
      <c r="Y432" s="43">
        <f>IFERROR(SUM(Y423:Y430),"0")</f>
        <v>2310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2000</v>
      </c>
      <c r="Y434" s="55">
        <f>IFERROR(IF(X434="",0,CEILING((X434/$H434),1)*$H434),"")</f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2062.6666666666665</v>
      </c>
      <c r="BN434" s="78">
        <f>IFERROR(Y434*I434/H434,"0")</f>
        <v>2072.98</v>
      </c>
      <c r="BO434" s="78">
        <f>IFERROR(1/J434*(X434/H434),"0")</f>
        <v>2.7777777777777777</v>
      </c>
      <c r="BP434" s="78">
        <f>IFERROR(1/J434*(Y434/H434),"0")</f>
        <v>2.7916666666666665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133.33333333333334</v>
      </c>
      <c r="Y437" s="43">
        <f>IFERROR(Y434/H434,"0")+IFERROR(Y435/H435,"0")+IFERROR(Y436/H436,"0")</f>
        <v>134</v>
      </c>
      <c r="Z437" s="43">
        <f>IFERROR(IF(Z434="",0,Z434),"0")+IFERROR(IF(Z435="",0,Z435),"0")+IFERROR(IF(Z436="",0,Z436),"0")</f>
        <v>2.9144999999999999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2000</v>
      </c>
      <c r="Y438" s="43">
        <f>IFERROR(SUM(Y434:Y436),"0")</f>
        <v>2010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50</v>
      </c>
      <c r="Y469" s="55">
        <f t="shared" ref="Y469:Y474" si="57">IFERROR(IF(X469="",0,CEILING((X469/$H469),1)*$H469),"")</f>
        <v>54</v>
      </c>
      <c r="Z469" s="41">
        <f>IFERROR(IF(Y469=0,"",ROUNDUP(Y469/H469,0)*0.00902),"")</f>
        <v>9.0200000000000002E-2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51.759259259259252</v>
      </c>
      <c r="BN469" s="78">
        <f t="shared" ref="BN469:BN474" si="59">IFERROR(Y469*I469/H469,"0")</f>
        <v>55.9</v>
      </c>
      <c r="BO469" s="78">
        <f t="shared" ref="BO469:BO474" si="60">IFERROR(1/J469*(X469/H469),"0")</f>
        <v>7.0145903479236812E-2</v>
      </c>
      <c r="BP469" s="78">
        <f t="shared" ref="BP469:BP474" si="61">IFERROR(1/J469*(Y469/H469),"0")</f>
        <v>7.575757575757576E-2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9.2592592592592595</v>
      </c>
      <c r="Y475" s="43">
        <f>IFERROR(Y469/H469,"0")+IFERROR(Y470/H470,"0")+IFERROR(Y471/H471,"0")+IFERROR(Y472/H472,"0")+IFERROR(Y473/H473,"0")+IFERROR(Y474/H474,"0")</f>
        <v>10</v>
      </c>
      <c r="Z475" s="43">
        <f>IFERROR(IF(Z469="",0,Z469),"0")+IFERROR(IF(Z470="",0,Z470),"0")+IFERROR(IF(Z471="",0,Z471),"0")+IFERROR(IF(Z472="",0,Z472),"0")+IFERROR(IF(Z473="",0,Z473),"0")+IFERROR(IF(Z474="",0,Z474),"0")</f>
        <v>9.0200000000000002E-2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50</v>
      </c>
      <c r="Y476" s="43">
        <f>IFERROR(SUM(Y469:Y474),"0")</f>
        <v>54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50</v>
      </c>
      <c r="Y488" s="55">
        <f>IFERROR(IF(X488="",0,CEILING((X488/$H488),1)*$H488),"")</f>
        <v>54</v>
      </c>
      <c r="Z488" s="41">
        <f>IFERROR(IF(Y488=0,"",ROUNDUP(Y488/H488,0)*0.00902),"")</f>
        <v>9.0200000000000002E-2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51.759259259259252</v>
      </c>
      <c r="BN488" s="78">
        <f>IFERROR(Y488*I488/H488,"0")</f>
        <v>55.9</v>
      </c>
      <c r="BO488" s="78">
        <f>IFERROR(1/J488*(X488/H488),"0")</f>
        <v>7.0145903479236812E-2</v>
      </c>
      <c r="BP488" s="78">
        <f>IFERROR(1/J488*(Y488/H488),"0")</f>
        <v>7.575757575757576E-2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9.2592592592592595</v>
      </c>
      <c r="Y491" s="43">
        <f>IFERROR(Y488/H488,"0")+IFERROR(Y489/H489,"0")+IFERROR(Y490/H490,"0")</f>
        <v>10</v>
      </c>
      <c r="Z491" s="43">
        <f>IFERROR(IF(Z488="",0,Z488),"0")+IFERROR(IF(Z489="",0,Z489),"0")+IFERROR(IF(Z490="",0,Z490),"0")</f>
        <v>9.0200000000000002E-2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50</v>
      </c>
      <c r="Y492" s="43">
        <f>IFERROR(SUM(Y488:Y490),"0")</f>
        <v>54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150</v>
      </c>
      <c r="Y499" s="55">
        <f t="shared" si="62"/>
        <v>153.12</v>
      </c>
      <c r="Z499" s="41">
        <f t="shared" si="63"/>
        <v>0.34683999999999998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159.94318181818181</v>
      </c>
      <c r="BN499" s="78">
        <f t="shared" si="65"/>
        <v>163.26999999999998</v>
      </c>
      <c r="BO499" s="78">
        <f t="shared" si="66"/>
        <v>0.27316433566433568</v>
      </c>
      <c r="BP499" s="78">
        <f t="shared" si="67"/>
        <v>0.27884615384615385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62"/>
        <v>31.68</v>
      </c>
      <c r="Z501" s="41">
        <f t="shared" si="63"/>
        <v>7.1760000000000004E-2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31.988636363636363</v>
      </c>
      <c r="BN501" s="78">
        <f t="shared" si="65"/>
        <v>33.779999999999994</v>
      </c>
      <c r="BO501" s="78">
        <f t="shared" si="66"/>
        <v>5.4632867132867136E-2</v>
      </c>
      <c r="BP501" s="78">
        <f t="shared" si="67"/>
        <v>5.7692307692307696E-2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34.090909090909086</v>
      </c>
      <c r="Y505" s="43">
        <f>IFERROR(Y496/H496,"0")+IFERROR(Y497/H497,"0")+IFERROR(Y498/H498,"0")+IFERROR(Y499/H499,"0")+IFERROR(Y500/H500,"0")+IFERROR(Y501/H501,"0")+IFERROR(Y502/H502,"0")+IFERROR(Y503/H503,"0")+IFERROR(Y504/H504,"0")</f>
        <v>35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0.41859999999999997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180</v>
      </c>
      <c r="Y506" s="43">
        <f>IFERROR(SUM(Y496:Y504),"0")</f>
        <v>184.8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200</v>
      </c>
      <c r="Y508" s="55">
        <f>IFERROR(IF(X508="",0,CEILING((X508/$H508),1)*$H508),"")</f>
        <v>200.64000000000001</v>
      </c>
      <c r="Z508" s="41">
        <f>IFERROR(IF(Y508=0,"",ROUNDUP(Y508/H508,0)*0.01196),"")</f>
        <v>0.45448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213.25757575757575</v>
      </c>
      <c r="BN508" s="78">
        <f>IFERROR(Y508*I508/H508,"0")</f>
        <v>213.94</v>
      </c>
      <c r="BO508" s="78">
        <f>IFERROR(1/J508*(X508/H508),"0")</f>
        <v>0.36421911421911418</v>
      </c>
      <c r="BP508" s="78">
        <f>IFERROR(1/J508*(Y508/H508),"0")</f>
        <v>0.36538461538461542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37.878787878787875</v>
      </c>
      <c r="Y511" s="43">
        <f>IFERROR(Y508/H508,"0")+IFERROR(Y509/H509,"0")+IFERROR(Y510/H510,"0")</f>
        <v>38</v>
      </c>
      <c r="Z511" s="43">
        <f>IFERROR(IF(Z508="",0,Z508),"0")+IFERROR(IF(Z509="",0,Z509),"0")+IFERROR(IF(Z510="",0,Z510),"0")</f>
        <v>0.45448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200</v>
      </c>
      <c r="Y512" s="43">
        <f>IFERROR(SUM(Y508:Y510),"0")</f>
        <v>200.64000000000001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60</v>
      </c>
      <c r="Y514" s="55">
        <f t="shared" ref="Y514:Y520" si="68">IFERROR(IF(X514="",0,CEILING((X514/$H514),1)*$H514),"")</f>
        <v>63.36</v>
      </c>
      <c r="Z514" s="41">
        <f>IFERROR(IF(Y514=0,"",ROUNDUP(Y514/H514,0)*0.01196),"")</f>
        <v>0.14352000000000001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63.977272727272727</v>
      </c>
      <c r="BN514" s="78">
        <f t="shared" ref="BN514:BN520" si="70">IFERROR(Y514*I514/H514,"0")</f>
        <v>67.559999999999988</v>
      </c>
      <c r="BO514" s="78">
        <f t="shared" ref="BO514:BO520" si="71">IFERROR(1/J514*(X514/H514),"0")</f>
        <v>0.10926573426573427</v>
      </c>
      <c r="BP514" s="78">
        <f t="shared" ref="BP514:BP520" si="72">IFERROR(1/J514*(Y514/H514),"0")</f>
        <v>0.11538461538461539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30</v>
      </c>
      <c r="Y515" s="55">
        <f t="shared" si="68"/>
        <v>31.68</v>
      </c>
      <c r="Z515" s="41">
        <f>IFERROR(IF(Y515=0,"",ROUNDUP(Y515/H515,0)*0.01196),"")</f>
        <v>7.1760000000000004E-2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31.988636363636363</v>
      </c>
      <c r="BN515" s="78">
        <f t="shared" si="70"/>
        <v>33.779999999999994</v>
      </c>
      <c r="BO515" s="78">
        <f t="shared" si="71"/>
        <v>5.4632867132867136E-2</v>
      </c>
      <c r="BP515" s="78">
        <f t="shared" si="72"/>
        <v>5.7692307692307696E-2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20</v>
      </c>
      <c r="Y516" s="55">
        <f t="shared" si="68"/>
        <v>21.12</v>
      </c>
      <c r="Z516" s="41">
        <f>IFERROR(IF(Y516=0,"",ROUNDUP(Y516/H516,0)*0.01196),"")</f>
        <v>4.7840000000000001E-2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21.325757575757574</v>
      </c>
      <c r="BN516" s="78">
        <f t="shared" si="70"/>
        <v>22.52</v>
      </c>
      <c r="BO516" s="78">
        <f t="shared" si="71"/>
        <v>3.6421911421911424E-2</v>
      </c>
      <c r="BP516" s="78">
        <f t="shared" si="72"/>
        <v>3.8461538461538464E-2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20.833333333333336</v>
      </c>
      <c r="Y521" s="43">
        <f>IFERROR(Y514/H514,"0")+IFERROR(Y515/H515,"0")+IFERROR(Y516/H516,"0")+IFERROR(Y517/H517,"0")+IFERROR(Y518/H518,"0")+IFERROR(Y519/H519,"0")+IFERROR(Y520/H520,"0")</f>
        <v>22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0.26312000000000002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110</v>
      </c>
      <c r="Y522" s="43">
        <f>IFERROR(SUM(Y514:Y520),"0")</f>
        <v>116.16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200</v>
      </c>
      <c r="Y526" s="55">
        <f>IFERROR(IF(X526="",0,CEILING((X526/$H526),1)*$H526),"")</f>
        <v>204</v>
      </c>
      <c r="Z526" s="41">
        <f>IFERROR(IF(Y526=0,"",ROUNDUP(Y526/H526,0)*0.01898),"")</f>
        <v>0.32266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206.83333333333334</v>
      </c>
      <c r="BN526" s="78">
        <f>IFERROR(Y526*I526/H526,"0")</f>
        <v>210.97</v>
      </c>
      <c r="BO526" s="78">
        <f>IFERROR(1/J526*(X526/H526),"0")</f>
        <v>0.26041666666666669</v>
      </c>
      <c r="BP526" s="78">
        <f>IFERROR(1/J526*(Y526/H526),"0")</f>
        <v>0.265625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16.666666666666668</v>
      </c>
      <c r="Y527" s="43">
        <f>IFERROR(Y526/H526,"0")</f>
        <v>17</v>
      </c>
      <c r="Z527" s="43">
        <f>IFERROR(IF(Z526="",0,Z526),"0")</f>
        <v>0.32266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200</v>
      </c>
      <c r="Y528" s="43">
        <f>IFERROR(SUM(Y526:Y526),"0")</f>
        <v>204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100</v>
      </c>
      <c r="Y534" s="55">
        <f>IFERROR(IF(X534="",0,CEILING((X534/$H534),1)*$H534),"")</f>
        <v>100.80000000000001</v>
      </c>
      <c r="Z534" s="41">
        <f>IFERROR(IF(Y534=0,"",ROUNDUP(Y534/H534,0)*0.00902),"")</f>
        <v>0.21648000000000001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105.95238095238095</v>
      </c>
      <c r="BN534" s="78">
        <f>IFERROR(Y534*I534/H534,"0")</f>
        <v>106.80000000000001</v>
      </c>
      <c r="BO534" s="78">
        <f>IFERROR(1/J534*(X534/H534),"0")</f>
        <v>0.18037518037518038</v>
      </c>
      <c r="BP534" s="78">
        <f>IFERROR(1/J534*(Y534/H534),"0")</f>
        <v>0.18181818181818182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23.80952380952381</v>
      </c>
      <c r="Y535" s="43">
        <f>IFERROR(Y534/H534,"0")</f>
        <v>24</v>
      </c>
      <c r="Z535" s="43">
        <f>IFERROR(IF(Z534="",0,Z534),"0")</f>
        <v>0.21648000000000001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100</v>
      </c>
      <c r="Y536" s="43">
        <f>IFERROR(SUM(Y534:Y534),"0")</f>
        <v>100.80000000000001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10404.959999999999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10512.859999999997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10892.880475882141</v>
      </c>
      <c r="Y552" s="43">
        <f>IFERROR(SUM(BN22:BN548),"0")</f>
        <v>11005.544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18</v>
      </c>
      <c r="Y553" s="44">
        <f>ROUNDUP(SUM(BP22:BP548),0)</f>
        <v>18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11342.880475882141</v>
      </c>
      <c r="Y554" s="43">
        <f>GrossWeightTotalR+PalletQtyTotalR*25</f>
        <v>11455.544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1224.4858413191751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1238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20.004160000000002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116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299.60000000000002</v>
      </c>
      <c r="F561" s="52">
        <f>IFERROR(Y88*1,"0")+IFERROR(Y89*1,"0")+IFERROR(Y90*1,"0")+IFERROR(Y91*1,"0")+IFERROR(Y95*1,"0")+IFERROR(Y96*1,"0")+IFERROR(Y97*1,"0")+IFERROR(Y98*1,"0")</f>
        <v>109.16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32.4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33.6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161.40000000000003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4457.3999999999996</v>
      </c>
      <c r="U561" s="52">
        <f>IFERROR(Y415*1,"0")+IFERROR(Y416*1,"0")+IFERROR(Y417*1,"0")</f>
        <v>60.9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4320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54</v>
      </c>
      <c r="Y561" s="52">
        <f>IFERROR(Y484*1,"0")+IFERROR(Y488*1,"0")+IFERROR(Y489*1,"0")+IFERROR(Y490*1,"0")</f>
        <v>54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501.60000000000008</v>
      </c>
      <c r="AA561" s="52">
        <f>IFERROR(Y526*1,"0")+IFERROR(Y530*1,"0")+IFERROR(Y534*1,"0")+IFERROR(Y538*1,"0")+IFERROR(Y542*1,"0")+IFERROR(Y543*1,"0")</f>
        <v>304.8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49"/>
        <filter val="10 404,96"/>
        <filter val="10 892,88"/>
        <filter val="100,00"/>
        <filter val="108,00"/>
        <filter val="11 342,88"/>
        <filter val="11,26"/>
        <filter val="110,00"/>
        <filter val="12,82"/>
        <filter val="120,00"/>
        <filter val="133,33"/>
        <filter val="150,00"/>
        <filter val="153,33"/>
        <filter val="16,67"/>
        <filter val="18"/>
        <filter val="180,00"/>
        <filter val="2 000,00"/>
        <filter val="2 300,00"/>
        <filter val="2,00"/>
        <filter val="20,00"/>
        <filter val="20,83"/>
        <filter val="200,00"/>
        <filter val="202,38"/>
        <filter val="21,30"/>
        <filter val="210,00"/>
        <filter val="23,81"/>
        <filter val="230,00"/>
        <filter val="27,78"/>
        <filter val="3 000,00"/>
        <filter val="3,70"/>
        <filter val="3,96"/>
        <filter val="30,00"/>
        <filter val="34,09"/>
        <filter val="37,04"/>
        <filter val="37,88"/>
        <filter val="38,00"/>
        <filter val="384,62"/>
        <filter val="4,20"/>
        <filter val="4,78"/>
        <filter val="4,80"/>
        <filter val="400,00"/>
        <filter val="45,00"/>
        <filter val="50,00"/>
        <filter val="54,20"/>
        <filter val="58,00"/>
        <filter val="6,63"/>
        <filter val="60,00"/>
        <filter val="63,96"/>
        <filter val="7,14"/>
        <filter val="8,00"/>
        <filter val="8,17"/>
        <filter val="800,00"/>
        <filter val="850,00"/>
        <filter val="9,26"/>
        <filter val="9,41"/>
        <filter val="9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