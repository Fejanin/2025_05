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349EDA-828C-4046-BCEE-E3E274CFBF8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P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P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478" i="2" l="1"/>
  <c r="Z72" i="2"/>
  <c r="BN142" i="2"/>
  <c r="Z149" i="2"/>
  <c r="Z275" i="2"/>
  <c r="Z306" i="2"/>
  <c r="BN344" i="2"/>
  <c r="Z425" i="2"/>
  <c r="Z53" i="2"/>
  <c r="BP53" i="2"/>
  <c r="Z95" i="2"/>
  <c r="Z191" i="2"/>
  <c r="Z232" i="2"/>
  <c r="Z265" i="2"/>
  <c r="Z139" i="2"/>
  <c r="Z184" i="2"/>
  <c r="Z330" i="2"/>
  <c r="Z142" i="2"/>
  <c r="Z344" i="2"/>
  <c r="Z377" i="2"/>
  <c r="Z409" i="2"/>
  <c r="Z411" i="2" s="1"/>
  <c r="Z434" i="2"/>
  <c r="Z478" i="2"/>
  <c r="Z480" i="2" s="1"/>
  <c r="Y85" i="2"/>
  <c r="Y143" i="2"/>
  <c r="Y163" i="2"/>
  <c r="Y203" i="2"/>
  <c r="Y204" i="2"/>
  <c r="Z64" i="2"/>
  <c r="BN64" i="2"/>
  <c r="Z83" i="2"/>
  <c r="Z84" i="2" s="1"/>
  <c r="BP90" i="2"/>
  <c r="Z141" i="2"/>
  <c r="Z143" i="2" s="1"/>
  <c r="Z161" i="2"/>
  <c r="Z162" i="2" s="1"/>
  <c r="Z187" i="2"/>
  <c r="Z230" i="2"/>
  <c r="BN230" i="2"/>
  <c r="Z272" i="2"/>
  <c r="Z282" i="2"/>
  <c r="Z319" i="2"/>
  <c r="Z329" i="2"/>
  <c r="Z337" i="2"/>
  <c r="Z372" i="2"/>
  <c r="Z416" i="2"/>
  <c r="Z427" i="2"/>
  <c r="W561" i="2"/>
  <c r="Z469" i="2"/>
  <c r="BP484" i="2"/>
  <c r="BN30" i="2"/>
  <c r="BN42" i="2"/>
  <c r="BN52" i="2"/>
  <c r="BN54" i="2"/>
  <c r="BN65" i="2"/>
  <c r="BN77" i="2"/>
  <c r="BP98" i="2"/>
  <c r="BN121" i="2"/>
  <c r="BN135" i="2"/>
  <c r="Z135" i="2"/>
  <c r="BN156" i="2"/>
  <c r="BN178" i="2"/>
  <c r="Z178" i="2"/>
  <c r="BN181" i="2"/>
  <c r="Z181" i="2"/>
  <c r="BP211" i="2"/>
  <c r="BN211" i="2"/>
  <c r="Z211" i="2"/>
  <c r="BN225" i="2"/>
  <c r="Z225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N305" i="2"/>
  <c r="BP307" i="2"/>
  <c r="BN307" i="2"/>
  <c r="Z307" i="2"/>
  <c r="Y313" i="2"/>
  <c r="Z311" i="2"/>
  <c r="Z312" i="2" s="1"/>
  <c r="BN328" i="2"/>
  <c r="BP342" i="2"/>
  <c r="BN342" i="2"/>
  <c r="Z342" i="2"/>
  <c r="Y369" i="2"/>
  <c r="Z365" i="2"/>
  <c r="BP367" i="2"/>
  <c r="Z367" i="2"/>
  <c r="BN396" i="2"/>
  <c r="BP423" i="2"/>
  <c r="BN423" i="2"/>
  <c r="Z423" i="2"/>
  <c r="BN428" i="2"/>
  <c r="Z428" i="2"/>
  <c r="BN453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P225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P283" i="2"/>
  <c r="BN284" i="2"/>
  <c r="BN304" i="2"/>
  <c r="Z304" i="2"/>
  <c r="Y331" i="2"/>
  <c r="BN327" i="2"/>
  <c r="Z327" i="2"/>
  <c r="BP346" i="2"/>
  <c r="Z346" i="2"/>
  <c r="BP365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P428" i="2"/>
  <c r="BN429" i="2"/>
  <c r="BN441" i="2"/>
  <c r="Z441" i="2"/>
  <c r="BN470" i="2"/>
  <c r="BN479" i="2"/>
  <c r="BN489" i="2"/>
  <c r="BP501" i="2"/>
  <c r="BN515" i="2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Z501" i="2"/>
  <c r="Z503" i="2"/>
  <c r="BN503" i="2"/>
  <c r="BN504" i="2"/>
  <c r="Y531" i="2"/>
  <c r="Z538" i="2"/>
  <c r="Z539" i="2" s="1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99" i="2" l="1"/>
  <c r="Z55" i="2"/>
  <c r="Z437" i="2"/>
  <c r="Z292" i="2"/>
  <c r="Z431" i="2"/>
  <c r="Z277" i="2"/>
  <c r="Z251" i="2"/>
  <c r="Z297" i="2"/>
  <c r="Z199" i="2"/>
  <c r="Z386" i="2"/>
  <c r="X554" i="2"/>
  <c r="Z331" i="2"/>
  <c r="Z347" i="2"/>
  <c r="Z136" i="2"/>
  <c r="Z379" i="2"/>
  <c r="Z322" i="2"/>
  <c r="Z36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<sst xmlns="http://schemas.openxmlformats.org/spreadsheetml/2006/main" count="4202" uniqueCount="896">
  <si>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</si>
  <si>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</si>
  <si>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</si>
  <si>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</si>
  <si>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</si>
  <si>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</si>
  <si>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</si>
  <si>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</si>
  <si>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</si>
  <si>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</si>
  <si>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</si>
  <si>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</si>
  <si>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</si>
  <si>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</si>
  <si>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</si>
  <si>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</si>
  <si>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</si>
  <si>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</si>
  <si>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</si>
  <si>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</si>
  <si>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</si>
  <si>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</si>
  <si>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</si>
  <si>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</si>
  <si>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</si>
  <si>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</si>
  <si>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</si>
  <si>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</si>
  <si>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</si>
  <si>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</si>
  <si>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</si>
  <si>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</si>
  <si>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</si>
  <si>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</si>
  <si>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</si>
  <si>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</si>
  <si>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</si>
  <si>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</si>
  <si>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</si>
  <si>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</si>
  <si>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</si>
  <si>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</si>
  <si>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</si>
  <si>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</si>
  <si>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</si>
  <si>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</si>
  <si>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</si>
  <si>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</si>
  <si>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</si>
  <si>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</si>
  <si>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</si>
  <si>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</si>
  <si>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</si>
  <si>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</si>
  <si>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</si>
  <si>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</si>
  <si>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</si>
  <si>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</si>
  <si>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</si>
  <si>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</si>
  <si>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</si>
  <si>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</si>
  <si>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</si>
  <si>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</si>
  <si>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</si>
  <si>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</si>
  <si>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</si>
  <si>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</si>
  <si>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</si>
  <si>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</si>
  <si>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</si>
  <si>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</si>
  <si>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</si>
  <si>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</si>
  <si>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</si>
  <si>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</si>
  <si>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</si>
  <si>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</si>
  <si>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</si>
  <si>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</si>
  <si>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</si>
  <si>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</si>
  <si>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</si>
  <si>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</si>
  <si>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</si>
  <si>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</si>
  <si>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</si>
  <si>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</si>
  <si>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</si>
  <si>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</si>
  <si>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</si>
  <si>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</si>
  <si>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</si>
  <si>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</si>
  <si>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</si>
  <si>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</si>
  <si>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</si>
  <si>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</si>
  <si>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</si>
  <si>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</si>
  <si>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</si>
  <si>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</si>
  <si>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</si>
  <si>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</si>
  <si>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</si>
  <si>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</si>
  <si>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</si>
  <si>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</si>
  <si>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</si>
  <si>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</si>
  <si>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</si>
  <si>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</si>
  <si>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</si>
  <si>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</si>
  <si>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</si>
  <si>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</si>
  <si>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</si>
  <si>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</si>
  <si>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</si>
  <si>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</si>
  <si>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</si>
  <si>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</si>
  <si>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</si>
  <si>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</si>
  <si>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</si>
  <si>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</si>
  <si>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</si>
  <si>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</si>
  <si>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</si>
  <si>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</si>
  <si>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</si>
  <si>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</si>
  <si>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</si>
  <si>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</si>
  <si>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</si>
  <si>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</si>
  <si>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</si>
  <si>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</si>
  <si>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</si>
  <si>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</si>
  <si>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</si>
  <si>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</si>
  <si>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</si>
  <si>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</si>
  <si>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</si>
  <si>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</si>
  <si>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</si>
  <si>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</si>
  <si>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</si>
  <si>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</si>
  <si>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</si>
  <si>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</si>
  <si>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</si>
  <si>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</si>
  <si>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</si>
  <si>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</si>
  <si>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</si>
  <si>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</si>
  <si>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</si>
  <si>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</si>
  <si>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</si>
  <si>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</si>
  <si>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</si>
  <si>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</si>
  <si>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</si>
  <si>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</si>
  <si>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</si>
  <si>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</si>
  <si>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</si>
  <si>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</si>
  <si>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</si>
  <si>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</si>
  <si>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</si>
  <si>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</si>
  <si>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</si>
  <si>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</si>
  <si>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</si>
  <si>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</si>
  <si>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</si>
  <si>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</si>
  <si>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</si>
  <si>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</si>
  <si>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</si>
  <si>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</si>
  <si>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</si>
  <si>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</si>
  <si>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</si>
  <si>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</si>
  <si>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</si>
  <si>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</si>
  <si>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</si>
  <si>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</si>
  <si>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</si>
  <si>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</si>
  <si>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</si>
  <si>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</si>
  <si>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</si>
  <si>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</si>
  <si>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</si>
  <si>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</si>
  <si>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</si>
  <si>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</si>
  <si>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</si>
  <si>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</si>
  <si>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</si>
  <si>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</si>
  <si>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</si>
  <si>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</si>
  <si>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</si>
  <si>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</si>
  <si>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</si>
  <si>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</si>
  <si>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</si>
  <si>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</si>
  <si>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</si>
  <si>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</si>
  <si>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</si>
  <si>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</si>
  <si>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</si>
  <si>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</si>
  <si>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</si>
  <si>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</si>
  <si>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</si>
  <si>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</si>
  <si>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</si>
  <si>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</si>
  <si>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</si>
  <si>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</si>
  <si>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</si>
  <si>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</si>
  <si>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</si>
  <si>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</si>
  <si>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</si>
  <si>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</si>
  <si>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</si>
  <si>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</si>
  <si>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</si>
  <si>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</si>
  <si>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</si>
  <si>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</si>
  <si>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</si>
  <si>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</si>
  <si>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</si>
  <si>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</si>
  <si>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</si>
  <si>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</si>
  <si>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</si>
  <si>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</si>
  <si>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</si>
  <si>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</si>
  <si>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</si>
  <si>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</si>
  <si>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</si>
  <si>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</si>
  <si>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</si>
  <si>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</si>
  <si>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</si>
  <si>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</si>
  <si>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</si>
  <si>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</si>
  <si>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</si>
  <si>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</si>
  <si>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</si>
  <si>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</si>
  <si>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</si>
  <si>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</si>
  <si>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</si>
  <si>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</si>
  <si>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</si>
  <si>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</si>
  <si>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</si>
  <si>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</si>
  <si>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</si>
  <si>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</si>
  <si>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</si>
  <si>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</si>
  <si>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</si>
  <si>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</si>
  <si>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</si>
  <si>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</si>
  <si>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</si>
  <si>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</si>
  <si>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</si>
  <si>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</si>
  <si>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</si>
  <si>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</si>
  <si>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</si>
  <si>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</si>
  <si>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</si>
  <si>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</si>
  <si>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</si>
  <si>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</si>
  <si>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</si>
  <si>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</si>
  <si>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</si>
  <si>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</si>
  <si>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</si>
  <si>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</si>
  <si>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</si>
  <si>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</si>
  <si>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</si>
  <si>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</si>
  <si>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</si>
  <si>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</si>
  <si>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</si>
  <si>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</si>
  <si>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</si>
  <si>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</si>
  <si>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</si>
  <si>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</si>
  <si>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</si>
  <si>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</si>
  <si>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</si>
  <si>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</si>
  <si>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</si>
  <si>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</si>
  <si>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</si>
  <si>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</si>
  <si>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</si>
  <si>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</si>
  <si>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</si>
  <si>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</si>
  <si>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</si>
  <si>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</si>
  <si>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</si>
  <si>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</si>
  <si>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</si>
  <si>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</si>
  <si>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</si>
  <si>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</si>
  <si>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</si>
  <si>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</si>
  <si>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</si>
  <si>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</si>
  <si>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</si>
  <si>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</si>
  <si>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</si>
  <si>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</si>
  <si>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</si>
  <si>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</si>
  <si>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</si>
  <si>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</si>
  <si>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</si>
  <si>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</si>
  <si>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</si>
  <si>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</si>
  <si>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</si>
  <si>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</si>
  <si>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</si>
  <si>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</si>
  <si>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</si>
  <si>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</si>
  <si>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</si>
  <si>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</si>
  <si>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</si>
  <si>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</si>
  <si>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</si>
  <si>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</si>
  <si>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</si>
  <si>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</si>
  <si>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</si>
  <si>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</si>
  <si>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</si>
  <si>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</si>
  <si>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</si>
  <si>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</si>
  <si>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</si>
  <si>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</si>
  <si>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</si>
  <si>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</si>
  <si>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</si>
  <si>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</si>
  <si>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</si>
  <si>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</si>
  <si>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</si>
  <si>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</si>
  <si>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</si>
  <si>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</si>
  <si>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</si>
  <si>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</si>
  <si>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</si>
  <si>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</si>
  <si>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</si>
  <si>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</si>
  <si>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</si>
  <si>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</si>
  <si>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</si>
  <si>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</si>
  <si>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</si>
  <si>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</si>
  <si>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</si>
  <si>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</si>
  <si>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</si>
  <si>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</si>
  <si>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</si>
  <si>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</si>
  <si>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</si>
  <si>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</si>
  <si>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</si>
  <si>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</si>
  <si>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</si>
  <si>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</si>
  <si>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</si>
  <si>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</si>
  <si>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</si>
  <si>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</si>
  <si>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</si>
  <si>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</si>
  <si>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</si>
  <si>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</si>
  <si>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</si>
  <si>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</si>
  <si>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</si>
  <si>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</si>
  <si>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</si>
  <si>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</si>
  <si>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</si>
  <si>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</si>
  <si>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</si>
  <si>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</si>
  <si>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</si>
  <si>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</si>
  <si>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</si>
  <si>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</si>
  <si>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</si>
  <si>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</si>
  <si>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</si>
  <si>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</si>
  <si>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</si>
  <si>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</si>
  <si>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</si>
  <si>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</si>
  <si>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</si>
  <si>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</si>
  <si>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</si>
  <si>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</si>
  <si>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</si>
  <si>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</si>
  <si>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</si>
  <si>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</si>
  <si>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</si>
  <si>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</si>
  <si>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</si>
  <si>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</si>
  <si>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</si>
  <si>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</si>
  <si>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</si>
  <si>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</si>
  <si>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</si>
  <si>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</si>
  <si>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</si>
  <si>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</si>
  <si>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</si>
  <si>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</si>
  <si>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</si>
  <si>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</si>
  <si>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</si>
  <si>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</si>
  <si>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</si>
  <si>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</si>
  <si>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</si>
  <si>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</si>
  <si>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</si>
  <si>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</si>
  <si>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</si>
  <si>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</si>
  <si>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</si>
  <si>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</si>
  <si>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</si>
  <si>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</si>
  <si>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</si>
  <si>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</si>
  <si>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</si>
  <si>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</si>
  <si>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</si>
  <si>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</si>
  <si>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</si>
  <si>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</si>
  <si>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</si>
  <si>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</si>
  <si>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</si>
  <si>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</si>
  <si>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</si>
  <si>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</si>
  <si>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</si>
  <si>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</si>
  <si>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</si>
  <si>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</si>
  <si>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</si>
  <si>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</si>
  <si>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</si>
  <si>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</si>
  <si>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</si>
  <si>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</si>
  <si>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</si>
  <si>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</si>
  <si>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</si>
  <si>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</si>
  <si>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</si>
  <si>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</si>
  <si>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</si>
  <si>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</si>
  <si>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</si>
  <si>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</si>
  <si>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</si>
  <si>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</si>
  <si>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</si>
  <si>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</si>
  <si>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</si>
  <si>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</si>
  <si>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</si>
  <si>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</si>
  <si>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</si>
  <si>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</si>
  <si>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</si>
  <si>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</si>
  <si>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</si>
  <si>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</si>
  <si>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</si>
  <si>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</si>
  <si>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</si>
  <si>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</si>
  <si>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</si>
  <si>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</si>
  <si>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</si>
  <si>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</si>
  <si>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</si>
  <si>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</si>
  <si>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</si>
  <si>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</si>
  <si>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</si>
  <si>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</si>
  <si>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</si>
  <si>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</si>
  <si>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</si>
  <si>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</si>
  <si>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</si>
  <si>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</si>
  <si>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</si>
  <si>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</si>
  <si>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</si>
  <si>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</si>
  <si>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</si>
  <si>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</si>
  <si>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</si>
  <si>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</si>
  <si>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</si>
  <si>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</si>
  <si>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</si>
  <si>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</si>
  <si>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</si>
  <si>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</si>
  <si>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</si>
  <si>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</si>
  <si>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</si>
  <si>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</si>
  <si>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</si>
  <si>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</si>
  <si>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</si>
  <si>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</si>
  <si>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</si>
  <si>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</si>
  <si>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</si>
  <si>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</si>
  <si>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</si>
  <si>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</si>
  <si>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</si>
  <si>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</si>
  <si>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</si>
  <si>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</si>
  <si>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</si>
  <si>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</si>
  <si>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</si>
  <si>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</si>
  <si>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</si>
  <si>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</si>
  <si>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</si>
  <si>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</si>
  <si>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</si>
  <si>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</si>
  <si>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</si>
  <si>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</si>
  <si>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</si>
  <si>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</si>
  <si>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</si>
  <si>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</si>
  <si>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</si>
  <si>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</si>
  <si>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</si>
  <si>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</si>
  <si>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</si>
  <si>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</si>
  <si>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</si>
  <si>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</si>
  <si>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</si>
  <si>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</si>
  <si>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</si>
  <si>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</si>
  <si>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</si>
  <si>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</si>
  <si>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</si>
  <si>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</si>
  <si>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</si>
  <si>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</si>
  <si>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</si>
  <si>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</si>
  <si>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</si>
  <si>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</si>
  <si>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</si>
  <si>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</si>
  <si>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</si>
  <si>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</si>
  <si>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</si>
  <si>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</si>
  <si>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</si>
  <si>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</si>
  <si>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</si>
  <si>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</si>
  <si>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</si>
  <si>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</si>
  <si>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</si>
  <si>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</si>
  <si>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</si>
  <si>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</si>
  <si>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</si>
  <si>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</si>
  <si>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</si>
  <si>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</si>
  <si>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</si>
  <si>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</si>
  <si>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</si>
  <si>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</si>
  <si>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</si>
  <si>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</si>
  <si>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</si>
  <si>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</si>
  <si>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</si>
  <si>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</si>
  <si>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</si>
  <si>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</si>
  <si>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</si>
  <si>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</si>
  <si>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</si>
  <si>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</si>
  <si>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</si>
  <si>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</si>
  <si>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</si>
  <si>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</si>
  <si>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</si>
  <si>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</si>
  <si>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</si>
  <si>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</si>
  <si>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</si>
  <si>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</si>
  <si>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</si>
  <si>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</si>
  <si>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</si>
  <si>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</si>
  <si>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</si>
  <si>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</si>
  <si>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</si>
  <si>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</si>
  <si>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</si>
  <si>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</si>
  <si>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</si>
  <si>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</si>
  <si>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</si>
  <si>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</si>
  <si>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</si>
  <si>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</si>
  <si>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</si>
  <si>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</si>
  <si>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</si>
  <si>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</si>
  <si>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</si>
  <si>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</si>
  <si>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</si>
  <si>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</si>
  <si>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</si>
  <si>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</si>
  <si>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</si>
  <si>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</si>
  <si>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</si>
  <si>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</si>
  <si>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</si>
  <si>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</si>
  <si>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</si>
  <si>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</si>
  <si>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</si>
  <si>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</si>
  <si>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</si>
  <si>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</si>
  <si>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</si>
  <si>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</si>
  <si>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</si>
  <si>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</si>
  <si>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</si>
  <si>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</si>
  <si>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</si>
  <si>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</si>
  <si>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</si>
  <si>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</si>
  <si>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</si>
  <si>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</si>
  <si>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</si>
  <si>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</si>
  <si>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</si>
  <si>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</si>
  <si>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</si>
  <si>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</si>
  <si>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</si>
  <si>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</si>
  <si>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</si>
  <si>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</si>
  <si>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</si>
  <si>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</si>
  <si>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</si>
  <si>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</si>
  <si>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</si>
  <si>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</si>
  <si>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</si>
  <si>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</si>
  <si>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</si>
  <si>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</si>
  <si>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</si>
  <si>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</si>
  <si>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</si>
  <si>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</si>
  <si>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</si>
  <si>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</si>
  <si>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</si>
  <si>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</si>
  <si>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</si>
  <si>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</si>
  <si>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</si>
  <si>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</si>
  <si>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</si>
  <si>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</si>
  <si>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</si>
  <si>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</si>
  <si>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</si>
  <si>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</si>
  <si>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</si>
  <si>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</si>
  <si>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</si>
  <si>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</si>
  <si>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</si>
  <si>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</si>
  <si>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</si>
  <si>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</si>
  <si>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</si>
  <si>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</si>
  <si>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</si>
  <si>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</si>
  <si>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</si>
  <si>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</si>
  <si>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</si>
  <si>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</si>
  <si>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</si>
  <si>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</si>
  <si>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</si>
  <si>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</si>
  <si>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</si>
  <si>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</si>
  <si>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</si>
  <si>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</si>
  <si>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</si>
  <si>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</si>
  <si>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</si>
  <si>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</si>
  <si>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</si>
  <si>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</si>
  <si>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</si>
  <si>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</si>
  <si>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</si>
  <si>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</si>
  <si>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</si>
  <si>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</si>
  <si>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</si>
  <si>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</si>
  <si>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</si>
  <si>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</si>
  <si>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</si>
  <si>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</si>
  <si>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</si>
  <si>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</si>
  <si>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</si>
  <si>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</si>
  <si>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</si>
  <si>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</si>
  <si>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</si>
  <si>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</si>
  <si>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</si>
  <si>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</si>
  <si>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</si>
  <si>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</si>
  <si>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</si>
  <si>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</si>
  <si>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</si>
  <si>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</si>
  <si>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</si>
  <si>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</si>
  <si>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</si>
  <si>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</si>
  <si>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</si>
  <si>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</si>
  <si>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</si>
  <si>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</si>
  <si>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</si>
  <si>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</si>
  <si>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</si>
  <si>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</si>
  <si>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</si>
  <si>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</si>
  <si>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</si>
  <si>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</si>
  <si>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</si>
  <si>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</si>
  <si>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</si>
  <si>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</si>
  <si>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</si>
  <si>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</si>
  <si>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</si>
  <si>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</si>
  <si>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</si>
  <si>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</si>
  <si>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</si>
  <si>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</si>
  <si>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</si>
  <si>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</si>
  <si>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</si>
  <si>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</si>
  <si>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</si>
  <si>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</si>
  <si>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</si>
  <si>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</si>
  <si>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</si>
  <si>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</si>
  <si>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</si>
  <si>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</si>
  <si>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</si>
  <si>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</si>
  <si>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</si>
  <si>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</si>
  <si>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</si>
  <si>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</si>
  <si>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</si>
  <si>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</si>
  <si>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</si>
  <si>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</si>
  <si>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</si>
  <si>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</si>
  <si>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</si>
  <si>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</si>
  <si>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</si>
  <si>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</si>
  <si>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</si>
  <si>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</si>
  <si>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</si>
  <si>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</si>
  <si>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</si>
  <si>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</si>
  <si>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</si>
  <si>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</si>
  <si>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</si>
  <si>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</si>
  <si>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</si>
  <si>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</si>
  <si>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</si>
  <si>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</si>
  <si>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</si>
  <si>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</si>
  <si>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</si>
  <si>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</si>
  <si>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</si>
  <si>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</si>
  <si>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</si>
  <si>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</si>
  <si>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</si>
  <si>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</si>
  <si>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</si>
  <si>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</si>
  <si>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</si>
  <si>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</si>
  <si>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</si>
  <si>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</si>
  <si>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</si>
  <si>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</si>
  <si>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</si>
  <si>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</si>
  <si>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</si>
  <si>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</si>
  <si>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</si>
  <si>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</si>
  <si>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заказу №2, машина 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</si>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</sst>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894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877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895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6320</v>
      </c>
      <c r="Y382" s="55">
        <f>IFERROR(IF(X382="",0,CEILING((X382/$H382),1)*$H382),"")</f>
        <v>6325.8</v>
      </c>
      <c r="Z382" s="41">
        <f>IFERROR(IF(Y382=0,"",ROUNDUP(Y382/H382,0)*0.01898),"")</f>
        <v>15.39278</v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6715.4051282051287</v>
      </c>
      <c r="BN382" s="78">
        <f>IFERROR(Y382*I382/H382,"0")</f>
        <v>6721.5680000000002</v>
      </c>
      <c r="BO382" s="78">
        <f>IFERROR(1/J382*(X382/H382),"0")</f>
        <v>12.660256410256411</v>
      </c>
      <c r="BP382" s="78">
        <f>IFERROR(1/J382*(Y382/H382),"0")</f>
        <v>12.671875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810.25641025641028</v>
      </c>
      <c r="Y386" s="43">
        <f>IFERROR(Y382/H382,"0")+IFERROR(Y383/H383,"0")+IFERROR(Y384/H384,"0")+IFERROR(Y385/H385,"0")</f>
        <v>811</v>
      </c>
      <c r="Z386" s="43">
        <f>IFERROR(IF(Z382="",0,Z382),"0")+IFERROR(IF(Z383="",0,Z383),"0")+IFERROR(IF(Z384="",0,Z384),"0")+IFERROR(IF(Z385="",0,Z385),"0")</f>
        <v>15.39278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6320</v>
      </c>
      <c r="Y387" s="43">
        <f>IFERROR(SUM(Y382:Y385),"0")</f>
        <v>6325.8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6320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6325.8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6715.4051282051287</v>
      </c>
      <c r="Y552" s="43">
        <f>IFERROR(SUM(BN22:BN548),"0")</f>
        <v>6721.5680000000002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13</v>
      </c>
      <c r="Y553" s="44">
        <f>ROUNDUP(SUM(BP22:BP548),0)</f>
        <v>13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7040.4051282051287</v>
      </c>
      <c r="Y554" s="43">
        <f>GrossWeightTotalR+PalletQtyTotalR*25</f>
        <v>7046.5680000000002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810.25641025641028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811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15.39278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6325.8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"/>
        <filter val="6 320,00"/>
        <filter val="6 715,41"/>
        <filter val="7 040,41"/>
        <filter val="810,2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8" spans="2:8" x14ac:dyDescent="0.2">
      <c r="B8" s="53" t="s">
        <v>877</v>
      </c>
      <c r="C8" s="53" t="s">
        <v>878</v>
      </c>
      <c r="D8" s="53" t="s">
        <v>879</v>
      </c>
      <c r="E8" s="53" t="s">
        <v>46</v>
      </c>
    </row>
    <row r="10" spans="2:8" x14ac:dyDescent="0.2">
      <c r="B10" s="53" t="s">
        <v>880</v>
      </c>
      <c r="C10" s="53" t="s">
        <v>872</v>
      </c>
      <c r="D10" s="53" t="s">
        <v>46</v>
      </c>
      <c r="E10" s="53" t="s">
        <v>46</v>
      </c>
    </row>
    <row r="12" spans="2:8" x14ac:dyDescent="0.2">
      <c r="B12" s="53" t="s">
        <v>881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882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883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893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