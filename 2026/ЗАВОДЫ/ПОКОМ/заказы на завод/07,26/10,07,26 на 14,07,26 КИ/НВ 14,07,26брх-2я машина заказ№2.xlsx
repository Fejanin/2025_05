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E5C0E7-0D02-470E-BDAE-5C5B41C16F2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Z412" i="1"/>
  <c r="Y412" i="1"/>
  <c r="BN412" i="1" s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BP400" i="1" s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M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Z334" i="1"/>
  <c r="Y334" i="1"/>
  <c r="BN334" i="1" s="1"/>
  <c r="P334" i="1"/>
  <c r="BO333" i="1"/>
  <c r="BM333" i="1"/>
  <c r="Y333" i="1"/>
  <c r="P333" i="1"/>
  <c r="BO332" i="1"/>
  <c r="BM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Z325" i="1"/>
  <c r="Y325" i="1"/>
  <c r="BN325" i="1" s="1"/>
  <c r="P325" i="1"/>
  <c r="X322" i="1"/>
  <c r="X321" i="1"/>
  <c r="BO320" i="1"/>
  <c r="BM320" i="1"/>
  <c r="Y320" i="1"/>
  <c r="P320" i="1"/>
  <c r="BO319" i="1"/>
  <c r="BM319" i="1"/>
  <c r="Y319" i="1"/>
  <c r="P319" i="1"/>
  <c r="BP318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P297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Y283" i="1" s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Z219" i="1"/>
  <c r="Y219" i="1"/>
  <c r="BN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X211" i="1"/>
  <c r="X210" i="1"/>
  <c r="BO209" i="1"/>
  <c r="BM209" i="1"/>
  <c r="Y209" i="1"/>
  <c r="Y210" i="1" s="1"/>
  <c r="P209" i="1"/>
  <c r="X206" i="1"/>
  <c r="X205" i="1"/>
  <c r="BO204" i="1"/>
  <c r="BM204" i="1"/>
  <c r="Z204" i="1"/>
  <c r="Y204" i="1"/>
  <c r="BN204" i="1" s="1"/>
  <c r="P204" i="1"/>
  <c r="BO203" i="1"/>
  <c r="BM203" i="1"/>
  <c r="Y203" i="1"/>
  <c r="BP203" i="1" s="1"/>
  <c r="P203" i="1"/>
  <c r="BO202" i="1"/>
  <c r="BM202" i="1"/>
  <c r="Y202" i="1"/>
  <c r="BN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Z188" i="1"/>
  <c r="Y188" i="1"/>
  <c r="BN188" i="1" s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BN172" i="1" s="1"/>
  <c r="P172" i="1"/>
  <c r="BO171" i="1"/>
  <c r="BM171" i="1"/>
  <c r="Y171" i="1"/>
  <c r="BP171" i="1" s="1"/>
  <c r="P171" i="1"/>
  <c r="BO170" i="1"/>
  <c r="BM170" i="1"/>
  <c r="Y170" i="1"/>
  <c r="BN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Y164" i="1" s="1"/>
  <c r="P163" i="1"/>
  <c r="X161" i="1"/>
  <c r="X160" i="1"/>
  <c r="BO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BN144" i="1" s="1"/>
  <c r="P144" i="1"/>
  <c r="X142" i="1"/>
  <c r="X141" i="1"/>
  <c r="BO140" i="1"/>
  <c r="BM140" i="1"/>
  <c r="Y140" i="1"/>
  <c r="BN140" i="1" s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BN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Z96" i="1"/>
  <c r="Y96" i="1"/>
  <c r="BN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BP89" i="1" s="1"/>
  <c r="P89" i="1"/>
  <c r="BO88" i="1"/>
  <c r="BM88" i="1"/>
  <c r="Y88" i="1"/>
  <c r="BN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N71" i="1"/>
  <c r="BM71" i="1"/>
  <c r="Z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90" i="1" l="1"/>
  <c r="BN90" i="1"/>
  <c r="Z90" i="1"/>
  <c r="BN107" i="1"/>
  <c r="BN115" i="1"/>
  <c r="BN134" i="1"/>
  <c r="Z134" i="1"/>
  <c r="BP151" i="1"/>
  <c r="BN151" i="1"/>
  <c r="Z151" i="1"/>
  <c r="BP158" i="1"/>
  <c r="BN158" i="1"/>
  <c r="Z158" i="1"/>
  <c r="BP174" i="1"/>
  <c r="BN174" i="1"/>
  <c r="Z174" i="1"/>
  <c r="BP182" i="1"/>
  <c r="BN182" i="1"/>
  <c r="Z182" i="1"/>
  <c r="BP198" i="1"/>
  <c r="BN198" i="1"/>
  <c r="Z198" i="1"/>
  <c r="BN209" i="1"/>
  <c r="BN233" i="1"/>
  <c r="BP260" i="1"/>
  <c r="BN260" i="1"/>
  <c r="Z260" i="1"/>
  <c r="BN264" i="1"/>
  <c r="Y307" i="1"/>
  <c r="Y306" i="1"/>
  <c r="BP305" i="1"/>
  <c r="BN305" i="1"/>
  <c r="Z305" i="1"/>
  <c r="Z306" i="1" s="1"/>
  <c r="BN311" i="1"/>
  <c r="Z311" i="1"/>
  <c r="BP320" i="1"/>
  <c r="BN320" i="1"/>
  <c r="Z320" i="1"/>
  <c r="BN354" i="1"/>
  <c r="BN374" i="1"/>
  <c r="Z374" i="1"/>
  <c r="BN386" i="1"/>
  <c r="Z386" i="1"/>
  <c r="BN451" i="1"/>
  <c r="BP470" i="1"/>
  <c r="BN470" i="1"/>
  <c r="Z470" i="1"/>
  <c r="BN490" i="1"/>
  <c r="BN498" i="1"/>
  <c r="BN524" i="1"/>
  <c r="X537" i="1"/>
  <c r="Z28" i="1"/>
  <c r="BN28" i="1"/>
  <c r="Z52" i="1"/>
  <c r="BN52" i="1"/>
  <c r="BP63" i="1"/>
  <c r="BN63" i="1"/>
  <c r="Z63" i="1"/>
  <c r="BP98" i="1"/>
  <c r="BN98" i="1"/>
  <c r="Z98" i="1"/>
  <c r="Y131" i="1"/>
  <c r="Y130" i="1"/>
  <c r="BN129" i="1"/>
  <c r="BN192" i="1"/>
  <c r="BP213" i="1"/>
  <c r="BN213" i="1"/>
  <c r="Z213" i="1"/>
  <c r="BP221" i="1"/>
  <c r="BN221" i="1"/>
  <c r="Z221" i="1"/>
  <c r="BN250" i="1"/>
  <c r="BP274" i="1"/>
  <c r="BN274" i="1"/>
  <c r="Z274" i="1"/>
  <c r="BN278" i="1"/>
  <c r="BN297" i="1"/>
  <c r="Z297" i="1"/>
  <c r="BP311" i="1"/>
  <c r="BN318" i="1"/>
  <c r="Z318" i="1"/>
  <c r="Y342" i="1"/>
  <c r="Z340" i="1"/>
  <c r="BN366" i="1"/>
  <c r="Z366" i="1"/>
  <c r="BP374" i="1"/>
  <c r="BN380" i="1"/>
  <c r="Z380" i="1"/>
  <c r="BP386" i="1"/>
  <c r="BN399" i="1"/>
  <c r="BN408" i="1"/>
  <c r="BN482" i="1"/>
  <c r="BN516" i="1"/>
  <c r="Y100" i="1"/>
  <c r="BN123" i="1"/>
  <c r="BN153" i="1"/>
  <c r="BN168" i="1"/>
  <c r="BN176" i="1"/>
  <c r="BN200" i="1"/>
  <c r="BN215" i="1"/>
  <c r="BN223" i="1"/>
  <c r="BN231" i="1"/>
  <c r="BN239" i="1"/>
  <c r="BN262" i="1"/>
  <c r="BN276" i="1"/>
  <c r="BN286" i="1"/>
  <c r="BN293" i="1"/>
  <c r="BP325" i="1"/>
  <c r="BP334" i="1"/>
  <c r="BN362" i="1"/>
  <c r="BP412" i="1"/>
  <c r="BN424" i="1"/>
  <c r="BN433" i="1"/>
  <c r="BN484" i="1"/>
  <c r="BN500" i="1"/>
  <c r="BN22" i="1"/>
  <c r="BN30" i="1"/>
  <c r="C543" i="1"/>
  <c r="Z44" i="1"/>
  <c r="BP44" i="1"/>
  <c r="D543" i="1"/>
  <c r="Z54" i="1"/>
  <c r="BP54" i="1"/>
  <c r="Z61" i="1"/>
  <c r="BP61" i="1"/>
  <c r="BN65" i="1"/>
  <c r="BP96" i="1"/>
  <c r="Z103" i="1"/>
  <c r="Z172" i="1"/>
  <c r="BP188" i="1"/>
  <c r="Y194" i="1"/>
  <c r="BP192" i="1"/>
  <c r="Z192" i="1"/>
  <c r="Z193" i="1" s="1"/>
  <c r="BP202" i="1"/>
  <c r="Z202" i="1"/>
  <c r="BP225" i="1"/>
  <c r="Z225" i="1"/>
  <c r="BN347" i="1"/>
  <c r="BP347" i="1"/>
  <c r="Z347" i="1"/>
  <c r="BN443" i="1"/>
  <c r="BP443" i="1"/>
  <c r="Z443" i="1"/>
  <c r="BN459" i="1"/>
  <c r="BP459" i="1"/>
  <c r="Z459" i="1"/>
  <c r="Y79" i="1"/>
  <c r="BP77" i="1"/>
  <c r="Z77" i="1"/>
  <c r="BP88" i="1"/>
  <c r="BP204" i="1"/>
  <c r="BP209" i="1"/>
  <c r="Z209" i="1"/>
  <c r="Z210" i="1" s="1"/>
  <c r="BP217" i="1"/>
  <c r="Z217" i="1"/>
  <c r="BN332" i="1"/>
  <c r="BP332" i="1"/>
  <c r="Z332" i="1"/>
  <c r="BN478" i="1"/>
  <c r="BP478" i="1"/>
  <c r="Z478" i="1"/>
  <c r="Z22" i="1"/>
  <c r="Y32" i="1"/>
  <c r="Z30" i="1"/>
  <c r="Z65" i="1"/>
  <c r="Z88" i="1"/>
  <c r="BP134" i="1"/>
  <c r="BP140" i="1"/>
  <c r="Z140" i="1"/>
  <c r="BP170" i="1"/>
  <c r="Z170" i="1"/>
  <c r="BP219" i="1"/>
  <c r="BN272" i="1"/>
  <c r="BP272" i="1"/>
  <c r="Z272" i="1"/>
  <c r="BN295" i="1"/>
  <c r="BP295" i="1"/>
  <c r="Z295" i="1"/>
  <c r="Y303" i="1"/>
  <c r="Y302" i="1"/>
  <c r="BN301" i="1"/>
  <c r="BP301" i="1"/>
  <c r="Z301" i="1"/>
  <c r="Z302" i="1" s="1"/>
  <c r="Y313" i="1"/>
  <c r="BN309" i="1"/>
  <c r="BP309" i="1"/>
  <c r="Z309" i="1"/>
  <c r="BN316" i="1"/>
  <c r="BP316" i="1"/>
  <c r="Z316" i="1"/>
  <c r="BN364" i="1"/>
  <c r="BP364" i="1"/>
  <c r="Z364" i="1"/>
  <c r="BN372" i="1"/>
  <c r="BP372" i="1"/>
  <c r="Z372" i="1"/>
  <c r="Y382" i="1"/>
  <c r="BN378" i="1"/>
  <c r="BP378" i="1"/>
  <c r="Z378" i="1"/>
  <c r="Y388" i="1"/>
  <c r="BN384" i="1"/>
  <c r="BP384" i="1"/>
  <c r="Z384" i="1"/>
  <c r="BN392" i="1"/>
  <c r="BP392" i="1"/>
  <c r="Z392" i="1"/>
  <c r="Y522" i="1"/>
  <c r="Y521" i="1"/>
  <c r="BN520" i="1"/>
  <c r="BP520" i="1"/>
  <c r="Z520" i="1"/>
  <c r="Z521" i="1" s="1"/>
  <c r="BP103" i="1"/>
  <c r="BP117" i="1"/>
  <c r="Z117" i="1"/>
  <c r="BP125" i="1"/>
  <c r="Z125" i="1"/>
  <c r="BP172" i="1"/>
  <c r="BN266" i="1"/>
  <c r="BP266" i="1"/>
  <c r="Z266" i="1"/>
  <c r="BN280" i="1"/>
  <c r="BP280" i="1"/>
  <c r="Z280" i="1"/>
  <c r="BN356" i="1"/>
  <c r="BP356" i="1"/>
  <c r="Z356" i="1"/>
  <c r="BN410" i="1"/>
  <c r="BP410" i="1"/>
  <c r="Z410" i="1"/>
  <c r="BN418" i="1"/>
  <c r="BP418" i="1"/>
  <c r="Z418" i="1"/>
  <c r="BN453" i="1"/>
  <c r="BP453" i="1"/>
  <c r="Z453" i="1"/>
  <c r="Y282" i="1"/>
  <c r="Y369" i="1"/>
  <c r="U543" i="1"/>
  <c r="Y127" i="1"/>
  <c r="Y146" i="1"/>
  <c r="Y178" i="1"/>
  <c r="Y235" i="1"/>
  <c r="Z233" i="1"/>
  <c r="Y241" i="1"/>
  <c r="Z250" i="1"/>
  <c r="Y256" i="1"/>
  <c r="Z264" i="1"/>
  <c r="Z270" i="1"/>
  <c r="BP270" i="1"/>
  <c r="Z278" i="1"/>
  <c r="Z286" i="1"/>
  <c r="Y299" i="1"/>
  <c r="Z293" i="1"/>
  <c r="BN340" i="1"/>
  <c r="Z354" i="1"/>
  <c r="Z362" i="1"/>
  <c r="Z399" i="1"/>
  <c r="Z408" i="1"/>
  <c r="Z424" i="1"/>
  <c r="Z433" i="1"/>
  <c r="Z451" i="1"/>
  <c r="Z484" i="1"/>
  <c r="Z500" i="1"/>
  <c r="Z107" i="1"/>
  <c r="Y119" i="1"/>
  <c r="Z115" i="1"/>
  <c r="Z123" i="1"/>
  <c r="Z129" i="1"/>
  <c r="Z130" i="1" s="1"/>
  <c r="BP129" i="1"/>
  <c r="Z144" i="1"/>
  <c r="BP144" i="1"/>
  <c r="I543" i="1"/>
  <c r="Z153" i="1"/>
  <c r="Z168" i="1"/>
  <c r="Z176" i="1"/>
  <c r="Y184" i="1"/>
  <c r="Y205" i="1"/>
  <c r="Z200" i="1"/>
  <c r="Y227" i="1"/>
  <c r="Z215" i="1"/>
  <c r="Z223" i="1"/>
  <c r="Z231" i="1"/>
  <c r="Z239" i="1"/>
  <c r="Z254" i="1"/>
  <c r="BP254" i="1"/>
  <c r="Z262" i="1"/>
  <c r="Z276" i="1"/>
  <c r="Z291" i="1"/>
  <c r="BP291" i="1"/>
  <c r="Y389" i="1"/>
  <c r="Z482" i="1"/>
  <c r="Z490" i="1"/>
  <c r="Z498" i="1"/>
  <c r="Z516" i="1"/>
  <c r="Z524" i="1"/>
  <c r="F9" i="1"/>
  <c r="J9" i="1"/>
  <c r="F10" i="1"/>
  <c r="Y25" i="1"/>
  <c r="Y33" i="1"/>
  <c r="Y37" i="1"/>
  <c r="Y47" i="1"/>
  <c r="Y55" i="1"/>
  <c r="Y68" i="1"/>
  <c r="Y74" i="1"/>
  <c r="Y80" i="1"/>
  <c r="Y84" i="1"/>
  <c r="Y93" i="1"/>
  <c r="Y99" i="1"/>
  <c r="Y110" i="1"/>
  <c r="Y120" i="1"/>
  <c r="Y126" i="1"/>
  <c r="Y137" i="1"/>
  <c r="Y141" i="1"/>
  <c r="Y147" i="1"/>
  <c r="Y154" i="1"/>
  <c r="Y161" i="1"/>
  <c r="Y165" i="1"/>
  <c r="Y179" i="1"/>
  <c r="Y185" i="1"/>
  <c r="Y189" i="1"/>
  <c r="Y228" i="1"/>
  <c r="Y236" i="1"/>
  <c r="Y242" i="1"/>
  <c r="Y246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BP319" i="1"/>
  <c r="BN319" i="1"/>
  <c r="Z319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BP355" i="1"/>
  <c r="BN355" i="1"/>
  <c r="Z355" i="1"/>
  <c r="BP363" i="1"/>
  <c r="BN363" i="1"/>
  <c r="Z363" i="1"/>
  <c r="BP367" i="1"/>
  <c r="BN367" i="1"/>
  <c r="Z367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94" i="1"/>
  <c r="BP391" i="1"/>
  <c r="BN391" i="1"/>
  <c r="Z391" i="1"/>
  <c r="Y395" i="1"/>
  <c r="H9" i="1"/>
  <c r="B543" i="1"/>
  <c r="X534" i="1"/>
  <c r="X535" i="1"/>
  <c r="Z23" i="1"/>
  <c r="BN23" i="1"/>
  <c r="Y24" i="1"/>
  <c r="X533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43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F543" i="1"/>
  <c r="Z89" i="1"/>
  <c r="BN89" i="1"/>
  <c r="Z91" i="1"/>
  <c r="BN91" i="1"/>
  <c r="Y92" i="1"/>
  <c r="Z95" i="1"/>
  <c r="BN95" i="1"/>
  <c r="BP95" i="1"/>
  <c r="Z97" i="1"/>
  <c r="BN97" i="1"/>
  <c r="G543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Z122" i="1"/>
  <c r="BN122" i="1"/>
  <c r="BP122" i="1"/>
  <c r="Z124" i="1"/>
  <c r="BN124" i="1"/>
  <c r="H543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BN150" i="1"/>
  <c r="BP150" i="1"/>
  <c r="Z152" i="1"/>
  <c r="BN152" i="1"/>
  <c r="Y155" i="1"/>
  <c r="J543" i="1"/>
  <c r="Z159" i="1"/>
  <c r="Z160" i="1" s="1"/>
  <c r="BN159" i="1"/>
  <c r="Y160" i="1"/>
  <c r="Z163" i="1"/>
  <c r="Z164" i="1" s="1"/>
  <c r="BN163" i="1"/>
  <c r="BP163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43" i="1"/>
  <c r="Z199" i="1"/>
  <c r="BN199" i="1"/>
  <c r="Z201" i="1"/>
  <c r="BN201" i="1"/>
  <c r="Z203" i="1"/>
  <c r="BN203" i="1"/>
  <c r="Y206" i="1"/>
  <c r="L543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BN238" i="1"/>
  <c r="BP238" i="1"/>
  <c r="Z240" i="1"/>
  <c r="BN240" i="1"/>
  <c r="Z244" i="1"/>
  <c r="Z245" i="1" s="1"/>
  <c r="BN244" i="1"/>
  <c r="BP244" i="1"/>
  <c r="Z249" i="1"/>
  <c r="Z251" i="1" s="1"/>
  <c r="BN249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Y312" i="1"/>
  <c r="BP317" i="1"/>
  <c r="BN317" i="1"/>
  <c r="Z317" i="1"/>
  <c r="Z321" i="1" s="1"/>
  <c r="Y321" i="1"/>
  <c r="BP326" i="1"/>
  <c r="BN326" i="1"/>
  <c r="Z326" i="1"/>
  <c r="Z328" i="1" s="1"/>
  <c r="BP335" i="1"/>
  <c r="BN335" i="1"/>
  <c r="Z335" i="1"/>
  <c r="BP348" i="1"/>
  <c r="BN348" i="1"/>
  <c r="Z348" i="1"/>
  <c r="Y350" i="1"/>
  <c r="T543" i="1"/>
  <c r="Y358" i="1"/>
  <c r="BP353" i="1"/>
  <c r="BN353" i="1"/>
  <c r="Z353" i="1"/>
  <c r="Z358" i="1" s="1"/>
  <c r="BP357" i="1"/>
  <c r="BN357" i="1"/>
  <c r="Z357" i="1"/>
  <c r="Y359" i="1"/>
  <c r="Y368" i="1"/>
  <c r="BP361" i="1"/>
  <c r="BN361" i="1"/>
  <c r="Z361" i="1"/>
  <c r="Z368" i="1" s="1"/>
  <c r="BP365" i="1"/>
  <c r="BN365" i="1"/>
  <c r="Z365" i="1"/>
  <c r="BP373" i="1"/>
  <c r="BN373" i="1"/>
  <c r="Z373" i="1"/>
  <c r="Y381" i="1"/>
  <c r="BP385" i="1"/>
  <c r="BN385" i="1"/>
  <c r="Z385" i="1"/>
  <c r="Z388" i="1" s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Y527" i="1"/>
  <c r="AB543" i="1"/>
  <c r="Y531" i="1"/>
  <c r="BP530" i="1"/>
  <c r="BN530" i="1"/>
  <c r="Z530" i="1"/>
  <c r="Z531" i="1" s="1"/>
  <c r="Y532" i="1"/>
  <c r="O543" i="1"/>
  <c r="W543" i="1"/>
  <c r="P543" i="1"/>
  <c r="Y322" i="1"/>
  <c r="Q543" i="1"/>
  <c r="Y329" i="1"/>
  <c r="R543" i="1"/>
  <c r="Y338" i="1"/>
  <c r="Z393" i="1"/>
  <c r="BN393" i="1"/>
  <c r="Z398" i="1"/>
  <c r="BN398" i="1"/>
  <c r="BP398" i="1"/>
  <c r="Z400" i="1"/>
  <c r="BN400" i="1"/>
  <c r="Y401" i="1"/>
  <c r="BP407" i="1"/>
  <c r="BN407" i="1"/>
  <c r="Z407" i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205" i="1" l="1"/>
  <c r="Z92" i="1"/>
  <c r="Z67" i="1"/>
  <c r="Z526" i="1"/>
  <c r="Z154" i="1"/>
  <c r="Z99" i="1"/>
  <c r="Z74" i="1"/>
  <c r="Z55" i="1"/>
  <c r="Z24" i="1"/>
  <c r="X536" i="1"/>
  <c r="Z227" i="1"/>
  <c r="Z46" i="1"/>
  <c r="Y535" i="1"/>
  <c r="Z456" i="1"/>
  <c r="Z420" i="1"/>
  <c r="Z298" i="1"/>
  <c r="Y534" i="1"/>
  <c r="Y536" i="1" s="1"/>
  <c r="Z282" i="1"/>
  <c r="Z235" i="1"/>
  <c r="Z184" i="1"/>
  <c r="Z126" i="1"/>
  <c r="Z109" i="1"/>
  <c r="Z32" i="1"/>
  <c r="Z337" i="1"/>
  <c r="Z502" i="1"/>
  <c r="Y537" i="1"/>
  <c r="Z349" i="1"/>
  <c r="Z486" i="1"/>
  <c r="Z414" i="1"/>
  <c r="Z401" i="1"/>
  <c r="Z472" i="1"/>
  <c r="Z445" i="1"/>
  <c r="Z267" i="1"/>
  <c r="Z241" i="1"/>
  <c r="Z178" i="1"/>
  <c r="Z119" i="1"/>
  <c r="Z394" i="1"/>
  <c r="Z375" i="1"/>
  <c r="Y533" i="1"/>
  <c r="Z538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<sst xmlns="http://schemas.openxmlformats.org/spreadsheetml/2006/main" count="2409" uniqueCount="873">
  <si>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</si>
  <si>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</si>
  <si>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</si>
  <si>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</si>
  <si>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</si>
  <si>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</si>
  <si>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</si>
  <si>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</si>
  <si>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</si>
  <si>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</si>
  <si>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</si>
  <si>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</si>
  <si>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</si>
  <si>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</si>
  <si>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</si>
  <si>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</si>
  <si>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</si>
  <si>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</si>
  <si>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</si>
  <si>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</si>
  <si>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</si>
  <si>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</si>
  <si>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</si>
  <si>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</si>
  <si>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</si>
  <si>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</si>
  <si>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</si>
  <si>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</si>
  <si>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</si>
  <si>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</si>
  <si>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</si>
  <si>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</si>
  <si>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</si>
  <si>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</si>
  <si>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</si>
  <si>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</si>
  <si>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</si>
  <si>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</si>
  <si>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</si>
  <si>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</si>
  <si>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</si>
  <si>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</si>
  <si>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</si>
  <si>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</si>
  <si>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</si>
  <si>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</si>
  <si>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</si>
  <si>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</si>
  <si>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</si>
  <si>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</si>
  <si>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</si>
  <si>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</si>
  <si>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</si>
  <si>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</si>
  <si>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</si>
  <si>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</si>
  <si>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</si>
  <si>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</si>
  <si>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</si>
  <si>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</si>
  <si>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</si>
  <si>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</si>
  <si>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</si>
  <si>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</si>
  <si>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</si>
  <si>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</si>
  <si>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</si>
  <si>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</si>
  <si>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</si>
  <si>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</si>
  <si>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</si>
  <si>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</si>
  <si>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</si>
  <si>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</si>
  <si>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</si>
  <si>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</si>
  <si>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</si>
  <si>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</si>
  <si>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</si>
  <si>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</si>
  <si>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</si>
  <si>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</si>
  <si>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</si>
  <si>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</si>
  <si>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</si>
  <si>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</si>
  <si>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</si>
  <si>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</si>
  <si>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</si>
  <si>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</si>
  <si>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</si>
  <si>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</si>
  <si>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</si>
  <si>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</si>
  <si>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</si>
  <si>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</si>
  <si>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</si>
  <si>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</si>
  <si>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</si>
  <si>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</si>
  <si>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</si>
  <si>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</si>
  <si>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</si>
  <si>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</si>
  <si>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</si>
  <si>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</si>
  <si>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</si>
  <si>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</si>
  <si>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</si>
  <si>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</si>
  <si>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</si>
  <si>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</si>
  <si>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</si>
  <si>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</si>
  <si>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</si>
  <si>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</si>
  <si>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</si>
  <si>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</si>
  <si>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</si>
  <si>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</si>
  <si>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</si>
  <si>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</si>
  <si>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</si>
  <si>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</si>
  <si>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</si>
  <si>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</si>
  <si>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</si>
  <si>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</si>
  <si>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</si>
  <si>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</si>
  <si>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</si>
  <si>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</si>
  <si>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</si>
  <si>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</si>
  <si>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</si>
  <si>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</si>
  <si>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</si>
  <si>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</si>
  <si>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</si>
  <si>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</si>
  <si>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</si>
  <si>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</si>
  <si>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</si>
  <si>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</si>
  <si>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</si>
  <si>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</si>
  <si>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</si>
  <si>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</si>
  <si>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</si>
  <si>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</si>
  <si>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</si>
  <si>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</si>
  <si>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</si>
  <si>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</si>
  <si>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</si>
  <si>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</si>
  <si>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</si>
  <si>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</si>
  <si>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</si>
  <si>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</si>
  <si>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</si>
  <si>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</si>
  <si>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</si>
  <si>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</si>
  <si>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</si>
  <si>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</si>
  <si>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</si>
  <si>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</si>
  <si>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</si>
  <si>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</si>
  <si>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</si>
  <si>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</si>
  <si>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</si>
  <si>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</si>
  <si>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</si>
  <si>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</si>
  <si>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</si>
  <si>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</si>
  <si>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</si>
  <si>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</si>
  <si>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</si>
  <si>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</si>
  <si>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</si>
  <si>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</si>
  <si>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</si>
  <si>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</si>
  <si>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</si>
  <si>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</si>
  <si>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</si>
  <si>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</si>
  <si>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</si>
  <si>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</si>
  <si>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</si>
  <si>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</si>
  <si>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</si>
  <si>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</si>
  <si>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</si>
  <si>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</si>
  <si>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</si>
  <si>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</si>
  <si>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</si>
  <si>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</si>
  <si>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</si>
  <si>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</si>
  <si>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</si>
  <si>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</si>
  <si>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</si>
  <si>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</si>
  <si>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</si>
  <si>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</si>
  <si>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</si>
  <si>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</si>
  <si>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</si>
  <si>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</si>
  <si>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</si>
  <si>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</si>
  <si>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</si>
  <si>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</si>
  <si>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</si>
  <si>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</si>
  <si>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</si>
  <si>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</si>
  <si>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</si>
  <si>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</si>
  <si>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</si>
  <si>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</si>
  <si>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</si>
  <si>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</si>
  <si>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</si>
  <si>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</si>
  <si>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</si>
  <si>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</si>
  <si>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</si>
  <si>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</si>
  <si>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</si>
  <si>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</si>
  <si>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</si>
  <si>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</si>
  <si>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</si>
  <si>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</si>
  <si>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</si>
  <si>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</si>
  <si>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</si>
  <si>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</si>
  <si>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</si>
  <si>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</si>
  <si>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</si>
  <si>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</si>
  <si>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</si>
  <si>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</si>
  <si>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</si>
  <si>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</si>
  <si>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</si>
  <si>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</si>
  <si>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</si>
  <si>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</si>
  <si>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</si>
  <si>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</si>
  <si>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</si>
  <si>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</si>
  <si>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</si>
  <si>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</si>
  <si>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</si>
  <si>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</si>
  <si>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</si>
  <si>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</si>
  <si>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</si>
  <si>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</si>
  <si>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</si>
  <si>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</si>
  <si>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</si>
  <si>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</si>
  <si>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</si>
  <si>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</si>
  <si>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</si>
  <si>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</si>
  <si>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</si>
  <si>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</si>
  <si>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</si>
  <si>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</si>
  <si>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</si>
  <si>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</si>
  <si>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</si>
  <si>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</si>
  <si>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</si>
  <si>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</si>
  <si>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</si>
  <si>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</si>
  <si>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</si>
  <si>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</si>
  <si>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</si>
  <si>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</si>
  <si>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</si>
  <si>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</si>
  <si>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</si>
  <si>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</si>
  <si>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</si>
  <si>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</si>
  <si>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</si>
  <si>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</si>
  <si>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</si>
  <si>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</si>
  <si>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</si>
  <si>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</si>
  <si>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</si>
  <si>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</si>
  <si>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</si>
  <si>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</si>
  <si>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</si>
  <si>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</si>
  <si>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</si>
  <si>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</si>
  <si>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</si>
  <si>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</si>
  <si>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</si>
  <si>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</si>
  <si>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</si>
  <si>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</si>
  <si>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</si>
  <si>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</si>
  <si>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</si>
  <si>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</si>
  <si>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</si>
  <si>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</si>
  <si>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</si>
  <si>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</si>
  <si>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</si>
  <si>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</si>
  <si>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</si>
  <si>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</si>
  <si>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</si>
  <si>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</si>
  <si>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</si>
  <si>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</si>
  <si>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</si>
  <si>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</si>
  <si>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</si>
  <si>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</si>
  <si>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</si>
  <si>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</si>
  <si>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</si>
  <si>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</si>
  <si>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</si>
  <si>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</si>
  <si>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</si>
  <si>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</si>
  <si>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</si>
  <si>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</si>
  <si>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</si>
  <si>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</si>
  <si>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</si>
  <si>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</si>
  <si>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</si>
  <si>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</si>
  <si>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</si>
  <si>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</si>
  <si>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</si>
  <si>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</si>
  <si>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</si>
  <si>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</si>
  <si>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</si>
  <si>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</si>
  <si>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</si>
  <si>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</si>
  <si>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</si>
  <si>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</si>
  <si>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</si>
  <si>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</si>
  <si>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</si>
  <si>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</si>
  <si>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</si>
  <si>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</si>
  <si>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</si>
  <si>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</si>
  <si>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</si>
  <si>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</si>
  <si>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</si>
  <si>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</si>
  <si>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</si>
  <si>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</si>
  <si>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</si>
  <si>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</si>
  <si>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</si>
  <si>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</si>
  <si>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</si>
  <si>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</si>
  <si>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</si>
  <si>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</si>
  <si>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</si>
  <si>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</si>
  <si>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</si>
  <si>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</si>
  <si>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</si>
  <si>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</si>
  <si>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</si>
  <si>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</si>
  <si>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</si>
  <si>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</si>
  <si>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</si>
  <si>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</si>
  <si>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</si>
  <si>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</si>
  <si>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</si>
  <si>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</si>
  <si>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</si>
  <si>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</si>
  <si>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</si>
  <si>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</si>
  <si>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</si>
  <si>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</si>
  <si>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</si>
  <si>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</si>
  <si>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</si>
  <si>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</si>
  <si>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</si>
  <si>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</si>
  <si>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</si>
  <si>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</si>
  <si>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</si>
  <si>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</si>
  <si>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</si>
  <si>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</si>
  <si>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</si>
  <si>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</si>
  <si>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</si>
  <si>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</si>
  <si>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</si>
  <si>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</si>
  <si>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</si>
  <si>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</si>
  <si>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</si>
  <si>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</si>
  <si>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</si>
  <si>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</si>
  <si>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</si>
  <si>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</si>
  <si>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</si>
  <si>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</si>
  <si>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</si>
  <si>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</si>
  <si>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</si>
  <si>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</si>
  <si>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</si>
  <si>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</si>
  <si>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</si>
  <si>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</si>
  <si>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</si>
  <si>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</si>
  <si>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</si>
  <si>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</si>
  <si>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</si>
  <si>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</si>
  <si>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</si>
  <si>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</si>
  <si>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</si>
  <si>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</si>
  <si>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</si>
  <si>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</si>
  <si>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</si>
  <si>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</si>
  <si>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</si>
  <si>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</si>
  <si>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</si>
  <si>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</si>
  <si>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</si>
  <si>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</si>
  <si>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</si>
  <si>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</si>
  <si>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</si>
  <si>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</si>
  <si>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</si>
  <si>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</si>
  <si>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</si>
  <si>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</si>
  <si>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</si>
  <si>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</si>
  <si>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</si>
  <si>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</si>
  <si>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</si>
  <si>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</si>
  <si>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</si>
  <si>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</si>
  <si>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</si>
  <si>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</si>
  <si>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</si>
  <si>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</si>
  <si>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</si>
  <si>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</si>
  <si>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</si>
  <si>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</si>
  <si>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</si>
  <si>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</si>
  <si>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</si>
  <si>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</si>
  <si>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</si>
  <si>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</si>
  <si>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</si>
  <si>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</si>
  <si>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</si>
  <si>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</si>
  <si>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</si>
  <si>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</si>
  <si>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</si>
  <si>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</si>
  <si>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</si>
  <si>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</si>
  <si>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</si>
  <si>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</si>
  <si>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</si>
  <si>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</si>
  <si>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</si>
  <si>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</si>
  <si>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</si>
  <si>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</si>
  <si>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</si>
  <si>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</si>
  <si>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</si>
  <si>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</si>
  <si>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</si>
  <si>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</si>
  <si>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</si>
  <si>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</si>
  <si>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</si>
  <si>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</si>
  <si>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</si>
  <si>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</si>
  <si>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</si>
  <si>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</si>
  <si>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</si>
  <si>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</si>
  <si>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</si>
  <si>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</si>
  <si>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</si>
  <si>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</si>
  <si>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</si>
  <si>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</si>
  <si>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</si>
  <si>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</si>
  <si>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</si>
  <si>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</si>
  <si>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</si>
  <si>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</si>
  <si>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</si>
  <si>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</si>
  <si>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</si>
  <si>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</si>
  <si>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</si>
  <si>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</si>
  <si>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</si>
  <si>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</si>
  <si>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</si>
  <si>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</si>
  <si>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</si>
  <si>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</si>
  <si>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</si>
  <si>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</si>
  <si>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</si>
  <si>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</si>
  <si>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</si>
  <si>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</si>
  <si>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</si>
  <si>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</si>
  <si>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</si>
  <si>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</si>
  <si>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</si>
  <si>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</si>
  <si>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</si>
  <si>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</si>
  <si>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</si>
  <si>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</si>
  <si>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</si>
  <si>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</si>
  <si>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</si>
  <si>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</si>
  <si>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</si>
  <si>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</si>
  <si>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</si>
  <si>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</si>
  <si>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</si>
  <si>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</si>
  <si>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</si>
  <si>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</si>
  <si>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</si>
  <si>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</si>
  <si>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</si>
  <si>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</si>
  <si>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</si>
  <si>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</si>
  <si>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</si>
  <si>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</si>
  <si>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</si>
  <si>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</si>
  <si>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</si>
  <si>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</si>
  <si>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</si>
  <si>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</si>
  <si>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</si>
  <si>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</si>
  <si>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</si>
  <si>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</si>
  <si>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</si>
  <si>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</si>
  <si>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</si>
  <si>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</si>
  <si>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</si>
  <si>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</si>
  <si>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</si>
  <si>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</si>
  <si>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</si>
  <si>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</si>
  <si>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</si>
  <si>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</si>
  <si>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</si>
  <si>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</si>
  <si>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</si>
  <si>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</si>
  <si>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</si>
  <si>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</si>
  <si>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</si>
  <si>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</si>
  <si>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</si>
  <si>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</si>
  <si>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</si>
  <si>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</si>
  <si>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</si>
  <si>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</si>
  <si>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</si>
  <si>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</si>
  <si>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</si>
  <si>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</si>
  <si>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</si>
  <si>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</si>
  <si>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</si>
  <si>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</si>
  <si>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</si>
  <si>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</si>
  <si>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</si>
  <si>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</si>
  <si>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</si>
  <si>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</si>
  <si>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</si>
  <si>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</si>
  <si>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</si>
  <si>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</si>
  <si>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</si>
  <si>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</si>
  <si>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</si>
  <si>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</si>
  <si>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</si>
  <si>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</si>
  <si>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</si>
  <si>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</si>
  <si>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</si>
  <si>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</si>
  <si>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</si>
  <si>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</si>
  <si>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</si>
  <si>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</si>
  <si>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</si>
  <si>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</si>
  <si>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</si>
  <si>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</si>
  <si>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</si>
  <si>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</si>
  <si>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</si>
  <si>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</si>
  <si>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</si>
  <si>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</si>
  <si>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</si>
  <si>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</si>
  <si>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</si>
  <si>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</si>
  <si>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</si>
  <si>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</si>
  <si>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</si>
  <si>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</si>
  <si>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</si>
  <si>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</si>
  <si>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</si>
  <si>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</si>
  <si>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</si>
  <si>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</si>
  <si>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</si>
  <si>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</si>
  <si>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</si>
  <si>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</si>
  <si>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</si>
  <si>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</si>
  <si>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</si>
  <si>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</si>
  <si>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</si>
  <si>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</si>
  <si>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</si>
  <si>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</si>
  <si>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</si>
  <si>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</si>
  <si>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</si>
  <si>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</si>
  <si>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</si>
  <si>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</si>
  <si>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</si>
  <si>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</si>
  <si>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</si>
  <si>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</si>
  <si>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</si>
  <si>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</si>
  <si>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</si>
  <si>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</si>
  <si>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</si>
  <si>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</si>
  <si>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</si>
  <si>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</si>
  <si>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</si>
  <si>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</si>
  <si>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</si>
  <si>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</si>
  <si>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</si>
  <si>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</si>
  <si>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</si>
  <si>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</si>
  <si>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</si>
  <si>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</si>
  <si>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</si>
  <si>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</si>
  <si>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</si>
  <si>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</si>
  <si>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</si>
  <si>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</si>
  <si>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</si>
  <si>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</si>
  <si>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</si>
  <si>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</si>
  <si>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</si>
  <si>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</si>
  <si>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</si>
  <si>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</si>
  <si>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</si>
  <si>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</si>
  <si>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</si>
  <si>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</si>
  <si>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</si>
  <si>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</si>
  <si>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</si>
  <si>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</si>
  <si>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</si>
  <si>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</si>
  <si>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</si>
  <si>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</si>
  <si>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</si>
  <si>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</si>
  <si>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</si>
  <si>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</si>
  <si>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</si>
  <si>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</si>
  <si>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</si>
  <si>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</si>
  <si>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</si>
  <si>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</si>
  <si>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</si>
  <si>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</si>
  <si>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</si>
  <si>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</si>
  <si>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</si>
  <si>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</si>
  <si>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</si>
  <si>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</si>
  <si>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</si>
  <si>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</si>
  <si>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</si>
  <si>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</si>
  <si>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</si>
  <si>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</si>
  <si>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</si>
  <si>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</si>
  <si>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</si>
  <si>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</si>
  <si>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</si>
  <si>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</si>
  <si>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</si>
  <si>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</si>
  <si>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</si>
  <si>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</si>
  <si>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</si>
  <si>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</si>
  <si>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</si>
  <si>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</si>
  <si>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</si>
  <si>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</si>
  <si>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</si>
  <si>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</si>
  <si>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</si>
  <si>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</si>
  <si>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</si>
  <si>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</si>
  <si>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</si>
  <si>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</si>
  <si>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</si>
  <si>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</si>
  <si>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</si>
  <si>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</si>
  <si>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</si>
  <si>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</si>
  <si>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</si>
  <si>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</si>
  <si>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</si>
  <si>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</si>
  <si>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</si>
  <si>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</si>
  <si>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</si>
  <si>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</si>
  <si>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</si>
  <si>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</si>
  <si>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</si>
  <si>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</si>
  <si>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</si>
  <si>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</si>
  <si>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</si>
  <si>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</si>
  <si>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</si>
  <si>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</si>
  <si>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</si>
  <si>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</si>
  <si>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</si>
  <si>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</si>
  <si>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</si>
  <si>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</si>
  <si>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</si>
  <si>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</si>
  <si>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</si>
  <si>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</si>
  <si>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</si>
  <si>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</si>
  <si>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</si>
  <si>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</si>
  <si>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</si>
  <si>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</si>
  <si>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</si>
  <si>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</si>
  <si>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</si>
  <si>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</si>
  <si>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</si>
  <si>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</si>
  <si>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</si>
  <si>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</si>
  <si>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</si>
  <si>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</si>
  <si>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</si>
  <si>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</si>
  <si>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</si>
  <si>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</si>
  <si>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</si>
  <si>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</si>
  <si>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</si>
  <si>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</si>
  <si>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</si>
  <si>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</si>
  <si>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</si>
  <si>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</si>
  <si>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</si>
  <si>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</si>
  <si>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</si>
  <si>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</si>
  <si>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</si>
  <si>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</si>
  <si>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</si>
  <si>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</si>
  <si>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</si>
  <si>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</si>
  <si>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</si>
  <si>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</si>
  <si>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</si>
  <si>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</si>
  <si>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16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</si>
</sst>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46217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833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Вторник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0.41666666666666669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hidden="1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0</v>
      </c>
      <c r="Y51" s="60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0</v>
      </c>
      <c r="Y55" s="607">
        <f>IFERROR(Y51/H51,"0")+IFERROR(Y52/H52,"0")+IFERROR(Y53/H53,"0")+IFERROR(Y54/H54,"0")</f>
        <v>0</v>
      </c>
      <c r="Z55" s="607">
        <f>IFERROR(IF(Z51="",0,Z51),"0")+IFERROR(IF(Z52="",0,Z52),"0")+IFERROR(IF(Z53="",0,Z53),"0")+IFERROR(IF(Z54="",0,Z54),"0")</f>
        <v>0</v>
      </c>
      <c r="AA55" s="608"/>
      <c r="AB55" s="608"/>
      <c r="AC55" s="608"/>
    </row>
    <row r="56" spans="1:68" hidden="1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0</v>
      </c>
      <c r="Y56" s="607">
        <f>IFERROR(SUM(Y51:Y54),"0")</f>
        <v>0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41</v>
      </c>
      <c r="Y66" s="60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42.731111111111119</v>
      </c>
      <c r="BN66" s="64">
        <f t="shared" si="2"/>
        <v>46.900000000000006</v>
      </c>
      <c r="BO66" s="64">
        <f t="shared" si="3"/>
        <v>6.9023569023569029E-2</v>
      </c>
      <c r="BP66" s="64">
        <f t="shared" si="4"/>
        <v>7.575757575757576E-2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9.1111111111111107</v>
      </c>
      <c r="Y67" s="607">
        <f>IFERROR(Y59/H59,"0")+IFERROR(Y60/H60,"0")+IFERROR(Y61/H61,"0")+IFERROR(Y62/H62,"0")+IFERROR(Y63/H63,"0")+IFERROR(Y64/H64,"0")+IFERROR(Y65/H65,"0")+IFERROR(Y66/H66,"0")</f>
        <v>10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41</v>
      </c>
      <c r="Y68" s="607">
        <f>IFERROR(SUM(Y59:Y66),"0")</f>
        <v>45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53</v>
      </c>
      <c r="Y70" s="606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55.012037037037032</v>
      </c>
      <c r="BN70" s="64">
        <f>IFERROR(Y70*I70/H70,"0")</f>
        <v>56.05</v>
      </c>
      <c r="BO70" s="64">
        <f>IFERROR(1/J70*(X70/H70),"0")</f>
        <v>7.6678240740740741E-2</v>
      </c>
      <c r="BP70" s="64">
        <f>IFERROR(1/J70*(Y70/H70),"0")</f>
        <v>7.8125E-2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4.9074074074074074</v>
      </c>
      <c r="Y74" s="607">
        <f>IFERROR(Y70/H70,"0")+IFERROR(Y71/H71,"0")+IFERROR(Y72/H72,"0")+IFERROR(Y73/H73,"0")</f>
        <v>5</v>
      </c>
      <c r="Z74" s="607">
        <f>IFERROR(IF(Z70="",0,Z70),"0")+IFERROR(IF(Z71="",0,Z71),"0")+IFERROR(IF(Z72="",0,Z72),"0")+IFERROR(IF(Z73="",0,Z73),"0")</f>
        <v>9.4899999999999998E-2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53</v>
      </c>
      <c r="Y75" s="607">
        <f>IFERROR(SUM(Y70:Y73),"0")</f>
        <v>54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24</v>
      </c>
      <c r="Y82" s="606">
        <f>IFERROR(IF(X82="",0,CEILING((X82/$H82),1)*$H82),"")</f>
        <v>31.2</v>
      </c>
      <c r="Z82" s="36">
        <f>IFERROR(IF(Y82=0,"",ROUNDUP(Y82/H82,0)*0.01898),"")</f>
        <v>7.5920000000000001E-2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25.261538461538464</v>
      </c>
      <c r="BN82" s="64">
        <f>IFERROR(Y82*I82/H82,"0")</f>
        <v>32.840000000000003</v>
      </c>
      <c r="BO82" s="64">
        <f>IFERROR(1/J82*(X82/H82),"0")</f>
        <v>4.807692307692308E-2</v>
      </c>
      <c r="BP82" s="64">
        <f>IFERROR(1/J82*(Y82/H82),"0")</f>
        <v>6.25E-2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3.0769230769230771</v>
      </c>
      <c r="Y84" s="607">
        <f>IFERROR(Y82/H82,"0")+IFERROR(Y83/H83,"0")</f>
        <v>4</v>
      </c>
      <c r="Z84" s="607">
        <f>IFERROR(IF(Z82="",0,Z82),"0")+IFERROR(IF(Z83="",0,Z83),"0")</f>
        <v>7.5920000000000001E-2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24</v>
      </c>
      <c r="Y85" s="607">
        <f>IFERROR(SUM(Y82:Y83),"0")</f>
        <v>31.2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91</v>
      </c>
      <c r="Y91" s="606">
        <f>IFERROR(IF(X91="",0,CEILING((X91/$H91),1)*$H91),"")</f>
        <v>94.5</v>
      </c>
      <c r="Z91" s="36">
        <f>IFERROR(IF(Y91=0,"",ROUNDUP(Y91/H91,0)*0.00902),"")</f>
        <v>0.18942000000000001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94.842222222222233</v>
      </c>
      <c r="BN91" s="64">
        <f>IFERROR(Y91*I91/H91,"0")</f>
        <v>98.490000000000009</v>
      </c>
      <c r="BO91" s="64">
        <f>IFERROR(1/J91*(X91/H91),"0")</f>
        <v>0.1531986531986532</v>
      </c>
      <c r="BP91" s="64">
        <f>IFERROR(1/J91*(Y91/H91),"0")</f>
        <v>0.15909090909090909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20.222222222222221</v>
      </c>
      <c r="Y92" s="607">
        <f>IFERROR(Y88/H88,"0")+IFERROR(Y89/H89,"0")+IFERROR(Y90/H90,"0")+IFERROR(Y91/H91,"0")</f>
        <v>21</v>
      </c>
      <c r="Z92" s="607">
        <f>IFERROR(IF(Z88="",0,Z88),"0")+IFERROR(IF(Z89="",0,Z89),"0")+IFERROR(IF(Z90="",0,Z90),"0")+IFERROR(IF(Z91="",0,Z91),"0")</f>
        <v>0.18942000000000001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91</v>
      </c>
      <c r="Y93" s="607">
        <f>IFERROR(SUM(Y88:Y91),"0")</f>
        <v>94.5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19</v>
      </c>
      <c r="Y95" s="606">
        <f>IFERROR(IF(X95="",0,CEILING((X95/$H95),1)*$H95),"")</f>
        <v>24.299999999999997</v>
      </c>
      <c r="Z95" s="36">
        <f>IFERROR(IF(Y95=0,"",ROUNDUP(Y95/H95,0)*0.01898),"")</f>
        <v>5.6940000000000004E-2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20.158765432098768</v>
      </c>
      <c r="BN95" s="64">
        <f>IFERROR(Y95*I95/H95,"0")</f>
        <v>25.781999999999996</v>
      </c>
      <c r="BO95" s="64">
        <f>IFERROR(1/J95*(X95/H95),"0")</f>
        <v>3.6651234567901238E-2</v>
      </c>
      <c r="BP95" s="64">
        <f>IFERROR(1/J95*(Y95/H95),"0")</f>
        <v>4.6875E-2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97</v>
      </c>
      <c r="Y97" s="606">
        <f>IFERROR(IF(X97="",0,CEILING((X97/$H97),1)*$H97),"")</f>
        <v>97.2</v>
      </c>
      <c r="Z97" s="36">
        <f>IFERROR(IF(Y97=0,"",ROUNDUP(Y97/H97,0)*0.00651),"")</f>
        <v>0.23436000000000001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106.05333333333333</v>
      </c>
      <c r="BN97" s="64">
        <f>IFERROR(Y97*I97/H97,"0")</f>
        <v>106.27199999999999</v>
      </c>
      <c r="BO97" s="64">
        <f>IFERROR(1/J97*(X97/H97),"0")</f>
        <v>0.1973951973951974</v>
      </c>
      <c r="BP97" s="64">
        <f>IFERROR(1/J97*(Y97/H97),"0")</f>
        <v>0.19780219780219782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38.271604938271601</v>
      </c>
      <c r="Y99" s="607">
        <f>IFERROR(Y95/H95,"0")+IFERROR(Y96/H96,"0")+IFERROR(Y97/H97,"0")+IFERROR(Y98/H98,"0")</f>
        <v>39</v>
      </c>
      <c r="Z99" s="607">
        <f>IFERROR(IF(Z95="",0,Z95),"0")+IFERROR(IF(Z96="",0,Z96),"0")+IFERROR(IF(Z97="",0,Z97),"0")+IFERROR(IF(Z98="",0,Z98),"0")</f>
        <v>0.2913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116</v>
      </c>
      <c r="Y100" s="607">
        <f>IFERROR(SUM(Y95:Y98),"0")</f>
        <v>121.5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13</v>
      </c>
      <c r="Y106" s="606">
        <f t="shared" si="5"/>
        <v>15</v>
      </c>
      <c r="Z106" s="36">
        <f>IFERROR(IF(Y106=0,"",ROUNDUP(Y106/H106,0)*0.00902),"")</f>
        <v>3.6080000000000001E-2</v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13.658666666666667</v>
      </c>
      <c r="BN106" s="64">
        <f t="shared" si="7"/>
        <v>15.76</v>
      </c>
      <c r="BO106" s="64">
        <f t="shared" si="8"/>
        <v>2.6262626262626265E-2</v>
      </c>
      <c r="BP106" s="64">
        <f t="shared" si="9"/>
        <v>3.0303030303030304E-2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46</v>
      </c>
      <c r="Y107" s="606">
        <f t="shared" si="5"/>
        <v>49.5</v>
      </c>
      <c r="Z107" s="36">
        <f>IFERROR(IF(Y107=0,"",ROUNDUP(Y107/H107,0)*0.00902),"")</f>
        <v>9.9220000000000003E-2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47.942222222222227</v>
      </c>
      <c r="BN107" s="64">
        <f t="shared" si="7"/>
        <v>51.59</v>
      </c>
      <c r="BO107" s="64">
        <f t="shared" si="8"/>
        <v>7.7441077441077436E-2</v>
      </c>
      <c r="BP107" s="64">
        <f t="shared" si="9"/>
        <v>8.3333333333333343E-2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13.688888888888888</v>
      </c>
      <c r="Y109" s="607">
        <f>IFERROR(Y103/H103,"0")+IFERROR(Y104/H104,"0")+IFERROR(Y105/H105,"0")+IFERROR(Y106/H106,"0")+IFERROR(Y107/H107,"0")+IFERROR(Y108/H108,"0")</f>
        <v>15</v>
      </c>
      <c r="Z109" s="607">
        <f>IFERROR(IF(Z103="",0,Z103),"0")+IFERROR(IF(Z104="",0,Z104),"0")+IFERROR(IF(Z105="",0,Z105),"0")+IFERROR(IF(Z106="",0,Z106),"0")+IFERROR(IF(Z107="",0,Z107),"0")+IFERROR(IF(Z108="",0,Z108),"0")</f>
        <v>0.1353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59</v>
      </c>
      <c r="Y110" s="607">
        <f>IFERROR(SUM(Y103:Y108),"0")</f>
        <v>64.5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10</v>
      </c>
      <c r="Y117" s="606">
        <f t="shared" si="10"/>
        <v>12</v>
      </c>
      <c r="Z117" s="36">
        <f>IFERROR(IF(Y117=0,"",ROUNDUP(Y117/H117,0)*0.00651),"")</f>
        <v>3.2550000000000003E-2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10.75</v>
      </c>
      <c r="BN117" s="64">
        <f t="shared" si="12"/>
        <v>12.9</v>
      </c>
      <c r="BO117" s="64">
        <f t="shared" si="13"/>
        <v>2.2893772893772896E-2</v>
      </c>
      <c r="BP117" s="64">
        <f t="shared" si="14"/>
        <v>2.7472527472527476E-2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4.166666666666667</v>
      </c>
      <c r="Y119" s="607">
        <f>IFERROR(Y112/H112,"0")+IFERROR(Y113/H113,"0")+IFERROR(Y114/H114,"0")+IFERROR(Y115/H115,"0")+IFERROR(Y116/H116,"0")+IFERROR(Y117/H117,"0")+IFERROR(Y118/H118,"0")</f>
        <v>5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3.2550000000000003E-2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10</v>
      </c>
      <c r="Y120" s="607">
        <f>IFERROR(SUM(Y112:Y118),"0")</f>
        <v>12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80</v>
      </c>
      <c r="Y122" s="606">
        <f>IFERROR(IF(X122="",0,CEILING((X122/$H122),1)*$H122),"")</f>
        <v>81</v>
      </c>
      <c r="Z122" s="36">
        <f>IFERROR(IF(Y122=0,"",ROUNDUP(Y122/H122,0)*0.01898),"")</f>
        <v>0.1898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84.819753086419752</v>
      </c>
      <c r="BN122" s="64">
        <f>IFERROR(Y122*I122/H122,"0")</f>
        <v>85.88</v>
      </c>
      <c r="BO122" s="64">
        <f>IFERROR(1/J122*(X122/H122),"0")</f>
        <v>0.15432098765432101</v>
      </c>
      <c r="BP122" s="64">
        <f>IFERROR(1/J122*(Y122/H122),"0")</f>
        <v>0.15625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379</v>
      </c>
      <c r="Y124" s="606">
        <f>IFERROR(IF(X124="",0,CEILING((X124/$H124),1)*$H124),"")</f>
        <v>380.70000000000005</v>
      </c>
      <c r="Z124" s="36">
        <f>IFERROR(IF(Y124=0,"",ROUNDUP(Y124/H124,0)*0.00651),"")</f>
        <v>0.91791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414.37333333333328</v>
      </c>
      <c r="BN124" s="64">
        <f>IFERROR(Y124*I124/H124,"0")</f>
        <v>416.23200000000003</v>
      </c>
      <c r="BO124" s="64">
        <f>IFERROR(1/J124*(X124/H124),"0")</f>
        <v>0.77126577126577123</v>
      </c>
      <c r="BP124" s="64">
        <f>IFERROR(1/J124*(Y124/H124),"0")</f>
        <v>0.77472527472527475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150.24691358024688</v>
      </c>
      <c r="Y126" s="607">
        <f>IFERROR(Y122/H122,"0")+IFERROR(Y123/H123,"0")+IFERROR(Y124/H124,"0")+IFERROR(Y125/H125,"0")</f>
        <v>151</v>
      </c>
      <c r="Z126" s="607">
        <f>IFERROR(IF(Z122="",0,Z122),"0")+IFERROR(IF(Z123="",0,Z123),"0")+IFERROR(IF(Z124="",0,Z124),"0")+IFERROR(IF(Z125="",0,Z125),"0")</f>
        <v>1.10771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459</v>
      </c>
      <c r="Y127" s="607">
        <f>IFERROR(SUM(Y122:Y125),"0")</f>
        <v>461.70000000000005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26</v>
      </c>
      <c r="Y129" s="606">
        <f>IFERROR(IF(X129="",0,CEILING((X129/$H129),1)*$H129),"")</f>
        <v>27.72</v>
      </c>
      <c r="Z129" s="36">
        <f>IFERROR(IF(Y129=0,"",ROUNDUP(Y129/H129,0)*0.00651),"")</f>
        <v>9.1139999999999999E-2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29.38787878787879</v>
      </c>
      <c r="BN129" s="64">
        <f>IFERROR(Y129*I129/H129,"0")</f>
        <v>31.332000000000001</v>
      </c>
      <c r="BO129" s="64">
        <f>IFERROR(1/J129*(X129/H129),"0")</f>
        <v>7.2150072150072159E-2</v>
      </c>
      <c r="BP129" s="64">
        <f>IFERROR(1/J129*(Y129/H129),"0")</f>
        <v>7.6923076923076927E-2</v>
      </c>
    </row>
    <row r="130" spans="1:68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13.131313131313131</v>
      </c>
      <c r="Y130" s="607">
        <f>IFERROR(Y129/H129,"0")</f>
        <v>14</v>
      </c>
      <c r="Z130" s="607">
        <f>IFERROR(IF(Z129="",0,Z129),"0")</f>
        <v>9.1139999999999999E-2</v>
      </c>
      <c r="AA130" s="608"/>
      <c r="AB130" s="608"/>
      <c r="AC130" s="608"/>
    </row>
    <row r="131" spans="1:68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26</v>
      </c>
      <c r="Y131" s="607">
        <f>IFERROR(SUM(Y129:Y129),"0")</f>
        <v>27.72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49</v>
      </c>
      <c r="Y134" s="606">
        <f>IFERROR(IF(X134="",0,CEILING((X134/$H134),1)*$H134),"")</f>
        <v>51.2</v>
      </c>
      <c r="Z134" s="36">
        <f>IFERROR(IF(Y134=0,"",ROUNDUP(Y134/H134,0)*0.00651),"")</f>
        <v>0.10416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51.756250000000001</v>
      </c>
      <c r="BN134" s="64">
        <f>IFERROR(Y134*I134/H134,"0")</f>
        <v>54.08</v>
      </c>
      <c r="BO134" s="64">
        <f>IFERROR(1/J134*(X134/H134),"0")</f>
        <v>8.4134615384615391E-2</v>
      </c>
      <c r="BP134" s="64">
        <f>IFERROR(1/J134*(Y134/H134),"0")</f>
        <v>8.7912087912087919E-2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15.3125</v>
      </c>
      <c r="Y136" s="607">
        <f>IFERROR(Y134/H134,"0")+IFERROR(Y135/H135,"0")</f>
        <v>16</v>
      </c>
      <c r="Z136" s="607">
        <f>IFERROR(IF(Z134="",0,Z134),"0")+IFERROR(IF(Z135="",0,Z135),"0")</f>
        <v>0.10416</v>
      </c>
      <c r="AA136" s="608"/>
      <c r="AB136" s="608"/>
      <c r="AC136" s="608"/>
    </row>
    <row r="137" spans="1:68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49</v>
      </c>
      <c r="Y137" s="607">
        <f>IFERROR(SUM(Y134:Y135),"0")</f>
        <v>51.2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54</v>
      </c>
      <c r="Y139" s="606">
        <f>IFERROR(IF(X139="",0,CEILING((X139/$H139),1)*$H139),"")</f>
        <v>56</v>
      </c>
      <c r="Z139" s="36">
        <f>IFERROR(IF(Y139=0,"",ROUNDUP(Y139/H139,0)*0.00651),"")</f>
        <v>0.13020000000000001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59.168571428571433</v>
      </c>
      <c r="BN139" s="64">
        <f>IFERROR(Y139*I139/H139,"0")</f>
        <v>61.36</v>
      </c>
      <c r="BO139" s="64">
        <f>IFERROR(1/J139*(X139/H139),"0")</f>
        <v>0.10596546310832028</v>
      </c>
      <c r="BP139" s="64">
        <f>IFERROR(1/J139*(Y139/H139),"0")</f>
        <v>0.1098901098901099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19.285714285714288</v>
      </c>
      <c r="Y141" s="607">
        <f>IFERROR(Y139/H139,"0")+IFERROR(Y140/H140,"0")</f>
        <v>20</v>
      </c>
      <c r="Z141" s="607">
        <f>IFERROR(IF(Z139="",0,Z139),"0")+IFERROR(IF(Z140="",0,Z140),"0")</f>
        <v>0.13020000000000001</v>
      </c>
      <c r="AA141" s="608"/>
      <c r="AB141" s="608"/>
      <c r="AC141" s="608"/>
    </row>
    <row r="142" spans="1:68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54</v>
      </c>
      <c r="Y142" s="607">
        <f>IFERROR(SUM(Y139:Y140),"0")</f>
        <v>56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21</v>
      </c>
      <c r="Y144" s="606">
        <f>IFERROR(IF(X144="",0,CEILING((X144/$H144),1)*$H144),"")</f>
        <v>21.12</v>
      </c>
      <c r="Z144" s="36">
        <f>IFERROR(IF(Y144=0,"",ROUNDUP(Y144/H144,0)*0.00651),"")</f>
        <v>5.2080000000000001E-2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23.131818181818179</v>
      </c>
      <c r="BN144" s="64">
        <f>IFERROR(Y144*I144/H144,"0")</f>
        <v>23.263999999999999</v>
      </c>
      <c r="BO144" s="64">
        <f>IFERROR(1/J144*(X144/H144),"0")</f>
        <v>4.3706293706293704E-2</v>
      </c>
      <c r="BP144" s="64">
        <f>IFERROR(1/J144*(Y144/H144),"0")</f>
        <v>4.3956043956043959E-2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7.9545454545454541</v>
      </c>
      <c r="Y146" s="607">
        <f>IFERROR(Y144/H144,"0")+IFERROR(Y145/H145,"0")</f>
        <v>8</v>
      </c>
      <c r="Z146" s="607">
        <f>IFERROR(IF(Z144="",0,Z144),"0")+IFERROR(IF(Z145="",0,Z145),"0")</f>
        <v>5.2080000000000001E-2</v>
      </c>
      <c r="AA146" s="608"/>
      <c r="AB146" s="608"/>
      <c r="AC146" s="608"/>
    </row>
    <row r="147" spans="1:68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21</v>
      </c>
      <c r="Y147" s="607">
        <f>IFERROR(SUM(Y144:Y145),"0")</f>
        <v>21.12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62</v>
      </c>
      <c r="Y167" s="606">
        <f t="shared" ref="Y167:Y177" si="15">IFERROR(IF(X167="",0,CEILING((X167/$H167),1)*$H167),"")</f>
        <v>63</v>
      </c>
      <c r="Z167" s="36">
        <f>IFERROR(IF(Y167=0,"",ROUNDUP(Y167/H167,0)*0.00902),"")</f>
        <v>0.16236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65.36571428571429</v>
      </c>
      <c r="BN167" s="64">
        <f t="shared" ref="BN167:BN177" si="17">IFERROR(Y167*I167/H167,"0")</f>
        <v>66.42</v>
      </c>
      <c r="BO167" s="64">
        <f t="shared" ref="BO167:BO177" si="18">IFERROR(1/J167*(X167/H167),"0")</f>
        <v>0.13419913419913421</v>
      </c>
      <c r="BP167" s="64">
        <f t="shared" ref="BP167:BP177" si="19">IFERROR(1/J167*(Y167/H167),"0")</f>
        <v>0.13636363636363635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55</v>
      </c>
      <c r="Y170" s="606">
        <f t="shared" si="15"/>
        <v>56</v>
      </c>
      <c r="Z170" s="36">
        <f>IFERROR(IF(Y170=0,"",ROUNDUP(Y170/H170,0)*0.00902),"")</f>
        <v>0.14432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57.98571428571428</v>
      </c>
      <c r="BN170" s="64">
        <f t="shared" si="17"/>
        <v>59.04</v>
      </c>
      <c r="BO170" s="64">
        <f t="shared" si="18"/>
        <v>0.11904761904761904</v>
      </c>
      <c r="BP170" s="64">
        <f t="shared" si="19"/>
        <v>0.12121212121212122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33.428571428571431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34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0.30668000000000001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117</v>
      </c>
      <c r="Y179" s="607">
        <f>IFERROR(SUM(Y167:Y177),"0")</f>
        <v>119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6</v>
      </c>
      <c r="Y216" s="606">
        <f t="shared" si="26"/>
        <v>6.4</v>
      </c>
      <c r="Z216" s="36">
        <f>IFERROR(IF(Y216=0,"",ROUNDUP(Y216/H216,0)*0.00556),"")</f>
        <v>4.4479999999999999E-2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6.9749999999999996</v>
      </c>
      <c r="BN216" s="64">
        <f t="shared" si="28"/>
        <v>7.44</v>
      </c>
      <c r="BO216" s="64">
        <f t="shared" si="29"/>
        <v>2.976190476190476E-2</v>
      </c>
      <c r="BP216" s="64">
        <f t="shared" si="30"/>
        <v>3.1746031746031744E-2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18</v>
      </c>
      <c r="Y217" s="606">
        <f t="shared" si="26"/>
        <v>18.900000000000002</v>
      </c>
      <c r="Z217" s="36">
        <f t="shared" ref="Z217:Z222" si="31">IFERROR(IF(Y217=0,"",ROUNDUP(Y217/H217,0)*0.00502),"")</f>
        <v>4.5179999999999998E-2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19.114285714285714</v>
      </c>
      <c r="BN217" s="64">
        <f t="shared" si="28"/>
        <v>20.07</v>
      </c>
      <c r="BO217" s="64">
        <f t="shared" si="29"/>
        <v>3.6630036630036632E-2</v>
      </c>
      <c r="BP217" s="64">
        <f t="shared" si="30"/>
        <v>3.8461538461538464E-2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43</v>
      </c>
      <c r="Y222" s="606">
        <f t="shared" si="26"/>
        <v>43.2</v>
      </c>
      <c r="Z222" s="36">
        <f t="shared" si="31"/>
        <v>0.12048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46.105555555555554</v>
      </c>
      <c r="BN222" s="64">
        <f t="shared" si="28"/>
        <v>46.32</v>
      </c>
      <c r="BO222" s="64">
        <f t="shared" si="29"/>
        <v>0.10208926875593544</v>
      </c>
      <c r="BP222" s="64">
        <f t="shared" si="30"/>
        <v>0.10256410256410257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80</v>
      </c>
      <c r="Y224" s="606">
        <f t="shared" si="26"/>
        <v>81.900000000000006</v>
      </c>
      <c r="Z224" s="36">
        <f>IFERROR(IF(Y224=0,"",ROUNDUP(Y224/H224,0)*0.00502),"")</f>
        <v>0.19578000000000001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83.80952380952381</v>
      </c>
      <c r="BN224" s="64">
        <f t="shared" si="28"/>
        <v>85.800000000000011</v>
      </c>
      <c r="BO224" s="64">
        <f t="shared" si="29"/>
        <v>0.16280016280016282</v>
      </c>
      <c r="BP224" s="64">
        <f t="shared" si="30"/>
        <v>0.16666666666666669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78.055555555555543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0.40592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147</v>
      </c>
      <c r="Y228" s="607">
        <f>IFERROR(SUM(Y213:Y226),"0")</f>
        <v>150.4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3</v>
      </c>
      <c r="Y239" s="606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6</v>
      </c>
      <c r="Y240" s="606">
        <f>IFERROR(IF(X240="",0,CEILING((X240/$H240),1)*$H240),"")</f>
        <v>6.3</v>
      </c>
      <c r="Z240" s="36">
        <f>IFERROR(IF(Y240=0,"",ROUNDUP(Y240/H240,0)*0.0059),"")</f>
        <v>2.9499999999999998E-2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6.9047619047619042</v>
      </c>
      <c r="BN240" s="64">
        <f>IFERROR(Y240*I240/H240,"0")</f>
        <v>7.25</v>
      </c>
      <c r="BO240" s="64">
        <f>IFERROR(1/J240*(X240/H240),"0")</f>
        <v>2.2045855379188711E-2</v>
      </c>
      <c r="BP240" s="64">
        <f>IFERROR(1/J240*(Y240/H240),"0")</f>
        <v>2.3148148148148147E-2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7.1428571428571423</v>
      </c>
      <c r="Y241" s="607">
        <f>IFERROR(Y238/H238,"0")+IFERROR(Y239/H239,"0")+IFERROR(Y240/H240,"0")</f>
        <v>8</v>
      </c>
      <c r="Z241" s="607">
        <f>IFERROR(IF(Z238="",0,Z238),"0")+IFERROR(IF(Z239="",0,Z239),"0")+IFERROR(IF(Z240="",0,Z240),"0")</f>
        <v>4.7199999999999999E-2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9</v>
      </c>
      <c r="Y242" s="607">
        <f>IFERROR(SUM(Y238:Y240),"0")</f>
        <v>10.08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3</v>
      </c>
      <c r="Y244" s="606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2.3809523809523809</v>
      </c>
      <c r="Y245" s="607">
        <f>IFERROR(Y244/H244,"0")</f>
        <v>3</v>
      </c>
      <c r="Z245" s="607">
        <f>IFERROR(IF(Z244="",0,Z244),"0")</f>
        <v>1.77E-2</v>
      </c>
      <c r="AA245" s="608"/>
      <c r="AB245" s="608"/>
      <c r="AC245" s="608"/>
    </row>
    <row r="246" spans="1:68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3</v>
      </c>
      <c r="Y246" s="607">
        <f>IFERROR(SUM(Y244:Y244),"0")</f>
        <v>3.7800000000000002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131</v>
      </c>
      <c r="Y259" s="606">
        <f t="shared" ref="Y259:Y266" si="32">IFERROR(IF(X259="",0,CEILING((X259/$H259),1)*$H259),"")</f>
        <v>135</v>
      </c>
      <c r="Z259" s="36">
        <f>IFERROR(IF(Y259=0,"",ROUNDUP(Y259/H259,0)*0.00902),"")</f>
        <v>0.22550000000000001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135.60925925925923</v>
      </c>
      <c r="BN259" s="64">
        <f t="shared" ref="BN259:BN266" si="34">IFERROR(Y259*I259/H259,"0")</f>
        <v>139.75</v>
      </c>
      <c r="BO259" s="64">
        <f t="shared" ref="BO259:BO266" si="35">IFERROR(1/J259*(X259/H259),"0")</f>
        <v>0.18378226711560042</v>
      </c>
      <c r="BP259" s="64">
        <f t="shared" ref="BP259:BP266" si="36">IFERROR(1/J259*(Y259/H259),"0")</f>
        <v>0.18939393939393939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49</v>
      </c>
      <c r="Y260" s="606">
        <f t="shared" si="32"/>
        <v>54</v>
      </c>
      <c r="Z260" s="36">
        <f>IFERROR(IF(Y260=0,"",ROUNDUP(Y260/H260,0)*0.00902),"")</f>
        <v>9.0200000000000002E-2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50.724074074074068</v>
      </c>
      <c r="BN260" s="64">
        <f t="shared" si="34"/>
        <v>55.9</v>
      </c>
      <c r="BO260" s="64">
        <f t="shared" si="35"/>
        <v>6.8742985409652069E-2</v>
      </c>
      <c r="BP260" s="64">
        <f t="shared" si="36"/>
        <v>7.575757575757576E-2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112</v>
      </c>
      <c r="Y261" s="606">
        <f t="shared" si="32"/>
        <v>113.4</v>
      </c>
      <c r="Z261" s="36">
        <f>IFERROR(IF(Y261=0,"",ROUNDUP(Y261/H261,0)*0.00902),"")</f>
        <v>0.18942000000000001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115.94074074074072</v>
      </c>
      <c r="BN261" s="64">
        <f t="shared" si="34"/>
        <v>117.39</v>
      </c>
      <c r="BO261" s="64">
        <f t="shared" si="35"/>
        <v>0.15712682379349047</v>
      </c>
      <c r="BP261" s="64">
        <f t="shared" si="36"/>
        <v>0.15909090909090909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51</v>
      </c>
      <c r="Y263" s="606">
        <f t="shared" si="32"/>
        <v>52.2</v>
      </c>
      <c r="Z263" s="36">
        <f>IFERROR(IF(Y263=0,"",ROUNDUP(Y263/H263,0)*0.00502),"")</f>
        <v>0.14558000000000001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54.68333333333333</v>
      </c>
      <c r="BN263" s="64">
        <f t="shared" si="34"/>
        <v>55.970000000000006</v>
      </c>
      <c r="BO263" s="64">
        <f t="shared" si="35"/>
        <v>0.12108262108262109</v>
      </c>
      <c r="BP263" s="64">
        <f t="shared" si="36"/>
        <v>0.12393162393162395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54</v>
      </c>
      <c r="Y264" s="606">
        <f t="shared" si="32"/>
        <v>54</v>
      </c>
      <c r="Z264" s="36">
        <f>IFERROR(IF(Y264=0,"",ROUNDUP(Y264/H264,0)*0.00502),"")</f>
        <v>0.15060000000000001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56.999999999999993</v>
      </c>
      <c r="BN264" s="64">
        <f t="shared" si="34"/>
        <v>56.999999999999993</v>
      </c>
      <c r="BO264" s="64">
        <f t="shared" si="35"/>
        <v>0.12820512820512822</v>
      </c>
      <c r="BP264" s="64">
        <f t="shared" si="36"/>
        <v>0.12820512820512822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40</v>
      </c>
      <c r="Y266" s="606">
        <f t="shared" si="32"/>
        <v>41.4</v>
      </c>
      <c r="Z266" s="36">
        <f>IFERROR(IF(Y266=0,"",ROUNDUP(Y266/H266,0)*0.00502),"")</f>
        <v>0.11546000000000001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42.222222222222221</v>
      </c>
      <c r="BN266" s="64">
        <f t="shared" si="34"/>
        <v>43.699999999999996</v>
      </c>
      <c r="BO266" s="64">
        <f t="shared" si="35"/>
        <v>9.4966761633428307E-2</v>
      </c>
      <c r="BP266" s="64">
        <f t="shared" si="36"/>
        <v>9.8290598290598302E-2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134.62962962962962</v>
      </c>
      <c r="Y267" s="607">
        <f>IFERROR(Y259/H259,"0")+IFERROR(Y260/H260,"0")+IFERROR(Y261/H261,"0")+IFERROR(Y262/H262,"0")+IFERROR(Y263/H263,"0")+IFERROR(Y264/H264,"0")+IFERROR(Y265/H265,"0")+IFERROR(Y266/H266,"0")</f>
        <v>138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0.91676000000000013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437</v>
      </c>
      <c r="Y268" s="607">
        <f>IFERROR(SUM(Y259:Y266),"0")</f>
        <v>449.99999999999994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120</v>
      </c>
      <c r="Y270" s="606">
        <f t="shared" ref="Y270:Y281" si="37">IFERROR(IF(X270="",0,CEILING((X270/$H270),1)*$H270),"")</f>
        <v>121.5</v>
      </c>
      <c r="Z270" s="36">
        <f>IFERROR(IF(Y270=0,"",ROUNDUP(Y270/H270,0)*0.01898),"")</f>
        <v>0.28470000000000001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127.31851851851852</v>
      </c>
      <c r="BN270" s="64">
        <f t="shared" ref="BN270:BN281" si="39">IFERROR(Y270*I270/H270,"0")</f>
        <v>128.91</v>
      </c>
      <c r="BO270" s="64">
        <f t="shared" ref="BO270:BO281" si="40">IFERROR(1/J270*(X270/H270),"0")</f>
        <v>0.23148148148148148</v>
      </c>
      <c r="BP270" s="64">
        <f t="shared" ref="BP270:BP281" si="41">IFERROR(1/J270*(Y270/H270),"0")</f>
        <v>0.234375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19</v>
      </c>
      <c r="Y271" s="606">
        <f t="shared" si="37"/>
        <v>24.299999999999997</v>
      </c>
      <c r="Z271" s="36">
        <f>IFERROR(IF(Y271=0,"",ROUNDUP(Y271/H271,0)*0.01898),"")</f>
        <v>5.6940000000000004E-2</v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20.116543209876546</v>
      </c>
      <c r="BN271" s="64">
        <f t="shared" si="39"/>
        <v>25.727999999999998</v>
      </c>
      <c r="BO271" s="64">
        <f t="shared" si="40"/>
        <v>3.6651234567901238E-2</v>
      </c>
      <c r="BP271" s="64">
        <f t="shared" si="41"/>
        <v>4.6875E-2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10</v>
      </c>
      <c r="Y272" s="606">
        <f t="shared" si="37"/>
        <v>17.399999999999999</v>
      </c>
      <c r="Z272" s="36">
        <f>IFERROR(IF(Y272=0,"",ROUNDUP(Y272/H272,0)*0.01898),"")</f>
        <v>3.7960000000000001E-2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10.567816091954025</v>
      </c>
      <c r="BN272" s="64">
        <f t="shared" si="39"/>
        <v>18.388000000000002</v>
      </c>
      <c r="BO272" s="64">
        <f t="shared" si="40"/>
        <v>1.7959770114942531E-2</v>
      </c>
      <c r="BP272" s="64">
        <f t="shared" si="41"/>
        <v>3.125E-2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291</v>
      </c>
      <c r="Y273" s="606">
        <f t="shared" si="37"/>
        <v>292.8</v>
      </c>
      <c r="Z273" s="36">
        <f>IFERROR(IF(Y273=0,"",ROUNDUP(Y273/H273,0)*0.00651),"")</f>
        <v>0.79422000000000004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323.73750000000001</v>
      </c>
      <c r="BN273" s="64">
        <f t="shared" si="39"/>
        <v>325.74</v>
      </c>
      <c r="BO273" s="64">
        <f t="shared" si="40"/>
        <v>0.66620879120879128</v>
      </c>
      <c r="BP273" s="64">
        <f t="shared" si="41"/>
        <v>0.6703296703296705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651</v>
      </c>
      <c r="Y276" s="606">
        <f t="shared" si="37"/>
        <v>652.79999999999995</v>
      </c>
      <c r="Z276" s="36">
        <f>IFERROR(IF(Y276=0,"",ROUNDUP(Y276/H276,0)*0.00651),"")</f>
        <v>1.7707200000000001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719.35500000000002</v>
      </c>
      <c r="BN276" s="64">
        <f t="shared" si="39"/>
        <v>721.34400000000005</v>
      </c>
      <c r="BO276" s="64">
        <f t="shared" si="40"/>
        <v>1.4903846153846154</v>
      </c>
      <c r="BP276" s="64">
        <f t="shared" si="41"/>
        <v>1.4945054945054945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322</v>
      </c>
      <c r="Y278" s="606">
        <f t="shared" si="37"/>
        <v>324</v>
      </c>
      <c r="Z278" s="36">
        <f>IFERROR(IF(Y278=0,"",ROUNDUP(Y278/H278,0)*0.00651),"")</f>
        <v>0.87885000000000002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355.81000000000006</v>
      </c>
      <c r="BN278" s="64">
        <f t="shared" si="39"/>
        <v>358.02000000000004</v>
      </c>
      <c r="BO278" s="64">
        <f t="shared" si="40"/>
        <v>0.73717948717948734</v>
      </c>
      <c r="BP278" s="64">
        <f t="shared" si="41"/>
        <v>0.74175824175824179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78</v>
      </c>
      <c r="Y279" s="606">
        <f t="shared" si="37"/>
        <v>79.2</v>
      </c>
      <c r="Z279" s="36">
        <f>IFERROR(IF(Y279=0,"",ROUNDUP(Y279/H279,0)*0.00651),"")</f>
        <v>0.21482999999999999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86.190000000000012</v>
      </c>
      <c r="BN279" s="64">
        <f t="shared" si="39"/>
        <v>87.51600000000002</v>
      </c>
      <c r="BO279" s="64">
        <f t="shared" si="40"/>
        <v>0.17857142857142858</v>
      </c>
      <c r="BP279" s="64">
        <f t="shared" si="41"/>
        <v>0.18131868131868134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60</v>
      </c>
      <c r="Y280" s="606">
        <f t="shared" si="37"/>
        <v>60</v>
      </c>
      <c r="Z280" s="36">
        <f>IFERROR(IF(Y280=0,"",ROUNDUP(Y280/H280,0)*0.00651),"")</f>
        <v>0.16275000000000001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66.45</v>
      </c>
      <c r="BN280" s="64">
        <f t="shared" si="39"/>
        <v>66.45</v>
      </c>
      <c r="BO280" s="64">
        <f t="shared" si="40"/>
        <v>0.13736263736263737</v>
      </c>
      <c r="BP280" s="64">
        <f t="shared" si="41"/>
        <v>0.13736263736263737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602.47658578118353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607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4.2009699999999999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1551</v>
      </c>
      <c r="Y283" s="607">
        <f>IFERROR(SUM(Y270:Y281),"0")</f>
        <v>1572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18</v>
      </c>
      <c r="Y285" s="606">
        <f>IFERROR(IF(X285="",0,CEILING((X285/$H285),1)*$H285),"")</f>
        <v>19.2</v>
      </c>
      <c r="Z285" s="36">
        <f>IFERROR(IF(Y285=0,"",ROUNDUP(Y285/H285,0)*0.00651),"")</f>
        <v>5.2080000000000001E-2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19.890000000000004</v>
      </c>
      <c r="BN285" s="64">
        <f>IFERROR(Y285*I285/H285,"0")</f>
        <v>21.216000000000001</v>
      </c>
      <c r="BO285" s="64">
        <f>IFERROR(1/J285*(X285/H285),"0")</f>
        <v>4.1208791208791215E-2</v>
      </c>
      <c r="BP285" s="64">
        <f>IFERROR(1/J285*(Y285/H285),"0")</f>
        <v>4.3956043956043959E-2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13</v>
      </c>
      <c r="Y286" s="606">
        <f>IFERROR(IF(X286="",0,CEILING((X286/$H286),1)*$H286),"")</f>
        <v>14.399999999999999</v>
      </c>
      <c r="Z286" s="36">
        <f>IFERROR(IF(Y286=0,"",ROUNDUP(Y286/H286,0)*0.00651),"")</f>
        <v>3.9059999999999997E-2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14.365</v>
      </c>
      <c r="BN286" s="64">
        <f>IFERROR(Y286*I286/H286,"0")</f>
        <v>15.912000000000001</v>
      </c>
      <c r="BO286" s="64">
        <f>IFERROR(1/J286*(X286/H286),"0")</f>
        <v>2.9761904761904767E-2</v>
      </c>
      <c r="BP286" s="64">
        <f>IFERROR(1/J286*(Y286/H286),"0")</f>
        <v>3.2967032967032968E-2</v>
      </c>
    </row>
    <row r="287" spans="1:68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12.916666666666668</v>
      </c>
      <c r="Y287" s="607">
        <f>IFERROR(Y285/H285,"0")+IFERROR(Y286/H286,"0")</f>
        <v>14</v>
      </c>
      <c r="Z287" s="607">
        <f>IFERROR(IF(Z285="",0,Z285),"0")+IFERROR(IF(Z286="",0,Z286),"0")</f>
        <v>9.1139999999999999E-2</v>
      </c>
      <c r="AA287" s="608"/>
      <c r="AB287" s="608"/>
      <c r="AC287" s="608"/>
    </row>
    <row r="288" spans="1:68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31</v>
      </c>
      <c r="Y288" s="607">
        <f>IFERROR(SUM(Y285:Y286),"0")</f>
        <v>33.599999999999994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4</v>
      </c>
      <c r="Y305" s="606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4.3888888888888893</v>
      </c>
      <c r="BN305" s="64">
        <f>IFERROR(Y305*I305/H305,"0")</f>
        <v>5.9250000000000007</v>
      </c>
      <c r="BO305" s="64">
        <f>IFERROR(1/J305*(X305/H305),"0")</f>
        <v>1.0288065843621399E-2</v>
      </c>
      <c r="BP305" s="64">
        <f>IFERROR(1/J305*(Y305/H305),"0")</f>
        <v>1.3888888888888888E-2</v>
      </c>
    </row>
    <row r="306" spans="1:68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2.2222222222222223</v>
      </c>
      <c r="Y306" s="607">
        <f>IFERROR(Y305/H305,"0")</f>
        <v>3</v>
      </c>
      <c r="Z306" s="607">
        <f>IFERROR(IF(Z305="",0,Z305),"0")</f>
        <v>1.77E-2</v>
      </c>
      <c r="AA306" s="608"/>
      <c r="AB306" s="608"/>
      <c r="AC306" s="608"/>
    </row>
    <row r="307" spans="1:68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4</v>
      </c>
      <c r="Y307" s="607">
        <f>IFERROR(SUM(Y305:Y305),"0")</f>
        <v>5.4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4</v>
      </c>
      <c r="Y311" s="606">
        <f>IFERROR(IF(X311="",0,CEILING((X311/$H311),1)*$H311),"")</f>
        <v>4.5</v>
      </c>
      <c r="Z311" s="36">
        <f>IFERROR(IF(Y311=0,"",ROUNDUP(Y311/H311,0)*0.0059),"")</f>
        <v>2.9499999999999998E-2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4.844444444444445</v>
      </c>
      <c r="BN311" s="64">
        <f>IFERROR(Y311*I311/H311,"0")</f>
        <v>5.45</v>
      </c>
      <c r="BO311" s="64">
        <f>IFERROR(1/J311*(X311/H311),"0")</f>
        <v>2.0576131687242798E-2</v>
      </c>
      <c r="BP311" s="64">
        <f>IFERROR(1/J311*(Y311/H311),"0")</f>
        <v>2.3148148148148147E-2</v>
      </c>
    </row>
    <row r="312" spans="1:68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4.4444444444444446</v>
      </c>
      <c r="Y312" s="607">
        <f>IFERROR(Y309/H309,"0")+IFERROR(Y310/H310,"0")+IFERROR(Y311/H311,"0")</f>
        <v>5</v>
      </c>
      <c r="Z312" s="607">
        <f>IFERROR(IF(Z309="",0,Z309),"0")+IFERROR(IF(Z310="",0,Z310),"0")+IFERROR(IF(Z311="",0,Z311),"0")</f>
        <v>2.9499999999999998E-2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4</v>
      </c>
      <c r="Y313" s="607">
        <f>IFERROR(SUM(Y309:Y311),"0")</f>
        <v>4.5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38</v>
      </c>
      <c r="Y327" s="606">
        <f>IFERROR(IF(X327="",0,CEILING((X327/$H327),1)*$H327),"")</f>
        <v>38.4</v>
      </c>
      <c r="Z327" s="36">
        <f>IFERROR(IF(Y327=0,"",ROUNDUP(Y327/H327,0)*0.00651),"")</f>
        <v>0.10416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40.85</v>
      </c>
      <c r="BN327" s="64">
        <f>IFERROR(Y327*I327/H327,"0")</f>
        <v>41.28</v>
      </c>
      <c r="BO327" s="64">
        <f>IFERROR(1/J327*(X327/H327),"0")</f>
        <v>8.6996336996337006E-2</v>
      </c>
      <c r="BP327" s="64">
        <f>IFERROR(1/J327*(Y327/H327),"0")</f>
        <v>8.7912087912087919E-2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15.833333333333334</v>
      </c>
      <c r="Y328" s="607">
        <f>IFERROR(Y325/H325,"0")+IFERROR(Y326/H326,"0")+IFERROR(Y327/H327,"0")</f>
        <v>16</v>
      </c>
      <c r="Z328" s="607">
        <f>IFERROR(IF(Z325="",0,Z325),"0")+IFERROR(IF(Z326="",0,Z326),"0")+IFERROR(IF(Z327="",0,Z327),"0")</f>
        <v>0.10416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38</v>
      </c>
      <c r="Y329" s="607">
        <f>IFERROR(SUM(Y325:Y327),"0")</f>
        <v>38.4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hidden="1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54</v>
      </c>
      <c r="Y367" s="606">
        <f t="shared" si="47"/>
        <v>54</v>
      </c>
      <c r="Z367" s="36">
        <f>IFERROR(IF(Y367=0,"",ROUNDUP(Y367/H367,0)*0.00651),"")</f>
        <v>0.1953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60.839999999999996</v>
      </c>
      <c r="BN367" s="64">
        <f t="shared" si="49"/>
        <v>60.839999999999996</v>
      </c>
      <c r="BO367" s="64">
        <f t="shared" si="50"/>
        <v>0.16483516483516486</v>
      </c>
      <c r="BP367" s="64">
        <f t="shared" si="51"/>
        <v>0.16483516483516486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30</v>
      </c>
      <c r="Y368" s="607">
        <f>IFERROR(Y361/H361,"0")+IFERROR(Y362/H362,"0")+IFERROR(Y363/H363,"0")+IFERROR(Y364/H364,"0")+IFERROR(Y365/H365,"0")+IFERROR(Y366/H366,"0")+IFERROR(Y367/H367,"0")</f>
        <v>30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0.1953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54</v>
      </c>
      <c r="Y369" s="607">
        <f>IFERROR(SUM(Y361:Y367),"0")</f>
        <v>54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180</v>
      </c>
      <c r="Y379" s="606">
        <f>IFERROR(IF(X379="",0,CEILING((X379/$H379),1)*$H379),"")</f>
        <v>187.2</v>
      </c>
      <c r="Z379" s="36">
        <f>IFERROR(IF(Y379=0,"",ROUNDUP(Y379/H379,0)*0.01898),"")</f>
        <v>0.45552000000000004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191.4</v>
      </c>
      <c r="BN379" s="64">
        <f>IFERROR(Y379*I379/H379,"0")</f>
        <v>199.05600000000001</v>
      </c>
      <c r="BO379" s="64">
        <f>IFERROR(1/J379*(X379/H379),"0")</f>
        <v>0.36057692307692307</v>
      </c>
      <c r="BP379" s="64">
        <f>IFERROR(1/J379*(Y379/H379),"0")</f>
        <v>0.375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23.076923076923077</v>
      </c>
      <c r="Y381" s="607">
        <f>IFERROR(Y378/H378,"0")+IFERROR(Y379/H379,"0")+IFERROR(Y380/H380,"0")</f>
        <v>24</v>
      </c>
      <c r="Z381" s="607">
        <f>IFERROR(IF(Z378="",0,Z378),"0")+IFERROR(IF(Z379="",0,Z379),"0")+IFERROR(IF(Z380="",0,Z380),"0")</f>
        <v>0.45552000000000004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180</v>
      </c>
      <c r="Y382" s="607">
        <f>IFERROR(SUM(Y378:Y380),"0")</f>
        <v>187.2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12</v>
      </c>
      <c r="Y384" s="606">
        <f>IFERROR(IF(X384="",0,CEILING((X384/$H384),1)*$H384),"")</f>
        <v>12.16</v>
      </c>
      <c r="Z384" s="36">
        <f>IFERROR(IF(Y384=0,"",ROUNDUP(Y384/H384,0)*0.00902),"")</f>
        <v>3.6080000000000001E-2</v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13.065789473684211</v>
      </c>
      <c r="BN384" s="64">
        <f>IFERROR(Y384*I384/H384,"0")</f>
        <v>13.24</v>
      </c>
      <c r="BO384" s="64">
        <f>IFERROR(1/J384*(X384/H384),"0")</f>
        <v>2.9904306220095694E-2</v>
      </c>
      <c r="BP384" s="64">
        <f>IFERROR(1/J384*(Y384/H384),"0")</f>
        <v>3.0303030303030304E-2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14</v>
      </c>
      <c r="Y385" s="60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15.059210526315789</v>
      </c>
      <c r="BN385" s="64">
        <f>IFERROR(Y385*I385/H385,"0")</f>
        <v>16.350000000000001</v>
      </c>
      <c r="BO385" s="64">
        <f>IFERROR(1/J385*(X385/H385),"0")</f>
        <v>3.4888357256778316E-2</v>
      </c>
      <c r="BP385" s="64">
        <f>IFERROR(1/J385*(Y385/H385),"0")</f>
        <v>3.787878787878788E-2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8.5526315789473681</v>
      </c>
      <c r="Y388" s="607">
        <f>IFERROR(Y384/H384,"0")+IFERROR(Y385/H385,"0")+IFERROR(Y386/H386,"0")+IFERROR(Y387/H387,"0")</f>
        <v>9</v>
      </c>
      <c r="Z388" s="607">
        <f>IFERROR(IF(Z384="",0,Z384),"0")+IFERROR(IF(Z385="",0,Z385),"0")+IFERROR(IF(Z386="",0,Z386),"0")+IFERROR(IF(Z387="",0,Z387),"0")</f>
        <v>8.1180000000000002E-2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26</v>
      </c>
      <c r="Y389" s="607">
        <f>IFERROR(SUM(Y384:Y387),"0")</f>
        <v>27.36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6</v>
      </c>
      <c r="Y406" s="606">
        <f t="shared" ref="Y406:Y413" si="52">IFERROR(IF(X406="",0,CEILING((X406/$H406),1)*$H406),"")</f>
        <v>15</v>
      </c>
      <c r="Z406" s="36">
        <f>IFERROR(IF(Y406=0,"",ROUNDUP(Y406/H406,0)*0.02175),"")</f>
        <v>2.1749999999999999E-2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6.1880000000000006</v>
      </c>
      <c r="BN406" s="64">
        <f t="shared" ref="BN406:BN413" si="54">IFERROR(Y406*I406/H406,"0")</f>
        <v>15.47</v>
      </c>
      <c r="BO406" s="64">
        <f t="shared" ref="BO406:BO413" si="55">IFERROR(1/J406*(X406/H406),"0")</f>
        <v>8.3333333333333332E-3</v>
      </c>
      <c r="BP406" s="64">
        <f t="shared" ref="BP406:BP413" si="56">IFERROR(1/J406*(Y406/H406),"0")</f>
        <v>2.0833333333333332E-2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1093</v>
      </c>
      <c r="Y407" s="606">
        <f t="shared" si="52"/>
        <v>1095</v>
      </c>
      <c r="Z407" s="36">
        <f>IFERROR(IF(Y407=0,"",ROUNDUP(Y407/H407,0)*0.02175),"")</f>
        <v>1.58775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1127.2473333333332</v>
      </c>
      <c r="BN407" s="64">
        <f t="shared" si="54"/>
        <v>1129.3100000000002</v>
      </c>
      <c r="BO407" s="64">
        <f t="shared" si="55"/>
        <v>1.5180555555555553</v>
      </c>
      <c r="BP407" s="64">
        <f t="shared" si="56"/>
        <v>1.5208333333333333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466</v>
      </c>
      <c r="Y408" s="606">
        <f t="shared" si="52"/>
        <v>480</v>
      </c>
      <c r="Z408" s="36">
        <f>IFERROR(IF(Y408=0,"",ROUNDUP(Y408/H408,0)*0.02175),"")</f>
        <v>0.69599999999999995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480.60133333333334</v>
      </c>
      <c r="BN408" s="64">
        <f t="shared" si="54"/>
        <v>495.04</v>
      </c>
      <c r="BO408" s="64">
        <f t="shared" si="55"/>
        <v>0.64722222222222214</v>
      </c>
      <c r="BP408" s="64">
        <f t="shared" si="56"/>
        <v>0.66666666666666663</v>
      </c>
    </row>
    <row r="409" spans="1:68" ht="27" hidden="1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0</v>
      </c>
      <c r="Y409" s="606">
        <f t="shared" si="52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104.33333333333333</v>
      </c>
      <c r="Y414" s="607">
        <f>IFERROR(Y406/H406,"0")+IFERROR(Y407/H407,"0")+IFERROR(Y408/H408,"0")+IFERROR(Y409/H409,"0")+IFERROR(Y410/H410,"0")+IFERROR(Y411/H411,"0")+IFERROR(Y412/H412,"0")+IFERROR(Y413/H413,"0")</f>
        <v>106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2.3054999999999999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1565</v>
      </c>
      <c r="Y415" s="607">
        <f>IFERROR(SUM(Y406:Y413),"0")</f>
        <v>1590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1280</v>
      </c>
      <c r="Y417" s="606">
        <f>IFERROR(IF(X417="",0,CEILING((X417/$H417),1)*$H417),"")</f>
        <v>1290</v>
      </c>
      <c r="Z417" s="36">
        <f>IFERROR(IF(Y417=0,"",ROUNDUP(Y417/H417,0)*0.02175),"")</f>
        <v>1.8704999999999998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1320.1066666666668</v>
      </c>
      <c r="BN417" s="64">
        <f>IFERROR(Y417*I417/H417,"0")</f>
        <v>1330.4199999999998</v>
      </c>
      <c r="BO417" s="64">
        <f>IFERROR(1/J417*(X417/H417),"0")</f>
        <v>1.7777777777777777</v>
      </c>
      <c r="BP417" s="64">
        <f>IFERROR(1/J417*(Y417/H417),"0")</f>
        <v>1.7916666666666665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85.333333333333329</v>
      </c>
      <c r="Y420" s="607">
        <f>IFERROR(Y417/H417,"0")+IFERROR(Y418/H418,"0")+IFERROR(Y419/H419,"0")</f>
        <v>86</v>
      </c>
      <c r="Z420" s="607">
        <f>IFERROR(IF(Z417="",0,Z417),"0")+IFERROR(IF(Z418="",0,Z418),"0")+IFERROR(IF(Z419="",0,Z419),"0")</f>
        <v>1.8704999999999998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1280</v>
      </c>
      <c r="Y421" s="607">
        <f>IFERROR(SUM(Y417:Y419),"0")</f>
        <v>1290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358</v>
      </c>
      <c r="Y428" s="606">
        <f>IFERROR(IF(X428="",0,CEILING((X428/$H428),1)*$H428),"")</f>
        <v>360</v>
      </c>
      <c r="Z428" s="36">
        <f>IFERROR(IF(Y428=0,"",ROUNDUP(Y428/H428,0)*0.01898),"")</f>
        <v>0.75919999999999999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377.65022222222223</v>
      </c>
      <c r="BN428" s="64">
        <f>IFERROR(Y428*I428/H428,"0")</f>
        <v>379.76</v>
      </c>
      <c r="BO428" s="64">
        <f>IFERROR(1/J428*(X428/H428),"0")</f>
        <v>0.62152777777777779</v>
      </c>
      <c r="BP428" s="64">
        <f>IFERROR(1/J428*(Y428/H428),"0")</f>
        <v>0.625</v>
      </c>
    </row>
    <row r="429" spans="1:68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39.777777777777779</v>
      </c>
      <c r="Y429" s="607">
        <f>IFERROR(Y428/H428,"0")</f>
        <v>40</v>
      </c>
      <c r="Z429" s="607">
        <f>IFERROR(IF(Z428="",0,Z428),"0")</f>
        <v>0.75919999999999999</v>
      </c>
      <c r="AA429" s="608"/>
      <c r="AB429" s="608"/>
      <c r="AC429" s="608"/>
    </row>
    <row r="430" spans="1:68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358</v>
      </c>
      <c r="Y430" s="607">
        <f>IFERROR(SUM(Y428:Y428),"0")</f>
        <v>360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732</v>
      </c>
      <c r="Y442" s="606">
        <f>IFERROR(IF(X442="",0,CEILING((X442/$H442),1)*$H442),"")</f>
        <v>738</v>
      </c>
      <c r="Z442" s="36">
        <f>IFERROR(IF(Y442=0,"",ROUNDUP(Y442/H442,0)*0.01898),"")</f>
        <v>1.55636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772.17866666666669</v>
      </c>
      <c r="BN442" s="64">
        <f>IFERROR(Y442*I442/H442,"0")</f>
        <v>778.50800000000004</v>
      </c>
      <c r="BO442" s="64">
        <f>IFERROR(1/J442*(X442/H442),"0")</f>
        <v>1.2708333333333333</v>
      </c>
      <c r="BP442" s="64">
        <f>IFERROR(1/J442*(Y442/H442),"0")</f>
        <v>1.28125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79</v>
      </c>
      <c r="Y443" s="606">
        <f>IFERROR(IF(X443="",0,CEILING((X443/$H443),1)*$H443),"")</f>
        <v>79.2</v>
      </c>
      <c r="Z443" s="36">
        <f>IFERROR(IF(Y443=0,"",ROUNDUP(Y443/H443,0)*0.00651),"")</f>
        <v>0.21482999999999999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87.690000000000012</v>
      </c>
      <c r="BN443" s="64">
        <f>IFERROR(Y443*I443/H443,"0")</f>
        <v>87.91200000000002</v>
      </c>
      <c r="BO443" s="64">
        <f>IFERROR(1/J443*(X443/H443),"0")</f>
        <v>0.18086080586080591</v>
      </c>
      <c r="BP443" s="64">
        <f>IFERROR(1/J443*(Y443/H443),"0")</f>
        <v>0.18131868131868134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114.25</v>
      </c>
      <c r="Y445" s="607">
        <f>IFERROR(Y442/H442,"0")+IFERROR(Y443/H443,"0")+IFERROR(Y444/H444,"0")</f>
        <v>115</v>
      </c>
      <c r="Z445" s="607">
        <f>IFERROR(IF(Z442="",0,Z442),"0")+IFERROR(IF(Z443="",0,Z443),"0")+IFERROR(IF(Z444="",0,Z444),"0")</f>
        <v>1.77119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811</v>
      </c>
      <c r="Y446" s="607">
        <f>IFERROR(SUM(Y442:Y444),"0")</f>
        <v>817.2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52</v>
      </c>
      <c r="Y450" s="606">
        <f t="shared" ref="Y450:Y455" si="57">IFERROR(IF(X450="",0,CEILING((X450/$H450),1)*$H450),"")</f>
        <v>54</v>
      </c>
      <c r="Z450" s="36">
        <f>IFERROR(IF(Y450=0,"",ROUNDUP(Y450/H450,0)*0.00902),"")</f>
        <v>9.0200000000000002E-2</v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53.829629629629629</v>
      </c>
      <c r="BN450" s="64">
        <f t="shared" ref="BN450:BN455" si="59">IFERROR(Y450*I450/H450,"0")</f>
        <v>55.9</v>
      </c>
      <c r="BO450" s="64">
        <f t="shared" ref="BO450:BO455" si="60">IFERROR(1/J450*(X450/H450),"0")</f>
        <v>7.2951739618406286E-2</v>
      </c>
      <c r="BP450" s="64">
        <f t="shared" ref="BP450:BP455" si="61">IFERROR(1/J450*(Y450/H450),"0")</f>
        <v>7.575757575757576E-2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9.6296296296296298</v>
      </c>
      <c r="Y456" s="607">
        <f>IFERROR(Y450/H450,"0")+IFERROR(Y451/H451,"0")+IFERROR(Y452/H452,"0")+IFERROR(Y453/H453,"0")+IFERROR(Y454/H454,"0")+IFERROR(Y455/H455,"0")</f>
        <v>10</v>
      </c>
      <c r="Z456" s="607">
        <f>IFERROR(IF(Z450="",0,Z450),"0")+IFERROR(IF(Z451="",0,Z451),"0")+IFERROR(IF(Z452="",0,Z452),"0")+IFERROR(IF(Z453="",0,Z453),"0")+IFERROR(IF(Z454="",0,Z454),"0")+IFERROR(IF(Z455="",0,Z455),"0")</f>
        <v>9.0200000000000002E-2</v>
      </c>
      <c r="AA456" s="608"/>
      <c r="AB456" s="608"/>
      <c r="AC456" s="608"/>
    </row>
    <row r="457" spans="1:68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52</v>
      </c>
      <c r="Y457" s="607">
        <f>IFERROR(SUM(Y450:Y455),"0")</f>
        <v>54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51</v>
      </c>
      <c r="Y477" s="606">
        <f t="shared" ref="Y477:Y485" si="62">IFERROR(IF(X477="",0,CEILING((X477/$H477),1)*$H477),"")</f>
        <v>52.800000000000004</v>
      </c>
      <c r="Z477" s="36">
        <f t="shared" ref="Z477:Z482" si="63">IFERROR(IF(Y477=0,"",ROUNDUP(Y477/H477,0)*0.01196),"")</f>
        <v>0.1196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54.380681818181813</v>
      </c>
      <c r="BN477" s="64">
        <f t="shared" ref="BN477:BN485" si="65">IFERROR(Y477*I477/H477,"0")</f>
        <v>56.3</v>
      </c>
      <c r="BO477" s="64">
        <f t="shared" ref="BO477:BO485" si="66">IFERROR(1/J477*(X477/H477),"0")</f>
        <v>9.2875874125874128E-2</v>
      </c>
      <c r="BP477" s="64">
        <f t="shared" ref="BP477:BP485" si="67">IFERROR(1/J477*(Y477/H477),"0")</f>
        <v>9.6153846153846159E-2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34</v>
      </c>
      <c r="Y479" s="606">
        <f t="shared" si="62"/>
        <v>36.96</v>
      </c>
      <c r="Z479" s="36">
        <f t="shared" si="63"/>
        <v>8.3720000000000003E-2</v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36.253787878787875</v>
      </c>
      <c r="BN479" s="64">
        <f t="shared" si="65"/>
        <v>39.409999999999997</v>
      </c>
      <c r="BO479" s="64">
        <f t="shared" si="66"/>
        <v>6.1917249417249423E-2</v>
      </c>
      <c r="BP479" s="64">
        <f t="shared" si="67"/>
        <v>6.7307692307692318E-2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hidden="1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0</v>
      </c>
      <c r="Y482" s="606">
        <f t="shared" si="62"/>
        <v>0</v>
      </c>
      <c r="Z482" s="36" t="str">
        <f t="shared" si="63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0</v>
      </c>
      <c r="BN482" s="64">
        <f t="shared" si="65"/>
        <v>0</v>
      </c>
      <c r="BO482" s="64">
        <f t="shared" si="66"/>
        <v>0</v>
      </c>
      <c r="BP482" s="64">
        <f t="shared" si="67"/>
        <v>0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93</v>
      </c>
      <c r="Y484" s="606">
        <f t="shared" si="62"/>
        <v>96</v>
      </c>
      <c r="Z484" s="36">
        <f>IFERROR(IF(Y484=0,"",ROUNDUP(Y484/H484,0)*0.00902),"")</f>
        <v>0.1804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133.88124999999999</v>
      </c>
      <c r="BN484" s="64">
        <f t="shared" si="65"/>
        <v>138.20000000000002</v>
      </c>
      <c r="BO484" s="64">
        <f t="shared" si="66"/>
        <v>0.14678030303030304</v>
      </c>
      <c r="BP484" s="64">
        <f t="shared" si="67"/>
        <v>0.15151515151515152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34</v>
      </c>
      <c r="Y485" s="606">
        <f t="shared" si="62"/>
        <v>38.4</v>
      </c>
      <c r="Z485" s="36">
        <f>IFERROR(IF(Y485=0,"",ROUNDUP(Y485/H485,0)*0.00902),"")</f>
        <v>7.2160000000000002E-2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48.945833333333333</v>
      </c>
      <c r="BN485" s="64">
        <f t="shared" si="65"/>
        <v>55.28</v>
      </c>
      <c r="BO485" s="64">
        <f t="shared" si="66"/>
        <v>5.3661616161616167E-2</v>
      </c>
      <c r="BP485" s="64">
        <f t="shared" si="67"/>
        <v>6.0606060606060608E-2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42.55681818181818</v>
      </c>
      <c r="Y486" s="607">
        <f>IFERROR(Y477/H477,"0")+IFERROR(Y478/H478,"0")+IFERROR(Y479/H479,"0")+IFERROR(Y480/H480,"0")+IFERROR(Y481/H481,"0")+IFERROR(Y482/H482,"0")+IFERROR(Y483/H483,"0")+IFERROR(Y484/H484,"0")+IFERROR(Y485/H485,"0")</f>
        <v>45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0.45588000000000001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212</v>
      </c>
      <c r="Y487" s="607">
        <f>IFERROR(SUM(Y477:Y485),"0")</f>
        <v>224.16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hidden="1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16</v>
      </c>
      <c r="Y491" s="606">
        <f>IFERROR(IF(X491="",0,CEILING((X491/$H491),1)*$H491),"")</f>
        <v>19.2</v>
      </c>
      <c r="Z491" s="36">
        <f>IFERROR(IF(Y491=0,"",ROUNDUP(Y491/H491,0)*0.00902),"")</f>
        <v>3.6080000000000001E-2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23.033333333333335</v>
      </c>
      <c r="BN491" s="64">
        <f>IFERROR(Y491*I491/H491,"0")</f>
        <v>27.64</v>
      </c>
      <c r="BO491" s="64">
        <f>IFERROR(1/J491*(X491/H491),"0")</f>
        <v>2.5252525252525256E-2</v>
      </c>
      <c r="BP491" s="64">
        <f>IFERROR(1/J491*(Y491/H491),"0")</f>
        <v>3.0303030303030304E-2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3.3333333333333335</v>
      </c>
      <c r="Y492" s="607">
        <f>IFERROR(Y489/H489,"0")+IFERROR(Y490/H490,"0")+IFERROR(Y491/H491,"0")</f>
        <v>4</v>
      </c>
      <c r="Z492" s="607">
        <f>IFERROR(IF(Z489="",0,Z489),"0")+IFERROR(IF(Z490="",0,Z490),"0")+IFERROR(IF(Z491="",0,Z491),"0")</f>
        <v>3.6080000000000001E-2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16</v>
      </c>
      <c r="Y493" s="607">
        <f>IFERROR(SUM(Y489:Y491),"0")</f>
        <v>19.2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117</v>
      </c>
      <c r="Y495" s="606">
        <f t="shared" ref="Y495:Y501" si="68">IFERROR(IF(X495="",0,CEILING((X495/$H495),1)*$H495),"")</f>
        <v>121.44000000000001</v>
      </c>
      <c r="Z495" s="36">
        <f>IFERROR(IF(Y495=0,"",ROUNDUP(Y495/H495,0)*0.01196),"")</f>
        <v>0.27507999999999999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124.75568181818181</v>
      </c>
      <c r="BN495" s="64">
        <f t="shared" ref="BN495:BN501" si="70">IFERROR(Y495*I495/H495,"0")</f>
        <v>129.49</v>
      </c>
      <c r="BO495" s="64">
        <f t="shared" ref="BO495:BO501" si="71">IFERROR(1/J495*(X495/H495),"0")</f>
        <v>0.2130681818181818</v>
      </c>
      <c r="BP495" s="64">
        <f t="shared" ref="BP495:BP501" si="72">IFERROR(1/J495*(Y495/H495),"0")</f>
        <v>0.22115384615384617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22.159090909090907</v>
      </c>
      <c r="Y502" s="607">
        <f>IFERROR(Y495/H495,"0")+IFERROR(Y496/H496,"0")+IFERROR(Y497/H497,"0")+IFERROR(Y498/H498,"0")+IFERROR(Y499/H499,"0")+IFERROR(Y500/H500,"0")+IFERROR(Y501/H501,"0")</f>
        <v>23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0.27507999999999999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117</v>
      </c>
      <c r="Y503" s="607">
        <f>IFERROR(SUM(Y495:Y501),"0")</f>
        <v>121.44000000000001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124</v>
      </c>
      <c r="Y520" s="606">
        <f>IFERROR(IF(X520="",0,CEILING((X520/$H520),1)*$H520),"")</f>
        <v>126</v>
      </c>
      <c r="Z520" s="36">
        <f>IFERROR(IF(Y520=0,"",ROUNDUP(Y520/H520,0)*0.01898),"")</f>
        <v>0.26572000000000001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130.8062222222222</v>
      </c>
      <c r="BN520" s="64">
        <f>IFERROR(Y520*I520/H520,"0")</f>
        <v>132.916</v>
      </c>
      <c r="BO520" s="64">
        <f>IFERROR(1/J520*(X520/H520),"0")</f>
        <v>0.21527777777777779</v>
      </c>
      <c r="BP520" s="64">
        <f>IFERROR(1/J520*(Y520/H520),"0")</f>
        <v>0.21875</v>
      </c>
    </row>
    <row r="521" spans="1:68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13.777777777777779</v>
      </c>
      <c r="Y521" s="607">
        <f>IFERROR(Y520/H520,"0")</f>
        <v>14</v>
      </c>
      <c r="Z521" s="607">
        <f>IFERROR(IF(Z520="",0,Z520),"0")</f>
        <v>0.26572000000000001</v>
      </c>
      <c r="AA521" s="608"/>
      <c r="AB521" s="608"/>
      <c r="AC521" s="608"/>
    </row>
    <row r="522" spans="1:68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124</v>
      </c>
      <c r="Y522" s="607">
        <f>IFERROR(SUM(Y520:Y520),"0")</f>
        <v>126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8139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8298.16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8680.18980180377</v>
      </c>
      <c r="Y534" s="607">
        <f>IFERROR(SUM(BN22:BN530),"0")</f>
        <v>8852.4029999999984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15</v>
      </c>
      <c r="Y535" s="38">
        <f>ROUNDUP(SUM(BP22:BP530),0)</f>
        <v>15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9055.18980180377</v>
      </c>
      <c r="Y536" s="607">
        <f>GrossWeightTotalR+PalletQtyTotalR*25</f>
        <v>9227.4029999999984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1689.6872782806915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1722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17.093959999999999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0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130.19999999999999</v>
      </c>
      <c r="F543" s="46">
        <f>IFERROR(Y88*1,"0")+IFERROR(Y89*1,"0")+IFERROR(Y90*1,"0")+IFERROR(Y91*1,"0")+IFERROR(Y95*1,"0")+IFERROR(Y96*1,"0")+IFERROR(Y97*1,"0")+IFERROR(Y98*1,"0")</f>
        <v>216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565.92000000000007</v>
      </c>
      <c r="H543" s="46">
        <f>IFERROR(Y134*1,"0")+IFERROR(Y135*1,"0")+IFERROR(Y139*1,"0")+IFERROR(Y140*1,"0")+IFERROR(Y144*1,"0")+IFERROR(Y145*1,"0")</f>
        <v>128.32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119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164.26000000000002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2055.6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9.9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38.4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268.56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3240</v>
      </c>
      <c r="W543" s="46">
        <f>IFERROR(Y433*1,"0")+IFERROR(Y434*1,"0")+IFERROR(Y438*1,"0")+IFERROR(Y442*1,"0")+IFERROR(Y443*1,"0")+IFERROR(Y444*1,"0")</f>
        <v>817.2</v>
      </c>
      <c r="X543" s="46">
        <f>IFERROR(Y450*1,"0")+IFERROR(Y451*1,"0")+IFERROR(Y452*1,"0")+IFERROR(Y453*1,"0")+IFERROR(Y454*1,"0")+IFERROR(Y455*1,"0")+IFERROR(Y459*1,"0")+IFERROR(Y460*1,"0")</f>
        <v>54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364.8</v>
      </c>
      <c r="AA543" s="46">
        <f>IFERROR(Y507*1,"0")+IFERROR(Y511*1,"0")+IFERROR(Y515*1,"0")+IFERROR(Y516*1,"0")+IFERROR(Y520*1,"0")+IFERROR(Y524*1,"0")+IFERROR(Y525*1,"0")</f>
        <v>126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3,00"/>
        <filter val="1 280,00"/>
        <filter val="1 551,00"/>
        <filter val="1 565,00"/>
        <filter val="1 689,69"/>
        <filter val="10,00"/>
        <filter val="104,33"/>
        <filter val="112,00"/>
        <filter val="114,25"/>
        <filter val="116,00"/>
        <filter val="117,00"/>
        <filter val="12,00"/>
        <filter val="12,92"/>
        <filter val="120,00"/>
        <filter val="124,00"/>
        <filter val="13,00"/>
        <filter val="13,13"/>
        <filter val="13,69"/>
        <filter val="13,78"/>
        <filter val="131,00"/>
        <filter val="134,63"/>
        <filter val="14,00"/>
        <filter val="147,00"/>
        <filter val="15"/>
        <filter val="15,31"/>
        <filter val="15,83"/>
        <filter val="150,25"/>
        <filter val="16,00"/>
        <filter val="18,00"/>
        <filter val="180,00"/>
        <filter val="19,00"/>
        <filter val="19,29"/>
        <filter val="2,22"/>
        <filter val="2,38"/>
        <filter val="20,22"/>
        <filter val="21,00"/>
        <filter val="212,00"/>
        <filter val="22,16"/>
        <filter val="23,08"/>
        <filter val="24,00"/>
        <filter val="26,00"/>
        <filter val="291,00"/>
        <filter val="3,00"/>
        <filter val="3,08"/>
        <filter val="3,33"/>
        <filter val="30,00"/>
        <filter val="31,00"/>
        <filter val="322,00"/>
        <filter val="33,43"/>
        <filter val="34,00"/>
        <filter val="358,00"/>
        <filter val="379,00"/>
        <filter val="38,00"/>
        <filter val="38,27"/>
        <filter val="39,78"/>
        <filter val="4,00"/>
        <filter val="4,17"/>
        <filter val="4,44"/>
        <filter val="4,91"/>
        <filter val="40,00"/>
        <filter val="41,00"/>
        <filter val="42,56"/>
        <filter val="43,00"/>
        <filter val="437,00"/>
        <filter val="459,00"/>
        <filter val="46,00"/>
        <filter val="466,00"/>
        <filter val="49,00"/>
        <filter val="51,00"/>
        <filter val="52,00"/>
        <filter val="53,00"/>
        <filter val="54,00"/>
        <filter val="55,00"/>
        <filter val="59,00"/>
        <filter val="6,00"/>
        <filter val="60,00"/>
        <filter val="602,48"/>
        <filter val="62,00"/>
        <filter val="651,00"/>
        <filter val="7,14"/>
        <filter val="7,95"/>
        <filter val="732,00"/>
        <filter val="78,00"/>
        <filter val="78,06"/>
        <filter val="79,00"/>
        <filter val="8 139,00"/>
        <filter val="8 680,19"/>
        <filter val="8,55"/>
        <filter val="80,00"/>
        <filter val="811,00"/>
        <filter val="85,33"/>
        <filter val="9 055,19"/>
        <filter val="9,00"/>
        <filter val="9,11"/>
        <filter val="9,63"/>
        <filter val="91,00"/>
        <filter val="93,00"/>
        <filter val="97,00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