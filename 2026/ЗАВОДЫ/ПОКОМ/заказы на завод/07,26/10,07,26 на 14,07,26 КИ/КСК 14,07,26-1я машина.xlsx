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332D142-A9E2-445C-B31B-1D6EEC79561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Y514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Y462" i="2" s="1"/>
  <c r="P461" i="2"/>
  <c r="BO460" i="2"/>
  <c r="BM460" i="2"/>
  <c r="Y460" i="2"/>
  <c r="BN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Z429" i="2" s="1"/>
  <c r="Z430" i="2" s="1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Z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Z412" i="2" s="1"/>
  <c r="P412" i="2"/>
  <c r="BO411" i="2"/>
  <c r="BM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Z408" i="2" s="1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Z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Z325" i="2"/>
  <c r="Y325" i="2"/>
  <c r="BN325" i="2" s="1"/>
  <c r="P325" i="2"/>
  <c r="X322" i="2"/>
  <c r="X321" i="2"/>
  <c r="BO320" i="2"/>
  <c r="BN320" i="2"/>
  <c r="BM320" i="2"/>
  <c r="Z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Z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Z281" i="2"/>
  <c r="Y281" i="2"/>
  <c r="BN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P277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Z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Z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P199" i="2"/>
  <c r="BO199" i="2"/>
  <c r="BM199" i="2"/>
  <c r="Y199" i="2"/>
  <c r="Z199" i="2" s="1"/>
  <c r="P199" i="2"/>
  <c r="BO198" i="2"/>
  <c r="BM198" i="2"/>
  <c r="Y198" i="2"/>
  <c r="BN198" i="2" s="1"/>
  <c r="P198" i="2"/>
  <c r="X194" i="2"/>
  <c r="Y193" i="2"/>
  <c r="X193" i="2"/>
  <c r="BO192" i="2"/>
  <c r="BM192" i="2"/>
  <c r="Y192" i="2"/>
  <c r="Y194" i="2" s="1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Y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BN152" i="2" l="1"/>
  <c r="BN176" i="2"/>
  <c r="BN225" i="2"/>
  <c r="BN278" i="2"/>
  <c r="BN346" i="2"/>
  <c r="BN357" i="2"/>
  <c r="BN407" i="2"/>
  <c r="BN454" i="2"/>
  <c r="BN65" i="2"/>
  <c r="Z89" i="2"/>
  <c r="BN91" i="2"/>
  <c r="BP108" i="2"/>
  <c r="BN113" i="2"/>
  <c r="Z117" i="2"/>
  <c r="BN117" i="2"/>
  <c r="BN159" i="2"/>
  <c r="BN192" i="2"/>
  <c r="Z202" i="2"/>
  <c r="Z275" i="2"/>
  <c r="BP281" i="2"/>
  <c r="BP317" i="2"/>
  <c r="BN387" i="2"/>
  <c r="BN445" i="2"/>
  <c r="Z516" i="2"/>
  <c r="BP411" i="2"/>
  <c r="Z411" i="2"/>
  <c r="Y350" i="2"/>
  <c r="BN170" i="2"/>
  <c r="BP294" i="2"/>
  <c r="BN293" i="2"/>
  <c r="Y131" i="2"/>
  <c r="BP129" i="2"/>
  <c r="Z129" i="2"/>
  <c r="Z130" i="2" s="1"/>
  <c r="BN262" i="2"/>
  <c r="BN327" i="2"/>
  <c r="BN380" i="2"/>
  <c r="Y383" i="2"/>
  <c r="BP517" i="2"/>
  <c r="Z512" i="2"/>
  <c r="Z513" i="2" s="1"/>
  <c r="BN499" i="2"/>
  <c r="BN497" i="2"/>
  <c r="Y493" i="2"/>
  <c r="BN482" i="2"/>
  <c r="Y463" i="2"/>
  <c r="Z460" i="2"/>
  <c r="BP460" i="2"/>
  <c r="BN452" i="2"/>
  <c r="Y430" i="2"/>
  <c r="BN429" i="2"/>
  <c r="BP418" i="2"/>
  <c r="BP413" i="2"/>
  <c r="Z413" i="2"/>
  <c r="Z409" i="2"/>
  <c r="BP408" i="2"/>
  <c r="Z407" i="2"/>
  <c r="BN400" i="2"/>
  <c r="Z399" i="2"/>
  <c r="BP399" i="2"/>
  <c r="Y395" i="2"/>
  <c r="BN394" i="2"/>
  <c r="Y396" i="2"/>
  <c r="BP393" i="2"/>
  <c r="Z393" i="2"/>
  <c r="Z381" i="2"/>
  <c r="Z374" i="2"/>
  <c r="BP373" i="2"/>
  <c r="BP372" i="2"/>
  <c r="Z372" i="2"/>
  <c r="Z368" i="2"/>
  <c r="BP368" i="2"/>
  <c r="BN366" i="2"/>
  <c r="Z365" i="2"/>
  <c r="BN362" i="2"/>
  <c r="BP356" i="2"/>
  <c r="Z356" i="2"/>
  <c r="BP353" i="2"/>
  <c r="BN336" i="2"/>
  <c r="Z327" i="2"/>
  <c r="Z318" i="2"/>
  <c r="BN310" i="2"/>
  <c r="BP309" i="2"/>
  <c r="BP297" i="2"/>
  <c r="Z297" i="2"/>
  <c r="Z295" i="2"/>
  <c r="Z293" i="2"/>
  <c r="BN276" i="2"/>
  <c r="Z271" i="2"/>
  <c r="Z264" i="2"/>
  <c r="BP264" i="2"/>
  <c r="Y268" i="2"/>
  <c r="Z262" i="2"/>
  <c r="Z255" i="2"/>
  <c r="Z256" i="2" s="1"/>
  <c r="Z254" i="2"/>
  <c r="Z232" i="2"/>
  <c r="BP231" i="2"/>
  <c r="Z222" i="2"/>
  <c r="BP221" i="2"/>
  <c r="Z219" i="2"/>
  <c r="Y228" i="2"/>
  <c r="BP219" i="2"/>
  <c r="Z218" i="2"/>
  <c r="BN217" i="2"/>
  <c r="Z209" i="2"/>
  <c r="Z210" i="2" s="1"/>
  <c r="BP209" i="2"/>
  <c r="Y211" i="2"/>
  <c r="BN209" i="2"/>
  <c r="BN203" i="2"/>
  <c r="BP202" i="2"/>
  <c r="Z201" i="2"/>
  <c r="Z192" i="2"/>
  <c r="Z193" i="2" s="1"/>
  <c r="BP192" i="2"/>
  <c r="Z176" i="2"/>
  <c r="BN174" i="2"/>
  <c r="Z174" i="2"/>
  <c r="Z163" i="2"/>
  <c r="Z164" i="2" s="1"/>
  <c r="Y165" i="2"/>
  <c r="Z152" i="2"/>
  <c r="Z139" i="2"/>
  <c r="BN129" i="2"/>
  <c r="BN123" i="2"/>
  <c r="Y92" i="2"/>
  <c r="BN73" i="2"/>
  <c r="Z73" i="2"/>
  <c r="Z65" i="2"/>
  <c r="BN63" i="2"/>
  <c r="Z63" i="2"/>
  <c r="BP53" i="2"/>
  <c r="Z42" i="2"/>
  <c r="BP42" i="2"/>
  <c r="Y37" i="2"/>
  <c r="X536" i="2"/>
  <c r="X534" i="2"/>
  <c r="X535" i="2"/>
  <c r="X538" i="2"/>
  <c r="Z27" i="2"/>
  <c r="BP27" i="2"/>
  <c r="Y24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Y160" i="2"/>
  <c r="BN158" i="2"/>
  <c r="BP158" i="2"/>
  <c r="Z158" i="2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Z241" i="2" s="1"/>
  <c r="BP249" i="2"/>
  <c r="Y252" i="2"/>
  <c r="Z250" i="2"/>
  <c r="BN250" i="2"/>
  <c r="Z367" i="2"/>
  <c r="BN367" i="2"/>
  <c r="BN401" i="2"/>
  <c r="BP401" i="2"/>
  <c r="Z401" i="2"/>
  <c r="Z402" i="2" s="1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Z421" i="2"/>
  <c r="Y436" i="2"/>
  <c r="BP479" i="2"/>
  <c r="K544" i="2"/>
  <c r="BP203" i="2"/>
  <c r="BP222" i="2"/>
  <c r="Z225" i="2"/>
  <c r="BP232" i="2"/>
  <c r="BP240" i="2"/>
  <c r="Y257" i="2"/>
  <c r="BP265" i="2"/>
  <c r="Z270" i="2"/>
  <c r="BP273" i="2"/>
  <c r="Z276" i="2"/>
  <c r="Z296" i="2"/>
  <c r="BP310" i="2"/>
  <c r="P544" i="2"/>
  <c r="BP318" i="2"/>
  <c r="Z326" i="2"/>
  <c r="Z336" i="2"/>
  <c r="BP346" i="2"/>
  <c r="Z355" i="2"/>
  <c r="Z359" i="2" s="1"/>
  <c r="BP357" i="2"/>
  <c r="Z362" i="2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Z136" i="2"/>
  <c r="BP135" i="2"/>
  <c r="Y141" i="2"/>
  <c r="Z160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Z321" i="2" s="1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312" i="2"/>
  <c r="BN61" i="2"/>
  <c r="Y32" i="2"/>
  <c r="Z53" i="2"/>
  <c r="Z64" i="2"/>
  <c r="BP66" i="2"/>
  <c r="Y79" i="2"/>
  <c r="BP89" i="2"/>
  <c r="Z97" i="2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Z518" i="2" s="1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Z154" i="2" s="1"/>
  <c r="BN163" i="2"/>
  <c r="BN173" i="2"/>
  <c r="BN183" i="2"/>
  <c r="BN218" i="2"/>
  <c r="Z226" i="2"/>
  <c r="BN238" i="2"/>
  <c r="Y241" i="2"/>
  <c r="Z249" i="2"/>
  <c r="Z251" i="2" s="1"/>
  <c r="BN261" i="2"/>
  <c r="BN271" i="2"/>
  <c r="Z279" i="2"/>
  <c r="BN292" i="2"/>
  <c r="BN326" i="2"/>
  <c r="Y338" i="2"/>
  <c r="Z348" i="2"/>
  <c r="BN381" i="2"/>
  <c r="Z414" i="2"/>
  <c r="Y427" i="2"/>
  <c r="BN439" i="2"/>
  <c r="Z451" i="2"/>
  <c r="Z461" i="2"/>
  <c r="Z462" i="2" s="1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Z395" i="2" s="1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527" i="2" l="1"/>
  <c r="Z382" i="2"/>
  <c r="Z415" i="2"/>
  <c r="Z99" i="2"/>
  <c r="Z328" i="2"/>
  <c r="Z141" i="2"/>
  <c r="Z235" i="2"/>
  <c r="Z92" i="2"/>
  <c r="Z426" i="2"/>
  <c r="Z473" i="2"/>
  <c r="Z389" i="2"/>
  <c r="Z376" i="2"/>
  <c r="Z369" i="2"/>
  <c r="Z349" i="2"/>
  <c r="Z298" i="2"/>
  <c r="Z282" i="2"/>
  <c r="Z267" i="2"/>
  <c r="Z205" i="2"/>
  <c r="Z184" i="2"/>
  <c r="Z55" i="2"/>
  <c r="Z46" i="2"/>
  <c r="X537" i="2"/>
  <c r="Z32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<sst xmlns="http://schemas.openxmlformats.org/spreadsheetml/2006/main" count="4040" uniqueCount="856">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</sst>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 t="s">
        <v>855</v>
      </c>
      <c r="I5" s="961"/>
      <c r="J5" s="961"/>
      <c r="K5" s="961"/>
      <c r="L5" s="961"/>
      <c r="M5" s="961"/>
      <c r="N5" s="72"/>
      <c r="P5" s="27" t="s">
        <v>4</v>
      </c>
      <c r="Q5" s="963">
        <v>46217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837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Вторник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1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0.375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21">
        <v>4680115887619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20" t="s">
        <v>104</v>
      </c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21">
        <v>4607091388503</v>
      </c>
      <c r="E35" s="62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3"/>
      <c r="R35" s="623"/>
      <c r="S35" s="623"/>
      <c r="T35" s="62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41" t="s">
        <v>45</v>
      </c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54"/>
      <c r="AB38" s="54"/>
      <c r="AC38" s="54"/>
    </row>
    <row r="39" spans="1:68" ht="16.5" hidden="1" customHeight="1" x14ac:dyDescent="0.25">
      <c r="A39" s="636" t="s">
        <v>110</v>
      </c>
      <c r="B39" s="636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6"/>
      <c r="U39" s="636"/>
      <c r="V39" s="636"/>
      <c r="W39" s="636"/>
      <c r="X39" s="636"/>
      <c r="Y39" s="636"/>
      <c r="Z39" s="636"/>
      <c r="AA39" s="65"/>
      <c r="AB39" s="65"/>
      <c r="AC39" s="79"/>
    </row>
    <row r="40" spans="1:68" ht="14.25" hidden="1" customHeight="1" x14ac:dyDescent="0.25">
      <c r="A40" s="620" t="s">
        <v>86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21">
        <v>4680115889354</v>
      </c>
      <c r="E41" s="6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3"/>
      <c r="R41" s="623"/>
      <c r="S41" s="623"/>
      <c r="T41" s="6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21">
        <v>4680115888463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21">
        <v>4680115888494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21">
        <v>4680115888272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19.2</v>
      </c>
      <c r="Y44" s="55">
        <f>IFERROR(IF(X44="",0,CEILING((X44/$H44),1)*$H44),"")</f>
        <v>19.2</v>
      </c>
      <c r="Z44" s="41">
        <f>IFERROR(IF(Y44=0,"",ROUNDUP(Y44/H44,0)*0.00651),"")</f>
        <v>6.5100000000000005E-2</v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21</v>
      </c>
      <c r="BN44" s="78">
        <f>IFERROR(Y44*I44/H44,"0")</f>
        <v>21</v>
      </c>
      <c r="BO44" s="78">
        <f>IFERROR(1/J44*(X44/H44),"0")</f>
        <v>5.4945054945054951E-2</v>
      </c>
      <c r="BP44" s="78">
        <f>IFERROR(1/J44*(Y44/H44),"0")</f>
        <v>5.4945054945054951E-2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21">
        <v>4680115888364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12.8</v>
      </c>
      <c r="Y45" s="55">
        <f>IFERROR(IF(X45="",0,CEILING((X45/$H45),1)*$H45),"")</f>
        <v>13.44</v>
      </c>
      <c r="Z45" s="41">
        <f>IFERROR(IF(Y45=0,"",ROUNDUP(Y45/H45,0)*0.00651),"")</f>
        <v>4.5569999999999999E-2</v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14.000000000000002</v>
      </c>
      <c r="BN45" s="78">
        <f>IFERROR(Y45*I45/H45,"0")</f>
        <v>14.700000000000001</v>
      </c>
      <c r="BO45" s="78">
        <f>IFERROR(1/J45*(X45/H45),"0")</f>
        <v>3.6630036630036632E-2</v>
      </c>
      <c r="BP45" s="78">
        <f>IFERROR(1/J45*(Y45/H45),"0")</f>
        <v>3.8461538461538464E-2</v>
      </c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2" t="s">
        <v>39</v>
      </c>
      <c r="X46" s="43">
        <f>IFERROR(X41/H41,"0")+IFERROR(X42/H42,"0")+IFERROR(X43/H43,"0")+IFERROR(X44/H44,"0")+IFERROR(X45/H45,"0")</f>
        <v>16.666666666666668</v>
      </c>
      <c r="Y46" s="43">
        <f>IFERROR(Y41/H41,"0")+IFERROR(Y42/H42,"0")+IFERROR(Y43/H43,"0")+IFERROR(Y44/H44,"0")+IFERROR(Y45/H45,"0")</f>
        <v>17</v>
      </c>
      <c r="Z46" s="43">
        <f>IFERROR(IF(Z41="",0,Z41),"0")+IFERROR(IF(Z42="",0,Z42),"0")+IFERROR(IF(Z43="",0,Z43),"0")+IFERROR(IF(Z44="",0,Z44),"0")+IFERROR(IF(Z45="",0,Z45),"0")</f>
        <v>0.11067</v>
      </c>
      <c r="AA46" s="67"/>
      <c r="AB46" s="67"/>
      <c r="AC46" s="67"/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0</v>
      </c>
      <c r="X47" s="43">
        <f>IFERROR(SUM(X41:X45),"0")</f>
        <v>32</v>
      </c>
      <c r="Y47" s="43">
        <f>IFERROR(SUM(Y41:Y45),"0")</f>
        <v>32.64</v>
      </c>
      <c r="Z47" s="42"/>
      <c r="AA47" s="67"/>
      <c r="AB47" s="67"/>
      <c r="AC47" s="67"/>
    </row>
    <row r="48" spans="1:68" ht="27.75" hidden="1" customHeight="1" x14ac:dyDescent="0.2">
      <c r="A48" s="641" t="s">
        <v>127</v>
      </c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54"/>
      <c r="AB48" s="54"/>
      <c r="AC48" s="54"/>
    </row>
    <row r="49" spans="1:68" ht="16.5" hidden="1" customHeight="1" x14ac:dyDescent="0.25">
      <c r="A49" s="636" t="s">
        <v>128</v>
      </c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  <c r="R49" s="636"/>
      <c r="S49" s="636"/>
      <c r="T49" s="636"/>
      <c r="U49" s="636"/>
      <c r="V49" s="636"/>
      <c r="W49" s="636"/>
      <c r="X49" s="636"/>
      <c r="Y49" s="636"/>
      <c r="Z49" s="636"/>
      <c r="AA49" s="65"/>
      <c r="AB49" s="65"/>
      <c r="AC49" s="79"/>
    </row>
    <row r="50" spans="1:68" ht="14.25" hidden="1" customHeight="1" x14ac:dyDescent="0.25">
      <c r="A50" s="620" t="s">
        <v>129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21">
        <v>4607091385670</v>
      </c>
      <c r="E51" s="62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3"/>
      <c r="R51" s="623"/>
      <c r="S51" s="623"/>
      <c r="T51" s="624"/>
      <c r="U51" s="39" t="s">
        <v>46</v>
      </c>
      <c r="V51" s="39" t="s">
        <v>46</v>
      </c>
      <c r="W51" s="40" t="s">
        <v>0</v>
      </c>
      <c r="X51" s="58">
        <v>200</v>
      </c>
      <c r="Y51" s="55">
        <f>IFERROR(IF(X51="",0,CEILING((X51/$H51),1)*$H51),"")</f>
        <v>205.20000000000002</v>
      </c>
      <c r="Z51" s="41">
        <f>IFERROR(IF(Y51=0,"",ROUNDUP(Y51/H51,0)*0.01898),"")</f>
        <v>0.36062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207.59259259259258</v>
      </c>
      <c r="BN51" s="78">
        <f>IFERROR(Y51*I51/H51,"0")</f>
        <v>212.99</v>
      </c>
      <c r="BO51" s="78">
        <f>IFERROR(1/J51*(X51/H51),"0")</f>
        <v>0.28935185185185186</v>
      </c>
      <c r="BP51" s="78">
        <f>IFERROR(1/J51*(Y51/H51),"0")</f>
        <v>0.296875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21">
        <v>4680115887725</v>
      </c>
      <c r="E52" s="62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21">
        <v>4607091385687</v>
      </c>
      <c r="E53" s="62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280</v>
      </c>
      <c r="Y53" s="55">
        <f>IFERROR(IF(X53="",0,CEILING((X53/$H53),1)*$H53),"")</f>
        <v>280</v>
      </c>
      <c r="Z53" s="41">
        <f>IFERROR(IF(Y53=0,"",ROUNDUP(Y53/H53,0)*0.00902),"")</f>
        <v>0.63139999999999996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293.3</v>
      </c>
      <c r="BN53" s="78">
        <f>IFERROR(Y53*I53/H53,"0")</f>
        <v>293.3</v>
      </c>
      <c r="BO53" s="78">
        <f>IFERROR(1/J53*(X53/H53),"0")</f>
        <v>0.53030303030303028</v>
      </c>
      <c r="BP53" s="78">
        <f>IFERROR(1/J53*(Y53/H53),"0")</f>
        <v>0.53030303030303028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21">
        <v>4680115882539</v>
      </c>
      <c r="E54" s="62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8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28"/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9"/>
      <c r="P55" s="625" t="s">
        <v>40</v>
      </c>
      <c r="Q55" s="626"/>
      <c r="R55" s="626"/>
      <c r="S55" s="626"/>
      <c r="T55" s="626"/>
      <c r="U55" s="626"/>
      <c r="V55" s="627"/>
      <c r="W55" s="42" t="s">
        <v>39</v>
      </c>
      <c r="X55" s="43">
        <f>IFERROR(X51/H51,"0")+IFERROR(X52/H52,"0")+IFERROR(X53/H53,"0")+IFERROR(X54/H54,"0")</f>
        <v>88.518518518518519</v>
      </c>
      <c r="Y55" s="43">
        <f>IFERROR(Y51/H51,"0")+IFERROR(Y52/H52,"0")+IFERROR(Y53/H53,"0")+IFERROR(Y54/H54,"0")</f>
        <v>89</v>
      </c>
      <c r="Z55" s="43">
        <f>IFERROR(IF(Z51="",0,Z51),"0")+IFERROR(IF(Z52="",0,Z52),"0")+IFERROR(IF(Z53="",0,Z53),"0")+IFERROR(IF(Z54="",0,Z54),"0")</f>
        <v>0.9920199999999999</v>
      </c>
      <c r="AA55" s="67"/>
      <c r="AB55" s="67"/>
      <c r="AC55" s="67"/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0</v>
      </c>
      <c r="X56" s="43">
        <f>IFERROR(SUM(X51:X54),"0")</f>
        <v>480</v>
      </c>
      <c r="Y56" s="43">
        <f>IFERROR(SUM(Y51:Y54),"0")</f>
        <v>485.20000000000005</v>
      </c>
      <c r="Z56" s="42"/>
      <c r="AA56" s="67"/>
      <c r="AB56" s="67"/>
      <c r="AC56" s="67"/>
    </row>
    <row r="57" spans="1:68" ht="16.5" hidden="1" customHeight="1" x14ac:dyDescent="0.25">
      <c r="A57" s="636" t="s">
        <v>144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  <c r="R57" s="636"/>
      <c r="S57" s="636"/>
      <c r="T57" s="636"/>
      <c r="U57" s="636"/>
      <c r="V57" s="636"/>
      <c r="W57" s="636"/>
      <c r="X57" s="636"/>
      <c r="Y57" s="636"/>
      <c r="Z57" s="636"/>
      <c r="AA57" s="65"/>
      <c r="AB57" s="65"/>
      <c r="AC57" s="79"/>
    </row>
    <row r="58" spans="1:68" ht="14.25" hidden="1" customHeight="1" x14ac:dyDescent="0.25">
      <c r="A58" s="620" t="s">
        <v>129</v>
      </c>
      <c r="B58" s="620"/>
      <c r="C58" s="620"/>
      <c r="D58" s="620"/>
      <c r="E58" s="620"/>
      <c r="F58" s="620"/>
      <c r="G58" s="620"/>
      <c r="H58" s="620"/>
      <c r="I58" s="620"/>
      <c r="J58" s="620"/>
      <c r="K58" s="620"/>
      <c r="L58" s="620"/>
      <c r="M58" s="620"/>
      <c r="N58" s="620"/>
      <c r="O58" s="620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21">
        <v>4680115885882</v>
      </c>
      <c r="E59" s="62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8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3"/>
      <c r="R59" s="623"/>
      <c r="S59" s="623"/>
      <c r="T59" s="6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8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21">
        <v>4680115881426</v>
      </c>
      <c r="E61" s="62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8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100</v>
      </c>
      <c r="Y61" s="55">
        <f t="shared" si="0"/>
        <v>108</v>
      </c>
      <c r="Z61" s="41">
        <f>IFERROR(IF(Y61=0,"",ROUNDUP(Y61/H61,0)*0.01898),"")</f>
        <v>0.1898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103.79629629629629</v>
      </c>
      <c r="BN61" s="78">
        <f t="shared" si="2"/>
        <v>112.1</v>
      </c>
      <c r="BO61" s="78">
        <f t="shared" si="3"/>
        <v>0.14467592592592593</v>
      </c>
      <c r="BP61" s="78">
        <f t="shared" si="4"/>
        <v>0.15625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21">
        <v>4680115880283</v>
      </c>
      <c r="E62" s="62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87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3"/>
      <c r="R63" s="623"/>
      <c r="S63" s="623"/>
      <c r="T63" s="624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360</v>
      </c>
      <c r="Y66" s="55">
        <f t="shared" si="0"/>
        <v>360</v>
      </c>
      <c r="Z66" s="41">
        <f>IFERROR(IF(Y66=0,"",ROUNDUP(Y66/H66,0)*0.00902),"")</f>
        <v>0.72160000000000002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375.20000000000005</v>
      </c>
      <c r="BN66" s="78">
        <f t="shared" si="2"/>
        <v>375.20000000000005</v>
      </c>
      <c r="BO66" s="78">
        <f t="shared" si="3"/>
        <v>0.60606060606060608</v>
      </c>
      <c r="BP66" s="78">
        <f t="shared" si="4"/>
        <v>0.60606060606060608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89.259259259259267</v>
      </c>
      <c r="Y67" s="43">
        <f>IFERROR(Y59/H59,"0")+IFERROR(Y60/H60,"0")+IFERROR(Y61/H61,"0")+IFERROR(Y62/H62,"0")+IFERROR(Y63/H63,"0")+IFERROR(Y64/H64,"0")+IFERROR(Y65/H65,"0")+IFERROR(Y66/H66,"0")</f>
        <v>90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0.91139999999999999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IFERROR(SUM(X59:X66),"0")</f>
        <v>460</v>
      </c>
      <c r="Y68" s="43">
        <f>IFERROR(SUM(Y59:Y66),"0")</f>
        <v>468</v>
      </c>
      <c r="Z68" s="42"/>
      <c r="AA68" s="67"/>
      <c r="AB68" s="67"/>
      <c r="AC68" s="67"/>
    </row>
    <row r="69" spans="1:68" ht="14.25" hidden="1" customHeight="1" x14ac:dyDescent="0.25">
      <c r="A69" s="620" t="s">
        <v>166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60</v>
      </c>
      <c r="Y70" s="55">
        <f>IFERROR(IF(X70="",0,CEILING((X70/$H70),1)*$H70),"")</f>
        <v>64.800000000000011</v>
      </c>
      <c r="Z70" s="41">
        <f>IFERROR(IF(Y70=0,"",ROUNDUP(Y70/H70,0)*0.01898),"")</f>
        <v>0.11388000000000001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62.277777777777779</v>
      </c>
      <c r="BN70" s="78">
        <f>IFERROR(Y70*I70/H70,"0")</f>
        <v>67.260000000000005</v>
      </c>
      <c r="BO70" s="78">
        <f>IFERROR(1/J70*(X70/H70),"0")</f>
        <v>8.6805555555555552E-2</v>
      </c>
      <c r="BP70" s="78">
        <f>IFERROR(1/J70*(Y70/H70),"0")</f>
        <v>9.3750000000000014E-2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225</v>
      </c>
      <c r="Y73" s="55">
        <f>IFERROR(IF(X73="",0,CEILING((X73/$H73),1)*$H73),"")</f>
        <v>226.8</v>
      </c>
      <c r="Z73" s="41">
        <f>IFERROR(IF(Y73=0,"",ROUNDUP(Y73/H73,0)*0.00651),"")</f>
        <v>0.54683999999999999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239.99999999999997</v>
      </c>
      <c r="BN73" s="78">
        <f>IFERROR(Y73*I73/H73,"0")</f>
        <v>241.91999999999996</v>
      </c>
      <c r="BO73" s="78">
        <f>IFERROR(1/J73*(X73/H73),"0")</f>
        <v>0.45787545787545786</v>
      </c>
      <c r="BP73" s="78">
        <f>IFERROR(1/J73*(Y73/H73),"0")</f>
        <v>0.46153846153846156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88.888888888888886</v>
      </c>
      <c r="Y74" s="43">
        <f>IFERROR(Y70/H70,"0")+IFERROR(Y71/H71,"0")+IFERROR(Y72/H72,"0")+IFERROR(Y73/H73,"0")</f>
        <v>90</v>
      </c>
      <c r="Z74" s="43">
        <f>IFERROR(IF(Z70="",0,Z70),"0")+IFERROR(IF(Z71="",0,Z71),"0")+IFERROR(IF(Z72="",0,Z72),"0")+IFERROR(IF(Z73="",0,Z73),"0")</f>
        <v>0.66071999999999997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285</v>
      </c>
      <c r="Y75" s="43">
        <f>IFERROR(SUM(Y70:Y73),"0")</f>
        <v>291.60000000000002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183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30</v>
      </c>
      <c r="Y82" s="55">
        <f>IFERROR(IF(X82="",0,CEILING((X82/$H82),1)*$H82),"")</f>
        <v>31.2</v>
      </c>
      <c r="Z82" s="41">
        <f>IFERROR(IF(Y82=0,"",ROUNDUP(Y82/H82,0)*0.01898),"")</f>
        <v>7.5920000000000001E-2</v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31.57692307692308</v>
      </c>
      <c r="BN82" s="78">
        <f>IFERROR(Y82*I82/H82,"0")</f>
        <v>32.840000000000003</v>
      </c>
      <c r="BO82" s="78">
        <f>IFERROR(1/J82*(X82/H82),"0")</f>
        <v>6.0096153846153848E-2</v>
      </c>
      <c r="BP82" s="78">
        <f>IFERROR(1/J82*(Y82/H82),"0")</f>
        <v>6.25E-2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3.8461538461538463</v>
      </c>
      <c r="Y84" s="43">
        <f>IFERROR(Y82/H82,"0")+IFERROR(Y83/H83,"0")</f>
        <v>4</v>
      </c>
      <c r="Z84" s="43">
        <f>IFERROR(IF(Z82="",0,Z82),"0")+IFERROR(IF(Z83="",0,Z83),"0")</f>
        <v>7.5920000000000001E-2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30</v>
      </c>
      <c r="Y85" s="43">
        <f>IFERROR(SUM(Y82:Y83),"0")</f>
        <v>31.2</v>
      </c>
      <c r="Z85" s="42"/>
      <c r="AA85" s="67"/>
      <c r="AB85" s="67"/>
      <c r="AC85" s="67"/>
    </row>
    <row r="86" spans="1:68" ht="16.5" hidden="1" customHeight="1" x14ac:dyDescent="0.25">
      <c r="A86" s="636" t="s">
        <v>190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129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300</v>
      </c>
      <c r="Y88" s="55">
        <f>IFERROR(IF(X88="",0,CEILING((X88/$H88),1)*$H88),"")</f>
        <v>302.40000000000003</v>
      </c>
      <c r="Z88" s="41">
        <f>IFERROR(IF(Y88=0,"",ROUNDUP(Y88/H88,0)*0.01898),"")</f>
        <v>0.53144000000000002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311.38888888888891</v>
      </c>
      <c r="BN88" s="78">
        <f>IFERROR(Y88*I88/H88,"0")</f>
        <v>313.88</v>
      </c>
      <c r="BO88" s="78">
        <f>IFERROR(1/J88*(X88/H88),"0")</f>
        <v>0.43402777777777773</v>
      </c>
      <c r="BP88" s="78">
        <f>IFERROR(1/J88*(Y88/H88),"0")</f>
        <v>0.4375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405</v>
      </c>
      <c r="Y91" s="55">
        <f>IFERROR(IF(X91="",0,CEILING((X91/$H91),1)*$H91),"")</f>
        <v>405</v>
      </c>
      <c r="Z91" s="41">
        <f>IFERROR(IF(Y91=0,"",ROUNDUP(Y91/H91,0)*0.00902),"")</f>
        <v>0.81180000000000008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422.1</v>
      </c>
      <c r="BN91" s="78">
        <f>IFERROR(Y91*I91/H91,"0")</f>
        <v>422.1</v>
      </c>
      <c r="BO91" s="78">
        <f>IFERROR(1/J91*(X91/H91),"0")</f>
        <v>0.68181818181818188</v>
      </c>
      <c r="BP91" s="78">
        <f>IFERROR(1/J91*(Y91/H91),"0")</f>
        <v>0.68181818181818188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117.77777777777777</v>
      </c>
      <c r="Y92" s="43">
        <f>IFERROR(Y88/H88,"0")+IFERROR(Y89/H89,"0")+IFERROR(Y90/H90,"0")+IFERROR(Y91/H91,"0")</f>
        <v>118</v>
      </c>
      <c r="Z92" s="43">
        <f>IFERROR(IF(Z88="",0,Z88),"0")+IFERROR(IF(Z89="",0,Z89),"0")+IFERROR(IF(Z90="",0,Z90),"0")+IFERROR(IF(Z91="",0,Z91),"0")</f>
        <v>1.3432400000000002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705</v>
      </c>
      <c r="Y93" s="43">
        <f>IFERROR(SUM(Y88:Y91),"0")</f>
        <v>707.40000000000009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170</v>
      </c>
      <c r="Y95" s="55">
        <f>IFERROR(IF(X95="",0,CEILING((X95/$H95),1)*$H95),"")</f>
        <v>170.1</v>
      </c>
      <c r="Z95" s="41">
        <f>IFERROR(IF(Y95=0,"",ROUNDUP(Y95/H95,0)*0.01898),"")</f>
        <v>0.39857999999999999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180.36790123456788</v>
      </c>
      <c r="BN95" s="78">
        <f>IFERROR(Y95*I95/H95,"0")</f>
        <v>180.47399999999999</v>
      </c>
      <c r="BO95" s="78">
        <f>IFERROR(1/J95*(X95/H95),"0")</f>
        <v>0.32793209876543211</v>
      </c>
      <c r="BP95" s="78">
        <f>IFERROR(1/J95*(Y95/H95),"0")</f>
        <v>0.328125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495</v>
      </c>
      <c r="Y97" s="55">
        <f>IFERROR(IF(X97="",0,CEILING((X97/$H97),1)*$H97),"")</f>
        <v>496.8</v>
      </c>
      <c r="Z97" s="41">
        <f>IFERROR(IF(Y97=0,"",ROUNDUP(Y97/H97,0)*0.00651),"")</f>
        <v>1.19784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541.19999999999993</v>
      </c>
      <c r="BN97" s="78">
        <f>IFERROR(Y97*I97/H97,"0")</f>
        <v>543.16800000000001</v>
      </c>
      <c r="BO97" s="78">
        <f>IFERROR(1/J97*(X97/H97),"0")</f>
        <v>1.0073260073260073</v>
      </c>
      <c r="BP97" s="78">
        <f>IFERROR(1/J97*(Y97/H97),"0")</f>
        <v>1.0109890109890112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204.32098765432096</v>
      </c>
      <c r="Y99" s="43">
        <f>IFERROR(Y95/H95,"0")+IFERROR(Y96/H96,"0")+IFERROR(Y97/H97,"0")+IFERROR(Y98/H98,"0")</f>
        <v>205</v>
      </c>
      <c r="Z99" s="43">
        <f>IFERROR(IF(Z95="",0,Z95),"0")+IFERROR(IF(Z96="",0,Z96),"0")+IFERROR(IF(Z97="",0,Z97),"0")+IFERROR(IF(Z98="",0,Z98),"0")</f>
        <v>1.59642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665</v>
      </c>
      <c r="Y100" s="43">
        <f>IFERROR(SUM(Y95:Y98),"0")</f>
        <v>666.9</v>
      </c>
      <c r="Z100" s="42"/>
      <c r="AA100" s="67"/>
      <c r="AB100" s="67"/>
      <c r="AC100" s="67"/>
    </row>
    <row r="101" spans="1:68" ht="16.5" hidden="1" customHeight="1" x14ac:dyDescent="0.25">
      <c r="A101" s="636" t="s">
        <v>211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129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20</v>
      </c>
      <c r="Y103" s="55">
        <f t="shared" ref="Y103:Y108" si="5">IFERROR(IF(X103="",0,CEILING((X103/$H103),1)*$H103),"")</f>
        <v>21.6</v>
      </c>
      <c r="Z103" s="41">
        <f>IFERROR(IF(Y103=0,"",ROUNDUP(Y103/H103,0)*0.01898),"")</f>
        <v>3.7960000000000001E-2</v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20.75925925925926</v>
      </c>
      <c r="BN103" s="78">
        <f t="shared" ref="BN103:BN108" si="7">IFERROR(Y103*I103/H103,"0")</f>
        <v>22.42</v>
      </c>
      <c r="BO103" s="78">
        <f t="shared" ref="BO103:BO108" si="8">IFERROR(1/J103*(X103/H103),"0")</f>
        <v>2.8935185185185182E-2</v>
      </c>
      <c r="BP103" s="78">
        <f t="shared" ref="BP103:BP108" si="9">IFERROR(1/J103*(Y103/H103),"0")</f>
        <v>3.125E-2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2.2000000000000002</v>
      </c>
      <c r="Y104" s="55">
        <f t="shared" si="5"/>
        <v>2.2000000000000002</v>
      </c>
      <c r="Z104" s="41">
        <f>IFERROR(IF(Y104=0,"",ROUNDUP(Y104/H104,0)*0.00726),"")</f>
        <v>1.452E-2</v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2.62</v>
      </c>
      <c r="BN104" s="78">
        <f t="shared" si="7"/>
        <v>2.62</v>
      </c>
      <c r="BO104" s="78">
        <f t="shared" si="8"/>
        <v>1.0416666666666666E-2</v>
      </c>
      <c r="BP104" s="78">
        <f t="shared" si="9"/>
        <v>1.0416666666666666E-2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21">
        <v>4680115880269</v>
      </c>
      <c r="E106" s="62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85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21">
        <v>4680115880429</v>
      </c>
      <c r="E107" s="62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405</v>
      </c>
      <c r="Y107" s="55">
        <f t="shared" si="5"/>
        <v>405</v>
      </c>
      <c r="Z107" s="41">
        <f>IFERROR(IF(Y107=0,"",ROUNDUP(Y107/H107,0)*0.00902),"")</f>
        <v>0.81180000000000008</v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422.1</v>
      </c>
      <c r="BN107" s="78">
        <f t="shared" si="7"/>
        <v>422.1</v>
      </c>
      <c r="BO107" s="78">
        <f t="shared" si="8"/>
        <v>0.68181818181818188</v>
      </c>
      <c r="BP107" s="78">
        <f t="shared" si="9"/>
        <v>0.68181818181818188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21">
        <v>4680115881457</v>
      </c>
      <c r="E108" s="62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IFERROR(X103/H103,"0")+IFERROR(X104/H104,"0")+IFERROR(X105/H105,"0")+IFERROR(X106/H106,"0")+IFERROR(X107/H107,"0")+IFERROR(X108/H108,"0")</f>
        <v>93.851851851851848</v>
      </c>
      <c r="Y109" s="43">
        <f>IFERROR(Y103/H103,"0")+IFERROR(Y104/H104,"0")+IFERROR(Y105/H105,"0")+IFERROR(Y106/H106,"0")+IFERROR(Y107/H107,"0")+IFERROR(Y108/H108,"0")</f>
        <v>94</v>
      </c>
      <c r="Z109" s="43">
        <f>IFERROR(IF(Z103="",0,Z103),"0")+IFERROR(IF(Z104="",0,Z104),"0")+IFERROR(IF(Z105="",0,Z105),"0")+IFERROR(IF(Z106="",0,Z106),"0")+IFERROR(IF(Z107="",0,Z107),"0")+IFERROR(IF(Z108="",0,Z108),"0")</f>
        <v>0.86428000000000005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IFERROR(SUM(X103:X108),"0")</f>
        <v>427.2</v>
      </c>
      <c r="Y110" s="43">
        <f>IFERROR(SUM(Y103:Y108),"0")</f>
        <v>428.8</v>
      </c>
      <c r="Z110" s="42"/>
      <c r="AA110" s="67"/>
      <c r="AB110" s="67"/>
      <c r="AC110" s="67"/>
    </row>
    <row r="111" spans="1:68" ht="14.25" hidden="1" customHeight="1" x14ac:dyDescent="0.25">
      <c r="A111" s="620" t="s">
        <v>166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21">
        <v>4680115881488</v>
      </c>
      <c r="E112" s="62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8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23"/>
      <c r="R112" s="623"/>
      <c r="S112" s="623"/>
      <c r="T112" s="62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21">
        <v>4680115887664</v>
      </c>
      <c r="E114" s="62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8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21">
        <v>4680115887664</v>
      </c>
      <c r="E115" s="62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8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21">
        <v>4680115882775</v>
      </c>
      <c r="E116" s="62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8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21">
        <v>4680115880658</v>
      </c>
      <c r="E117" s="62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8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8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28"/>
      <c r="B119" s="628"/>
      <c r="C119" s="628"/>
      <c r="D119" s="628"/>
      <c r="E119" s="628"/>
      <c r="F119" s="628"/>
      <c r="G119" s="628"/>
      <c r="H119" s="628"/>
      <c r="I119" s="628"/>
      <c r="J119" s="628"/>
      <c r="K119" s="628"/>
      <c r="L119" s="628"/>
      <c r="M119" s="628"/>
      <c r="N119" s="628"/>
      <c r="O119" s="629"/>
      <c r="P119" s="625" t="s">
        <v>40</v>
      </c>
      <c r="Q119" s="626"/>
      <c r="R119" s="626"/>
      <c r="S119" s="626"/>
      <c r="T119" s="626"/>
      <c r="U119" s="626"/>
      <c r="V119" s="627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20" t="s">
        <v>86</v>
      </c>
      <c r="B121" s="620"/>
      <c r="C121" s="620"/>
      <c r="D121" s="620"/>
      <c r="E121" s="620"/>
      <c r="F121" s="620"/>
      <c r="G121" s="620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21">
        <v>4607091385168</v>
      </c>
      <c r="E122" s="621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8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23"/>
      <c r="R122" s="623"/>
      <c r="S122" s="623"/>
      <c r="T122" s="624"/>
      <c r="U122" s="39" t="s">
        <v>46</v>
      </c>
      <c r="V122" s="39" t="s">
        <v>46</v>
      </c>
      <c r="W122" s="40" t="s">
        <v>0</v>
      </c>
      <c r="X122" s="58">
        <v>500</v>
      </c>
      <c r="Y122" s="55">
        <f>IFERROR(IF(X122="",0,CEILING((X122/$H122),1)*$H122),"")</f>
        <v>502.2</v>
      </c>
      <c r="Z122" s="41">
        <f>IFERROR(IF(Y122=0,"",ROUNDUP(Y122/H122,0)*0.01898),"")</f>
        <v>1.17676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530.12345679012344</v>
      </c>
      <c r="BN122" s="78">
        <f>IFERROR(Y122*I122/H122,"0")</f>
        <v>532.4559999999999</v>
      </c>
      <c r="BO122" s="78">
        <f>IFERROR(1/J122*(X122/H122),"0")</f>
        <v>0.96450617283950624</v>
      </c>
      <c r="BP122" s="78">
        <f>IFERROR(1/J122*(Y122/H122),"0")</f>
        <v>0.96875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21">
        <v>4607091383256</v>
      </c>
      <c r="E123" s="621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21">
        <v>4607091385748</v>
      </c>
      <c r="E124" s="621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495</v>
      </c>
      <c r="Y124" s="55">
        <f>IFERROR(IF(X124="",0,CEILING((X124/$H124),1)*$H124),"")</f>
        <v>496.8</v>
      </c>
      <c r="Z124" s="41">
        <f>IFERROR(IF(Y124=0,"",ROUNDUP(Y124/H124,0)*0.00651),"")</f>
        <v>1.19784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541.19999999999993</v>
      </c>
      <c r="BN124" s="78">
        <f>IFERROR(Y124*I124/H124,"0")</f>
        <v>543.16800000000001</v>
      </c>
      <c r="BO124" s="78">
        <f>IFERROR(1/J124*(X124/H124),"0")</f>
        <v>1.0073260073260073</v>
      </c>
      <c r="BP124" s="78">
        <f>IFERROR(1/J124*(Y124/H124),"0")</f>
        <v>1.0109890109890112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21">
        <v>4680115884533</v>
      </c>
      <c r="E125" s="621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24</v>
      </c>
      <c r="Y125" s="55">
        <f>IFERROR(IF(X125="",0,CEILING((X125/$H125),1)*$H125),"")</f>
        <v>25.2</v>
      </c>
      <c r="Z125" s="41">
        <f>IFERROR(IF(Y125=0,"",ROUNDUP(Y125/H125,0)*0.00651),"")</f>
        <v>9.1139999999999999E-2</v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26.4</v>
      </c>
      <c r="BN125" s="78">
        <f>IFERROR(Y125*I125/H125,"0")</f>
        <v>27.72</v>
      </c>
      <c r="BO125" s="78">
        <f>IFERROR(1/J125*(X125/H125),"0")</f>
        <v>7.3260073260073263E-2</v>
      </c>
      <c r="BP125" s="78">
        <f>IFERROR(1/J125*(Y125/H125),"0")</f>
        <v>7.6923076923076927E-2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IFERROR(X122/H122,"0")+IFERROR(X123/H123,"0")+IFERROR(X124/H124,"0")+IFERROR(X125/H125,"0")</f>
        <v>258.39506172839504</v>
      </c>
      <c r="Y126" s="43">
        <f>IFERROR(Y122/H122,"0")+IFERROR(Y123/H123,"0")+IFERROR(Y124/H124,"0")+IFERROR(Y125/H125,"0")</f>
        <v>260</v>
      </c>
      <c r="Z126" s="43">
        <f>IFERROR(IF(Z122="",0,Z122),"0")+IFERROR(IF(Z123="",0,Z123),"0")+IFERROR(IF(Z124="",0,Z124),"0")+IFERROR(IF(Z125="",0,Z125),"0")</f>
        <v>2.4657400000000003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IFERROR(SUM(X122:X125),"0")</f>
        <v>1019</v>
      </c>
      <c r="Y127" s="43">
        <f>IFERROR(SUM(Y122:Y125),"0")</f>
        <v>1024.2</v>
      </c>
      <c r="Z127" s="42"/>
      <c r="AA127" s="67"/>
      <c r="AB127" s="67"/>
      <c r="AC127" s="67"/>
    </row>
    <row r="128" spans="1:68" ht="14.25" hidden="1" customHeight="1" x14ac:dyDescent="0.25">
      <c r="A128" s="620" t="s">
        <v>183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21">
        <v>4680115880238</v>
      </c>
      <c r="E129" s="621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23"/>
      <c r="R129" s="623"/>
      <c r="S129" s="623"/>
      <c r="T129" s="624"/>
      <c r="U129" s="39" t="s">
        <v>46</v>
      </c>
      <c r="V129" s="39" t="s">
        <v>46</v>
      </c>
      <c r="W129" s="40" t="s">
        <v>0</v>
      </c>
      <c r="X129" s="58">
        <v>49.5</v>
      </c>
      <c r="Y129" s="55">
        <f>IFERROR(IF(X129="",0,CEILING((X129/$H129),1)*$H129),"")</f>
        <v>49.5</v>
      </c>
      <c r="Z129" s="41">
        <f>IFERROR(IF(Y129=0,"",ROUNDUP(Y129/H129,0)*0.00651),"")</f>
        <v>0.16275000000000001</v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55.95</v>
      </c>
      <c r="BN129" s="78">
        <f>IFERROR(Y129*I129/H129,"0")</f>
        <v>55.95</v>
      </c>
      <c r="BO129" s="78">
        <f>IFERROR(1/J129*(X129/H129),"0")</f>
        <v>0.13736263736263737</v>
      </c>
      <c r="BP129" s="78">
        <f>IFERROR(1/J129*(Y129/H129),"0")</f>
        <v>0.13736263736263737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2" t="s">
        <v>39</v>
      </c>
      <c r="X130" s="43">
        <f>IFERROR(X129/H129,"0")</f>
        <v>25</v>
      </c>
      <c r="Y130" s="43">
        <f>IFERROR(Y129/H129,"0")</f>
        <v>25</v>
      </c>
      <c r="Z130" s="43">
        <f>IFERROR(IF(Z129="",0,Z129),"0")</f>
        <v>0.16275000000000001</v>
      </c>
      <c r="AA130" s="67"/>
      <c r="AB130" s="67"/>
      <c r="AC130" s="67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0</v>
      </c>
      <c r="X131" s="43">
        <f>IFERROR(SUM(X129:X129),"0")</f>
        <v>49.5</v>
      </c>
      <c r="Y131" s="43">
        <f>IFERROR(SUM(Y129:Y129),"0")</f>
        <v>49.5</v>
      </c>
      <c r="Z131" s="42"/>
      <c r="AA131" s="67"/>
      <c r="AB131" s="67"/>
      <c r="AC131" s="67"/>
    </row>
    <row r="132" spans="1:68" ht="16.5" hidden="1" customHeight="1" x14ac:dyDescent="0.25">
      <c r="A132" s="636" t="s">
        <v>253</v>
      </c>
      <c r="B132" s="636"/>
      <c r="C132" s="636"/>
      <c r="D132" s="636"/>
      <c r="E132" s="636"/>
      <c r="F132" s="636"/>
      <c r="G132" s="636"/>
      <c r="H132" s="636"/>
      <c r="I132" s="636"/>
      <c r="J132" s="636"/>
      <c r="K132" s="636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636"/>
      <c r="AA132" s="65"/>
      <c r="AB132" s="65"/>
      <c r="AC132" s="79"/>
    </row>
    <row r="133" spans="1:68" ht="14.25" hidden="1" customHeight="1" x14ac:dyDescent="0.25">
      <c r="A133" s="620" t="s">
        <v>129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21">
        <v>4680115882577</v>
      </c>
      <c r="E134" s="62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23"/>
      <c r="R134" s="623"/>
      <c r="S134" s="623"/>
      <c r="T134" s="62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80</v>
      </c>
      <c r="Y135" s="55">
        <f>IFERROR(IF(X135="",0,CEILING((X135/$H135),1)*$H135),"")</f>
        <v>80</v>
      </c>
      <c r="Z135" s="41">
        <f>IFERROR(IF(Y135=0,"",ROUNDUP(Y135/H135,0)*0.00651),"")</f>
        <v>0.16275000000000001</v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84.499999999999986</v>
      </c>
      <c r="BN135" s="78">
        <f>IFERROR(Y135*I135/H135,"0")</f>
        <v>84.499999999999986</v>
      </c>
      <c r="BO135" s="78">
        <f>IFERROR(1/J135*(X135/H135),"0")</f>
        <v>0.13736263736263737</v>
      </c>
      <c r="BP135" s="78">
        <f>IFERROR(1/J135*(Y135/H135),"0")</f>
        <v>0.13736263736263737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25</v>
      </c>
      <c r="Y136" s="43">
        <f>IFERROR(Y134/H134,"0")+IFERROR(Y135/H135,"0")</f>
        <v>25</v>
      </c>
      <c r="Z136" s="43">
        <f>IFERROR(IF(Z134="",0,Z134),"0")+IFERROR(IF(Z135="",0,Z135),"0")</f>
        <v>0.16275000000000001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80</v>
      </c>
      <c r="Y137" s="43">
        <f>IFERROR(SUM(Y134:Y135),"0")</f>
        <v>80</v>
      </c>
      <c r="Z137" s="42"/>
      <c r="AA137" s="67"/>
      <c r="AB137" s="67"/>
      <c r="AC137" s="67"/>
    </row>
    <row r="138" spans="1:68" ht="14.25" hidden="1" customHeight="1" x14ac:dyDescent="0.25">
      <c r="A138" s="620" t="s">
        <v>77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21">
        <v>4680115883444</v>
      </c>
      <c r="E139" s="62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23"/>
      <c r="R139" s="623"/>
      <c r="S139" s="623"/>
      <c r="T139" s="624"/>
      <c r="U139" s="39" t="s">
        <v>46</v>
      </c>
      <c r="V139" s="39" t="s">
        <v>46</v>
      </c>
      <c r="W139" s="40" t="s">
        <v>0</v>
      </c>
      <c r="X139" s="58">
        <v>70</v>
      </c>
      <c r="Y139" s="55">
        <f>IFERROR(IF(X139="",0,CEILING((X139/$H139),1)*$H139),"")</f>
        <v>70</v>
      </c>
      <c r="Z139" s="41">
        <f>IFERROR(IF(Y139=0,"",ROUNDUP(Y139/H139,0)*0.00651),"")</f>
        <v>0.16275000000000001</v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76.7</v>
      </c>
      <c r="BN139" s="78">
        <f>IFERROR(Y139*I139/H139,"0")</f>
        <v>76.7</v>
      </c>
      <c r="BO139" s="78">
        <f>IFERROR(1/J139*(X139/H139),"0")</f>
        <v>0.13736263736263737</v>
      </c>
      <c r="BP139" s="78">
        <f>IFERROR(1/J139*(Y139/H139),"0")</f>
        <v>0.13736263736263737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8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2" t="s">
        <v>39</v>
      </c>
      <c r="X141" s="43">
        <f>IFERROR(X139/H139,"0")+IFERROR(X140/H140,"0")</f>
        <v>25</v>
      </c>
      <c r="Y141" s="43">
        <f>IFERROR(Y139/H139,"0")+IFERROR(Y140/H140,"0")</f>
        <v>25</v>
      </c>
      <c r="Z141" s="43">
        <f>IFERROR(IF(Z139="",0,Z139),"0")+IFERROR(IF(Z140="",0,Z140),"0")</f>
        <v>0.16275000000000001</v>
      </c>
      <c r="AA141" s="67"/>
      <c r="AB141" s="67"/>
      <c r="AC141" s="67"/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0</v>
      </c>
      <c r="X142" s="43">
        <f>IFERROR(SUM(X139:X140),"0")</f>
        <v>70</v>
      </c>
      <c r="Y142" s="43">
        <f>IFERROR(SUM(Y139:Y140),"0")</f>
        <v>70</v>
      </c>
      <c r="Z142" s="42"/>
      <c r="AA142" s="67"/>
      <c r="AB142" s="67"/>
      <c r="AC142" s="67"/>
    </row>
    <row r="143" spans="1:68" ht="14.25" hidden="1" customHeight="1" x14ac:dyDescent="0.25">
      <c r="A143" s="620" t="s">
        <v>86</v>
      </c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21">
        <v>4680115882584</v>
      </c>
      <c r="E144" s="62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8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23"/>
      <c r="R144" s="623"/>
      <c r="S144" s="623"/>
      <c r="T144" s="624"/>
      <c r="U144" s="39" t="s">
        <v>46</v>
      </c>
      <c r="V144" s="39" t="s">
        <v>46</v>
      </c>
      <c r="W144" s="40" t="s">
        <v>0</v>
      </c>
      <c r="X144" s="58">
        <v>72.600000000000009</v>
      </c>
      <c r="Y144" s="55">
        <f>IFERROR(IF(X144="",0,CEILING((X144/$H144),1)*$H144),"")</f>
        <v>73.92</v>
      </c>
      <c r="Z144" s="41">
        <f>IFERROR(IF(Y144=0,"",ROUNDUP(Y144/H144,0)*0.00651),"")</f>
        <v>0.18228</v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79.970000000000013</v>
      </c>
      <c r="BN144" s="78">
        <f>IFERROR(Y144*I144/H144,"0")</f>
        <v>81.423999999999992</v>
      </c>
      <c r="BO144" s="78">
        <f>IFERROR(1/J144*(X144/H144),"0")</f>
        <v>0.15109890109890112</v>
      </c>
      <c r="BP144" s="78">
        <f>IFERROR(1/J144*(Y144/H144),"0")</f>
        <v>0.15384615384615385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8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2" t="s">
        <v>39</v>
      </c>
      <c r="X146" s="43">
        <f>IFERROR(X144/H144,"0")+IFERROR(X145/H145,"0")</f>
        <v>27.500000000000004</v>
      </c>
      <c r="Y146" s="43">
        <f>IFERROR(Y144/H144,"0")+IFERROR(Y145/H145,"0")</f>
        <v>28</v>
      </c>
      <c r="Z146" s="43">
        <f>IFERROR(IF(Z144="",0,Z144),"0")+IFERROR(IF(Z145="",0,Z145),"0")</f>
        <v>0.18228</v>
      </c>
      <c r="AA146" s="67"/>
      <c r="AB146" s="67"/>
      <c r="AC146" s="67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0</v>
      </c>
      <c r="X147" s="43">
        <f>IFERROR(SUM(X144:X145),"0")</f>
        <v>72.600000000000009</v>
      </c>
      <c r="Y147" s="43">
        <f>IFERROR(SUM(Y144:Y145),"0")</f>
        <v>73.92</v>
      </c>
      <c r="Z147" s="42"/>
      <c r="AA147" s="67"/>
      <c r="AB147" s="67"/>
      <c r="AC147" s="67"/>
    </row>
    <row r="148" spans="1:68" ht="16.5" hidden="1" customHeight="1" x14ac:dyDescent="0.25">
      <c r="A148" s="636" t="s">
        <v>265</v>
      </c>
      <c r="B148" s="636"/>
      <c r="C148" s="636"/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636"/>
      <c r="AA148" s="65"/>
      <c r="AB148" s="65"/>
      <c r="AC148" s="79"/>
    </row>
    <row r="149" spans="1:68" ht="14.25" hidden="1" customHeight="1" x14ac:dyDescent="0.25">
      <c r="A149" s="620" t="s">
        <v>86</v>
      </c>
      <c r="B149" s="620"/>
      <c r="C149" s="620"/>
      <c r="D149" s="620"/>
      <c r="E149" s="620"/>
      <c r="F149" s="620"/>
      <c r="G149" s="620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21">
        <v>4680115888203</v>
      </c>
      <c r="E150" s="62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3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23"/>
      <c r="R150" s="623"/>
      <c r="S150" s="623"/>
      <c r="T150" s="62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21">
        <v>4680115888180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21">
        <v>4680115888197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21">
        <v>4680115888210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36" t="s">
        <v>127</v>
      </c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636"/>
      <c r="AA156" s="65"/>
      <c r="AB156" s="65"/>
      <c r="AC156" s="79"/>
    </row>
    <row r="157" spans="1:68" ht="14.25" hidden="1" customHeight="1" x14ac:dyDescent="0.25">
      <c r="A157" s="620" t="s">
        <v>129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21">
        <v>4680115887374</v>
      </c>
      <c r="E158" s="621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82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23"/>
      <c r="R158" s="623"/>
      <c r="S158" s="623"/>
      <c r="T158" s="62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21">
        <v>4607091384604</v>
      </c>
      <c r="E159" s="621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83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20" t="s">
        <v>166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21">
        <v>4680115887695</v>
      </c>
      <c r="E163" s="62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23"/>
      <c r="R163" s="623"/>
      <c r="S163" s="623"/>
      <c r="T163" s="624"/>
      <c r="U163" s="39" t="s">
        <v>46</v>
      </c>
      <c r="V163" s="39" t="s">
        <v>46</v>
      </c>
      <c r="W163" s="40" t="s">
        <v>0</v>
      </c>
      <c r="X163" s="58">
        <v>2.4</v>
      </c>
      <c r="Y163" s="55">
        <f>IFERROR(IF(X163="",0,CEILING((X163/$H163),1)*$H163),"")</f>
        <v>2.88</v>
      </c>
      <c r="Z163" s="41">
        <f>IFERROR(IF(Y163=0,"",ROUNDUP(Y163/H163,0)*0.00556),"")</f>
        <v>2.2239999999999999E-2</v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2.8333333333333335</v>
      </c>
      <c r="BN163" s="78">
        <f>IFERROR(Y163*I163/H163,"0")</f>
        <v>3.4</v>
      </c>
      <c r="BO163" s="78">
        <f>IFERROR(1/J163*(X163/H163),"0")</f>
        <v>1.3227513227513227E-2</v>
      </c>
      <c r="BP163" s="78">
        <f>IFERROR(1/J163*(Y163/H163),"0")</f>
        <v>1.5873015873015872E-2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2" t="s">
        <v>39</v>
      </c>
      <c r="X164" s="43">
        <f>IFERROR(X163/H163,"0")</f>
        <v>3.3333333333333335</v>
      </c>
      <c r="Y164" s="43">
        <f>IFERROR(Y163/H163,"0")</f>
        <v>4</v>
      </c>
      <c r="Z164" s="43">
        <f>IFERROR(IF(Z163="",0,Z163),"0")</f>
        <v>2.2239999999999999E-2</v>
      </c>
      <c r="AA164" s="67"/>
      <c r="AB164" s="67"/>
      <c r="AC164" s="67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0</v>
      </c>
      <c r="X165" s="43">
        <f>IFERROR(SUM(X163:X163),"0")</f>
        <v>2.4</v>
      </c>
      <c r="Y165" s="43">
        <f>IFERROR(SUM(Y163:Y163),"0")</f>
        <v>2.88</v>
      </c>
      <c r="Z165" s="42"/>
      <c r="AA165" s="67"/>
      <c r="AB165" s="67"/>
      <c r="AC165" s="67"/>
    </row>
    <row r="166" spans="1:68" ht="14.25" hidden="1" customHeight="1" x14ac:dyDescent="0.25">
      <c r="A166" s="620" t="s">
        <v>77</v>
      </c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21">
        <v>4680115887428</v>
      </c>
      <c r="E167" s="621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23"/>
      <c r="R167" s="623"/>
      <c r="S167" s="623"/>
      <c r="T167" s="624"/>
      <c r="U167" s="39" t="s">
        <v>46</v>
      </c>
      <c r="V167" s="39" t="s">
        <v>46</v>
      </c>
      <c r="W167" s="40" t="s">
        <v>0</v>
      </c>
      <c r="X167" s="58">
        <v>140</v>
      </c>
      <c r="Y167" s="55">
        <f t="shared" ref="Y167:Y177" si="15">IFERROR(IF(X167="",0,CEILING((X167/$H167),1)*$H167),"")</f>
        <v>140</v>
      </c>
      <c r="Z167" s="41">
        <f>IFERROR(IF(Y167=0,"",ROUNDUP(Y167/H167,0)*0.00902),"")</f>
        <v>0.36080000000000001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147.6</v>
      </c>
      <c r="BN167" s="78">
        <f t="shared" ref="BN167:BN177" si="17">IFERROR(Y167*I167/H167,"0")</f>
        <v>147.6</v>
      </c>
      <c r="BO167" s="78">
        <f t="shared" ref="BO167:BO177" si="18">IFERROR(1/J167*(X167/H167),"0")</f>
        <v>0.30303030303030304</v>
      </c>
      <c r="BP167" s="78">
        <f t="shared" ref="BP167:BP177" si="19">IFERROR(1/J167*(Y167/H167),"0")</f>
        <v>0.30303030303030304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21">
        <v>4607091382426</v>
      </c>
      <c r="E168" s="621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21">
        <v>4680115887398</v>
      </c>
      <c r="E169" s="62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150</v>
      </c>
      <c r="Y169" s="55">
        <f t="shared" si="15"/>
        <v>150.5</v>
      </c>
      <c r="Z169" s="41">
        <f>IFERROR(IF(Y169=0,"",ROUNDUP(Y169/H169,0)*0.00902),"")</f>
        <v>0.38785999999999998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158.14285714285714</v>
      </c>
      <c r="BN169" s="78">
        <f t="shared" si="17"/>
        <v>158.67000000000002</v>
      </c>
      <c r="BO169" s="78">
        <f t="shared" si="18"/>
        <v>0.32467532467532467</v>
      </c>
      <c r="BP169" s="78">
        <f t="shared" si="19"/>
        <v>0.32575757575757575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21">
        <v>4680115887336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140</v>
      </c>
      <c r="Y170" s="55">
        <f t="shared" si="15"/>
        <v>140</v>
      </c>
      <c r="Z170" s="41">
        <f>IFERROR(IF(Y170=0,"",ROUNDUP(Y170/H170,0)*0.00902),"")</f>
        <v>0.36080000000000001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147.6</v>
      </c>
      <c r="BN170" s="78">
        <f t="shared" si="17"/>
        <v>147.6</v>
      </c>
      <c r="BO170" s="78">
        <f t="shared" si="18"/>
        <v>0.30303030303030304</v>
      </c>
      <c r="BP170" s="78">
        <f t="shared" si="19"/>
        <v>0.30303030303030304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21">
        <v>4680115887787</v>
      </c>
      <c r="E171" s="62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81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7.1999999999999993</v>
      </c>
      <c r="Y171" s="55">
        <f t="shared" si="15"/>
        <v>7.2</v>
      </c>
      <c r="Z171" s="41">
        <f>IFERROR(IF(Y171=0,"",ROUNDUP(Y171/H171,0)*0.00417),"")</f>
        <v>3.3360000000000001E-2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8.879999999999999</v>
      </c>
      <c r="BN171" s="78">
        <f t="shared" si="17"/>
        <v>8.8800000000000008</v>
      </c>
      <c r="BO171" s="78">
        <f t="shared" si="18"/>
        <v>2.3809523809523805E-2</v>
      </c>
      <c r="BP171" s="78">
        <f t="shared" si="19"/>
        <v>2.3809523809523808E-2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21">
        <v>4680115887503</v>
      </c>
      <c r="E172" s="62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78.400000000000006</v>
      </c>
      <c r="Y172" s="55">
        <f t="shared" si="15"/>
        <v>78.959999999999994</v>
      </c>
      <c r="Z172" s="41">
        <f>IFERROR(IF(Y172=0,"",ROUNDUP(Y172/H172,0)*0.00502),"")</f>
        <v>0.23594000000000001</v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83.066666666666677</v>
      </c>
      <c r="BN172" s="78">
        <f t="shared" si="17"/>
        <v>83.66</v>
      </c>
      <c r="BO172" s="78">
        <f t="shared" si="18"/>
        <v>0.19943019943019946</v>
      </c>
      <c r="BP172" s="78">
        <f t="shared" si="19"/>
        <v>0.20085470085470086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21">
        <v>4680115887763</v>
      </c>
      <c r="E173" s="62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2.6999999999999997</v>
      </c>
      <c r="Y173" s="55">
        <f t="shared" si="15"/>
        <v>2.7</v>
      </c>
      <c r="Z173" s="41">
        <f>IFERROR(IF(Y173=0,"",ROUNDUP(Y173/H173,0)*0.00417),"")</f>
        <v>1.251E-2</v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3.3299999999999996</v>
      </c>
      <c r="BN173" s="78">
        <f t="shared" si="17"/>
        <v>3.33</v>
      </c>
      <c r="BO173" s="78">
        <f t="shared" si="18"/>
        <v>8.9285714285714263E-3</v>
      </c>
      <c r="BP173" s="78">
        <f t="shared" si="19"/>
        <v>8.9285714285714281E-3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21">
        <v>4680115887763</v>
      </c>
      <c r="E174" s="62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82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21">
        <v>4680115887480</v>
      </c>
      <c r="E175" s="62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2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56.000000000000007</v>
      </c>
      <c r="Y175" s="55">
        <f t="shared" si="15"/>
        <v>57.12</v>
      </c>
      <c r="Z175" s="41">
        <f>IFERROR(IF(Y175=0,"",ROUNDUP(Y175/H175,0)*0.00502),"")</f>
        <v>0.17068</v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59.33333333333335</v>
      </c>
      <c r="BN175" s="78">
        <f t="shared" si="17"/>
        <v>60.519999999999996</v>
      </c>
      <c r="BO175" s="78">
        <f t="shared" si="18"/>
        <v>0.14245014245014248</v>
      </c>
      <c r="BP175" s="78">
        <f t="shared" si="19"/>
        <v>0.14529914529914531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21">
        <v>4680115888067</v>
      </c>
      <c r="E176" s="62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21">
        <v>4680115887435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1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28.000000000000004</v>
      </c>
      <c r="Y177" s="55">
        <f t="shared" si="15"/>
        <v>28.56</v>
      </c>
      <c r="Z177" s="41">
        <f>IFERROR(IF(Y177=0,"",ROUNDUP(Y177/H177,0)*0.00502),"")</f>
        <v>8.5339999999999999E-2</v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29.666666666666675</v>
      </c>
      <c r="BN177" s="78">
        <f t="shared" si="17"/>
        <v>30.259999999999998</v>
      </c>
      <c r="BO177" s="78">
        <f t="shared" si="18"/>
        <v>7.122507122507124E-2</v>
      </c>
      <c r="BP177" s="78">
        <f t="shared" si="19"/>
        <v>7.2649572649572655E-2</v>
      </c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230.52380952380952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232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1.6472899999999999</v>
      </c>
      <c r="AA178" s="67"/>
      <c r="AB178" s="67"/>
      <c r="AC178" s="67"/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IFERROR(SUM(X167:X177),"0")</f>
        <v>602.30000000000007</v>
      </c>
      <c r="Y179" s="43">
        <f>IFERROR(SUM(Y167:Y177),"0")</f>
        <v>605.04</v>
      </c>
      <c r="Z179" s="42"/>
      <c r="AA179" s="67"/>
      <c r="AB179" s="67"/>
      <c r="AC179" s="67"/>
    </row>
    <row r="180" spans="1:68" ht="14.25" hidden="1" customHeight="1" x14ac:dyDescent="0.25">
      <c r="A180" s="620" t="s">
        <v>86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21">
        <v>4680115888395</v>
      </c>
      <c r="E181" s="62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3"/>
      <c r="R181" s="623"/>
      <c r="S181" s="623"/>
      <c r="T181" s="62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21">
        <v>4680115888371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21">
        <v>4680115887459</v>
      </c>
      <c r="E183" s="62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28"/>
      <c r="B184" s="628"/>
      <c r="C184" s="628"/>
      <c r="D184" s="628"/>
      <c r="E184" s="628"/>
      <c r="F184" s="628"/>
      <c r="G184" s="628"/>
      <c r="H184" s="628"/>
      <c r="I184" s="628"/>
      <c r="J184" s="628"/>
      <c r="K184" s="628"/>
      <c r="L184" s="628"/>
      <c r="M184" s="628"/>
      <c r="N184" s="628"/>
      <c r="O184" s="629"/>
      <c r="P184" s="625" t="s">
        <v>40</v>
      </c>
      <c r="Q184" s="626"/>
      <c r="R184" s="626"/>
      <c r="S184" s="626"/>
      <c r="T184" s="626"/>
      <c r="U184" s="626"/>
      <c r="V184" s="62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20" t="s">
        <v>104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21">
        <v>4680115889026</v>
      </c>
      <c r="E187" s="62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3"/>
      <c r="R187" s="623"/>
      <c r="S187" s="623"/>
      <c r="T187" s="6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21">
        <v>4680115889088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20" t="s">
        <v>332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21">
        <v>4680115889033</v>
      </c>
      <c r="E192" s="62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3"/>
      <c r="R192" s="623"/>
      <c r="S192" s="623"/>
      <c r="T192" s="62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41" t="s">
        <v>336</v>
      </c>
      <c r="B195" s="641"/>
      <c r="C195" s="641"/>
      <c r="D195" s="641"/>
      <c r="E195" s="641"/>
      <c r="F195" s="641"/>
      <c r="G195" s="641"/>
      <c r="H195" s="641"/>
      <c r="I195" s="641"/>
      <c r="J195" s="641"/>
      <c r="K195" s="641"/>
      <c r="L195" s="641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54"/>
      <c r="AB195" s="54"/>
      <c r="AC195" s="54"/>
    </row>
    <row r="196" spans="1:68" ht="16.5" hidden="1" customHeight="1" x14ac:dyDescent="0.25">
      <c r="A196" s="636" t="s">
        <v>337</v>
      </c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636"/>
      <c r="AA196" s="65"/>
      <c r="AB196" s="65"/>
      <c r="AC196" s="79"/>
    </row>
    <row r="197" spans="1:68" ht="14.25" hidden="1" customHeight="1" x14ac:dyDescent="0.25">
      <c r="A197" s="620" t="s">
        <v>129</v>
      </c>
      <c r="B197" s="620"/>
      <c r="C197" s="620"/>
      <c r="D197" s="620"/>
      <c r="E197" s="620"/>
      <c r="F197" s="620"/>
      <c r="G197" s="620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21">
        <v>4680115888760</v>
      </c>
      <c r="E198" s="621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23"/>
      <c r="R198" s="623"/>
      <c r="S198" s="623"/>
      <c r="T198" s="62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21">
        <v>4680115888807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21">
        <v>4680115888852</v>
      </c>
      <c r="E200" s="621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21">
        <v>4607091383423</v>
      </c>
      <c r="E201" s="621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80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21">
        <v>4680115886957</v>
      </c>
      <c r="E202" s="62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80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21">
        <v>4680115885660</v>
      </c>
      <c r="E203" s="62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80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21">
        <v>4680115886773</v>
      </c>
      <c r="E204" s="62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36" t="s">
        <v>358</v>
      </c>
      <c r="B207" s="636"/>
      <c r="C207" s="636"/>
      <c r="D207" s="636"/>
      <c r="E207" s="636"/>
      <c r="F207" s="636"/>
      <c r="G207" s="636"/>
      <c r="H207" s="636"/>
      <c r="I207" s="636"/>
      <c r="J207" s="636"/>
      <c r="K207" s="636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636"/>
      <c r="AA207" s="65"/>
      <c r="AB207" s="65"/>
      <c r="AC207" s="79"/>
    </row>
    <row r="208" spans="1:68" ht="14.25" hidden="1" customHeight="1" x14ac:dyDescent="0.25">
      <c r="A208" s="620" t="s">
        <v>166</v>
      </c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21">
        <v>4680115886223</v>
      </c>
      <c r="E209" s="62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3"/>
      <c r="R209" s="623"/>
      <c r="S209" s="623"/>
      <c r="T209" s="62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28"/>
      <c r="B210" s="628"/>
      <c r="C210" s="628"/>
      <c r="D210" s="628"/>
      <c r="E210" s="628"/>
      <c r="F210" s="628"/>
      <c r="G210" s="628"/>
      <c r="H210" s="628"/>
      <c r="I210" s="628"/>
      <c r="J210" s="628"/>
      <c r="K210" s="628"/>
      <c r="L210" s="628"/>
      <c r="M210" s="628"/>
      <c r="N210" s="628"/>
      <c r="O210" s="629"/>
      <c r="P210" s="625" t="s">
        <v>40</v>
      </c>
      <c r="Q210" s="626"/>
      <c r="R210" s="626"/>
      <c r="S210" s="626"/>
      <c r="T210" s="626"/>
      <c r="U210" s="626"/>
      <c r="V210" s="62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20" t="s">
        <v>77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21">
        <v>4680115880993</v>
      </c>
      <c r="E213" s="62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3"/>
      <c r="R213" s="623"/>
      <c r="S213" s="623"/>
      <c r="T213" s="624"/>
      <c r="U213" s="39" t="s">
        <v>46</v>
      </c>
      <c r="V213" s="39" t="s">
        <v>46</v>
      </c>
      <c r="W213" s="40" t="s">
        <v>0</v>
      </c>
      <c r="X213" s="58">
        <v>30</v>
      </c>
      <c r="Y213" s="55">
        <f t="shared" ref="Y213:Y226" si="26">IFERROR(IF(X213="",0,CEILING((X213/$H213),1)*$H213),"")</f>
        <v>33.6</v>
      </c>
      <c r="Z213" s="41">
        <f>IFERROR(IF(Y213=0,"",ROUNDUP(Y213/H213,0)*0.00902),"")</f>
        <v>7.2160000000000002E-2</v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31.785714285714285</v>
      </c>
      <c r="BN213" s="78">
        <f t="shared" ref="BN213:BN226" si="28">IFERROR(Y213*I213/H213,"0")</f>
        <v>35.6</v>
      </c>
      <c r="BO213" s="78">
        <f t="shared" ref="BO213:BO226" si="29">IFERROR(1/J213*(X213/H213),"0")</f>
        <v>5.4112554112554112E-2</v>
      </c>
      <c r="BP213" s="78">
        <f t="shared" ref="BP213:BP226" si="30">IFERROR(1/J213*(Y213/H213),"0")</f>
        <v>6.0606060606060608E-2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21">
        <v>4680115881761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20</v>
      </c>
      <c r="Y214" s="55">
        <f t="shared" si="26"/>
        <v>21</v>
      </c>
      <c r="Z214" s="41">
        <f>IFERROR(IF(Y214=0,"",ROUNDUP(Y214/H214,0)*0.00902),"")</f>
        <v>4.5100000000000001E-2</v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21.19047619047619</v>
      </c>
      <c r="BN214" s="78">
        <f t="shared" si="28"/>
        <v>22.25</v>
      </c>
      <c r="BO214" s="78">
        <f t="shared" si="29"/>
        <v>3.6075036075036072E-2</v>
      </c>
      <c r="BP214" s="78">
        <f t="shared" si="30"/>
        <v>3.787878787878788E-2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21">
        <v>4680115881563</v>
      </c>
      <c r="E215" s="62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20</v>
      </c>
      <c r="Y215" s="55">
        <f t="shared" si="26"/>
        <v>21</v>
      </c>
      <c r="Z215" s="41">
        <f>IFERROR(IF(Y215=0,"",ROUNDUP(Y215/H215,0)*0.00902),"")</f>
        <v>4.5100000000000001E-2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20.904761904761902</v>
      </c>
      <c r="BN215" s="78">
        <f t="shared" si="28"/>
        <v>21.95</v>
      </c>
      <c r="BO215" s="78">
        <f t="shared" si="29"/>
        <v>3.6075036075036072E-2</v>
      </c>
      <c r="BP215" s="78">
        <f t="shared" si="30"/>
        <v>3.787878787878788E-2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21">
        <v>4680115887565</v>
      </c>
      <c r="E216" s="62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4</v>
      </c>
      <c r="Y216" s="55">
        <f t="shared" si="26"/>
        <v>4</v>
      </c>
      <c r="Z216" s="41">
        <f>IFERROR(IF(Y216=0,"",ROUNDUP(Y216/H216,0)*0.00556),"")</f>
        <v>2.7799999999999998E-2</v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4.6500000000000004</v>
      </c>
      <c r="BN216" s="78">
        <f t="shared" si="28"/>
        <v>4.6500000000000004</v>
      </c>
      <c r="BO216" s="78">
        <f t="shared" si="29"/>
        <v>1.984126984126984E-2</v>
      </c>
      <c r="BP216" s="78">
        <f t="shared" si="30"/>
        <v>1.984126984126984E-2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21">
        <v>4680115880986</v>
      </c>
      <c r="E217" s="62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70</v>
      </c>
      <c r="Y217" s="55">
        <f t="shared" si="26"/>
        <v>71.400000000000006</v>
      </c>
      <c r="Z217" s="41">
        <f t="shared" ref="Z217:Z222" si="31">IFERROR(IF(Y217=0,"",ROUNDUP(Y217/H217,0)*0.00502),"")</f>
        <v>0.17068</v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74.333333333333329</v>
      </c>
      <c r="BN217" s="78">
        <f t="shared" si="28"/>
        <v>75.820000000000007</v>
      </c>
      <c r="BO217" s="78">
        <f t="shared" si="29"/>
        <v>0.14245014245014245</v>
      </c>
      <c r="BP217" s="78">
        <f t="shared" si="30"/>
        <v>0.14529914529914531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21">
        <v>4680115887213</v>
      </c>
      <c r="E218" s="62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21">
        <v>4680115881785</v>
      </c>
      <c r="E219" s="62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105</v>
      </c>
      <c r="Y219" s="55">
        <f t="shared" si="26"/>
        <v>105</v>
      </c>
      <c r="Z219" s="41">
        <f t="shared" si="31"/>
        <v>0.251</v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111.5</v>
      </c>
      <c r="BN219" s="78">
        <f t="shared" si="28"/>
        <v>111.5</v>
      </c>
      <c r="BO219" s="78">
        <f t="shared" si="29"/>
        <v>0.21367521367521369</v>
      </c>
      <c r="BP219" s="78">
        <f t="shared" si="30"/>
        <v>0.21367521367521369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21">
        <v>4680115888432</v>
      </c>
      <c r="E220" s="62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21">
        <v>4680115888104</v>
      </c>
      <c r="E221" s="62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21">
        <v>4680115886537</v>
      </c>
      <c r="E222" s="62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21">
        <v>4680115887596</v>
      </c>
      <c r="E223" s="62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4</v>
      </c>
      <c r="Y223" s="55">
        <f t="shared" si="26"/>
        <v>4</v>
      </c>
      <c r="Z223" s="41">
        <f>IFERROR(IF(Y223=0,"",ROUNDUP(Y223/H223,0)*0.00417),"")</f>
        <v>2.085E-2</v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5.05</v>
      </c>
      <c r="BN223" s="78">
        <f t="shared" si="28"/>
        <v>5.05</v>
      </c>
      <c r="BO223" s="78">
        <f t="shared" si="29"/>
        <v>1.488095238095238E-2</v>
      </c>
      <c r="BP223" s="78">
        <f t="shared" si="30"/>
        <v>1.488095238095238E-2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21">
        <v>4680115881679</v>
      </c>
      <c r="E224" s="62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175</v>
      </c>
      <c r="Y224" s="55">
        <f t="shared" si="26"/>
        <v>176.4</v>
      </c>
      <c r="Z224" s="41">
        <f>IFERROR(IF(Y224=0,"",ROUNDUP(Y224/H224,0)*0.00502),"")</f>
        <v>0.42168</v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183.33333333333334</v>
      </c>
      <c r="BN224" s="78">
        <f t="shared" si="28"/>
        <v>184.8</v>
      </c>
      <c r="BO224" s="78">
        <f t="shared" si="29"/>
        <v>0.35612535612535612</v>
      </c>
      <c r="BP224" s="78">
        <f t="shared" si="30"/>
        <v>0.35897435897435903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21">
        <v>4680115880191</v>
      </c>
      <c r="E225" s="62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21">
        <v>4680115883963</v>
      </c>
      <c r="E226" s="62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7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193.33333333333331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196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1.05437</v>
      </c>
      <c r="AA227" s="67"/>
      <c r="AB227" s="67"/>
      <c r="AC227" s="67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0</v>
      </c>
      <c r="X228" s="43">
        <f>IFERROR(SUM(X213:X226),"0")</f>
        <v>428</v>
      </c>
      <c r="Y228" s="43">
        <f>IFERROR(SUM(Y213:Y226),"0")</f>
        <v>436.4</v>
      </c>
      <c r="Z228" s="42"/>
      <c r="AA228" s="67"/>
      <c r="AB228" s="67"/>
      <c r="AC228" s="67"/>
    </row>
    <row r="229" spans="1:68" ht="14.25" hidden="1" customHeight="1" x14ac:dyDescent="0.25">
      <c r="A229" s="620" t="s">
        <v>86</v>
      </c>
      <c r="B229" s="620"/>
      <c r="C229" s="620"/>
      <c r="D229" s="620"/>
      <c r="E229" s="620"/>
      <c r="F229" s="620"/>
      <c r="G229" s="620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21">
        <v>4680115888975</v>
      </c>
      <c r="E230" s="62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78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3"/>
      <c r="R230" s="623"/>
      <c r="S230" s="623"/>
      <c r="T230" s="62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78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78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78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78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104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8.4</v>
      </c>
      <c r="Y239" s="55">
        <f>IFERROR(IF(X239="",0,CEILING((X239/$H239),1)*$H239),"")</f>
        <v>8.82</v>
      </c>
      <c r="Z239" s="41">
        <f>IFERROR(IF(Y239=0,"",ROUNDUP(Y239/H239,0)*0.0059),"")</f>
        <v>4.1299999999999996E-2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9.6666666666666661</v>
      </c>
      <c r="BN239" s="78">
        <f>IFERROR(Y239*I239/H239,"0")</f>
        <v>10.15</v>
      </c>
      <c r="BO239" s="78">
        <f>IFERROR(1/J239*(X239/H239),"0")</f>
        <v>3.0864197530864196E-2</v>
      </c>
      <c r="BP239" s="78">
        <f>IFERROR(1/J239*(Y239/H239),"0")</f>
        <v>3.2407407407407406E-2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6.666666666666667</v>
      </c>
      <c r="Y241" s="43">
        <f>IFERROR(Y238/H238,"0")+IFERROR(Y239/H239,"0")+IFERROR(Y240/H240,"0")</f>
        <v>7</v>
      </c>
      <c r="Z241" s="43">
        <f>IFERROR(IF(Z238="",0,Z238),"0")+IFERROR(IF(Z239="",0,Z239),"0")+IFERROR(IF(Z240="",0,Z240),"0")</f>
        <v>4.1299999999999996E-2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8.4</v>
      </c>
      <c r="Y242" s="43">
        <f>IFERROR(SUM(Y238:Y240),"0")</f>
        <v>8.82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4.2</v>
      </c>
      <c r="Y244" s="55">
        <f>IFERROR(IF(X244="",0,CEILING((X244/$H244),1)*$H244),"")</f>
        <v>5.04</v>
      </c>
      <c r="Z244" s="41">
        <f>IFERROR(IF(Y244=0,"",ROUNDUP(Y244/H244,0)*0.0059),"")</f>
        <v>2.3599999999999999E-2</v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4.833333333333333</v>
      </c>
      <c r="BN244" s="78">
        <f>IFERROR(Y244*I244/H244,"0")</f>
        <v>5.8</v>
      </c>
      <c r="BO244" s="78">
        <f>IFERROR(1/J244*(X244/H244),"0")</f>
        <v>1.5432098765432098E-2</v>
      </c>
      <c r="BP244" s="78">
        <f>IFERROR(1/J244*(Y244/H244),"0")</f>
        <v>1.8518518518518517E-2</v>
      </c>
    </row>
    <row r="245" spans="1:68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3.3333333333333335</v>
      </c>
      <c r="Y245" s="43">
        <f>IFERROR(Y244/H244,"0")</f>
        <v>4</v>
      </c>
      <c r="Z245" s="43">
        <f>IFERROR(IF(Z244="",0,Z244),"0")</f>
        <v>2.3599999999999999E-2</v>
      </c>
      <c r="AA245" s="67"/>
      <c r="AB245" s="67"/>
      <c r="AC245" s="67"/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4.2</v>
      </c>
      <c r="Y246" s="43">
        <f>IFERROR(SUM(Y244:Y244),"0")</f>
        <v>5.04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129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166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7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200</v>
      </c>
      <c r="Y259" s="55">
        <f t="shared" ref="Y259:Y266" si="32">IFERROR(IF(X259="",0,CEILING((X259/$H259),1)*$H259),"")</f>
        <v>205.20000000000002</v>
      </c>
      <c r="Z259" s="41">
        <f>IFERROR(IF(Y259=0,"",ROUNDUP(Y259/H259,0)*0.00902),"")</f>
        <v>0.34276000000000001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207.03703703703701</v>
      </c>
      <c r="BN259" s="78">
        <f t="shared" ref="BN259:BN266" si="34">IFERROR(Y259*I259/H259,"0")</f>
        <v>212.42</v>
      </c>
      <c r="BO259" s="78">
        <f t="shared" ref="BO259:BO266" si="35">IFERROR(1/J259*(X259/H259),"0")</f>
        <v>0.28058361391694725</v>
      </c>
      <c r="BP259" s="78">
        <f t="shared" ref="BP259:BP266" si="36">IFERROR(1/J259*(Y259/H259),"0")</f>
        <v>0.2878787878787879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7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7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120</v>
      </c>
      <c r="Y261" s="55">
        <f t="shared" si="32"/>
        <v>124.2</v>
      </c>
      <c r="Z261" s="41">
        <f>IFERROR(IF(Y261=0,"",ROUNDUP(Y261/H261,0)*0.00902),"")</f>
        <v>0.20746000000000001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124.2222222222222</v>
      </c>
      <c r="BN261" s="78">
        <f t="shared" si="34"/>
        <v>128.57</v>
      </c>
      <c r="BO261" s="78">
        <f t="shared" si="35"/>
        <v>0.16835016835016836</v>
      </c>
      <c r="BP261" s="78">
        <f t="shared" si="36"/>
        <v>0.17424242424242425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77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50</v>
      </c>
      <c r="Y262" s="55">
        <f t="shared" si="32"/>
        <v>54</v>
      </c>
      <c r="Z262" s="41">
        <f>IFERROR(IF(Y262=0,"",ROUNDUP(Y262/H262,0)*0.00902),"")</f>
        <v>9.0200000000000002E-2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51.759259259259252</v>
      </c>
      <c r="BN262" s="78">
        <f t="shared" si="34"/>
        <v>55.9</v>
      </c>
      <c r="BO262" s="78">
        <f t="shared" si="35"/>
        <v>7.0145903479236812E-2</v>
      </c>
      <c r="BP262" s="78">
        <f t="shared" si="36"/>
        <v>7.575757575757576E-2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90</v>
      </c>
      <c r="Y263" s="55">
        <f t="shared" si="32"/>
        <v>90</v>
      </c>
      <c r="Z263" s="41">
        <f>IFERROR(IF(Y263=0,"",ROUNDUP(Y263/H263,0)*0.00502),"")</f>
        <v>0.251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96.499999999999986</v>
      </c>
      <c r="BN263" s="78">
        <f t="shared" si="34"/>
        <v>96.499999999999986</v>
      </c>
      <c r="BO263" s="78">
        <f t="shared" si="35"/>
        <v>0.21367521367521369</v>
      </c>
      <c r="BP263" s="78">
        <f t="shared" si="36"/>
        <v>0.21367521367521369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45</v>
      </c>
      <c r="Y264" s="55">
        <f t="shared" si="32"/>
        <v>45</v>
      </c>
      <c r="Z264" s="41">
        <f>IFERROR(IF(Y264=0,"",ROUNDUP(Y264/H264,0)*0.00502),"")</f>
        <v>0.1255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47.5</v>
      </c>
      <c r="BN264" s="78">
        <f t="shared" si="34"/>
        <v>47.5</v>
      </c>
      <c r="BO264" s="78">
        <f t="shared" si="35"/>
        <v>0.10683760683760685</v>
      </c>
      <c r="BP264" s="78">
        <f t="shared" si="36"/>
        <v>0.10683760683760685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72</v>
      </c>
      <c r="Y265" s="55">
        <f t="shared" si="32"/>
        <v>72</v>
      </c>
      <c r="Z265" s="41">
        <f>IFERROR(IF(Y265=0,"",ROUNDUP(Y265/H265,0)*0.00502),"")</f>
        <v>0.20080000000000001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75.999999999999986</v>
      </c>
      <c r="BN265" s="78">
        <f t="shared" si="34"/>
        <v>75.999999999999986</v>
      </c>
      <c r="BO265" s="78">
        <f t="shared" si="35"/>
        <v>0.17094017094017094</v>
      </c>
      <c r="BP265" s="78">
        <f t="shared" si="36"/>
        <v>0.17094017094017094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45</v>
      </c>
      <c r="Y266" s="55">
        <f t="shared" si="32"/>
        <v>45</v>
      </c>
      <c r="Z266" s="41">
        <f>IFERROR(IF(Y266=0,"",ROUNDUP(Y266/H266,0)*0.00502),"")</f>
        <v>0.1255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47.5</v>
      </c>
      <c r="BN266" s="78">
        <f t="shared" si="34"/>
        <v>47.5</v>
      </c>
      <c r="BO266" s="78">
        <f t="shared" si="35"/>
        <v>0.10683760683760685</v>
      </c>
      <c r="BP266" s="78">
        <f t="shared" si="36"/>
        <v>0.10683760683760685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208.51851851851853</v>
      </c>
      <c r="Y267" s="43">
        <f>IFERROR(Y259/H259,"0")+IFERROR(Y260/H260,"0")+IFERROR(Y261/H261,"0")+IFERROR(Y262/H262,"0")+IFERROR(Y263/H263,"0")+IFERROR(Y264/H264,"0")+IFERROR(Y265/H265,"0")+IFERROR(Y266/H266,"0")</f>
        <v>211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1.3432200000000001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622</v>
      </c>
      <c r="Y268" s="43">
        <f>IFERROR(SUM(Y259:Y266),"0")</f>
        <v>635.40000000000009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7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350</v>
      </c>
      <c r="Y272" s="55">
        <f t="shared" si="37"/>
        <v>356.7</v>
      </c>
      <c r="Z272" s="41">
        <f>IFERROR(IF(Y272=0,"",ROUNDUP(Y272/H272,0)*0.01898),"")</f>
        <v>0.77817999999999998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369.87356321839087</v>
      </c>
      <c r="BN272" s="78">
        <f t="shared" si="39"/>
        <v>376.95400000000006</v>
      </c>
      <c r="BO272" s="78">
        <f t="shared" si="40"/>
        <v>0.62859195402298851</v>
      </c>
      <c r="BP272" s="78">
        <f t="shared" si="41"/>
        <v>0.640625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320</v>
      </c>
      <c r="Y273" s="55">
        <f t="shared" si="37"/>
        <v>321.59999999999997</v>
      </c>
      <c r="Z273" s="41">
        <f>IFERROR(IF(Y273=0,"",ROUNDUP(Y273/H273,0)*0.00651),"")</f>
        <v>0.87234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356</v>
      </c>
      <c r="BN273" s="78">
        <f t="shared" si="39"/>
        <v>357.78</v>
      </c>
      <c r="BO273" s="78">
        <f t="shared" si="40"/>
        <v>0.73260073260073266</v>
      </c>
      <c r="BP273" s="78">
        <f t="shared" si="41"/>
        <v>0.73626373626373631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7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280</v>
      </c>
      <c r="Y276" s="55">
        <f t="shared" si="37"/>
        <v>280.8</v>
      </c>
      <c r="Z276" s="41">
        <f>IFERROR(IF(Y276=0,"",ROUNDUP(Y276/H276,0)*0.00651),"")</f>
        <v>0.76167000000000007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309.40000000000003</v>
      </c>
      <c r="BN276" s="78">
        <f t="shared" si="39"/>
        <v>310.28400000000005</v>
      </c>
      <c r="BO276" s="78">
        <f t="shared" si="40"/>
        <v>0.64102564102564108</v>
      </c>
      <c r="BP276" s="78">
        <f t="shared" si="41"/>
        <v>0.64285714285714302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80</v>
      </c>
      <c r="Y279" s="55">
        <f t="shared" si="37"/>
        <v>81.599999999999994</v>
      </c>
      <c r="Z279" s="41">
        <f>IFERROR(IF(Y279=0,"",ROUNDUP(Y279/H279,0)*0.00651),"")</f>
        <v>0.22134000000000001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88.40000000000002</v>
      </c>
      <c r="BN279" s="78">
        <f t="shared" si="39"/>
        <v>90.168000000000006</v>
      </c>
      <c r="BO279" s="78">
        <f t="shared" si="40"/>
        <v>0.18315018315018317</v>
      </c>
      <c r="BP279" s="78">
        <f t="shared" si="41"/>
        <v>0.18681318681318682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280</v>
      </c>
      <c r="Y280" s="55">
        <f t="shared" si="37"/>
        <v>280.8</v>
      </c>
      <c r="Z280" s="41">
        <f>IFERROR(IF(Y280=0,"",ROUNDUP(Y280/H280,0)*0.00651),"")</f>
        <v>0.76167000000000007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310.10000000000002</v>
      </c>
      <c r="BN280" s="78">
        <f t="shared" si="39"/>
        <v>310.98599999999999</v>
      </c>
      <c r="BO280" s="78">
        <f t="shared" si="40"/>
        <v>0.64102564102564108</v>
      </c>
      <c r="BP280" s="78">
        <f t="shared" si="41"/>
        <v>0.64285714285714302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440.22988505747128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443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3.3952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1310</v>
      </c>
      <c r="Y283" s="43">
        <f>IFERROR(SUM(Y270:Y281),"0")</f>
        <v>1321.4999999999998</v>
      </c>
      <c r="Z283" s="42"/>
      <c r="AA283" s="67"/>
      <c r="AB283" s="67"/>
      <c r="AC283" s="67"/>
    </row>
    <row r="284" spans="1:68" ht="14.25" hidden="1" customHeight="1" x14ac:dyDescent="0.25">
      <c r="A284" s="620" t="s">
        <v>183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28</v>
      </c>
      <c r="Y285" s="55">
        <f>IFERROR(IF(X285="",0,CEILING((X285/$H285),1)*$H285),"")</f>
        <v>28.799999999999997</v>
      </c>
      <c r="Z285" s="41">
        <f>IFERROR(IF(Y285=0,"",ROUNDUP(Y285/H285,0)*0.00651),"")</f>
        <v>7.8119999999999995E-2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30.94</v>
      </c>
      <c r="BN285" s="78">
        <f>IFERROR(Y285*I285/H285,"0")</f>
        <v>31.824000000000002</v>
      </c>
      <c r="BO285" s="78">
        <f>IFERROR(1/J285*(X285/H285),"0")</f>
        <v>6.4102564102564111E-2</v>
      </c>
      <c r="BP285" s="78">
        <f>IFERROR(1/J285*(Y285/H285),"0")</f>
        <v>6.5934065934065936E-2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120</v>
      </c>
      <c r="Y286" s="55">
        <f>IFERROR(IF(X286="",0,CEILING((X286/$H286),1)*$H286),"")</f>
        <v>120</v>
      </c>
      <c r="Z286" s="41">
        <f>IFERROR(IF(Y286=0,"",ROUNDUP(Y286/H286,0)*0.00651),"")</f>
        <v>0.32550000000000001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132.60000000000002</v>
      </c>
      <c r="BN286" s="78">
        <f>IFERROR(Y286*I286/H286,"0")</f>
        <v>132.60000000000002</v>
      </c>
      <c r="BO286" s="78">
        <f>IFERROR(1/J286*(X286/H286),"0")</f>
        <v>0.27472527472527475</v>
      </c>
      <c r="BP286" s="78">
        <f>IFERROR(1/J286*(Y286/H286),"0")</f>
        <v>0.27472527472527475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61.666666666666671</v>
      </c>
      <c r="Y287" s="43">
        <f>IFERROR(Y285/H285,"0")+IFERROR(Y286/H286,"0")</f>
        <v>62</v>
      </c>
      <c r="Z287" s="43">
        <f>IFERROR(IF(Z285="",0,Z285),"0")+IFERROR(IF(Z286="",0,Z286),"0")</f>
        <v>0.40361999999999998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148</v>
      </c>
      <c r="Y288" s="43">
        <f>IFERROR(SUM(Y285:Y286),"0")</f>
        <v>148.80000000000001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129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30</v>
      </c>
      <c r="Y293" s="55">
        <f t="shared" si="42"/>
        <v>34.799999999999997</v>
      </c>
      <c r="Z293" s="41">
        <f>IFERROR(IF(Y293=0,"",ROUNDUP(Y293/H293,0)*0.01898),"")</f>
        <v>5.6940000000000004E-2</v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31.06034482758621</v>
      </c>
      <c r="BN293" s="78">
        <f t="shared" si="44"/>
        <v>36.03</v>
      </c>
      <c r="BO293" s="78">
        <f t="shared" si="45"/>
        <v>4.0409482758620691E-2</v>
      </c>
      <c r="BP293" s="78">
        <f t="shared" si="46"/>
        <v>4.6875E-2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20</v>
      </c>
      <c r="Y294" s="55">
        <f t="shared" si="42"/>
        <v>20</v>
      </c>
      <c r="Z294" s="41">
        <f>IFERROR(IF(Y294=0,"",ROUNDUP(Y294/H294,0)*0.00902),"")</f>
        <v>4.5100000000000001E-2</v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20.950000000000003</v>
      </c>
      <c r="BN294" s="78">
        <f t="shared" si="44"/>
        <v>20.950000000000003</v>
      </c>
      <c r="BO294" s="78">
        <f t="shared" si="45"/>
        <v>3.787878787878788E-2</v>
      </c>
      <c r="BP294" s="78">
        <f t="shared" si="46"/>
        <v>3.787878787878788E-2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120</v>
      </c>
      <c r="Y297" s="55">
        <f t="shared" si="42"/>
        <v>120</v>
      </c>
      <c r="Z297" s="41">
        <f>IFERROR(IF(Y297=0,"",ROUNDUP(Y297/H297,0)*0.00902),"")</f>
        <v>0.27060000000000001</v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125.70000000000002</v>
      </c>
      <c r="BN297" s="78">
        <f t="shared" si="44"/>
        <v>125.70000000000002</v>
      </c>
      <c r="BO297" s="78">
        <f t="shared" si="45"/>
        <v>0.22727272727272729</v>
      </c>
      <c r="BP297" s="78">
        <f t="shared" si="46"/>
        <v>0.22727272727272729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37.586206896551722</v>
      </c>
      <c r="Y298" s="43">
        <f>IFERROR(Y291/H291,"0")+IFERROR(Y292/H292,"0")+IFERROR(Y293/H293,"0")+IFERROR(Y294/H294,"0")+IFERROR(Y295/H295,"0")+IFERROR(Y296/H296,"0")+IFERROR(Y297/H297,"0")</f>
        <v>38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0.37264000000000003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170</v>
      </c>
      <c r="Y299" s="43">
        <f>IFERROR(SUM(Y291:Y297),"0")</f>
        <v>174.8</v>
      </c>
      <c r="Z299" s="42"/>
      <c r="AA299" s="67"/>
      <c r="AB299" s="67"/>
      <c r="AC299" s="67"/>
    </row>
    <row r="300" spans="1:68" ht="14.25" hidden="1" customHeight="1" x14ac:dyDescent="0.25">
      <c r="A300" s="620" t="s">
        <v>166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6</v>
      </c>
      <c r="Y305" s="55">
        <f>IFERROR(IF(X305="",0,CEILING((X305/$H305),1)*$H305),"")</f>
        <v>7.2</v>
      </c>
      <c r="Z305" s="41">
        <f>IFERROR(IF(Y305=0,"",ROUNDUP(Y305/H305,0)*0.0059),"")</f>
        <v>2.3599999999999999E-2</v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6.5833333333333339</v>
      </c>
      <c r="BN305" s="78">
        <f>IFERROR(Y305*I305/H305,"0")</f>
        <v>7.9</v>
      </c>
      <c r="BO305" s="78">
        <f>IFERROR(1/J305*(X305/H305),"0")</f>
        <v>1.5432098765432096E-2</v>
      </c>
      <c r="BP305" s="78">
        <f>IFERROR(1/J305*(Y305/H305),"0")</f>
        <v>1.8518518518518517E-2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3.333333333333333</v>
      </c>
      <c r="Y306" s="43">
        <f>IFERROR(Y305/H305,"0")</f>
        <v>4</v>
      </c>
      <c r="Z306" s="43">
        <f>IFERROR(IF(Z305="",0,Z305),"0")</f>
        <v>2.3599999999999999E-2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6</v>
      </c>
      <c r="Y307" s="43">
        <f>IFERROR(SUM(Y305:Y305),"0")</f>
        <v>7.2</v>
      </c>
      <c r="Z307" s="42"/>
      <c r="AA307" s="67"/>
      <c r="AB307" s="67"/>
      <c r="AC307" s="67"/>
    </row>
    <row r="308" spans="1:68" ht="14.25" hidden="1" customHeight="1" x14ac:dyDescent="0.25">
      <c r="A308" s="620" t="s">
        <v>332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129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80</v>
      </c>
      <c r="Y326" s="55">
        <f>IFERROR(IF(X326="",0,CEILING((X326/$H326),1)*$H326),"")</f>
        <v>81.599999999999994</v>
      </c>
      <c r="Z326" s="41">
        <f>IFERROR(IF(Y326=0,"",ROUNDUP(Y326/H326,0)*0.00651),"")</f>
        <v>0.22134000000000001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88.40000000000002</v>
      </c>
      <c r="BN326" s="78">
        <f>IFERROR(Y326*I326/H326,"0")</f>
        <v>90.168000000000006</v>
      </c>
      <c r="BO326" s="78">
        <f>IFERROR(1/J326*(X326/H326),"0")</f>
        <v>0.18315018315018317</v>
      </c>
      <c r="BP326" s="78">
        <f>IFERROR(1/J326*(Y326/H326),"0")</f>
        <v>0.18681318681318682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320</v>
      </c>
      <c r="Y327" s="55">
        <f>IFERROR(IF(X327="",0,CEILING((X327/$H327),1)*$H327),"")</f>
        <v>321.59999999999997</v>
      </c>
      <c r="Z327" s="41">
        <f>IFERROR(IF(Y327=0,"",ROUNDUP(Y327/H327,0)*0.00651),"")</f>
        <v>0.87234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344</v>
      </c>
      <c r="BN327" s="78">
        <f>IFERROR(Y327*I327/H327,"0")</f>
        <v>345.71999999999997</v>
      </c>
      <c r="BO327" s="78">
        <f>IFERROR(1/J327*(X327/H327),"0")</f>
        <v>0.73260073260073266</v>
      </c>
      <c r="BP327" s="78">
        <f>IFERROR(1/J327*(Y327/H327),"0")</f>
        <v>0.73626373626373631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166.66666666666669</v>
      </c>
      <c r="Y328" s="43">
        <f>IFERROR(Y325/H325,"0")+IFERROR(Y326/H326,"0")+IFERROR(Y327/H327,"0")</f>
        <v>168</v>
      </c>
      <c r="Z328" s="43">
        <f>IFERROR(IF(Z325="",0,Z325),"0")+IFERROR(IF(Z326="",0,Z326),"0")+IFERROR(IF(Z327="",0,Z327),"0")</f>
        <v>1.09368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400</v>
      </c>
      <c r="Y329" s="43">
        <f>IFERROR(SUM(Y325:Y327),"0")</f>
        <v>403.19999999999993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129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100</v>
      </c>
      <c r="Y346" s="55">
        <f>IFERROR(IF(X346="",0,CEILING((X346/$H346),1)*$H346),"")</f>
        <v>101.39999999999999</v>
      </c>
      <c r="Z346" s="41">
        <f>IFERROR(IF(Y346=0,"",ROUNDUP(Y346/H346,0)*0.01898),"")</f>
        <v>0.24674000000000001</v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105.25641025641028</v>
      </c>
      <c r="BN346" s="78">
        <f>IFERROR(Y346*I346/H346,"0")</f>
        <v>106.73</v>
      </c>
      <c r="BO346" s="78">
        <f>IFERROR(1/J346*(X346/H346),"0")</f>
        <v>0.20032051282051283</v>
      </c>
      <c r="BP346" s="78">
        <f>IFERROR(1/J346*(Y346/H346),"0")</f>
        <v>0.203125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150</v>
      </c>
      <c r="Y347" s="55">
        <f>IFERROR(IF(X347="",0,CEILING((X347/$H347),1)*$H347),"")</f>
        <v>156</v>
      </c>
      <c r="Z347" s="41">
        <f>IFERROR(IF(Y347=0,"",ROUNDUP(Y347/H347,0)*0.01898),"")</f>
        <v>0.37959999999999999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157.88461538461542</v>
      </c>
      <c r="BN347" s="78">
        <f>IFERROR(Y347*I347/H347,"0")</f>
        <v>164.20000000000005</v>
      </c>
      <c r="BO347" s="78">
        <f>IFERROR(1/J347*(X347/H347),"0")</f>
        <v>0.30048076923076922</v>
      </c>
      <c r="BP347" s="78">
        <f>IFERROR(1/J347*(Y347/H347),"0")</f>
        <v>0.3125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50</v>
      </c>
      <c r="Y348" s="55">
        <f>IFERROR(IF(X348="",0,CEILING((X348/$H348),1)*$H348),"")</f>
        <v>54.6</v>
      </c>
      <c r="Z348" s="41">
        <f>IFERROR(IF(Y348=0,"",ROUNDUP(Y348/H348,0)*0.01898),"")</f>
        <v>0.13286000000000001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52.628205128205138</v>
      </c>
      <c r="BN348" s="78">
        <f>IFERROR(Y348*I348/H348,"0")</f>
        <v>57.470000000000013</v>
      </c>
      <c r="BO348" s="78">
        <f>IFERROR(1/J348*(X348/H348),"0")</f>
        <v>0.10016025641025642</v>
      </c>
      <c r="BP348" s="78">
        <f>IFERROR(1/J348*(Y348/H348),"0")</f>
        <v>0.109375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38.46153846153846</v>
      </c>
      <c r="Y349" s="43">
        <f>IFERROR(Y346/H346,"0")+IFERROR(Y347/H347,"0")+IFERROR(Y348/H348,"0")</f>
        <v>40</v>
      </c>
      <c r="Z349" s="43">
        <f>IFERROR(IF(Z346="",0,Z346),"0")+IFERROR(IF(Z347="",0,Z347),"0")+IFERROR(IF(Z348="",0,Z348),"0")</f>
        <v>0.75919999999999999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300</v>
      </c>
      <c r="Y350" s="43">
        <f>IFERROR(SUM(Y346:Y348),"0")</f>
        <v>312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129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40</v>
      </c>
      <c r="Y353" s="55">
        <f t="shared" ref="Y353:Y358" si="47">IFERROR(IF(X353="",0,CEILING((X353/$H353),1)*$H353),"")</f>
        <v>43.2</v>
      </c>
      <c r="Z353" s="41">
        <f>IFERROR(IF(Y353=0,"",ROUNDUP(Y353/H353,0)*0.01898),"")</f>
        <v>7.5920000000000001E-2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41.518518518518519</v>
      </c>
      <c r="BN353" s="78">
        <f t="shared" ref="BN353:BN358" si="49">IFERROR(Y353*I353/H353,"0")</f>
        <v>44.84</v>
      </c>
      <c r="BO353" s="78">
        <f t="shared" ref="BO353:BO358" si="50">IFERROR(1/J353*(X353/H353),"0")</f>
        <v>5.7870370370370364E-2</v>
      </c>
      <c r="BP353" s="78">
        <f t="shared" ref="BP353:BP358" si="51">IFERROR(1/J353*(Y353/H353),"0")</f>
        <v>6.25E-2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3.7037037037037033</v>
      </c>
      <c r="Y359" s="43">
        <f>IFERROR(Y353/H353,"0")+IFERROR(Y354/H354,"0")+IFERROR(Y355/H355,"0")+IFERROR(Y356/H356,"0")+IFERROR(Y357/H357,"0")+IFERROR(Y358/H358,"0")</f>
        <v>4</v>
      </c>
      <c r="Z359" s="43">
        <f>IFERROR(IF(Z353="",0,Z353),"0")+IFERROR(IF(Z354="",0,Z354),"0")+IFERROR(IF(Z355="",0,Z355),"0")+IFERROR(IF(Z356="",0,Z356),"0")+IFERROR(IF(Z357="",0,Z357),"0")+IFERROR(IF(Z358="",0,Z358),"0")</f>
        <v>7.5920000000000001E-2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40</v>
      </c>
      <c r="Y360" s="43">
        <f>IFERROR(SUM(Y353:Y358),"0")</f>
        <v>43.2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140</v>
      </c>
      <c r="Y366" s="55">
        <f t="shared" si="52"/>
        <v>140.70000000000002</v>
      </c>
      <c r="Z366" s="41">
        <f>IFERROR(IF(Y366=0,"",ROUNDUP(Y366/H366,0)*0.00502),"")</f>
        <v>0.33634000000000003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146.66666666666666</v>
      </c>
      <c r="BN366" s="78">
        <f t="shared" si="54"/>
        <v>147.40000000000003</v>
      </c>
      <c r="BO366" s="78">
        <f t="shared" si="55"/>
        <v>0.28490028490028491</v>
      </c>
      <c r="BP366" s="78">
        <f t="shared" si="56"/>
        <v>0.28632478632478636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27</v>
      </c>
      <c r="Y368" s="55">
        <f t="shared" si="52"/>
        <v>27</v>
      </c>
      <c r="Z368" s="41">
        <f>IFERROR(IF(Y368=0,"",ROUNDUP(Y368/H368,0)*0.00651),"")</f>
        <v>9.7650000000000001E-2</v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30.419999999999998</v>
      </c>
      <c r="BN368" s="78">
        <f t="shared" si="54"/>
        <v>30.419999999999998</v>
      </c>
      <c r="BO368" s="78">
        <f t="shared" si="55"/>
        <v>8.241758241758243E-2</v>
      </c>
      <c r="BP368" s="78">
        <f t="shared" si="56"/>
        <v>8.241758241758243E-2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81.666666666666657</v>
      </c>
      <c r="Y369" s="43">
        <f>IFERROR(Y362/H362,"0")+IFERROR(Y363/H363,"0")+IFERROR(Y364/H364,"0")+IFERROR(Y365/H365,"0")+IFERROR(Y366/H366,"0")+IFERROR(Y367/H367,"0")+IFERROR(Y368/H368,"0")</f>
        <v>82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0.43399000000000004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167</v>
      </c>
      <c r="Y370" s="43">
        <f>IFERROR(SUM(Y362:Y368),"0")</f>
        <v>167.70000000000002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20" t="s">
        <v>183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300</v>
      </c>
      <c r="Y379" s="55">
        <f>IFERROR(IF(X379="",0,CEILING((X379/$H379),1)*$H379),"")</f>
        <v>302.40000000000003</v>
      </c>
      <c r="Z379" s="41">
        <f>IFERROR(IF(Y379=0,"",ROUNDUP(Y379/H379,0)*0.01898),"")</f>
        <v>0.68328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317.64285714285711</v>
      </c>
      <c r="BN379" s="78">
        <f>IFERROR(Y379*I379/H379,"0")</f>
        <v>320.18400000000003</v>
      </c>
      <c r="BO379" s="78">
        <f>IFERROR(1/J379*(X379/H379),"0")</f>
        <v>0.5580357142857143</v>
      </c>
      <c r="BP379" s="78">
        <f>IFERROR(1/J379*(Y379/H379),"0")</f>
        <v>0.5625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500</v>
      </c>
      <c r="Y380" s="55">
        <f>IFERROR(IF(X380="",0,CEILING((X380/$H380),1)*$H380),"")</f>
        <v>507</v>
      </c>
      <c r="Z380" s="41">
        <f>IFERROR(IF(Y380=0,"",ROUNDUP(Y380/H380,0)*0.01898),"")</f>
        <v>1.2337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531.66666666666663</v>
      </c>
      <c r="BN380" s="78">
        <f>IFERROR(Y380*I380/H380,"0")</f>
        <v>539.11</v>
      </c>
      <c r="BO380" s="78">
        <f>IFERROR(1/J380*(X380/H380),"0")</f>
        <v>1.0016025641025641</v>
      </c>
      <c r="BP380" s="78">
        <f>IFERROR(1/J380*(Y380/H380),"0")</f>
        <v>1.015625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100</v>
      </c>
      <c r="Y381" s="55">
        <f>IFERROR(IF(X381="",0,CEILING((X381/$H381),1)*$H381),"")</f>
        <v>100.80000000000001</v>
      </c>
      <c r="Z381" s="41">
        <f>IFERROR(IF(Y381=0,"",ROUNDUP(Y381/H381,0)*0.01898),"")</f>
        <v>0.22776000000000002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105.88095238095238</v>
      </c>
      <c r="BN381" s="78">
        <f>IFERROR(Y381*I381/H381,"0")</f>
        <v>106.72800000000001</v>
      </c>
      <c r="BO381" s="78">
        <f>IFERROR(1/J381*(X381/H381),"0")</f>
        <v>0.18601190476190477</v>
      </c>
      <c r="BP381" s="78">
        <f>IFERROR(1/J381*(Y381/H381),"0")</f>
        <v>0.1875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111.72161172161171</v>
      </c>
      <c r="Y382" s="43">
        <f>IFERROR(Y379/H379,"0")+IFERROR(Y380/H380,"0")+IFERROR(Y381/H381,"0")</f>
        <v>113</v>
      </c>
      <c r="Z382" s="43">
        <f>IFERROR(IF(Z379="",0,Z379),"0")+IFERROR(IF(Z380="",0,Z380),"0")+IFERROR(IF(Z381="",0,Z381),"0")</f>
        <v>2.1447400000000001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900</v>
      </c>
      <c r="Y383" s="43">
        <f>IFERROR(SUM(Y379:Y381),"0")</f>
        <v>910.2</v>
      </c>
      <c r="Z383" s="42"/>
      <c r="AA383" s="67"/>
      <c r="AB383" s="67"/>
      <c r="AC383" s="67"/>
    </row>
    <row r="384" spans="1:68" ht="14.25" hidden="1" customHeight="1" x14ac:dyDescent="0.25">
      <c r="A384" s="620" t="s">
        <v>104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525</v>
      </c>
      <c r="Y400" s="55">
        <f>IFERROR(IF(X400="",0,CEILING((X400/$H400),1)*$H400),"")</f>
        <v>525</v>
      </c>
      <c r="Z400" s="41">
        <f>IFERROR(IF(Y400=0,"",ROUNDUP(Y400/H400,0)*0.00651),"")</f>
        <v>1.6274999999999999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588</v>
      </c>
      <c r="BN400" s="78">
        <f>IFERROR(Y400*I400/H400,"0")</f>
        <v>588</v>
      </c>
      <c r="BO400" s="78">
        <f>IFERROR(1/J400*(X400/H400),"0")</f>
        <v>1.3736263736263736</v>
      </c>
      <c r="BP400" s="78">
        <f>IFERROR(1/J400*(Y400/H400),"0")</f>
        <v>1.3736263736263736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525</v>
      </c>
      <c r="Y401" s="55">
        <f>IFERROR(IF(X401="",0,CEILING((X401/$H401),1)*$H401),"")</f>
        <v>525</v>
      </c>
      <c r="Z401" s="41">
        <f>IFERROR(IF(Y401=0,"",ROUNDUP(Y401/H401,0)*0.00651),"")</f>
        <v>1.6274999999999999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585</v>
      </c>
      <c r="BN401" s="78">
        <f>IFERROR(Y401*I401/H401,"0")</f>
        <v>585</v>
      </c>
      <c r="BO401" s="78">
        <f>IFERROR(1/J401*(X401/H401),"0")</f>
        <v>1.3736263736263736</v>
      </c>
      <c r="BP401" s="78">
        <f>IFERROR(1/J401*(Y401/H401),"0")</f>
        <v>1.3736263736263736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500</v>
      </c>
      <c r="Y402" s="43">
        <f>IFERROR(Y399/H399,"0")+IFERROR(Y400/H400,"0")+IFERROR(Y401/H401,"0")</f>
        <v>500</v>
      </c>
      <c r="Z402" s="43">
        <f>IFERROR(IF(Z399="",0,Z399),"0")+IFERROR(IF(Z400="",0,Z400),"0")+IFERROR(IF(Z401="",0,Z401),"0")</f>
        <v>3.2549999999999999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1050</v>
      </c>
      <c r="Y403" s="43">
        <f>IFERROR(SUM(Y399:Y401),"0")</f>
        <v>1050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129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100</v>
      </c>
      <c r="Y407" s="55">
        <f t="shared" ref="Y407:Y414" si="57">IFERROR(IF(X407="",0,CEILING((X407/$H407),1)*$H407),"")</f>
        <v>105</v>
      </c>
      <c r="Z407" s="41">
        <f>IFERROR(IF(Y407=0,"",ROUNDUP(Y407/H407,0)*0.02175),"")</f>
        <v>0.15225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103.13333333333334</v>
      </c>
      <c r="BN407" s="78">
        <f t="shared" ref="BN407:BN414" si="59">IFERROR(Y407*I407/H407,"0")</f>
        <v>108.29</v>
      </c>
      <c r="BO407" s="78">
        <f t="shared" ref="BO407:BO414" si="60">IFERROR(1/J407*(X407/H407),"0")</f>
        <v>0.1388888888888889</v>
      </c>
      <c r="BP407" s="78">
        <f t="shared" ref="BP407:BP414" si="61">IFERROR(1/J407*(Y407/H407),"0")</f>
        <v>0.14583333333333331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1400</v>
      </c>
      <c r="Y408" s="55">
        <f t="shared" si="57"/>
        <v>1410</v>
      </c>
      <c r="Z408" s="41">
        <f>IFERROR(IF(Y408=0,"",ROUNDUP(Y408/H408,0)*0.02175),"")</f>
        <v>2.0444999999999998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1443.8666666666666</v>
      </c>
      <c r="BN408" s="78">
        <f t="shared" si="59"/>
        <v>1454.18</v>
      </c>
      <c r="BO408" s="78">
        <f t="shared" si="60"/>
        <v>1.9444444444444442</v>
      </c>
      <c r="BP408" s="78">
        <f t="shared" si="61"/>
        <v>1.9583333333333333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900</v>
      </c>
      <c r="Y409" s="55">
        <f t="shared" si="57"/>
        <v>900</v>
      </c>
      <c r="Z409" s="41">
        <f>IFERROR(IF(Y409=0,"",ROUNDUP(Y409/H409,0)*0.02175),"")</f>
        <v>1.3049999999999999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928.2</v>
      </c>
      <c r="BN409" s="78">
        <f t="shared" si="59"/>
        <v>928.2</v>
      </c>
      <c r="BO409" s="78">
        <f t="shared" si="60"/>
        <v>1.25</v>
      </c>
      <c r="BP409" s="78">
        <f t="shared" si="61"/>
        <v>1.25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1100</v>
      </c>
      <c r="Y410" s="55">
        <f t="shared" si="57"/>
        <v>1110</v>
      </c>
      <c r="Z410" s="41">
        <f>IFERROR(IF(Y410=0,"",ROUNDUP(Y410/H410,0)*0.02175),"")</f>
        <v>1.6094999999999999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1134.4666666666667</v>
      </c>
      <c r="BN410" s="78">
        <f t="shared" si="59"/>
        <v>1144.78</v>
      </c>
      <c r="BO410" s="78">
        <f t="shared" si="60"/>
        <v>1.5277777777777777</v>
      </c>
      <c r="BP410" s="78">
        <f t="shared" si="61"/>
        <v>1.5416666666666665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100</v>
      </c>
      <c r="Y411" s="55">
        <f t="shared" si="57"/>
        <v>105</v>
      </c>
      <c r="Z411" s="41">
        <f>IFERROR(IF(Y411=0,"",ROUNDUP(Y411/H411,0)*0.02175),"")</f>
        <v>0.15225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103.13333333333334</v>
      </c>
      <c r="BN411" s="78">
        <f t="shared" si="59"/>
        <v>108.29</v>
      </c>
      <c r="BO411" s="78">
        <f t="shared" si="60"/>
        <v>0.1388888888888889</v>
      </c>
      <c r="BP411" s="78">
        <f t="shared" si="61"/>
        <v>0.14583333333333331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10</v>
      </c>
      <c r="Y414" s="55">
        <f t="shared" si="57"/>
        <v>10</v>
      </c>
      <c r="Z414" s="41">
        <f>IFERROR(IF(Y414=0,"",ROUNDUP(Y414/H414,0)*0.00902),"")</f>
        <v>1.804E-2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10.38</v>
      </c>
      <c r="BN414" s="78">
        <f t="shared" si="59"/>
        <v>10.38</v>
      </c>
      <c r="BO414" s="78">
        <f t="shared" si="60"/>
        <v>1.5151515151515152E-2</v>
      </c>
      <c r="BP414" s="78">
        <f t="shared" si="61"/>
        <v>1.5151515151515152E-2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241.99999999999997</v>
      </c>
      <c r="Y415" s="43">
        <f>IFERROR(Y407/H407,"0")+IFERROR(Y408/H408,"0")+IFERROR(Y409/H409,"0")+IFERROR(Y410/H410,"0")+IFERROR(Y411/H411,"0")+IFERROR(Y412/H412,"0")+IFERROR(Y413/H413,"0")+IFERROR(Y414/H414,"0")</f>
        <v>244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5.2815399999999988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3610</v>
      </c>
      <c r="Y416" s="43">
        <f>IFERROR(SUM(Y407:Y414),"0")</f>
        <v>3640</v>
      </c>
      <c r="Z416" s="42"/>
      <c r="AA416" s="67"/>
      <c r="AB416" s="67"/>
      <c r="AC416" s="67"/>
    </row>
    <row r="417" spans="1:68" ht="14.25" hidden="1" customHeight="1" x14ac:dyDescent="0.25">
      <c r="A417" s="620" t="s">
        <v>166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1000</v>
      </c>
      <c r="Y418" s="55">
        <f>IFERROR(IF(X418="",0,CEILING((X418/$H418),1)*$H418),"")</f>
        <v>1005</v>
      </c>
      <c r="Z418" s="41">
        <f>IFERROR(IF(Y418=0,"",ROUNDUP(Y418/H418,0)*0.02175),"")</f>
        <v>1.4572499999999999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1031.3333333333333</v>
      </c>
      <c r="BN418" s="78">
        <f>IFERROR(Y418*I418/H418,"0")</f>
        <v>1036.49</v>
      </c>
      <c r="BO418" s="78">
        <f>IFERROR(1/J418*(X418/H418),"0")</f>
        <v>1.3888888888888888</v>
      </c>
      <c r="BP418" s="78">
        <f>IFERROR(1/J418*(Y418/H418),"0")</f>
        <v>1.3958333333333333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66.666666666666671</v>
      </c>
      <c r="Y421" s="43">
        <f>IFERROR(Y418/H418,"0")+IFERROR(Y419/H419,"0")+IFERROR(Y420/H420,"0")</f>
        <v>67</v>
      </c>
      <c r="Z421" s="43">
        <f>IFERROR(IF(Z418="",0,Z418),"0")+IFERROR(IF(Z419="",0,Z419),"0")+IFERROR(IF(Z420="",0,Z420),"0")</f>
        <v>1.4572499999999999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1000</v>
      </c>
      <c r="Y422" s="43">
        <f>IFERROR(SUM(Y418:Y420),"0")</f>
        <v>1005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50</v>
      </c>
      <c r="Y425" s="55">
        <f>IFERROR(IF(X425="",0,CEILING((X425/$H425),1)*$H425),"")</f>
        <v>54</v>
      </c>
      <c r="Z425" s="41">
        <f>IFERROR(IF(Y425=0,"",ROUNDUP(Y425/H425,0)*0.01898),"")</f>
        <v>0.11388000000000001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52.74444444444444</v>
      </c>
      <c r="BN425" s="78">
        <f>IFERROR(Y425*I425/H425,"0")</f>
        <v>56.963999999999992</v>
      </c>
      <c r="BO425" s="78">
        <f>IFERROR(1/J425*(X425/H425),"0")</f>
        <v>8.6805555555555552E-2</v>
      </c>
      <c r="BP425" s="78">
        <f>IFERROR(1/J425*(Y425/H425),"0")</f>
        <v>9.375E-2</v>
      </c>
    </row>
    <row r="426" spans="1:68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5.5555555555555554</v>
      </c>
      <c r="Y426" s="43">
        <f>IFERROR(Y424/H424,"0")+IFERROR(Y425/H425,"0")</f>
        <v>6</v>
      </c>
      <c r="Z426" s="43">
        <f>IFERROR(IF(Z424="",0,Z424),"0")+IFERROR(IF(Z425="",0,Z425),"0")</f>
        <v>0.11388000000000001</v>
      </c>
      <c r="AA426" s="67"/>
      <c r="AB426" s="67"/>
      <c r="AC426" s="67"/>
    </row>
    <row r="427" spans="1:68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50</v>
      </c>
      <c r="Y427" s="43">
        <f>IFERROR(SUM(Y424:Y425),"0")</f>
        <v>54</v>
      </c>
      <c r="Z427" s="42"/>
      <c r="AA427" s="67"/>
      <c r="AB427" s="67"/>
      <c r="AC427" s="67"/>
    </row>
    <row r="428" spans="1:68" ht="14.25" hidden="1" customHeight="1" x14ac:dyDescent="0.25">
      <c r="A428" s="620" t="s">
        <v>183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20</v>
      </c>
      <c r="Y429" s="55">
        <f>IFERROR(IF(X429="",0,CEILING((X429/$H429),1)*$H429),"")</f>
        <v>27</v>
      </c>
      <c r="Z429" s="41">
        <f>IFERROR(IF(Y429=0,"",ROUNDUP(Y429/H429,0)*0.01898),"")</f>
        <v>5.6940000000000004E-2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21.097777777777779</v>
      </c>
      <c r="BN429" s="78">
        <f>IFERROR(Y429*I429/H429,"0")</f>
        <v>28.481999999999996</v>
      </c>
      <c r="BO429" s="78">
        <f>IFERROR(1/J429*(X429/H429),"0")</f>
        <v>3.4722222222222224E-2</v>
      </c>
      <c r="BP429" s="78">
        <f>IFERROR(1/J429*(Y429/H429),"0")</f>
        <v>4.6875E-2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2.2222222222222223</v>
      </c>
      <c r="Y430" s="43">
        <f>IFERROR(Y429/H429,"0")</f>
        <v>3</v>
      </c>
      <c r="Z430" s="43">
        <f>IFERROR(IF(Z429="",0,Z429),"0")</f>
        <v>5.6940000000000004E-2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20</v>
      </c>
      <c r="Y431" s="43">
        <f>IFERROR(SUM(Y429:Y429),"0")</f>
        <v>27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129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20</v>
      </c>
      <c r="Y434" s="55">
        <f>IFERROR(IF(X434="",0,CEILING((X434/$H434),1)*$H434),"")</f>
        <v>24</v>
      </c>
      <c r="Z434" s="41">
        <f>IFERROR(IF(Y434=0,"",ROUNDUP(Y434/H434,0)*0.01898),"")</f>
        <v>3.7960000000000001E-2</v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20.683333333333334</v>
      </c>
      <c r="BN434" s="78">
        <f>IFERROR(Y434*I434/H434,"0")</f>
        <v>24.820000000000004</v>
      </c>
      <c r="BO434" s="78">
        <f>IFERROR(1/J434*(X434/H434),"0")</f>
        <v>2.6041666666666668E-2</v>
      </c>
      <c r="BP434" s="78">
        <f>IFERROR(1/J434*(Y434/H434),"0")</f>
        <v>3.125E-2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1.6666666666666667</v>
      </c>
      <c r="Y436" s="43">
        <f>IFERROR(Y434/H434,"0")+IFERROR(Y435/H435,"0")</f>
        <v>2</v>
      </c>
      <c r="Z436" s="43">
        <f>IFERROR(IF(Z434="",0,Z434),"0")+IFERROR(IF(Z435="",0,Z435),"0")</f>
        <v>3.7960000000000001E-2</v>
      </c>
      <c r="AA436" s="67"/>
      <c r="AB436" s="67"/>
      <c r="AC436" s="67"/>
    </row>
    <row r="437" spans="1:68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20</v>
      </c>
      <c r="Y437" s="43">
        <f>IFERROR(SUM(Y434:Y435),"0")</f>
        <v>24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hidden="1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166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129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70</v>
      </c>
      <c r="Y478" s="55">
        <f t="shared" ref="Y478:Y486" si="67">IFERROR(IF(X478="",0,CEILING((X478/$H478),1)*$H478),"")</f>
        <v>73.92</v>
      </c>
      <c r="Z478" s="41">
        <f t="shared" ref="Z478:Z483" si="68">IFERROR(IF(Y478=0,"",ROUNDUP(Y478/H478,0)*0.01196),"")</f>
        <v>0.16744000000000001</v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74.640151515151501</v>
      </c>
      <c r="BN478" s="78">
        <f t="shared" ref="BN478:BN486" si="70">IFERROR(Y478*I478/H478,"0")</f>
        <v>78.819999999999993</v>
      </c>
      <c r="BO478" s="78">
        <f t="shared" ref="BO478:BO486" si="71">IFERROR(1/J478*(X478/H478),"0")</f>
        <v>0.12747668997668998</v>
      </c>
      <c r="BP478" s="78">
        <f t="shared" ref="BP478:BP486" si="72">IFERROR(1/J478*(Y478/H478),"0")</f>
        <v>0.13461538461538464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21">
        <v>4680115889576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6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40</v>
      </c>
      <c r="Y481" s="55">
        <f t="shared" si="67"/>
        <v>42.24</v>
      </c>
      <c r="Z481" s="41">
        <f t="shared" si="68"/>
        <v>9.5680000000000001E-2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42.651515151515149</v>
      </c>
      <c r="BN481" s="78">
        <f t="shared" si="70"/>
        <v>45.04</v>
      </c>
      <c r="BO481" s="78">
        <f t="shared" si="71"/>
        <v>7.2843822843822847E-2</v>
      </c>
      <c r="BP481" s="78">
        <f t="shared" si="72"/>
        <v>7.6923076923076927E-2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300</v>
      </c>
      <c r="Y483" s="55">
        <f t="shared" si="67"/>
        <v>300.96000000000004</v>
      </c>
      <c r="Z483" s="41">
        <f t="shared" si="68"/>
        <v>0.68171999999999999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319.88636363636363</v>
      </c>
      <c r="BN483" s="78">
        <f t="shared" si="70"/>
        <v>320.91000000000003</v>
      </c>
      <c r="BO483" s="78">
        <f t="shared" si="71"/>
        <v>0.54632867132867136</v>
      </c>
      <c r="BP483" s="78">
        <f t="shared" si="72"/>
        <v>0.54807692307692313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108</v>
      </c>
      <c r="Y485" s="55">
        <f t="shared" si="67"/>
        <v>110.39999999999999</v>
      </c>
      <c r="Z485" s="41">
        <f>IFERROR(IF(Y485=0,"",ROUNDUP(Y485/H485,0)*0.00902),"")</f>
        <v>0.20746000000000001</v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155.47499999999999</v>
      </c>
      <c r="BN485" s="78">
        <f t="shared" si="70"/>
        <v>158.92999999999998</v>
      </c>
      <c r="BO485" s="78">
        <f t="shared" si="71"/>
        <v>0.17045454545454547</v>
      </c>
      <c r="BP485" s="78">
        <f t="shared" si="72"/>
        <v>0.17424242424242425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270</v>
      </c>
      <c r="Y486" s="55">
        <f t="shared" si="67"/>
        <v>273.59999999999997</v>
      </c>
      <c r="Z486" s="41">
        <f>IFERROR(IF(Y486=0,"",ROUNDUP(Y486/H486,0)*0.00902),"")</f>
        <v>0.51414000000000004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388.6875</v>
      </c>
      <c r="BN486" s="78">
        <f t="shared" si="70"/>
        <v>393.86999999999995</v>
      </c>
      <c r="BO486" s="78">
        <f t="shared" si="71"/>
        <v>0.42613636363636365</v>
      </c>
      <c r="BP486" s="78">
        <f t="shared" si="72"/>
        <v>0.43181818181818177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156.40151515151513</v>
      </c>
      <c r="Y487" s="43">
        <f>IFERROR(Y478/H478,"0")+IFERROR(Y479/H479,"0")+IFERROR(Y480/H480,"0")+IFERROR(Y481/H481,"0")+IFERROR(Y482/H482,"0")+IFERROR(Y483/H483,"0")+IFERROR(Y484/H484,"0")+IFERROR(Y485/H485,"0")+IFERROR(Y486/H486,"0")</f>
        <v>159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1.6664400000000001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788</v>
      </c>
      <c r="Y488" s="43">
        <f>IFERROR(SUM(Y478:Y486),"0")</f>
        <v>801.11999999999989</v>
      </c>
      <c r="Z488" s="42"/>
      <c r="AA488" s="67"/>
      <c r="AB488" s="67"/>
      <c r="AC488" s="67"/>
    </row>
    <row r="489" spans="1:68" ht="14.25" hidden="1" customHeight="1" x14ac:dyDescent="0.25">
      <c r="A489" s="620" t="s">
        <v>166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270</v>
      </c>
      <c r="Y490" s="55">
        <f>IFERROR(IF(X490="",0,CEILING((X490/$H490),1)*$H490),"")</f>
        <v>274.56</v>
      </c>
      <c r="Z490" s="41">
        <f>IFERROR(IF(Y490=0,"",ROUNDUP(Y490/H490,0)*0.01196),"")</f>
        <v>0.62192000000000003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287.89772727272725</v>
      </c>
      <c r="BN490" s="78">
        <f>IFERROR(Y490*I490/H490,"0")</f>
        <v>292.76</v>
      </c>
      <c r="BO490" s="78">
        <f>IFERROR(1/J490*(X490/H490),"0")</f>
        <v>0.49169580419580416</v>
      </c>
      <c r="BP490" s="78">
        <f>IFERROR(1/J490*(Y490/H490),"0")</f>
        <v>0.5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60</v>
      </c>
      <c r="Y492" s="55">
        <f>IFERROR(IF(X492="",0,CEILING((X492/$H492),1)*$H492),"")</f>
        <v>62.4</v>
      </c>
      <c r="Z492" s="41">
        <f>IFERROR(IF(Y492=0,"",ROUNDUP(Y492/H492,0)*0.00902),"")</f>
        <v>0.11726</v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86.375000000000014</v>
      </c>
      <c r="BN492" s="78">
        <f>IFERROR(Y492*I492/H492,"0")</f>
        <v>89.830000000000013</v>
      </c>
      <c r="BO492" s="78">
        <f>IFERROR(1/J492*(X492/H492),"0")</f>
        <v>9.4696969696969696E-2</v>
      </c>
      <c r="BP492" s="78">
        <f>IFERROR(1/J492*(Y492/H492),"0")</f>
        <v>9.8484848484848481E-2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63.636363636363633</v>
      </c>
      <c r="Y493" s="43">
        <f>IFERROR(Y490/H490,"0")+IFERROR(Y491/H491,"0")+IFERROR(Y492/H492,"0")</f>
        <v>65</v>
      </c>
      <c r="Z493" s="43">
        <f>IFERROR(IF(Z490="",0,Z490),"0")+IFERROR(IF(Z491="",0,Z491),"0")+IFERROR(IF(Z492="",0,Z492),"0")</f>
        <v>0.73918000000000006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330</v>
      </c>
      <c r="Y494" s="43">
        <f>IFERROR(SUM(Y490:Y492),"0")</f>
        <v>336.96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20</v>
      </c>
      <c r="Y497" s="55">
        <f t="shared" si="73"/>
        <v>21.12</v>
      </c>
      <c r="Z497" s="41">
        <f>IFERROR(IF(Y497=0,"",ROUNDUP(Y497/H497,0)*0.01196),"")</f>
        <v>4.7840000000000001E-2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21.325757575757574</v>
      </c>
      <c r="BN497" s="78">
        <f t="shared" si="75"/>
        <v>22.52</v>
      </c>
      <c r="BO497" s="78">
        <f t="shared" si="76"/>
        <v>3.6421911421911424E-2</v>
      </c>
      <c r="BP497" s="78">
        <f t="shared" si="77"/>
        <v>3.8461538461538464E-2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130</v>
      </c>
      <c r="Y498" s="55">
        <f t="shared" si="73"/>
        <v>132</v>
      </c>
      <c r="Z498" s="41">
        <f>IFERROR(IF(Y498=0,"",ROUNDUP(Y498/H498,0)*0.01196),"")</f>
        <v>0.29899999999999999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138.61742424242422</v>
      </c>
      <c r="BN498" s="78">
        <f t="shared" si="75"/>
        <v>140.75</v>
      </c>
      <c r="BO498" s="78">
        <f t="shared" si="76"/>
        <v>0.23674242424242425</v>
      </c>
      <c r="BP498" s="78">
        <f t="shared" si="77"/>
        <v>0.24038461538461539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54</v>
      </c>
      <c r="Y499" s="55">
        <f t="shared" si="73"/>
        <v>57.599999999999994</v>
      </c>
      <c r="Z499" s="41">
        <f>IFERROR(IF(Y499=0,"",ROUNDUP(Y499/H499,0)*0.00902),"")</f>
        <v>0.10824</v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77.737499999999997</v>
      </c>
      <c r="BN499" s="78">
        <f t="shared" si="75"/>
        <v>82.92</v>
      </c>
      <c r="BO499" s="78">
        <f t="shared" si="76"/>
        <v>8.5227272727272735E-2</v>
      </c>
      <c r="BP499" s="78">
        <f t="shared" si="77"/>
        <v>9.0909090909090912E-2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12</v>
      </c>
      <c r="Y501" s="55">
        <f t="shared" si="73"/>
        <v>14.399999999999999</v>
      </c>
      <c r="Z501" s="41">
        <f>IFERROR(IF(Y501=0,"",ROUNDUP(Y501/H501,0)*0.00902),"")</f>
        <v>2.7060000000000001E-2</v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16.675000000000001</v>
      </c>
      <c r="BN501" s="78">
        <f t="shared" si="75"/>
        <v>20.009999999999998</v>
      </c>
      <c r="BO501" s="78">
        <f t="shared" si="76"/>
        <v>1.893939393939394E-2</v>
      </c>
      <c r="BP501" s="78">
        <f t="shared" si="77"/>
        <v>2.2727272727272728E-2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120</v>
      </c>
      <c r="Y502" s="55">
        <f t="shared" si="73"/>
        <v>120</v>
      </c>
      <c r="Z502" s="41">
        <f>IFERROR(IF(Y502=0,"",ROUNDUP(Y502/H502,0)*0.00902),"")</f>
        <v>0.22550000000000001</v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166.75</v>
      </c>
      <c r="BN502" s="78">
        <f t="shared" si="75"/>
        <v>166.75</v>
      </c>
      <c r="BO502" s="78">
        <f t="shared" si="76"/>
        <v>0.18939393939393939</v>
      </c>
      <c r="BP502" s="78">
        <f t="shared" si="77"/>
        <v>0.18939393939393939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67.159090909090907</v>
      </c>
      <c r="Y503" s="43">
        <f>IFERROR(Y496/H496,"0")+IFERROR(Y497/H497,"0")+IFERROR(Y498/H498,"0")+IFERROR(Y499/H499,"0")+IFERROR(Y500/H500,"0")+IFERROR(Y501/H501,"0")+IFERROR(Y502/H502,"0")</f>
        <v>69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0.70764000000000005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336</v>
      </c>
      <c r="Y504" s="43">
        <f>IFERROR(SUM(Y496:Y502),"0")</f>
        <v>345.12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129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90</v>
      </c>
      <c r="Y508" s="55">
        <f>IFERROR(IF(X508="",0,CEILING((X508/$H508),1)*$H508),"")</f>
        <v>96</v>
      </c>
      <c r="Z508" s="41">
        <f>IFERROR(IF(Y508=0,"",ROUNDUP(Y508/H508,0)*0.01898),"")</f>
        <v>0.15184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93.075000000000003</v>
      </c>
      <c r="BN508" s="78">
        <f>IFERROR(Y508*I508/H508,"0")</f>
        <v>99.280000000000015</v>
      </c>
      <c r="BO508" s="78">
        <f>IFERROR(1/J508*(X508/H508),"0")</f>
        <v>0.1171875</v>
      </c>
      <c r="BP508" s="78">
        <f>IFERROR(1/J508*(Y508/H508),"0")</f>
        <v>0.125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7.5</v>
      </c>
      <c r="Y509" s="43">
        <f>IFERROR(Y508/H508,"0")</f>
        <v>8</v>
      </c>
      <c r="Z509" s="43">
        <f>IFERROR(IF(Z508="",0,Z508),"0")</f>
        <v>0.15184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90</v>
      </c>
      <c r="Y510" s="43">
        <f>IFERROR(SUM(Y508:Y508),"0")</f>
        <v>96</v>
      </c>
      <c r="Z510" s="42"/>
      <c r="AA510" s="67"/>
      <c r="AB510" s="67"/>
      <c r="AC510" s="67"/>
    </row>
    <row r="511" spans="1:68" ht="14.25" hidden="1" customHeight="1" x14ac:dyDescent="0.25">
      <c r="A511" s="620" t="s">
        <v>166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720</v>
      </c>
      <c r="Y521" s="55">
        <f>IFERROR(IF(X521="",0,CEILING((X521/$H521),1)*$H521),"")</f>
        <v>720</v>
      </c>
      <c r="Z521" s="41">
        <f>IFERROR(IF(Y521=0,"",ROUNDUP(Y521/H521,0)*0.01898),"")</f>
        <v>1.5184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759.52</v>
      </c>
      <c r="BN521" s="78">
        <f>IFERROR(Y521*I521/H521,"0")</f>
        <v>759.52</v>
      </c>
      <c r="BO521" s="78">
        <f>IFERROR(1/J521*(X521/H521),"0")</f>
        <v>1.25</v>
      </c>
      <c r="BP521" s="78">
        <f>IFERROR(1/J521*(Y521/H521),"0")</f>
        <v>1.25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80</v>
      </c>
      <c r="Y522" s="43">
        <f>IFERROR(Y521/H521,"0")</f>
        <v>80</v>
      </c>
      <c r="Z522" s="43">
        <f>IFERROR(IF(Z521="",0,Z521),"0")</f>
        <v>1.5184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720</v>
      </c>
      <c r="Y523" s="43">
        <f>IFERROR(SUM(Y521:Y521),"0")</f>
        <v>720</v>
      </c>
      <c r="Z523" s="42"/>
      <c r="AA523" s="67"/>
      <c r="AB523" s="67"/>
      <c r="AC523" s="67"/>
    </row>
    <row r="524" spans="1:68" ht="14.25" hidden="1" customHeight="1" x14ac:dyDescent="0.25">
      <c r="A524" s="620" t="s">
        <v>183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166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17497.599999999999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17690.740000000002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18757.267052432449</v>
      </c>
      <c r="Y535" s="43">
        <f>IFERROR(SUM(BN22:BN531),"0")</f>
        <v>18965.801999999992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32</v>
      </c>
      <c r="Y536" s="44">
        <f>ROUNDUP(SUM(BP22:BP531),0)</f>
        <v>33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19557.267052432449</v>
      </c>
      <c r="Y537" s="43">
        <f>GrossWeightTotalR+PalletQtyTotalR*25</f>
        <v>19790.801999999992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3847.5785208831176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3881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37.511619999999994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127</v>
      </c>
      <c r="E541" s="616" t="s">
        <v>127</v>
      </c>
      <c r="F541" s="616" t="s">
        <v>127</v>
      </c>
      <c r="G541" s="616" t="s">
        <v>127</v>
      </c>
      <c r="H541" s="616" t="s">
        <v>127</v>
      </c>
      <c r="I541" s="616" t="s">
        <v>127</v>
      </c>
      <c r="J541" s="616" t="s">
        <v>127</v>
      </c>
      <c r="K541" s="616" t="s">
        <v>336</v>
      </c>
      <c r="L541" s="616" t="s">
        <v>336</v>
      </c>
      <c r="M541" s="616" t="s">
        <v>336</v>
      </c>
      <c r="N541" s="617"/>
      <c r="O541" s="616" t="s">
        <v>336</v>
      </c>
      <c r="P541" s="616" t="s">
        <v>336</v>
      </c>
      <c r="Q541" s="616" t="s">
        <v>336</v>
      </c>
      <c r="R541" s="616" t="s">
        <v>336</v>
      </c>
      <c r="S541" s="616" t="s">
        <v>336</v>
      </c>
      <c r="T541" s="616" t="s">
        <v>336</v>
      </c>
      <c r="U541" s="616" t="s">
        <v>336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110</v>
      </c>
      <c r="D542" s="616" t="s">
        <v>128</v>
      </c>
      <c r="E542" s="616" t="s">
        <v>144</v>
      </c>
      <c r="F542" s="616" t="s">
        <v>190</v>
      </c>
      <c r="G542" s="616" t="s">
        <v>211</v>
      </c>
      <c r="H542" s="616" t="s">
        <v>253</v>
      </c>
      <c r="I542" s="616" t="s">
        <v>265</v>
      </c>
      <c r="J542" s="616" t="s">
        <v>127</v>
      </c>
      <c r="K542" s="616" t="s">
        <v>337</v>
      </c>
      <c r="L542" s="616" t="s">
        <v>358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32.64</v>
      </c>
      <c r="D544" s="52">
        <f>IFERROR(Y51*1,"0")+IFERROR(Y52*1,"0")+IFERROR(Y53*1,"0")+IFERROR(Y54*1,"0")</f>
        <v>485.20000000000005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790.8</v>
      </c>
      <c r="F544" s="52">
        <f>IFERROR(Y88*1,"0")+IFERROR(Y89*1,"0")+IFERROR(Y90*1,"0")+IFERROR(Y91*1,"0")+IFERROR(Y95*1,"0")+IFERROR(Y96*1,"0")+IFERROR(Y97*1,"0")+IFERROR(Y98*1,"0")</f>
        <v>1374.3000000000002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1502.5</v>
      </c>
      <c r="H544" s="52">
        <f>IFERROR(Y134*1,"0")+IFERROR(Y135*1,"0")+IFERROR(Y139*1,"0")+IFERROR(Y140*1,"0")+IFERROR(Y144*1,"0")+IFERROR(Y145*1,"0")</f>
        <v>223.92000000000002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607.91999999999996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450.26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2105.6999999999998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182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403.19999999999993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312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1121.1000000000001</v>
      </c>
      <c r="U544" s="52">
        <f>IFERROR(Y399*1,"0")+IFERROR(Y400*1,"0")+IFERROR(Y401*1,"0")</f>
        <v>1050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4726</v>
      </c>
      <c r="W544" s="52">
        <f>IFERROR(Y434*1,"0")+IFERROR(Y435*1,"0")+IFERROR(Y439*1,"0")+IFERROR(Y443*1,"0")+IFERROR(Y444*1,"0")+IFERROR(Y445*1,"0")</f>
        <v>24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1483.1999999999998</v>
      </c>
      <c r="AA544" s="52">
        <f>IFERROR(Y508*1,"0")+IFERROR(Y512*1,"0")+IFERROR(Y516*1,"0")+IFERROR(Y517*1,"0")+IFERROR(Y521*1,"0")+IFERROR(Y525*1,"0")+IFERROR(Y526*1,"0")</f>
        <v>816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9,00"/>
        <filter val="1 050,00"/>
        <filter val="1 100,00"/>
        <filter val="1 310,00"/>
        <filter val="1 400,00"/>
        <filter val="1,67"/>
        <filter val="10,00"/>
        <filter val="100,00"/>
        <filter val="105,00"/>
        <filter val="108,00"/>
        <filter val="111,72"/>
        <filter val="117,78"/>
        <filter val="12,00"/>
        <filter val="12,80"/>
        <filter val="120,00"/>
        <filter val="130,00"/>
        <filter val="140,00"/>
        <filter val="148,00"/>
        <filter val="150,00"/>
        <filter val="156,40"/>
        <filter val="16,67"/>
        <filter val="166,67"/>
        <filter val="167,00"/>
        <filter val="17 497,60"/>
        <filter val="170,00"/>
        <filter val="175,00"/>
        <filter val="18 757,27"/>
        <filter val="19 557,27"/>
        <filter val="19,20"/>
        <filter val="193,33"/>
        <filter val="2,20"/>
        <filter val="2,22"/>
        <filter val="2,40"/>
        <filter val="2,70"/>
        <filter val="20,00"/>
        <filter val="200,00"/>
        <filter val="204,32"/>
        <filter val="208,52"/>
        <filter val="225,00"/>
        <filter val="230,52"/>
        <filter val="24,00"/>
        <filter val="242,00"/>
        <filter val="25,00"/>
        <filter val="258,40"/>
        <filter val="27,00"/>
        <filter val="27,50"/>
        <filter val="270,00"/>
        <filter val="28,00"/>
        <filter val="280,00"/>
        <filter val="285,00"/>
        <filter val="3 610,00"/>
        <filter val="3 847,58"/>
        <filter val="3,33"/>
        <filter val="3,70"/>
        <filter val="3,85"/>
        <filter val="30,00"/>
        <filter val="300,00"/>
        <filter val="32"/>
        <filter val="32,00"/>
        <filter val="320,00"/>
        <filter val="330,00"/>
        <filter val="336,00"/>
        <filter val="350,00"/>
        <filter val="360,00"/>
        <filter val="37,59"/>
        <filter val="38,46"/>
        <filter val="4,00"/>
        <filter val="4,20"/>
        <filter val="40,00"/>
        <filter val="400,00"/>
        <filter val="405,00"/>
        <filter val="427,20"/>
        <filter val="428,00"/>
        <filter val="440,23"/>
        <filter val="45,00"/>
        <filter val="460,00"/>
        <filter val="480,00"/>
        <filter val="49,50"/>
        <filter val="495,00"/>
        <filter val="5,56"/>
        <filter val="50,00"/>
        <filter val="500,00"/>
        <filter val="525,00"/>
        <filter val="54,00"/>
        <filter val="56,00"/>
        <filter val="6,00"/>
        <filter val="6,67"/>
        <filter val="60,00"/>
        <filter val="602,30"/>
        <filter val="61,67"/>
        <filter val="622,00"/>
        <filter val="63,64"/>
        <filter val="66,67"/>
        <filter val="665,00"/>
        <filter val="67,16"/>
        <filter val="7,20"/>
        <filter val="7,50"/>
        <filter val="70,00"/>
        <filter val="705,00"/>
        <filter val="72,00"/>
        <filter val="72,60"/>
        <filter val="720,00"/>
        <filter val="78,40"/>
        <filter val="788,00"/>
        <filter val="8,40"/>
        <filter val="80,00"/>
        <filter val="81,67"/>
        <filter val="88,52"/>
        <filter val="88,89"/>
        <filter val="89,26"/>
        <filter val="90,00"/>
        <filter val="900,00"/>
        <filter val="93,85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2026-07-10T11:10:53Z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