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7064D3A-15A6-4DFF-9209-3F2053744F0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X429" i="1"/>
  <c r="BO428" i="1"/>
  <c r="BM428" i="1"/>
  <c r="Z428" i="1"/>
  <c r="Z429" i="1" s="1"/>
  <c r="Y428" i="1"/>
  <c r="Y430" i="1" s="1"/>
  <c r="P428" i="1"/>
  <c r="X426" i="1"/>
  <c r="Y425" i="1"/>
  <c r="X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Z412" i="1"/>
  <c r="Y412" i="1"/>
  <c r="BN412" i="1" s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BP406" i="1" s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M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BN270" i="1" s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P213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N204" i="1" s="1"/>
  <c r="P204" i="1"/>
  <c r="BO203" i="1"/>
  <c r="BM203" i="1"/>
  <c r="Y203" i="1"/>
  <c r="P203" i="1"/>
  <c r="BO202" i="1"/>
  <c r="BM202" i="1"/>
  <c r="Y202" i="1"/>
  <c r="BN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X194" i="1"/>
  <c r="X193" i="1"/>
  <c r="BO192" i="1"/>
  <c r="BM192" i="1"/>
  <c r="Y192" i="1"/>
  <c r="BN192" i="1" s="1"/>
  <c r="P192" i="1"/>
  <c r="X190" i="1"/>
  <c r="X189" i="1"/>
  <c r="BO188" i="1"/>
  <c r="BM188" i="1"/>
  <c r="Z188" i="1"/>
  <c r="Y188" i="1"/>
  <c r="BN188" i="1" s="1"/>
  <c r="P188" i="1"/>
  <c r="BO187" i="1"/>
  <c r="BM187" i="1"/>
  <c r="Y187" i="1"/>
  <c r="Y189" i="1" s="1"/>
  <c r="P187" i="1"/>
  <c r="X185" i="1"/>
  <c r="X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N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Z170" i="1"/>
  <c r="Y170" i="1"/>
  <c r="BN170" i="1" s="1"/>
  <c r="P170" i="1"/>
  <c r="BO169" i="1"/>
  <c r="BM169" i="1"/>
  <c r="Y169" i="1"/>
  <c r="P169" i="1"/>
  <c r="BO168" i="1"/>
  <c r="BM168" i="1"/>
  <c r="Y168" i="1"/>
  <c r="BN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BN144" i="1" s="1"/>
  <c r="P144" i="1"/>
  <c r="X142" i="1"/>
  <c r="X141" i="1"/>
  <c r="BO140" i="1"/>
  <c r="BM140" i="1"/>
  <c r="Z140" i="1"/>
  <c r="Y140" i="1"/>
  <c r="BN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Z129" i="1"/>
  <c r="Z130" i="1" s="1"/>
  <c r="Y129" i="1"/>
  <c r="P129" i="1"/>
  <c r="X127" i="1"/>
  <c r="X126" i="1"/>
  <c r="BO125" i="1"/>
  <c r="BM125" i="1"/>
  <c r="Z125" i="1"/>
  <c r="Y125" i="1"/>
  <c r="BN125" i="1" s="1"/>
  <c r="P125" i="1"/>
  <c r="BO124" i="1"/>
  <c r="BM124" i="1"/>
  <c r="Y124" i="1"/>
  <c r="P124" i="1"/>
  <c r="BO123" i="1"/>
  <c r="BM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M117" i="1"/>
  <c r="Y117" i="1"/>
  <c r="P117" i="1"/>
  <c r="BO116" i="1"/>
  <c r="BM116" i="1"/>
  <c r="Y116" i="1"/>
  <c r="P116" i="1"/>
  <c r="BO115" i="1"/>
  <c r="BM115" i="1"/>
  <c r="Z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O83" i="1"/>
  <c r="BM83" i="1"/>
  <c r="Y83" i="1"/>
  <c r="BN83" i="1" s="1"/>
  <c r="P83" i="1"/>
  <c r="BO82" i="1"/>
  <c r="BM82" i="1"/>
  <c r="Y82" i="1"/>
  <c r="Y84" i="1" s="1"/>
  <c r="P82" i="1"/>
  <c r="X80" i="1"/>
  <c r="X79" i="1"/>
  <c r="BO78" i="1"/>
  <c r="BM78" i="1"/>
  <c r="Y78" i="1"/>
  <c r="P78" i="1"/>
  <c r="BO77" i="1"/>
  <c r="BM77" i="1"/>
  <c r="Z77" i="1"/>
  <c r="Y77" i="1"/>
  <c r="P77" i="1"/>
  <c r="X75" i="1"/>
  <c r="X74" i="1"/>
  <c r="BO73" i="1"/>
  <c r="BM73" i="1"/>
  <c r="Z73" i="1"/>
  <c r="Y73" i="1"/>
  <c r="BN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43" i="1" s="1"/>
  <c r="P51" i="1"/>
  <c r="X47" i="1"/>
  <c r="X46" i="1"/>
  <c r="BO45" i="1"/>
  <c r="BM45" i="1"/>
  <c r="Y45" i="1"/>
  <c r="BP45" i="1" s="1"/>
  <c r="P45" i="1"/>
  <c r="BO44" i="1"/>
  <c r="BM44" i="1"/>
  <c r="Y44" i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N22" i="1"/>
  <c r="BM22" i="1"/>
  <c r="Z22" i="1"/>
  <c r="Y22" i="1"/>
  <c r="BP22" i="1" s="1"/>
  <c r="P22" i="1"/>
  <c r="H10" i="1"/>
  <c r="A9" i="1"/>
  <c r="F10" i="1" s="1"/>
  <c r="D7" i="1"/>
  <c r="Q6" i="1"/>
  <c r="P2" i="1"/>
  <c r="BP44" i="1" l="1"/>
  <c r="BN44" i="1"/>
  <c r="Z44" i="1"/>
  <c r="BN71" i="1"/>
  <c r="Z71" i="1"/>
  <c r="BP96" i="1"/>
  <c r="BN96" i="1"/>
  <c r="Z96" i="1"/>
  <c r="BP103" i="1"/>
  <c r="BN103" i="1"/>
  <c r="Z103" i="1"/>
  <c r="BN123" i="1"/>
  <c r="Z123" i="1"/>
  <c r="BP134" i="1"/>
  <c r="BN134" i="1"/>
  <c r="Z134" i="1"/>
  <c r="BN172" i="1"/>
  <c r="Z172" i="1"/>
  <c r="BN198" i="1"/>
  <c r="Z198" i="1"/>
  <c r="BP215" i="1"/>
  <c r="BN215" i="1"/>
  <c r="Z215" i="1"/>
  <c r="BN221" i="1"/>
  <c r="Z221" i="1"/>
  <c r="BN239" i="1"/>
  <c r="BN276" i="1"/>
  <c r="BN293" i="1"/>
  <c r="Y307" i="1"/>
  <c r="Y306" i="1"/>
  <c r="BN305" i="1"/>
  <c r="BN320" i="1"/>
  <c r="BN327" i="1"/>
  <c r="BN354" i="1"/>
  <c r="BN374" i="1"/>
  <c r="Z374" i="1"/>
  <c r="BN386" i="1"/>
  <c r="Z386" i="1"/>
  <c r="BN408" i="1"/>
  <c r="BN451" i="1"/>
  <c r="BP470" i="1"/>
  <c r="BN470" i="1"/>
  <c r="Z470" i="1"/>
  <c r="BN490" i="1"/>
  <c r="BN498" i="1"/>
  <c r="BN524" i="1"/>
  <c r="BP61" i="1"/>
  <c r="BN61" i="1"/>
  <c r="Z61" i="1"/>
  <c r="BN117" i="1"/>
  <c r="Z117" i="1"/>
  <c r="BP151" i="1"/>
  <c r="BN151" i="1"/>
  <c r="Z151" i="1"/>
  <c r="BP172" i="1"/>
  <c r="BP174" i="1"/>
  <c r="BN174" i="1"/>
  <c r="Z174" i="1"/>
  <c r="BP182" i="1"/>
  <c r="BN182" i="1"/>
  <c r="Z182" i="1"/>
  <c r="BP198" i="1"/>
  <c r="BP200" i="1"/>
  <c r="BN200" i="1"/>
  <c r="Z200" i="1"/>
  <c r="BN213" i="1"/>
  <c r="Z213" i="1"/>
  <c r="BP221" i="1"/>
  <c r="BP223" i="1"/>
  <c r="BN223" i="1"/>
  <c r="Z223" i="1"/>
  <c r="BN231" i="1"/>
  <c r="BN262" i="1"/>
  <c r="BN286" i="1"/>
  <c r="BP311" i="1"/>
  <c r="BN311" i="1"/>
  <c r="Z311" i="1"/>
  <c r="Y328" i="1"/>
  <c r="BP334" i="1"/>
  <c r="BN334" i="1"/>
  <c r="Z334" i="1"/>
  <c r="BN340" i="1"/>
  <c r="Z340" i="1"/>
  <c r="BN366" i="1"/>
  <c r="Z366" i="1"/>
  <c r="BP374" i="1"/>
  <c r="BN380" i="1"/>
  <c r="Z380" i="1"/>
  <c r="BP386" i="1"/>
  <c r="BN399" i="1"/>
  <c r="BN482" i="1"/>
  <c r="BN516" i="1"/>
  <c r="Y33" i="1"/>
  <c r="BP73" i="1"/>
  <c r="Y119" i="1"/>
  <c r="BP125" i="1"/>
  <c r="BP140" i="1"/>
  <c r="BP188" i="1"/>
  <c r="BN217" i="1"/>
  <c r="BN225" i="1"/>
  <c r="BN233" i="1"/>
  <c r="BN250" i="1"/>
  <c r="BN264" i="1"/>
  <c r="BN278" i="1"/>
  <c r="BN336" i="1"/>
  <c r="BN362" i="1"/>
  <c r="BN406" i="1"/>
  <c r="BP412" i="1"/>
  <c r="BN424" i="1"/>
  <c r="BP428" i="1"/>
  <c r="BN433" i="1"/>
  <c r="BN484" i="1"/>
  <c r="BN500" i="1"/>
  <c r="BP107" i="1"/>
  <c r="BP113" i="1"/>
  <c r="Z113" i="1"/>
  <c r="BP153" i="1"/>
  <c r="Z153" i="1"/>
  <c r="BP204" i="1"/>
  <c r="BP209" i="1"/>
  <c r="Z209" i="1"/>
  <c r="Z210" i="1" s="1"/>
  <c r="BN309" i="1"/>
  <c r="BP309" i="1"/>
  <c r="Z309" i="1"/>
  <c r="BN347" i="1"/>
  <c r="BP347" i="1"/>
  <c r="Z347" i="1"/>
  <c r="BN443" i="1"/>
  <c r="BP443" i="1"/>
  <c r="Z443" i="1"/>
  <c r="BN459" i="1"/>
  <c r="BP459" i="1"/>
  <c r="Z459" i="1"/>
  <c r="X537" i="1"/>
  <c r="Z28" i="1"/>
  <c r="BP28" i="1"/>
  <c r="BN42" i="1"/>
  <c r="BN52" i="1"/>
  <c r="BN59" i="1"/>
  <c r="Z63" i="1"/>
  <c r="BP63" i="1"/>
  <c r="Y79" i="1"/>
  <c r="BN77" i="1"/>
  <c r="BP77" i="1"/>
  <c r="BP83" i="1"/>
  <c r="Z83" i="1"/>
  <c r="BP98" i="1"/>
  <c r="Z98" i="1"/>
  <c r="Z107" i="1"/>
  <c r="BP115" i="1"/>
  <c r="Y131" i="1"/>
  <c r="Y130" i="1"/>
  <c r="BN129" i="1"/>
  <c r="BP129" i="1"/>
  <c r="Z204" i="1"/>
  <c r="Y210" i="1"/>
  <c r="BN272" i="1"/>
  <c r="BP272" i="1"/>
  <c r="Z272" i="1"/>
  <c r="BN295" i="1"/>
  <c r="BP295" i="1"/>
  <c r="Z295" i="1"/>
  <c r="BN316" i="1"/>
  <c r="BP316" i="1"/>
  <c r="Z316" i="1"/>
  <c r="BN410" i="1"/>
  <c r="BP410" i="1"/>
  <c r="Z410" i="1"/>
  <c r="BN418" i="1"/>
  <c r="BP418" i="1"/>
  <c r="Z418" i="1"/>
  <c r="BN478" i="1"/>
  <c r="BP478" i="1"/>
  <c r="Z478" i="1"/>
  <c r="X533" i="1"/>
  <c r="C543" i="1"/>
  <c r="BN113" i="1"/>
  <c r="BP144" i="1"/>
  <c r="Z144" i="1"/>
  <c r="BN153" i="1"/>
  <c r="BP168" i="1"/>
  <c r="Z168" i="1"/>
  <c r="BP176" i="1"/>
  <c r="Z176" i="1"/>
  <c r="Y194" i="1"/>
  <c r="BP192" i="1"/>
  <c r="Z192" i="1"/>
  <c r="Z193" i="1" s="1"/>
  <c r="BN209" i="1"/>
  <c r="BN219" i="1"/>
  <c r="BP219" i="1"/>
  <c r="Z219" i="1"/>
  <c r="BN266" i="1"/>
  <c r="BP266" i="1"/>
  <c r="Z266" i="1"/>
  <c r="BN280" i="1"/>
  <c r="BP280" i="1"/>
  <c r="Z280" i="1"/>
  <c r="Y303" i="1"/>
  <c r="Y302" i="1"/>
  <c r="BN301" i="1"/>
  <c r="BP301" i="1"/>
  <c r="Z301" i="1"/>
  <c r="Z302" i="1" s="1"/>
  <c r="BN332" i="1"/>
  <c r="BP332" i="1"/>
  <c r="Z332" i="1"/>
  <c r="BN364" i="1"/>
  <c r="BP364" i="1"/>
  <c r="Z364" i="1"/>
  <c r="BN372" i="1"/>
  <c r="BP372" i="1"/>
  <c r="Z372" i="1"/>
  <c r="BN378" i="1"/>
  <c r="BP378" i="1"/>
  <c r="Z378" i="1"/>
  <c r="Y388" i="1"/>
  <c r="BN384" i="1"/>
  <c r="BP384" i="1"/>
  <c r="Z384" i="1"/>
  <c r="BN392" i="1"/>
  <c r="BP392" i="1"/>
  <c r="Z392" i="1"/>
  <c r="Y522" i="1"/>
  <c r="Y521" i="1"/>
  <c r="BN520" i="1"/>
  <c r="BP520" i="1"/>
  <c r="Z520" i="1"/>
  <c r="Z521" i="1" s="1"/>
  <c r="Z42" i="1"/>
  <c r="Z52" i="1"/>
  <c r="Z59" i="1"/>
  <c r="BP65" i="1"/>
  <c r="BP71" i="1"/>
  <c r="BP90" i="1"/>
  <c r="Z90" i="1"/>
  <c r="BP105" i="1"/>
  <c r="Z105" i="1"/>
  <c r="BP123" i="1"/>
  <c r="BP170" i="1"/>
  <c r="Y193" i="1"/>
  <c r="BP202" i="1"/>
  <c r="Z202" i="1"/>
  <c r="BN356" i="1"/>
  <c r="BP356" i="1"/>
  <c r="Z356" i="1"/>
  <c r="BN453" i="1"/>
  <c r="BP453" i="1"/>
  <c r="Z453" i="1"/>
  <c r="Y282" i="1"/>
  <c r="Y99" i="1"/>
  <c r="Y185" i="1"/>
  <c r="Y205" i="1"/>
  <c r="Z217" i="1"/>
  <c r="Z225" i="1"/>
  <c r="Z233" i="1"/>
  <c r="Z250" i="1"/>
  <c r="Y256" i="1"/>
  <c r="Z264" i="1"/>
  <c r="Z270" i="1"/>
  <c r="BP270" i="1"/>
  <c r="Z278" i="1"/>
  <c r="Z286" i="1"/>
  <c r="Y299" i="1"/>
  <c r="Z293" i="1"/>
  <c r="Z354" i="1"/>
  <c r="Z362" i="1"/>
  <c r="Z399" i="1"/>
  <c r="Z408" i="1"/>
  <c r="Z424" i="1"/>
  <c r="BN428" i="1"/>
  <c r="Y429" i="1"/>
  <c r="Z433" i="1"/>
  <c r="Z451" i="1"/>
  <c r="Z484" i="1"/>
  <c r="Z500" i="1"/>
  <c r="Y80" i="1"/>
  <c r="Y227" i="1"/>
  <c r="Z231" i="1"/>
  <c r="Z239" i="1"/>
  <c r="Z254" i="1"/>
  <c r="BP254" i="1"/>
  <c r="Z262" i="1"/>
  <c r="Z276" i="1"/>
  <c r="Z291" i="1"/>
  <c r="BP291" i="1"/>
  <c r="Z305" i="1"/>
  <c r="Z306" i="1" s="1"/>
  <c r="BP305" i="1"/>
  <c r="Z320" i="1"/>
  <c r="Z327" i="1"/>
  <c r="Z336" i="1"/>
  <c r="Z406" i="1"/>
  <c r="Z482" i="1"/>
  <c r="Z490" i="1"/>
  <c r="Z498" i="1"/>
  <c r="Z516" i="1"/>
  <c r="Z524" i="1"/>
  <c r="H9" i="1"/>
  <c r="A10" i="1"/>
  <c r="B543" i="1"/>
  <c r="X534" i="1"/>
  <c r="X535" i="1"/>
  <c r="Z23" i="1"/>
  <c r="Z24" i="1" s="1"/>
  <c r="BN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43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Z89" i="1"/>
  <c r="BN89" i="1"/>
  <c r="Z91" i="1"/>
  <c r="BN91" i="1"/>
  <c r="Y92" i="1"/>
  <c r="Z95" i="1"/>
  <c r="BN95" i="1"/>
  <c r="BP95" i="1"/>
  <c r="Z97" i="1"/>
  <c r="BN97" i="1"/>
  <c r="Y100" i="1"/>
  <c r="G543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BP116" i="1"/>
  <c r="BN116" i="1"/>
  <c r="Z116" i="1"/>
  <c r="BP124" i="1"/>
  <c r="BN124" i="1"/>
  <c r="Z124" i="1"/>
  <c r="BP145" i="1"/>
  <c r="BN145" i="1"/>
  <c r="Z145" i="1"/>
  <c r="Z146" i="1" s="1"/>
  <c r="Y147" i="1"/>
  <c r="I543" i="1"/>
  <c r="Y155" i="1"/>
  <c r="BP150" i="1"/>
  <c r="BN150" i="1"/>
  <c r="Z150" i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90" i="1"/>
  <c r="BP187" i="1"/>
  <c r="BN187" i="1"/>
  <c r="Z187" i="1"/>
  <c r="Z189" i="1" s="1"/>
  <c r="BP201" i="1"/>
  <c r="BN201" i="1"/>
  <c r="Z201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61" i="1"/>
  <c r="BN261" i="1"/>
  <c r="Z261" i="1"/>
  <c r="BP265" i="1"/>
  <c r="BN265" i="1"/>
  <c r="Z265" i="1"/>
  <c r="BP294" i="1"/>
  <c r="BN294" i="1"/>
  <c r="Z294" i="1"/>
  <c r="Y298" i="1"/>
  <c r="BP310" i="1"/>
  <c r="BN310" i="1"/>
  <c r="Z310" i="1"/>
  <c r="Y312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Y381" i="1"/>
  <c r="F9" i="1"/>
  <c r="J9" i="1"/>
  <c r="Y25" i="1"/>
  <c r="Y47" i="1"/>
  <c r="Y55" i="1"/>
  <c r="Y68" i="1"/>
  <c r="Y93" i="1"/>
  <c r="Y110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Y287" i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W543" i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H543" i="1"/>
  <c r="Y136" i="1"/>
  <c r="J543" i="1"/>
  <c r="Y160" i="1"/>
  <c r="K543" i="1"/>
  <c r="Y206" i="1"/>
  <c r="L543" i="1"/>
  <c r="Y21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BP317" i="1"/>
  <c r="BN317" i="1"/>
  <c r="Z317" i="1"/>
  <c r="Z321" i="1" s="1"/>
  <c r="Y321" i="1"/>
  <c r="Z328" i="1"/>
  <c r="BP326" i="1"/>
  <c r="BN326" i="1"/>
  <c r="Z326" i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Z401" i="1" s="1"/>
  <c r="O543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35" i="1" l="1"/>
  <c r="Z287" i="1"/>
  <c r="Z251" i="1"/>
  <c r="Z136" i="1"/>
  <c r="Z126" i="1"/>
  <c r="Z312" i="1"/>
  <c r="Z74" i="1"/>
  <c r="Z55" i="1"/>
  <c r="Z46" i="1"/>
  <c r="Z32" i="1"/>
  <c r="Z298" i="1"/>
  <c r="Y534" i="1"/>
  <c r="Y536" i="1" s="1"/>
  <c r="Z109" i="1"/>
  <c r="Z92" i="1"/>
  <c r="Y535" i="1"/>
  <c r="Z456" i="1"/>
  <c r="Z205" i="1"/>
  <c r="Z337" i="1"/>
  <c r="Z227" i="1"/>
  <c r="Z445" i="1"/>
  <c r="Z472" i="1"/>
  <c r="Z67" i="1"/>
  <c r="Z486" i="1"/>
  <c r="Z282" i="1"/>
  <c r="Y533" i="1"/>
  <c r="Z349" i="1"/>
  <c r="Z178" i="1"/>
  <c r="Z154" i="1"/>
  <c r="Z492" i="1"/>
  <c r="Z414" i="1"/>
  <c r="Z502" i="1"/>
  <c r="Z388" i="1"/>
  <c r="Z368" i="1"/>
  <c r="Z358" i="1"/>
  <c r="Z267" i="1"/>
  <c r="Z420" i="1"/>
  <c r="Z394" i="1"/>
  <c r="Z375" i="1"/>
  <c r="Z241" i="1"/>
  <c r="Z235" i="1"/>
  <c r="Z119" i="1"/>
  <c r="Z99" i="1"/>
  <c r="Z538" i="1" s="1"/>
  <c r="Y537" i="1"/>
  <c r="X536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<sst xmlns="http://schemas.openxmlformats.org/spreadsheetml/2006/main" count="2409" uniqueCount="873">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</sst>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46217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845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Вторник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5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0.45833333333333331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700</v>
      </c>
      <c r="Y51" s="606">
        <f>IFERROR(IF(X51="",0,CEILING((X51/$H51),1)*$H51),"")</f>
        <v>702</v>
      </c>
      <c r="Z51" s="36">
        <f>IFERROR(IF(Y51=0,"",ROUNDUP(Y51/H51,0)*0.01898),"")</f>
        <v>1.2337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726.57407407407413</v>
      </c>
      <c r="BN51" s="64">
        <f>IFERROR(Y51*I51/H51,"0")</f>
        <v>728.65000000000009</v>
      </c>
      <c r="BO51" s="64">
        <f>IFERROR(1/J51*(X51/H51),"0")</f>
        <v>1.0127314814814814</v>
      </c>
      <c r="BP51" s="64">
        <f>IFERROR(1/J51*(Y51/H51),"0")</f>
        <v>1.015625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64.81481481481481</v>
      </c>
      <c r="Y55" s="607">
        <f>IFERROR(Y51/H51,"0")+IFERROR(Y52/H52,"0")+IFERROR(Y53/H53,"0")+IFERROR(Y54/H54,"0")</f>
        <v>65</v>
      </c>
      <c r="Z55" s="607">
        <f>IFERROR(IF(Z51="",0,Z51),"0")+IFERROR(IF(Z52="",0,Z52),"0")+IFERROR(IF(Z53="",0,Z53),"0")+IFERROR(IF(Z54="",0,Z54),"0")</f>
        <v>1.2337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700</v>
      </c>
      <c r="Y56" s="607">
        <f>IFERROR(SUM(Y51:Y54),"0")</f>
        <v>702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250</v>
      </c>
      <c r="Y61" s="606">
        <f t="shared" si="0"/>
        <v>259.20000000000005</v>
      </c>
      <c r="Z61" s="36">
        <f>IFERROR(IF(Y61=0,"",ROUNDUP(Y61/H61,0)*0.01898),"")</f>
        <v>0.45552000000000004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259.4907407407407</v>
      </c>
      <c r="BN61" s="64">
        <f t="shared" si="2"/>
        <v>269.04000000000002</v>
      </c>
      <c r="BO61" s="64">
        <f t="shared" si="3"/>
        <v>0.36168981481481477</v>
      </c>
      <c r="BP61" s="64">
        <f t="shared" si="4"/>
        <v>0.37500000000000006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0</v>
      </c>
      <c r="Y66" s="60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23.148148148148145</v>
      </c>
      <c r="Y67" s="607">
        <f>IFERROR(Y59/H59,"0")+IFERROR(Y60/H60,"0")+IFERROR(Y61/H61,"0")+IFERROR(Y62/H62,"0")+IFERROR(Y63/H63,"0")+IFERROR(Y64/H64,"0")+IFERROR(Y65/H65,"0")+IFERROR(Y66/H66,"0")</f>
        <v>24.000000000000004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0.45552000000000004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250</v>
      </c>
      <c r="Y68" s="607">
        <f>IFERROR(SUM(Y59:Y66),"0")</f>
        <v>259.20000000000005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hidden="1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hidden="1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90</v>
      </c>
      <c r="Y91" s="606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93.800000000000011</v>
      </c>
      <c r="BN91" s="64">
        <f>IFERROR(Y91*I91/H91,"0")</f>
        <v>93.800000000000011</v>
      </c>
      <c r="BO91" s="64">
        <f>IFERROR(1/J91*(X91/H91),"0")</f>
        <v>0.15151515151515152</v>
      </c>
      <c r="BP91" s="64">
        <f>IFERROR(1/J91*(Y91/H91),"0")</f>
        <v>0.15151515151515152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20</v>
      </c>
      <c r="Y92" s="607">
        <f>IFERROR(Y88/H88,"0")+IFERROR(Y89/H89,"0")+IFERROR(Y90/H90,"0")+IFERROR(Y91/H91,"0")</f>
        <v>20</v>
      </c>
      <c r="Z92" s="607">
        <f>IFERROR(IF(Z88="",0,Z88),"0")+IFERROR(IF(Z89="",0,Z89),"0")+IFERROR(IF(Z90="",0,Z90),"0")+IFERROR(IF(Z91="",0,Z91),"0")</f>
        <v>0.1804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90</v>
      </c>
      <c r="Y93" s="607">
        <f>IFERROR(SUM(Y88:Y91),"0")</f>
        <v>90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300</v>
      </c>
      <c r="Y95" s="606">
        <f>IFERROR(IF(X95="",0,CEILING((X95/$H95),1)*$H95),"")</f>
        <v>307.8</v>
      </c>
      <c r="Z95" s="36">
        <f>IFERROR(IF(Y95=0,"",ROUNDUP(Y95/H95,0)*0.01898),"")</f>
        <v>0.72123999999999999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318.2962962962963</v>
      </c>
      <c r="BN95" s="64">
        <f>IFERROR(Y95*I95/H95,"0")</f>
        <v>326.572</v>
      </c>
      <c r="BO95" s="64">
        <f>IFERROR(1/J95*(X95/H95),"0")</f>
        <v>0.57870370370370372</v>
      </c>
      <c r="BP95" s="64">
        <f>IFERROR(1/J95*(Y95/H95),"0")</f>
        <v>0.59375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68</v>
      </c>
      <c r="Y97" s="606">
        <f>IFERROR(IF(X97="",0,CEILING((X97/$H97),1)*$H97),"")</f>
        <v>70.2</v>
      </c>
      <c r="Z97" s="36">
        <f>IFERROR(IF(Y97=0,"",ROUNDUP(Y97/H97,0)*0.00651),"")</f>
        <v>0.16925999999999999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74.346666666666664</v>
      </c>
      <c r="BN97" s="64">
        <f>IFERROR(Y97*I97/H97,"0")</f>
        <v>76.751999999999995</v>
      </c>
      <c r="BO97" s="64">
        <f>IFERROR(1/J97*(X97/H97),"0")</f>
        <v>0.13838013838013838</v>
      </c>
      <c r="BP97" s="64">
        <f>IFERROR(1/J97*(Y97/H97),"0")</f>
        <v>0.14285714285714288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62.222222222222221</v>
      </c>
      <c r="Y99" s="607">
        <f>IFERROR(Y95/H95,"0")+IFERROR(Y96/H96,"0")+IFERROR(Y97/H97,"0")+IFERROR(Y98/H98,"0")</f>
        <v>64</v>
      </c>
      <c r="Z99" s="607">
        <f>IFERROR(IF(Z95="",0,Z95),"0")+IFERROR(IF(Z96="",0,Z96),"0")+IFERROR(IF(Z97="",0,Z97),"0")+IFERROR(IF(Z98="",0,Z98),"0")</f>
        <v>0.89049999999999996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368</v>
      </c>
      <c r="Y100" s="607">
        <f>IFERROR(SUM(Y95:Y98),"0")</f>
        <v>378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hidden="1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495</v>
      </c>
      <c r="Y107" s="606">
        <f t="shared" si="5"/>
        <v>495</v>
      </c>
      <c r="Z107" s="36">
        <f>IFERROR(IF(Y107=0,"",ROUNDUP(Y107/H107,0)*0.00902),"")</f>
        <v>0.99219999999999997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515.90000000000009</v>
      </c>
      <c r="BN107" s="64">
        <f t="shared" si="7"/>
        <v>515.90000000000009</v>
      </c>
      <c r="BO107" s="64">
        <f t="shared" si="8"/>
        <v>0.83333333333333337</v>
      </c>
      <c r="BP107" s="64">
        <f t="shared" si="9"/>
        <v>0.83333333333333337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110</v>
      </c>
      <c r="Y109" s="607">
        <f>IFERROR(Y103/H103,"0")+IFERROR(Y104/H104,"0")+IFERROR(Y105/H105,"0")+IFERROR(Y106/H106,"0")+IFERROR(Y107/H107,"0")+IFERROR(Y108/H108,"0")</f>
        <v>110</v>
      </c>
      <c r="Z109" s="607">
        <f>IFERROR(IF(Z103="",0,Z103),"0")+IFERROR(IF(Z104="",0,Z104),"0")+IFERROR(IF(Z105="",0,Z105),"0")+IFERROR(IF(Z106="",0,Z106),"0")+IFERROR(IF(Z107="",0,Z107),"0")+IFERROR(IF(Z108="",0,Z108),"0")</f>
        <v>0.99219999999999997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495</v>
      </c>
      <c r="Y110" s="607">
        <f>IFERROR(SUM(Y103:Y108),"0")</f>
        <v>495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hidden="1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hidden="1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800</v>
      </c>
      <c r="Y122" s="606">
        <f>IFERROR(IF(X122="",0,CEILING((X122/$H122),1)*$H122),"")</f>
        <v>801.9</v>
      </c>
      <c r="Z122" s="36">
        <f>IFERROR(IF(Y122=0,"",ROUNDUP(Y122/H122,0)*0.01898),"")</f>
        <v>1.8790200000000001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848.19753086419757</v>
      </c>
      <c r="BN122" s="64">
        <f>IFERROR(Y122*I122/H122,"0")</f>
        <v>850.21199999999988</v>
      </c>
      <c r="BO122" s="64">
        <f>IFERROR(1/J122*(X122/H122),"0")</f>
        <v>1.5432098765432098</v>
      </c>
      <c r="BP122" s="64">
        <f>IFERROR(1/J122*(Y122/H122),"0")</f>
        <v>1.546875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765</v>
      </c>
      <c r="Y124" s="606">
        <f>IFERROR(IF(X124="",0,CEILING((X124/$H124),1)*$H124),"")</f>
        <v>766.80000000000007</v>
      </c>
      <c r="Z124" s="36">
        <f>IFERROR(IF(Y124=0,"",ROUNDUP(Y124/H124,0)*0.00651),"")</f>
        <v>1.84884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836.39999999999986</v>
      </c>
      <c r="BN124" s="64">
        <f>IFERROR(Y124*I124/H124,"0")</f>
        <v>838.36800000000005</v>
      </c>
      <c r="BO124" s="64">
        <f>IFERROR(1/J124*(X124/H124),"0")</f>
        <v>1.5567765567765568</v>
      </c>
      <c r="BP124" s="64">
        <f>IFERROR(1/J124*(Y124/H124),"0")</f>
        <v>1.5604395604395607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382.09876543209873</v>
      </c>
      <c r="Y126" s="607">
        <f>IFERROR(Y122/H122,"0")+IFERROR(Y123/H123,"0")+IFERROR(Y124/H124,"0")+IFERROR(Y125/H125,"0")</f>
        <v>383</v>
      </c>
      <c r="Z126" s="607">
        <f>IFERROR(IF(Z122="",0,Z122),"0")+IFERROR(IF(Z123="",0,Z123),"0")+IFERROR(IF(Z124="",0,Z124),"0")+IFERROR(IF(Z125="",0,Z125),"0")</f>
        <v>3.7278600000000002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1565</v>
      </c>
      <c r="Y127" s="607">
        <f>IFERROR(SUM(Y122:Y125),"0")</f>
        <v>1568.7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hidden="1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hidden="1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hidden="1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0</v>
      </c>
      <c r="Y167" s="606">
        <f t="shared" ref="Y167:Y177" si="15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0</v>
      </c>
      <c r="BN167" s="64">
        <f t="shared" ref="BN167:BN177" si="17">IFERROR(Y167*I167/H167,"0")</f>
        <v>0</v>
      </c>
      <c r="BO167" s="64">
        <f t="shared" ref="BO167:BO177" si="18">IFERROR(1/J167*(X167/H167),"0")</f>
        <v>0</v>
      </c>
      <c r="BP167" s="64">
        <f t="shared" ref="BP167:BP177" si="19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0</v>
      </c>
      <c r="Y170" s="606">
        <f t="shared" si="15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0</v>
      </c>
      <c r="BN170" s="64">
        <f t="shared" si="17"/>
        <v>0</v>
      </c>
      <c r="BO170" s="64">
        <f t="shared" si="18"/>
        <v>0</v>
      </c>
      <c r="BP170" s="64">
        <f t="shared" si="19"/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28</v>
      </c>
      <c r="Y172" s="606">
        <f t="shared" si="15"/>
        <v>28.56</v>
      </c>
      <c r="Z172" s="36">
        <f>IFERROR(IF(Y172=0,"",ROUNDUP(Y172/H172,0)*0.00502),"")</f>
        <v>8.5339999999999999E-2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29.666666666666671</v>
      </c>
      <c r="BN172" s="64">
        <f t="shared" si="17"/>
        <v>30.259999999999998</v>
      </c>
      <c r="BO172" s="64">
        <f t="shared" si="18"/>
        <v>7.122507122507124E-2</v>
      </c>
      <c r="BP172" s="64">
        <f t="shared" si="19"/>
        <v>7.2649572649572655E-2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56</v>
      </c>
      <c r="Y177" s="606">
        <f t="shared" si="15"/>
        <v>57.12</v>
      </c>
      <c r="Z177" s="36">
        <f>IFERROR(IF(Y177=0,"",ROUNDUP(Y177/H177,0)*0.00502),"")</f>
        <v>0.17068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59.333333333333343</v>
      </c>
      <c r="BN177" s="64">
        <f t="shared" si="17"/>
        <v>60.519999999999996</v>
      </c>
      <c r="BO177" s="64">
        <f t="shared" si="18"/>
        <v>0.14245014245014248</v>
      </c>
      <c r="BP177" s="64">
        <f t="shared" si="19"/>
        <v>0.14529914529914531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50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51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0.25602000000000003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84</v>
      </c>
      <c r="Y179" s="607">
        <f>IFERROR(SUM(Y167:Y177),"0")</f>
        <v>85.679999999999993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hidden="1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hidden="1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08"/>
      <c r="AB227" s="608"/>
      <c r="AC227" s="608"/>
    </row>
    <row r="228" spans="1:68" hidden="1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0</v>
      </c>
      <c r="Y228" s="607">
        <f>IFERROR(SUM(Y213:Y226),"0")</f>
        <v>0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7</v>
      </c>
      <c r="Y240" s="606">
        <f>IFERROR(IF(X240="",0,CEILING((X240/$H240),1)*$H240),"")</f>
        <v>7.5600000000000005</v>
      </c>
      <c r="Z240" s="36">
        <f>IFERROR(IF(Y240=0,"",ROUNDUP(Y240/H240,0)*0.0059),"")</f>
        <v>3.5400000000000001E-2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8.0555555555555554</v>
      </c>
      <c r="BN240" s="64">
        <f>IFERROR(Y240*I240/H240,"0")</f>
        <v>8.6999999999999993</v>
      </c>
      <c r="BO240" s="64">
        <f>IFERROR(1/J240*(X240/H240),"0")</f>
        <v>2.5720164609053495E-2</v>
      </c>
      <c r="BP240" s="64">
        <f>IFERROR(1/J240*(Y240/H240),"0")</f>
        <v>2.7777777777777776E-2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5.5555555555555554</v>
      </c>
      <c r="Y241" s="607">
        <f>IFERROR(Y238/H238,"0")+IFERROR(Y239/H239,"0")+IFERROR(Y240/H240,"0")</f>
        <v>6</v>
      </c>
      <c r="Z241" s="607">
        <f>IFERROR(IF(Z238="",0,Z238),"0")+IFERROR(IF(Z239="",0,Z239),"0")+IFERROR(IF(Z240="",0,Z240),"0")</f>
        <v>3.5400000000000001E-2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7</v>
      </c>
      <c r="Y242" s="607">
        <f>IFERROR(SUM(Y238:Y240),"0")</f>
        <v>7.5600000000000005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hidden="1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0</v>
      </c>
      <c r="Y267" s="607">
        <f>IFERROR(Y259/H259,"0")+IFERROR(Y260/H260,"0")+IFERROR(Y261/H261,"0")+IFERROR(Y262/H262,"0")+IFERROR(Y263/H263,"0")+IFERROR(Y264/H264,"0")+IFERROR(Y265/H265,"0")+IFERROR(Y266/H266,"0")</f>
        <v>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08"/>
      <c r="AB267" s="608"/>
      <c r="AC267" s="608"/>
    </row>
    <row r="268" spans="1:68" hidden="1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0</v>
      </c>
      <c r="Y268" s="607">
        <f>IFERROR(SUM(Y259:Y266),"0")</f>
        <v>0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60</v>
      </c>
      <c r="Y273" s="606">
        <f t="shared" si="37"/>
        <v>60</v>
      </c>
      <c r="Z273" s="36">
        <f>IFERROR(IF(Y273=0,"",ROUNDUP(Y273/H273,0)*0.00651),"")</f>
        <v>0.16275000000000001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66.75</v>
      </c>
      <c r="BN273" s="64">
        <f t="shared" si="39"/>
        <v>66.75</v>
      </c>
      <c r="BO273" s="64">
        <f t="shared" si="40"/>
        <v>0.13736263736263737</v>
      </c>
      <c r="BP273" s="64">
        <f t="shared" si="41"/>
        <v>0.13736263736263737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680</v>
      </c>
      <c r="Y276" s="606">
        <f t="shared" si="37"/>
        <v>681.6</v>
      </c>
      <c r="Z276" s="36">
        <f>IFERROR(IF(Y276=0,"",ROUNDUP(Y276/H276,0)*0.00651),"")</f>
        <v>1.84884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751.40000000000009</v>
      </c>
      <c r="BN276" s="64">
        <f t="shared" si="39"/>
        <v>753.16800000000012</v>
      </c>
      <c r="BO276" s="64">
        <f t="shared" si="40"/>
        <v>1.556776556776557</v>
      </c>
      <c r="BP276" s="64">
        <f t="shared" si="41"/>
        <v>1.5604395604395607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240</v>
      </c>
      <c r="Y278" s="606">
        <f t="shared" si="37"/>
        <v>240</v>
      </c>
      <c r="Z278" s="36">
        <f>IFERROR(IF(Y278=0,"",ROUNDUP(Y278/H278,0)*0.00651),"")</f>
        <v>0.65100000000000002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265.20000000000005</v>
      </c>
      <c r="BN278" s="64">
        <f t="shared" si="39"/>
        <v>265.20000000000005</v>
      </c>
      <c r="BO278" s="64">
        <f t="shared" si="40"/>
        <v>0.5494505494505495</v>
      </c>
      <c r="BP278" s="64">
        <f t="shared" si="41"/>
        <v>0.5494505494505495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408.33333333333337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409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2.6625899999999998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980</v>
      </c>
      <c r="Y283" s="607">
        <f>IFERROR(SUM(Y270:Y281),"0")</f>
        <v>981.6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60</v>
      </c>
      <c r="Y327" s="606">
        <f>IFERROR(IF(X327="",0,CEILING((X327/$H327),1)*$H327),"")</f>
        <v>60</v>
      </c>
      <c r="Z327" s="36">
        <f>IFERROR(IF(Y327=0,"",ROUNDUP(Y327/H327,0)*0.00651),"")</f>
        <v>0.16275000000000001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64.500000000000014</v>
      </c>
      <c r="BN327" s="64">
        <f>IFERROR(Y327*I327/H327,"0")</f>
        <v>64.500000000000014</v>
      </c>
      <c r="BO327" s="64">
        <f>IFERROR(1/J327*(X327/H327),"0")</f>
        <v>0.13736263736263737</v>
      </c>
      <c r="BP327" s="64">
        <f>IFERROR(1/J327*(Y327/H327),"0")</f>
        <v>0.13736263736263737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25</v>
      </c>
      <c r="Y328" s="607">
        <f>IFERROR(Y325/H325,"0")+IFERROR(Y326/H326,"0")+IFERROR(Y327/H327,"0")</f>
        <v>25</v>
      </c>
      <c r="Z328" s="607">
        <f>IFERROR(IF(Z325="",0,Z325),"0")+IFERROR(IF(Z326="",0,Z326),"0")+IFERROR(IF(Z327="",0,Z327),"0")</f>
        <v>0.16275000000000001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60</v>
      </c>
      <c r="Y329" s="607">
        <f>IFERROR(SUM(Y325:Y327),"0")</f>
        <v>60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100</v>
      </c>
      <c r="Y347" s="606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105.25641025641028</v>
      </c>
      <c r="BN347" s="64">
        <f>IFERROR(Y347*I347/H347,"0")</f>
        <v>106.73</v>
      </c>
      <c r="BO347" s="64">
        <f>IFERROR(1/J347*(X347/H347),"0")</f>
        <v>0.20032051282051283</v>
      </c>
      <c r="BP347" s="64">
        <f>IFERROR(1/J347*(Y347/H347),"0")</f>
        <v>0.203125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12.820512820512821</v>
      </c>
      <c r="Y349" s="607">
        <f>IFERROR(Y346/H346,"0")+IFERROR(Y347/H347,"0")+IFERROR(Y348/H348,"0")</f>
        <v>13</v>
      </c>
      <c r="Z349" s="607">
        <f>IFERROR(IF(Z346="",0,Z346),"0")+IFERROR(IF(Z347="",0,Z347),"0")+IFERROR(IF(Z348="",0,Z348),"0")</f>
        <v>0.24674000000000001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100</v>
      </c>
      <c r="Y350" s="607">
        <f>IFERROR(SUM(Y346:Y348),"0")</f>
        <v>101.39999999999999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hidden="1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900</v>
      </c>
      <c r="Y379" s="606">
        <f>IFERROR(IF(X379="",0,CEILING((X379/$H379),1)*$H379),"")</f>
        <v>904.8</v>
      </c>
      <c r="Z379" s="36">
        <f>IFERROR(IF(Y379=0,"",ROUNDUP(Y379/H379,0)*0.01898),"")</f>
        <v>2.2016800000000001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957.00000000000011</v>
      </c>
      <c r="BN379" s="64">
        <f>IFERROR(Y379*I379/H379,"0")</f>
        <v>962.10400000000004</v>
      </c>
      <c r="BO379" s="64">
        <f>IFERROR(1/J379*(X379/H379),"0")</f>
        <v>1.8028846153846154</v>
      </c>
      <c r="BP379" s="64">
        <f>IFERROR(1/J379*(Y379/H379),"0")</f>
        <v>1.8125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115.38461538461539</v>
      </c>
      <c r="Y381" s="607">
        <f>IFERROR(Y378/H378,"0")+IFERROR(Y379/H379,"0")+IFERROR(Y380/H380,"0")</f>
        <v>116</v>
      </c>
      <c r="Z381" s="607">
        <f>IFERROR(IF(Z378="",0,Z378),"0")+IFERROR(IF(Z379="",0,Z379),"0")+IFERROR(IF(Z380="",0,Z380),"0")</f>
        <v>2.2016800000000001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900</v>
      </c>
      <c r="Y382" s="607">
        <f>IFERROR(SUM(Y378:Y380),"0")</f>
        <v>904.8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51</v>
      </c>
      <c r="Y387" s="606">
        <f>IFERROR(IF(X387="",0,CEILING((X387/$H387),1)*$H387),"")</f>
        <v>51</v>
      </c>
      <c r="Z387" s="36">
        <f>IFERROR(IF(Y387=0,"",ROUNDUP(Y387/H387,0)*0.00651),"")</f>
        <v>0.13020000000000001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57.6</v>
      </c>
      <c r="BN387" s="64">
        <f>IFERROR(Y387*I387/H387,"0")</f>
        <v>57.6</v>
      </c>
      <c r="BO387" s="64">
        <f>IFERROR(1/J387*(X387/H387),"0")</f>
        <v>0.1098901098901099</v>
      </c>
      <c r="BP387" s="64">
        <f>IFERROR(1/J387*(Y387/H387),"0")</f>
        <v>0.1098901098901099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20</v>
      </c>
      <c r="Y388" s="607">
        <f>IFERROR(Y384/H384,"0")+IFERROR(Y385/H385,"0")+IFERROR(Y386/H386,"0")+IFERROR(Y387/H387,"0")</f>
        <v>20</v>
      </c>
      <c r="Z388" s="607">
        <f>IFERROR(IF(Z384="",0,Z384),"0")+IFERROR(IF(Z385="",0,Z385),"0")+IFERROR(IF(Z386="",0,Z386),"0")+IFERROR(IF(Z387="",0,Z387),"0")</f>
        <v>0.13020000000000001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51</v>
      </c>
      <c r="Y389" s="607">
        <f>IFERROR(SUM(Y384:Y387),"0")</f>
        <v>51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1500</v>
      </c>
      <c r="Y407" s="606">
        <f t="shared" si="52"/>
        <v>1500</v>
      </c>
      <c r="Z407" s="36">
        <f>IFERROR(IF(Y407=0,"",ROUNDUP(Y407/H407,0)*0.02175),"")</f>
        <v>2.1749999999999998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1547</v>
      </c>
      <c r="BN407" s="64">
        <f t="shared" si="54"/>
        <v>1547</v>
      </c>
      <c r="BO407" s="64">
        <f t="shared" si="55"/>
        <v>2.083333333333333</v>
      </c>
      <c r="BP407" s="64">
        <f t="shared" si="56"/>
        <v>2.083333333333333</v>
      </c>
    </row>
    <row r="408" spans="1:68" ht="27" hidden="1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0</v>
      </c>
      <c r="Y408" s="606">
        <f t="shared" si="52"/>
        <v>0</v>
      </c>
      <c r="Z408" s="36" t="str">
        <f>IFERROR(IF(Y408=0,"",ROUNDUP(Y408/H408,0)*0.02175),"")</f>
        <v/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500</v>
      </c>
      <c r="Y409" s="606">
        <f t="shared" si="52"/>
        <v>510</v>
      </c>
      <c r="Z409" s="36">
        <f>IFERROR(IF(Y409=0,"",ROUNDUP(Y409/H409,0)*0.02175),"")</f>
        <v>0.73949999999999994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515.66666666666663</v>
      </c>
      <c r="BN409" s="64">
        <f t="shared" si="54"/>
        <v>525.98</v>
      </c>
      <c r="BO409" s="64">
        <f t="shared" si="55"/>
        <v>0.69444444444444442</v>
      </c>
      <c r="BP409" s="64">
        <f t="shared" si="56"/>
        <v>0.70833333333333326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133.33333333333334</v>
      </c>
      <c r="Y414" s="607">
        <f>IFERROR(Y406/H406,"0")+IFERROR(Y407/H407,"0")+IFERROR(Y408/H408,"0")+IFERROR(Y409/H409,"0")+IFERROR(Y410/H410,"0")+IFERROR(Y411/H411,"0")+IFERROR(Y412/H412,"0")+IFERROR(Y413/H413,"0")</f>
        <v>134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2.9144999999999999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2000</v>
      </c>
      <c r="Y415" s="607">
        <f>IFERROR(SUM(Y406:Y413),"0")</f>
        <v>2010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800</v>
      </c>
      <c r="Y417" s="606">
        <f>IFERROR(IF(X417="",0,CEILING((X417/$H417),1)*$H417),"")</f>
        <v>810</v>
      </c>
      <c r="Z417" s="36">
        <f>IFERROR(IF(Y417=0,"",ROUNDUP(Y417/H417,0)*0.02175),"")</f>
        <v>1.1744999999999999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825.06666666666672</v>
      </c>
      <c r="BN417" s="64">
        <f>IFERROR(Y417*I417/H417,"0")</f>
        <v>835.38</v>
      </c>
      <c r="BO417" s="64">
        <f>IFERROR(1/J417*(X417/H417),"0")</f>
        <v>1.1111111111111112</v>
      </c>
      <c r="BP417" s="64">
        <f>IFERROR(1/J417*(Y417/H417),"0")</f>
        <v>1.125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53.333333333333336</v>
      </c>
      <c r="Y420" s="607">
        <f>IFERROR(Y417/H417,"0")+IFERROR(Y418/H418,"0")+IFERROR(Y419/H419,"0")</f>
        <v>54</v>
      </c>
      <c r="Z420" s="607">
        <f>IFERROR(IF(Z417="",0,Z417),"0")+IFERROR(IF(Z418="",0,Z418),"0")+IFERROR(IF(Z419="",0,Z419),"0")</f>
        <v>1.1744999999999999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800</v>
      </c>
      <c r="Y421" s="607">
        <f>IFERROR(SUM(Y417:Y419),"0")</f>
        <v>810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4000</v>
      </c>
      <c r="Y442" s="606">
        <f>IFERROR(IF(X442="",0,CEILING((X442/$H442),1)*$H442),"")</f>
        <v>4005</v>
      </c>
      <c r="Z442" s="36">
        <f>IFERROR(IF(Y442=0,"",ROUNDUP(Y442/H442,0)*0.01898),"")</f>
        <v>8.4460999999999995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4219.5555555555557</v>
      </c>
      <c r="BN442" s="64">
        <f>IFERROR(Y442*I442/H442,"0")</f>
        <v>4224.83</v>
      </c>
      <c r="BO442" s="64">
        <f>IFERROR(1/J442*(X442/H442),"0")</f>
        <v>6.9444444444444446</v>
      </c>
      <c r="BP442" s="64">
        <f>IFERROR(1/J442*(Y442/H442),"0")</f>
        <v>6.953125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444.44444444444446</v>
      </c>
      <c r="Y445" s="607">
        <f>IFERROR(Y442/H442,"0")+IFERROR(Y443/H443,"0")+IFERROR(Y444/H444,"0")</f>
        <v>445</v>
      </c>
      <c r="Z445" s="607">
        <f>IFERROR(IF(Z442="",0,Z442),"0")+IFERROR(IF(Z443="",0,Z443),"0")+IFERROR(IF(Z444="",0,Z444),"0")</f>
        <v>8.4460999999999995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4000</v>
      </c>
      <c r="Y446" s="607">
        <f>IFERROR(SUM(Y442:Y444),"0")</f>
        <v>4005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800</v>
      </c>
      <c r="Y480" s="606">
        <f t="shared" si="62"/>
        <v>802.56000000000006</v>
      </c>
      <c r="Z480" s="36">
        <f t="shared" si="63"/>
        <v>1.81792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853.030303030303</v>
      </c>
      <c r="BN480" s="64">
        <f t="shared" si="65"/>
        <v>855.76</v>
      </c>
      <c r="BO480" s="64">
        <f t="shared" si="66"/>
        <v>1.4568764568764567</v>
      </c>
      <c r="BP480" s="64">
        <f t="shared" si="67"/>
        <v>1.4615384615384617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1500</v>
      </c>
      <c r="Y482" s="606">
        <f t="shared" si="62"/>
        <v>1504.8000000000002</v>
      </c>
      <c r="Z482" s="36">
        <f t="shared" si="63"/>
        <v>3.4085999999999999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1599.431818181818</v>
      </c>
      <c r="BN482" s="64">
        <f t="shared" si="65"/>
        <v>1604.5500000000002</v>
      </c>
      <c r="BO482" s="64">
        <f t="shared" si="66"/>
        <v>2.7316433566433567</v>
      </c>
      <c r="BP482" s="64">
        <f t="shared" si="67"/>
        <v>2.7403846153846154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120</v>
      </c>
      <c r="Y485" s="606">
        <f t="shared" si="62"/>
        <v>120</v>
      </c>
      <c r="Z485" s="36">
        <f>IFERROR(IF(Y485=0,"",ROUNDUP(Y485/H485,0)*0.00902),"")</f>
        <v>0.22550000000000001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172.75000000000003</v>
      </c>
      <c r="BN485" s="64">
        <f t="shared" si="65"/>
        <v>172.75000000000003</v>
      </c>
      <c r="BO485" s="64">
        <f t="shared" si="66"/>
        <v>0.18939393939393939</v>
      </c>
      <c r="BP485" s="64">
        <f t="shared" si="67"/>
        <v>0.18939393939393939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460.60606060606057</v>
      </c>
      <c r="Y486" s="607">
        <f>IFERROR(Y477/H477,"0")+IFERROR(Y478/H478,"0")+IFERROR(Y479/H479,"0")+IFERROR(Y480/H480,"0")+IFERROR(Y481/H481,"0")+IFERROR(Y482/H482,"0")+IFERROR(Y483/H483,"0")+IFERROR(Y484/H484,"0")+IFERROR(Y485/H485,"0")</f>
        <v>462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5.4520200000000001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2420</v>
      </c>
      <c r="Y487" s="607">
        <f>IFERROR(SUM(Y477:Y485),"0")</f>
        <v>2427.36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1300</v>
      </c>
      <c r="Y489" s="606">
        <f>IFERROR(IF(X489="",0,CEILING((X489/$H489),1)*$H489),"")</f>
        <v>1304.1600000000001</v>
      </c>
      <c r="Z489" s="36">
        <f>IFERROR(IF(Y489=0,"",ROUNDUP(Y489/H489,0)*0.01196),"")</f>
        <v>2.9541200000000001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1386.1742424242423</v>
      </c>
      <c r="BN489" s="64">
        <f>IFERROR(Y489*I489/H489,"0")</f>
        <v>1390.61</v>
      </c>
      <c r="BO489" s="64">
        <f>IFERROR(1/J489*(X489/H489),"0")</f>
        <v>2.3674242424242422</v>
      </c>
      <c r="BP489" s="64">
        <f>IFERROR(1/J489*(Y489/H489),"0")</f>
        <v>2.375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246.21212121212119</v>
      </c>
      <c r="Y492" s="607">
        <f>IFERROR(Y489/H489,"0")+IFERROR(Y490/H490,"0")+IFERROR(Y491/H491,"0")</f>
        <v>247</v>
      </c>
      <c r="Z492" s="607">
        <f>IFERROR(IF(Z489="",0,Z489),"0")+IFERROR(IF(Z490="",0,Z490),"0")+IFERROR(IF(Z491="",0,Z491),"0")</f>
        <v>2.9541200000000001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1300</v>
      </c>
      <c r="Y493" s="607">
        <f>IFERROR(SUM(Y489:Y491),"0")</f>
        <v>1304.1600000000001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200</v>
      </c>
      <c r="Y495" s="606">
        <f t="shared" ref="Y495:Y501" si="68">IFERROR(IF(X495="",0,CEILING((X495/$H495),1)*$H495),"")</f>
        <v>200.64000000000001</v>
      </c>
      <c r="Z495" s="36">
        <f>IFERROR(IF(Y495=0,"",ROUNDUP(Y495/H495,0)*0.01196),"")</f>
        <v>0.45448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213.25757575757575</v>
      </c>
      <c r="BN495" s="64">
        <f t="shared" ref="BN495:BN501" si="70">IFERROR(Y495*I495/H495,"0")</f>
        <v>213.94</v>
      </c>
      <c r="BO495" s="64">
        <f t="shared" ref="BO495:BO501" si="71">IFERROR(1/J495*(X495/H495),"0")</f>
        <v>0.36421911421911418</v>
      </c>
      <c r="BP495" s="64">
        <f t="shared" ref="BP495:BP501" si="72">IFERROR(1/J495*(Y495/H495),"0")</f>
        <v>0.36538461538461542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100</v>
      </c>
      <c r="Y496" s="606">
        <f t="shared" si="68"/>
        <v>100.32000000000001</v>
      </c>
      <c r="Z496" s="36">
        <f>IFERROR(IF(Y496=0,"",ROUNDUP(Y496/H496,0)*0.01196),"")</f>
        <v>0.22724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106.62878787878788</v>
      </c>
      <c r="BN496" s="64">
        <f t="shared" si="70"/>
        <v>106.97</v>
      </c>
      <c r="BO496" s="64">
        <f t="shared" si="71"/>
        <v>0.18210955710955709</v>
      </c>
      <c r="BP496" s="64">
        <f t="shared" si="72"/>
        <v>0.18269230769230771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700</v>
      </c>
      <c r="Y497" s="606">
        <f t="shared" si="68"/>
        <v>702.24</v>
      </c>
      <c r="Z497" s="36">
        <f>IFERROR(IF(Y497=0,"",ROUNDUP(Y497/H497,0)*0.01196),"")</f>
        <v>1.5906800000000001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746.40151515151513</v>
      </c>
      <c r="BN497" s="64">
        <f t="shared" si="70"/>
        <v>748.79</v>
      </c>
      <c r="BO497" s="64">
        <f t="shared" si="71"/>
        <v>1.2747668997668997</v>
      </c>
      <c r="BP497" s="64">
        <f t="shared" si="72"/>
        <v>1.278846153846154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189.39393939393938</v>
      </c>
      <c r="Y502" s="607">
        <f>IFERROR(Y495/H495,"0")+IFERROR(Y496/H496,"0")+IFERROR(Y497/H497,"0")+IFERROR(Y498/H498,"0")+IFERROR(Y499/H499,"0")+IFERROR(Y500/H500,"0")+IFERROR(Y501/H501,"0")</f>
        <v>190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2.2724000000000002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1000</v>
      </c>
      <c r="Y503" s="607">
        <f>IFERROR(SUM(Y495:Y501),"0")</f>
        <v>1003.2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17170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17244.66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18222.730405767074</v>
      </c>
      <c r="Y534" s="607">
        <f>IFERROR(SUM(BN22:BN530),"0")</f>
        <v>18301.386000000002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31</v>
      </c>
      <c r="Y535" s="38">
        <f>ROUNDUP(SUM(BP22:BP530),0)</f>
        <v>31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18997.730405767074</v>
      </c>
      <c r="Y536" s="607">
        <f>GrossWeightTotalR+PalletQtyTotalR*25</f>
        <v>19076.386000000002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2826.701200034533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2838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36.389199999999995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702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259.20000000000005</v>
      </c>
      <c r="F543" s="46">
        <f>IFERROR(Y88*1,"0")+IFERROR(Y89*1,"0")+IFERROR(Y90*1,"0")+IFERROR(Y91*1,"0")+IFERROR(Y95*1,"0")+IFERROR(Y96*1,"0")+IFERROR(Y97*1,"0")+IFERROR(Y98*1,"0")</f>
        <v>468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2063.7000000000003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85.679999999999993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7.5600000000000005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981.6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60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101.39999999999999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955.8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2820</v>
      </c>
      <c r="W543" s="46">
        <f>IFERROR(Y433*1,"0")+IFERROR(Y434*1,"0")+IFERROR(Y438*1,"0")+IFERROR(Y442*1,"0")+IFERROR(Y443*1,"0")+IFERROR(Y444*1,"0")</f>
        <v>4005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4734.72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1 500,00"/>
        <filter val="1 565,00"/>
        <filter val="100,00"/>
        <filter val="110,00"/>
        <filter val="115,38"/>
        <filter val="12,82"/>
        <filter val="120,00"/>
        <filter val="133,33"/>
        <filter val="17 170,00"/>
        <filter val="18 222,73"/>
        <filter val="18 997,73"/>
        <filter val="189,39"/>
        <filter val="2 000,00"/>
        <filter val="2 420,00"/>
        <filter val="2 826,70"/>
        <filter val="20,00"/>
        <filter val="200,00"/>
        <filter val="23,15"/>
        <filter val="240,00"/>
        <filter val="246,21"/>
        <filter val="25,00"/>
        <filter val="250,00"/>
        <filter val="28,00"/>
        <filter val="300,00"/>
        <filter val="31"/>
        <filter val="368,00"/>
        <filter val="382,10"/>
        <filter val="4 000,00"/>
        <filter val="408,33"/>
        <filter val="444,44"/>
        <filter val="460,61"/>
        <filter val="495,00"/>
        <filter val="5,56"/>
        <filter val="50,00"/>
        <filter val="500,00"/>
        <filter val="51,00"/>
        <filter val="53,33"/>
        <filter val="56,00"/>
        <filter val="60,00"/>
        <filter val="62,22"/>
        <filter val="64,81"/>
        <filter val="68,00"/>
        <filter val="680,00"/>
        <filter val="7,00"/>
        <filter val="700,00"/>
        <filter val="765,00"/>
        <filter val="800,00"/>
        <filter val="84,00"/>
        <filter val="90,00"/>
        <filter val="900,00"/>
        <filter val="980,00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2026-07-10T11:14:35Z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