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DE1C49-F8AF-4C35-8E4E-15BE1654F01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N500" i="1"/>
  <c r="BM500" i="1"/>
  <c r="Z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P433" i="1"/>
  <c r="X430" i="1"/>
  <c r="X429" i="1"/>
  <c r="BO428" i="1"/>
  <c r="BM428" i="1"/>
  <c r="Y428" i="1"/>
  <c r="P428" i="1"/>
  <c r="X426" i="1"/>
  <c r="X425" i="1"/>
  <c r="BO424" i="1"/>
  <c r="BM424" i="1"/>
  <c r="Y424" i="1"/>
  <c r="P424" i="1"/>
  <c r="BO423" i="1"/>
  <c r="BM423" i="1"/>
  <c r="Y423" i="1"/>
  <c r="Y425" i="1" s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N209" i="1"/>
  <c r="BM209" i="1"/>
  <c r="Z209" i="1"/>
  <c r="Z210" i="1" s="1"/>
  <c r="Y209" i="1"/>
  <c r="BP209" i="1" s="1"/>
  <c r="P209" i="1"/>
  <c r="X206" i="1"/>
  <c r="X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O188" i="1"/>
  <c r="BM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Z172" i="1"/>
  <c r="Y172" i="1"/>
  <c r="BN172" i="1" s="1"/>
  <c r="P172" i="1"/>
  <c r="BO171" i="1"/>
  <c r="BM171" i="1"/>
  <c r="Y171" i="1"/>
  <c r="P171" i="1"/>
  <c r="BO170" i="1"/>
  <c r="BM170" i="1"/>
  <c r="Y170" i="1"/>
  <c r="BN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BP144" i="1" s="1"/>
  <c r="P144" i="1"/>
  <c r="X142" i="1"/>
  <c r="X141" i="1"/>
  <c r="BO140" i="1"/>
  <c r="BM140" i="1"/>
  <c r="Y140" i="1"/>
  <c r="BN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Z134" i="1"/>
  <c r="Y134" i="1"/>
  <c r="BN134" i="1" s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BN125" i="1" s="1"/>
  <c r="P125" i="1"/>
  <c r="BO124" i="1"/>
  <c r="BM124" i="1"/>
  <c r="Y124" i="1"/>
  <c r="P124" i="1"/>
  <c r="BO123" i="1"/>
  <c r="BM123" i="1"/>
  <c r="Y123" i="1"/>
  <c r="BN123" i="1" s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N117" i="1" s="1"/>
  <c r="P117" i="1"/>
  <c r="BO116" i="1"/>
  <c r="BM116" i="1"/>
  <c r="Y116" i="1"/>
  <c r="P116" i="1"/>
  <c r="BO115" i="1"/>
  <c r="BM115" i="1"/>
  <c r="Y115" i="1"/>
  <c r="BN115" i="1" s="1"/>
  <c r="P115" i="1"/>
  <c r="BO114" i="1"/>
  <c r="BM114" i="1"/>
  <c r="Z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N112" i="1" s="1"/>
  <c r="P112" i="1"/>
  <c r="X110" i="1"/>
  <c r="X109" i="1"/>
  <c r="BO108" i="1"/>
  <c r="BM108" i="1"/>
  <c r="Z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Z82" i="1" s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N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E543" i="1" s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33" i="1" s="1"/>
  <c r="X24" i="1"/>
  <c r="BP23" i="1"/>
  <c r="BO23" i="1"/>
  <c r="BN23" i="1"/>
  <c r="BM23" i="1"/>
  <c r="Z23" i="1"/>
  <c r="Y23" i="1"/>
  <c r="P23" i="1"/>
  <c r="BO22" i="1"/>
  <c r="BM22" i="1"/>
  <c r="X534" i="1" s="1"/>
  <c r="Y22" i="1"/>
  <c r="P22" i="1"/>
  <c r="H10" i="1"/>
  <c r="A9" i="1"/>
  <c r="F10" i="1" s="1"/>
  <c r="D7" i="1"/>
  <c r="Q6" i="1"/>
  <c r="P2" i="1"/>
  <c r="BP29" i="1" l="1"/>
  <c r="BP31" i="1"/>
  <c r="BP35" i="1"/>
  <c r="BP45" i="1"/>
  <c r="BP53" i="1"/>
  <c r="BP62" i="1"/>
  <c r="BP70" i="1"/>
  <c r="BP202" i="1"/>
  <c r="BN202" i="1"/>
  <c r="Z202" i="1"/>
  <c r="BP213" i="1"/>
  <c r="BN213" i="1"/>
  <c r="Z213" i="1"/>
  <c r="BP233" i="1"/>
  <c r="BN233" i="1"/>
  <c r="Z233" i="1"/>
  <c r="BP270" i="1"/>
  <c r="BN270" i="1"/>
  <c r="Z270" i="1"/>
  <c r="BP293" i="1"/>
  <c r="BN293" i="1"/>
  <c r="Z293" i="1"/>
  <c r="Y328" i="1"/>
  <c r="BP325" i="1"/>
  <c r="BN325" i="1"/>
  <c r="Z325" i="1"/>
  <c r="Z328" i="1" s="1"/>
  <c r="BP362" i="1"/>
  <c r="BN362" i="1"/>
  <c r="Z362" i="1"/>
  <c r="BP386" i="1"/>
  <c r="BN386" i="1"/>
  <c r="Z386" i="1"/>
  <c r="BP424" i="1"/>
  <c r="BN424" i="1"/>
  <c r="Z424" i="1"/>
  <c r="Y430" i="1"/>
  <c r="Y429" i="1"/>
  <c r="BP428" i="1"/>
  <c r="BN428" i="1"/>
  <c r="Z428" i="1"/>
  <c r="Z429" i="1" s="1"/>
  <c r="BP433" i="1"/>
  <c r="BN433" i="1"/>
  <c r="Z433" i="1"/>
  <c r="BP480" i="1"/>
  <c r="BN480" i="1"/>
  <c r="Z480" i="1"/>
  <c r="Z29" i="1"/>
  <c r="Z31" i="1"/>
  <c r="Z35" i="1"/>
  <c r="Z36" i="1" s="1"/>
  <c r="Z41" i="1"/>
  <c r="BN41" i="1"/>
  <c r="Z45" i="1"/>
  <c r="Z53" i="1"/>
  <c r="Z62" i="1"/>
  <c r="Z64" i="1"/>
  <c r="BN64" i="1"/>
  <c r="BN66" i="1"/>
  <c r="Z70" i="1"/>
  <c r="Z72" i="1"/>
  <c r="BN72" i="1"/>
  <c r="BP151" i="1"/>
  <c r="BN151" i="1"/>
  <c r="Z151" i="1"/>
  <c r="BP158" i="1"/>
  <c r="BN158" i="1"/>
  <c r="Z158" i="1"/>
  <c r="BP174" i="1"/>
  <c r="BN174" i="1"/>
  <c r="Z174" i="1"/>
  <c r="BP182" i="1"/>
  <c r="BN182" i="1"/>
  <c r="Z182" i="1"/>
  <c r="BP221" i="1"/>
  <c r="BN221" i="1"/>
  <c r="Z221" i="1"/>
  <c r="BP260" i="1"/>
  <c r="BN260" i="1"/>
  <c r="Z260" i="1"/>
  <c r="BP278" i="1"/>
  <c r="BN278" i="1"/>
  <c r="Z278" i="1"/>
  <c r="BP311" i="1"/>
  <c r="BN311" i="1"/>
  <c r="Z311" i="1"/>
  <c r="BP340" i="1"/>
  <c r="BN340" i="1"/>
  <c r="Z340" i="1"/>
  <c r="BP374" i="1"/>
  <c r="BN374" i="1"/>
  <c r="Z374" i="1"/>
  <c r="BP408" i="1"/>
  <c r="BN408" i="1"/>
  <c r="Z408" i="1"/>
  <c r="BP455" i="1"/>
  <c r="BN455" i="1"/>
  <c r="Z455" i="1"/>
  <c r="BP496" i="1"/>
  <c r="BN496" i="1"/>
  <c r="Z496" i="1"/>
  <c r="F543" i="1"/>
  <c r="BP108" i="1"/>
  <c r="BP134" i="1"/>
  <c r="BN144" i="1"/>
  <c r="BN153" i="1"/>
  <c r="BN168" i="1"/>
  <c r="BN176" i="1"/>
  <c r="Y210" i="1"/>
  <c r="X535" i="1"/>
  <c r="X536" i="1" s="1"/>
  <c r="Z27" i="1"/>
  <c r="BP27" i="1"/>
  <c r="Z43" i="1"/>
  <c r="BP43" i="1"/>
  <c r="Z51" i="1"/>
  <c r="BP51" i="1"/>
  <c r="Z60" i="1"/>
  <c r="BP60" i="1"/>
  <c r="BN78" i="1"/>
  <c r="BP97" i="1"/>
  <c r="G543" i="1"/>
  <c r="BP104" i="1"/>
  <c r="Z104" i="1"/>
  <c r="Z112" i="1"/>
  <c r="Z117" i="1"/>
  <c r="BP125" i="1"/>
  <c r="Y131" i="1"/>
  <c r="BP129" i="1"/>
  <c r="Z129" i="1"/>
  <c r="Z130" i="1" s="1"/>
  <c r="BP140" i="1"/>
  <c r="BN266" i="1"/>
  <c r="BP266" i="1"/>
  <c r="Z266" i="1"/>
  <c r="BN356" i="1"/>
  <c r="BP356" i="1"/>
  <c r="Z356" i="1"/>
  <c r="Y388" i="1"/>
  <c r="BN384" i="1"/>
  <c r="BP384" i="1"/>
  <c r="Z384" i="1"/>
  <c r="BN418" i="1"/>
  <c r="BP418" i="1"/>
  <c r="Z418" i="1"/>
  <c r="BN478" i="1"/>
  <c r="BP478" i="1"/>
  <c r="Z478" i="1"/>
  <c r="BN35" i="1"/>
  <c r="Y36" i="1"/>
  <c r="Z66" i="1"/>
  <c r="Y74" i="1"/>
  <c r="BP91" i="1"/>
  <c r="Y99" i="1"/>
  <c r="Z97" i="1"/>
  <c r="BP106" i="1"/>
  <c r="Z125" i="1"/>
  <c r="Y130" i="1"/>
  <c r="Z140" i="1"/>
  <c r="BP170" i="1"/>
  <c r="Z170" i="1"/>
  <c r="BN204" i="1"/>
  <c r="BP204" i="1"/>
  <c r="Z204" i="1"/>
  <c r="BN272" i="1"/>
  <c r="BP272" i="1"/>
  <c r="Z272" i="1"/>
  <c r="BN295" i="1"/>
  <c r="BP295" i="1"/>
  <c r="Z295" i="1"/>
  <c r="BN332" i="1"/>
  <c r="BP332" i="1"/>
  <c r="Z332" i="1"/>
  <c r="BN364" i="1"/>
  <c r="BP364" i="1"/>
  <c r="Z364" i="1"/>
  <c r="BN392" i="1"/>
  <c r="BP392" i="1"/>
  <c r="Z392" i="1"/>
  <c r="BN443" i="1"/>
  <c r="BP443" i="1"/>
  <c r="Z443" i="1"/>
  <c r="B543" i="1"/>
  <c r="BN27" i="1"/>
  <c r="Z78" i="1"/>
  <c r="Y84" i="1"/>
  <c r="BN82" i="1"/>
  <c r="BP82" i="1"/>
  <c r="Z91" i="1"/>
  <c r="Z95" i="1"/>
  <c r="BP95" i="1"/>
  <c r="BN104" i="1"/>
  <c r="Z106" i="1"/>
  <c r="BP115" i="1"/>
  <c r="Z115" i="1"/>
  <c r="BN129" i="1"/>
  <c r="BP172" i="1"/>
  <c r="BN219" i="1"/>
  <c r="BP219" i="1"/>
  <c r="Z219" i="1"/>
  <c r="Y303" i="1"/>
  <c r="Y302" i="1"/>
  <c r="BN301" i="1"/>
  <c r="BP301" i="1"/>
  <c r="Z301" i="1"/>
  <c r="Z302" i="1" s="1"/>
  <c r="BN309" i="1"/>
  <c r="BP309" i="1"/>
  <c r="Z309" i="1"/>
  <c r="Z312" i="1" s="1"/>
  <c r="BN372" i="1"/>
  <c r="BP372" i="1"/>
  <c r="Z372" i="1"/>
  <c r="BN453" i="1"/>
  <c r="BP453" i="1"/>
  <c r="Z453" i="1"/>
  <c r="BP112" i="1"/>
  <c r="BP117" i="1"/>
  <c r="BP123" i="1"/>
  <c r="Z123" i="1"/>
  <c r="BN188" i="1"/>
  <c r="BP188" i="1"/>
  <c r="Z188" i="1"/>
  <c r="BN280" i="1"/>
  <c r="BP280" i="1"/>
  <c r="Z280" i="1"/>
  <c r="BN316" i="1"/>
  <c r="BP316" i="1"/>
  <c r="Z316" i="1"/>
  <c r="BN347" i="1"/>
  <c r="BP347" i="1"/>
  <c r="Z347" i="1"/>
  <c r="BN378" i="1"/>
  <c r="BP378" i="1"/>
  <c r="Z378" i="1"/>
  <c r="BN410" i="1"/>
  <c r="BP410" i="1"/>
  <c r="Z410" i="1"/>
  <c r="BN459" i="1"/>
  <c r="BP459" i="1"/>
  <c r="Z459" i="1"/>
  <c r="Y522" i="1"/>
  <c r="Y521" i="1"/>
  <c r="BN520" i="1"/>
  <c r="BP520" i="1"/>
  <c r="Z520" i="1"/>
  <c r="Z521" i="1" s="1"/>
  <c r="BN200" i="1"/>
  <c r="BN215" i="1"/>
  <c r="BN223" i="1"/>
  <c r="BN231" i="1"/>
  <c r="BN239" i="1"/>
  <c r="BN254" i="1"/>
  <c r="BN262" i="1"/>
  <c r="Y282" i="1"/>
  <c r="BN276" i="1"/>
  <c r="BN305" i="1"/>
  <c r="Y306" i="1"/>
  <c r="BN320" i="1"/>
  <c r="BN327" i="1"/>
  <c r="BN336" i="1"/>
  <c r="BN406" i="1"/>
  <c r="BN482" i="1"/>
  <c r="BN490" i="1"/>
  <c r="BN498" i="1"/>
  <c r="BN516" i="1"/>
  <c r="BN524" i="1"/>
  <c r="BN114" i="1"/>
  <c r="Y236" i="1"/>
  <c r="Y299" i="1"/>
  <c r="Z144" i="1"/>
  <c r="Z153" i="1"/>
  <c r="Z168" i="1"/>
  <c r="Z176" i="1"/>
  <c r="Z200" i="1"/>
  <c r="Z215" i="1"/>
  <c r="Z223" i="1"/>
  <c r="Z231" i="1"/>
  <c r="Z239" i="1"/>
  <c r="Z254" i="1"/>
  <c r="BP254" i="1"/>
  <c r="Z262" i="1"/>
  <c r="Z276" i="1"/>
  <c r="Z291" i="1"/>
  <c r="BP291" i="1"/>
  <c r="Z305" i="1"/>
  <c r="Z306" i="1" s="1"/>
  <c r="BP305" i="1"/>
  <c r="Y312" i="1"/>
  <c r="Z320" i="1"/>
  <c r="Z327" i="1"/>
  <c r="Z336" i="1"/>
  <c r="Y381" i="1"/>
  <c r="Z406" i="1"/>
  <c r="Z482" i="1"/>
  <c r="Z490" i="1"/>
  <c r="Z498" i="1"/>
  <c r="Z516" i="1"/>
  <c r="Z524" i="1"/>
  <c r="Y100" i="1"/>
  <c r="Y109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Y154" i="1"/>
  <c r="BP159" i="1"/>
  <c r="BN159" i="1"/>
  <c r="Z159" i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BP201" i="1"/>
  <c r="BN201" i="1"/>
  <c r="Z201" i="1"/>
  <c r="Y205" i="1"/>
  <c r="Y228" i="1"/>
  <c r="BP214" i="1"/>
  <c r="BN214" i="1"/>
  <c r="Z214" i="1"/>
  <c r="BP218" i="1"/>
  <c r="BN218" i="1"/>
  <c r="Z218" i="1"/>
  <c r="BP222" i="1"/>
  <c r="BN222" i="1"/>
  <c r="Z222" i="1"/>
  <c r="H9" i="1"/>
  <c r="A10" i="1"/>
  <c r="Y24" i="1"/>
  <c r="Y32" i="1"/>
  <c r="Y46" i="1"/>
  <c r="Y56" i="1"/>
  <c r="Y67" i="1"/>
  <c r="Y75" i="1"/>
  <c r="Y79" i="1"/>
  <c r="Y85" i="1"/>
  <c r="Y92" i="1"/>
  <c r="F9" i="1"/>
  <c r="J9" i="1"/>
  <c r="Z22" i="1"/>
  <c r="Z24" i="1" s="1"/>
  <c r="BN22" i="1"/>
  <c r="BP22" i="1"/>
  <c r="X537" i="1"/>
  <c r="Y25" i="1"/>
  <c r="Z28" i="1"/>
  <c r="BN28" i="1"/>
  <c r="Z30" i="1"/>
  <c r="BN30" i="1"/>
  <c r="C543" i="1"/>
  <c r="Z42" i="1"/>
  <c r="BN42" i="1"/>
  <c r="Z44" i="1"/>
  <c r="BN44" i="1"/>
  <c r="Y47" i="1"/>
  <c r="D543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Y119" i="1"/>
  <c r="Z113" i="1"/>
  <c r="BN113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Y189" i="1"/>
  <c r="BP199" i="1"/>
  <c r="BN199" i="1"/>
  <c r="Z199" i="1"/>
  <c r="BP203" i="1"/>
  <c r="BN203" i="1"/>
  <c r="Z203" i="1"/>
  <c r="Y227" i="1"/>
  <c r="BP216" i="1"/>
  <c r="BN216" i="1"/>
  <c r="Z216" i="1"/>
  <c r="BP220" i="1"/>
  <c r="BN220" i="1"/>
  <c r="Z220" i="1"/>
  <c r="H543" i="1"/>
  <c r="Y136" i="1"/>
  <c r="J543" i="1"/>
  <c r="Y160" i="1"/>
  <c r="K543" i="1"/>
  <c r="Y206" i="1"/>
  <c r="L543" i="1"/>
  <c r="Y211" i="1"/>
  <c r="Z224" i="1"/>
  <c r="BN224" i="1"/>
  <c r="Z226" i="1"/>
  <c r="BN226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Y321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O543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BP319" i="1"/>
  <c r="BN319" i="1"/>
  <c r="Z319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32" i="1" l="1"/>
  <c r="Z461" i="1"/>
  <c r="Z256" i="1"/>
  <c r="Z241" i="1"/>
  <c r="Z235" i="1"/>
  <c r="Z126" i="1"/>
  <c r="Z92" i="1"/>
  <c r="Z55" i="1"/>
  <c r="Z189" i="1"/>
  <c r="Z160" i="1"/>
  <c r="Z321" i="1"/>
  <c r="Z227" i="1"/>
  <c r="Z445" i="1"/>
  <c r="Z349" i="1"/>
  <c r="Z205" i="1"/>
  <c r="Z119" i="1"/>
  <c r="Z74" i="1"/>
  <c r="Z109" i="1"/>
  <c r="Z99" i="1"/>
  <c r="Z46" i="1"/>
  <c r="Z456" i="1"/>
  <c r="Z420" i="1"/>
  <c r="Z337" i="1"/>
  <c r="Z298" i="1"/>
  <c r="Z486" i="1"/>
  <c r="Z502" i="1"/>
  <c r="Z282" i="1"/>
  <c r="Y533" i="1"/>
  <c r="Y535" i="1"/>
  <c r="Z414" i="1"/>
  <c r="Z472" i="1"/>
  <c r="Z394" i="1"/>
  <c r="Z401" i="1"/>
  <c r="Z388" i="1"/>
  <c r="Z368" i="1"/>
  <c r="Z358" i="1"/>
  <c r="Z267" i="1"/>
  <c r="Z184" i="1"/>
  <c r="Z67" i="1"/>
  <c r="Y534" i="1"/>
  <c r="Y536" i="1" s="1"/>
  <c r="Y537" i="1"/>
  <c r="Z178" i="1"/>
  <c r="Z154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<sst xmlns="http://schemas.openxmlformats.org/spreadsheetml/2006/main" count="2409" uniqueCount="873">
  <si>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</si>
  <si>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</si>
  <si>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</si>
  <si>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</si>
  <si>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</si>
  <si>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</si>
  <si>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</si>
  <si>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</si>
  <si>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</si>
  <si>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</si>
  <si>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</si>
  <si>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</si>
  <si>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</si>
  <si>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</si>
  <si>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</si>
  <si>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</si>
  <si>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</si>
  <si>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</si>
  <si>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</si>
  <si>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</si>
  <si>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</si>
  <si>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</si>
  <si>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</si>
  <si>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</si>
  <si>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</si>
  <si>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</si>
  <si>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</si>
  <si>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</si>
  <si>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</si>
  <si>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</si>
  <si>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</si>
  <si>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</si>
  <si>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</si>
  <si>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</si>
  <si>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</si>
  <si>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</si>
  <si>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</si>
  <si>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</si>
  <si>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</si>
  <si>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</si>
  <si>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</si>
  <si>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</si>
  <si>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</si>
  <si>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</si>
  <si>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</si>
  <si>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</si>
  <si>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</si>
  <si>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</si>
  <si>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</si>
  <si>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</si>
  <si>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</si>
  <si>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</si>
  <si>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</si>
  <si>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</si>
  <si>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</si>
  <si>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</si>
  <si>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</si>
  <si>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</si>
  <si>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</si>
  <si>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</si>
  <si>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</si>
  <si>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</si>
  <si>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</si>
  <si>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</si>
  <si>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</si>
  <si>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</si>
  <si>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</si>
  <si>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</si>
  <si>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</si>
  <si>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</si>
  <si>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</si>
  <si>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</si>
  <si>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</si>
  <si>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</si>
  <si>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</si>
  <si>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</si>
  <si>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</si>
  <si>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</si>
  <si>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</si>
  <si>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</si>
  <si>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</si>
  <si>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</si>
  <si>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</si>
  <si>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</si>
  <si>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</si>
  <si>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</si>
  <si>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</si>
  <si>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</si>
  <si>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</si>
  <si>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</si>
  <si>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</si>
  <si>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</si>
  <si>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</si>
  <si>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</si>
  <si>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</si>
  <si>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</si>
  <si>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</si>
  <si>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</si>
  <si>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</si>
  <si>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</si>
  <si>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</si>
  <si>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</si>
  <si>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</si>
  <si>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</si>
  <si>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</si>
  <si>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</si>
  <si>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</si>
  <si>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</si>
  <si>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</si>
  <si>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</si>
  <si>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</si>
  <si>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</si>
  <si>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</si>
  <si>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</si>
  <si>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</si>
  <si>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</si>
  <si>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</si>
  <si>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</si>
  <si>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</si>
  <si>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</si>
  <si>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</si>
  <si>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</si>
  <si>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</si>
  <si>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</si>
  <si>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</si>
  <si>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</si>
  <si>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</si>
  <si>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</si>
  <si>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</si>
  <si>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</si>
  <si>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</si>
  <si>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</si>
  <si>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</si>
  <si>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</si>
  <si>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</si>
  <si>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</si>
  <si>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</si>
  <si>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</si>
  <si>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</si>
  <si>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</si>
  <si>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</si>
  <si>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</si>
  <si>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</si>
  <si>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</si>
  <si>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</si>
  <si>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</si>
  <si>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</si>
  <si>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</si>
  <si>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</si>
  <si>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</si>
  <si>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</si>
  <si>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</si>
  <si>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</si>
  <si>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</si>
  <si>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</si>
  <si>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</si>
  <si>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</si>
  <si>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</si>
  <si>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</si>
  <si>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</si>
  <si>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</si>
  <si>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</si>
  <si>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</si>
  <si>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</si>
  <si>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</si>
  <si>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</si>
  <si>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</si>
  <si>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</si>
  <si>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</si>
  <si>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</si>
  <si>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</si>
  <si>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</si>
  <si>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</si>
  <si>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</si>
  <si>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</si>
  <si>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</si>
  <si>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</si>
  <si>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</si>
  <si>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</si>
  <si>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</si>
  <si>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</si>
  <si>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</si>
  <si>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</si>
  <si>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</si>
  <si>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</si>
  <si>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</si>
  <si>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</si>
  <si>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</si>
  <si>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</si>
  <si>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</si>
  <si>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</si>
  <si>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</si>
  <si>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</si>
  <si>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</si>
  <si>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</si>
  <si>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</si>
  <si>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</si>
  <si>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</si>
  <si>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</si>
  <si>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</si>
  <si>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</si>
  <si>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</si>
  <si>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</si>
  <si>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</si>
  <si>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</si>
  <si>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</si>
  <si>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</si>
  <si>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</si>
  <si>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</si>
  <si>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</si>
  <si>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</si>
  <si>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</si>
  <si>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</si>
  <si>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</si>
  <si>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</si>
  <si>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</si>
  <si>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</si>
  <si>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</si>
  <si>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</si>
  <si>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</si>
  <si>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</si>
  <si>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</si>
  <si>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</si>
  <si>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</si>
  <si>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</si>
  <si>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</si>
  <si>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</si>
  <si>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</si>
  <si>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</si>
  <si>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</si>
  <si>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</si>
  <si>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</si>
  <si>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</si>
  <si>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</si>
  <si>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</si>
  <si>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</si>
  <si>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</si>
  <si>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</si>
  <si>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</si>
  <si>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</si>
  <si>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</si>
  <si>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</si>
  <si>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</si>
  <si>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</si>
  <si>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</si>
  <si>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</si>
  <si>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</si>
  <si>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</si>
  <si>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</si>
  <si>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</si>
  <si>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</si>
  <si>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</si>
  <si>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</si>
  <si>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</si>
  <si>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</si>
  <si>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</si>
  <si>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</si>
  <si>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</si>
  <si>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</si>
  <si>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</si>
  <si>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</si>
  <si>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</si>
  <si>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</si>
  <si>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</si>
  <si>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</si>
  <si>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</si>
  <si>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</si>
  <si>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</si>
  <si>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</si>
  <si>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</si>
  <si>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</si>
  <si>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</si>
  <si>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</si>
  <si>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</si>
  <si>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</si>
  <si>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</si>
  <si>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</si>
  <si>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</si>
  <si>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</si>
  <si>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</si>
  <si>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</si>
  <si>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</si>
  <si>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</si>
  <si>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</si>
  <si>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</si>
  <si>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</si>
  <si>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</si>
  <si>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</si>
  <si>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</si>
  <si>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</si>
  <si>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</si>
  <si>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</si>
  <si>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</si>
  <si>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</si>
  <si>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</si>
  <si>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</si>
  <si>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</si>
  <si>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</si>
  <si>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</si>
  <si>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</si>
  <si>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</si>
  <si>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</si>
  <si>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</si>
  <si>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</si>
  <si>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</si>
  <si>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</si>
  <si>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</si>
  <si>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</si>
  <si>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</si>
  <si>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</si>
  <si>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</si>
  <si>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</si>
  <si>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</si>
  <si>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</si>
  <si>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</si>
  <si>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</si>
  <si>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</si>
  <si>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</si>
  <si>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</si>
  <si>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</si>
  <si>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</si>
  <si>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</si>
  <si>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</si>
  <si>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</si>
  <si>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</si>
  <si>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</si>
  <si>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</si>
  <si>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</si>
  <si>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</si>
  <si>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</si>
  <si>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</si>
  <si>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</si>
  <si>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</si>
  <si>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</si>
  <si>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</si>
  <si>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</si>
  <si>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</si>
  <si>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</si>
  <si>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</si>
  <si>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</si>
  <si>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</si>
  <si>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</si>
  <si>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</si>
  <si>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</si>
  <si>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</si>
  <si>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</si>
  <si>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</si>
  <si>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</si>
  <si>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</si>
  <si>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</si>
  <si>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</si>
  <si>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</si>
  <si>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</si>
  <si>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</si>
  <si>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</si>
  <si>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</si>
  <si>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</si>
  <si>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</si>
  <si>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</si>
  <si>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</si>
  <si>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</si>
  <si>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</si>
  <si>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</si>
  <si>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</si>
  <si>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</si>
  <si>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</si>
  <si>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</si>
  <si>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</si>
  <si>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</si>
  <si>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</si>
  <si>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</si>
  <si>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</si>
  <si>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</si>
  <si>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</si>
  <si>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</si>
  <si>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</si>
  <si>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</si>
  <si>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</si>
  <si>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</si>
  <si>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</si>
  <si>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</si>
  <si>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</si>
  <si>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</si>
  <si>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</si>
  <si>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</si>
  <si>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</si>
  <si>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</si>
  <si>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</si>
  <si>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</si>
  <si>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</si>
  <si>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</si>
  <si>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</si>
  <si>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</si>
  <si>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</si>
  <si>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</si>
  <si>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</si>
  <si>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</si>
  <si>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</si>
  <si>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</si>
  <si>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</si>
  <si>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</si>
  <si>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</si>
  <si>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</si>
  <si>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</si>
  <si>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</si>
  <si>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</si>
  <si>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</si>
  <si>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</si>
  <si>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</si>
  <si>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</si>
  <si>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</si>
  <si>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</si>
  <si>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</si>
  <si>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</si>
  <si>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</si>
  <si>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</si>
  <si>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</si>
  <si>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</si>
  <si>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</si>
  <si>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</si>
  <si>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</si>
  <si>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</si>
  <si>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</si>
  <si>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</si>
  <si>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</si>
  <si>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</si>
  <si>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</si>
  <si>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</si>
  <si>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</si>
  <si>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</si>
  <si>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</si>
  <si>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</si>
  <si>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</si>
  <si>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</si>
  <si>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</si>
  <si>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</si>
  <si>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</si>
  <si>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</si>
  <si>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</si>
  <si>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</si>
  <si>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</si>
  <si>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</si>
  <si>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</si>
  <si>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</si>
  <si>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</si>
  <si>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</si>
  <si>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</si>
  <si>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</si>
  <si>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</si>
  <si>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</si>
  <si>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</si>
  <si>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</si>
  <si>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</si>
  <si>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</si>
  <si>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</si>
  <si>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</si>
  <si>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</si>
  <si>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</si>
  <si>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</si>
  <si>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</si>
  <si>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</si>
  <si>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</si>
  <si>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</si>
  <si>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</si>
  <si>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</si>
  <si>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</si>
  <si>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</si>
  <si>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</si>
  <si>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</si>
  <si>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</si>
  <si>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</si>
  <si>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</si>
  <si>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</si>
  <si>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</si>
  <si>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</si>
  <si>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</si>
  <si>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</si>
  <si>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</si>
  <si>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</si>
  <si>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</si>
  <si>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</si>
  <si>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</si>
  <si>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</si>
  <si>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</si>
  <si>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</si>
  <si>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</si>
  <si>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</si>
  <si>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</si>
  <si>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</si>
  <si>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</si>
  <si>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</si>
  <si>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</si>
  <si>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</si>
  <si>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</si>
  <si>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</si>
  <si>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</si>
  <si>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</si>
  <si>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</si>
  <si>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</si>
  <si>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</si>
  <si>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</si>
  <si>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</si>
  <si>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</si>
  <si>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</si>
  <si>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</si>
  <si>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</si>
  <si>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</si>
  <si>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</si>
  <si>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</si>
  <si>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</si>
  <si>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</si>
  <si>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</si>
  <si>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</si>
  <si>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</si>
  <si>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</si>
  <si>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</si>
  <si>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</si>
  <si>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</si>
  <si>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</si>
  <si>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</si>
  <si>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</si>
  <si>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</si>
  <si>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</si>
  <si>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</si>
  <si>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</si>
  <si>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</si>
  <si>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</si>
  <si>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</si>
  <si>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</si>
  <si>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</si>
  <si>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</si>
  <si>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</si>
  <si>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</si>
  <si>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</si>
  <si>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</si>
  <si>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</si>
  <si>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</si>
  <si>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</si>
  <si>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</si>
  <si>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</si>
  <si>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</si>
  <si>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</si>
  <si>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</si>
  <si>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</si>
  <si>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</si>
  <si>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</si>
  <si>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</si>
  <si>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</si>
  <si>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</si>
  <si>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</si>
  <si>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</si>
  <si>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</si>
  <si>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</si>
  <si>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</si>
  <si>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</si>
  <si>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</si>
  <si>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</si>
  <si>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</si>
  <si>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</si>
  <si>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</si>
  <si>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</si>
  <si>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</si>
  <si>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</si>
  <si>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</si>
  <si>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</si>
  <si>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</si>
  <si>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</si>
  <si>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</si>
  <si>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</si>
  <si>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</si>
  <si>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</si>
  <si>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</si>
  <si>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</si>
  <si>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</si>
  <si>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</si>
  <si>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</si>
  <si>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</si>
  <si>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</si>
  <si>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</si>
  <si>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</si>
  <si>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</si>
  <si>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</si>
  <si>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</si>
  <si>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</si>
  <si>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</si>
  <si>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</si>
  <si>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</si>
  <si>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</si>
  <si>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</si>
  <si>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</si>
  <si>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</si>
  <si>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</si>
  <si>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</si>
  <si>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</si>
  <si>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</si>
  <si>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</si>
  <si>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</si>
  <si>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</si>
  <si>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</si>
  <si>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</si>
  <si>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</si>
  <si>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</si>
  <si>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</si>
  <si>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</si>
  <si>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</si>
  <si>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</si>
  <si>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</si>
  <si>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</si>
  <si>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</si>
  <si>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</si>
  <si>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</si>
  <si>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</si>
  <si>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</si>
  <si>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</si>
  <si>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</si>
  <si>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</si>
  <si>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</si>
  <si>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</si>
  <si>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</si>
  <si>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</si>
  <si>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</si>
  <si>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</si>
  <si>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</si>
  <si>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</si>
  <si>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</si>
  <si>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</si>
  <si>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</si>
  <si>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</si>
  <si>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</si>
  <si>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</si>
  <si>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</si>
  <si>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</si>
  <si>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</si>
  <si>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</si>
  <si>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</si>
  <si>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</si>
  <si>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</si>
  <si>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</si>
  <si>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</si>
  <si>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</si>
  <si>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</si>
  <si>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</si>
  <si>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</si>
  <si>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</si>
  <si>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</si>
  <si>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</si>
  <si>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</si>
  <si>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</si>
  <si>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</si>
  <si>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</si>
  <si>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</si>
  <si>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</si>
  <si>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</si>
  <si>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</si>
  <si>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</si>
  <si>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</si>
  <si>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</si>
  <si>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</si>
  <si>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</si>
  <si>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</si>
  <si>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</si>
  <si>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</si>
  <si>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</si>
  <si>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</si>
  <si>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</si>
  <si>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</si>
  <si>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</si>
  <si>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</si>
  <si>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</si>
  <si>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</si>
  <si>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</si>
  <si>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</si>
  <si>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</si>
  <si>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</si>
  <si>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</si>
  <si>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</si>
  <si>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</si>
  <si>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</si>
  <si>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</si>
  <si>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</si>
  <si>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</si>
  <si>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</si>
  <si>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</si>
  <si>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</si>
  <si>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</si>
  <si>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</si>
  <si>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</si>
  <si>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</si>
  <si>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</si>
  <si>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</si>
  <si>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</si>
  <si>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</si>
  <si>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</si>
  <si>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</si>
  <si>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</si>
  <si>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</si>
  <si>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</si>
  <si>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</si>
  <si>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</si>
  <si>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</si>
  <si>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</si>
  <si>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</si>
  <si>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</si>
  <si>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</si>
  <si>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</si>
  <si>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</si>
  <si>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</si>
  <si>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</si>
  <si>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</si>
  <si>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</si>
  <si>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</si>
  <si>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</si>
  <si>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</si>
  <si>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</si>
  <si>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</si>
  <si>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</si>
  <si>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</si>
  <si>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</si>
  <si>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</si>
  <si>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</si>
  <si>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</si>
  <si>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</si>
  <si>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</si>
  <si>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</si>
  <si>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</si>
  <si>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</si>
  <si>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</si>
  <si>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</si>
  <si>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</si>
  <si>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</si>
  <si>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</si>
  <si>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</si>
  <si>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</si>
  <si>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</si>
  <si>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</si>
  <si>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</si>
  <si>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</si>
  <si>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</si>
  <si>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</si>
  <si>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</si>
  <si>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</si>
  <si>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</si>
  <si>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</si>
  <si>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</si>
  <si>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</si>
  <si>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</si>
  <si>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</si>
  <si>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</si>
  <si>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</si>
  <si>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</si>
  <si>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</si>
  <si>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</si>
  <si>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</si>
  <si>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</si>
  <si>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</si>
  <si>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</si>
  <si>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</si>
  <si>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</si>
  <si>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</si>
  <si>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</si>
  <si>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</si>
  <si>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</si>
  <si>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</si>
  <si>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</si>
  <si>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</si>
  <si>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</si>
  <si>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</si>
  <si>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</si>
  <si>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</si>
  <si>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</si>
  <si>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</si>
  <si>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</si>
  <si>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</si>
  <si>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</si>
  <si>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</si>
  <si>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</si>
  <si>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</si>
  <si>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</si>
  <si>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</si>
  <si>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</si>
  <si>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</si>
  <si>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</si>
  <si>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</si>
  <si>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</si>
  <si>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</si>
  <si>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</si>
  <si>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</si>
  <si>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</si>
  <si>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</si>
  <si>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</si>
  <si>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</si>
  <si>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</si>
  <si>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</si>
  <si>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</si>
  <si>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</si>
  <si>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</si>
  <si>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</si>
  <si>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</si>
  <si>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</si>
  <si>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</si>
  <si>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</si>
  <si>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</si>
  <si>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</si>
  <si>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</si>
  <si>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</si>
  <si>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</si>
  <si>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</si>
  <si>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</si>
  <si>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</si>
  <si>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</si>
  <si>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</si>
  <si>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</si>
  <si>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</si>
  <si>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</si>
  <si>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</si>
  <si>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</si>
  <si>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</si>
  <si>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</si>
  <si>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</si>
  <si>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</si>
  <si>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</si>
  <si>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</si>
  <si>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</si>
  <si>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</si>
  <si>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</si>
  <si>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</si>
  <si>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</si>
  <si>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</si>
  <si>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</si>
  <si>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</si>
  <si>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</si>
  <si>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</si>
  <si>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</si>
  <si>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</si>
  <si>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</si>
  <si>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</si>
  <si>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</si>
  <si>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</si>
  <si>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</si>
  <si>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</si>
  <si>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</si>
  <si>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</si>
  <si>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</si>
  <si>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</si>
  <si>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</si>
  <si>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</si>
  <si>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</si>
  <si>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</si>
  <si>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</si>
  <si>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</si>
  <si>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</si>
  <si>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</si>
  <si>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</si>
  <si>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</si>
  <si>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</si>
  <si>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</si>
  <si>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</si>
  <si>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</si>
  <si>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</si>
  <si>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</si>
  <si>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</si>
  <si>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</si>
  <si>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</si>
  <si>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</si>
  <si>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</si>
  <si>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</si>
  <si>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</si>
  <si>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</si>
  <si>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</si>
  <si>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</si>
  <si>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</si>
  <si>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</si>
  <si>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10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</si>
</sst>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64" sqref="AA64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46217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851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Вторник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7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0.41666666666666669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hidden="1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hidden="1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13</v>
      </c>
      <c r="Y64" s="606">
        <f t="shared" si="0"/>
        <v>16</v>
      </c>
      <c r="Z64" s="36">
        <f>IFERROR(IF(Y64=0,"",ROUNDUP(Y64/H64,0)*0.00902),"")</f>
        <v>3.6080000000000001E-2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13.617500000000001</v>
      </c>
      <c r="BN64" s="64">
        <f t="shared" si="2"/>
        <v>16.760000000000002</v>
      </c>
      <c r="BO64" s="64">
        <f t="shared" si="3"/>
        <v>2.462121212121212E-2</v>
      </c>
      <c r="BP64" s="64">
        <f t="shared" si="4"/>
        <v>3.0303030303030304E-2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30</v>
      </c>
      <c r="Y66" s="606">
        <f t="shared" si="0"/>
        <v>31.5</v>
      </c>
      <c r="Z66" s="36">
        <f>IFERROR(IF(Y66=0,"",ROUNDUP(Y66/H66,0)*0.00902),"")</f>
        <v>6.3140000000000002E-2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31.266666666666669</v>
      </c>
      <c r="BN66" s="64">
        <f t="shared" si="2"/>
        <v>32.830000000000005</v>
      </c>
      <c r="BO66" s="64">
        <f t="shared" si="3"/>
        <v>5.0505050505050511E-2</v>
      </c>
      <c r="BP66" s="64">
        <f t="shared" si="4"/>
        <v>5.3030303030303032E-2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9.9166666666666679</v>
      </c>
      <c r="Y67" s="607">
        <f>IFERROR(Y59/H59,"0")+IFERROR(Y60/H60,"0")+IFERROR(Y61/H61,"0")+IFERROR(Y62/H62,"0")+IFERROR(Y63/H63,"0")+IFERROR(Y64/H64,"0")+IFERROR(Y65/H65,"0")+IFERROR(Y66/H66,"0")</f>
        <v>11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9.9220000000000003E-2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43</v>
      </c>
      <c r="Y68" s="607">
        <f>IFERROR(SUM(Y59:Y66),"0")</f>
        <v>47.5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hidden="1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117</v>
      </c>
      <c r="Y82" s="606">
        <f>IFERROR(IF(X82="",0,CEILING((X82/$H82),1)*$H82),"")</f>
        <v>117</v>
      </c>
      <c r="Z82" s="36">
        <f>IFERROR(IF(Y82=0,"",ROUNDUP(Y82/H82,0)*0.01898),"")</f>
        <v>0.28470000000000001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123.15</v>
      </c>
      <c r="BN82" s="64">
        <f>IFERROR(Y82*I82/H82,"0")</f>
        <v>123.15</v>
      </c>
      <c r="BO82" s="64">
        <f>IFERROR(1/J82*(X82/H82),"0")</f>
        <v>0.234375</v>
      </c>
      <c r="BP82" s="64">
        <f>IFERROR(1/J82*(Y82/H82),"0")</f>
        <v>0.234375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15</v>
      </c>
      <c r="Y84" s="607">
        <f>IFERROR(Y82/H82,"0")+IFERROR(Y83/H83,"0")</f>
        <v>15</v>
      </c>
      <c r="Z84" s="607">
        <f>IFERROR(IF(Z82="",0,Z82),"0")+IFERROR(IF(Z83="",0,Z83),"0")</f>
        <v>0.28470000000000001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117</v>
      </c>
      <c r="Y85" s="607">
        <f>IFERROR(SUM(Y82:Y83),"0")</f>
        <v>117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54</v>
      </c>
      <c r="Y91" s="606">
        <f>IFERROR(IF(X91="",0,CEILING((X91/$H91),1)*$H91),"")</f>
        <v>54</v>
      </c>
      <c r="Z91" s="36">
        <f>IFERROR(IF(Y91=0,"",ROUNDUP(Y91/H91,0)*0.00902),"")</f>
        <v>0.10824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56.28</v>
      </c>
      <c r="BN91" s="64">
        <f>IFERROR(Y91*I91/H91,"0")</f>
        <v>56.28</v>
      </c>
      <c r="BO91" s="64">
        <f>IFERROR(1/J91*(X91/H91),"0")</f>
        <v>9.0909090909090912E-2</v>
      </c>
      <c r="BP91" s="64">
        <f>IFERROR(1/J91*(Y91/H91),"0")</f>
        <v>9.0909090909090912E-2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12</v>
      </c>
      <c r="Y92" s="607">
        <f>IFERROR(Y88/H88,"0")+IFERROR(Y89/H89,"0")+IFERROR(Y90/H90,"0")+IFERROR(Y91/H91,"0")</f>
        <v>12</v>
      </c>
      <c r="Z92" s="607">
        <f>IFERROR(IF(Z88="",0,Z88),"0")+IFERROR(IF(Z89="",0,Z89),"0")+IFERROR(IF(Z90="",0,Z90),"0")+IFERROR(IF(Z91="",0,Z91),"0")</f>
        <v>0.10824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54</v>
      </c>
      <c r="Y93" s="607">
        <f>IFERROR(SUM(Y88:Y91),"0")</f>
        <v>54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303</v>
      </c>
      <c r="Y95" s="606">
        <f>IFERROR(IF(X95="",0,CEILING((X95/$H95),1)*$H95),"")</f>
        <v>307.8</v>
      </c>
      <c r="Z95" s="36">
        <f>IFERROR(IF(Y95=0,"",ROUNDUP(Y95/H95,0)*0.01898),"")</f>
        <v>0.72123999999999999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321.47925925925927</v>
      </c>
      <c r="BN95" s="64">
        <f>IFERROR(Y95*I95/H95,"0")</f>
        <v>326.572</v>
      </c>
      <c r="BO95" s="64">
        <f>IFERROR(1/J95*(X95/H95),"0")</f>
        <v>0.58449074074074081</v>
      </c>
      <c r="BP95" s="64">
        <f>IFERROR(1/J95*(Y95/H95),"0")</f>
        <v>0.59375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15</v>
      </c>
      <c r="Y97" s="606">
        <f>IFERROR(IF(X97="",0,CEILING((X97/$H97),1)*$H97),"")</f>
        <v>16.200000000000003</v>
      </c>
      <c r="Z97" s="36">
        <f>IFERROR(IF(Y97=0,"",ROUNDUP(Y97/H97,0)*0.00651),"")</f>
        <v>3.9059999999999997E-2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16.399999999999999</v>
      </c>
      <c r="BN97" s="64">
        <f>IFERROR(Y97*I97/H97,"0")</f>
        <v>17.712000000000003</v>
      </c>
      <c r="BO97" s="64">
        <f>IFERROR(1/J97*(X97/H97),"0")</f>
        <v>3.0525030525030528E-2</v>
      </c>
      <c r="BP97" s="64">
        <f>IFERROR(1/J97*(Y97/H97),"0")</f>
        <v>3.2967032967032975E-2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42.962962962962969</v>
      </c>
      <c r="Y99" s="607">
        <f>IFERROR(Y95/H95,"0")+IFERROR(Y96/H96,"0")+IFERROR(Y97/H97,"0")+IFERROR(Y98/H98,"0")</f>
        <v>44</v>
      </c>
      <c r="Z99" s="607">
        <f>IFERROR(IF(Z95="",0,Z95),"0")+IFERROR(IF(Z96="",0,Z96),"0")+IFERROR(IF(Z97="",0,Z97),"0")+IFERROR(IF(Z98="",0,Z98),"0")</f>
        <v>0.76029999999999998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318</v>
      </c>
      <c r="Y100" s="607">
        <f>IFERROR(SUM(Y95:Y98),"0")</f>
        <v>324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7</v>
      </c>
      <c r="Y107" s="606">
        <f t="shared" si="5"/>
        <v>9</v>
      </c>
      <c r="Z107" s="36">
        <f>IFERROR(IF(Y107=0,"",ROUNDUP(Y107/H107,0)*0.00902),"")</f>
        <v>1.804E-2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7.2955555555555565</v>
      </c>
      <c r="BN107" s="64">
        <f t="shared" si="7"/>
        <v>9.3800000000000008</v>
      </c>
      <c r="BO107" s="64">
        <f t="shared" si="8"/>
        <v>1.1784511784511785E-2</v>
      </c>
      <c r="BP107" s="64">
        <f t="shared" si="9"/>
        <v>1.5151515151515152E-2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1.5555555555555556</v>
      </c>
      <c r="Y109" s="607">
        <f>IFERROR(Y103/H103,"0")+IFERROR(Y104/H104,"0")+IFERROR(Y105/H105,"0")+IFERROR(Y106/H106,"0")+IFERROR(Y107/H107,"0")+IFERROR(Y108/H108,"0")</f>
        <v>2</v>
      </c>
      <c r="Z109" s="607">
        <f>IFERROR(IF(Z103="",0,Z103),"0")+IFERROR(IF(Z104="",0,Z104),"0")+IFERROR(IF(Z105="",0,Z105),"0")+IFERROR(IF(Z106="",0,Z106),"0")+IFERROR(IF(Z107="",0,Z107),"0")+IFERROR(IF(Z108="",0,Z108),"0")</f>
        <v>1.804E-2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7</v>
      </c>
      <c r="Y110" s="607">
        <f>IFERROR(SUM(Y103:Y108),"0")</f>
        <v>9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4</v>
      </c>
      <c r="Y112" s="606">
        <f t="shared" ref="Y112:Y118" si="10"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4.1518518518518519</v>
      </c>
      <c r="BN112" s="64">
        <f t="shared" ref="BN112:BN118" si="12">IFERROR(Y112*I112/H112,"0")</f>
        <v>11.21</v>
      </c>
      <c r="BO112" s="64">
        <f t="shared" ref="BO112:BO118" si="13">IFERROR(1/J112*(X112/H112),"0")</f>
        <v>5.7870370370370367E-3</v>
      </c>
      <c r="BP112" s="64">
        <f t="shared" ref="BP112:BP118" si="14">IFERROR(1/J112*(Y112/H112),"0")</f>
        <v>1.5625E-2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0.37037037037037035</v>
      </c>
      <c r="Y119" s="607">
        <f>IFERROR(Y112/H112,"0")+IFERROR(Y113/H113,"0")+IFERROR(Y114/H114,"0")+IFERROR(Y115/H115,"0")+IFERROR(Y116/H116,"0")+IFERROR(Y117/H117,"0")+IFERROR(Y118/H118,"0")</f>
        <v>1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1.898E-2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4</v>
      </c>
      <c r="Y120" s="607">
        <f>IFERROR(SUM(Y112:Y118),"0")</f>
        <v>10.8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450</v>
      </c>
      <c r="Y122" s="606">
        <f>IFERROR(IF(X122="",0,CEILING((X122/$H122),1)*$H122),"")</f>
        <v>453.59999999999997</v>
      </c>
      <c r="Z122" s="36">
        <f>IFERROR(IF(Y122=0,"",ROUNDUP(Y122/H122,0)*0.01898),"")</f>
        <v>1.06288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477.11111111111109</v>
      </c>
      <c r="BN122" s="64">
        <f>IFERROR(Y122*I122/H122,"0")</f>
        <v>480.92799999999994</v>
      </c>
      <c r="BO122" s="64">
        <f>IFERROR(1/J122*(X122/H122),"0")</f>
        <v>0.86805555555555558</v>
      </c>
      <c r="BP122" s="64">
        <f>IFERROR(1/J122*(Y122/H122),"0")</f>
        <v>0.875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51</v>
      </c>
      <c r="Y124" s="606">
        <f>IFERROR(IF(X124="",0,CEILING((X124/$H124),1)*$H124),"")</f>
        <v>51.300000000000004</v>
      </c>
      <c r="Z124" s="36">
        <f>IFERROR(IF(Y124=0,"",ROUNDUP(Y124/H124,0)*0.00651),"")</f>
        <v>0.12369000000000001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55.759999999999991</v>
      </c>
      <c r="BN124" s="64">
        <f>IFERROR(Y124*I124/H124,"0")</f>
        <v>56.088000000000001</v>
      </c>
      <c r="BO124" s="64">
        <f>IFERROR(1/J124*(X124/H124),"0")</f>
        <v>0.10378510378510379</v>
      </c>
      <c r="BP124" s="64">
        <f>IFERROR(1/J124*(Y124/H124),"0")</f>
        <v>0.1043956043956044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74.444444444444443</v>
      </c>
      <c r="Y126" s="607">
        <f>IFERROR(Y122/H122,"0")+IFERROR(Y123/H123,"0")+IFERROR(Y124/H124,"0")+IFERROR(Y125/H125,"0")</f>
        <v>75</v>
      </c>
      <c r="Z126" s="607">
        <f>IFERROR(IF(Z122="",0,Z122),"0")+IFERROR(IF(Z123="",0,Z123),"0")+IFERROR(IF(Z124="",0,Z124),"0")+IFERROR(IF(Z125="",0,Z125),"0")</f>
        <v>1.1865700000000001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501</v>
      </c>
      <c r="Y127" s="607">
        <f>IFERROR(SUM(Y122:Y125),"0")</f>
        <v>504.9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45</v>
      </c>
      <c r="Y139" s="606">
        <f>IFERROR(IF(X139="",0,CEILING((X139/$H139),1)*$H139),"")</f>
        <v>47.599999999999994</v>
      </c>
      <c r="Z139" s="36">
        <f>IFERROR(IF(Y139=0,"",ROUNDUP(Y139/H139,0)*0.00651),"")</f>
        <v>0.11067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49.307142857142864</v>
      </c>
      <c r="BN139" s="64">
        <f>IFERROR(Y139*I139/H139,"0")</f>
        <v>52.156000000000006</v>
      </c>
      <c r="BO139" s="64">
        <f>IFERROR(1/J139*(X139/H139),"0")</f>
        <v>8.8304552590266885E-2</v>
      </c>
      <c r="BP139" s="64">
        <f>IFERROR(1/J139*(Y139/H139),"0")</f>
        <v>9.3406593406593408E-2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16.071428571428573</v>
      </c>
      <c r="Y141" s="607">
        <f>IFERROR(Y139/H139,"0")+IFERROR(Y140/H140,"0")</f>
        <v>17</v>
      </c>
      <c r="Z141" s="607">
        <f>IFERROR(IF(Z139="",0,Z139),"0")+IFERROR(IF(Z140="",0,Z140),"0")</f>
        <v>0.11067</v>
      </c>
      <c r="AA141" s="608"/>
      <c r="AB141" s="608"/>
      <c r="AC141" s="608"/>
    </row>
    <row r="142" spans="1:68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45</v>
      </c>
      <c r="Y142" s="607">
        <f>IFERROR(SUM(Y139:Y140),"0")</f>
        <v>47.599999999999994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308</v>
      </c>
      <c r="Y167" s="606">
        <f t="shared" ref="Y167:Y177" si="15">IFERROR(IF(X167="",0,CEILING((X167/$H167),1)*$H167),"")</f>
        <v>308</v>
      </c>
      <c r="Z167" s="36">
        <f>IFERROR(IF(Y167=0,"",ROUNDUP(Y167/H167,0)*0.00902),"")</f>
        <v>0.79376000000000002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324.71999999999997</v>
      </c>
      <c r="BN167" s="64">
        <f t="shared" ref="BN167:BN177" si="17">IFERROR(Y167*I167/H167,"0")</f>
        <v>324.71999999999997</v>
      </c>
      <c r="BO167" s="64">
        <f t="shared" ref="BO167:BO177" si="18">IFERROR(1/J167*(X167/H167),"0")</f>
        <v>0.66666666666666674</v>
      </c>
      <c r="BP167" s="64">
        <f t="shared" ref="BP167:BP177" si="19">IFERROR(1/J167*(Y167/H167),"0")</f>
        <v>0.66666666666666674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61</v>
      </c>
      <c r="Y169" s="606">
        <f t="shared" si="15"/>
        <v>63</v>
      </c>
      <c r="Z169" s="36">
        <f>IFERROR(IF(Y169=0,"",ROUNDUP(Y169/H169,0)*0.00902),"")</f>
        <v>0.16236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64.311428571428578</v>
      </c>
      <c r="BN169" s="64">
        <f t="shared" si="17"/>
        <v>66.42</v>
      </c>
      <c r="BO169" s="64">
        <f t="shared" si="18"/>
        <v>0.13203463203463203</v>
      </c>
      <c r="BP169" s="64">
        <f t="shared" si="19"/>
        <v>0.13636363636363635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25</v>
      </c>
      <c r="Y170" s="606">
        <f t="shared" si="15"/>
        <v>28</v>
      </c>
      <c r="Z170" s="36">
        <f>IFERROR(IF(Y170=0,"",ROUNDUP(Y170/H170,0)*0.00902),"")</f>
        <v>7.2160000000000002E-2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26.357142857142858</v>
      </c>
      <c r="BN170" s="64">
        <f t="shared" si="17"/>
        <v>29.52</v>
      </c>
      <c r="BO170" s="64">
        <f t="shared" si="18"/>
        <v>5.4112554112554119E-2</v>
      </c>
      <c r="BP170" s="64">
        <f t="shared" si="19"/>
        <v>6.0606060606060608E-2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112.57142857142857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114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1.0282800000000001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394</v>
      </c>
      <c r="Y179" s="607">
        <f>IFERROR(SUM(Y167:Y177),"0")</f>
        <v>399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56</v>
      </c>
      <c r="Y217" s="606">
        <f t="shared" si="26"/>
        <v>56.7</v>
      </c>
      <c r="Z217" s="36">
        <f t="shared" ref="Z217:Z222" si="31">IFERROR(IF(Y217=0,"",ROUNDUP(Y217/H217,0)*0.00502),"")</f>
        <v>0.13553999999999999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59.466666666666661</v>
      </c>
      <c r="BN217" s="64">
        <f t="shared" si="28"/>
        <v>60.21</v>
      </c>
      <c r="BO217" s="64">
        <f t="shared" si="29"/>
        <v>0.11396011396011396</v>
      </c>
      <c r="BP217" s="64">
        <f t="shared" si="30"/>
        <v>0.11538461538461539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40</v>
      </c>
      <c r="Y222" s="606">
        <f t="shared" si="26"/>
        <v>41.4</v>
      </c>
      <c r="Z222" s="36">
        <f t="shared" si="31"/>
        <v>0.11546000000000001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42.888888888888893</v>
      </c>
      <c r="BN222" s="64">
        <f t="shared" si="28"/>
        <v>44.39</v>
      </c>
      <c r="BO222" s="64">
        <f t="shared" si="29"/>
        <v>9.4966761633428307E-2</v>
      </c>
      <c r="BP222" s="64">
        <f t="shared" si="30"/>
        <v>9.8290598290598302E-2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7</v>
      </c>
      <c r="Y223" s="606">
        <f t="shared" si="26"/>
        <v>7.2</v>
      </c>
      <c r="Z223" s="36">
        <f>IFERROR(IF(Y223=0,"",ROUNDUP(Y223/H223,0)*0.00417),"")</f>
        <v>3.7530000000000001E-2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8.8375000000000004</v>
      </c>
      <c r="BN223" s="64">
        <f t="shared" si="28"/>
        <v>9.09</v>
      </c>
      <c r="BO223" s="64">
        <f t="shared" si="29"/>
        <v>2.6041666666666664E-2</v>
      </c>
      <c r="BP223" s="64">
        <f t="shared" si="30"/>
        <v>2.6785714285714284E-2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104</v>
      </c>
      <c r="Y224" s="606">
        <f t="shared" si="26"/>
        <v>105</v>
      </c>
      <c r="Z224" s="36">
        <f>IFERROR(IF(Y224=0,"",ROUNDUP(Y224/H224,0)*0.00502),"")</f>
        <v>0.251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108.95238095238095</v>
      </c>
      <c r="BN224" s="64">
        <f t="shared" si="28"/>
        <v>110.00000000000001</v>
      </c>
      <c r="BO224" s="64">
        <f t="shared" si="29"/>
        <v>0.21164021164021163</v>
      </c>
      <c r="BP224" s="64">
        <f t="shared" si="30"/>
        <v>0.21367521367521369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107.1626984126984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109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0.53953000000000007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207</v>
      </c>
      <c r="Y228" s="607">
        <f>IFERROR(SUM(Y213:Y226),"0")</f>
        <v>210.3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1</v>
      </c>
      <c r="Y239" s="60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0.79365079365079361</v>
      </c>
      <c r="Y241" s="607">
        <f>IFERROR(Y238/H238,"0")+IFERROR(Y239/H239,"0")+IFERROR(Y240/H240,"0")</f>
        <v>1</v>
      </c>
      <c r="Z241" s="607">
        <f>IFERROR(IF(Z238="",0,Z238),"0")+IFERROR(IF(Z239="",0,Z239),"0")+IFERROR(IF(Z240="",0,Z240),"0")</f>
        <v>5.8999999999999999E-3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1</v>
      </c>
      <c r="Y242" s="607">
        <f>IFERROR(SUM(Y238:Y240),"0")</f>
        <v>1.26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203</v>
      </c>
      <c r="Y259" s="606">
        <f t="shared" ref="Y259:Y266" si="32">IFERROR(IF(X259="",0,CEILING((X259/$H259),1)*$H259),"")</f>
        <v>205.20000000000002</v>
      </c>
      <c r="Z259" s="36">
        <f>IFERROR(IF(Y259=0,"",ROUNDUP(Y259/H259,0)*0.00902),"")</f>
        <v>0.34276000000000001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210.14259259259256</v>
      </c>
      <c r="BN259" s="64">
        <f t="shared" ref="BN259:BN266" si="34">IFERROR(Y259*I259/H259,"0")</f>
        <v>212.42</v>
      </c>
      <c r="BO259" s="64">
        <f t="shared" ref="BO259:BO266" si="35">IFERROR(1/J259*(X259/H259),"0")</f>
        <v>0.28479236812570141</v>
      </c>
      <c r="BP259" s="64">
        <f t="shared" ref="BP259:BP266" si="36">IFERROR(1/J259*(Y259/H259),"0")</f>
        <v>0.2878787878787879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14</v>
      </c>
      <c r="Y260" s="606">
        <f t="shared" si="32"/>
        <v>16.200000000000003</v>
      </c>
      <c r="Z260" s="36">
        <f>IFERROR(IF(Y260=0,"",ROUNDUP(Y260/H260,0)*0.00902),"")</f>
        <v>2.7060000000000001E-2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14.49259259259259</v>
      </c>
      <c r="BN260" s="64">
        <f t="shared" si="34"/>
        <v>16.77</v>
      </c>
      <c r="BO260" s="64">
        <f t="shared" si="35"/>
        <v>1.9640852974186308E-2</v>
      </c>
      <c r="BP260" s="64">
        <f t="shared" si="36"/>
        <v>2.2727272727272731E-2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5</v>
      </c>
      <c r="Y263" s="606">
        <f t="shared" si="32"/>
        <v>5.4</v>
      </c>
      <c r="Z263" s="36">
        <f>IFERROR(IF(Y263=0,"",ROUNDUP(Y263/H263,0)*0.00502),"")</f>
        <v>1.506E-2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5.3611111111111116</v>
      </c>
      <c r="BN263" s="64">
        <f t="shared" si="34"/>
        <v>5.79</v>
      </c>
      <c r="BO263" s="64">
        <f t="shared" si="35"/>
        <v>1.1870845204178538E-2</v>
      </c>
      <c r="BP263" s="64">
        <f t="shared" si="36"/>
        <v>1.2820512820512822E-2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59</v>
      </c>
      <c r="Y266" s="606">
        <f t="shared" si="32"/>
        <v>59.4</v>
      </c>
      <c r="Z266" s="36">
        <f>IFERROR(IF(Y266=0,"",ROUNDUP(Y266/H266,0)*0.00502),"")</f>
        <v>0.16566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62.277777777777771</v>
      </c>
      <c r="BN266" s="64">
        <f t="shared" si="34"/>
        <v>62.699999999999989</v>
      </c>
      <c r="BO266" s="64">
        <f t="shared" si="35"/>
        <v>0.14007597340930675</v>
      </c>
      <c r="BP266" s="64">
        <f t="shared" si="36"/>
        <v>0.14102564102564105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75.740740740740733</v>
      </c>
      <c r="Y267" s="607">
        <f>IFERROR(Y259/H259,"0")+IFERROR(Y260/H260,"0")+IFERROR(Y261/H261,"0")+IFERROR(Y262/H262,"0")+IFERROR(Y263/H263,"0")+IFERROR(Y264/H264,"0")+IFERROR(Y265/H265,"0")+IFERROR(Y266/H266,"0")</f>
        <v>77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0.55054000000000003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281</v>
      </c>
      <c r="Y268" s="607">
        <f>IFERROR(SUM(Y259:Y266),"0")</f>
        <v>286.20000000000005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49</v>
      </c>
      <c r="Y273" s="606">
        <f t="shared" si="37"/>
        <v>50.4</v>
      </c>
      <c r="Z273" s="36">
        <f>IFERROR(IF(Y273=0,"",ROUNDUP(Y273/H273,0)*0.00651),"")</f>
        <v>0.13671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54.512499999999996</v>
      </c>
      <c r="BN273" s="64">
        <f t="shared" si="39"/>
        <v>56.069999999999993</v>
      </c>
      <c r="BO273" s="64">
        <f t="shared" si="40"/>
        <v>0.1121794871794872</v>
      </c>
      <c r="BP273" s="64">
        <f t="shared" si="41"/>
        <v>0.11538461538461539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277</v>
      </c>
      <c r="Y276" s="606">
        <f t="shared" si="37"/>
        <v>278.39999999999998</v>
      </c>
      <c r="Z276" s="36">
        <f>IFERROR(IF(Y276=0,"",ROUNDUP(Y276/H276,0)*0.00651),"")</f>
        <v>0.75516000000000005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306.08500000000004</v>
      </c>
      <c r="BN276" s="64">
        <f t="shared" si="39"/>
        <v>307.63200000000001</v>
      </c>
      <c r="BO276" s="64">
        <f t="shared" si="40"/>
        <v>0.63415750915750924</v>
      </c>
      <c r="BP276" s="64">
        <f t="shared" si="41"/>
        <v>0.63736263736263743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0</v>
      </c>
      <c r="Y278" s="606">
        <f t="shared" si="37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0</v>
      </c>
      <c r="BN278" s="64">
        <f t="shared" si="39"/>
        <v>0</v>
      </c>
      <c r="BO278" s="64">
        <f t="shared" si="40"/>
        <v>0</v>
      </c>
      <c r="BP278" s="64">
        <f t="shared" si="41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145</v>
      </c>
      <c r="Y279" s="606">
        <f t="shared" si="37"/>
        <v>146.4</v>
      </c>
      <c r="Z279" s="36">
        <f>IFERROR(IF(Y279=0,"",ROUNDUP(Y279/H279,0)*0.00651),"")</f>
        <v>0.39711000000000002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160.22500000000002</v>
      </c>
      <c r="BN279" s="64">
        <f t="shared" si="39"/>
        <v>161.77200000000002</v>
      </c>
      <c r="BO279" s="64">
        <f t="shared" si="40"/>
        <v>0.331959706959707</v>
      </c>
      <c r="BP279" s="64">
        <f t="shared" si="41"/>
        <v>0.33516483516483525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196.25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198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1.28898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471</v>
      </c>
      <c r="Y283" s="607">
        <f>IFERROR(SUM(Y270:Y281),"0")</f>
        <v>475.19999999999993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37</v>
      </c>
      <c r="Y285" s="606">
        <f>IFERROR(IF(X285="",0,CEILING((X285/$H285),1)*$H285),"")</f>
        <v>38.4</v>
      </c>
      <c r="Z285" s="36">
        <f>IFERROR(IF(Y285=0,"",ROUNDUP(Y285/H285,0)*0.00651),"")</f>
        <v>0.10416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40.885000000000005</v>
      </c>
      <c r="BN285" s="64">
        <f>IFERROR(Y285*I285/H285,"0")</f>
        <v>42.432000000000002</v>
      </c>
      <c r="BO285" s="64">
        <f>IFERROR(1/J285*(X285/H285),"0")</f>
        <v>8.4706959706959725E-2</v>
      </c>
      <c r="BP285" s="64">
        <f>IFERROR(1/J285*(Y285/H285),"0")</f>
        <v>8.7912087912087919E-2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15.416666666666668</v>
      </c>
      <c r="Y287" s="607">
        <f>IFERROR(Y285/H285,"0")+IFERROR(Y286/H286,"0")</f>
        <v>16</v>
      </c>
      <c r="Z287" s="607">
        <f>IFERROR(IF(Z285="",0,Z285),"0")+IFERROR(IF(Z286="",0,Z286),"0")</f>
        <v>0.10416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37</v>
      </c>
      <c r="Y288" s="607">
        <f>IFERROR(SUM(Y285:Y286),"0")</f>
        <v>38.4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35</v>
      </c>
      <c r="Y294" s="606">
        <f t="shared" si="42"/>
        <v>36</v>
      </c>
      <c r="Z294" s="36">
        <f>IFERROR(IF(Y294=0,"",ROUNDUP(Y294/H294,0)*0.00902),"")</f>
        <v>8.1180000000000002E-2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36.662500000000001</v>
      </c>
      <c r="BN294" s="64">
        <f t="shared" si="44"/>
        <v>37.71</v>
      </c>
      <c r="BO294" s="64">
        <f t="shared" si="45"/>
        <v>6.6287878787878785E-2</v>
      </c>
      <c r="BP294" s="64">
        <f t="shared" si="46"/>
        <v>6.8181818181818177E-2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8.75</v>
      </c>
      <c r="Y298" s="607">
        <f>IFERROR(Y291/H291,"0")+IFERROR(Y292/H292,"0")+IFERROR(Y293/H293,"0")+IFERROR(Y294/H294,"0")+IFERROR(Y295/H295,"0")+IFERROR(Y296/H296,"0")+IFERROR(Y297/H297,"0")</f>
        <v>9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8.1180000000000002E-2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35</v>
      </c>
      <c r="Y299" s="607">
        <f>IFERROR(SUM(Y291:Y297),"0")</f>
        <v>36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hidden="1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16</v>
      </c>
      <c r="Y346" s="606">
        <f>IFERROR(IF(X346="",0,CEILING((X346/$H346),1)*$H346),"")</f>
        <v>23.4</v>
      </c>
      <c r="Z346" s="36">
        <f>IFERROR(IF(Y346=0,"",ROUNDUP(Y346/H346,0)*0.01898),"")</f>
        <v>5.6940000000000004E-2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16.841025641025642</v>
      </c>
      <c r="BN346" s="64">
        <f>IFERROR(Y346*I346/H346,"0")</f>
        <v>24.630000000000003</v>
      </c>
      <c r="BO346" s="64">
        <f>IFERROR(1/J346*(X346/H346),"0")</f>
        <v>3.2051282051282055E-2</v>
      </c>
      <c r="BP346" s="64">
        <f>IFERROR(1/J346*(Y346/H346),"0")</f>
        <v>4.6875E-2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102</v>
      </c>
      <c r="Y347" s="606">
        <f>IFERROR(IF(X347="",0,CEILING((X347/$H347),1)*$H347),"")</f>
        <v>109.2</v>
      </c>
      <c r="Z347" s="36">
        <f>IFERROR(IF(Y347=0,"",ROUNDUP(Y347/H347,0)*0.01898),"")</f>
        <v>0.26572000000000001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107.36153846153847</v>
      </c>
      <c r="BN347" s="64">
        <f>IFERROR(Y347*I347/H347,"0")</f>
        <v>114.94000000000003</v>
      </c>
      <c r="BO347" s="64">
        <f>IFERROR(1/J347*(X347/H347),"0")</f>
        <v>0.20432692307692307</v>
      </c>
      <c r="BP347" s="64">
        <f>IFERROR(1/J347*(Y347/H347),"0")</f>
        <v>0.21875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15.128205128205128</v>
      </c>
      <c r="Y349" s="607">
        <f>IFERROR(Y346/H346,"0")+IFERROR(Y347/H347,"0")+IFERROR(Y348/H348,"0")</f>
        <v>17</v>
      </c>
      <c r="Z349" s="607">
        <f>IFERROR(IF(Z346="",0,Z346),"0")+IFERROR(IF(Z347="",0,Z347),"0")+IFERROR(IF(Z348="",0,Z348),"0")</f>
        <v>0.32266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118</v>
      </c>
      <c r="Y350" s="607">
        <f>IFERROR(SUM(Y346:Y348),"0")</f>
        <v>132.6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24</v>
      </c>
      <c r="Y361" s="606">
        <f t="shared" ref="Y361:Y367" si="47">IFERROR(IF(X361="",0,CEILING((X361/$H361),1)*$H361),"")</f>
        <v>25.200000000000003</v>
      </c>
      <c r="Z361" s="36">
        <f>IFERROR(IF(Y361=0,"",ROUNDUP(Y361/H361,0)*0.00902),"")</f>
        <v>5.4120000000000001E-2</v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25.428571428571431</v>
      </c>
      <c r="BN361" s="64">
        <f t="shared" ref="BN361:BN367" si="49">IFERROR(Y361*I361/H361,"0")</f>
        <v>26.700000000000003</v>
      </c>
      <c r="BO361" s="64">
        <f t="shared" ref="BO361:BO367" si="50">IFERROR(1/J361*(X361/H361),"0")</f>
        <v>4.3290043290043295E-2</v>
      </c>
      <c r="BP361" s="64">
        <f t="shared" ref="BP361:BP367" si="51">IFERROR(1/J361*(Y361/H361),"0")</f>
        <v>4.5454545454545456E-2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34</v>
      </c>
      <c r="Y367" s="606">
        <f t="shared" si="47"/>
        <v>34.200000000000003</v>
      </c>
      <c r="Z367" s="36">
        <f>IFERROR(IF(Y367=0,"",ROUNDUP(Y367/H367,0)*0.00651),"")</f>
        <v>0.12369000000000001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38.306666666666665</v>
      </c>
      <c r="BN367" s="64">
        <f t="shared" si="49"/>
        <v>38.532000000000004</v>
      </c>
      <c r="BO367" s="64">
        <f t="shared" si="50"/>
        <v>0.10378510378510379</v>
      </c>
      <c r="BP367" s="64">
        <f t="shared" si="51"/>
        <v>0.1043956043956044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24.603174603174605</v>
      </c>
      <c r="Y368" s="607">
        <f>IFERROR(Y361/H361,"0")+IFERROR(Y362/H362,"0")+IFERROR(Y363/H363,"0")+IFERROR(Y364/H364,"0")+IFERROR(Y365/H365,"0")+IFERROR(Y366/H366,"0")+IFERROR(Y367/H367,"0")</f>
        <v>25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0.17781000000000002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58</v>
      </c>
      <c r="Y369" s="607">
        <f>IFERROR(SUM(Y361:Y367),"0")</f>
        <v>59.400000000000006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116</v>
      </c>
      <c r="Y379" s="606">
        <f>IFERROR(IF(X379="",0,CEILING((X379/$H379),1)*$H379),"")</f>
        <v>117</v>
      </c>
      <c r="Z379" s="36">
        <f>IFERROR(IF(Y379=0,"",ROUNDUP(Y379/H379,0)*0.01898),"")</f>
        <v>0.28470000000000001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123.34666666666668</v>
      </c>
      <c r="BN379" s="64">
        <f>IFERROR(Y379*I379/H379,"0")</f>
        <v>124.41000000000001</v>
      </c>
      <c r="BO379" s="64">
        <f>IFERROR(1/J379*(X379/H379),"0")</f>
        <v>0.23237179487179488</v>
      </c>
      <c r="BP379" s="64">
        <f>IFERROR(1/J379*(Y379/H379),"0")</f>
        <v>0.234375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82</v>
      </c>
      <c r="Y380" s="606">
        <f>IFERROR(IF(X380="",0,CEILING((X380/$H380),1)*$H380),"")</f>
        <v>84</v>
      </c>
      <c r="Z380" s="36">
        <f>IFERROR(IF(Y380=0,"",ROUNDUP(Y380/H380,0)*0.01898),"")</f>
        <v>0.1898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86.822380952380954</v>
      </c>
      <c r="BN380" s="64">
        <f>IFERROR(Y380*I380/H380,"0")</f>
        <v>88.94</v>
      </c>
      <c r="BO380" s="64">
        <f>IFERROR(1/J380*(X380/H380),"0")</f>
        <v>0.15252976190476189</v>
      </c>
      <c r="BP380" s="64">
        <f>IFERROR(1/J380*(Y380/H380),"0")</f>
        <v>0.15625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24.633699633699635</v>
      </c>
      <c r="Y381" s="607">
        <f>IFERROR(Y378/H378,"0")+IFERROR(Y379/H379,"0")+IFERROR(Y380/H380,"0")</f>
        <v>25</v>
      </c>
      <c r="Z381" s="607">
        <f>IFERROR(IF(Z378="",0,Z378),"0")+IFERROR(IF(Z379="",0,Z379),"0")+IFERROR(IF(Z380="",0,Z380),"0")</f>
        <v>0.47450000000000003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198</v>
      </c>
      <c r="Y382" s="607">
        <f>IFERROR(SUM(Y378:Y380),"0")</f>
        <v>201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21</v>
      </c>
      <c r="Y400" s="606">
        <f>IFERROR(IF(X400="",0,CEILING((X400/$H400),1)*$H400),"")</f>
        <v>21</v>
      </c>
      <c r="Z400" s="36">
        <f>IFERROR(IF(Y400=0,"",ROUNDUP(Y400/H400,0)*0.00651),"")</f>
        <v>6.5100000000000005E-2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23.4</v>
      </c>
      <c r="BN400" s="64">
        <f>IFERROR(Y400*I400/H400,"0")</f>
        <v>23.4</v>
      </c>
      <c r="BO400" s="64">
        <f>IFERROR(1/J400*(X400/H400),"0")</f>
        <v>5.4945054945054951E-2</v>
      </c>
      <c r="BP400" s="64">
        <f>IFERROR(1/J400*(Y400/H400),"0")</f>
        <v>5.4945054945054951E-2</v>
      </c>
    </row>
    <row r="401" spans="1:68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10</v>
      </c>
      <c r="Y401" s="607">
        <f>IFERROR(Y398/H398,"0")+IFERROR(Y399/H399,"0")+IFERROR(Y400/H400,"0")</f>
        <v>10</v>
      </c>
      <c r="Z401" s="607">
        <f>IFERROR(IF(Z398="",0,Z398),"0")+IFERROR(IF(Z399="",0,Z399),"0")+IFERROR(IF(Z400="",0,Z400),"0")</f>
        <v>6.5100000000000005E-2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21</v>
      </c>
      <c r="Y402" s="607">
        <f>IFERROR(SUM(Y398:Y400),"0")</f>
        <v>21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306</v>
      </c>
      <c r="Y407" s="606">
        <f t="shared" si="52"/>
        <v>315</v>
      </c>
      <c r="Z407" s="36">
        <f>IFERROR(IF(Y407=0,"",ROUNDUP(Y407/H407,0)*0.02175),"")</f>
        <v>0.45674999999999999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315.58800000000002</v>
      </c>
      <c r="BN407" s="64">
        <f t="shared" si="54"/>
        <v>324.87</v>
      </c>
      <c r="BO407" s="64">
        <f t="shared" si="55"/>
        <v>0.42499999999999993</v>
      </c>
      <c r="BP407" s="64">
        <f t="shared" si="56"/>
        <v>0.4375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668</v>
      </c>
      <c r="Y408" s="606">
        <f t="shared" si="52"/>
        <v>675</v>
      </c>
      <c r="Z408" s="36">
        <f>IFERROR(IF(Y408=0,"",ROUNDUP(Y408/H408,0)*0.02175),"")</f>
        <v>0.9787499999999999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688.93066666666675</v>
      </c>
      <c r="BN408" s="64">
        <f t="shared" si="54"/>
        <v>696.15</v>
      </c>
      <c r="BO408" s="64">
        <f t="shared" si="55"/>
        <v>0.9277777777777777</v>
      </c>
      <c r="BP408" s="64">
        <f t="shared" si="56"/>
        <v>0.9375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193</v>
      </c>
      <c r="Y409" s="606">
        <f t="shared" si="52"/>
        <v>195</v>
      </c>
      <c r="Z409" s="36">
        <f>IFERROR(IF(Y409=0,"",ROUNDUP(Y409/H409,0)*0.02175),"")</f>
        <v>0.28275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199.04733333333334</v>
      </c>
      <c r="BN409" s="64">
        <f t="shared" si="54"/>
        <v>201.11</v>
      </c>
      <c r="BO409" s="64">
        <f t="shared" si="55"/>
        <v>0.26805555555555555</v>
      </c>
      <c r="BP409" s="64">
        <f t="shared" si="56"/>
        <v>0.27083333333333331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77.800000000000011</v>
      </c>
      <c r="Y414" s="607">
        <f>IFERROR(Y406/H406,"0")+IFERROR(Y407/H407,"0")+IFERROR(Y408/H408,"0")+IFERROR(Y409/H409,"0")+IFERROR(Y410/H410,"0")+IFERROR(Y411/H411,"0")+IFERROR(Y412/H412,"0")+IFERROR(Y413/H413,"0")</f>
        <v>79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1.7182499999999998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1167</v>
      </c>
      <c r="Y415" s="607">
        <f>IFERROR(SUM(Y406:Y413),"0")</f>
        <v>1185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937</v>
      </c>
      <c r="Y417" s="606">
        <f>IFERROR(IF(X417="",0,CEILING((X417/$H417),1)*$H417),"")</f>
        <v>945</v>
      </c>
      <c r="Z417" s="36">
        <f>IFERROR(IF(Y417=0,"",ROUNDUP(Y417/H417,0)*0.02175),"")</f>
        <v>1.37025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966.35933333333344</v>
      </c>
      <c r="BN417" s="64">
        <f>IFERROR(Y417*I417/H417,"0")</f>
        <v>974.61000000000013</v>
      </c>
      <c r="BO417" s="64">
        <f>IFERROR(1/J417*(X417/H417),"0")</f>
        <v>1.3013888888888889</v>
      </c>
      <c r="BP417" s="64">
        <f>IFERROR(1/J417*(Y417/H417),"0")</f>
        <v>1.3125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7</v>
      </c>
      <c r="Y418" s="606">
        <f>IFERROR(IF(X418="",0,CEILING((X418/$H418),1)*$H418),"")</f>
        <v>15</v>
      </c>
      <c r="Z418" s="36">
        <f>IFERROR(IF(Y418=0,"",ROUNDUP(Y418/H418,0)*0.02175),"")</f>
        <v>2.1749999999999999E-2</v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7.219333333333334</v>
      </c>
      <c r="BN418" s="64">
        <f>IFERROR(Y418*I418/H418,"0")</f>
        <v>15.47</v>
      </c>
      <c r="BO418" s="64">
        <f>IFERROR(1/J418*(X418/H418),"0")</f>
        <v>9.7222222222222224E-3</v>
      </c>
      <c r="BP418" s="64">
        <f>IFERROR(1/J418*(Y418/H418),"0")</f>
        <v>2.0833333333333332E-2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62.933333333333337</v>
      </c>
      <c r="Y420" s="607">
        <f>IFERROR(Y417/H417,"0")+IFERROR(Y418/H418,"0")+IFERROR(Y419/H419,"0")</f>
        <v>64</v>
      </c>
      <c r="Z420" s="607">
        <f>IFERROR(IF(Z417="",0,Z417),"0")+IFERROR(IF(Z418="",0,Z418),"0")+IFERROR(IF(Z419="",0,Z419),"0")</f>
        <v>1.3919999999999999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944</v>
      </c>
      <c r="Y421" s="607">
        <f>IFERROR(SUM(Y417:Y419),"0")</f>
        <v>960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45</v>
      </c>
      <c r="Y428" s="606">
        <f>IFERROR(IF(X428="",0,CEILING((X428/$H428),1)*$H428),"")</f>
        <v>45</v>
      </c>
      <c r="Z428" s="36">
        <f>IFERROR(IF(Y428=0,"",ROUNDUP(Y428/H428,0)*0.01898),"")</f>
        <v>9.4899999999999998E-2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47.47</v>
      </c>
      <c r="BN428" s="64">
        <f>IFERROR(Y428*I428/H428,"0")</f>
        <v>47.47</v>
      </c>
      <c r="BO428" s="64">
        <f>IFERROR(1/J428*(X428/H428),"0")</f>
        <v>7.8125E-2</v>
      </c>
      <c r="BP428" s="64">
        <f>IFERROR(1/J428*(Y428/H428),"0")</f>
        <v>7.8125E-2</v>
      </c>
    </row>
    <row r="429" spans="1:68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5</v>
      </c>
      <c r="Y429" s="607">
        <f>IFERROR(Y428/H428,"0")</f>
        <v>5</v>
      </c>
      <c r="Z429" s="607">
        <f>IFERROR(IF(Z428="",0,Z428),"0")</f>
        <v>9.4899999999999998E-2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45</v>
      </c>
      <c r="Y430" s="607">
        <f>IFERROR(SUM(Y428:Y428),"0")</f>
        <v>45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hidden="1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0</v>
      </c>
      <c r="Y445" s="607">
        <f>IFERROR(Y442/H442,"0")+IFERROR(Y443/H443,"0")+IFERROR(Y444/H444,"0")</f>
        <v>0</v>
      </c>
      <c r="Z445" s="607">
        <f>IFERROR(IF(Z442="",0,Z442),"0")+IFERROR(IF(Z443="",0,Z443),"0")+IFERROR(IF(Z444="",0,Z444),"0")</f>
        <v>0</v>
      </c>
      <c r="AA445" s="608"/>
      <c r="AB445" s="608"/>
      <c r="AC445" s="608"/>
    </row>
    <row r="446" spans="1:68" hidden="1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0</v>
      </c>
      <c r="Y446" s="607">
        <f>IFERROR(SUM(Y442:Y444),"0")</f>
        <v>0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19</v>
      </c>
      <c r="Y480" s="606">
        <f t="shared" si="62"/>
        <v>21.12</v>
      </c>
      <c r="Z480" s="36">
        <f t="shared" si="63"/>
        <v>4.7840000000000001E-2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20.259469696969695</v>
      </c>
      <c r="BN480" s="64">
        <f t="shared" si="65"/>
        <v>22.52</v>
      </c>
      <c r="BO480" s="64">
        <f t="shared" si="66"/>
        <v>3.4600815850815848E-2</v>
      </c>
      <c r="BP480" s="64">
        <f t="shared" si="67"/>
        <v>3.8461538461538464E-2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172</v>
      </c>
      <c r="Y482" s="606">
        <f t="shared" si="62"/>
        <v>174.24</v>
      </c>
      <c r="Z482" s="36">
        <f t="shared" si="63"/>
        <v>0.39468000000000003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183.40151515151516</v>
      </c>
      <c r="BN482" s="64">
        <f t="shared" si="65"/>
        <v>185.79</v>
      </c>
      <c r="BO482" s="64">
        <f t="shared" si="66"/>
        <v>0.31322843822843821</v>
      </c>
      <c r="BP482" s="64">
        <f t="shared" si="67"/>
        <v>0.31730769230769235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36.174242424242422</v>
      </c>
      <c r="Y486" s="607">
        <f>IFERROR(Y477/H477,"0")+IFERROR(Y478/H478,"0")+IFERROR(Y479/H479,"0")+IFERROR(Y480/H480,"0")+IFERROR(Y481/H481,"0")+IFERROR(Y482/H482,"0")+IFERROR(Y483/H483,"0")+IFERROR(Y484/H484,"0")+IFERROR(Y485/H485,"0")</f>
        <v>37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0.44252000000000002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191</v>
      </c>
      <c r="Y487" s="607">
        <f>IFERROR(SUM(Y477:Y485),"0")</f>
        <v>195.36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66</v>
      </c>
      <c r="Y489" s="606">
        <f>IFERROR(IF(X489="",0,CEILING((X489/$H489),1)*$H489),"")</f>
        <v>68.64</v>
      </c>
      <c r="Z489" s="36">
        <f>IFERROR(IF(Y489=0,"",ROUNDUP(Y489/H489,0)*0.01196),"")</f>
        <v>0.15548000000000001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70.375</v>
      </c>
      <c r="BN489" s="64">
        <f>IFERROR(Y489*I489/H489,"0")</f>
        <v>73.19</v>
      </c>
      <c r="BO489" s="64">
        <f>IFERROR(1/J489*(X489/H489),"0")</f>
        <v>0.1201923076923077</v>
      </c>
      <c r="BP489" s="64">
        <f>IFERROR(1/J489*(Y489/H489),"0")</f>
        <v>0.125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12.5</v>
      </c>
      <c r="Y492" s="607">
        <f>IFERROR(Y489/H489,"0")+IFERROR(Y490/H490,"0")+IFERROR(Y491/H491,"0")</f>
        <v>13</v>
      </c>
      <c r="Z492" s="607">
        <f>IFERROR(IF(Z489="",0,Z489),"0")+IFERROR(IF(Z490="",0,Z490),"0")+IFERROR(IF(Z491="",0,Z491),"0")</f>
        <v>0.15548000000000001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66</v>
      </c>
      <c r="Y493" s="607">
        <f>IFERROR(SUM(Y489:Y491),"0")</f>
        <v>68.64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87</v>
      </c>
      <c r="Y495" s="606">
        <f t="shared" ref="Y495:Y501" si="68">IFERROR(IF(X495="",0,CEILING((X495/$H495),1)*$H495),"")</f>
        <v>89.76</v>
      </c>
      <c r="Z495" s="36">
        <f>IFERROR(IF(Y495=0,"",ROUNDUP(Y495/H495,0)*0.01196),"")</f>
        <v>0.20332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92.767045454545453</v>
      </c>
      <c r="BN495" s="64">
        <f t="shared" ref="BN495:BN501" si="70">IFERROR(Y495*I495/H495,"0")</f>
        <v>95.710000000000008</v>
      </c>
      <c r="BO495" s="64">
        <f t="shared" ref="BO495:BO501" si="71">IFERROR(1/J495*(X495/H495),"0")</f>
        <v>0.15843531468531469</v>
      </c>
      <c r="BP495" s="64">
        <f t="shared" ref="BP495:BP501" si="72">IFERROR(1/J495*(Y495/H495),"0")</f>
        <v>0.16346153846153846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16.477272727272727</v>
      </c>
      <c r="Y502" s="607">
        <f>IFERROR(Y495/H495,"0")+IFERROR(Y496/H496,"0")+IFERROR(Y497/H497,"0")+IFERROR(Y498/H498,"0")+IFERROR(Y499/H499,"0")+IFERROR(Y500/H500,"0")+IFERROR(Y501/H501,"0")</f>
        <v>17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0.20332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87</v>
      </c>
      <c r="Y503" s="607">
        <f>IFERROR(SUM(Y495:Y501),"0")</f>
        <v>89.76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79</v>
      </c>
      <c r="Y520" s="606">
        <f>IFERROR(IF(X520="",0,CEILING((X520/$H520),1)*$H520),"")</f>
        <v>81</v>
      </c>
      <c r="Z520" s="36">
        <f>IFERROR(IF(Y520=0,"",ROUNDUP(Y520/H520,0)*0.01898),"")</f>
        <v>0.17082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83.336222222222219</v>
      </c>
      <c r="BN520" s="64">
        <f>IFERROR(Y520*I520/H520,"0")</f>
        <v>85.445999999999998</v>
      </c>
      <c r="BO520" s="64">
        <f>IFERROR(1/J520*(X520/H520),"0")</f>
        <v>0.13715277777777779</v>
      </c>
      <c r="BP520" s="64">
        <f>IFERROR(1/J520*(Y520/H520),"0")</f>
        <v>0.140625</v>
      </c>
    </row>
    <row r="521" spans="1:68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8.7777777777777786</v>
      </c>
      <c r="Y521" s="607">
        <f>IFERROR(Y520/H520,"0")</f>
        <v>9</v>
      </c>
      <c r="Z521" s="607">
        <f>IFERROR(IF(Z520="",0,Z520),"0")</f>
        <v>0.17082</v>
      </c>
      <c r="AA521" s="608"/>
      <c r="AB521" s="608"/>
      <c r="AC521" s="608"/>
    </row>
    <row r="522" spans="1:68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79</v>
      </c>
      <c r="Y522" s="607">
        <f>IFERROR(SUM(Y520:Y520),"0")</f>
        <v>81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5489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5599.92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5779.4087319717337</v>
      </c>
      <c r="Y534" s="607">
        <f>IFERROR(SUM(BN22:BN530),"0")</f>
        <v>5896.05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10</v>
      </c>
      <c r="Y535" s="38">
        <f>ROUNDUP(SUM(BP22:BP530),0)</f>
        <v>10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6029.4087319717337</v>
      </c>
      <c r="Y536" s="607">
        <f>GrossWeightTotalR+PalletQtyTotalR*25</f>
        <v>6146.05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983.03431938431925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1002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11.402650000000001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164.5</v>
      </c>
      <c r="F543" s="46">
        <f>IFERROR(Y88*1,"0")+IFERROR(Y89*1,"0")+IFERROR(Y90*1,"0")+IFERROR(Y91*1,"0")+IFERROR(Y95*1,"0")+IFERROR(Y96*1,"0")+IFERROR(Y97*1,"0")+IFERROR(Y98*1,"0")</f>
        <v>378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524.69999999999993</v>
      </c>
      <c r="H543" s="46">
        <f>IFERROR(Y134*1,"0")+IFERROR(Y135*1,"0")+IFERROR(Y139*1,"0")+IFERROR(Y140*1,"0")+IFERROR(Y144*1,"0")+IFERROR(Y145*1,"0")</f>
        <v>47.599999999999994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399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211.56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799.8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36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132.6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260.39999999999998</v>
      </c>
      <c r="U543" s="46">
        <f>IFERROR(Y398*1,"0")+IFERROR(Y399*1,"0")+IFERROR(Y400*1,"0")</f>
        <v>21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2190</v>
      </c>
      <c r="W543" s="46">
        <f>IFERROR(Y433*1,"0")+IFERROR(Y434*1,"0")+IFERROR(Y438*1,"0")+IFERROR(Y442*1,"0")+IFERROR(Y443*1,"0")+IFERROR(Y444*1,"0")</f>
        <v>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353.76</v>
      </c>
      <c r="AA543" s="46">
        <f>IFERROR(Y507*1,"0")+IFERROR(Y511*1,"0")+IFERROR(Y515*1,"0")+IFERROR(Y516*1,"0")+IFERROR(Y520*1,"0")+IFERROR(Y524*1,"0")+IFERROR(Y525*1,"0")</f>
        <v>81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79"/>
        <filter val="1 167,00"/>
        <filter val="1,00"/>
        <filter val="1,56"/>
        <filter val="10"/>
        <filter val="10,00"/>
        <filter val="102,00"/>
        <filter val="104,00"/>
        <filter val="107,16"/>
        <filter val="112,57"/>
        <filter val="116,00"/>
        <filter val="117,00"/>
        <filter val="118,00"/>
        <filter val="12,00"/>
        <filter val="12,50"/>
        <filter val="13,00"/>
        <filter val="14,00"/>
        <filter val="145,00"/>
        <filter val="15,00"/>
        <filter val="15,13"/>
        <filter val="15,42"/>
        <filter val="16,00"/>
        <filter val="16,07"/>
        <filter val="16,48"/>
        <filter val="172,00"/>
        <filter val="19,00"/>
        <filter val="191,00"/>
        <filter val="193,00"/>
        <filter val="196,25"/>
        <filter val="198,00"/>
        <filter val="203,00"/>
        <filter val="207,00"/>
        <filter val="21,00"/>
        <filter val="24,00"/>
        <filter val="24,60"/>
        <filter val="24,63"/>
        <filter val="25,00"/>
        <filter val="277,00"/>
        <filter val="281,00"/>
        <filter val="30,00"/>
        <filter val="303,00"/>
        <filter val="306,00"/>
        <filter val="308,00"/>
        <filter val="318,00"/>
        <filter val="34,00"/>
        <filter val="35,00"/>
        <filter val="36,17"/>
        <filter val="37,00"/>
        <filter val="394,00"/>
        <filter val="4,00"/>
        <filter val="40,00"/>
        <filter val="42,96"/>
        <filter val="43,00"/>
        <filter val="45,00"/>
        <filter val="450,00"/>
        <filter val="471,00"/>
        <filter val="49,00"/>
        <filter val="5 489,00"/>
        <filter val="5 779,41"/>
        <filter val="5,00"/>
        <filter val="501,00"/>
        <filter val="51,00"/>
        <filter val="54,00"/>
        <filter val="56,00"/>
        <filter val="58,00"/>
        <filter val="59,00"/>
        <filter val="6 029,41"/>
        <filter val="61,00"/>
        <filter val="62,93"/>
        <filter val="66,00"/>
        <filter val="668,00"/>
        <filter val="7,00"/>
        <filter val="74,44"/>
        <filter val="75,74"/>
        <filter val="77,80"/>
        <filter val="79,00"/>
        <filter val="8,75"/>
        <filter val="8,78"/>
        <filter val="82,00"/>
        <filter val="87,00"/>
        <filter val="9,92"/>
        <filter val="937,00"/>
        <filter val="944,00"/>
        <filter val="983,03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