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9DB672-B8E2-44E6-AF48-C0BF68D44C5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P444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Z436" i="2" s="1"/>
  <c r="P436" i="2"/>
  <c r="X434" i="2"/>
  <c r="X433" i="2"/>
  <c r="BO432" i="2"/>
  <c r="BM432" i="2"/>
  <c r="Y432" i="2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P257" i="2"/>
  <c r="BO256" i="2"/>
  <c r="BM256" i="2"/>
  <c r="Y256" i="2"/>
  <c r="Z256" i="2" s="1"/>
  <c r="P256" i="2"/>
  <c r="BO255" i="2"/>
  <c r="BM255" i="2"/>
  <c r="Y255" i="2"/>
  <c r="P255" i="2"/>
  <c r="BO254" i="2"/>
  <c r="BM254" i="2"/>
  <c r="Y254" i="2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BP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116" i="2" l="1"/>
  <c r="BN116" i="2"/>
  <c r="Z122" i="2"/>
  <c r="Z304" i="2"/>
  <c r="BN304" i="2"/>
  <c r="X528" i="2"/>
  <c r="Z23" i="2"/>
  <c r="Z252" i="2"/>
  <c r="Z217" i="2"/>
  <c r="Z271" i="2"/>
  <c r="Z350" i="2"/>
  <c r="BN350" i="2"/>
  <c r="Z406" i="2"/>
  <c r="Z72" i="2"/>
  <c r="Z108" i="2"/>
  <c r="Z220" i="2"/>
  <c r="Z267" i="2"/>
  <c r="Z360" i="2"/>
  <c r="BN360" i="2"/>
  <c r="Z380" i="2"/>
  <c r="Z485" i="2"/>
  <c r="Z495" i="2"/>
  <c r="Z31" i="2"/>
  <c r="Z82" i="2"/>
  <c r="Z106" i="2"/>
  <c r="Z115" i="2"/>
  <c r="Z169" i="2"/>
  <c r="Z175" i="2"/>
  <c r="Z218" i="2"/>
  <c r="BN218" i="2"/>
  <c r="Z241" i="2"/>
  <c r="BN241" i="2"/>
  <c r="Z262" i="2"/>
  <c r="Z270" i="2"/>
  <c r="Z277" i="2"/>
  <c r="Z303" i="2"/>
  <c r="Z339" i="2"/>
  <c r="BN339" i="2"/>
  <c r="Z349" i="2"/>
  <c r="Z359" i="2"/>
  <c r="Z365" i="2"/>
  <c r="Z402" i="2"/>
  <c r="BN54" i="2"/>
  <c r="BN70" i="2"/>
  <c r="BN104" i="2"/>
  <c r="BN107" i="2"/>
  <c r="BN124" i="2"/>
  <c r="BN134" i="2"/>
  <c r="BN149" i="2"/>
  <c r="Z149" i="2"/>
  <c r="BP151" i="2"/>
  <c r="Z151" i="2"/>
  <c r="BP162" i="2"/>
  <c r="Y164" i="2"/>
  <c r="Y163" i="2"/>
  <c r="BN162" i="2"/>
  <c r="BN174" i="2"/>
  <c r="BP186" i="2"/>
  <c r="BN186" i="2"/>
  <c r="Z186" i="2"/>
  <c r="BN208" i="2"/>
  <c r="Z208" i="2"/>
  <c r="BN214" i="2"/>
  <c r="Z214" i="2"/>
  <c r="BN219" i="2"/>
  <c r="BP231" i="2"/>
  <c r="BN231" i="2"/>
  <c r="Z231" i="2"/>
  <c r="BN254" i="2"/>
  <c r="Z254" i="2"/>
  <c r="BP265" i="2"/>
  <c r="Z265" i="2"/>
  <c r="BP283" i="2"/>
  <c r="Z283" i="2"/>
  <c r="BP358" i="2"/>
  <c r="Z358" i="2"/>
  <c r="BN361" i="2"/>
  <c r="BP368" i="2"/>
  <c r="Z368" i="2"/>
  <c r="BN379" i="2"/>
  <c r="BN381" i="2"/>
  <c r="BP381" i="2"/>
  <c r="Y396" i="2"/>
  <c r="Z392" i="2"/>
  <c r="Y395" i="2"/>
  <c r="BN404" i="2"/>
  <c r="BN412" i="2"/>
  <c r="Z412" i="2"/>
  <c r="BP432" i="2"/>
  <c r="Y434" i="2"/>
  <c r="Y433" i="2"/>
  <c r="BN432" i="2"/>
  <c r="BN484" i="2"/>
  <c r="BP23" i="2"/>
  <c r="BN28" i="2"/>
  <c r="BP30" i="2"/>
  <c r="Z36" i="2"/>
  <c r="Z37" i="2" s="1"/>
  <c r="Z44" i="2"/>
  <c r="BN44" i="2"/>
  <c r="BN60" i="2"/>
  <c r="Z62" i="2"/>
  <c r="BN63" i="2"/>
  <c r="Z64" i="2"/>
  <c r="BN65" i="2"/>
  <c r="BP77" i="2"/>
  <c r="Z95" i="2"/>
  <c r="BN96" i="2"/>
  <c r="Z97" i="2"/>
  <c r="BP115" i="2"/>
  <c r="BN128" i="2"/>
  <c r="Y140" i="2"/>
  <c r="BN138" i="2"/>
  <c r="Z143" i="2"/>
  <c r="Z145" i="2" s="1"/>
  <c r="BN143" i="2"/>
  <c r="BN173" i="2"/>
  <c r="Z173" i="2"/>
  <c r="BN247" i="2"/>
  <c r="Z247" i="2"/>
  <c r="Z248" i="2" s="1"/>
  <c r="BP254" i="2"/>
  <c r="BP255" i="2"/>
  <c r="BN255" i="2"/>
  <c r="Z255" i="2"/>
  <c r="BN257" i="2"/>
  <c r="Z257" i="2"/>
  <c r="BP268" i="2"/>
  <c r="Z268" i="2"/>
  <c r="BN273" i="2"/>
  <c r="Z273" i="2"/>
  <c r="BP293" i="2"/>
  <c r="Y295" i="2"/>
  <c r="BP301" i="2"/>
  <c r="Z301" i="2"/>
  <c r="BP312" i="2"/>
  <c r="Z312" i="2"/>
  <c r="BP325" i="2"/>
  <c r="Z325" i="2"/>
  <c r="BN334" i="2"/>
  <c r="BN340" i="2"/>
  <c r="BP348" i="2"/>
  <c r="Z348" i="2"/>
  <c r="BN351" i="2"/>
  <c r="BN374" i="2"/>
  <c r="Z374" i="2"/>
  <c r="BP392" i="2"/>
  <c r="BN393" i="2"/>
  <c r="BP437" i="2"/>
  <c r="Z437" i="2"/>
  <c r="BP444" i="2"/>
  <c r="BN444" i="2"/>
  <c r="Z444" i="2"/>
  <c r="BP449" i="2"/>
  <c r="BN449" i="2"/>
  <c r="Z449" i="2"/>
  <c r="BP453" i="2"/>
  <c r="BN453" i="2"/>
  <c r="Z453" i="2"/>
  <c r="Y455" i="2"/>
  <c r="BN479" i="2"/>
  <c r="Z479" i="2"/>
  <c r="BN494" i="2"/>
  <c r="Y502" i="2"/>
  <c r="Z501" i="2"/>
  <c r="Z502" i="2" s="1"/>
  <c r="BP509" i="2"/>
  <c r="Z509" i="2"/>
  <c r="BN158" i="2"/>
  <c r="BN166" i="2"/>
  <c r="BN198" i="2"/>
  <c r="BN211" i="2"/>
  <c r="BP217" i="2"/>
  <c r="BP270" i="2"/>
  <c r="BP271" i="2"/>
  <c r="BN272" i="2"/>
  <c r="Y298" i="2"/>
  <c r="BP303" i="2"/>
  <c r="BN319" i="2"/>
  <c r="BN326" i="2"/>
  <c r="BP349" i="2"/>
  <c r="BN355" i="2"/>
  <c r="BP359" i="2"/>
  <c r="Y376" i="2"/>
  <c r="Y389" i="2"/>
  <c r="BN386" i="2"/>
  <c r="BN394" i="2"/>
  <c r="BP406" i="2"/>
  <c r="BN407" i="2"/>
  <c r="BN436" i="2"/>
  <c r="BN438" i="2"/>
  <c r="BN446" i="2"/>
  <c r="Y456" i="2"/>
  <c r="BN454" i="2"/>
  <c r="BN463" i="2"/>
  <c r="Y466" i="2"/>
  <c r="BN474" i="2"/>
  <c r="BN491" i="2"/>
  <c r="Z53" i="2"/>
  <c r="D537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Z439" i="2" s="1"/>
  <c r="X537" i="2"/>
  <c r="Z445" i="2"/>
  <c r="Z454" i="2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59" i="2"/>
  <c r="Z103" i="2"/>
  <c r="Z113" i="2"/>
  <c r="Z123" i="2"/>
  <c r="Z170" i="2"/>
  <c r="Z215" i="2"/>
  <c r="Z225" i="2"/>
  <c r="Z258" i="2"/>
  <c r="Z519" i="2"/>
  <c r="Y525" i="2"/>
  <c r="E537" i="2"/>
  <c r="Z32" i="2"/>
  <c r="Z69" i="2"/>
  <c r="Z180" i="2"/>
  <c r="BN87" i="2"/>
  <c r="Z152" i="2"/>
  <c r="Z185" i="2"/>
  <c r="Z210" i="2"/>
  <c r="Z230" i="2"/>
  <c r="Z253" i="2"/>
  <c r="Z263" i="2"/>
  <c r="Z284" i="2"/>
  <c r="Z318" i="2"/>
  <c r="Z329" i="2"/>
  <c r="Z373" i="2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419" i="2" l="1"/>
  <c r="Z187" i="2"/>
  <c r="Z520" i="2"/>
  <c r="Z227" i="2"/>
  <c r="Z159" i="2"/>
  <c r="Z135" i="2"/>
  <c r="Z98" i="2"/>
  <c r="Z466" i="2"/>
  <c r="X530" i="2"/>
  <c r="Z24" i="2"/>
  <c r="Z243" i="2"/>
  <c r="Z450" i="2"/>
  <c r="Z375" i="2"/>
  <c r="Z274" i="2"/>
  <c r="Z176" i="2"/>
  <c r="Z66" i="2"/>
  <c r="Z55" i="2"/>
  <c r="Z330" i="2"/>
  <c r="Z429" i="2"/>
  <c r="Z279" i="2"/>
  <c r="Z455" i="2"/>
  <c r="Z305" i="2"/>
  <c r="Z414" i="2"/>
  <c r="Z362" i="2"/>
  <c r="Z511" i="2"/>
  <c r="Z140" i="2"/>
  <c r="Z83" i="2"/>
  <c r="Z408" i="2"/>
  <c r="Z290" i="2"/>
  <c r="Z222" i="2"/>
  <c r="Z153" i="2"/>
  <c r="Z182" i="2"/>
  <c r="Z109" i="2"/>
  <c r="Z388" i="2"/>
  <c r="Z496" i="2"/>
  <c r="Z200" i="2"/>
  <c r="Z91" i="2"/>
  <c r="Z382" i="2"/>
  <c r="Z395" i="2"/>
  <c r="Z369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<sst xmlns="http://schemas.openxmlformats.org/spreadsheetml/2006/main" count="3957" uniqueCount="845">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</sst>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 t="s">
        <v>844</v>
      </c>
      <c r="I5" s="602"/>
      <c r="J5" s="602"/>
      <c r="K5" s="602"/>
      <c r="L5" s="602"/>
      <c r="M5" s="602"/>
      <c r="N5" s="69"/>
      <c r="P5" s="26" t="s">
        <v>4</v>
      </c>
      <c r="Q5" s="604">
        <v>46206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827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Пятница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3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0.45833333333333331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hidden="1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hidden="1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hidden="1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hidden="1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hidden="1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60</v>
      </c>
      <c r="Y53" s="53">
        <f>IFERROR(IF(X53="",0,CEILING((X53/$H53),1)*$H53),"")</f>
        <v>60</v>
      </c>
      <c r="Z53" s="39">
        <f>IFERROR(IF(Y53=0,"",ROUNDUP(Y53/H53,0)*0.00902),"")</f>
        <v>0.1353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62.850000000000009</v>
      </c>
      <c r="BN53" s="75">
        <f>IFERROR(Y53*I53/H53,"0")</f>
        <v>62.850000000000009</v>
      </c>
      <c r="BO53" s="75">
        <f>IFERROR(1/J53*(X53/H53),"0")</f>
        <v>0.11363636363636365</v>
      </c>
      <c r="BP53" s="75">
        <f>IFERROR(1/J53*(Y53/H53),"0")</f>
        <v>0.11363636363636365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15</v>
      </c>
      <c r="Y55" s="41">
        <f>IFERROR(Y51/H51,"0")+IFERROR(Y52/H52,"0")+IFERROR(Y53/H53,"0")+IFERROR(Y54/H54,"0")</f>
        <v>15</v>
      </c>
      <c r="Z55" s="41">
        <f>IFERROR(IF(Z51="",0,Z51),"0")+IFERROR(IF(Z52="",0,Z52),"0")+IFERROR(IF(Z53="",0,Z53),"0")+IFERROR(IF(Z54="",0,Z54),"0")</f>
        <v>0.1353</v>
      </c>
      <c r="AA55" s="64"/>
      <c r="AB55" s="64"/>
      <c r="AC55" s="64"/>
    </row>
    <row r="56" spans="1:68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60</v>
      </c>
      <c r="Y56" s="41">
        <f>IFERROR(SUM(Y51:Y54),"0")</f>
        <v>60</v>
      </c>
      <c r="Z56" s="40"/>
      <c r="AA56" s="64"/>
      <c r="AB56" s="64"/>
      <c r="AC56" s="64"/>
    </row>
    <row r="57" spans="1:68" ht="16.5" hidden="1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hidden="1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60</v>
      </c>
      <c r="Y63" s="53">
        <f t="shared" si="6"/>
        <v>60</v>
      </c>
      <c r="Z63" s="39">
        <f>IFERROR(IF(Y63=0,"",ROUNDUP(Y63/H63,0)*0.00902),"")</f>
        <v>0.1353</v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62.850000000000009</v>
      </c>
      <c r="BN63" s="75">
        <f t="shared" si="8"/>
        <v>62.850000000000009</v>
      </c>
      <c r="BO63" s="75">
        <f t="shared" si="9"/>
        <v>0.11363636363636365</v>
      </c>
      <c r="BP63" s="75">
        <f t="shared" si="10"/>
        <v>0.11363636363636365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15</v>
      </c>
      <c r="Y66" s="41">
        <f>IFERROR(Y59/H59,"0")+IFERROR(Y60/H60,"0")+IFERROR(Y61/H61,"0")+IFERROR(Y62/H62,"0")+IFERROR(Y63/H63,"0")+IFERROR(Y64/H64,"0")+IFERROR(Y65/H65,"0")</f>
        <v>15</v>
      </c>
      <c r="Z66" s="41">
        <f>IFERROR(IF(Z59="",0,Z59),"0")+IFERROR(IF(Z60="",0,Z60),"0")+IFERROR(IF(Z61="",0,Z61),"0")+IFERROR(IF(Z62="",0,Z62),"0")+IFERROR(IF(Z63="",0,Z63),"0")+IFERROR(IF(Z64="",0,Z64),"0")+IFERROR(IF(Z65="",0,Z65),"0")</f>
        <v>0.1353</v>
      </c>
      <c r="AA66" s="64"/>
      <c r="AB66" s="64"/>
      <c r="AC66" s="64"/>
    </row>
    <row r="67" spans="1:68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60</v>
      </c>
      <c r="Y67" s="41">
        <f>IFERROR(SUM(Y59:Y65),"0")</f>
        <v>60</v>
      </c>
      <c r="Z67" s="40"/>
      <c r="AA67" s="64"/>
      <c r="AB67" s="64"/>
      <c r="AC67" s="64"/>
    </row>
    <row r="68" spans="1:68" ht="14.25" hidden="1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hidden="1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121.5</v>
      </c>
      <c r="Y94" s="53">
        <f>IFERROR(IF(X94="",0,CEILING((X94/$H94),1)*$H94),"")</f>
        <v>121.5</v>
      </c>
      <c r="Z94" s="39">
        <f>IFERROR(IF(Y94=0,"",ROUNDUP(Y94/H94,0)*0.01898),"")</f>
        <v>0.28470000000000001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128.91</v>
      </c>
      <c r="BN94" s="75">
        <f>IFERROR(Y94*I94/H94,"0")</f>
        <v>128.91</v>
      </c>
      <c r="BO94" s="75">
        <f>IFERROR(1/J94*(X94/H94),"0")</f>
        <v>0.234375</v>
      </c>
      <c r="BP94" s="75">
        <f>IFERROR(1/J94*(Y94/H94),"0")</f>
        <v>0.234375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15</v>
      </c>
      <c r="Y98" s="41">
        <f>IFERROR(Y94/H94,"0")+IFERROR(Y95/H95,"0")+IFERROR(Y96/H96,"0")+IFERROR(Y97/H97,"0")</f>
        <v>15</v>
      </c>
      <c r="Z98" s="41">
        <f>IFERROR(IF(Z94="",0,Z94),"0")+IFERROR(IF(Z95="",0,Z95),"0")+IFERROR(IF(Z96="",0,Z96),"0")+IFERROR(IF(Z97="",0,Z97),"0")</f>
        <v>0.28470000000000001</v>
      </c>
      <c r="AA98" s="64"/>
      <c r="AB98" s="64"/>
      <c r="AC98" s="64"/>
    </row>
    <row r="99" spans="1:68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121.5</v>
      </c>
      <c r="Y99" s="41">
        <f>IFERROR(SUM(Y94:Y97),"0")</f>
        <v>121.5</v>
      </c>
      <c r="Z99" s="40"/>
      <c r="AA99" s="64"/>
      <c r="AB99" s="64"/>
      <c r="AC99" s="64"/>
    </row>
    <row r="100" spans="1:68" ht="16.5" hidden="1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hidden="1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hidden="1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hidden="1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hidden="1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idden="1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hidden="1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hidden="1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hidden="1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hidden="1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hidden="1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hidden="1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hidden="1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hidden="1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idden="1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hidden="1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hidden="1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216</v>
      </c>
      <c r="Y311" s="53">
        <f>IFERROR(IF(X311="",0,CEILING((X311/$H311),1)*$H311),"")</f>
        <v>216</v>
      </c>
      <c r="Z311" s="39">
        <f>IFERROR(IF(Y311=0,"",ROUNDUP(Y311/H311,0)*0.01898),"")</f>
        <v>0.37959999999999999</v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224.2</v>
      </c>
      <c r="BN311" s="75">
        <f>IFERROR(Y311*I311/H311,"0")</f>
        <v>224.2</v>
      </c>
      <c r="BO311" s="75">
        <f>IFERROR(1/J311*(X311/H311),"0")</f>
        <v>0.3125</v>
      </c>
      <c r="BP311" s="75">
        <f>IFERROR(1/J311*(Y311/H311),"0")</f>
        <v>0.3125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20</v>
      </c>
      <c r="Y314" s="41">
        <f>IFERROR(Y309/H309,"0")+IFERROR(Y310/H310,"0")+IFERROR(Y311/H311,"0")+IFERROR(Y312/H312,"0")+IFERROR(Y313/H313,"0")</f>
        <v>20</v>
      </c>
      <c r="Z314" s="41">
        <f>IFERROR(IF(Z309="",0,Z309),"0")+IFERROR(IF(Z310="",0,Z310),"0")+IFERROR(IF(Z311="",0,Z311),"0")+IFERROR(IF(Z312="",0,Z312),"0")+IFERROR(IF(Z313="",0,Z313),"0")</f>
        <v>0.37959999999999999</v>
      </c>
      <c r="AA314" s="64"/>
      <c r="AB314" s="64"/>
      <c r="AC314" s="64"/>
    </row>
    <row r="315" spans="1:68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216</v>
      </c>
      <c r="Y315" s="41">
        <f>IFERROR(SUM(Y309:Y313),"0")</f>
        <v>216</v>
      </c>
      <c r="Z315" s="40"/>
      <c r="AA315" s="64"/>
      <c r="AB315" s="64"/>
      <c r="AC315" s="64"/>
    </row>
    <row r="316" spans="1:68" ht="16.5" hidden="1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hidden="1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hidden="1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hidden="1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hidden="1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108</v>
      </c>
      <c r="Y347" s="53">
        <f t="shared" si="47"/>
        <v>108</v>
      </c>
      <c r="Z347" s="39">
        <f>IFERROR(IF(Y347=0,"",ROUNDUP(Y347/H347,0)*0.01898),"")</f>
        <v>0.1898</v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112.1</v>
      </c>
      <c r="BN347" s="75">
        <f t="shared" si="49"/>
        <v>112.1</v>
      </c>
      <c r="BO347" s="75">
        <f t="shared" si="50"/>
        <v>0.15625</v>
      </c>
      <c r="BP347" s="75">
        <f t="shared" si="51"/>
        <v>0.15625</v>
      </c>
    </row>
    <row r="348" spans="1:68" ht="37.5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54</v>
      </c>
      <c r="Y348" s="53">
        <f t="shared" si="47"/>
        <v>54</v>
      </c>
      <c r="Z348" s="39">
        <f>IFERROR(IF(Y348=0,"",ROUNDUP(Y348/H348,0)*0.01898),"")</f>
        <v>9.4899999999999998E-2</v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56.05</v>
      </c>
      <c r="BN348" s="75">
        <f t="shared" si="49"/>
        <v>56.05</v>
      </c>
      <c r="BO348" s="75">
        <f t="shared" si="50"/>
        <v>7.8125E-2</v>
      </c>
      <c r="BP348" s="75">
        <f t="shared" si="51"/>
        <v>7.8125E-2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15</v>
      </c>
      <c r="Y352" s="41">
        <f>IFERROR(Y346/H346,"0")+IFERROR(Y347/H347,"0")+IFERROR(Y348/H348,"0")+IFERROR(Y349/H349,"0")+IFERROR(Y350/H350,"0")+IFERROR(Y351/H351,"0")</f>
        <v>15</v>
      </c>
      <c r="Z352" s="41">
        <f>IFERROR(IF(Z346="",0,Z346),"0")+IFERROR(IF(Z347="",0,Z347),"0")+IFERROR(IF(Z348="",0,Z348),"0")+IFERROR(IF(Z349="",0,Z349),"0")+IFERROR(IF(Z350="",0,Z350),"0")+IFERROR(IF(Z351="",0,Z351),"0")</f>
        <v>0.28470000000000001</v>
      </c>
      <c r="AA352" s="64"/>
      <c r="AB352" s="64"/>
      <c r="AC352" s="64"/>
    </row>
    <row r="353" spans="1:68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162</v>
      </c>
      <c r="Y353" s="41">
        <f>IFERROR(SUM(Y346:Y351),"0")</f>
        <v>162</v>
      </c>
      <c r="Z353" s="40"/>
      <c r="AA353" s="64"/>
      <c r="AB353" s="64"/>
      <c r="AC353" s="64"/>
    </row>
    <row r="354" spans="1:68" ht="14.25" hidden="1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63</v>
      </c>
      <c r="Y355" s="53">
        <f t="shared" ref="Y355:Y361" si="52">IFERROR(IF(X355="",0,CEILING((X355/$H355),1)*$H355),"")</f>
        <v>63</v>
      </c>
      <c r="Z355" s="39">
        <f>IFERROR(IF(Y355=0,"",ROUNDUP(Y355/H355,0)*0.00902),"")</f>
        <v>0.1353</v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66.75</v>
      </c>
      <c r="BN355" s="75">
        <f t="shared" ref="BN355:BN361" si="54">IFERROR(Y355*I355/H355,"0")</f>
        <v>66.75</v>
      </c>
      <c r="BO355" s="75">
        <f t="shared" ref="BO355:BO361" si="55">IFERROR(1/J355*(X355/H355),"0")</f>
        <v>0.11363636363636365</v>
      </c>
      <c r="BP355" s="75">
        <f t="shared" ref="BP355:BP361" si="56">IFERROR(1/J355*(Y355/H355),"0")</f>
        <v>0.11363636363636365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15</v>
      </c>
      <c r="Y362" s="41">
        <f>IFERROR(Y355/H355,"0")+IFERROR(Y356/H356,"0")+IFERROR(Y357/H357,"0")+IFERROR(Y358/H358,"0")+IFERROR(Y359/H359,"0")+IFERROR(Y360/H360,"0")+IFERROR(Y361/H361,"0")</f>
        <v>15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0.1353</v>
      </c>
      <c r="AA362" s="64"/>
      <c r="AB362" s="64"/>
      <c r="AC362" s="64"/>
    </row>
    <row r="363" spans="1:68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63</v>
      </c>
      <c r="Y363" s="41">
        <f>IFERROR(SUM(Y355:Y361),"0")</f>
        <v>63</v>
      </c>
      <c r="Z363" s="40"/>
      <c r="AA363" s="64"/>
      <c r="AB363" s="64"/>
      <c r="AC363" s="64"/>
    </row>
    <row r="364" spans="1:68" ht="14.25" hidden="1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1497.6</v>
      </c>
      <c r="Y365" s="53">
        <f>IFERROR(IF(X365="",0,CEILING((X365/$H365),1)*$H365),"")</f>
        <v>1497.6</v>
      </c>
      <c r="Z365" s="39">
        <f>IFERROR(IF(Y365=0,"",ROUNDUP(Y365/H365,0)*0.01898),"")</f>
        <v>3.6441600000000003</v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1591.296</v>
      </c>
      <c r="BN365" s="75">
        <f>IFERROR(Y365*I365/H365,"0")</f>
        <v>1591.296</v>
      </c>
      <c r="BO365" s="75">
        <f>IFERROR(1/J365*(X365/H365),"0")</f>
        <v>3</v>
      </c>
      <c r="BP365" s="75">
        <f>IFERROR(1/J365*(Y365/H365),"0")</f>
        <v>3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192</v>
      </c>
      <c r="Y369" s="41">
        <f>IFERROR(Y365/H365,"0")+IFERROR(Y366/H366,"0")+IFERROR(Y367/H367,"0")+IFERROR(Y368/H368,"0")</f>
        <v>192</v>
      </c>
      <c r="Z369" s="41">
        <f>IFERROR(IF(Z365="",0,Z365),"0")+IFERROR(IF(Z366="",0,Z366),"0")+IFERROR(IF(Z367="",0,Z367),"0")+IFERROR(IF(Z368="",0,Z368),"0")</f>
        <v>3.6441600000000003</v>
      </c>
      <c r="AA369" s="64"/>
      <c r="AB369" s="64"/>
      <c r="AC369" s="64"/>
    </row>
    <row r="370" spans="1:68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1497.6</v>
      </c>
      <c r="Y370" s="41">
        <f>IFERROR(SUM(Y365:Y368),"0")</f>
        <v>1497.6</v>
      </c>
      <c r="Z370" s="40"/>
      <c r="AA370" s="64"/>
      <c r="AB370" s="64"/>
      <c r="AC370" s="64"/>
    </row>
    <row r="371" spans="1:68" ht="14.25" hidden="1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78</v>
      </c>
      <c r="Y373" s="53">
        <f>IFERROR(IF(X373="",0,CEILING((X373/$H373),1)*$H373),"")</f>
        <v>78</v>
      </c>
      <c r="Z373" s="39">
        <f>IFERROR(IF(Y373=0,"",ROUNDUP(Y373/H373,0)*0.01898),"")</f>
        <v>0.1898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82.94</v>
      </c>
      <c r="BN373" s="75">
        <f>IFERROR(Y373*I373/H373,"0")</f>
        <v>82.94</v>
      </c>
      <c r="BO373" s="75">
        <f>IFERROR(1/J373*(X373/H373),"0")</f>
        <v>0.15625</v>
      </c>
      <c r="BP373" s="75">
        <f>IFERROR(1/J373*(Y373/H373),"0")</f>
        <v>0.15625</v>
      </c>
    </row>
    <row r="374" spans="1:68" ht="16.5" hidden="1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10</v>
      </c>
      <c r="Y375" s="41">
        <f>IFERROR(Y372/H372,"0")+IFERROR(Y373/H373,"0")+IFERROR(Y374/H374,"0")</f>
        <v>10</v>
      </c>
      <c r="Z375" s="41">
        <f>IFERROR(IF(Z372="",0,Z372),"0")+IFERROR(IF(Z373="",0,Z373),"0")+IFERROR(IF(Z374="",0,Z374),"0")</f>
        <v>0.1898</v>
      </c>
      <c r="AA375" s="64"/>
      <c r="AB375" s="64"/>
      <c r="AC375" s="64"/>
    </row>
    <row r="376" spans="1:68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78</v>
      </c>
      <c r="Y376" s="41">
        <f>IFERROR(SUM(Y372:Y374),"0")</f>
        <v>78</v>
      </c>
      <c r="Z376" s="40"/>
      <c r="AA376" s="64"/>
      <c r="AB376" s="64"/>
      <c r="AC376" s="64"/>
    </row>
    <row r="377" spans="1:68" ht="14.25" hidden="1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hidden="1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10.5</v>
      </c>
      <c r="Y393" s="53">
        <f>IFERROR(IF(X393="",0,CEILING((X393/$H393),1)*$H393),"")</f>
        <v>10.5</v>
      </c>
      <c r="Z393" s="39">
        <f>IFERROR(IF(Y393=0,"",ROUNDUP(Y393/H393,0)*0.00651),"")</f>
        <v>3.2550000000000003E-2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11.759999999999998</v>
      </c>
      <c r="BN393" s="75">
        <f>IFERROR(Y393*I393/H393,"0")</f>
        <v>11.759999999999998</v>
      </c>
      <c r="BO393" s="75">
        <f>IFERROR(1/J393*(X393/H393),"0")</f>
        <v>2.7472527472527476E-2</v>
      </c>
      <c r="BP393" s="75">
        <f>IFERROR(1/J393*(Y393/H393),"0")</f>
        <v>2.7472527472527476E-2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10.5</v>
      </c>
      <c r="Y394" s="53">
        <f>IFERROR(IF(X394="",0,CEILING((X394/$H394),1)*$H394),"")</f>
        <v>10.5</v>
      </c>
      <c r="Z394" s="39">
        <f>IFERROR(IF(Y394=0,"",ROUNDUP(Y394/H394,0)*0.00651),"")</f>
        <v>3.2550000000000003E-2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11.7</v>
      </c>
      <c r="BN394" s="75">
        <f>IFERROR(Y394*I394/H394,"0")</f>
        <v>11.7</v>
      </c>
      <c r="BO394" s="75">
        <f>IFERROR(1/J394*(X394/H394),"0")</f>
        <v>2.7472527472527476E-2</v>
      </c>
      <c r="BP394" s="75">
        <f>IFERROR(1/J394*(Y394/H394),"0")</f>
        <v>2.7472527472527476E-2</v>
      </c>
    </row>
    <row r="395" spans="1:68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10</v>
      </c>
      <c r="Y395" s="41">
        <f>IFERROR(Y392/H392,"0")+IFERROR(Y393/H393,"0")+IFERROR(Y394/H394,"0")</f>
        <v>10</v>
      </c>
      <c r="Z395" s="41">
        <f>IFERROR(IF(Z392="",0,Z392),"0")+IFERROR(IF(Z393="",0,Z393),"0")+IFERROR(IF(Z394="",0,Z394),"0")</f>
        <v>6.5100000000000005E-2</v>
      </c>
      <c r="AA395" s="64"/>
      <c r="AB395" s="64"/>
      <c r="AC395" s="64"/>
    </row>
    <row r="396" spans="1:68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21</v>
      </c>
      <c r="Y396" s="41">
        <f>IFERROR(SUM(Y392:Y394),"0")</f>
        <v>21</v>
      </c>
      <c r="Z396" s="40"/>
      <c r="AA396" s="64"/>
      <c r="AB396" s="64"/>
      <c r="AC396" s="64"/>
    </row>
    <row r="397" spans="1:68" ht="27.75" hidden="1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hidden="1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hidden="1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hidden="1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0</v>
      </c>
      <c r="Y401" s="53">
        <f t="shared" si="57"/>
        <v>0</v>
      </c>
      <c r="Z401" s="39" t="str">
        <f>IFERROR(IF(Y401=0,"",ROUNDUP(Y401/H401,0)*0.02175),"")</f>
        <v/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0</v>
      </c>
      <c r="BN401" s="75">
        <f t="shared" si="59"/>
        <v>0</v>
      </c>
      <c r="BO401" s="75">
        <f t="shared" si="60"/>
        <v>0</v>
      </c>
      <c r="BP401" s="75">
        <f t="shared" si="61"/>
        <v>0</v>
      </c>
    </row>
    <row r="402" spans="1:68" ht="27" hidden="1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0</v>
      </c>
      <c r="Y402" s="53">
        <f t="shared" si="57"/>
        <v>0</v>
      </c>
      <c r="Z402" s="39" t="str">
        <f>IFERROR(IF(Y402=0,"",ROUNDUP(Y402/H402,0)*0.02175),"")</f>
        <v/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0</v>
      </c>
      <c r="BN402" s="75">
        <f t="shared" si="59"/>
        <v>0</v>
      </c>
      <c r="BO402" s="75">
        <f t="shared" si="60"/>
        <v>0</v>
      </c>
      <c r="BP402" s="75">
        <f t="shared" si="61"/>
        <v>0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1440</v>
      </c>
      <c r="Y403" s="53">
        <f t="shared" si="57"/>
        <v>1440</v>
      </c>
      <c r="Z403" s="39">
        <f>IFERROR(IF(Y403=0,"",ROUNDUP(Y403/H403,0)*0.02175),"")</f>
        <v>2.0880000000000001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1485.12</v>
      </c>
      <c r="BN403" s="75">
        <f t="shared" si="59"/>
        <v>1485.12</v>
      </c>
      <c r="BO403" s="75">
        <f t="shared" si="60"/>
        <v>2</v>
      </c>
      <c r="BP403" s="75">
        <f t="shared" si="61"/>
        <v>2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96</v>
      </c>
      <c r="Y408" s="41">
        <f>IFERROR(Y400/H400,"0")+IFERROR(Y401/H401,"0")+IFERROR(Y402/H402,"0")+IFERROR(Y403/H403,"0")+IFERROR(Y404/H404,"0")+IFERROR(Y405/H405,"0")+IFERROR(Y406/H406,"0")+IFERROR(Y407/H407,"0")</f>
        <v>96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2.0880000000000001</v>
      </c>
      <c r="AA408" s="64"/>
      <c r="AB408" s="64"/>
      <c r="AC408" s="64"/>
    </row>
    <row r="409" spans="1:68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1440</v>
      </c>
      <c r="Y409" s="41">
        <f>IFERROR(SUM(Y400:Y407),"0")</f>
        <v>1440</v>
      </c>
      <c r="Z409" s="40"/>
      <c r="AA409" s="64"/>
      <c r="AB409" s="64"/>
      <c r="AC409" s="64"/>
    </row>
    <row r="410" spans="1:68" ht="14.25" hidden="1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hidden="1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4.25" hidden="1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hidden="1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hidden="1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hidden="1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hidden="1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hidden="1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hidden="1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hidden="1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hidden="1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hidden="1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hidden="1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52.8</v>
      </c>
      <c r="Y476" s="53">
        <f t="shared" si="67"/>
        <v>52.800000000000004</v>
      </c>
      <c r="Z476" s="39">
        <f t="shared" si="68"/>
        <v>0.1196</v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56.29999999999999</v>
      </c>
      <c r="BN476" s="75">
        <f t="shared" si="70"/>
        <v>56.3</v>
      </c>
      <c r="BO476" s="75">
        <f t="shared" si="71"/>
        <v>9.6153846153846145E-2</v>
      </c>
      <c r="BP476" s="75">
        <f t="shared" si="72"/>
        <v>9.6153846153846159E-2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9.9999999999999982</v>
      </c>
      <c r="Y480" s="41">
        <f>IFERROR(Y471/H471,"0")+IFERROR(Y472/H472,"0")+IFERROR(Y473/H473,"0")+IFERROR(Y474/H474,"0")+IFERROR(Y475/H475,"0")+IFERROR(Y476/H476,"0")+IFERROR(Y477/H477,"0")+IFERROR(Y478/H478,"0")+IFERROR(Y479/H479,"0")</f>
        <v>10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0.1196</v>
      </c>
      <c r="AA480" s="64"/>
      <c r="AB480" s="64"/>
      <c r="AC480" s="64"/>
    </row>
    <row r="481" spans="1:68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52.8</v>
      </c>
      <c r="Y481" s="41">
        <f>IFERROR(SUM(Y471:Y479),"0")</f>
        <v>52.800000000000004</v>
      </c>
      <c r="Z481" s="40"/>
      <c r="AA481" s="64"/>
      <c r="AB481" s="64"/>
      <c r="AC481" s="64"/>
    </row>
    <row r="482" spans="1:68" ht="14.25" hidden="1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79.2</v>
      </c>
      <c r="Y483" s="53">
        <f>IFERROR(IF(X483="",0,CEILING((X483/$H483),1)*$H483),"")</f>
        <v>79.2</v>
      </c>
      <c r="Z483" s="39">
        <f>IFERROR(IF(Y483=0,"",ROUNDUP(Y483/H483,0)*0.01196),"")</f>
        <v>0.1794</v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84.45</v>
      </c>
      <c r="BN483" s="75">
        <f>IFERROR(Y483*I483/H483,"0")</f>
        <v>84.45</v>
      </c>
      <c r="BO483" s="75">
        <f>IFERROR(1/J483*(X483/H483),"0")</f>
        <v>0.14423076923076925</v>
      </c>
      <c r="BP483" s="75">
        <f>IFERROR(1/J483*(Y483/H483),"0")</f>
        <v>0.14423076923076925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15</v>
      </c>
      <c r="Y486" s="41">
        <f>IFERROR(Y483/H483,"0")+IFERROR(Y484/H484,"0")+IFERROR(Y485/H485,"0")</f>
        <v>15</v>
      </c>
      <c r="Z486" s="41">
        <f>IFERROR(IF(Z483="",0,Z483),"0")+IFERROR(IF(Z484="",0,Z484),"0")+IFERROR(IF(Z485="",0,Z485),"0")</f>
        <v>0.1794</v>
      </c>
      <c r="AA486" s="64"/>
      <c r="AB486" s="64"/>
      <c r="AC486" s="64"/>
    </row>
    <row r="487" spans="1:68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79.2</v>
      </c>
      <c r="Y487" s="41">
        <f>IFERROR(SUM(Y483:Y485),"0")</f>
        <v>79.2</v>
      </c>
      <c r="Z487" s="40"/>
      <c r="AA487" s="64"/>
      <c r="AB487" s="64"/>
      <c r="AC487" s="64"/>
    </row>
    <row r="488" spans="1:68" ht="14.25" hidden="1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hidden="1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73"/>
        <v>0</v>
      </c>
      <c r="Z491" s="39" t="str">
        <f>IFERROR(IF(Y491=0,"",ROUNDUP(Y491/H491,0)*0.01196),"")</f>
        <v/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0</v>
      </c>
      <c r="BN491" s="75">
        <f t="shared" si="75"/>
        <v>0</v>
      </c>
      <c r="BO491" s="75">
        <f t="shared" si="76"/>
        <v>0</v>
      </c>
      <c r="BP491" s="75">
        <f t="shared" si="77"/>
        <v>0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hidden="1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0</v>
      </c>
      <c r="Y496" s="41">
        <f>IFERROR(Y489/H489,"0")+IFERROR(Y490/H490,"0")+IFERROR(Y491/H491,"0")+IFERROR(Y492/H492,"0")+IFERROR(Y493/H493,"0")+IFERROR(Y494/H494,"0")+IFERROR(Y495/H495,"0")</f>
        <v>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4"/>
      <c r="AB496" s="64"/>
      <c r="AC496" s="64"/>
    </row>
    <row r="497" spans="1:68" hidden="1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0</v>
      </c>
      <c r="Y497" s="41">
        <f>IFERROR(SUM(Y489:Y495),"0")</f>
        <v>0</v>
      </c>
      <c r="Z497" s="40"/>
      <c r="AA497" s="64"/>
      <c r="AB497" s="64"/>
      <c r="AC497" s="64"/>
    </row>
    <row r="498" spans="1:68" ht="27.75" hidden="1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hidden="1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hidden="1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hidden="1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hidden="1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hidden="1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hidden="1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3851.1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3851.1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4037.2759999999998</v>
      </c>
      <c r="Y528" s="41">
        <f>IFERROR(SUM(BN22:BN524),"0")</f>
        <v>4037.2759999999998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7</v>
      </c>
      <c r="Y529" s="42">
        <f>ROUNDUP(SUM(BP22:BP524),0)</f>
        <v>7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4212.2759999999998</v>
      </c>
      <c r="Y530" s="41">
        <f>GrossWeightTotalR+PalletQtyTotalR*25</f>
        <v>4212.2759999999998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428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428</v>
      </c>
      <c r="Z531" s="40"/>
      <c r="AA531" s="64"/>
      <c r="AB531" s="64"/>
      <c r="AC531" s="64"/>
    </row>
    <row r="532" spans="1:32" ht="14.25" hidden="1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7.6409600000000006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60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60</v>
      </c>
      <c r="F537" s="50">
        <f>IFERROR(Y87*1,"0")+IFERROR(Y88*1,"0")+IFERROR(Y89*1,"0")+IFERROR(Y90*1,"0")+IFERROR(Y94*1,"0")+IFERROR(Y95*1,"0")+IFERROR(Y96*1,"0")+IFERROR(Y97*1,"0")</f>
        <v>121.5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216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1800.6</v>
      </c>
      <c r="U537" s="50">
        <f>IFERROR(Y392*1,"0")+IFERROR(Y393*1,"0")+IFERROR(Y394*1,"0")</f>
        <v>21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1440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132</v>
      </c>
      <c r="AA537" s="50">
        <f>IFERROR(Y501*1,"0")+IFERROR(Y505*1,"0")+IFERROR(Y509*1,"0")+IFERROR(Y510*1,"0")+IFERROR(Y514*1,"0")+IFERROR(Y518*1,"0")+IFERROR(Y519*1,"0")</f>
        <v>0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497,60"/>
        <filter val="10,00"/>
        <filter val="10,50"/>
        <filter val="108,00"/>
        <filter val="121,50"/>
        <filter val="15,00"/>
        <filter val="162,00"/>
        <filter val="192,00"/>
        <filter val="20,00"/>
        <filter val="21,00"/>
        <filter val="216,00"/>
        <filter val="3 851,10"/>
        <filter val="4 037,28"/>
        <filter val="4 212,28"/>
        <filter val="428,00"/>
        <filter val="52,80"/>
        <filter val="54,00"/>
        <filter val="60,00"/>
        <filter val="63,00"/>
        <filter val="7"/>
        <filter val="78,00"/>
        <filter val="79,20"/>
        <filter val="96,00"/>
      </filters>
    </filterColumn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