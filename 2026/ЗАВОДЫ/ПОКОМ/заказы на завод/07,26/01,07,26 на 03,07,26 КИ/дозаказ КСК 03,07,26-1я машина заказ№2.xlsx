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2ED0C08-87EE-4757-91A6-6FBCA248CA2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Z522" i="2" s="1"/>
  <c r="P522" i="2"/>
  <c r="BO521" i="2"/>
  <c r="BM521" i="2"/>
  <c r="Y521" i="2"/>
  <c r="Y523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P513" i="2"/>
  <c r="BO512" i="2"/>
  <c r="BM512" i="2"/>
  <c r="Y512" i="2"/>
  <c r="BN512" i="2" s="1"/>
  <c r="P512" i="2"/>
  <c r="Y510" i="2"/>
  <c r="X510" i="2"/>
  <c r="X509" i="2"/>
  <c r="BO508" i="2"/>
  <c r="BM508" i="2"/>
  <c r="Y508" i="2"/>
  <c r="BP508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Z495" i="2"/>
  <c r="Y495" i="2"/>
  <c r="BP495" i="2" s="1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P480" i="2" s="1"/>
  <c r="P480" i="2"/>
  <c r="BP479" i="2"/>
  <c r="BO479" i="2"/>
  <c r="BN479" i="2"/>
  <c r="BM479" i="2"/>
  <c r="Z479" i="2"/>
  <c r="Y479" i="2"/>
  <c r="P479" i="2"/>
  <c r="BO478" i="2"/>
  <c r="BM478" i="2"/>
  <c r="Y478" i="2"/>
  <c r="BN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Z475" i="2"/>
  <c r="Y475" i="2"/>
  <c r="BP475" i="2" s="1"/>
  <c r="P475" i="2"/>
  <c r="BO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Z466" i="2"/>
  <c r="Y466" i="2"/>
  <c r="P466" i="2"/>
  <c r="X464" i="2"/>
  <c r="Y463" i="2"/>
  <c r="X463" i="2"/>
  <c r="BP462" i="2"/>
  <c r="BO462" i="2"/>
  <c r="BN462" i="2"/>
  <c r="BM462" i="2"/>
  <c r="Z462" i="2"/>
  <c r="Z463" i="2" s="1"/>
  <c r="Y462" i="2"/>
  <c r="Y464" i="2" s="1"/>
  <c r="P462" i="2"/>
  <c r="X459" i="2"/>
  <c r="X458" i="2"/>
  <c r="BO457" i="2"/>
  <c r="BM457" i="2"/>
  <c r="Y457" i="2"/>
  <c r="Z457" i="2" s="1"/>
  <c r="P457" i="2"/>
  <c r="BO456" i="2"/>
  <c r="BM456" i="2"/>
  <c r="Y456" i="2"/>
  <c r="Z456" i="2" s="1"/>
  <c r="P456" i="2"/>
  <c r="X454" i="2"/>
  <c r="X453" i="2"/>
  <c r="BO452" i="2"/>
  <c r="BM452" i="2"/>
  <c r="Y452" i="2"/>
  <c r="Z452" i="2" s="1"/>
  <c r="P452" i="2"/>
  <c r="BP451" i="2"/>
  <c r="BO451" i="2"/>
  <c r="BN451" i="2"/>
  <c r="BM451" i="2"/>
  <c r="Z451" i="2"/>
  <c r="Y451" i="2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P441" i="2"/>
  <c r="BO440" i="2"/>
  <c r="BM440" i="2"/>
  <c r="Z440" i="2"/>
  <c r="Y440" i="2"/>
  <c r="P440" i="2"/>
  <c r="BO439" i="2"/>
  <c r="BM439" i="2"/>
  <c r="Y439" i="2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X427" i="2"/>
  <c r="X426" i="2"/>
  <c r="BO425" i="2"/>
  <c r="BM425" i="2"/>
  <c r="Y425" i="2"/>
  <c r="P425" i="2"/>
  <c r="X423" i="2"/>
  <c r="X422" i="2"/>
  <c r="BO421" i="2"/>
  <c r="BM421" i="2"/>
  <c r="Y421" i="2"/>
  <c r="BN421" i="2" s="1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P410" i="2"/>
  <c r="BP409" i="2"/>
  <c r="BO409" i="2"/>
  <c r="BM409" i="2"/>
  <c r="Y409" i="2"/>
  <c r="Z409" i="2" s="1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BN396" i="2" s="1"/>
  <c r="P396" i="2"/>
  <c r="BO395" i="2"/>
  <c r="BM395" i="2"/>
  <c r="Y395" i="2"/>
  <c r="Z395" i="2" s="1"/>
  <c r="P395" i="2"/>
  <c r="X392" i="2"/>
  <c r="X391" i="2"/>
  <c r="BO390" i="2"/>
  <c r="BM390" i="2"/>
  <c r="Y390" i="2"/>
  <c r="P390" i="2"/>
  <c r="BP389" i="2"/>
  <c r="BO389" i="2"/>
  <c r="BN389" i="2"/>
  <c r="BM389" i="2"/>
  <c r="Z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Z369" i="2"/>
  <c r="Y369" i="2"/>
  <c r="BN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BO358" i="2"/>
  <c r="BM358" i="2"/>
  <c r="Y358" i="2"/>
  <c r="P358" i="2"/>
  <c r="X356" i="2"/>
  <c r="X355" i="2"/>
  <c r="BP354" i="2"/>
  <c r="BO354" i="2"/>
  <c r="BM354" i="2"/>
  <c r="Y354" i="2"/>
  <c r="Z354" i="2" s="1"/>
  <c r="P354" i="2"/>
  <c r="BO353" i="2"/>
  <c r="BM353" i="2"/>
  <c r="Y353" i="2"/>
  <c r="P353" i="2"/>
  <c r="BO352" i="2"/>
  <c r="BN352" i="2"/>
  <c r="BM352" i="2"/>
  <c r="Z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Z336" i="2"/>
  <c r="Y336" i="2"/>
  <c r="BP336" i="2" s="1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X325" i="2"/>
  <c r="X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P313" i="2"/>
  <c r="BO313" i="2"/>
  <c r="BN313" i="2"/>
  <c r="BM313" i="2"/>
  <c r="Z313" i="2"/>
  <c r="Y313" i="2"/>
  <c r="P313" i="2"/>
  <c r="BO312" i="2"/>
  <c r="BM312" i="2"/>
  <c r="Y312" i="2"/>
  <c r="BP312" i="2" s="1"/>
  <c r="P312" i="2"/>
  <c r="X309" i="2"/>
  <c r="Y308" i="2"/>
  <c r="X308" i="2"/>
  <c r="BP307" i="2"/>
  <c r="BO307" i="2"/>
  <c r="BM307" i="2"/>
  <c r="Y307" i="2"/>
  <c r="Z307" i="2" s="1"/>
  <c r="P307" i="2"/>
  <c r="BO306" i="2"/>
  <c r="BM306" i="2"/>
  <c r="Y306" i="2"/>
  <c r="P306" i="2"/>
  <c r="BO305" i="2"/>
  <c r="BM305" i="2"/>
  <c r="Y305" i="2"/>
  <c r="Z305" i="2" s="1"/>
  <c r="P305" i="2"/>
  <c r="X303" i="2"/>
  <c r="X302" i="2"/>
  <c r="BO301" i="2"/>
  <c r="BM301" i="2"/>
  <c r="Y301" i="2"/>
  <c r="Y302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X284" i="2"/>
  <c r="X283" i="2"/>
  <c r="BO282" i="2"/>
  <c r="BM282" i="2"/>
  <c r="Y282" i="2"/>
  <c r="P282" i="2"/>
  <c r="BO281" i="2"/>
  <c r="BM281" i="2"/>
  <c r="Y281" i="2"/>
  <c r="BP281" i="2" s="1"/>
  <c r="P281" i="2"/>
  <c r="X279" i="2"/>
  <c r="X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BP274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Z266" i="2"/>
  <c r="Y266" i="2"/>
  <c r="BN266" i="2" s="1"/>
  <c r="P266" i="2"/>
  <c r="X264" i="2"/>
  <c r="X263" i="2"/>
  <c r="BO262" i="2"/>
  <c r="BN262" i="2"/>
  <c r="BM262" i="2"/>
  <c r="Z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Z256" i="2"/>
  <c r="Y256" i="2"/>
  <c r="BN256" i="2" s="1"/>
  <c r="P256" i="2"/>
  <c r="BO255" i="2"/>
  <c r="BM255" i="2"/>
  <c r="Y255" i="2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X242" i="2"/>
  <c r="X241" i="2"/>
  <c r="BO240" i="2"/>
  <c r="BM240" i="2"/>
  <c r="Y240" i="2"/>
  <c r="BP240" i="2" s="1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X225" i="2"/>
  <c r="X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Z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Z214" i="2"/>
  <c r="Y214" i="2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X208" i="2"/>
  <c r="X207" i="2"/>
  <c r="BO206" i="2"/>
  <c r="BM206" i="2"/>
  <c r="Y206" i="2"/>
  <c r="P206" i="2"/>
  <c r="X203" i="2"/>
  <c r="X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Y185" i="2" s="1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P173" i="2"/>
  <c r="BO173" i="2"/>
  <c r="BN173" i="2"/>
  <c r="BM173" i="2"/>
  <c r="Z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P168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BP144" i="2" s="1"/>
  <c r="P144" i="2"/>
  <c r="X142" i="2"/>
  <c r="X141" i="2"/>
  <c r="BP140" i="2"/>
  <c r="BO140" i="2"/>
  <c r="BM140" i="2"/>
  <c r="Y140" i="2"/>
  <c r="BN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P134" i="2"/>
  <c r="BO134" i="2"/>
  <c r="BM134" i="2"/>
  <c r="Y134" i="2"/>
  <c r="Z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Z122" i="2"/>
  <c r="Y122" i="2"/>
  <c r="P122" i="2"/>
  <c r="X120" i="2"/>
  <c r="X119" i="2"/>
  <c r="BO118" i="2"/>
  <c r="BM118" i="2"/>
  <c r="Y118" i="2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P112" i="2"/>
  <c r="X110" i="2"/>
  <c r="X109" i="2"/>
  <c r="BP108" i="2"/>
  <c r="BO108" i="2"/>
  <c r="BM108" i="2"/>
  <c r="Y108" i="2"/>
  <c r="P108" i="2"/>
  <c r="BO107" i="2"/>
  <c r="BM107" i="2"/>
  <c r="Y107" i="2"/>
  <c r="Z107" i="2" s="1"/>
  <c r="P107" i="2"/>
  <c r="BO106" i="2"/>
  <c r="BM106" i="2"/>
  <c r="Y106" i="2"/>
  <c r="P106" i="2"/>
  <c r="BO105" i="2"/>
  <c r="BM105" i="2"/>
  <c r="Z105" i="2"/>
  <c r="Y105" i="2"/>
  <c r="BP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P97" i="2"/>
  <c r="BO96" i="2"/>
  <c r="BM96" i="2"/>
  <c r="Y96" i="2"/>
  <c r="Y98" i="2" s="1"/>
  <c r="P96" i="2"/>
  <c r="BO95" i="2"/>
  <c r="BM95" i="2"/>
  <c r="Y95" i="2"/>
  <c r="BP95" i="2" s="1"/>
  <c r="P95" i="2"/>
  <c r="BO94" i="2"/>
  <c r="BM94" i="2"/>
  <c r="Y94" i="2"/>
  <c r="P94" i="2"/>
  <c r="X92" i="2"/>
  <c r="X91" i="2"/>
  <c r="BO90" i="2"/>
  <c r="BM90" i="2"/>
  <c r="Y90" i="2"/>
  <c r="P90" i="2"/>
  <c r="BO89" i="2"/>
  <c r="BM89" i="2"/>
  <c r="Y89" i="2"/>
  <c r="P89" i="2"/>
  <c r="BO88" i="2"/>
  <c r="BM88" i="2"/>
  <c r="Y88" i="2"/>
  <c r="Z88" i="2" s="1"/>
  <c r="P88" i="2"/>
  <c r="BP87" i="2"/>
  <c r="BO87" i="2"/>
  <c r="BM87" i="2"/>
  <c r="Y87" i="2"/>
  <c r="Z87" i="2" s="1"/>
  <c r="P87" i="2"/>
  <c r="X84" i="2"/>
  <c r="Y83" i="2"/>
  <c r="X83" i="2"/>
  <c r="BO82" i="2"/>
  <c r="BM82" i="2"/>
  <c r="Y82" i="2"/>
  <c r="BP82" i="2" s="1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Y78" i="2" s="1"/>
  <c r="P76" i="2"/>
  <c r="X74" i="2"/>
  <c r="X73" i="2"/>
  <c r="BP72" i="2"/>
  <c r="BO72" i="2"/>
  <c r="BM72" i="2"/>
  <c r="Y72" i="2"/>
  <c r="P72" i="2"/>
  <c r="BO71" i="2"/>
  <c r="BM71" i="2"/>
  <c r="Z71" i="2"/>
  <c r="Y71" i="2"/>
  <c r="BP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P65" i="2" s="1"/>
  <c r="P65" i="2"/>
  <c r="BO64" i="2"/>
  <c r="BM64" i="2"/>
  <c r="Y64" i="2"/>
  <c r="P64" i="2"/>
  <c r="BP63" i="2"/>
  <c r="BO63" i="2"/>
  <c r="BM63" i="2"/>
  <c r="Y63" i="2"/>
  <c r="P63" i="2"/>
  <c r="BO62" i="2"/>
  <c r="BM62" i="2"/>
  <c r="Y62" i="2"/>
  <c r="Z62" i="2" s="1"/>
  <c r="P62" i="2"/>
  <c r="BO61" i="2"/>
  <c r="BM61" i="2"/>
  <c r="Z61" i="2"/>
  <c r="Y61" i="2"/>
  <c r="BP61" i="2" s="1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Z53" i="2"/>
  <c r="Y53" i="2"/>
  <c r="BN53" i="2" s="1"/>
  <c r="P53" i="2"/>
  <c r="BO52" i="2"/>
  <c r="BM52" i="2"/>
  <c r="Y52" i="2"/>
  <c r="BN52" i="2" s="1"/>
  <c r="P52" i="2"/>
  <c r="BO51" i="2"/>
  <c r="BM51" i="2"/>
  <c r="Z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P43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P32" i="2"/>
  <c r="BO31" i="2"/>
  <c r="BM31" i="2"/>
  <c r="Y31" i="2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Y33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N60" i="2" l="1"/>
  <c r="BP60" i="2"/>
  <c r="BN64" i="2"/>
  <c r="Z64" i="2"/>
  <c r="BN104" i="2"/>
  <c r="Z104" i="2"/>
  <c r="BN114" i="2"/>
  <c r="BN44" i="2"/>
  <c r="BN63" i="2"/>
  <c r="Z63" i="2"/>
  <c r="BN72" i="2"/>
  <c r="Z72" i="2"/>
  <c r="BN108" i="2"/>
  <c r="Z108" i="2"/>
  <c r="BP118" i="2"/>
  <c r="BN118" i="2"/>
  <c r="BP124" i="2"/>
  <c r="BN181" i="2"/>
  <c r="BP200" i="2"/>
  <c r="BN210" i="2"/>
  <c r="BN221" i="2"/>
  <c r="BP236" i="2"/>
  <c r="BN259" i="2"/>
  <c r="BN271" i="2"/>
  <c r="BP277" i="2"/>
  <c r="Y299" i="2"/>
  <c r="BN315" i="2"/>
  <c r="BN351" i="2"/>
  <c r="BN371" i="2"/>
  <c r="BP381" i="2"/>
  <c r="Y422" i="2"/>
  <c r="BN522" i="2"/>
  <c r="BN27" i="2"/>
  <c r="BP51" i="2"/>
  <c r="Y73" i="2"/>
  <c r="BN82" i="2"/>
  <c r="BN95" i="2"/>
  <c r="BN116" i="2"/>
  <c r="Z124" i="2"/>
  <c r="Z125" i="2"/>
  <c r="Z135" i="2"/>
  <c r="Z139" i="2"/>
  <c r="BN139" i="2"/>
  <c r="BN152" i="2"/>
  <c r="Z158" i="2"/>
  <c r="Z171" i="2"/>
  <c r="BN171" i="2"/>
  <c r="Z175" i="2"/>
  <c r="BN175" i="2"/>
  <c r="BN176" i="2"/>
  <c r="BN183" i="2"/>
  <c r="Z200" i="2"/>
  <c r="Z217" i="2"/>
  <c r="BN228" i="2"/>
  <c r="Z236" i="2"/>
  <c r="Z277" i="2"/>
  <c r="BN292" i="2"/>
  <c r="Z293" i="2"/>
  <c r="BN293" i="2"/>
  <c r="Z297" i="2"/>
  <c r="Z298" i="2" s="1"/>
  <c r="Y303" i="2"/>
  <c r="Z330" i="2"/>
  <c r="BN330" i="2"/>
  <c r="Z362" i="2"/>
  <c r="BP369" i="2"/>
  <c r="Y372" i="2"/>
  <c r="Z381" i="2"/>
  <c r="Z383" i="2"/>
  <c r="Y412" i="2"/>
  <c r="Z449" i="2"/>
  <c r="BN449" i="2"/>
  <c r="BP456" i="2"/>
  <c r="Z467" i="2"/>
  <c r="BN467" i="2"/>
  <c r="Z478" i="2"/>
  <c r="Z486" i="2"/>
  <c r="BN486" i="2"/>
  <c r="Z498" i="2"/>
  <c r="Z90" i="2"/>
  <c r="BN90" i="2"/>
  <c r="BN150" i="2"/>
  <c r="BP150" i="2"/>
  <c r="Z150" i="2"/>
  <c r="BP390" i="2"/>
  <c r="Z390" i="2"/>
  <c r="BN488" i="2"/>
  <c r="Z488" i="2"/>
  <c r="BN513" i="2"/>
  <c r="BP513" i="2"/>
  <c r="Z513" i="2"/>
  <c r="Y99" i="2"/>
  <c r="BN106" i="2"/>
  <c r="BP106" i="2"/>
  <c r="Z106" i="2"/>
  <c r="Z144" i="2"/>
  <c r="BN144" i="2"/>
  <c r="Z168" i="2"/>
  <c r="BN168" i="2"/>
  <c r="BN240" i="2"/>
  <c r="Y241" i="2"/>
  <c r="Z240" i="2"/>
  <c r="Z241" i="2" s="1"/>
  <c r="BN269" i="2"/>
  <c r="BP269" i="2"/>
  <c r="Z269" i="2"/>
  <c r="BN404" i="2"/>
  <c r="BP404" i="2"/>
  <c r="Z404" i="2"/>
  <c r="Y426" i="2"/>
  <c r="Y427" i="2"/>
  <c r="Z425" i="2"/>
  <c r="Z426" i="2" s="1"/>
  <c r="BN62" i="2"/>
  <c r="BP62" i="2"/>
  <c r="BN97" i="2"/>
  <c r="BP97" i="2"/>
  <c r="Z97" i="2"/>
  <c r="BN220" i="2"/>
  <c r="Z220" i="2"/>
  <c r="BP358" i="2"/>
  <c r="Y365" i="2"/>
  <c r="BN414" i="2"/>
  <c r="BP414" i="2"/>
  <c r="Z414" i="2"/>
  <c r="BN441" i="2"/>
  <c r="Z441" i="2"/>
  <c r="BN496" i="2"/>
  <c r="BP496" i="2"/>
  <c r="Z496" i="2"/>
  <c r="Z30" i="2"/>
  <c r="BN30" i="2"/>
  <c r="BP115" i="2"/>
  <c r="Z115" i="2"/>
  <c r="Y164" i="2"/>
  <c r="BN163" i="2"/>
  <c r="Y165" i="2"/>
  <c r="BP163" i="2"/>
  <c r="Z163" i="2"/>
  <c r="Z164" i="2" s="1"/>
  <c r="BN199" i="2"/>
  <c r="BP199" i="2"/>
  <c r="Z199" i="2"/>
  <c r="Y208" i="2"/>
  <c r="BN206" i="2"/>
  <c r="BP206" i="2"/>
  <c r="Z206" i="2"/>
  <c r="Z207" i="2" s="1"/>
  <c r="BN216" i="2"/>
  <c r="BP216" i="2"/>
  <c r="Z216" i="2"/>
  <c r="BN287" i="2"/>
  <c r="Z287" i="2"/>
  <c r="BN337" i="2"/>
  <c r="BP337" i="2"/>
  <c r="Z337" i="2"/>
  <c r="Z338" i="2" s="1"/>
  <c r="BN376" i="2"/>
  <c r="BP376" i="2"/>
  <c r="Y398" i="2"/>
  <c r="BP450" i="2"/>
  <c r="Z450" i="2"/>
  <c r="BN359" i="2"/>
  <c r="BP359" i="2"/>
  <c r="Z359" i="2"/>
  <c r="BN36" i="2"/>
  <c r="Y38" i="2"/>
  <c r="Z77" i="2"/>
  <c r="BN77" i="2"/>
  <c r="BP90" i="2"/>
  <c r="BP94" i="2"/>
  <c r="Z94" i="2"/>
  <c r="Y110" i="2"/>
  <c r="BN117" i="2"/>
  <c r="BP117" i="2"/>
  <c r="BN218" i="2"/>
  <c r="BP218" i="2"/>
  <c r="Z218" i="2"/>
  <c r="BP220" i="2"/>
  <c r="Y242" i="2"/>
  <c r="Z261" i="2"/>
  <c r="BN261" i="2"/>
  <c r="Z281" i="2"/>
  <c r="BN281" i="2"/>
  <c r="Y334" i="2"/>
  <c r="Z328" i="2"/>
  <c r="BN384" i="2"/>
  <c r="BP384" i="2"/>
  <c r="Z384" i="2"/>
  <c r="Z397" i="2"/>
  <c r="BP397" i="2"/>
  <c r="Y443" i="2"/>
  <c r="BN439" i="2"/>
  <c r="BP439" i="2"/>
  <c r="Z439" i="2"/>
  <c r="Z442" i="2" s="1"/>
  <c r="BP441" i="2"/>
  <c r="BP488" i="2"/>
  <c r="Y500" i="2"/>
  <c r="BN494" i="2"/>
  <c r="BP494" i="2"/>
  <c r="Z494" i="2"/>
  <c r="Y120" i="2"/>
  <c r="Y184" i="2"/>
  <c r="BP188" i="2"/>
  <c r="Y225" i="2"/>
  <c r="BP213" i="2"/>
  <c r="BP223" i="2"/>
  <c r="BP251" i="2"/>
  <c r="Y253" i="2"/>
  <c r="BN290" i="2"/>
  <c r="BP292" i="2"/>
  <c r="Y298" i="2"/>
  <c r="BP329" i="2"/>
  <c r="Y339" i="2"/>
  <c r="BN349" i="2"/>
  <c r="BP351" i="2"/>
  <c r="BN361" i="2"/>
  <c r="BP364" i="2"/>
  <c r="Y392" i="2"/>
  <c r="BN406" i="2"/>
  <c r="BN416" i="2"/>
  <c r="BN474" i="2"/>
  <c r="BN476" i="2"/>
  <c r="BP478" i="2"/>
  <c r="BP481" i="2"/>
  <c r="BN508" i="2"/>
  <c r="Y509" i="2"/>
  <c r="BP522" i="2"/>
  <c r="Y524" i="2"/>
  <c r="X531" i="2"/>
  <c r="BP53" i="2"/>
  <c r="BP64" i="2"/>
  <c r="Z82" i="2"/>
  <c r="Y84" i="2"/>
  <c r="Y92" i="2"/>
  <c r="BP88" i="2"/>
  <c r="Z95" i="2"/>
  <c r="Z114" i="2"/>
  <c r="Z116" i="2"/>
  <c r="Z118" i="2"/>
  <c r="Z129" i="2"/>
  <c r="Z130" i="2" s="1"/>
  <c r="Z172" i="2"/>
  <c r="Z174" i="2"/>
  <c r="Z176" i="2"/>
  <c r="Z182" i="2"/>
  <c r="Y194" i="2"/>
  <c r="Z223" i="2"/>
  <c r="Z259" i="2"/>
  <c r="BP266" i="2"/>
  <c r="Z272" i="2"/>
  <c r="Y294" i="2"/>
  <c r="Y317" i="2"/>
  <c r="BP315" i="2"/>
  <c r="Y324" i="2"/>
  <c r="BP321" i="2"/>
  <c r="Y325" i="2"/>
  <c r="BP332" i="2"/>
  <c r="BP343" i="2"/>
  <c r="BP371" i="2"/>
  <c r="Y373" i="2"/>
  <c r="BP383" i="2"/>
  <c r="BP421" i="2"/>
  <c r="Y423" i="2"/>
  <c r="BP512" i="2"/>
  <c r="X532" i="2"/>
  <c r="BP27" i="2"/>
  <c r="BP44" i="2"/>
  <c r="BP152" i="2"/>
  <c r="BP158" i="2"/>
  <c r="Z181" i="2"/>
  <c r="BP181" i="2"/>
  <c r="Z183" i="2"/>
  <c r="BN188" i="2"/>
  <c r="Z210" i="2"/>
  <c r="BN213" i="2"/>
  <c r="Z221" i="2"/>
  <c r="BP228" i="2"/>
  <c r="BN251" i="2"/>
  <c r="Y252" i="2"/>
  <c r="BP256" i="2"/>
  <c r="BP271" i="2"/>
  <c r="Z290" i="2"/>
  <c r="BP297" i="2"/>
  <c r="Z301" i="2"/>
  <c r="Z302" i="2" s="1"/>
  <c r="Z321" i="2"/>
  <c r="Z332" i="2"/>
  <c r="Y338" i="2"/>
  <c r="Z349" i="2"/>
  <c r="BP361" i="2"/>
  <c r="BP406" i="2"/>
  <c r="BP416" i="2"/>
  <c r="Z458" i="2"/>
  <c r="Y540" i="2"/>
  <c r="Y470" i="2"/>
  <c r="BP466" i="2"/>
  <c r="Z474" i="2"/>
  <c r="Z476" i="2"/>
  <c r="BP498" i="2"/>
  <c r="Z508" i="2"/>
  <c r="Z509" i="2" s="1"/>
  <c r="Z512" i="2"/>
  <c r="Y514" i="2"/>
  <c r="Y519" i="2"/>
  <c r="BP123" i="2"/>
  <c r="BN123" i="2"/>
  <c r="Z123" i="2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430" i="2"/>
  <c r="Z487" i="2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Z91" i="2" s="1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Y154" i="2"/>
  <c r="BP198" i="2"/>
  <c r="Z282" i="2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Z523" i="2" s="1"/>
  <c r="BP69" i="2"/>
  <c r="BN69" i="2"/>
  <c r="Z69" i="2"/>
  <c r="Z73" i="2" s="1"/>
  <c r="Y119" i="2"/>
  <c r="BP112" i="2"/>
  <c r="BN112" i="2"/>
  <c r="BP89" i="2"/>
  <c r="Z112" i="2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Z136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98" i="2" s="1"/>
  <c r="Z102" i="2"/>
  <c r="Y127" i="2"/>
  <c r="Y126" i="2"/>
  <c r="BP122" i="2"/>
  <c r="BN122" i="2"/>
  <c r="Z145" i="2"/>
  <c r="Z146" i="2" s="1"/>
  <c r="Z160" i="2"/>
  <c r="Z169" i="2"/>
  <c r="Z211" i="2"/>
  <c r="BN229" i="2"/>
  <c r="BP255" i="2"/>
  <c r="Y264" i="2"/>
  <c r="BN255" i="2"/>
  <c r="Z255" i="2"/>
  <c r="Z267" i="2"/>
  <c r="BN270" i="2"/>
  <c r="BP306" i="2"/>
  <c r="BN306" i="2"/>
  <c r="Z306" i="2"/>
  <c r="Z308" i="2" s="1"/>
  <c r="Z316" i="2"/>
  <c r="BN360" i="2"/>
  <c r="Z540" i="2"/>
  <c r="BN23" i="2"/>
  <c r="Y283" i="2"/>
  <c r="Y355" i="2"/>
  <c r="Y418" i="2"/>
  <c r="Y437" i="2"/>
  <c r="Y436" i="2"/>
  <c r="BP435" i="2"/>
  <c r="BP477" i="2"/>
  <c r="BN477" i="2"/>
  <c r="Y490" i="2"/>
  <c r="Z28" i="2"/>
  <c r="Y74" i="2"/>
  <c r="BN76" i="2"/>
  <c r="Z126" i="2"/>
  <c r="J9" i="2"/>
  <c r="Y34" i="2"/>
  <c r="BN43" i="2"/>
  <c r="Z43" i="2"/>
  <c r="Z60" i="2"/>
  <c r="BN96" i="2"/>
  <c r="Z117" i="2"/>
  <c r="Z140" i="2"/>
  <c r="Z141" i="2" s="1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Z333" i="2" s="1"/>
  <c r="Y366" i="2"/>
  <c r="Z375" i="2"/>
  <c r="Z420" i="2"/>
  <c r="Z468" i="2"/>
  <c r="Z469" i="2" s="1"/>
  <c r="Z480" i="2"/>
  <c r="Z527" i="2"/>
  <c r="Z528" i="2" s="1"/>
  <c r="BN331" i="2"/>
  <c r="BN375" i="2"/>
  <c r="Y378" i="2"/>
  <c r="Z396" i="2"/>
  <c r="Z398" i="2" s="1"/>
  <c r="Z408" i="2"/>
  <c r="BN420" i="2"/>
  <c r="Z431" i="2"/>
  <c r="BN468" i="2"/>
  <c r="BN480" i="2"/>
  <c r="Y483" i="2"/>
  <c r="Y515" i="2"/>
  <c r="BN527" i="2"/>
  <c r="BN61" i="2"/>
  <c r="BN71" i="2"/>
  <c r="Z81" i="2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Z391" i="2" s="1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483" i="2" l="1"/>
  <c r="Z202" i="2"/>
  <c r="Z317" i="2"/>
  <c r="Z83" i="2"/>
  <c r="Z119" i="2"/>
  <c r="Z283" i="2"/>
  <c r="Z55" i="2"/>
  <c r="Z489" i="2"/>
  <c r="Z385" i="2"/>
  <c r="X533" i="2"/>
  <c r="Z184" i="2"/>
  <c r="Z378" i="2"/>
  <c r="Z278" i="2"/>
  <c r="Z263" i="2"/>
  <c r="Y531" i="2"/>
  <c r="Z154" i="2"/>
  <c r="Z417" i="2"/>
  <c r="Z514" i="2"/>
  <c r="Z422" i="2"/>
  <c r="Z237" i="2"/>
  <c r="Z453" i="2"/>
  <c r="Z432" i="2"/>
  <c r="Z224" i="2"/>
  <c r="Z178" i="2"/>
  <c r="Y534" i="2"/>
  <c r="Y530" i="2"/>
  <c r="Z24" i="2"/>
  <c r="Z46" i="2"/>
  <c r="Y532" i="2"/>
  <c r="Y533" i="2" s="1"/>
  <c r="Z355" i="2"/>
  <c r="Z411" i="2"/>
  <c r="Z231" i="2"/>
  <c r="Z499" i="2"/>
  <c r="Z33" i="2"/>
  <c r="Z109" i="2"/>
  <c r="Z66" i="2"/>
  <c r="Z372" i="2"/>
  <c r="Z345" i="2"/>
  <c r="Z365" i="2"/>
  <c r="Z294" i="2"/>
  <c r="Z535" i="2" l="1"/>
</calcChain>
</file>

<file path=xl/sharedStrings.xml><?xml version="1.0" encoding="utf-8"?>
<sst xmlns="http://schemas.openxmlformats.org/spreadsheetml/2006/main" count="3990" uniqueCount="847">
  <si>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</si>
  <si>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</si>
  <si>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</si>
  <si>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</si>
  <si>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</si>
  <si>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</si>
  <si>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</si>
  <si>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</si>
  <si>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</si>
  <si>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</si>
  <si>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</si>
  <si>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</si>
  <si>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</si>
  <si>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</si>
  <si>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</si>
  <si>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</si>
  <si>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</si>
  <si>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</si>
  <si>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</si>
  <si>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</si>
  <si>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</si>
  <si>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</si>
  <si>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</si>
  <si>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</si>
  <si>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</si>
  <si>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</si>
  <si>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</si>
  <si>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</si>
  <si>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</si>
  <si>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</si>
  <si>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</si>
  <si>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</si>
  <si>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</si>
  <si>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</si>
  <si>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</si>
  <si>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</si>
  <si>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</si>
  <si>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</si>
  <si>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</si>
  <si>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</si>
  <si>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</si>
  <si>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</si>
  <si>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</si>
  <si>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</si>
  <si>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</si>
  <si>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</si>
  <si>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</si>
  <si>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</si>
  <si>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</si>
  <si>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</si>
  <si>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</si>
  <si>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</si>
  <si>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</si>
  <si>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</si>
  <si>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</si>
  <si>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</si>
  <si>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</si>
  <si>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</si>
  <si>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</si>
  <si>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</si>
  <si>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</si>
  <si>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</si>
  <si>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</si>
  <si>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</si>
  <si>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</si>
  <si>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</si>
  <si>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</si>
  <si>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</si>
  <si>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</si>
  <si>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</si>
  <si>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</si>
  <si>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</si>
  <si>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</si>
  <si>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</si>
  <si>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</si>
  <si>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</si>
  <si>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</si>
  <si>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</si>
  <si>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</si>
  <si>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</si>
  <si>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</si>
  <si>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</si>
  <si>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</si>
  <si>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</si>
  <si>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</si>
  <si>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</si>
  <si>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</si>
  <si>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</si>
  <si>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</si>
  <si>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</si>
  <si>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</si>
  <si>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</si>
  <si>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</si>
  <si>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</si>
  <si>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</si>
  <si>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</si>
  <si>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</si>
  <si>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</si>
  <si>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</si>
  <si>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</si>
  <si>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</si>
  <si>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</si>
  <si>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</si>
  <si>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</si>
  <si>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</si>
  <si>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</si>
  <si>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</si>
  <si>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</si>
  <si>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</si>
  <si>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</si>
  <si>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</si>
  <si>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</si>
  <si>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</si>
  <si>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</si>
  <si>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</si>
  <si>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</si>
  <si>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</si>
  <si>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</si>
  <si>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</si>
  <si>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</si>
  <si>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</si>
  <si>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</si>
  <si>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</si>
  <si>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</si>
  <si>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</si>
  <si>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</si>
  <si>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</si>
  <si>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</si>
  <si>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</si>
  <si>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</si>
  <si>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</si>
  <si>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</si>
  <si>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</si>
  <si>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</si>
  <si>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</si>
  <si>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</si>
  <si>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</si>
  <si>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</si>
  <si>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</si>
  <si>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</si>
  <si>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</si>
  <si>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</si>
  <si>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</si>
  <si>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</si>
  <si>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</si>
  <si>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</si>
  <si>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</si>
  <si>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</si>
  <si>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</si>
  <si>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</si>
  <si>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</si>
  <si>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</si>
  <si>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</si>
  <si>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</si>
  <si>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</si>
  <si>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</si>
  <si>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</si>
  <si>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</si>
  <si>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</si>
  <si>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</si>
  <si>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</si>
  <si>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</si>
  <si>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</si>
  <si>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</si>
  <si>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</si>
  <si>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</si>
  <si>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</si>
  <si>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</si>
  <si>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</si>
  <si>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</si>
  <si>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</si>
  <si>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</si>
  <si>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</si>
  <si>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</si>
  <si>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</si>
  <si>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</si>
  <si>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</si>
  <si>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</si>
  <si>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</si>
  <si>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</si>
  <si>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</si>
  <si>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</si>
  <si>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</si>
  <si>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</si>
  <si>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</si>
  <si>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</si>
  <si>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</si>
  <si>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</si>
  <si>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</si>
  <si>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</si>
  <si>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</si>
  <si>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</si>
  <si>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</si>
  <si>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</si>
  <si>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</si>
  <si>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</si>
  <si>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</si>
  <si>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</si>
  <si>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</si>
  <si>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</si>
  <si>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</si>
  <si>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</si>
  <si>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</si>
  <si>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</si>
  <si>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</si>
  <si>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</si>
  <si>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</si>
  <si>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</si>
  <si>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</si>
  <si>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</si>
  <si>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</si>
  <si>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</si>
  <si>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</si>
  <si>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</si>
  <si>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</si>
  <si>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</si>
  <si>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</si>
  <si>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</si>
  <si>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</si>
  <si>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</si>
  <si>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</si>
  <si>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</si>
  <si>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</si>
  <si>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</si>
  <si>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</si>
  <si>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</si>
  <si>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</si>
  <si>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</si>
  <si>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</si>
  <si>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</si>
  <si>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</si>
  <si>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</si>
  <si>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</si>
  <si>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</si>
  <si>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</si>
  <si>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</si>
  <si>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</si>
  <si>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</si>
  <si>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</si>
  <si>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</si>
  <si>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</si>
  <si>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</si>
  <si>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</si>
  <si>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</si>
  <si>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</si>
  <si>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</si>
  <si>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</si>
  <si>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</si>
  <si>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</si>
  <si>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</si>
  <si>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</si>
  <si>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</si>
  <si>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</si>
  <si>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</si>
  <si>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</si>
  <si>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</si>
  <si>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</si>
  <si>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</si>
  <si>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</si>
  <si>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</si>
  <si>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</si>
  <si>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</si>
  <si>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</si>
  <si>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</si>
  <si>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</si>
  <si>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</si>
  <si>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</si>
  <si>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</si>
  <si>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</si>
  <si>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</si>
  <si>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</si>
  <si>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</si>
  <si>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</si>
  <si>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</si>
  <si>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</si>
  <si>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</si>
  <si>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</si>
  <si>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</si>
  <si>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</si>
  <si>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</si>
  <si>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</si>
  <si>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</si>
  <si>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</si>
  <si>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</si>
  <si>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</si>
  <si>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</si>
  <si>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</si>
  <si>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</si>
  <si>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</si>
  <si>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</si>
  <si>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</si>
  <si>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</si>
  <si>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</si>
  <si>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</si>
  <si>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</si>
  <si>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</si>
  <si>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</si>
  <si>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</si>
  <si>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</si>
  <si>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</si>
  <si>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</si>
  <si>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</si>
  <si>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</si>
  <si>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</si>
  <si>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</si>
  <si>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</si>
  <si>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</si>
  <si>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</si>
  <si>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</si>
  <si>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</si>
  <si>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</si>
  <si>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</si>
  <si>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</si>
  <si>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</si>
  <si>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</si>
  <si>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</si>
  <si>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</si>
  <si>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</si>
  <si>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</si>
  <si>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</si>
  <si>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</si>
  <si>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</si>
  <si>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</si>
  <si>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</si>
  <si>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</si>
  <si>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</si>
  <si>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</si>
  <si>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</si>
  <si>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</si>
  <si>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</si>
  <si>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</si>
  <si>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</si>
  <si>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</si>
  <si>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</si>
  <si>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</si>
  <si>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</si>
  <si>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</si>
  <si>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</si>
  <si>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</si>
  <si>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</si>
  <si>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</si>
  <si>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</si>
  <si>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</si>
  <si>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</si>
  <si>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</si>
  <si>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</si>
  <si>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</si>
  <si>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</si>
  <si>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</si>
  <si>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</si>
  <si>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</si>
  <si>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</si>
  <si>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</si>
  <si>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</si>
  <si>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</si>
  <si>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</si>
  <si>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</si>
  <si>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</si>
  <si>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</si>
  <si>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</si>
  <si>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</si>
  <si>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</si>
  <si>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</si>
  <si>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</si>
  <si>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</si>
  <si>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</si>
  <si>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</si>
  <si>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</si>
  <si>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</si>
  <si>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</si>
  <si>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</si>
  <si>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</si>
  <si>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</si>
  <si>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</si>
  <si>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</si>
  <si>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</si>
  <si>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</si>
  <si>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</si>
  <si>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</si>
  <si>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</si>
  <si>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</si>
  <si>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</si>
  <si>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</si>
  <si>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</si>
  <si>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</si>
  <si>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</si>
  <si>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</si>
  <si>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</si>
  <si>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</si>
  <si>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</si>
  <si>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</si>
  <si>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</si>
  <si>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</si>
  <si>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</si>
  <si>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</si>
  <si>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</si>
  <si>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</si>
  <si>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</si>
  <si>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</si>
  <si>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</si>
  <si>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</si>
  <si>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</si>
  <si>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</si>
  <si>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</si>
  <si>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</si>
  <si>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</si>
  <si>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</si>
  <si>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</si>
  <si>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</si>
  <si>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</si>
  <si>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</si>
  <si>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</si>
  <si>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</si>
  <si>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</si>
  <si>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</si>
  <si>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</si>
  <si>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</si>
  <si>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</si>
  <si>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</si>
  <si>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</si>
  <si>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</si>
  <si>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</si>
  <si>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</si>
  <si>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</si>
  <si>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</si>
  <si>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</si>
  <si>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</si>
  <si>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</si>
  <si>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</si>
  <si>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</si>
  <si>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</si>
  <si>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</si>
  <si>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</si>
  <si>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</si>
  <si>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</si>
  <si>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</si>
  <si>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</si>
  <si>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</si>
  <si>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</si>
  <si>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</si>
  <si>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</si>
  <si>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</si>
  <si>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</si>
  <si>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</si>
  <si>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</si>
  <si>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</si>
  <si>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</si>
  <si>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</si>
  <si>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</si>
  <si>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</si>
  <si>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</si>
  <si>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</si>
  <si>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</si>
  <si>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</si>
  <si>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</si>
  <si>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</si>
  <si>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</si>
  <si>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</si>
  <si>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</si>
  <si>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</si>
  <si>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</si>
  <si>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</si>
  <si>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</si>
  <si>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</si>
  <si>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</si>
  <si>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</si>
  <si>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</si>
  <si>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</si>
  <si>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</si>
  <si>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</si>
  <si>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</si>
  <si>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</si>
  <si>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</si>
  <si>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</si>
  <si>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</si>
  <si>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</si>
  <si>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</si>
  <si>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</si>
  <si>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</si>
  <si>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</si>
  <si>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</si>
  <si>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</si>
  <si>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</si>
  <si>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</si>
  <si>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</si>
  <si>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</si>
  <si>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</si>
  <si>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</si>
  <si>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</si>
  <si>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</si>
  <si>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</si>
  <si>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</si>
  <si>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</si>
  <si>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</si>
  <si>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</si>
  <si>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</si>
  <si>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</si>
  <si>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</si>
  <si>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</si>
  <si>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</si>
  <si>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</si>
  <si>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</si>
  <si>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</si>
  <si>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</si>
  <si>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</si>
  <si>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</si>
  <si>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</si>
  <si>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</si>
  <si>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</si>
  <si>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</si>
  <si>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</si>
  <si>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</si>
  <si>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</si>
  <si>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</si>
  <si>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</si>
  <si>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</si>
  <si>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</si>
  <si>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</si>
  <si>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</si>
  <si>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</si>
  <si>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</si>
  <si>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</si>
  <si>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</si>
  <si>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</si>
  <si>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</si>
  <si>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</si>
  <si>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</si>
  <si>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</si>
  <si>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</si>
  <si>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</si>
  <si>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</si>
  <si>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</si>
  <si>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</si>
  <si>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</si>
  <si>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</si>
  <si>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</si>
  <si>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</si>
  <si>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</si>
  <si>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</si>
  <si>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</si>
  <si>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</si>
  <si>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</si>
  <si>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</si>
  <si>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</si>
  <si>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</si>
  <si>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</si>
  <si>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</si>
  <si>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</si>
  <si>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</si>
  <si>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</si>
  <si>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</si>
  <si>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</si>
  <si>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</si>
  <si>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</si>
  <si>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</si>
  <si>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</si>
  <si>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</si>
  <si>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</si>
  <si>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</si>
  <si>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</si>
  <si>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</si>
  <si>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</si>
  <si>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</si>
  <si>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</si>
  <si>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</si>
  <si>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</si>
  <si>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</si>
  <si>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</si>
  <si>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</si>
  <si>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</si>
  <si>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</si>
  <si>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</si>
  <si>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</si>
  <si>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</si>
  <si>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</si>
  <si>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</si>
  <si>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</si>
  <si>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</si>
  <si>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</si>
  <si>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</si>
  <si>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</si>
  <si>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</si>
  <si>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</si>
  <si>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</si>
  <si>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</si>
  <si>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</si>
  <si>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</si>
  <si>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</si>
  <si>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</si>
  <si>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</si>
  <si>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</si>
  <si>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</si>
  <si>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</si>
  <si>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</si>
  <si>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</si>
  <si>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</si>
  <si>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</si>
  <si>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</si>
  <si>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</si>
  <si>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</si>
  <si>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</si>
  <si>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</si>
  <si>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</si>
  <si>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</si>
  <si>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</si>
  <si>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</si>
  <si>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</si>
  <si>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</si>
  <si>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</si>
  <si>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</si>
  <si>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</si>
  <si>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</si>
  <si>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</si>
  <si>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</si>
  <si>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</si>
  <si>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</si>
  <si>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</si>
  <si>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</si>
  <si>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</si>
  <si>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</si>
  <si>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</si>
  <si>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</si>
  <si>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</si>
  <si>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</si>
  <si>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</si>
  <si>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</si>
  <si>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</si>
  <si>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</si>
  <si>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</si>
  <si>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</si>
  <si>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</si>
  <si>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</si>
  <si>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</si>
  <si>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</si>
  <si>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</si>
  <si>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</si>
  <si>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</si>
  <si>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</si>
  <si>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</si>
  <si>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</si>
  <si>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</si>
  <si>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</si>
  <si>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</si>
  <si>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</si>
  <si>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</si>
  <si>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</si>
  <si>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</si>
  <si>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</si>
  <si>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</si>
  <si>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</si>
  <si>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</si>
  <si>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</si>
  <si>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</si>
  <si>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</si>
  <si>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</si>
  <si>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</si>
  <si>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</si>
  <si>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</si>
  <si>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</si>
  <si>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</si>
  <si>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</si>
  <si>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</si>
  <si>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</si>
  <si>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</si>
  <si>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</si>
  <si>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</si>
  <si>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</si>
  <si>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</si>
  <si>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</si>
  <si>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</si>
  <si>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</si>
  <si>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</si>
  <si>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</si>
  <si>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</si>
  <si>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</si>
  <si>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</si>
  <si>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</si>
  <si>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</si>
  <si>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</si>
  <si>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</si>
  <si>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</si>
  <si>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</si>
  <si>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</si>
  <si>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</si>
  <si>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</si>
  <si>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</si>
  <si>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</si>
  <si>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</si>
  <si>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</si>
  <si>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</si>
  <si>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</si>
  <si>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</si>
  <si>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</si>
  <si>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</si>
  <si>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</si>
  <si>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</si>
  <si>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</si>
  <si>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</si>
  <si>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</si>
  <si>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</si>
  <si>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</si>
  <si>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</si>
  <si>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</si>
  <si>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</si>
  <si>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</si>
  <si>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</si>
  <si>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</si>
  <si>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</si>
  <si>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</si>
  <si>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</si>
  <si>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</si>
  <si>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</si>
  <si>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</si>
  <si>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</si>
  <si>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</si>
  <si>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</si>
  <si>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</si>
  <si>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</si>
  <si>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</si>
  <si>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</si>
  <si>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</si>
  <si>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</si>
  <si>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</si>
  <si>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</si>
  <si>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</si>
  <si>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</si>
  <si>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</si>
  <si>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</si>
  <si>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</si>
  <si>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</si>
  <si>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</si>
  <si>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</si>
  <si>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</si>
  <si>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</si>
  <si>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</si>
  <si>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</si>
  <si>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</si>
  <si>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</si>
  <si>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</si>
  <si>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</si>
  <si>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</si>
  <si>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</si>
  <si>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</si>
  <si>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</si>
  <si>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</si>
  <si>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</si>
  <si>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</si>
  <si>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</si>
  <si>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</si>
  <si>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</si>
  <si>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</si>
  <si>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</si>
  <si>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</si>
  <si>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</si>
  <si>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</si>
  <si>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</si>
  <si>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</si>
  <si>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</si>
  <si>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</si>
  <si>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</si>
  <si>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</si>
  <si>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</si>
  <si>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</si>
  <si>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</si>
  <si>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</si>
  <si>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</si>
  <si>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</si>
  <si>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</si>
  <si>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</si>
  <si>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</si>
  <si>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</si>
  <si>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</si>
  <si>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</si>
  <si>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</si>
  <si>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</si>
  <si>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</si>
  <si>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</si>
  <si>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</si>
  <si>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</si>
  <si>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</si>
  <si>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</si>
  <si>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</si>
  <si>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</si>
  <si>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</si>
  <si>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</si>
  <si>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</si>
  <si>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</si>
  <si>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</si>
  <si>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</si>
  <si>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</si>
  <si>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</si>
  <si>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</si>
  <si>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</si>
  <si>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</si>
  <si>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</si>
  <si>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</si>
  <si>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</si>
  <si>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</si>
  <si>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</si>
  <si>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</si>
  <si>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</si>
  <si>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</si>
  <si>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</si>
  <si>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</si>
  <si>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</si>
  <si>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</si>
  <si>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</si>
  <si>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</si>
  <si>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</si>
  <si>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</si>
  <si>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</si>
  <si>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</si>
  <si>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</si>
  <si>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</si>
  <si>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</si>
  <si>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</si>
  <si>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</si>
  <si>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</si>
  <si>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</si>
  <si>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</si>
  <si>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</si>
  <si>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</si>
  <si>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</si>
  <si>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</si>
  <si>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</si>
  <si>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</si>
  <si>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</si>
  <si>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</si>
  <si>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</si>
  <si>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</si>
  <si>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</si>
  <si>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</si>
  <si>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</si>
  <si>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</si>
  <si>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</si>
  <si>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</si>
  <si>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</si>
  <si>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</si>
  <si>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</si>
  <si>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</si>
  <si>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</si>
  <si>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</si>
  <si>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</si>
  <si>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</si>
  <si>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</si>
  <si>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 к №2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</si>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</sst>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406" sqref="AA40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66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67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 t="s">
        <v>845</v>
      </c>
      <c r="I5" s="613"/>
      <c r="J5" s="613"/>
      <c r="K5" s="613"/>
      <c r="L5" s="613"/>
      <c r="M5" s="613"/>
      <c r="N5" s="72"/>
      <c r="P5" s="27" t="s">
        <v>4</v>
      </c>
      <c r="Q5" s="615">
        <v>46206</v>
      </c>
      <c r="R5" s="615"/>
      <c r="T5" s="616" t="s">
        <v>3</v>
      </c>
      <c r="U5" s="617"/>
      <c r="V5" s="618" t="s">
        <v>826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 t="s">
        <v>827</v>
      </c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Пятница</v>
      </c>
      <c r="R6" s="621"/>
      <c r="T6" s="622" t="s">
        <v>5</v>
      </c>
      <c r="U6" s="623"/>
      <c r="V6" s="624" t="s">
        <v>69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 t="str">
        <f>IFERROR(VLOOKUP(DeliveryAddress,Table,3,0),1)</f>
        <v>1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57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0.375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70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846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71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72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74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60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58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65</v>
      </c>
      <c r="L17" s="654" t="s">
        <v>63</v>
      </c>
      <c r="M17" s="654" t="s">
        <v>2</v>
      </c>
      <c r="N17" s="654" t="s">
        <v>62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55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59</v>
      </c>
      <c r="AB17" s="668" t="s">
        <v>19</v>
      </c>
      <c r="AC17" s="668" t="s">
        <v>64</v>
      </c>
      <c r="AD17" s="670" t="s">
        <v>56</v>
      </c>
      <c r="AE17" s="671"/>
      <c r="AF17" s="672"/>
      <c r="AG17" s="82"/>
      <c r="BD17" s="81" t="s">
        <v>61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hidden="1" customHeight="1" x14ac:dyDescent="0.2">
      <c r="A19" s="676" t="s">
        <v>75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77" t="s">
        <v>75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hidden="1" customHeight="1" x14ac:dyDescent="0.25">
      <c r="A21" s="678" t="s">
        <v>76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9">
        <v>4680115886643</v>
      </c>
      <c r="E22" s="67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9">
        <v>4680115889071</v>
      </c>
      <c r="E23" s="67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87"/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8"/>
      <c r="P24" s="684" t="s">
        <v>40</v>
      </c>
      <c r="Q24" s="685"/>
      <c r="R24" s="685"/>
      <c r="S24" s="685"/>
      <c r="T24" s="685"/>
      <c r="U24" s="685"/>
      <c r="V24" s="68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87"/>
      <c r="B25" s="687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8"/>
      <c r="P25" s="684" t="s">
        <v>40</v>
      </c>
      <c r="Q25" s="685"/>
      <c r="R25" s="685"/>
      <c r="S25" s="685"/>
      <c r="T25" s="685"/>
      <c r="U25" s="685"/>
      <c r="V25" s="68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8" t="s">
        <v>85</v>
      </c>
      <c r="B26" s="678"/>
      <c r="C26" s="678"/>
      <c r="D26" s="678"/>
      <c r="E26" s="678"/>
      <c r="F26" s="678"/>
      <c r="G26" s="678"/>
      <c r="H26" s="678"/>
      <c r="I26" s="678"/>
      <c r="J26" s="678"/>
      <c r="K26" s="678"/>
      <c r="L26" s="678"/>
      <c r="M26" s="678"/>
      <c r="N26" s="678"/>
      <c r="O26" s="678"/>
      <c r="P26" s="678"/>
      <c r="Q26" s="678"/>
      <c r="R26" s="678"/>
      <c r="S26" s="678"/>
      <c r="T26" s="678"/>
      <c r="U26" s="678"/>
      <c r="V26" s="678"/>
      <c r="W26" s="678"/>
      <c r="X26" s="678"/>
      <c r="Y26" s="678"/>
      <c r="Z26" s="67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9">
        <v>4680115885912</v>
      </c>
      <c r="E27" s="67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6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1"/>
      <c r="R27" s="681"/>
      <c r="S27" s="681"/>
      <c r="T27" s="682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9">
        <v>4607091388237</v>
      </c>
      <c r="E28" s="67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6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9">
        <v>4680115887350</v>
      </c>
      <c r="E29" s="67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6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9">
        <v>4680115885905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6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79">
        <v>4680115887657</v>
      </c>
      <c r="E31" s="67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96</v>
      </c>
      <c r="N31" s="38"/>
      <c r="O31" s="37">
        <v>40</v>
      </c>
      <c r="P31" s="6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79">
        <v>4680115887619</v>
      </c>
      <c r="E32" s="679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90</v>
      </c>
      <c r="L32" s="37" t="s">
        <v>46</v>
      </c>
      <c r="M32" s="38" t="s">
        <v>89</v>
      </c>
      <c r="N32" s="38"/>
      <c r="O32" s="37">
        <v>40</v>
      </c>
      <c r="P32" s="6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105</v>
      </c>
      <c r="AG32" s="78"/>
      <c r="AJ32" s="84" t="s">
        <v>46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87"/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8"/>
      <c r="P33" s="684" t="s">
        <v>40</v>
      </c>
      <c r="Q33" s="685"/>
      <c r="R33" s="685"/>
      <c r="S33" s="685"/>
      <c r="T33" s="685"/>
      <c r="U33" s="685"/>
      <c r="V33" s="68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87"/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8"/>
      <c r="P34" s="684" t="s">
        <v>40</v>
      </c>
      <c r="Q34" s="685"/>
      <c r="R34" s="685"/>
      <c r="S34" s="685"/>
      <c r="T34" s="685"/>
      <c r="U34" s="685"/>
      <c r="V34" s="68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78" t="s">
        <v>106</v>
      </c>
      <c r="B35" s="678"/>
      <c r="C35" s="678"/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79">
        <v>4607091388503</v>
      </c>
      <c r="E36" s="679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90</v>
      </c>
      <c r="L36" s="37" t="s">
        <v>46</v>
      </c>
      <c r="M36" s="38" t="s">
        <v>111</v>
      </c>
      <c r="N36" s="38"/>
      <c r="O36" s="37">
        <v>120</v>
      </c>
      <c r="P36" s="6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109</v>
      </c>
      <c r="AG36" s="78"/>
      <c r="AJ36" s="84" t="s">
        <v>46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87"/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8"/>
      <c r="P37" s="684" t="s">
        <v>40</v>
      </c>
      <c r="Q37" s="685"/>
      <c r="R37" s="685"/>
      <c r="S37" s="685"/>
      <c r="T37" s="685"/>
      <c r="U37" s="685"/>
      <c r="V37" s="68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87"/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8"/>
      <c r="P38" s="684" t="s">
        <v>40</v>
      </c>
      <c r="Q38" s="685"/>
      <c r="R38" s="685"/>
      <c r="S38" s="685"/>
      <c r="T38" s="685"/>
      <c r="U38" s="685"/>
      <c r="V38" s="68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76" t="s">
        <v>45</v>
      </c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6"/>
      <c r="O39" s="676"/>
      <c r="P39" s="676"/>
      <c r="Q39" s="676"/>
      <c r="R39" s="676"/>
      <c r="S39" s="676"/>
      <c r="T39" s="676"/>
      <c r="U39" s="676"/>
      <c r="V39" s="676"/>
      <c r="W39" s="676"/>
      <c r="X39" s="676"/>
      <c r="Y39" s="676"/>
      <c r="Z39" s="676"/>
      <c r="AA39" s="54"/>
      <c r="AB39" s="54"/>
      <c r="AC39" s="54"/>
    </row>
    <row r="40" spans="1:68" ht="16.5" hidden="1" customHeight="1" x14ac:dyDescent="0.25">
      <c r="A40" s="677" t="s">
        <v>112</v>
      </c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677"/>
      <c r="P40" s="677"/>
      <c r="Q40" s="677"/>
      <c r="R40" s="677"/>
      <c r="S40" s="677"/>
      <c r="T40" s="677"/>
      <c r="U40" s="677"/>
      <c r="V40" s="677"/>
      <c r="W40" s="677"/>
      <c r="X40" s="677"/>
      <c r="Y40" s="677"/>
      <c r="Z40" s="677"/>
      <c r="AA40" s="65"/>
      <c r="AB40" s="65"/>
      <c r="AC40" s="79"/>
    </row>
    <row r="41" spans="1:68" ht="14.25" hidden="1" customHeight="1" x14ac:dyDescent="0.25">
      <c r="A41" s="678" t="s">
        <v>85</v>
      </c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6"/>
      <c r="AB41" s="66"/>
      <c r="AC41" s="80"/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79">
        <v>4680115888463</v>
      </c>
      <c r="E42" s="67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69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1"/>
      <c r="R42" s="681"/>
      <c r="S42" s="681"/>
      <c r="T42" s="68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79">
        <v>4680115888494</v>
      </c>
      <c r="E43" s="67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69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1"/>
      <c r="R43" s="681"/>
      <c r="S43" s="681"/>
      <c r="T43" s="68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79">
        <v>4680115888272</v>
      </c>
      <c r="E44" s="67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6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1"/>
      <c r="R44" s="681"/>
      <c r="S44" s="681"/>
      <c r="T44" s="68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79">
        <v>4680115888364</v>
      </c>
      <c r="E45" s="67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69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1"/>
      <c r="R45" s="681"/>
      <c r="S45" s="681"/>
      <c r="T45" s="68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87"/>
      <c r="B46" s="687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8"/>
      <c r="P46" s="684" t="s">
        <v>40</v>
      </c>
      <c r="Q46" s="685"/>
      <c r="R46" s="685"/>
      <c r="S46" s="685"/>
      <c r="T46" s="685"/>
      <c r="U46" s="685"/>
      <c r="V46" s="686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87"/>
      <c r="B47" s="687"/>
      <c r="C47" s="687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8"/>
      <c r="P47" s="684" t="s">
        <v>40</v>
      </c>
      <c r="Q47" s="685"/>
      <c r="R47" s="685"/>
      <c r="S47" s="685"/>
      <c r="T47" s="685"/>
      <c r="U47" s="685"/>
      <c r="V47" s="686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hidden="1" customHeight="1" x14ac:dyDescent="0.2">
      <c r="A48" s="676" t="s">
        <v>125</v>
      </c>
      <c r="B48" s="676"/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54"/>
      <c r="AB48" s="54"/>
      <c r="AC48" s="54"/>
    </row>
    <row r="49" spans="1:68" ht="16.5" hidden="1" customHeight="1" x14ac:dyDescent="0.25">
      <c r="A49" s="677" t="s">
        <v>126</v>
      </c>
      <c r="B49" s="677"/>
      <c r="C49" s="677"/>
      <c r="D49" s="677"/>
      <c r="E49" s="677"/>
      <c r="F49" s="677"/>
      <c r="G49" s="677"/>
      <c r="H49" s="677"/>
      <c r="I49" s="677"/>
      <c r="J49" s="677"/>
      <c r="K49" s="677"/>
      <c r="L49" s="677"/>
      <c r="M49" s="677"/>
      <c r="N49" s="677"/>
      <c r="O49" s="677"/>
      <c r="P49" s="677"/>
      <c r="Q49" s="677"/>
      <c r="R49" s="677"/>
      <c r="S49" s="677"/>
      <c r="T49" s="677"/>
      <c r="U49" s="677"/>
      <c r="V49" s="677"/>
      <c r="W49" s="677"/>
      <c r="X49" s="677"/>
      <c r="Y49" s="677"/>
      <c r="Z49" s="677"/>
      <c r="AA49" s="65"/>
      <c r="AB49" s="65"/>
      <c r="AC49" s="79"/>
    </row>
    <row r="50" spans="1:68" ht="14.25" hidden="1" customHeight="1" x14ac:dyDescent="0.25">
      <c r="A50" s="678" t="s">
        <v>127</v>
      </c>
      <c r="B50" s="678"/>
      <c r="C50" s="678"/>
      <c r="D50" s="678"/>
      <c r="E50" s="678"/>
      <c r="F50" s="678"/>
      <c r="G50" s="678"/>
      <c r="H50" s="678"/>
      <c r="I50" s="678"/>
      <c r="J50" s="678"/>
      <c r="K50" s="678"/>
      <c r="L50" s="678"/>
      <c r="M50" s="678"/>
      <c r="N50" s="678"/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79">
        <v>4607091385670</v>
      </c>
      <c r="E51" s="67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1"/>
      <c r="R51" s="681"/>
      <c r="S51" s="681"/>
      <c r="T51" s="68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79">
        <v>4680115887725</v>
      </c>
      <c r="E52" s="67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1"/>
      <c r="R52" s="681"/>
      <c r="S52" s="681"/>
      <c r="T52" s="68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79">
        <v>4607091385687</v>
      </c>
      <c r="E53" s="67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1"/>
      <c r="R53" s="681"/>
      <c r="S53" s="681"/>
      <c r="T53" s="68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79">
        <v>4680115882539</v>
      </c>
      <c r="E54" s="67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1"/>
      <c r="R54" s="681"/>
      <c r="S54" s="681"/>
      <c r="T54" s="68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87"/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8"/>
      <c r="P55" s="684" t="s">
        <v>40</v>
      </c>
      <c r="Q55" s="685"/>
      <c r="R55" s="685"/>
      <c r="S55" s="685"/>
      <c r="T55" s="685"/>
      <c r="U55" s="685"/>
      <c r="V55" s="68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87"/>
      <c r="B56" s="687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8"/>
      <c r="P56" s="684" t="s">
        <v>40</v>
      </c>
      <c r="Q56" s="685"/>
      <c r="R56" s="685"/>
      <c r="S56" s="685"/>
      <c r="T56" s="685"/>
      <c r="U56" s="685"/>
      <c r="V56" s="68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77" t="s">
        <v>142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"/>
      <c r="AB57" s="65"/>
      <c r="AC57" s="79"/>
    </row>
    <row r="58" spans="1:68" ht="14.25" hidden="1" customHeight="1" x14ac:dyDescent="0.25">
      <c r="A58" s="678" t="s">
        <v>127</v>
      </c>
      <c r="B58" s="678"/>
      <c r="C58" s="678"/>
      <c r="D58" s="678"/>
      <c r="E58" s="678"/>
      <c r="F58" s="678"/>
      <c r="G58" s="678"/>
      <c r="H58" s="678"/>
      <c r="I58" s="678"/>
      <c r="J58" s="678"/>
      <c r="K58" s="678"/>
      <c r="L58" s="678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79">
        <v>4680115885882</v>
      </c>
      <c r="E59" s="67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1"/>
      <c r="R59" s="681"/>
      <c r="S59" s="681"/>
      <c r="T59" s="68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79">
        <v>4680115885882</v>
      </c>
      <c r="E60" s="67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0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1"/>
      <c r="R60" s="681"/>
      <c r="S60" s="681"/>
      <c r="T60" s="68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79">
        <v>4680115881426</v>
      </c>
      <c r="E61" s="67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1"/>
      <c r="R61" s="681"/>
      <c r="S61" s="681"/>
      <c r="T61" s="68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79">
        <v>4680115880283</v>
      </c>
      <c r="E62" s="67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1"/>
      <c r="R62" s="681"/>
      <c r="S62" s="681"/>
      <c r="T62" s="68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154</v>
      </c>
      <c r="B63" s="63" t="s">
        <v>155</v>
      </c>
      <c r="C63" s="36">
        <v>4301011806</v>
      </c>
      <c r="D63" s="679">
        <v>4680115881525</v>
      </c>
      <c r="E63" s="679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50</v>
      </c>
      <c r="P63" s="7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156</v>
      </c>
      <c r="AG63" s="78"/>
      <c r="AJ63" s="84" t="s">
        <v>46</v>
      </c>
      <c r="AK63" s="84">
        <v>0</v>
      </c>
      <c r="BB63" s="129" t="s">
        <v>66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157</v>
      </c>
      <c r="B64" s="63" t="s">
        <v>158</v>
      </c>
      <c r="C64" s="36">
        <v>4301012165</v>
      </c>
      <c r="D64" s="679">
        <v>4680115885899</v>
      </c>
      <c r="E64" s="679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90</v>
      </c>
      <c r="L64" s="37" t="s">
        <v>46</v>
      </c>
      <c r="M64" s="38" t="s">
        <v>131</v>
      </c>
      <c r="N64" s="38"/>
      <c r="O64" s="37">
        <v>50</v>
      </c>
      <c r="P64" s="70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147</v>
      </c>
      <c r="AG64" s="78"/>
      <c r="AJ64" s="84" t="s">
        <v>46</v>
      </c>
      <c r="AK64" s="84">
        <v>0</v>
      </c>
      <c r="BB64" s="131" t="s">
        <v>66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hidden="1" customHeight="1" x14ac:dyDescent="0.25">
      <c r="A65" s="63" t="s">
        <v>159</v>
      </c>
      <c r="B65" s="63" t="s">
        <v>160</v>
      </c>
      <c r="C65" s="36">
        <v>4301011801</v>
      </c>
      <c r="D65" s="679">
        <v>4680115881419</v>
      </c>
      <c r="E65" s="679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139</v>
      </c>
      <c r="L65" s="37" t="s">
        <v>46</v>
      </c>
      <c r="M65" s="38" t="s">
        <v>131</v>
      </c>
      <c r="N65" s="38"/>
      <c r="O65" s="37">
        <v>50</v>
      </c>
      <c r="P65" s="7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66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idden="1" x14ac:dyDescent="0.2">
      <c r="A66" s="687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8"/>
      <c r="P66" s="684" t="s">
        <v>40</v>
      </c>
      <c r="Q66" s="685"/>
      <c r="R66" s="685"/>
      <c r="S66" s="685"/>
      <c r="T66" s="685"/>
      <c r="U66" s="685"/>
      <c r="V66" s="686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87"/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8"/>
      <c r="P67" s="684" t="s">
        <v>40</v>
      </c>
      <c r="Q67" s="685"/>
      <c r="R67" s="685"/>
      <c r="S67" s="685"/>
      <c r="T67" s="685"/>
      <c r="U67" s="685"/>
      <c r="V67" s="686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hidden="1" customHeight="1" x14ac:dyDescent="0.25">
      <c r="A68" s="678" t="s">
        <v>162</v>
      </c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6"/>
      <c r="AB68" s="66"/>
      <c r="AC68" s="80"/>
    </row>
    <row r="69" spans="1:68" ht="16.5" hidden="1" customHeight="1" x14ac:dyDescent="0.25">
      <c r="A69" s="63" t="s">
        <v>163</v>
      </c>
      <c r="B69" s="63" t="s">
        <v>164</v>
      </c>
      <c r="C69" s="36">
        <v>4301020298</v>
      </c>
      <c r="D69" s="679">
        <v>4680115881440</v>
      </c>
      <c r="E69" s="679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132</v>
      </c>
      <c r="L69" s="37" t="s">
        <v>46</v>
      </c>
      <c r="M69" s="38" t="s">
        <v>131</v>
      </c>
      <c r="N69" s="38"/>
      <c r="O69" s="37">
        <v>50</v>
      </c>
      <c r="P69" s="71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165</v>
      </c>
      <c r="AG69" s="78"/>
      <c r="AJ69" s="84" t="s">
        <v>46</v>
      </c>
      <c r="AK69" s="84">
        <v>0</v>
      </c>
      <c r="BB69" s="135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4301020358</v>
      </c>
      <c r="D70" s="679">
        <v>4680115885950</v>
      </c>
      <c r="E70" s="679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90</v>
      </c>
      <c r="L70" s="37" t="s">
        <v>46</v>
      </c>
      <c r="M70" s="38" t="s">
        <v>89</v>
      </c>
      <c r="N70" s="38"/>
      <c r="O70" s="37">
        <v>50</v>
      </c>
      <c r="P70" s="71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81"/>
      <c r="R70" s="681"/>
      <c r="S70" s="681"/>
      <c r="T70" s="68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165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4301020371</v>
      </c>
      <c r="D71" s="679">
        <v>4680115887688</v>
      </c>
      <c r="E71" s="679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136</v>
      </c>
      <c r="L71" s="37" t="s">
        <v>46</v>
      </c>
      <c r="M71" s="38" t="s">
        <v>80</v>
      </c>
      <c r="N71" s="38"/>
      <c r="O71" s="37">
        <v>30</v>
      </c>
      <c r="P71" s="7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81"/>
      <c r="R71" s="681"/>
      <c r="S71" s="681"/>
      <c r="T71" s="68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171</v>
      </c>
      <c r="B72" s="63" t="s">
        <v>172</v>
      </c>
      <c r="C72" s="36">
        <v>4301020296</v>
      </c>
      <c r="D72" s="679">
        <v>4680115881433</v>
      </c>
      <c r="E72" s="679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90</v>
      </c>
      <c r="L72" s="37" t="s">
        <v>46</v>
      </c>
      <c r="M72" s="38" t="s">
        <v>131</v>
      </c>
      <c r="N72" s="38"/>
      <c r="O72" s="37">
        <v>50</v>
      </c>
      <c r="P72" s="7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81"/>
      <c r="R72" s="681"/>
      <c r="S72" s="681"/>
      <c r="T72" s="68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165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idden="1" x14ac:dyDescent="0.2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8"/>
      <c r="P73" s="684" t="s">
        <v>40</v>
      </c>
      <c r="Q73" s="685"/>
      <c r="R73" s="685"/>
      <c r="S73" s="685"/>
      <c r="T73" s="685"/>
      <c r="U73" s="685"/>
      <c r="V73" s="686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8"/>
      <c r="P74" s="684" t="s">
        <v>40</v>
      </c>
      <c r="Q74" s="685"/>
      <c r="R74" s="685"/>
      <c r="S74" s="685"/>
      <c r="T74" s="685"/>
      <c r="U74" s="685"/>
      <c r="V74" s="686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hidden="1" customHeight="1" x14ac:dyDescent="0.25">
      <c r="A75" s="678" t="s">
        <v>85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679">
        <v>4680115884311</v>
      </c>
      <c r="E76" s="679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175</v>
      </c>
      <c r="AG76" s="78"/>
      <c r="AJ76" s="84" t="s">
        <v>46</v>
      </c>
      <c r="AK76" s="84">
        <v>0</v>
      </c>
      <c r="BB76" s="143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4301051929</v>
      </c>
      <c r="D77" s="679">
        <v>4680115884403</v>
      </c>
      <c r="E77" s="679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81"/>
      <c r="R77" s="681"/>
      <c r="S77" s="681"/>
      <c r="T77" s="68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8"/>
      <c r="P78" s="684" t="s">
        <v>40</v>
      </c>
      <c r="Q78" s="685"/>
      <c r="R78" s="685"/>
      <c r="S78" s="685"/>
      <c r="T78" s="685"/>
      <c r="U78" s="685"/>
      <c r="V78" s="686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8"/>
      <c r="P79" s="684" t="s">
        <v>40</v>
      </c>
      <c r="Q79" s="685"/>
      <c r="R79" s="685"/>
      <c r="S79" s="685"/>
      <c r="T79" s="685"/>
      <c r="U79" s="685"/>
      <c r="V79" s="686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8" t="s">
        <v>179</v>
      </c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  <c r="Y80" s="678"/>
      <c r="Z80" s="678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679">
        <v>4680115881532</v>
      </c>
      <c r="E81" s="679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132</v>
      </c>
      <c r="L81" s="37" t="s">
        <v>46</v>
      </c>
      <c r="M81" s="38" t="s">
        <v>96</v>
      </c>
      <c r="N81" s="38"/>
      <c r="O81" s="37">
        <v>30</v>
      </c>
      <c r="P81" s="7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182</v>
      </c>
      <c r="AG81" s="78"/>
      <c r="AJ81" s="84" t="s">
        <v>46</v>
      </c>
      <c r="AK81" s="84">
        <v>0</v>
      </c>
      <c r="BB81" s="147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4301060351</v>
      </c>
      <c r="D82" s="679">
        <v>4680115881464</v>
      </c>
      <c r="E82" s="679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139</v>
      </c>
      <c r="L82" s="37" t="s">
        <v>46</v>
      </c>
      <c r="M82" s="38" t="s">
        <v>89</v>
      </c>
      <c r="N82" s="38"/>
      <c r="O82" s="37">
        <v>30</v>
      </c>
      <c r="P82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1"/>
      <c r="R82" s="681"/>
      <c r="S82" s="681"/>
      <c r="T82" s="68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185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8"/>
      <c r="P83" s="684" t="s">
        <v>40</v>
      </c>
      <c r="Q83" s="685"/>
      <c r="R83" s="685"/>
      <c r="S83" s="685"/>
      <c r="T83" s="685"/>
      <c r="U83" s="685"/>
      <c r="V83" s="686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hidden="1" x14ac:dyDescent="0.2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8"/>
      <c r="P84" s="684" t="s">
        <v>40</v>
      </c>
      <c r="Q84" s="685"/>
      <c r="R84" s="685"/>
      <c r="S84" s="685"/>
      <c r="T84" s="685"/>
      <c r="U84" s="685"/>
      <c r="V84" s="686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hidden="1" customHeight="1" x14ac:dyDescent="0.25">
      <c r="A85" s="677" t="s">
        <v>186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"/>
      <c r="AB85" s="65"/>
      <c r="AC85" s="79"/>
    </row>
    <row r="86" spans="1:68" ht="14.25" hidden="1" customHeight="1" x14ac:dyDescent="0.25">
      <c r="A86" s="678" t="s">
        <v>127</v>
      </c>
      <c r="B86" s="678"/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  <c r="Y86" s="678"/>
      <c r="Z86" s="678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79">
        <v>4680115881327</v>
      </c>
      <c r="E87" s="679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132</v>
      </c>
      <c r="L87" s="37" t="s">
        <v>46</v>
      </c>
      <c r="M87" s="38" t="s">
        <v>96</v>
      </c>
      <c r="N87" s="38"/>
      <c r="O87" s="37">
        <v>50</v>
      </c>
      <c r="P87" s="7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1"/>
      <c r="R87" s="681"/>
      <c r="S87" s="681"/>
      <c r="T87" s="68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189</v>
      </c>
      <c r="AG87" s="78"/>
      <c r="AJ87" s="84" t="s">
        <v>46</v>
      </c>
      <c r="AK87" s="84">
        <v>0</v>
      </c>
      <c r="BB87" s="151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4301011261</v>
      </c>
      <c r="D88" s="679">
        <v>4680115887732</v>
      </c>
      <c r="E88" s="679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136</v>
      </c>
      <c r="L88" s="37" t="s">
        <v>46</v>
      </c>
      <c r="M88" s="38" t="s">
        <v>80</v>
      </c>
      <c r="N88" s="38"/>
      <c r="O88" s="37">
        <v>30</v>
      </c>
      <c r="P88" s="7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81"/>
      <c r="R88" s="681"/>
      <c r="S88" s="681"/>
      <c r="T88" s="68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192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79">
        <v>4680115881518</v>
      </c>
      <c r="E89" s="67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139</v>
      </c>
      <c r="L89" s="37" t="s">
        <v>46</v>
      </c>
      <c r="M89" s="38" t="s">
        <v>89</v>
      </c>
      <c r="N89" s="38"/>
      <c r="O89" s="37">
        <v>50</v>
      </c>
      <c r="P89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81"/>
      <c r="R89" s="681"/>
      <c r="S89" s="681"/>
      <c r="T89" s="68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189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4301011443</v>
      </c>
      <c r="D90" s="679">
        <v>4680115881303</v>
      </c>
      <c r="E90" s="67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139</v>
      </c>
      <c r="L90" s="37" t="s">
        <v>46</v>
      </c>
      <c r="M90" s="38" t="s">
        <v>96</v>
      </c>
      <c r="N90" s="38"/>
      <c r="O90" s="37">
        <v>50</v>
      </c>
      <c r="P90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81"/>
      <c r="R90" s="681"/>
      <c r="S90" s="681"/>
      <c r="T90" s="68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189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idden="1" x14ac:dyDescent="0.2">
      <c r="A91" s="687"/>
      <c r="B91" s="687"/>
      <c r="C91" s="687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8"/>
      <c r="P91" s="684" t="s">
        <v>40</v>
      </c>
      <c r="Q91" s="685"/>
      <c r="R91" s="685"/>
      <c r="S91" s="685"/>
      <c r="T91" s="685"/>
      <c r="U91" s="685"/>
      <c r="V91" s="686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87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8"/>
      <c r="P92" s="684" t="s">
        <v>40</v>
      </c>
      <c r="Q92" s="685"/>
      <c r="R92" s="685"/>
      <c r="S92" s="685"/>
      <c r="T92" s="685"/>
      <c r="U92" s="685"/>
      <c r="V92" s="686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hidden="1" customHeight="1" x14ac:dyDescent="0.25">
      <c r="A93" s="678" t="s">
        <v>85</v>
      </c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  <c r="Y93" s="678"/>
      <c r="Z93" s="678"/>
      <c r="AA93" s="66"/>
      <c r="AB93" s="66"/>
      <c r="AC93" s="80"/>
    </row>
    <row r="94" spans="1:68" ht="27" hidden="1" customHeight="1" x14ac:dyDescent="0.25">
      <c r="A94" s="63" t="s">
        <v>197</v>
      </c>
      <c r="B94" s="63" t="s">
        <v>198</v>
      </c>
      <c r="C94" s="36">
        <v>4301051712</v>
      </c>
      <c r="D94" s="679">
        <v>4607091386967</v>
      </c>
      <c r="E94" s="67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132</v>
      </c>
      <c r="L94" s="37" t="s">
        <v>46</v>
      </c>
      <c r="M94" s="38" t="s">
        <v>96</v>
      </c>
      <c r="N94" s="38"/>
      <c r="O94" s="37">
        <v>45</v>
      </c>
      <c r="P94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199</v>
      </c>
      <c r="AG94" s="78"/>
      <c r="AJ94" s="84" t="s">
        <v>46</v>
      </c>
      <c r="AK94" s="84">
        <v>0</v>
      </c>
      <c r="BB94" s="159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9">
        <v>4680115884953</v>
      </c>
      <c r="E95" s="67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2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81"/>
      <c r="R95" s="681"/>
      <c r="S95" s="681"/>
      <c r="T95" s="68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199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79">
        <v>4607091385731</v>
      </c>
      <c r="E96" s="67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81"/>
      <c r="R96" s="681"/>
      <c r="S96" s="681"/>
      <c r="T96" s="68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199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79">
        <v>4680115880894</v>
      </c>
      <c r="E97" s="67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81"/>
      <c r="R97" s="681"/>
      <c r="S97" s="681"/>
      <c r="T97" s="68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206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87"/>
      <c r="B98" s="687"/>
      <c r="C98" s="687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8"/>
      <c r="P98" s="684" t="s">
        <v>40</v>
      </c>
      <c r="Q98" s="685"/>
      <c r="R98" s="685"/>
      <c r="S98" s="685"/>
      <c r="T98" s="685"/>
      <c r="U98" s="685"/>
      <c r="V98" s="686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87"/>
      <c r="B99" s="687"/>
      <c r="C99" s="687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8"/>
      <c r="P99" s="684" t="s">
        <v>40</v>
      </c>
      <c r="Q99" s="685"/>
      <c r="R99" s="685"/>
      <c r="S99" s="685"/>
      <c r="T99" s="685"/>
      <c r="U99" s="685"/>
      <c r="V99" s="686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77" t="s">
        <v>207</v>
      </c>
      <c r="B100" s="677"/>
      <c r="C100" s="677"/>
      <c r="D100" s="677"/>
      <c r="E100" s="677"/>
      <c r="F100" s="677"/>
      <c r="G100" s="677"/>
      <c r="H100" s="677"/>
      <c r="I100" s="677"/>
      <c r="J100" s="677"/>
      <c r="K100" s="677"/>
      <c r="L100" s="677"/>
      <c r="M100" s="677"/>
      <c r="N100" s="677"/>
      <c r="O100" s="677"/>
      <c r="P100" s="677"/>
      <c r="Q100" s="677"/>
      <c r="R100" s="677"/>
      <c r="S100" s="677"/>
      <c r="T100" s="677"/>
      <c r="U100" s="677"/>
      <c r="V100" s="677"/>
      <c r="W100" s="677"/>
      <c r="X100" s="677"/>
      <c r="Y100" s="677"/>
      <c r="Z100" s="677"/>
      <c r="AA100" s="65"/>
      <c r="AB100" s="65"/>
      <c r="AC100" s="79"/>
    </row>
    <row r="101" spans="1:68" ht="14.25" hidden="1" customHeight="1" x14ac:dyDescent="0.25">
      <c r="A101" s="678" t="s">
        <v>127</v>
      </c>
      <c r="B101" s="678"/>
      <c r="C101" s="678"/>
      <c r="D101" s="678"/>
      <c r="E101" s="678"/>
      <c r="F101" s="678"/>
      <c r="G101" s="678"/>
      <c r="H101" s="678"/>
      <c r="I101" s="678"/>
      <c r="J101" s="678"/>
      <c r="K101" s="678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  <c r="Y101" s="678"/>
      <c r="Z101" s="678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79">
        <v>4680115882133</v>
      </c>
      <c r="E102" s="67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132</v>
      </c>
      <c r="L102" s="37" t="s">
        <v>46</v>
      </c>
      <c r="M102" s="38" t="s">
        <v>131</v>
      </c>
      <c r="N102" s="38"/>
      <c r="O102" s="37">
        <v>50</v>
      </c>
      <c r="P102" s="72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81"/>
      <c r="R102" s="681"/>
      <c r="S102" s="681"/>
      <c r="T102" s="68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210</v>
      </c>
      <c r="AG102" s="78"/>
      <c r="AJ102" s="84" t="s">
        <v>46</v>
      </c>
      <c r="AK102" s="84">
        <v>0</v>
      </c>
      <c r="BB102" s="167" t="s">
        <v>66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4301012051</v>
      </c>
      <c r="D103" s="679">
        <v>4680115887718</v>
      </c>
      <c r="E103" s="679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136</v>
      </c>
      <c r="L103" s="37" t="s">
        <v>46</v>
      </c>
      <c r="M103" s="38" t="s">
        <v>80</v>
      </c>
      <c r="N103" s="38"/>
      <c r="O103" s="37">
        <v>30</v>
      </c>
      <c r="P103" s="7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81"/>
      <c r="R103" s="681"/>
      <c r="S103" s="681"/>
      <c r="T103" s="68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213</v>
      </c>
      <c r="AG103" s="78"/>
      <c r="AJ103" s="84" t="s">
        <v>46</v>
      </c>
      <c r="AK103" s="84">
        <v>0</v>
      </c>
      <c r="BB103" s="169" t="s">
        <v>66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hidden="1" customHeight="1" x14ac:dyDescent="0.25">
      <c r="A104" s="63" t="s">
        <v>211</v>
      </c>
      <c r="B104" s="63" t="s">
        <v>214</v>
      </c>
      <c r="C104" s="36">
        <v>4301012334</v>
      </c>
      <c r="D104" s="679">
        <v>4680115887718</v>
      </c>
      <c r="E104" s="679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1"/>
      <c r="R104" s="681"/>
      <c r="S104" s="681"/>
      <c r="T104" s="68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213</v>
      </c>
      <c r="AG104" s="78"/>
      <c r="AJ104" s="84" t="s">
        <v>46</v>
      </c>
      <c r="AK104" s="84">
        <v>0</v>
      </c>
      <c r="BB104" s="171" t="s">
        <v>66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4301012226</v>
      </c>
      <c r="D105" s="679">
        <v>4680115887749</v>
      </c>
      <c r="E105" s="679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81"/>
      <c r="R105" s="681"/>
      <c r="S105" s="681"/>
      <c r="T105" s="68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213</v>
      </c>
      <c r="AG105" s="78"/>
      <c r="AJ105" s="84" t="s">
        <v>46</v>
      </c>
      <c r="AK105" s="84">
        <v>0</v>
      </c>
      <c r="BB105" s="173" t="s">
        <v>66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9">
        <v>4680115880269</v>
      </c>
      <c r="E106" s="67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210</v>
      </c>
      <c r="AG106" s="78"/>
      <c r="AJ106" s="84" t="s">
        <v>46</v>
      </c>
      <c r="AK106" s="84">
        <v>0</v>
      </c>
      <c r="BB106" s="175" t="s">
        <v>66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79">
        <v>4680115880429</v>
      </c>
      <c r="E107" s="67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210</v>
      </c>
      <c r="AG107" s="78"/>
      <c r="AJ107" s="84" t="s">
        <v>46</v>
      </c>
      <c r="AK107" s="84">
        <v>0</v>
      </c>
      <c r="BB107" s="177" t="s">
        <v>66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79">
        <v>4680115881457</v>
      </c>
      <c r="E108" s="67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210</v>
      </c>
      <c r="AG108" s="78"/>
      <c r="AJ108" s="84" t="s">
        <v>46</v>
      </c>
      <c r="AK108" s="84">
        <v>0</v>
      </c>
      <c r="BB108" s="179" t="s">
        <v>66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idden="1" x14ac:dyDescent="0.2">
      <c r="A109" s="687"/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8"/>
      <c r="P109" s="684" t="s">
        <v>40</v>
      </c>
      <c r="Q109" s="685"/>
      <c r="R109" s="685"/>
      <c r="S109" s="685"/>
      <c r="T109" s="685"/>
      <c r="U109" s="685"/>
      <c r="V109" s="686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87"/>
      <c r="B110" s="687"/>
      <c r="C110" s="687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8"/>
      <c r="P110" s="684" t="s">
        <v>40</v>
      </c>
      <c r="Q110" s="685"/>
      <c r="R110" s="685"/>
      <c r="S110" s="685"/>
      <c r="T110" s="685"/>
      <c r="U110" s="685"/>
      <c r="V110" s="686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78" t="s">
        <v>162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  <c r="Y111" s="678"/>
      <c r="Z111" s="678"/>
      <c r="AA111" s="66"/>
      <c r="AB111" s="66"/>
      <c r="AC111" s="80"/>
    </row>
    <row r="112" spans="1:68" ht="16.5" hidden="1" customHeight="1" x14ac:dyDescent="0.25">
      <c r="A112" s="63" t="s">
        <v>223</v>
      </c>
      <c r="B112" s="63" t="s">
        <v>224</v>
      </c>
      <c r="C112" s="36">
        <v>4301020345</v>
      </c>
      <c r="D112" s="679">
        <v>4680115881488</v>
      </c>
      <c r="E112" s="67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66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hidden="1" customHeight="1" x14ac:dyDescent="0.25">
      <c r="A113" s="63" t="s">
        <v>223</v>
      </c>
      <c r="B113" s="63" t="s">
        <v>226</v>
      </c>
      <c r="C113" s="36">
        <v>4301020391</v>
      </c>
      <c r="D113" s="679">
        <v>4680115881488</v>
      </c>
      <c r="E113" s="679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132</v>
      </c>
      <c r="L113" s="37" t="s">
        <v>46</v>
      </c>
      <c r="M113" s="38" t="s">
        <v>131</v>
      </c>
      <c r="N113" s="38"/>
      <c r="O113" s="37">
        <v>55</v>
      </c>
      <c r="P113" s="7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1"/>
      <c r="R113" s="681"/>
      <c r="S113" s="681"/>
      <c r="T113" s="682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hidden="1" customHeight="1" x14ac:dyDescent="0.25">
      <c r="A114" s="63" t="s">
        <v>228</v>
      </c>
      <c r="B114" s="63" t="s">
        <v>229</v>
      </c>
      <c r="C114" s="36">
        <v>4301020186</v>
      </c>
      <c r="D114" s="679">
        <v>4680115887664</v>
      </c>
      <c r="E114" s="679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231</v>
      </c>
      <c r="L114" s="37" t="s">
        <v>46</v>
      </c>
      <c r="M114" s="38" t="s">
        <v>80</v>
      </c>
      <c r="N114" s="38"/>
      <c r="O114" s="37">
        <v>30</v>
      </c>
      <c r="P114" s="73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1"/>
      <c r="R114" s="681"/>
      <c r="S114" s="681"/>
      <c r="T114" s="682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230</v>
      </c>
      <c r="AG114" s="78"/>
      <c r="AJ114" s="84" t="s">
        <v>46</v>
      </c>
      <c r="AK114" s="84">
        <v>0</v>
      </c>
      <c r="BB114" s="185" t="s">
        <v>66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228</v>
      </c>
      <c r="B115" s="63" t="s">
        <v>232</v>
      </c>
      <c r="C115" s="36">
        <v>4301020430</v>
      </c>
      <c r="D115" s="679">
        <v>4680115887664</v>
      </c>
      <c r="E115" s="679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231</v>
      </c>
      <c r="L115" s="37" t="s">
        <v>46</v>
      </c>
      <c r="M115" s="38" t="s">
        <v>80</v>
      </c>
      <c r="N115" s="38"/>
      <c r="O115" s="37">
        <v>30</v>
      </c>
      <c r="P115" s="73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1"/>
      <c r="R115" s="681"/>
      <c r="S115" s="681"/>
      <c r="T115" s="682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230</v>
      </c>
      <c r="AG115" s="78"/>
      <c r="AJ115" s="84" t="s">
        <v>46</v>
      </c>
      <c r="AK115" s="84">
        <v>0</v>
      </c>
      <c r="BB115" s="187" t="s">
        <v>66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4301020393</v>
      </c>
      <c r="D116" s="679">
        <v>4680115882775</v>
      </c>
      <c r="E116" s="679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81</v>
      </c>
      <c r="L116" s="37" t="s">
        <v>46</v>
      </c>
      <c r="M116" s="38" t="s">
        <v>131</v>
      </c>
      <c r="N116" s="38"/>
      <c r="O116" s="37">
        <v>55</v>
      </c>
      <c r="P116" s="73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227</v>
      </c>
      <c r="AG116" s="78"/>
      <c r="AJ116" s="84" t="s">
        <v>46</v>
      </c>
      <c r="AK116" s="84">
        <v>0</v>
      </c>
      <c r="BB116" s="189" t="s">
        <v>66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hidden="1" customHeight="1" x14ac:dyDescent="0.25">
      <c r="A117" s="63" t="s">
        <v>235</v>
      </c>
      <c r="B117" s="63" t="s">
        <v>236</v>
      </c>
      <c r="C117" s="36">
        <v>4301020344</v>
      </c>
      <c r="D117" s="679">
        <v>4680115880658</v>
      </c>
      <c r="E117" s="679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90</v>
      </c>
      <c r="L117" s="37" t="s">
        <v>46</v>
      </c>
      <c r="M117" s="38" t="s">
        <v>131</v>
      </c>
      <c r="N117" s="38"/>
      <c r="O117" s="37">
        <v>55</v>
      </c>
      <c r="P117" s="7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225</v>
      </c>
      <c r="AG117" s="78"/>
      <c r="AJ117" s="84" t="s">
        <v>46</v>
      </c>
      <c r="AK117" s="84">
        <v>0</v>
      </c>
      <c r="BB117" s="191" t="s">
        <v>66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hidden="1" customHeight="1" x14ac:dyDescent="0.25">
      <c r="A118" s="63" t="s">
        <v>235</v>
      </c>
      <c r="B118" s="63" t="s">
        <v>237</v>
      </c>
      <c r="C118" s="36">
        <v>4301020392</v>
      </c>
      <c r="D118" s="679">
        <v>4680115880658</v>
      </c>
      <c r="E118" s="679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131</v>
      </c>
      <c r="N118" s="38"/>
      <c r="O118" s="37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227</v>
      </c>
      <c r="AG118" s="78"/>
      <c r="AJ118" s="84" t="s">
        <v>46</v>
      </c>
      <c r="AK118" s="84">
        <v>0</v>
      </c>
      <c r="BB118" s="193" t="s">
        <v>66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idden="1" x14ac:dyDescent="0.2">
      <c r="A119" s="687"/>
      <c r="B119" s="687"/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8"/>
      <c r="P119" s="684" t="s">
        <v>40</v>
      </c>
      <c r="Q119" s="685"/>
      <c r="R119" s="685"/>
      <c r="S119" s="685"/>
      <c r="T119" s="685"/>
      <c r="U119" s="685"/>
      <c r="V119" s="686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87"/>
      <c r="B120" s="687"/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8"/>
      <c r="P120" s="684" t="s">
        <v>40</v>
      </c>
      <c r="Q120" s="685"/>
      <c r="R120" s="685"/>
      <c r="S120" s="685"/>
      <c r="T120" s="685"/>
      <c r="U120" s="685"/>
      <c r="V120" s="686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8" t="s">
        <v>85</v>
      </c>
      <c r="B121" s="678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  <c r="N121" s="678"/>
      <c r="O121" s="678"/>
      <c r="P121" s="678"/>
      <c r="Q121" s="678"/>
      <c r="R121" s="678"/>
      <c r="S121" s="678"/>
      <c r="T121" s="678"/>
      <c r="U121" s="678"/>
      <c r="V121" s="678"/>
      <c r="W121" s="678"/>
      <c r="X121" s="678"/>
      <c r="Y121" s="678"/>
      <c r="Z121" s="678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79">
        <v>4607091385168</v>
      </c>
      <c r="E122" s="679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132</v>
      </c>
      <c r="L122" s="37" t="s">
        <v>46</v>
      </c>
      <c r="M122" s="38" t="s">
        <v>96</v>
      </c>
      <c r="N122" s="38"/>
      <c r="O122" s="37">
        <v>45</v>
      </c>
      <c r="P122" s="7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1"/>
      <c r="R122" s="681"/>
      <c r="S122" s="681"/>
      <c r="T122" s="68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4301051730</v>
      </c>
      <c r="D123" s="679">
        <v>4607091383256</v>
      </c>
      <c r="E123" s="679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96</v>
      </c>
      <c r="N123" s="38"/>
      <c r="O123" s="37">
        <v>45</v>
      </c>
      <c r="P123" s="7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1"/>
      <c r="R123" s="681"/>
      <c r="S123" s="681"/>
      <c r="T123" s="68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4301051721</v>
      </c>
      <c r="D124" s="679">
        <v>4607091385748</v>
      </c>
      <c r="E124" s="679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240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245</v>
      </c>
      <c r="B125" s="63" t="s">
        <v>246</v>
      </c>
      <c r="C125" s="36">
        <v>4301051740</v>
      </c>
      <c r="D125" s="679">
        <v>4680115884533</v>
      </c>
      <c r="E125" s="679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87"/>
      <c r="B126" s="687"/>
      <c r="C126" s="687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8"/>
      <c r="P126" s="684" t="s">
        <v>40</v>
      </c>
      <c r="Q126" s="685"/>
      <c r="R126" s="685"/>
      <c r="S126" s="685"/>
      <c r="T126" s="685"/>
      <c r="U126" s="685"/>
      <c r="V126" s="686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87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8"/>
      <c r="P127" s="684" t="s">
        <v>40</v>
      </c>
      <c r="Q127" s="685"/>
      <c r="R127" s="685"/>
      <c r="S127" s="685"/>
      <c r="T127" s="685"/>
      <c r="U127" s="685"/>
      <c r="V127" s="686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78" t="s">
        <v>179</v>
      </c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8"/>
      <c r="P128" s="678"/>
      <c r="Q128" s="678"/>
      <c r="R128" s="678"/>
      <c r="S128" s="678"/>
      <c r="T128" s="678"/>
      <c r="U128" s="678"/>
      <c r="V128" s="678"/>
      <c r="W128" s="678"/>
      <c r="X128" s="678"/>
      <c r="Y128" s="678"/>
      <c r="Z128" s="678"/>
      <c r="AA128" s="66"/>
      <c r="AB128" s="66"/>
      <c r="AC128" s="80"/>
    </row>
    <row r="129" spans="1:68" ht="16.5" hidden="1" customHeight="1" x14ac:dyDescent="0.25">
      <c r="A129" s="63" t="s">
        <v>248</v>
      </c>
      <c r="B129" s="63" t="s">
        <v>249</v>
      </c>
      <c r="C129" s="36">
        <v>4301060317</v>
      </c>
      <c r="D129" s="679">
        <v>4680115880238</v>
      </c>
      <c r="E129" s="679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74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1"/>
      <c r="R129" s="681"/>
      <c r="S129" s="681"/>
      <c r="T129" s="68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250</v>
      </c>
      <c r="AG129" s="78"/>
      <c r="AJ129" s="84" t="s">
        <v>46</v>
      </c>
      <c r="AK129" s="84">
        <v>0</v>
      </c>
      <c r="BB129" s="20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87"/>
      <c r="B130" s="687"/>
      <c r="C130" s="687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8"/>
      <c r="P130" s="684" t="s">
        <v>40</v>
      </c>
      <c r="Q130" s="685"/>
      <c r="R130" s="685"/>
      <c r="S130" s="685"/>
      <c r="T130" s="685"/>
      <c r="U130" s="685"/>
      <c r="V130" s="686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87"/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8"/>
      <c r="P131" s="684" t="s">
        <v>40</v>
      </c>
      <c r="Q131" s="685"/>
      <c r="R131" s="685"/>
      <c r="S131" s="685"/>
      <c r="T131" s="685"/>
      <c r="U131" s="685"/>
      <c r="V131" s="686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77" t="s">
        <v>251</v>
      </c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77"/>
      <c r="P132" s="677"/>
      <c r="Q132" s="677"/>
      <c r="R132" s="677"/>
      <c r="S132" s="677"/>
      <c r="T132" s="677"/>
      <c r="U132" s="677"/>
      <c r="V132" s="677"/>
      <c r="W132" s="677"/>
      <c r="X132" s="677"/>
      <c r="Y132" s="677"/>
      <c r="Z132" s="677"/>
      <c r="AA132" s="65"/>
      <c r="AB132" s="65"/>
      <c r="AC132" s="79"/>
    </row>
    <row r="133" spans="1:68" ht="14.25" hidden="1" customHeight="1" x14ac:dyDescent="0.25">
      <c r="A133" s="678" t="s">
        <v>127</v>
      </c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678"/>
      <c r="Q133" s="678"/>
      <c r="R133" s="678"/>
      <c r="S133" s="678"/>
      <c r="T133" s="678"/>
      <c r="U133" s="678"/>
      <c r="V133" s="678"/>
      <c r="W133" s="678"/>
      <c r="X133" s="678"/>
      <c r="Y133" s="678"/>
      <c r="Z133" s="678"/>
      <c r="AA133" s="66"/>
      <c r="AB133" s="66"/>
      <c r="AC133" s="80"/>
    </row>
    <row r="134" spans="1:68" ht="27" hidden="1" customHeight="1" x14ac:dyDescent="0.25">
      <c r="A134" s="63" t="s">
        <v>252</v>
      </c>
      <c r="B134" s="63" t="s">
        <v>253</v>
      </c>
      <c r="C134" s="36">
        <v>4301011562</v>
      </c>
      <c r="D134" s="679">
        <v>4680115882577</v>
      </c>
      <c r="E134" s="67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111</v>
      </c>
      <c r="N134" s="38"/>
      <c r="O134" s="37">
        <v>90</v>
      </c>
      <c r="P134" s="7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1"/>
      <c r="R134" s="681"/>
      <c r="S134" s="681"/>
      <c r="T134" s="68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252</v>
      </c>
      <c r="B135" s="63" t="s">
        <v>255</v>
      </c>
      <c r="C135" s="36">
        <v>4301011564</v>
      </c>
      <c r="D135" s="679">
        <v>4680115882577</v>
      </c>
      <c r="E135" s="67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111</v>
      </c>
      <c r="N135" s="38"/>
      <c r="O135" s="37">
        <v>90</v>
      </c>
      <c r="P135" s="7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1"/>
      <c r="R135" s="681"/>
      <c r="S135" s="681"/>
      <c r="T135" s="68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87"/>
      <c r="B136" s="687"/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8"/>
      <c r="P136" s="684" t="s">
        <v>40</v>
      </c>
      <c r="Q136" s="685"/>
      <c r="R136" s="685"/>
      <c r="S136" s="685"/>
      <c r="T136" s="685"/>
      <c r="U136" s="685"/>
      <c r="V136" s="68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87"/>
      <c r="B137" s="687"/>
      <c r="C137" s="687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8"/>
      <c r="P137" s="684" t="s">
        <v>40</v>
      </c>
      <c r="Q137" s="685"/>
      <c r="R137" s="685"/>
      <c r="S137" s="685"/>
      <c r="T137" s="685"/>
      <c r="U137" s="685"/>
      <c r="V137" s="68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8" t="s">
        <v>76</v>
      </c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  <c r="Y138" s="678"/>
      <c r="Z138" s="678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79">
        <v>4680115883444</v>
      </c>
      <c r="E139" s="679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111</v>
      </c>
      <c r="N139" s="38"/>
      <c r="O139" s="37">
        <v>90</v>
      </c>
      <c r="P139" s="74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1"/>
      <c r="R139" s="681"/>
      <c r="S139" s="681"/>
      <c r="T139" s="68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79">
        <v>4680115883444</v>
      </c>
      <c r="E140" s="679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111</v>
      </c>
      <c r="N140" s="38"/>
      <c r="O140" s="37">
        <v>90</v>
      </c>
      <c r="P140" s="7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1"/>
      <c r="R140" s="681"/>
      <c r="S140" s="681"/>
      <c r="T140" s="68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258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8"/>
      <c r="P141" s="684" t="s">
        <v>40</v>
      </c>
      <c r="Q141" s="685"/>
      <c r="R141" s="685"/>
      <c r="S141" s="685"/>
      <c r="T141" s="685"/>
      <c r="U141" s="685"/>
      <c r="V141" s="686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87"/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8"/>
      <c r="P142" s="684" t="s">
        <v>40</v>
      </c>
      <c r="Q142" s="685"/>
      <c r="R142" s="685"/>
      <c r="S142" s="685"/>
      <c r="T142" s="685"/>
      <c r="U142" s="685"/>
      <c r="V142" s="686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8" t="s">
        <v>85</v>
      </c>
      <c r="B143" s="678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  <c r="Y143" s="678"/>
      <c r="Z143" s="678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79">
        <v>4680115882584</v>
      </c>
      <c r="E144" s="679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111</v>
      </c>
      <c r="N144" s="38"/>
      <c r="O144" s="37">
        <v>60</v>
      </c>
      <c r="P144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1"/>
      <c r="R144" s="681"/>
      <c r="S144" s="681"/>
      <c r="T144" s="682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79">
        <v>4680115882584</v>
      </c>
      <c r="E145" s="679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111</v>
      </c>
      <c r="N145" s="38"/>
      <c r="O145" s="37">
        <v>60</v>
      </c>
      <c r="P145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1"/>
      <c r="R145" s="681"/>
      <c r="S145" s="681"/>
      <c r="T145" s="682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254</v>
      </c>
      <c r="AG145" s="78"/>
      <c r="AJ145" s="84" t="s">
        <v>46</v>
      </c>
      <c r="AK145" s="84">
        <v>0</v>
      </c>
      <c r="BB145" s="21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87"/>
      <c r="B146" s="687"/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8"/>
      <c r="P146" s="684" t="s">
        <v>40</v>
      </c>
      <c r="Q146" s="685"/>
      <c r="R146" s="685"/>
      <c r="S146" s="685"/>
      <c r="T146" s="685"/>
      <c r="U146" s="685"/>
      <c r="V146" s="68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87"/>
      <c r="B147" s="687"/>
      <c r="C147" s="687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8"/>
      <c r="P147" s="684" t="s">
        <v>40</v>
      </c>
      <c r="Q147" s="685"/>
      <c r="R147" s="685"/>
      <c r="S147" s="685"/>
      <c r="T147" s="685"/>
      <c r="U147" s="685"/>
      <c r="V147" s="68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77" t="s">
        <v>263</v>
      </c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77"/>
      <c r="P148" s="677"/>
      <c r="Q148" s="677"/>
      <c r="R148" s="677"/>
      <c r="S148" s="677"/>
      <c r="T148" s="677"/>
      <c r="U148" s="677"/>
      <c r="V148" s="677"/>
      <c r="W148" s="677"/>
      <c r="X148" s="677"/>
      <c r="Y148" s="677"/>
      <c r="Z148" s="677"/>
      <c r="AA148" s="65"/>
      <c r="AB148" s="65"/>
      <c r="AC148" s="79"/>
    </row>
    <row r="149" spans="1:68" ht="14.25" hidden="1" customHeight="1" x14ac:dyDescent="0.25">
      <c r="A149" s="678" t="s">
        <v>85</v>
      </c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  <c r="Y149" s="678"/>
      <c r="Z149" s="678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4301052174</v>
      </c>
      <c r="D150" s="679">
        <v>4680115888203</v>
      </c>
      <c r="E150" s="679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5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1"/>
      <c r="R150" s="681"/>
      <c r="S150" s="681"/>
      <c r="T150" s="68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266</v>
      </c>
      <c r="AG150" s="78"/>
      <c r="AJ150" s="84" t="s">
        <v>46</v>
      </c>
      <c r="AK150" s="84">
        <v>0</v>
      </c>
      <c r="BB150" s="217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79">
        <v>4680115888180</v>
      </c>
      <c r="E151" s="67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1"/>
      <c r="R151" s="681"/>
      <c r="S151" s="681"/>
      <c r="T151" s="682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269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4301052173</v>
      </c>
      <c r="D152" s="679">
        <v>4680115888197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272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79">
        <v>4680115888210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275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87"/>
      <c r="B154" s="687"/>
      <c r="C154" s="687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8"/>
      <c r="P154" s="684" t="s">
        <v>40</v>
      </c>
      <c r="Q154" s="685"/>
      <c r="R154" s="685"/>
      <c r="S154" s="685"/>
      <c r="T154" s="685"/>
      <c r="U154" s="685"/>
      <c r="V154" s="686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87"/>
      <c r="B155" s="687"/>
      <c r="C155" s="687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8"/>
      <c r="P155" s="684" t="s">
        <v>40</v>
      </c>
      <c r="Q155" s="685"/>
      <c r="R155" s="685"/>
      <c r="S155" s="685"/>
      <c r="T155" s="685"/>
      <c r="U155" s="685"/>
      <c r="V155" s="686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77" t="s">
        <v>125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"/>
      <c r="AB156" s="65"/>
      <c r="AC156" s="79"/>
    </row>
    <row r="157" spans="1:68" ht="14.25" hidden="1" customHeight="1" x14ac:dyDescent="0.25">
      <c r="A157" s="678" t="s">
        <v>127</v>
      </c>
      <c r="B157" s="678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  <c r="Y157" s="678"/>
      <c r="Z157" s="678"/>
      <c r="AA157" s="66"/>
      <c r="AB157" s="66"/>
      <c r="AC157" s="80"/>
    </row>
    <row r="158" spans="1:68" ht="27" hidden="1" customHeight="1" x14ac:dyDescent="0.25">
      <c r="A158" s="63" t="s">
        <v>276</v>
      </c>
      <c r="B158" s="63" t="s">
        <v>277</v>
      </c>
      <c r="C158" s="36">
        <v>4301012244</v>
      </c>
      <c r="D158" s="679">
        <v>4680115887374</v>
      </c>
      <c r="E158" s="679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132</v>
      </c>
      <c r="L158" s="37" t="s">
        <v>46</v>
      </c>
      <c r="M158" s="38" t="s">
        <v>131</v>
      </c>
      <c r="N158" s="38"/>
      <c r="O158" s="37">
        <v>55</v>
      </c>
      <c r="P158" s="75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1"/>
      <c r="R158" s="681"/>
      <c r="S158" s="681"/>
      <c r="T158" s="68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278</v>
      </c>
      <c r="AG158" s="78"/>
      <c r="AJ158" s="84" t="s">
        <v>46</v>
      </c>
      <c r="AK158" s="84">
        <v>0</v>
      </c>
      <c r="BB158" s="225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279</v>
      </c>
      <c r="B159" s="63" t="s">
        <v>280</v>
      </c>
      <c r="C159" s="36">
        <v>4301011705</v>
      </c>
      <c r="D159" s="679">
        <v>4607091384604</v>
      </c>
      <c r="E159" s="67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139</v>
      </c>
      <c r="L159" s="37" t="s">
        <v>46</v>
      </c>
      <c r="M159" s="38" t="s">
        <v>131</v>
      </c>
      <c r="N159" s="38"/>
      <c r="O159" s="37">
        <v>50</v>
      </c>
      <c r="P159" s="7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1"/>
      <c r="R159" s="681"/>
      <c r="S159" s="681"/>
      <c r="T159" s="68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281</v>
      </c>
      <c r="AG159" s="78"/>
      <c r="AJ159" s="84" t="s">
        <v>46</v>
      </c>
      <c r="AK159" s="84">
        <v>0</v>
      </c>
      <c r="BB159" s="227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87"/>
      <c r="B160" s="687"/>
      <c r="C160" s="687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8"/>
      <c r="P160" s="684" t="s">
        <v>40</v>
      </c>
      <c r="Q160" s="685"/>
      <c r="R160" s="685"/>
      <c r="S160" s="685"/>
      <c r="T160" s="685"/>
      <c r="U160" s="685"/>
      <c r="V160" s="686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87"/>
      <c r="B161" s="687"/>
      <c r="C161" s="687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8"/>
      <c r="P161" s="684" t="s">
        <v>40</v>
      </c>
      <c r="Q161" s="685"/>
      <c r="R161" s="685"/>
      <c r="S161" s="685"/>
      <c r="T161" s="685"/>
      <c r="U161" s="685"/>
      <c r="V161" s="686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78" t="s">
        <v>162</v>
      </c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  <c r="Y162" s="678"/>
      <c r="Z162" s="678"/>
      <c r="AA162" s="66"/>
      <c r="AB162" s="66"/>
      <c r="AC162" s="80"/>
    </row>
    <row r="163" spans="1:68" ht="16.5" hidden="1" customHeight="1" x14ac:dyDescent="0.25">
      <c r="A163" s="63" t="s">
        <v>282</v>
      </c>
      <c r="B163" s="63" t="s">
        <v>283</v>
      </c>
      <c r="C163" s="36">
        <v>4301020410</v>
      </c>
      <c r="D163" s="679">
        <v>4680115887695</v>
      </c>
      <c r="E163" s="679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81</v>
      </c>
      <c r="L163" s="37" t="s">
        <v>46</v>
      </c>
      <c r="M163" s="38" t="s">
        <v>80</v>
      </c>
      <c r="N163" s="38"/>
      <c r="O163" s="37">
        <v>30</v>
      </c>
      <c r="P163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1"/>
      <c r="R163" s="681"/>
      <c r="S163" s="681"/>
      <c r="T163" s="68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284</v>
      </c>
      <c r="AG163" s="78"/>
      <c r="AJ163" s="84" t="s">
        <v>46</v>
      </c>
      <c r="AK163" s="84">
        <v>0</v>
      </c>
      <c r="BB163" s="22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87"/>
      <c r="B164" s="687"/>
      <c r="C164" s="687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8"/>
      <c r="P164" s="684" t="s">
        <v>40</v>
      </c>
      <c r="Q164" s="685"/>
      <c r="R164" s="685"/>
      <c r="S164" s="685"/>
      <c r="T164" s="685"/>
      <c r="U164" s="685"/>
      <c r="V164" s="68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87"/>
      <c r="B165" s="687"/>
      <c r="C165" s="687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8"/>
      <c r="P165" s="684" t="s">
        <v>40</v>
      </c>
      <c r="Q165" s="685"/>
      <c r="R165" s="685"/>
      <c r="S165" s="685"/>
      <c r="T165" s="685"/>
      <c r="U165" s="685"/>
      <c r="V165" s="68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78" t="s">
        <v>76</v>
      </c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  <c r="AA166" s="66"/>
      <c r="AB166" s="66"/>
      <c r="AC166" s="80"/>
    </row>
    <row r="167" spans="1:68" ht="27" hidden="1" customHeight="1" x14ac:dyDescent="0.25">
      <c r="A167" s="63" t="s">
        <v>285</v>
      </c>
      <c r="B167" s="63" t="s">
        <v>286</v>
      </c>
      <c r="C167" s="36">
        <v>4301031496</v>
      </c>
      <c r="D167" s="679">
        <v>4680115887428</v>
      </c>
      <c r="E167" s="679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139</v>
      </c>
      <c r="L167" s="37" t="s">
        <v>46</v>
      </c>
      <c r="M167" s="38" t="s">
        <v>80</v>
      </c>
      <c r="N167" s="38"/>
      <c r="O167" s="37">
        <v>40</v>
      </c>
      <c r="P16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1"/>
      <c r="R167" s="681"/>
      <c r="S167" s="681"/>
      <c r="T167" s="682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287</v>
      </c>
      <c r="AG167" s="78"/>
      <c r="AJ167" s="84" t="s">
        <v>46</v>
      </c>
      <c r="AK167" s="84">
        <v>0</v>
      </c>
      <c r="BB167" s="231" t="s">
        <v>66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hidden="1" customHeight="1" x14ac:dyDescent="0.25">
      <c r="A168" s="63" t="s">
        <v>288</v>
      </c>
      <c r="B168" s="63" t="s">
        <v>289</v>
      </c>
      <c r="C168" s="36">
        <v>4301030963</v>
      </c>
      <c r="D168" s="679">
        <v>4607091382426</v>
      </c>
      <c r="E168" s="679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132</v>
      </c>
      <c r="L168" s="37" t="s">
        <v>46</v>
      </c>
      <c r="M168" s="38" t="s">
        <v>80</v>
      </c>
      <c r="N168" s="38"/>
      <c r="O168" s="37">
        <v>40</v>
      </c>
      <c r="P168" s="7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1"/>
      <c r="R168" s="681"/>
      <c r="S168" s="681"/>
      <c r="T168" s="682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290</v>
      </c>
      <c r="AG168" s="78"/>
      <c r="AJ168" s="84" t="s">
        <v>46</v>
      </c>
      <c r="AK168" s="84">
        <v>0</v>
      </c>
      <c r="BB168" s="233" t="s">
        <v>66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hidden="1" customHeight="1" x14ac:dyDescent="0.25">
      <c r="A169" s="63" t="s">
        <v>291</v>
      </c>
      <c r="B169" s="63" t="s">
        <v>292</v>
      </c>
      <c r="C169" s="36">
        <v>4301031498</v>
      </c>
      <c r="D169" s="679">
        <v>4680115887398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139</v>
      </c>
      <c r="L169" s="37" t="s">
        <v>46</v>
      </c>
      <c r="M169" s="38" t="s">
        <v>80</v>
      </c>
      <c r="N169" s="38"/>
      <c r="O169" s="37">
        <v>40</v>
      </c>
      <c r="P169" s="7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293</v>
      </c>
      <c r="AG169" s="78"/>
      <c r="AJ169" s="84" t="s">
        <v>46</v>
      </c>
      <c r="AK169" s="84">
        <v>0</v>
      </c>
      <c r="BB169" s="235" t="s">
        <v>66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294</v>
      </c>
      <c r="B170" s="63" t="s">
        <v>295</v>
      </c>
      <c r="C170" s="36">
        <v>4301031497</v>
      </c>
      <c r="D170" s="679">
        <v>4680115887336</v>
      </c>
      <c r="E170" s="679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139</v>
      </c>
      <c r="L170" s="37" t="s">
        <v>46</v>
      </c>
      <c r="M170" s="38" t="s">
        <v>80</v>
      </c>
      <c r="N170" s="38"/>
      <c r="O170" s="37">
        <v>40</v>
      </c>
      <c r="P170" s="76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296</v>
      </c>
      <c r="AG170" s="78"/>
      <c r="AJ170" s="84" t="s">
        <v>46</v>
      </c>
      <c r="AK170" s="84">
        <v>0</v>
      </c>
      <c r="BB170" s="237" t="s">
        <v>66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4301032049</v>
      </c>
      <c r="D171" s="679">
        <v>4680115887787</v>
      </c>
      <c r="E171" s="679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136</v>
      </c>
      <c r="L171" s="37" t="s">
        <v>46</v>
      </c>
      <c r="M171" s="38" t="s">
        <v>80</v>
      </c>
      <c r="N171" s="38"/>
      <c r="O171" s="37">
        <v>45</v>
      </c>
      <c r="P171" s="7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4301031448</v>
      </c>
      <c r="D172" s="679">
        <v>4680115887503</v>
      </c>
      <c r="E172" s="679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81</v>
      </c>
      <c r="L172" s="37" t="s">
        <v>46</v>
      </c>
      <c r="M172" s="38" t="s">
        <v>80</v>
      </c>
      <c r="N172" s="38"/>
      <c r="O172" s="37">
        <v>40</v>
      </c>
      <c r="P172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287</v>
      </c>
      <c r="AG172" s="78"/>
      <c r="AJ172" s="84" t="s">
        <v>46</v>
      </c>
      <c r="AK172" s="84">
        <v>0</v>
      </c>
      <c r="BB172" s="241" t="s">
        <v>66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302</v>
      </c>
      <c r="B173" s="63" t="s">
        <v>303</v>
      </c>
      <c r="C173" s="36">
        <v>4301031389</v>
      </c>
      <c r="D173" s="679">
        <v>4680115887763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136</v>
      </c>
      <c r="L173" s="37" t="s">
        <v>46</v>
      </c>
      <c r="M173" s="38" t="s">
        <v>80</v>
      </c>
      <c r="N173" s="38"/>
      <c r="O173" s="37">
        <v>45</v>
      </c>
      <c r="P173" s="7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304</v>
      </c>
      <c r="AG173" s="78"/>
      <c r="AJ173" s="84" t="s">
        <v>46</v>
      </c>
      <c r="AK173" s="84">
        <v>0</v>
      </c>
      <c r="BB173" s="243" t="s">
        <v>66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302</v>
      </c>
      <c r="B174" s="63" t="s">
        <v>305</v>
      </c>
      <c r="C174" s="36">
        <v>4301031510</v>
      </c>
      <c r="D174" s="679">
        <v>4680115887763</v>
      </c>
      <c r="E174" s="679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136</v>
      </c>
      <c r="L174" s="37" t="s">
        <v>46</v>
      </c>
      <c r="M174" s="38" t="s">
        <v>80</v>
      </c>
      <c r="N174" s="38"/>
      <c r="O174" s="37">
        <v>45</v>
      </c>
      <c r="P174" s="7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304</v>
      </c>
      <c r="AG174" s="78"/>
      <c r="AJ174" s="84" t="s">
        <v>46</v>
      </c>
      <c r="AK174" s="84">
        <v>0</v>
      </c>
      <c r="BB174" s="245" t="s">
        <v>66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4301031454</v>
      </c>
      <c r="D175" s="679">
        <v>4680115887480</v>
      </c>
      <c r="E175" s="679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81</v>
      </c>
      <c r="L175" s="37" t="s">
        <v>46</v>
      </c>
      <c r="M175" s="38" t="s">
        <v>80</v>
      </c>
      <c r="N175" s="38"/>
      <c r="O175" s="37">
        <v>40</v>
      </c>
      <c r="P175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293</v>
      </c>
      <c r="AG175" s="78"/>
      <c r="AJ175" s="84" t="s">
        <v>46</v>
      </c>
      <c r="AK175" s="84">
        <v>0</v>
      </c>
      <c r="BB175" s="247" t="s">
        <v>66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4301031434</v>
      </c>
      <c r="D176" s="679">
        <v>4680115888067</v>
      </c>
      <c r="E176" s="679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136</v>
      </c>
      <c r="L176" s="37" t="s">
        <v>46</v>
      </c>
      <c r="M176" s="38" t="s">
        <v>80</v>
      </c>
      <c r="N176" s="38"/>
      <c r="O176" s="37">
        <v>45</v>
      </c>
      <c r="P176" s="7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66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4301031451</v>
      </c>
      <c r="D177" s="679">
        <v>4680115887435</v>
      </c>
      <c r="E177" s="679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81</v>
      </c>
      <c r="L177" s="37" t="s">
        <v>46</v>
      </c>
      <c r="M177" s="38" t="s">
        <v>80</v>
      </c>
      <c r="N177" s="38"/>
      <c r="O177" s="37">
        <v>40</v>
      </c>
      <c r="P177" s="76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296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idden="1" x14ac:dyDescent="0.2">
      <c r="A178" s="687"/>
      <c r="B178" s="687"/>
      <c r="C178" s="687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8"/>
      <c r="P178" s="684" t="s">
        <v>40</v>
      </c>
      <c r="Q178" s="685"/>
      <c r="R178" s="685"/>
      <c r="S178" s="685"/>
      <c r="T178" s="685"/>
      <c r="U178" s="685"/>
      <c r="V178" s="686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87"/>
      <c r="B179" s="687"/>
      <c r="C179" s="687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8"/>
      <c r="P179" s="684" t="s">
        <v>40</v>
      </c>
      <c r="Q179" s="685"/>
      <c r="R179" s="685"/>
      <c r="S179" s="685"/>
      <c r="T179" s="685"/>
      <c r="U179" s="685"/>
      <c r="V179" s="686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78" t="s">
        <v>85</v>
      </c>
      <c r="B180" s="678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  <c r="AA180" s="66"/>
      <c r="AB180" s="66"/>
      <c r="AC180" s="80"/>
    </row>
    <row r="181" spans="1:68" ht="16.5" hidden="1" customHeight="1" x14ac:dyDescent="0.25">
      <c r="A181" s="63" t="s">
        <v>313</v>
      </c>
      <c r="B181" s="63" t="s">
        <v>314</v>
      </c>
      <c r="C181" s="36">
        <v>4301052193</v>
      </c>
      <c r="D181" s="679">
        <v>4680115888395</v>
      </c>
      <c r="E181" s="679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90</v>
      </c>
      <c r="L181" s="37" t="s">
        <v>46</v>
      </c>
      <c r="M181" s="38" t="s">
        <v>96</v>
      </c>
      <c r="N181" s="38"/>
      <c r="O181" s="37">
        <v>40</v>
      </c>
      <c r="P181" s="77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1"/>
      <c r="R181" s="681"/>
      <c r="S181" s="681"/>
      <c r="T181" s="682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315</v>
      </c>
      <c r="AG181" s="78"/>
      <c r="AJ181" s="84" t="s">
        <v>46</v>
      </c>
      <c r="AK181" s="84">
        <v>0</v>
      </c>
      <c r="BB181" s="25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316</v>
      </c>
      <c r="B182" s="63" t="s">
        <v>317</v>
      </c>
      <c r="C182" s="36">
        <v>4301052191</v>
      </c>
      <c r="D182" s="679">
        <v>4680115888371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77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318</v>
      </c>
      <c r="AG182" s="78"/>
      <c r="AJ182" s="84" t="s">
        <v>46</v>
      </c>
      <c r="AK182" s="84">
        <v>0</v>
      </c>
      <c r="BB182" s="25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4301052064</v>
      </c>
      <c r="D183" s="679">
        <v>4680115887459</v>
      </c>
      <c r="E183" s="679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90</v>
      </c>
      <c r="L183" s="37" t="s">
        <v>46</v>
      </c>
      <c r="M183" s="38" t="s">
        <v>89</v>
      </c>
      <c r="N183" s="38"/>
      <c r="O183" s="37">
        <v>45</v>
      </c>
      <c r="P18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321</v>
      </c>
      <c r="AG183" s="78"/>
      <c r="AJ183" s="84" t="s">
        <v>46</v>
      </c>
      <c r="AK183" s="84">
        <v>0</v>
      </c>
      <c r="BB183" s="25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87"/>
      <c r="B184" s="687"/>
      <c r="C184" s="687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8"/>
      <c r="P184" s="684" t="s">
        <v>40</v>
      </c>
      <c r="Q184" s="685"/>
      <c r="R184" s="685"/>
      <c r="S184" s="685"/>
      <c r="T184" s="685"/>
      <c r="U184" s="685"/>
      <c r="V184" s="686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87"/>
      <c r="B185" s="687"/>
      <c r="C185" s="687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8"/>
      <c r="P185" s="684" t="s">
        <v>40</v>
      </c>
      <c r="Q185" s="685"/>
      <c r="R185" s="685"/>
      <c r="S185" s="685"/>
      <c r="T185" s="685"/>
      <c r="U185" s="685"/>
      <c r="V185" s="686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78" t="s">
        <v>106</v>
      </c>
      <c r="B186" s="678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  <c r="AA186" s="66"/>
      <c r="AB186" s="66"/>
      <c r="AC186" s="80"/>
    </row>
    <row r="187" spans="1:68" ht="16.5" hidden="1" customHeight="1" x14ac:dyDescent="0.25">
      <c r="A187" s="63" t="s">
        <v>322</v>
      </c>
      <c r="B187" s="63" t="s">
        <v>323</v>
      </c>
      <c r="C187" s="36">
        <v>4301032058</v>
      </c>
      <c r="D187" s="679">
        <v>4680115889026</v>
      </c>
      <c r="E187" s="679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326</v>
      </c>
      <c r="L187" s="37" t="s">
        <v>46</v>
      </c>
      <c r="M187" s="38" t="s">
        <v>325</v>
      </c>
      <c r="N187" s="38"/>
      <c r="O187" s="37">
        <v>60</v>
      </c>
      <c r="P187" s="7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1"/>
      <c r="R187" s="681"/>
      <c r="S187" s="681"/>
      <c r="T187" s="682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324</v>
      </c>
      <c r="AG187" s="78"/>
      <c r="AJ187" s="84" t="s">
        <v>46</v>
      </c>
      <c r="AK187" s="84">
        <v>0</v>
      </c>
      <c r="BB187" s="25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4301032057</v>
      </c>
      <c r="D188" s="679">
        <v>4680115889088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326</v>
      </c>
      <c r="L188" s="37" t="s">
        <v>46</v>
      </c>
      <c r="M188" s="38" t="s">
        <v>325</v>
      </c>
      <c r="N188" s="38"/>
      <c r="O188" s="37">
        <v>45</v>
      </c>
      <c r="P188" s="77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87"/>
      <c r="B189" s="687"/>
      <c r="C189" s="687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8"/>
      <c r="P189" s="684" t="s">
        <v>40</v>
      </c>
      <c r="Q189" s="685"/>
      <c r="R189" s="685"/>
      <c r="S189" s="685"/>
      <c r="T189" s="685"/>
      <c r="U189" s="685"/>
      <c r="V189" s="686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87"/>
      <c r="B190" s="687"/>
      <c r="C190" s="687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8"/>
      <c r="P190" s="684" t="s">
        <v>40</v>
      </c>
      <c r="Q190" s="685"/>
      <c r="R190" s="685"/>
      <c r="S190" s="685"/>
      <c r="T190" s="685"/>
      <c r="U190" s="685"/>
      <c r="V190" s="686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78" t="s">
        <v>330</v>
      </c>
      <c r="B191" s="678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  <c r="AA191" s="66"/>
      <c r="AB191" s="66"/>
      <c r="AC191" s="80"/>
    </row>
    <row r="192" spans="1:68" ht="27" hidden="1" customHeight="1" x14ac:dyDescent="0.25">
      <c r="A192" s="63" t="s">
        <v>331</v>
      </c>
      <c r="B192" s="63" t="s">
        <v>332</v>
      </c>
      <c r="C192" s="36">
        <v>4301041009</v>
      </c>
      <c r="D192" s="679">
        <v>4680115889033</v>
      </c>
      <c r="E192" s="679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326</v>
      </c>
      <c r="L192" s="37" t="s">
        <v>46</v>
      </c>
      <c r="M192" s="38" t="s">
        <v>325</v>
      </c>
      <c r="N192" s="38"/>
      <c r="O192" s="37">
        <v>60</v>
      </c>
      <c r="P192" s="77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1"/>
      <c r="R192" s="681"/>
      <c r="S192" s="681"/>
      <c r="T192" s="68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333</v>
      </c>
      <c r="AG192" s="78"/>
      <c r="AJ192" s="84" t="s">
        <v>46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8"/>
      <c r="P193" s="684" t="s">
        <v>40</v>
      </c>
      <c r="Q193" s="685"/>
      <c r="R193" s="685"/>
      <c r="S193" s="685"/>
      <c r="T193" s="685"/>
      <c r="U193" s="685"/>
      <c r="V193" s="686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8"/>
      <c r="P194" s="684" t="s">
        <v>40</v>
      </c>
      <c r="Q194" s="685"/>
      <c r="R194" s="685"/>
      <c r="S194" s="685"/>
      <c r="T194" s="685"/>
      <c r="U194" s="685"/>
      <c r="V194" s="686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76" t="s">
        <v>334</v>
      </c>
      <c r="B195" s="676"/>
      <c r="C195" s="676"/>
      <c r="D195" s="676"/>
      <c r="E195" s="676"/>
      <c r="F195" s="676"/>
      <c r="G195" s="676"/>
      <c r="H195" s="676"/>
      <c r="I195" s="676"/>
      <c r="J195" s="676"/>
      <c r="K195" s="676"/>
      <c r="L195" s="676"/>
      <c r="M195" s="676"/>
      <c r="N195" s="676"/>
      <c r="O195" s="676"/>
      <c r="P195" s="676"/>
      <c r="Q195" s="676"/>
      <c r="R195" s="676"/>
      <c r="S195" s="676"/>
      <c r="T195" s="676"/>
      <c r="U195" s="676"/>
      <c r="V195" s="676"/>
      <c r="W195" s="676"/>
      <c r="X195" s="676"/>
      <c r="Y195" s="676"/>
      <c r="Z195" s="676"/>
      <c r="AA195" s="54"/>
      <c r="AB195" s="54"/>
      <c r="AC195" s="54"/>
    </row>
    <row r="196" spans="1:68" ht="16.5" hidden="1" customHeight="1" x14ac:dyDescent="0.25">
      <c r="A196" s="677" t="s">
        <v>335</v>
      </c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77"/>
      <c r="P196" s="677"/>
      <c r="Q196" s="677"/>
      <c r="R196" s="677"/>
      <c r="S196" s="677"/>
      <c r="T196" s="677"/>
      <c r="U196" s="677"/>
      <c r="V196" s="677"/>
      <c r="W196" s="677"/>
      <c r="X196" s="677"/>
      <c r="Y196" s="677"/>
      <c r="Z196" s="677"/>
      <c r="AA196" s="65"/>
      <c r="AB196" s="65"/>
      <c r="AC196" s="79"/>
    </row>
    <row r="197" spans="1:68" ht="14.25" hidden="1" customHeight="1" x14ac:dyDescent="0.25">
      <c r="A197" s="678" t="s">
        <v>127</v>
      </c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6"/>
      <c r="AB197" s="66"/>
      <c r="AC197" s="80"/>
    </row>
    <row r="198" spans="1:68" ht="27" hidden="1" customHeight="1" x14ac:dyDescent="0.25">
      <c r="A198" s="63" t="s">
        <v>336</v>
      </c>
      <c r="B198" s="63" t="s">
        <v>337</v>
      </c>
      <c r="C198" s="36">
        <v>4301011223</v>
      </c>
      <c r="D198" s="679">
        <v>4607091383423</v>
      </c>
      <c r="E198" s="679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132</v>
      </c>
      <c r="L198" s="37" t="s">
        <v>46</v>
      </c>
      <c r="M198" s="38" t="s">
        <v>89</v>
      </c>
      <c r="N198" s="38"/>
      <c r="O198" s="37">
        <v>35</v>
      </c>
      <c r="P198" s="7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81"/>
      <c r="R198" s="681"/>
      <c r="S198" s="681"/>
      <c r="T198" s="68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130</v>
      </c>
      <c r="AG198" s="78"/>
      <c r="AJ198" s="84" t="s">
        <v>46</v>
      </c>
      <c r="AK198" s="84">
        <v>0</v>
      </c>
      <c r="BB198" s="26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hidden="1" customHeight="1" x14ac:dyDescent="0.25">
      <c r="A199" s="63" t="s">
        <v>338</v>
      </c>
      <c r="B199" s="63" t="s">
        <v>339</v>
      </c>
      <c r="C199" s="36">
        <v>4301012199</v>
      </c>
      <c r="D199" s="679">
        <v>4680115886957</v>
      </c>
      <c r="E199" s="679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132</v>
      </c>
      <c r="L199" s="37" t="s">
        <v>46</v>
      </c>
      <c r="M199" s="38" t="s">
        <v>89</v>
      </c>
      <c r="N199" s="38"/>
      <c r="O199" s="37">
        <v>30</v>
      </c>
      <c r="P199" s="77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340</v>
      </c>
      <c r="AG199" s="78"/>
      <c r="AJ199" s="84" t="s">
        <v>46</v>
      </c>
      <c r="AK199" s="84">
        <v>0</v>
      </c>
      <c r="BB199" s="267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hidden="1" customHeight="1" x14ac:dyDescent="0.25">
      <c r="A200" s="63" t="s">
        <v>341</v>
      </c>
      <c r="B200" s="63" t="s">
        <v>342</v>
      </c>
      <c r="C200" s="36">
        <v>4301012098</v>
      </c>
      <c r="D200" s="679">
        <v>4680115885660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132</v>
      </c>
      <c r="L200" s="37" t="s">
        <v>46</v>
      </c>
      <c r="M200" s="38" t="s">
        <v>89</v>
      </c>
      <c r="N200" s="38"/>
      <c r="O200" s="37">
        <v>35</v>
      </c>
      <c r="P200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343</v>
      </c>
      <c r="AG200" s="78"/>
      <c r="AJ200" s="84" t="s">
        <v>46</v>
      </c>
      <c r="AK200" s="84">
        <v>0</v>
      </c>
      <c r="BB200" s="26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344</v>
      </c>
      <c r="B201" s="63" t="s">
        <v>345</v>
      </c>
      <c r="C201" s="36">
        <v>4301012369</v>
      </c>
      <c r="D201" s="679">
        <v>4680115886773</v>
      </c>
      <c r="E201" s="679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132</v>
      </c>
      <c r="L201" s="37" t="s">
        <v>46</v>
      </c>
      <c r="M201" s="38" t="s">
        <v>89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346</v>
      </c>
      <c r="AG201" s="78"/>
      <c r="AJ201" s="84" t="s">
        <v>46</v>
      </c>
      <c r="AK201" s="84">
        <v>0</v>
      </c>
      <c r="BB201" s="27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8"/>
      <c r="P202" s="684" t="s">
        <v>40</v>
      </c>
      <c r="Q202" s="685"/>
      <c r="R202" s="685"/>
      <c r="S202" s="685"/>
      <c r="T202" s="685"/>
      <c r="U202" s="685"/>
      <c r="V202" s="686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8"/>
      <c r="P203" s="684" t="s">
        <v>40</v>
      </c>
      <c r="Q203" s="685"/>
      <c r="R203" s="685"/>
      <c r="S203" s="685"/>
      <c r="T203" s="685"/>
      <c r="U203" s="685"/>
      <c r="V203" s="686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77" t="s">
        <v>347</v>
      </c>
      <c r="B204" s="677"/>
      <c r="C204" s="677"/>
      <c r="D204" s="677"/>
      <c r="E204" s="677"/>
      <c r="F204" s="677"/>
      <c r="G204" s="677"/>
      <c r="H204" s="677"/>
      <c r="I204" s="677"/>
      <c r="J204" s="677"/>
      <c r="K204" s="677"/>
      <c r="L204" s="677"/>
      <c r="M204" s="677"/>
      <c r="N204" s="677"/>
      <c r="O204" s="677"/>
      <c r="P204" s="677"/>
      <c r="Q204" s="677"/>
      <c r="R204" s="677"/>
      <c r="S204" s="677"/>
      <c r="T204" s="677"/>
      <c r="U204" s="677"/>
      <c r="V204" s="677"/>
      <c r="W204" s="677"/>
      <c r="X204" s="677"/>
      <c r="Y204" s="677"/>
      <c r="Z204" s="677"/>
      <c r="AA204" s="65"/>
      <c r="AB204" s="65"/>
      <c r="AC204" s="79"/>
    </row>
    <row r="205" spans="1:68" ht="14.25" hidden="1" customHeight="1" x14ac:dyDescent="0.25">
      <c r="A205" s="678" t="s">
        <v>162</v>
      </c>
      <c r="B205" s="678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4301020323</v>
      </c>
      <c r="D206" s="679">
        <v>4680115886223</v>
      </c>
      <c r="E206" s="679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81</v>
      </c>
      <c r="L206" s="37" t="s">
        <v>46</v>
      </c>
      <c r="M206" s="38" t="s">
        <v>80</v>
      </c>
      <c r="N206" s="38"/>
      <c r="O206" s="37">
        <v>40</v>
      </c>
      <c r="P206" s="78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81"/>
      <c r="R206" s="681"/>
      <c r="S206" s="681"/>
      <c r="T206" s="682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350</v>
      </c>
      <c r="AG206" s="78"/>
      <c r="AJ206" s="84" t="s">
        <v>46</v>
      </c>
      <c r="AK206" s="84">
        <v>0</v>
      </c>
      <c r="BB206" s="273" t="s">
        <v>66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idden="1" x14ac:dyDescent="0.2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8"/>
      <c r="P207" s="684" t="s">
        <v>40</v>
      </c>
      <c r="Q207" s="685"/>
      <c r="R207" s="685"/>
      <c r="S207" s="685"/>
      <c r="T207" s="685"/>
      <c r="U207" s="685"/>
      <c r="V207" s="686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hidden="1" x14ac:dyDescent="0.2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8"/>
      <c r="P208" s="684" t="s">
        <v>40</v>
      </c>
      <c r="Q208" s="685"/>
      <c r="R208" s="685"/>
      <c r="S208" s="685"/>
      <c r="T208" s="685"/>
      <c r="U208" s="685"/>
      <c r="V208" s="686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hidden="1" customHeight="1" x14ac:dyDescent="0.25">
      <c r="A209" s="678" t="s">
        <v>76</v>
      </c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  <c r="AA209" s="66"/>
      <c r="AB209" s="66"/>
      <c r="AC209" s="80"/>
    </row>
    <row r="210" spans="1:68" ht="27" hidden="1" customHeight="1" x14ac:dyDescent="0.25">
      <c r="A210" s="63" t="s">
        <v>351</v>
      </c>
      <c r="B210" s="63" t="s">
        <v>352</v>
      </c>
      <c r="C210" s="36">
        <v>4301031191</v>
      </c>
      <c r="D210" s="679">
        <v>4680115880993</v>
      </c>
      <c r="E210" s="679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139</v>
      </c>
      <c r="L210" s="37" t="s">
        <v>46</v>
      </c>
      <c r="M210" s="38" t="s">
        <v>80</v>
      </c>
      <c r="N210" s="38"/>
      <c r="O210" s="37">
        <v>40</v>
      </c>
      <c r="P210" s="7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81"/>
      <c r="R210" s="681"/>
      <c r="S210" s="681"/>
      <c r="T210" s="68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353</v>
      </c>
      <c r="AG210" s="78"/>
      <c r="AJ210" s="84" t="s">
        <v>46</v>
      </c>
      <c r="AK210" s="84">
        <v>0</v>
      </c>
      <c r="BB210" s="275" t="s">
        <v>66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hidden="1" customHeight="1" x14ac:dyDescent="0.25">
      <c r="A211" s="63" t="s">
        <v>354</v>
      </c>
      <c r="B211" s="63" t="s">
        <v>355</v>
      </c>
      <c r="C211" s="36">
        <v>4301031204</v>
      </c>
      <c r="D211" s="679">
        <v>4680115881761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139</v>
      </c>
      <c r="L211" s="37" t="s">
        <v>46</v>
      </c>
      <c r="M211" s="38" t="s">
        <v>80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356</v>
      </c>
      <c r="AG211" s="78"/>
      <c r="AJ211" s="84" t="s">
        <v>46</v>
      </c>
      <c r="AK211" s="84">
        <v>0</v>
      </c>
      <c r="BB211" s="277" t="s">
        <v>66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hidden="1" customHeight="1" x14ac:dyDescent="0.25">
      <c r="A212" s="63" t="s">
        <v>357</v>
      </c>
      <c r="B212" s="63" t="s">
        <v>358</v>
      </c>
      <c r="C212" s="36">
        <v>4301031201</v>
      </c>
      <c r="D212" s="679">
        <v>4680115881563</v>
      </c>
      <c r="E212" s="679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139</v>
      </c>
      <c r="L212" s="37" t="s">
        <v>46</v>
      </c>
      <c r="M212" s="38" t="s">
        <v>80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359</v>
      </c>
      <c r="AG212" s="78"/>
      <c r="AJ212" s="84" t="s">
        <v>46</v>
      </c>
      <c r="AK212" s="84">
        <v>0</v>
      </c>
      <c r="BB212" s="279" t="s">
        <v>66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hidden="1" customHeight="1" x14ac:dyDescent="0.25">
      <c r="A213" s="63" t="s">
        <v>360</v>
      </c>
      <c r="B213" s="63" t="s">
        <v>361</v>
      </c>
      <c r="C213" s="36">
        <v>4301031447</v>
      </c>
      <c r="D213" s="679">
        <v>4680115887565</v>
      </c>
      <c r="E213" s="679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81</v>
      </c>
      <c r="L213" s="37" t="s">
        <v>46</v>
      </c>
      <c r="M213" s="38" t="s">
        <v>80</v>
      </c>
      <c r="N213" s="38"/>
      <c r="O213" s="37">
        <v>45</v>
      </c>
      <c r="P213" s="78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362</v>
      </c>
      <c r="AG213" s="78"/>
      <c r="AJ213" s="84" t="s">
        <v>46</v>
      </c>
      <c r="AK213" s="84">
        <v>0</v>
      </c>
      <c r="BB213" s="281" t="s">
        <v>66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hidden="1" customHeight="1" x14ac:dyDescent="0.25">
      <c r="A214" s="63" t="s">
        <v>363</v>
      </c>
      <c r="B214" s="63" t="s">
        <v>364</v>
      </c>
      <c r="C214" s="36">
        <v>4301031199</v>
      </c>
      <c r="D214" s="679">
        <v>4680115880986</v>
      </c>
      <c r="E214" s="679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81</v>
      </c>
      <c r="L214" s="37" t="s">
        <v>46</v>
      </c>
      <c r="M214" s="38" t="s">
        <v>80</v>
      </c>
      <c r="N214" s="38"/>
      <c r="O214" s="37">
        <v>40</v>
      </c>
      <c r="P21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353</v>
      </c>
      <c r="AG214" s="78"/>
      <c r="AJ214" s="84" t="s">
        <v>46</v>
      </c>
      <c r="AK214" s="84">
        <v>0</v>
      </c>
      <c r="BB214" s="283" t="s">
        <v>66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365</v>
      </c>
      <c r="B215" s="63" t="s">
        <v>366</v>
      </c>
      <c r="C215" s="36">
        <v>4301031443</v>
      </c>
      <c r="D215" s="679">
        <v>4680115887213</v>
      </c>
      <c r="E215" s="679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45</v>
      </c>
      <c r="P215" s="78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367</v>
      </c>
      <c r="AG215" s="78"/>
      <c r="AJ215" s="84" t="s">
        <v>46</v>
      </c>
      <c r="AK215" s="84">
        <v>0</v>
      </c>
      <c r="BB215" s="285" t="s">
        <v>66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368</v>
      </c>
      <c r="B216" s="63" t="s">
        <v>369</v>
      </c>
      <c r="C216" s="36">
        <v>4301031205</v>
      </c>
      <c r="D216" s="679">
        <v>4680115881785</v>
      </c>
      <c r="E216" s="679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356</v>
      </c>
      <c r="AG216" s="78"/>
      <c r="AJ216" s="84" t="s">
        <v>46</v>
      </c>
      <c r="AK216" s="84">
        <v>0</v>
      </c>
      <c r="BB216" s="287" t="s">
        <v>66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370</v>
      </c>
      <c r="B217" s="63" t="s">
        <v>371</v>
      </c>
      <c r="C217" s="36">
        <v>4301031499</v>
      </c>
      <c r="D217" s="679">
        <v>4680115888432</v>
      </c>
      <c r="E217" s="679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45</v>
      </c>
      <c r="P217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372</v>
      </c>
      <c r="AG217" s="78"/>
      <c r="AJ217" s="84" t="s">
        <v>46</v>
      </c>
      <c r="AK217" s="84">
        <v>0</v>
      </c>
      <c r="BB217" s="289" t="s">
        <v>66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373</v>
      </c>
      <c r="B218" s="63" t="s">
        <v>374</v>
      </c>
      <c r="C218" s="36">
        <v>4301031427</v>
      </c>
      <c r="D218" s="679">
        <v>4680115888104</v>
      </c>
      <c r="E218" s="679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375</v>
      </c>
      <c r="AG218" s="78"/>
      <c r="AJ218" s="84" t="s">
        <v>46</v>
      </c>
      <c r="AK218" s="84">
        <v>0</v>
      </c>
      <c r="BB218" s="291" t="s">
        <v>66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376</v>
      </c>
      <c r="B219" s="63" t="s">
        <v>377</v>
      </c>
      <c r="C219" s="36">
        <v>4301031399</v>
      </c>
      <c r="D219" s="679">
        <v>4680115886537</v>
      </c>
      <c r="E219" s="679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378</v>
      </c>
      <c r="AG219" s="78"/>
      <c r="AJ219" s="84" t="s">
        <v>46</v>
      </c>
      <c r="AK219" s="84">
        <v>0</v>
      </c>
      <c r="BB219" s="293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379</v>
      </c>
      <c r="B220" s="63" t="s">
        <v>380</v>
      </c>
      <c r="C220" s="36">
        <v>4301031279</v>
      </c>
      <c r="D220" s="679">
        <v>4680115887596</v>
      </c>
      <c r="E220" s="679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136</v>
      </c>
      <c r="L220" s="37" t="s">
        <v>46</v>
      </c>
      <c r="M220" s="38" t="s">
        <v>80</v>
      </c>
      <c r="N220" s="38"/>
      <c r="O220" s="37">
        <v>45</v>
      </c>
      <c r="P220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381</v>
      </c>
      <c r="AG220" s="78"/>
      <c r="AJ220" s="84" t="s">
        <v>46</v>
      </c>
      <c r="AK220" s="84">
        <v>0</v>
      </c>
      <c r="BB220" s="295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hidden="1" customHeight="1" x14ac:dyDescent="0.25">
      <c r="A221" s="63" t="s">
        <v>382</v>
      </c>
      <c r="B221" s="63" t="s">
        <v>383</v>
      </c>
      <c r="C221" s="36">
        <v>4301031202</v>
      </c>
      <c r="D221" s="679">
        <v>4680115881679</v>
      </c>
      <c r="E221" s="679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40</v>
      </c>
      <c r="P221" s="7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359</v>
      </c>
      <c r="AG221" s="78"/>
      <c r="AJ221" s="84" t="s">
        <v>46</v>
      </c>
      <c r="AK221" s="84">
        <v>0</v>
      </c>
      <c r="BB221" s="297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384</v>
      </c>
      <c r="B222" s="63" t="s">
        <v>385</v>
      </c>
      <c r="C222" s="36">
        <v>4301031158</v>
      </c>
      <c r="D222" s="679">
        <v>4680115880191</v>
      </c>
      <c r="E222" s="679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90</v>
      </c>
      <c r="L222" s="37" t="s">
        <v>46</v>
      </c>
      <c r="M222" s="38" t="s">
        <v>80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359</v>
      </c>
      <c r="AG222" s="78"/>
      <c r="AJ222" s="84" t="s">
        <v>46</v>
      </c>
      <c r="AK222" s="84">
        <v>0</v>
      </c>
      <c r="BB222" s="299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386</v>
      </c>
      <c r="B223" s="63" t="s">
        <v>387</v>
      </c>
      <c r="C223" s="36">
        <v>4301031245</v>
      </c>
      <c r="D223" s="679">
        <v>4680115883963</v>
      </c>
      <c r="E223" s="679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388</v>
      </c>
      <c r="AG223" s="78"/>
      <c r="AJ223" s="84" t="s">
        <v>46</v>
      </c>
      <c r="AK223" s="84">
        <v>0</v>
      </c>
      <c r="BB223" s="301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idden="1" x14ac:dyDescent="0.2">
      <c r="A224" s="687"/>
      <c r="B224" s="687"/>
      <c r="C224" s="687"/>
      <c r="D224" s="687"/>
      <c r="E224" s="687"/>
      <c r="F224" s="687"/>
      <c r="G224" s="687"/>
      <c r="H224" s="687"/>
      <c r="I224" s="687"/>
      <c r="J224" s="687"/>
      <c r="K224" s="687"/>
      <c r="L224" s="687"/>
      <c r="M224" s="687"/>
      <c r="N224" s="687"/>
      <c r="O224" s="688"/>
      <c r="P224" s="684" t="s">
        <v>40</v>
      </c>
      <c r="Q224" s="685"/>
      <c r="R224" s="685"/>
      <c r="S224" s="685"/>
      <c r="T224" s="685"/>
      <c r="U224" s="685"/>
      <c r="V224" s="686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687"/>
      <c r="B225" s="687"/>
      <c r="C225" s="687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8"/>
      <c r="P225" s="684" t="s">
        <v>40</v>
      </c>
      <c r="Q225" s="685"/>
      <c r="R225" s="685"/>
      <c r="S225" s="685"/>
      <c r="T225" s="685"/>
      <c r="U225" s="685"/>
      <c r="V225" s="686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678" t="s">
        <v>85</v>
      </c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8"/>
      <c r="P226" s="678"/>
      <c r="Q226" s="678"/>
      <c r="R226" s="678"/>
      <c r="S226" s="678"/>
      <c r="T226" s="678"/>
      <c r="U226" s="678"/>
      <c r="V226" s="678"/>
      <c r="W226" s="678"/>
      <c r="X226" s="678"/>
      <c r="Y226" s="678"/>
      <c r="Z226" s="678"/>
      <c r="AA226" s="66"/>
      <c r="AB226" s="66"/>
      <c r="AC226" s="80"/>
    </row>
    <row r="227" spans="1:68" ht="16.5" hidden="1" customHeight="1" x14ac:dyDescent="0.25">
      <c r="A227" s="63" t="s">
        <v>389</v>
      </c>
      <c r="B227" s="63" t="s">
        <v>390</v>
      </c>
      <c r="C227" s="36">
        <v>4301052209</v>
      </c>
      <c r="D227" s="679">
        <v>4680115888692</v>
      </c>
      <c r="E227" s="679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132</v>
      </c>
      <c r="L227" s="37" t="s">
        <v>46</v>
      </c>
      <c r="M227" s="38" t="s">
        <v>96</v>
      </c>
      <c r="N227" s="38"/>
      <c r="O227" s="37">
        <v>35</v>
      </c>
      <c r="P227" s="795" t="s">
        <v>391</v>
      </c>
      <c r="Q227" s="681"/>
      <c r="R227" s="681"/>
      <c r="S227" s="681"/>
      <c r="T227" s="682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393</v>
      </c>
      <c r="AC227" s="302" t="s">
        <v>392</v>
      </c>
      <c r="AG227" s="78"/>
      <c r="AJ227" s="84" t="s">
        <v>46</v>
      </c>
      <c r="AK227" s="84">
        <v>0</v>
      </c>
      <c r="BB227" s="303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4301052213</v>
      </c>
      <c r="D228" s="679">
        <v>4680115888722</v>
      </c>
      <c r="E228" s="679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132</v>
      </c>
      <c r="L228" s="37" t="s">
        <v>46</v>
      </c>
      <c r="M228" s="38" t="s">
        <v>96</v>
      </c>
      <c r="N228" s="38"/>
      <c r="O228" s="37">
        <v>35</v>
      </c>
      <c r="P228" s="796" t="s">
        <v>396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393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139</v>
      </c>
      <c r="L229" s="37" t="s">
        <v>46</v>
      </c>
      <c r="M229" s="38" t="s">
        <v>96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hidden="1" customHeight="1" x14ac:dyDescent="0.25">
      <c r="A230" s="63" t="s">
        <v>401</v>
      </c>
      <c r="B230" s="63" t="s">
        <v>402</v>
      </c>
      <c r="C230" s="36">
        <v>4301052176</v>
      </c>
      <c r="D230" s="679">
        <v>4680115888982</v>
      </c>
      <c r="E230" s="679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139</v>
      </c>
      <c r="L230" s="37" t="s">
        <v>46</v>
      </c>
      <c r="M230" s="38" t="s">
        <v>96</v>
      </c>
      <c r="N230" s="38"/>
      <c r="O230" s="37">
        <v>35</v>
      </c>
      <c r="P230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81"/>
      <c r="R230" s="681"/>
      <c r="S230" s="681"/>
      <c r="T230" s="68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397</v>
      </c>
      <c r="AG230" s="78"/>
      <c r="AJ230" s="84" t="s">
        <v>46</v>
      </c>
      <c r="AK230" s="84">
        <v>0</v>
      </c>
      <c r="BB230" s="309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87"/>
      <c r="B231" s="687"/>
      <c r="C231" s="687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8"/>
      <c r="P231" s="684" t="s">
        <v>40</v>
      </c>
      <c r="Q231" s="685"/>
      <c r="R231" s="685"/>
      <c r="S231" s="685"/>
      <c r="T231" s="685"/>
      <c r="U231" s="685"/>
      <c r="V231" s="686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hidden="1" x14ac:dyDescent="0.2">
      <c r="A232" s="687"/>
      <c r="B232" s="687"/>
      <c r="C232" s="687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8"/>
      <c r="P232" s="684" t="s">
        <v>40</v>
      </c>
      <c r="Q232" s="685"/>
      <c r="R232" s="685"/>
      <c r="S232" s="685"/>
      <c r="T232" s="685"/>
      <c r="U232" s="685"/>
      <c r="V232" s="686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hidden="1" customHeight="1" x14ac:dyDescent="0.25">
      <c r="A233" s="678" t="s">
        <v>106</v>
      </c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678"/>
      <c r="O233" s="678"/>
      <c r="P233" s="678"/>
      <c r="Q233" s="678"/>
      <c r="R233" s="678"/>
      <c r="S233" s="678"/>
      <c r="T233" s="678"/>
      <c r="U233" s="678"/>
      <c r="V233" s="678"/>
      <c r="W233" s="678"/>
      <c r="X233" s="678"/>
      <c r="Y233" s="678"/>
      <c r="Z233" s="678"/>
      <c r="AA233" s="66"/>
      <c r="AB233" s="66"/>
      <c r="AC233" s="80"/>
    </row>
    <row r="234" spans="1:68" ht="27" hidden="1" customHeight="1" x14ac:dyDescent="0.25">
      <c r="A234" s="63" t="s">
        <v>403</v>
      </c>
      <c r="B234" s="63" t="s">
        <v>404</v>
      </c>
      <c r="C234" s="36">
        <v>4301032053</v>
      </c>
      <c r="D234" s="679">
        <v>4680115886780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326</v>
      </c>
      <c r="L234" s="37" t="s">
        <v>46</v>
      </c>
      <c r="M234" s="38" t="s">
        <v>325</v>
      </c>
      <c r="N234" s="38"/>
      <c r="O234" s="37">
        <v>60</v>
      </c>
      <c r="P234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405</v>
      </c>
      <c r="AG234" s="78"/>
      <c r="AJ234" s="84" t="s">
        <v>46</v>
      </c>
      <c r="AK234" s="84">
        <v>0</v>
      </c>
      <c r="BB234" s="311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hidden="1" customHeight="1" x14ac:dyDescent="0.25">
      <c r="A235" s="63" t="s">
        <v>406</v>
      </c>
      <c r="B235" s="63" t="s">
        <v>407</v>
      </c>
      <c r="C235" s="36">
        <v>4301032051</v>
      </c>
      <c r="D235" s="679">
        <v>4680115886742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326</v>
      </c>
      <c r="L235" s="37" t="s">
        <v>46</v>
      </c>
      <c r="M235" s="38" t="s">
        <v>325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408</v>
      </c>
      <c r="AG235" s="78"/>
      <c r="AJ235" s="84" t="s">
        <v>46</v>
      </c>
      <c r="AK235" s="84">
        <v>0</v>
      </c>
      <c r="BB235" s="313" t="s">
        <v>66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409</v>
      </c>
      <c r="B236" s="63" t="s">
        <v>410</v>
      </c>
      <c r="C236" s="36">
        <v>4301032052</v>
      </c>
      <c r="D236" s="679">
        <v>4680115886766</v>
      </c>
      <c r="E236" s="679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326</v>
      </c>
      <c r="L236" s="37" t="s">
        <v>46</v>
      </c>
      <c r="M236" s="38" t="s">
        <v>325</v>
      </c>
      <c r="N236" s="38"/>
      <c r="O236" s="37">
        <v>90</v>
      </c>
      <c r="P236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81"/>
      <c r="R236" s="681"/>
      <c r="S236" s="681"/>
      <c r="T236" s="68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408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idden="1" x14ac:dyDescent="0.2">
      <c r="A237" s="687"/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8"/>
      <c r="P237" s="684" t="s">
        <v>40</v>
      </c>
      <c r="Q237" s="685"/>
      <c r="R237" s="685"/>
      <c r="S237" s="685"/>
      <c r="T237" s="685"/>
      <c r="U237" s="685"/>
      <c r="V237" s="686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87"/>
      <c r="B238" s="687"/>
      <c r="C238" s="687"/>
      <c r="D238" s="687"/>
      <c r="E238" s="687"/>
      <c r="F238" s="687"/>
      <c r="G238" s="687"/>
      <c r="H238" s="687"/>
      <c r="I238" s="687"/>
      <c r="J238" s="687"/>
      <c r="K238" s="687"/>
      <c r="L238" s="687"/>
      <c r="M238" s="687"/>
      <c r="N238" s="687"/>
      <c r="O238" s="688"/>
      <c r="P238" s="684" t="s">
        <v>40</v>
      </c>
      <c r="Q238" s="685"/>
      <c r="R238" s="685"/>
      <c r="S238" s="685"/>
      <c r="T238" s="685"/>
      <c r="U238" s="685"/>
      <c r="V238" s="686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78" t="s">
        <v>411</v>
      </c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8"/>
      <c r="P239" s="678"/>
      <c r="Q239" s="678"/>
      <c r="R239" s="678"/>
      <c r="S239" s="678"/>
      <c r="T239" s="678"/>
      <c r="U239" s="678"/>
      <c r="V239" s="678"/>
      <c r="W239" s="678"/>
      <c r="X239" s="678"/>
      <c r="Y239" s="678"/>
      <c r="Z239" s="678"/>
      <c r="AA239" s="66"/>
      <c r="AB239" s="66"/>
      <c r="AC239" s="80"/>
    </row>
    <row r="240" spans="1:68" ht="27" hidden="1" customHeight="1" x14ac:dyDescent="0.25">
      <c r="A240" s="63" t="s">
        <v>412</v>
      </c>
      <c r="B240" s="63" t="s">
        <v>413</v>
      </c>
      <c r="C240" s="36">
        <v>4301170013</v>
      </c>
      <c r="D240" s="679">
        <v>4680115886797</v>
      </c>
      <c r="E240" s="67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326</v>
      </c>
      <c r="L240" s="37" t="s">
        <v>46</v>
      </c>
      <c r="M240" s="38" t="s">
        <v>325</v>
      </c>
      <c r="N240" s="38"/>
      <c r="O240" s="37">
        <v>90</v>
      </c>
      <c r="P240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81"/>
      <c r="R240" s="681"/>
      <c r="S240" s="681"/>
      <c r="T240" s="68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408</v>
      </c>
      <c r="AG240" s="78"/>
      <c r="AJ240" s="84" t="s">
        <v>46</v>
      </c>
      <c r="AK240" s="84">
        <v>0</v>
      </c>
      <c r="BB240" s="317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87"/>
      <c r="B241" s="687"/>
      <c r="C241" s="687"/>
      <c r="D241" s="687"/>
      <c r="E241" s="687"/>
      <c r="F241" s="687"/>
      <c r="G241" s="687"/>
      <c r="H241" s="687"/>
      <c r="I241" s="687"/>
      <c r="J241" s="687"/>
      <c r="K241" s="687"/>
      <c r="L241" s="687"/>
      <c r="M241" s="687"/>
      <c r="N241" s="687"/>
      <c r="O241" s="688"/>
      <c r="P241" s="684" t="s">
        <v>40</v>
      </c>
      <c r="Q241" s="685"/>
      <c r="R241" s="685"/>
      <c r="S241" s="685"/>
      <c r="T241" s="685"/>
      <c r="U241" s="685"/>
      <c r="V241" s="686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687"/>
      <c r="B242" s="687"/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8"/>
      <c r="P242" s="684" t="s">
        <v>40</v>
      </c>
      <c r="Q242" s="685"/>
      <c r="R242" s="685"/>
      <c r="S242" s="685"/>
      <c r="T242" s="685"/>
      <c r="U242" s="685"/>
      <c r="V242" s="686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hidden="1" customHeight="1" x14ac:dyDescent="0.25">
      <c r="A243" s="677" t="s">
        <v>414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5"/>
      <c r="AB243" s="65"/>
      <c r="AC243" s="79"/>
    </row>
    <row r="244" spans="1:68" ht="14.25" hidden="1" customHeight="1" x14ac:dyDescent="0.25">
      <c r="A244" s="678" t="s">
        <v>127</v>
      </c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8"/>
      <c r="P244" s="678"/>
      <c r="Q244" s="678"/>
      <c r="R244" s="678"/>
      <c r="S244" s="678"/>
      <c r="T244" s="678"/>
      <c r="U244" s="678"/>
      <c r="V244" s="678"/>
      <c r="W244" s="678"/>
      <c r="X244" s="678"/>
      <c r="Y244" s="678"/>
      <c r="Z244" s="678"/>
      <c r="AA244" s="66"/>
      <c r="AB244" s="66"/>
      <c r="AC244" s="80"/>
    </row>
    <row r="245" spans="1:68" ht="27" hidden="1" customHeight="1" x14ac:dyDescent="0.25">
      <c r="A245" s="63" t="s">
        <v>415</v>
      </c>
      <c r="B245" s="63" t="s">
        <v>416</v>
      </c>
      <c r="C245" s="36">
        <v>4301011450</v>
      </c>
      <c r="D245" s="679">
        <v>4680115881402</v>
      </c>
      <c r="E245" s="679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132</v>
      </c>
      <c r="L245" s="37" t="s">
        <v>46</v>
      </c>
      <c r="M245" s="38" t="s">
        <v>131</v>
      </c>
      <c r="N245" s="38"/>
      <c r="O245" s="37">
        <v>55</v>
      </c>
      <c r="P245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417</v>
      </c>
      <c r="AG245" s="78"/>
      <c r="AJ245" s="84" t="s">
        <v>46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418</v>
      </c>
      <c r="B246" s="63" t="s">
        <v>419</v>
      </c>
      <c r="C246" s="36">
        <v>4301011768</v>
      </c>
      <c r="D246" s="679">
        <v>4680115881396</v>
      </c>
      <c r="E246" s="679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90</v>
      </c>
      <c r="L246" s="37" t="s">
        <v>46</v>
      </c>
      <c r="M246" s="38" t="s">
        <v>131</v>
      </c>
      <c r="N246" s="38"/>
      <c r="O246" s="37">
        <v>55</v>
      </c>
      <c r="P246" s="80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81"/>
      <c r="R246" s="681"/>
      <c r="S246" s="681"/>
      <c r="T246" s="68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417</v>
      </c>
      <c r="AG246" s="78"/>
      <c r="AJ246" s="84" t="s">
        <v>46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87"/>
      <c r="B247" s="687"/>
      <c r="C247" s="687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687"/>
      <c r="O247" s="688"/>
      <c r="P247" s="684" t="s">
        <v>40</v>
      </c>
      <c r="Q247" s="685"/>
      <c r="R247" s="685"/>
      <c r="S247" s="685"/>
      <c r="T247" s="685"/>
      <c r="U247" s="685"/>
      <c r="V247" s="686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hidden="1" x14ac:dyDescent="0.2">
      <c r="A248" s="687"/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8"/>
      <c r="P248" s="684" t="s">
        <v>40</v>
      </c>
      <c r="Q248" s="685"/>
      <c r="R248" s="685"/>
      <c r="S248" s="685"/>
      <c r="T248" s="685"/>
      <c r="U248" s="685"/>
      <c r="V248" s="686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78" t="s">
        <v>162</v>
      </c>
      <c r="B249" s="678"/>
      <c r="C249" s="678"/>
      <c r="D249" s="678"/>
      <c r="E249" s="678"/>
      <c r="F249" s="678"/>
      <c r="G249" s="678"/>
      <c r="H249" s="678"/>
      <c r="I249" s="678"/>
      <c r="J249" s="678"/>
      <c r="K249" s="678"/>
      <c r="L249" s="678"/>
      <c r="M249" s="678"/>
      <c r="N249" s="678"/>
      <c r="O249" s="678"/>
      <c r="P249" s="678"/>
      <c r="Q249" s="678"/>
      <c r="R249" s="678"/>
      <c r="S249" s="678"/>
      <c r="T249" s="678"/>
      <c r="U249" s="678"/>
      <c r="V249" s="678"/>
      <c r="W249" s="678"/>
      <c r="X249" s="678"/>
      <c r="Y249" s="678"/>
      <c r="Z249" s="678"/>
      <c r="AA249" s="66"/>
      <c r="AB249" s="66"/>
      <c r="AC249" s="80"/>
    </row>
    <row r="250" spans="1:68" ht="16.5" hidden="1" customHeight="1" x14ac:dyDescent="0.25">
      <c r="A250" s="63" t="s">
        <v>420</v>
      </c>
      <c r="B250" s="63" t="s">
        <v>421</v>
      </c>
      <c r="C250" s="36">
        <v>4301020261</v>
      </c>
      <c r="D250" s="679">
        <v>4680115882935</v>
      </c>
      <c r="E250" s="679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132</v>
      </c>
      <c r="L250" s="37" t="s">
        <v>46</v>
      </c>
      <c r="M250" s="38" t="s">
        <v>131</v>
      </c>
      <c r="N250" s="38"/>
      <c r="O250" s="37">
        <v>50</v>
      </c>
      <c r="P25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422</v>
      </c>
      <c r="AG250" s="78"/>
      <c r="AJ250" s="84" t="s">
        <v>46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hidden="1" customHeight="1" x14ac:dyDescent="0.25">
      <c r="A251" s="63" t="s">
        <v>423</v>
      </c>
      <c r="B251" s="63" t="s">
        <v>424</v>
      </c>
      <c r="C251" s="36">
        <v>4301020220</v>
      </c>
      <c r="D251" s="679">
        <v>4680115880764</v>
      </c>
      <c r="E251" s="679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90</v>
      </c>
      <c r="L251" s="37" t="s">
        <v>46</v>
      </c>
      <c r="M251" s="38" t="s">
        <v>131</v>
      </c>
      <c r="N251" s="38"/>
      <c r="O251" s="37">
        <v>50</v>
      </c>
      <c r="P251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81"/>
      <c r="R251" s="681"/>
      <c r="S251" s="681"/>
      <c r="T251" s="68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422</v>
      </c>
      <c r="AG251" s="78"/>
      <c r="AJ251" s="84" t="s">
        <v>46</v>
      </c>
      <c r="AK251" s="84">
        <v>0</v>
      </c>
      <c r="BB251" s="32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87"/>
      <c r="B252" s="687"/>
      <c r="C252" s="687"/>
      <c r="D252" s="687"/>
      <c r="E252" s="687"/>
      <c r="F252" s="687"/>
      <c r="G252" s="687"/>
      <c r="H252" s="687"/>
      <c r="I252" s="687"/>
      <c r="J252" s="687"/>
      <c r="K252" s="687"/>
      <c r="L252" s="687"/>
      <c r="M252" s="687"/>
      <c r="N252" s="687"/>
      <c r="O252" s="688"/>
      <c r="P252" s="684" t="s">
        <v>40</v>
      </c>
      <c r="Q252" s="685"/>
      <c r="R252" s="685"/>
      <c r="S252" s="685"/>
      <c r="T252" s="685"/>
      <c r="U252" s="685"/>
      <c r="V252" s="686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687"/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8"/>
      <c r="P253" s="684" t="s">
        <v>40</v>
      </c>
      <c r="Q253" s="685"/>
      <c r="R253" s="685"/>
      <c r="S253" s="685"/>
      <c r="T253" s="685"/>
      <c r="U253" s="685"/>
      <c r="V253" s="686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8" t="s">
        <v>76</v>
      </c>
      <c r="B254" s="678"/>
      <c r="C254" s="678"/>
      <c r="D254" s="678"/>
      <c r="E254" s="678"/>
      <c r="F254" s="678"/>
      <c r="G254" s="678"/>
      <c r="H254" s="678"/>
      <c r="I254" s="678"/>
      <c r="J254" s="678"/>
      <c r="K254" s="678"/>
      <c r="L254" s="678"/>
      <c r="M254" s="678"/>
      <c r="N254" s="678"/>
      <c r="O254" s="678"/>
      <c r="P254" s="678"/>
      <c r="Q254" s="678"/>
      <c r="R254" s="678"/>
      <c r="S254" s="678"/>
      <c r="T254" s="678"/>
      <c r="U254" s="678"/>
      <c r="V254" s="678"/>
      <c r="W254" s="678"/>
      <c r="X254" s="678"/>
      <c r="Y254" s="678"/>
      <c r="Z254" s="678"/>
      <c r="AA254" s="66"/>
      <c r="AB254" s="66"/>
      <c r="AC254" s="80"/>
    </row>
    <row r="255" spans="1:68" ht="27" hidden="1" customHeight="1" x14ac:dyDescent="0.25">
      <c r="A255" s="63" t="s">
        <v>425</v>
      </c>
      <c r="B255" s="63" t="s">
        <v>426</v>
      </c>
      <c r="C255" s="36">
        <v>4301031224</v>
      </c>
      <c r="D255" s="679">
        <v>4680115882683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139</v>
      </c>
      <c r="L255" s="37" t="s">
        <v>46</v>
      </c>
      <c r="M255" s="38" t="s">
        <v>80</v>
      </c>
      <c r="N255" s="38"/>
      <c r="O255" s="37">
        <v>40</v>
      </c>
      <c r="P255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ref="Y255:Y262" si="32">IFERROR(IF(X255="",0,CEILING((X255/$H255),1)*$H255),"")</f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427</v>
      </c>
      <c r="AG255" s="78"/>
      <c r="AJ255" s="84" t="s">
        <v>46</v>
      </c>
      <c r="AK255" s="84">
        <v>0</v>
      </c>
      <c r="BB255" s="327" t="s">
        <v>66</v>
      </c>
      <c r="BM255" s="78">
        <f t="shared" ref="BM255:BM262" si="33">IFERROR(X255*I255/H255,"0")</f>
        <v>0</v>
      </c>
      <c r="BN255" s="78">
        <f t="shared" ref="BN255:BN262" si="34">IFERROR(Y255*I255/H255,"0")</f>
        <v>0</v>
      </c>
      <c r="BO255" s="78">
        <f t="shared" ref="BO255:BO262" si="35">IFERROR(1/J255*(X255/H255),"0")</f>
        <v>0</v>
      </c>
      <c r="BP255" s="78">
        <f t="shared" ref="BP255:BP262" si="36"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4301031230</v>
      </c>
      <c r="D256" s="679">
        <v>4680115882690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139</v>
      </c>
      <c r="L256" s="37" t="s">
        <v>46</v>
      </c>
      <c r="M256" s="38" t="s">
        <v>80</v>
      </c>
      <c r="N256" s="38"/>
      <c r="O256" s="37">
        <v>40</v>
      </c>
      <c r="P25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430</v>
      </c>
      <c r="AG256" s="78"/>
      <c r="AJ256" s="84" t="s">
        <v>46</v>
      </c>
      <c r="AK256" s="84">
        <v>0</v>
      </c>
      <c r="BB256" s="329" t="s">
        <v>66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hidden="1" customHeight="1" x14ac:dyDescent="0.25">
      <c r="A257" s="63" t="s">
        <v>431</v>
      </c>
      <c r="B257" s="63" t="s">
        <v>432</v>
      </c>
      <c r="C257" s="36">
        <v>4301031220</v>
      </c>
      <c r="D257" s="679">
        <v>4680115882669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139</v>
      </c>
      <c r="L257" s="37" t="s">
        <v>46</v>
      </c>
      <c r="M257" s="38" t="s">
        <v>80</v>
      </c>
      <c r="N257" s="38"/>
      <c r="O257" s="37">
        <v>40</v>
      </c>
      <c r="P257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433</v>
      </c>
      <c r="AG257" s="78"/>
      <c r="AJ257" s="84" t="s">
        <v>46</v>
      </c>
      <c r="AK257" s="84">
        <v>0</v>
      </c>
      <c r="BB257" s="331" t="s">
        <v>66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hidden="1" customHeight="1" x14ac:dyDescent="0.25">
      <c r="A258" s="63" t="s">
        <v>434</v>
      </c>
      <c r="B258" s="63" t="s">
        <v>435</v>
      </c>
      <c r="C258" s="36">
        <v>4301031221</v>
      </c>
      <c r="D258" s="679">
        <v>4680115882676</v>
      </c>
      <c r="E258" s="679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139</v>
      </c>
      <c r="L258" s="37" t="s">
        <v>46</v>
      </c>
      <c r="M258" s="38" t="s">
        <v>80</v>
      </c>
      <c r="N258" s="38"/>
      <c r="O258" s="37">
        <v>40</v>
      </c>
      <c r="P25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436</v>
      </c>
      <c r="AG258" s="78"/>
      <c r="AJ258" s="84" t="s">
        <v>46</v>
      </c>
      <c r="AK258" s="84">
        <v>0</v>
      </c>
      <c r="BB258" s="333" t="s">
        <v>66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hidden="1" customHeight="1" x14ac:dyDescent="0.25">
      <c r="A259" s="63" t="s">
        <v>437</v>
      </c>
      <c r="B259" s="63" t="s">
        <v>438</v>
      </c>
      <c r="C259" s="36">
        <v>4301031223</v>
      </c>
      <c r="D259" s="679">
        <v>4680115884014</v>
      </c>
      <c r="E259" s="679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81</v>
      </c>
      <c r="L259" s="37" t="s">
        <v>46</v>
      </c>
      <c r="M259" s="38" t="s">
        <v>80</v>
      </c>
      <c r="N259" s="38"/>
      <c r="O259" s="37">
        <v>40</v>
      </c>
      <c r="P25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427</v>
      </c>
      <c r="AG259" s="78"/>
      <c r="AJ259" s="84" t="s">
        <v>46</v>
      </c>
      <c r="AK259" s="84">
        <v>0</v>
      </c>
      <c r="BB259" s="335" t="s">
        <v>66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4301031222</v>
      </c>
      <c r="D260" s="679">
        <v>4680115884007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81</v>
      </c>
      <c r="L260" s="37" t="s">
        <v>46</v>
      </c>
      <c r="M260" s="38" t="s">
        <v>80</v>
      </c>
      <c r="N260" s="38"/>
      <c r="O260" s="37">
        <v>40</v>
      </c>
      <c r="P260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430</v>
      </c>
      <c r="AG260" s="78"/>
      <c r="AJ260" s="84" t="s">
        <v>46</v>
      </c>
      <c r="AK260" s="84">
        <v>0</v>
      </c>
      <c r="BB260" s="337" t="s">
        <v>66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441</v>
      </c>
      <c r="B261" s="63" t="s">
        <v>442</v>
      </c>
      <c r="C261" s="36">
        <v>4301031229</v>
      </c>
      <c r="D261" s="679">
        <v>4680115884038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81</v>
      </c>
      <c r="L261" s="37" t="s">
        <v>46</v>
      </c>
      <c r="M261" s="38" t="s">
        <v>80</v>
      </c>
      <c r="N261" s="38"/>
      <c r="O261" s="37">
        <v>40</v>
      </c>
      <c r="P261" s="81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433</v>
      </c>
      <c r="AG261" s="78"/>
      <c r="AJ261" s="84" t="s">
        <v>46</v>
      </c>
      <c r="AK261" s="84">
        <v>0</v>
      </c>
      <c r="BB261" s="339" t="s">
        <v>66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4301031225</v>
      </c>
      <c r="D262" s="679">
        <v>4680115884021</v>
      </c>
      <c r="E262" s="679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81</v>
      </c>
      <c r="L262" s="37" t="s">
        <v>46</v>
      </c>
      <c r="M262" s="38" t="s">
        <v>80</v>
      </c>
      <c r="N262" s="38"/>
      <c r="O262" s="37">
        <v>40</v>
      </c>
      <c r="P262" s="8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81"/>
      <c r="R262" s="681"/>
      <c r="S262" s="681"/>
      <c r="T262" s="68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436</v>
      </c>
      <c r="AG262" s="78"/>
      <c r="AJ262" s="84" t="s">
        <v>46</v>
      </c>
      <c r="AK262" s="84">
        <v>0</v>
      </c>
      <c r="BB262" s="341" t="s">
        <v>66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idden="1" x14ac:dyDescent="0.2">
      <c r="A263" s="687"/>
      <c r="B263" s="687"/>
      <c r="C263" s="687"/>
      <c r="D263" s="687"/>
      <c r="E263" s="687"/>
      <c r="F263" s="687"/>
      <c r="G263" s="687"/>
      <c r="H263" s="687"/>
      <c r="I263" s="687"/>
      <c r="J263" s="687"/>
      <c r="K263" s="687"/>
      <c r="L263" s="687"/>
      <c r="M263" s="687"/>
      <c r="N263" s="687"/>
      <c r="O263" s="688"/>
      <c r="P263" s="684" t="s">
        <v>40</v>
      </c>
      <c r="Q263" s="685"/>
      <c r="R263" s="685"/>
      <c r="S263" s="685"/>
      <c r="T263" s="685"/>
      <c r="U263" s="685"/>
      <c r="V263" s="686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0</v>
      </c>
      <c r="Y263" s="43">
        <f>IFERROR(Y255/H255,"0")+IFERROR(Y256/H256,"0")+IFERROR(Y257/H257,"0")+IFERROR(Y258/H258,"0")+IFERROR(Y259/H259,"0")+IFERROR(Y260/H260,"0")+IFERROR(Y261/H261,"0")+IFERROR(Y262/H262,"0")</f>
        <v>0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hidden="1" x14ac:dyDescent="0.2">
      <c r="A264" s="687"/>
      <c r="B264" s="687"/>
      <c r="C264" s="687"/>
      <c r="D264" s="687"/>
      <c r="E264" s="687"/>
      <c r="F264" s="687"/>
      <c r="G264" s="687"/>
      <c r="H264" s="687"/>
      <c r="I264" s="687"/>
      <c r="J264" s="687"/>
      <c r="K264" s="687"/>
      <c r="L264" s="687"/>
      <c r="M264" s="687"/>
      <c r="N264" s="687"/>
      <c r="O264" s="688"/>
      <c r="P264" s="684" t="s">
        <v>40</v>
      </c>
      <c r="Q264" s="685"/>
      <c r="R264" s="685"/>
      <c r="S264" s="685"/>
      <c r="T264" s="685"/>
      <c r="U264" s="685"/>
      <c r="V264" s="686"/>
      <c r="W264" s="42" t="s">
        <v>0</v>
      </c>
      <c r="X264" s="43">
        <f>IFERROR(SUM(X255:X262),"0")</f>
        <v>0</v>
      </c>
      <c r="Y264" s="43">
        <f>IFERROR(SUM(Y255:Y262),"0")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78" t="s">
        <v>85</v>
      </c>
      <c r="B265" s="678"/>
      <c r="C265" s="678"/>
      <c r="D265" s="678"/>
      <c r="E265" s="678"/>
      <c r="F265" s="678"/>
      <c r="G265" s="678"/>
      <c r="H265" s="678"/>
      <c r="I265" s="678"/>
      <c r="J265" s="678"/>
      <c r="K265" s="678"/>
      <c r="L265" s="678"/>
      <c r="M265" s="678"/>
      <c r="N265" s="678"/>
      <c r="O265" s="678"/>
      <c r="P265" s="678"/>
      <c r="Q265" s="678"/>
      <c r="R265" s="678"/>
      <c r="S265" s="678"/>
      <c r="T265" s="678"/>
      <c r="U265" s="678"/>
      <c r="V265" s="678"/>
      <c r="W265" s="678"/>
      <c r="X265" s="678"/>
      <c r="Y265" s="678"/>
      <c r="Z265" s="678"/>
      <c r="AA265" s="66"/>
      <c r="AB265" s="66"/>
      <c r="AC265" s="80"/>
    </row>
    <row r="266" spans="1:68" ht="27" hidden="1" customHeight="1" x14ac:dyDescent="0.25">
      <c r="A266" s="63" t="s">
        <v>445</v>
      </c>
      <c r="B266" s="63" t="s">
        <v>446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132</v>
      </c>
      <c r="L266" s="37" t="s">
        <v>46</v>
      </c>
      <c r="M266" s="38" t="s">
        <v>89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447</v>
      </c>
      <c r="AG266" s="78"/>
      <c r="AJ266" s="84" t="s">
        <v>46</v>
      </c>
      <c r="AK266" s="84">
        <v>0</v>
      </c>
      <c r="BB266" s="343" t="s">
        <v>66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hidden="1" customHeight="1" x14ac:dyDescent="0.25">
      <c r="A267" s="63" t="s">
        <v>448</v>
      </c>
      <c r="B267" s="63" t="s">
        <v>449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132</v>
      </c>
      <c r="L267" s="37" t="s">
        <v>46</v>
      </c>
      <c r="M267" s="38" t="s">
        <v>89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450</v>
      </c>
      <c r="AG267" s="78"/>
      <c r="AJ267" s="84" t="s">
        <v>46</v>
      </c>
      <c r="AK267" s="84">
        <v>0</v>
      </c>
      <c r="BB267" s="345" t="s">
        <v>66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132</v>
      </c>
      <c r="L268" s="37" t="s">
        <v>46</v>
      </c>
      <c r="M268" s="38" t="s">
        <v>89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453</v>
      </c>
      <c r="AG268" s="78"/>
      <c r="AJ268" s="84" t="s">
        <v>46</v>
      </c>
      <c r="AK268" s="84">
        <v>0</v>
      </c>
      <c r="BB268" s="347" t="s">
        <v>66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90</v>
      </c>
      <c r="L269" s="37" t="s">
        <v>46</v>
      </c>
      <c r="M269" s="38" t="s">
        <v>89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447</v>
      </c>
      <c r="AG269" s="78"/>
      <c r="AJ269" s="84" t="s">
        <v>46</v>
      </c>
      <c r="AK269" s="84">
        <v>0</v>
      </c>
      <c r="BB269" s="349" t="s">
        <v>66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90</v>
      </c>
      <c r="L270" s="37" t="s">
        <v>46</v>
      </c>
      <c r="M270" s="38" t="s">
        <v>96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453</v>
      </c>
      <c r="AG270" s="78"/>
      <c r="AJ270" s="84" t="s">
        <v>46</v>
      </c>
      <c r="AK270" s="84">
        <v>0</v>
      </c>
      <c r="BB270" s="351" t="s">
        <v>66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139</v>
      </c>
      <c r="L271" s="37" t="s">
        <v>46</v>
      </c>
      <c r="M271" s="38" t="s">
        <v>89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66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90</v>
      </c>
      <c r="L272" s="37" t="s">
        <v>46</v>
      </c>
      <c r="M272" s="38" t="s">
        <v>89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453</v>
      </c>
      <c r="AG272" s="78"/>
      <c r="AJ272" s="84" t="s">
        <v>46</v>
      </c>
      <c r="AK272" s="84">
        <v>0</v>
      </c>
      <c r="BB272" s="355" t="s">
        <v>66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4301052214</v>
      </c>
      <c r="D273" s="679">
        <v>4680115889064</v>
      </c>
      <c r="E273" s="679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132</v>
      </c>
      <c r="L273" s="37" t="s">
        <v>46</v>
      </c>
      <c r="M273" s="38" t="s">
        <v>89</v>
      </c>
      <c r="N273" s="38"/>
      <c r="O273" s="37">
        <v>45</v>
      </c>
      <c r="P273" s="8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66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4301051668</v>
      </c>
      <c r="D274" s="679">
        <v>4680115880221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90</v>
      </c>
      <c r="L274" s="37" t="s">
        <v>46</v>
      </c>
      <c r="M274" s="38" t="s">
        <v>89</v>
      </c>
      <c r="N274" s="38"/>
      <c r="O274" s="37">
        <v>45</v>
      </c>
      <c r="P274" s="8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453</v>
      </c>
      <c r="AG274" s="78"/>
      <c r="AJ274" s="84" t="s">
        <v>46</v>
      </c>
      <c r="AK274" s="84">
        <v>0</v>
      </c>
      <c r="BB274" s="359" t="s">
        <v>66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4301051945</v>
      </c>
      <c r="D275" s="679">
        <v>4680115880504</v>
      </c>
      <c r="E275" s="679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90</v>
      </c>
      <c r="L275" s="37" t="s">
        <v>46</v>
      </c>
      <c r="M275" s="38" t="s">
        <v>96</v>
      </c>
      <c r="N275" s="38"/>
      <c r="O275" s="37">
        <v>40</v>
      </c>
      <c r="P275" s="8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66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470</v>
      </c>
      <c r="B276" s="63" t="s">
        <v>471</v>
      </c>
      <c r="C276" s="36">
        <v>4301051410</v>
      </c>
      <c r="D276" s="679">
        <v>4680115882164</v>
      </c>
      <c r="E276" s="679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40</v>
      </c>
      <c r="P276" s="8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472</v>
      </c>
      <c r="AG276" s="78"/>
      <c r="AJ276" s="84" t="s">
        <v>46</v>
      </c>
      <c r="AK276" s="84">
        <v>0</v>
      </c>
      <c r="BB276" s="363" t="s">
        <v>66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4301052180</v>
      </c>
      <c r="D277" s="679">
        <v>4680115888340</v>
      </c>
      <c r="E277" s="67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90</v>
      </c>
      <c r="L277" s="37" t="s">
        <v>46</v>
      </c>
      <c r="M277" s="38" t="s">
        <v>89</v>
      </c>
      <c r="N277" s="38"/>
      <c r="O277" s="37">
        <v>45</v>
      </c>
      <c r="P277" s="82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81"/>
      <c r="R277" s="681"/>
      <c r="S277" s="681"/>
      <c r="T277" s="68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475</v>
      </c>
      <c r="AG277" s="78"/>
      <c r="AJ277" s="84" t="s">
        <v>46</v>
      </c>
      <c r="AK277" s="84">
        <v>0</v>
      </c>
      <c r="BB277" s="365" t="s">
        <v>66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idden="1" x14ac:dyDescent="0.2">
      <c r="A278" s="687"/>
      <c r="B278" s="687"/>
      <c r="C278" s="687"/>
      <c r="D278" s="687"/>
      <c r="E278" s="687"/>
      <c r="F278" s="687"/>
      <c r="G278" s="687"/>
      <c r="H278" s="687"/>
      <c r="I278" s="687"/>
      <c r="J278" s="687"/>
      <c r="K278" s="687"/>
      <c r="L278" s="687"/>
      <c r="M278" s="687"/>
      <c r="N278" s="687"/>
      <c r="O278" s="688"/>
      <c r="P278" s="684" t="s">
        <v>40</v>
      </c>
      <c r="Q278" s="685"/>
      <c r="R278" s="685"/>
      <c r="S278" s="685"/>
      <c r="T278" s="685"/>
      <c r="U278" s="685"/>
      <c r="V278" s="686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687"/>
      <c r="B279" s="687"/>
      <c r="C279" s="687"/>
      <c r="D279" s="687"/>
      <c r="E279" s="687"/>
      <c r="F279" s="687"/>
      <c r="G279" s="687"/>
      <c r="H279" s="687"/>
      <c r="I279" s="687"/>
      <c r="J279" s="687"/>
      <c r="K279" s="687"/>
      <c r="L279" s="687"/>
      <c r="M279" s="687"/>
      <c r="N279" s="687"/>
      <c r="O279" s="688"/>
      <c r="P279" s="684" t="s">
        <v>40</v>
      </c>
      <c r="Q279" s="685"/>
      <c r="R279" s="685"/>
      <c r="S279" s="685"/>
      <c r="T279" s="685"/>
      <c r="U279" s="685"/>
      <c r="V279" s="686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hidden="1" customHeight="1" x14ac:dyDescent="0.25">
      <c r="A280" s="678" t="s">
        <v>179</v>
      </c>
      <c r="B280" s="678"/>
      <c r="C280" s="678"/>
      <c r="D280" s="678"/>
      <c r="E280" s="678"/>
      <c r="F280" s="678"/>
      <c r="G280" s="678"/>
      <c r="H280" s="678"/>
      <c r="I280" s="678"/>
      <c r="J280" s="678"/>
      <c r="K280" s="678"/>
      <c r="L280" s="678"/>
      <c r="M280" s="678"/>
      <c r="N280" s="678"/>
      <c r="O280" s="678"/>
      <c r="P280" s="678"/>
      <c r="Q280" s="678"/>
      <c r="R280" s="678"/>
      <c r="S280" s="678"/>
      <c r="T280" s="678"/>
      <c r="U280" s="678"/>
      <c r="V280" s="678"/>
      <c r="W280" s="678"/>
      <c r="X280" s="678"/>
      <c r="Y280" s="678"/>
      <c r="Z280" s="678"/>
      <c r="AA280" s="66"/>
      <c r="AB280" s="66"/>
      <c r="AC280" s="80"/>
    </row>
    <row r="281" spans="1:68" ht="27" hidden="1" customHeight="1" x14ac:dyDescent="0.25">
      <c r="A281" s="63" t="s">
        <v>476</v>
      </c>
      <c r="B281" s="63" t="s">
        <v>477</v>
      </c>
      <c r="C281" s="36">
        <v>4301060463</v>
      </c>
      <c r="D281" s="679">
        <v>4680115880818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96</v>
      </c>
      <c r="N281" s="38"/>
      <c r="O281" s="37">
        <v>40</v>
      </c>
      <c r="P281" s="8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478</v>
      </c>
      <c r="AG281" s="78"/>
      <c r="AJ281" s="84" t="s">
        <v>46</v>
      </c>
      <c r="AK281" s="84">
        <v>0</v>
      </c>
      <c r="BB281" s="367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4301060389</v>
      </c>
      <c r="D282" s="679">
        <v>4680115880801</v>
      </c>
      <c r="E282" s="67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81"/>
      <c r="R282" s="681"/>
      <c r="S282" s="681"/>
      <c r="T282" s="682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481</v>
      </c>
      <c r="AG282" s="78"/>
      <c r="AJ282" s="84" t="s">
        <v>46</v>
      </c>
      <c r="AK282" s="84">
        <v>0</v>
      </c>
      <c r="BB282" s="369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idden="1" x14ac:dyDescent="0.2">
      <c r="A283" s="687"/>
      <c r="B283" s="687"/>
      <c r="C283" s="687"/>
      <c r="D283" s="687"/>
      <c r="E283" s="687"/>
      <c r="F283" s="687"/>
      <c r="G283" s="687"/>
      <c r="H283" s="687"/>
      <c r="I283" s="687"/>
      <c r="J283" s="687"/>
      <c r="K283" s="687"/>
      <c r="L283" s="687"/>
      <c r="M283" s="687"/>
      <c r="N283" s="687"/>
      <c r="O283" s="688"/>
      <c r="P283" s="684" t="s">
        <v>40</v>
      </c>
      <c r="Q283" s="685"/>
      <c r="R283" s="685"/>
      <c r="S283" s="685"/>
      <c r="T283" s="685"/>
      <c r="U283" s="685"/>
      <c r="V283" s="686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hidden="1" x14ac:dyDescent="0.2">
      <c r="A284" s="687"/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8"/>
      <c r="P284" s="684" t="s">
        <v>40</v>
      </c>
      <c r="Q284" s="685"/>
      <c r="R284" s="685"/>
      <c r="S284" s="685"/>
      <c r="T284" s="685"/>
      <c r="U284" s="685"/>
      <c r="V284" s="686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hidden="1" customHeight="1" x14ac:dyDescent="0.25">
      <c r="A285" s="677" t="s">
        <v>482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"/>
      <c r="AB285" s="65"/>
      <c r="AC285" s="79"/>
    </row>
    <row r="286" spans="1:68" ht="14.25" hidden="1" customHeight="1" x14ac:dyDescent="0.25">
      <c r="A286" s="678" t="s">
        <v>127</v>
      </c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8"/>
      <c r="P286" s="678"/>
      <c r="Q286" s="678"/>
      <c r="R286" s="678"/>
      <c r="S286" s="678"/>
      <c r="T286" s="678"/>
      <c r="U286" s="678"/>
      <c r="V286" s="678"/>
      <c r="W286" s="678"/>
      <c r="X286" s="678"/>
      <c r="Y286" s="678"/>
      <c r="Z286" s="678"/>
      <c r="AA286" s="66"/>
      <c r="AB286" s="66"/>
      <c r="AC286" s="80"/>
    </row>
    <row r="287" spans="1:68" ht="27" hidden="1" customHeight="1" x14ac:dyDescent="0.25">
      <c r="A287" s="63" t="s">
        <v>483</v>
      </c>
      <c r="B287" s="63" t="s">
        <v>484</v>
      </c>
      <c r="C287" s="36">
        <v>4301011826</v>
      </c>
      <c r="D287" s="679">
        <v>4680115884137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132</v>
      </c>
      <c r="L287" s="37" t="s">
        <v>46</v>
      </c>
      <c r="M287" s="38" t="s">
        <v>131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485</v>
      </c>
      <c r="AG287" s="78"/>
      <c r="AJ287" s="84" t="s">
        <v>46</v>
      </c>
      <c r="AK287" s="84">
        <v>0</v>
      </c>
      <c r="BB287" s="371" t="s">
        <v>66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4301011724</v>
      </c>
      <c r="D288" s="679">
        <v>4680115884236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132</v>
      </c>
      <c r="L288" s="37" t="s">
        <v>46</v>
      </c>
      <c r="M288" s="38" t="s">
        <v>131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488</v>
      </c>
      <c r="AG288" s="78"/>
      <c r="AJ288" s="84" t="s">
        <v>46</v>
      </c>
      <c r="AK288" s="84">
        <v>0</v>
      </c>
      <c r="BB288" s="373" t="s">
        <v>66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4301011721</v>
      </c>
      <c r="D289" s="679">
        <v>4680115884175</v>
      </c>
      <c r="E289" s="679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132</v>
      </c>
      <c r="L289" s="37" t="s">
        <v>46</v>
      </c>
      <c r="M289" s="38" t="s">
        <v>131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343</v>
      </c>
      <c r="AG289" s="78"/>
      <c r="AJ289" s="84" t="s">
        <v>46</v>
      </c>
      <c r="AK289" s="84">
        <v>0</v>
      </c>
      <c r="BB289" s="375" t="s">
        <v>66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4301011824</v>
      </c>
      <c r="D290" s="679">
        <v>4680115884144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139</v>
      </c>
      <c r="L290" s="37" t="s">
        <v>46</v>
      </c>
      <c r="M290" s="38" t="s">
        <v>131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485</v>
      </c>
      <c r="AG290" s="78"/>
      <c r="AJ290" s="84" t="s">
        <v>46</v>
      </c>
      <c r="AK290" s="84">
        <v>0</v>
      </c>
      <c r="BB290" s="377" t="s">
        <v>66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4301012149</v>
      </c>
      <c r="D291" s="679">
        <v>4680115886551</v>
      </c>
      <c r="E291" s="67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139</v>
      </c>
      <c r="L291" s="37" t="s">
        <v>46</v>
      </c>
      <c r="M291" s="38" t="s">
        <v>131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495</v>
      </c>
      <c r="AG291" s="78"/>
      <c r="AJ291" s="84" t="s">
        <v>46</v>
      </c>
      <c r="AK291" s="84">
        <v>0</v>
      </c>
      <c r="BB291" s="379" t="s">
        <v>66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hidden="1" customHeight="1" x14ac:dyDescent="0.25">
      <c r="A292" s="63" t="s">
        <v>496</v>
      </c>
      <c r="B292" s="63" t="s">
        <v>497</v>
      </c>
      <c r="C292" s="36">
        <v>4301012228</v>
      </c>
      <c r="D292" s="679">
        <v>4680115887282</v>
      </c>
      <c r="E292" s="679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90</v>
      </c>
      <c r="L292" s="37" t="s">
        <v>46</v>
      </c>
      <c r="M292" s="38" t="s">
        <v>131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498</v>
      </c>
      <c r="AG292" s="78"/>
      <c r="AJ292" s="84" t="s">
        <v>46</v>
      </c>
      <c r="AK292" s="84">
        <v>0</v>
      </c>
      <c r="BB292" s="381" t="s">
        <v>66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4301011722</v>
      </c>
      <c r="D293" s="679">
        <v>4680115884205</v>
      </c>
      <c r="E293" s="67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139</v>
      </c>
      <c r="L293" s="37" t="s">
        <v>46</v>
      </c>
      <c r="M293" s="38" t="s">
        <v>131</v>
      </c>
      <c r="N293" s="38"/>
      <c r="O293" s="37">
        <v>55</v>
      </c>
      <c r="P293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81"/>
      <c r="R293" s="681"/>
      <c r="S293" s="681"/>
      <c r="T293" s="68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343</v>
      </c>
      <c r="AG293" s="78"/>
      <c r="AJ293" s="84" t="s">
        <v>46</v>
      </c>
      <c r="AK293" s="84">
        <v>0</v>
      </c>
      <c r="BB293" s="383" t="s">
        <v>66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idden="1" x14ac:dyDescent="0.2">
      <c r="A294" s="687"/>
      <c r="B294" s="687"/>
      <c r="C294" s="687"/>
      <c r="D294" s="687"/>
      <c r="E294" s="687"/>
      <c r="F294" s="687"/>
      <c r="G294" s="687"/>
      <c r="H294" s="687"/>
      <c r="I294" s="687"/>
      <c r="J294" s="687"/>
      <c r="K294" s="687"/>
      <c r="L294" s="687"/>
      <c r="M294" s="687"/>
      <c r="N294" s="687"/>
      <c r="O294" s="688"/>
      <c r="P294" s="684" t="s">
        <v>40</v>
      </c>
      <c r="Q294" s="685"/>
      <c r="R294" s="685"/>
      <c r="S294" s="685"/>
      <c r="T294" s="685"/>
      <c r="U294" s="685"/>
      <c r="V294" s="686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87"/>
      <c r="B295" s="687"/>
      <c r="C295" s="687"/>
      <c r="D295" s="687"/>
      <c r="E295" s="687"/>
      <c r="F295" s="687"/>
      <c r="G295" s="687"/>
      <c r="H295" s="687"/>
      <c r="I295" s="687"/>
      <c r="J295" s="687"/>
      <c r="K295" s="687"/>
      <c r="L295" s="687"/>
      <c r="M295" s="687"/>
      <c r="N295" s="687"/>
      <c r="O295" s="688"/>
      <c r="P295" s="684" t="s">
        <v>40</v>
      </c>
      <c r="Q295" s="685"/>
      <c r="R295" s="685"/>
      <c r="S295" s="685"/>
      <c r="T295" s="685"/>
      <c r="U295" s="685"/>
      <c r="V295" s="686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78" t="s">
        <v>162</v>
      </c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8"/>
      <c r="P296" s="678"/>
      <c r="Q296" s="678"/>
      <c r="R296" s="678"/>
      <c r="S296" s="678"/>
      <c r="T296" s="678"/>
      <c r="U296" s="678"/>
      <c r="V296" s="678"/>
      <c r="W296" s="678"/>
      <c r="X296" s="678"/>
      <c r="Y296" s="678"/>
      <c r="Z296" s="678"/>
      <c r="AA296" s="66"/>
      <c r="AB296" s="66"/>
      <c r="AC296" s="80"/>
    </row>
    <row r="297" spans="1:68" ht="27" hidden="1" customHeight="1" x14ac:dyDescent="0.25">
      <c r="A297" s="63" t="s">
        <v>501</v>
      </c>
      <c r="B297" s="63" t="s">
        <v>502</v>
      </c>
      <c r="C297" s="36">
        <v>4301020377</v>
      </c>
      <c r="D297" s="679">
        <v>4680115885981</v>
      </c>
      <c r="E297" s="679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81</v>
      </c>
      <c r="L297" s="37" t="s">
        <v>46</v>
      </c>
      <c r="M297" s="38" t="s">
        <v>89</v>
      </c>
      <c r="N297" s="38"/>
      <c r="O297" s="37">
        <v>50</v>
      </c>
      <c r="P297" s="8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81"/>
      <c r="R297" s="681"/>
      <c r="S297" s="681"/>
      <c r="T297" s="682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503</v>
      </c>
      <c r="AG297" s="78"/>
      <c r="AJ297" s="84" t="s">
        <v>46</v>
      </c>
      <c r="AK297" s="84">
        <v>0</v>
      </c>
      <c r="BB297" s="38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idden="1" x14ac:dyDescent="0.2">
      <c r="A298" s="687"/>
      <c r="B298" s="687"/>
      <c r="C298" s="687"/>
      <c r="D298" s="687"/>
      <c r="E298" s="687"/>
      <c r="F298" s="687"/>
      <c r="G298" s="687"/>
      <c r="H298" s="687"/>
      <c r="I298" s="687"/>
      <c r="J298" s="687"/>
      <c r="K298" s="687"/>
      <c r="L298" s="687"/>
      <c r="M298" s="687"/>
      <c r="N298" s="687"/>
      <c r="O298" s="688"/>
      <c r="P298" s="684" t="s">
        <v>40</v>
      </c>
      <c r="Q298" s="685"/>
      <c r="R298" s="685"/>
      <c r="S298" s="685"/>
      <c r="T298" s="685"/>
      <c r="U298" s="685"/>
      <c r="V298" s="686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hidden="1" x14ac:dyDescent="0.2">
      <c r="A299" s="687"/>
      <c r="B299" s="687"/>
      <c r="C299" s="687"/>
      <c r="D299" s="687"/>
      <c r="E299" s="687"/>
      <c r="F299" s="687"/>
      <c r="G299" s="687"/>
      <c r="H299" s="687"/>
      <c r="I299" s="687"/>
      <c r="J299" s="687"/>
      <c r="K299" s="687"/>
      <c r="L299" s="687"/>
      <c r="M299" s="687"/>
      <c r="N299" s="687"/>
      <c r="O299" s="688"/>
      <c r="P299" s="684" t="s">
        <v>40</v>
      </c>
      <c r="Q299" s="685"/>
      <c r="R299" s="685"/>
      <c r="S299" s="685"/>
      <c r="T299" s="685"/>
      <c r="U299" s="685"/>
      <c r="V299" s="686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78" t="s">
        <v>504</v>
      </c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8"/>
      <c r="P300" s="678"/>
      <c r="Q300" s="678"/>
      <c r="R300" s="678"/>
      <c r="S300" s="678"/>
      <c r="T300" s="678"/>
      <c r="U300" s="678"/>
      <c r="V300" s="678"/>
      <c r="W300" s="678"/>
      <c r="X300" s="678"/>
      <c r="Y300" s="678"/>
      <c r="Z300" s="678"/>
      <c r="AA300" s="66"/>
      <c r="AB300" s="66"/>
      <c r="AC300" s="80"/>
    </row>
    <row r="301" spans="1:68" ht="27" hidden="1" customHeight="1" x14ac:dyDescent="0.25">
      <c r="A301" s="63" t="s">
        <v>505</v>
      </c>
      <c r="B301" s="63" t="s">
        <v>506</v>
      </c>
      <c r="C301" s="36">
        <v>4301040362</v>
      </c>
      <c r="D301" s="679">
        <v>4680115886803</v>
      </c>
      <c r="E301" s="679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326</v>
      </c>
      <c r="L301" s="37" t="s">
        <v>46</v>
      </c>
      <c r="M301" s="38" t="s">
        <v>325</v>
      </c>
      <c r="N301" s="38"/>
      <c r="O301" s="37">
        <v>45</v>
      </c>
      <c r="P301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81"/>
      <c r="R301" s="681"/>
      <c r="S301" s="681"/>
      <c r="T301" s="68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507</v>
      </c>
      <c r="AG301" s="78"/>
      <c r="AJ301" s="84" t="s">
        <v>46</v>
      </c>
      <c r="AK301" s="84">
        <v>0</v>
      </c>
      <c r="BB301" s="387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87"/>
      <c r="B302" s="687"/>
      <c r="C302" s="687"/>
      <c r="D302" s="687"/>
      <c r="E302" s="687"/>
      <c r="F302" s="687"/>
      <c r="G302" s="687"/>
      <c r="H302" s="687"/>
      <c r="I302" s="687"/>
      <c r="J302" s="687"/>
      <c r="K302" s="687"/>
      <c r="L302" s="687"/>
      <c r="M302" s="687"/>
      <c r="N302" s="687"/>
      <c r="O302" s="688"/>
      <c r="P302" s="684" t="s">
        <v>40</v>
      </c>
      <c r="Q302" s="685"/>
      <c r="R302" s="685"/>
      <c r="S302" s="685"/>
      <c r="T302" s="685"/>
      <c r="U302" s="685"/>
      <c r="V302" s="686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87"/>
      <c r="B303" s="687"/>
      <c r="C303" s="687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8"/>
      <c r="P303" s="684" t="s">
        <v>40</v>
      </c>
      <c r="Q303" s="685"/>
      <c r="R303" s="685"/>
      <c r="S303" s="685"/>
      <c r="T303" s="685"/>
      <c r="U303" s="685"/>
      <c r="V303" s="686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78" t="s">
        <v>330</v>
      </c>
      <c r="B304" s="678"/>
      <c r="C304" s="678"/>
      <c r="D304" s="678"/>
      <c r="E304" s="678"/>
      <c r="F304" s="678"/>
      <c r="G304" s="678"/>
      <c r="H304" s="678"/>
      <c r="I304" s="678"/>
      <c r="J304" s="678"/>
      <c r="K304" s="678"/>
      <c r="L304" s="678"/>
      <c r="M304" s="678"/>
      <c r="N304" s="678"/>
      <c r="O304" s="678"/>
      <c r="P304" s="678"/>
      <c r="Q304" s="678"/>
      <c r="R304" s="678"/>
      <c r="S304" s="678"/>
      <c r="T304" s="678"/>
      <c r="U304" s="678"/>
      <c r="V304" s="678"/>
      <c r="W304" s="678"/>
      <c r="X304" s="678"/>
      <c r="Y304" s="678"/>
      <c r="Z304" s="678"/>
      <c r="AA304" s="66"/>
      <c r="AB304" s="66"/>
      <c r="AC304" s="80"/>
    </row>
    <row r="305" spans="1:68" ht="27" hidden="1" customHeight="1" x14ac:dyDescent="0.25">
      <c r="A305" s="63" t="s">
        <v>508</v>
      </c>
      <c r="B305" s="63" t="s">
        <v>509</v>
      </c>
      <c r="C305" s="36">
        <v>4301041004</v>
      </c>
      <c r="D305" s="679">
        <v>4680115886704</v>
      </c>
      <c r="E305" s="679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326</v>
      </c>
      <c r="L305" s="37" t="s">
        <v>46</v>
      </c>
      <c r="M305" s="38" t="s">
        <v>325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510</v>
      </c>
      <c r="AG305" s="78"/>
      <c r="AJ305" s="84" t="s">
        <v>46</v>
      </c>
      <c r="AK305" s="84">
        <v>0</v>
      </c>
      <c r="BB305" s="389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hidden="1" customHeight="1" x14ac:dyDescent="0.25">
      <c r="A306" s="63" t="s">
        <v>511</v>
      </c>
      <c r="B306" s="63" t="s">
        <v>512</v>
      </c>
      <c r="C306" s="36">
        <v>4301041008</v>
      </c>
      <c r="D306" s="679">
        <v>4680115886681</v>
      </c>
      <c r="E306" s="67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326</v>
      </c>
      <c r="L306" s="37" t="s">
        <v>46</v>
      </c>
      <c r="M306" s="38" t="s">
        <v>325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510</v>
      </c>
      <c r="AG306" s="78"/>
      <c r="AJ306" s="84" t="s">
        <v>46</v>
      </c>
      <c r="AK306" s="84">
        <v>0</v>
      </c>
      <c r="BB306" s="39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hidden="1" customHeight="1" x14ac:dyDescent="0.25">
      <c r="A307" s="63" t="s">
        <v>513</v>
      </c>
      <c r="B307" s="63" t="s">
        <v>514</v>
      </c>
      <c r="C307" s="36">
        <v>4301041007</v>
      </c>
      <c r="D307" s="679">
        <v>4680115886735</v>
      </c>
      <c r="E307" s="679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326</v>
      </c>
      <c r="L307" s="37" t="s">
        <v>46</v>
      </c>
      <c r="M307" s="38" t="s">
        <v>325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510</v>
      </c>
      <c r="AG307" s="78"/>
      <c r="AJ307" s="84" t="s">
        <v>46</v>
      </c>
      <c r="AK307" s="84">
        <v>0</v>
      </c>
      <c r="BB307" s="39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87"/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8"/>
      <c r="P308" s="684" t="s">
        <v>40</v>
      </c>
      <c r="Q308" s="685"/>
      <c r="R308" s="685"/>
      <c r="S308" s="685"/>
      <c r="T308" s="685"/>
      <c r="U308" s="685"/>
      <c r="V308" s="686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87"/>
      <c r="B309" s="687"/>
      <c r="C309" s="687"/>
      <c r="D309" s="687"/>
      <c r="E309" s="687"/>
      <c r="F309" s="687"/>
      <c r="G309" s="687"/>
      <c r="H309" s="687"/>
      <c r="I309" s="687"/>
      <c r="J309" s="687"/>
      <c r="K309" s="687"/>
      <c r="L309" s="687"/>
      <c r="M309" s="687"/>
      <c r="N309" s="687"/>
      <c r="O309" s="688"/>
      <c r="P309" s="684" t="s">
        <v>40</v>
      </c>
      <c r="Q309" s="685"/>
      <c r="R309" s="685"/>
      <c r="S309" s="685"/>
      <c r="T309" s="685"/>
      <c r="U309" s="685"/>
      <c r="V309" s="686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hidden="1" customHeight="1" x14ac:dyDescent="0.25">
      <c r="A310" s="677" t="s">
        <v>515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5"/>
      <c r="AB310" s="65"/>
      <c r="AC310" s="79"/>
    </row>
    <row r="311" spans="1:68" ht="14.25" hidden="1" customHeight="1" x14ac:dyDescent="0.25">
      <c r="A311" s="678" t="s">
        <v>127</v>
      </c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  <c r="Y311" s="678"/>
      <c r="Z311" s="678"/>
      <c r="AA311" s="66"/>
      <c r="AB311" s="66"/>
      <c r="AC311" s="80"/>
    </row>
    <row r="312" spans="1:68" ht="27" hidden="1" customHeight="1" x14ac:dyDescent="0.25">
      <c r="A312" s="63" t="s">
        <v>516</v>
      </c>
      <c r="B312" s="63" t="s">
        <v>517</v>
      </c>
      <c r="C312" s="36">
        <v>4301011855</v>
      </c>
      <c r="D312" s="679">
        <v>4680115885837</v>
      </c>
      <c r="E312" s="679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132</v>
      </c>
      <c r="L312" s="37" t="s">
        <v>46</v>
      </c>
      <c r="M312" s="38" t="s">
        <v>131</v>
      </c>
      <c r="N312" s="38"/>
      <c r="O312" s="37">
        <v>55</v>
      </c>
      <c r="P31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81"/>
      <c r="R312" s="681"/>
      <c r="S312" s="681"/>
      <c r="T312" s="68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518</v>
      </c>
      <c r="AG312" s="78"/>
      <c r="AJ312" s="84" t="s">
        <v>46</v>
      </c>
      <c r="AK312" s="84">
        <v>0</v>
      </c>
      <c r="BB312" s="39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4301012234</v>
      </c>
      <c r="D313" s="679">
        <v>4680115887237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132</v>
      </c>
      <c r="L313" s="37" t="s">
        <v>46</v>
      </c>
      <c r="M313" s="38" t="s">
        <v>131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521</v>
      </c>
      <c r="AG313" s="78"/>
      <c r="AJ313" s="84" t="s">
        <v>46</v>
      </c>
      <c r="AK313" s="84">
        <v>0</v>
      </c>
      <c r="BB313" s="397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4301011850</v>
      </c>
      <c r="D314" s="679">
        <v>4680115885806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132</v>
      </c>
      <c r="L314" s="37" t="s">
        <v>46</v>
      </c>
      <c r="M314" s="38" t="s">
        <v>131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524</v>
      </c>
      <c r="AG314" s="78"/>
      <c r="AJ314" s="84" t="s">
        <v>46</v>
      </c>
      <c r="AK314" s="84">
        <v>0</v>
      </c>
      <c r="BB314" s="39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4301011852</v>
      </c>
      <c r="D315" s="679">
        <v>4680115885844</v>
      </c>
      <c r="E315" s="679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139</v>
      </c>
      <c r="L315" s="37" t="s">
        <v>46</v>
      </c>
      <c r="M315" s="38" t="s">
        <v>131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527</v>
      </c>
      <c r="AG315" s="78"/>
      <c r="AJ315" s="84" t="s">
        <v>46</v>
      </c>
      <c r="AK315" s="84">
        <v>0</v>
      </c>
      <c r="BB315" s="40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hidden="1" customHeight="1" x14ac:dyDescent="0.25">
      <c r="A316" s="63" t="s">
        <v>528</v>
      </c>
      <c r="B316" s="63" t="s">
        <v>529</v>
      </c>
      <c r="C316" s="36">
        <v>4301011851</v>
      </c>
      <c r="D316" s="679">
        <v>4680115885820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139</v>
      </c>
      <c r="L316" s="37" t="s">
        <v>46</v>
      </c>
      <c r="M316" s="38" t="s">
        <v>131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530</v>
      </c>
      <c r="AG316" s="78"/>
      <c r="AJ316" s="84" t="s">
        <v>46</v>
      </c>
      <c r="AK316" s="84">
        <v>0</v>
      </c>
      <c r="BB316" s="40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87"/>
      <c r="B317" s="687"/>
      <c r="C317" s="687"/>
      <c r="D317" s="687"/>
      <c r="E317" s="687"/>
      <c r="F317" s="687"/>
      <c r="G317" s="687"/>
      <c r="H317" s="687"/>
      <c r="I317" s="687"/>
      <c r="J317" s="687"/>
      <c r="K317" s="687"/>
      <c r="L317" s="687"/>
      <c r="M317" s="687"/>
      <c r="N317" s="687"/>
      <c r="O317" s="688"/>
      <c r="P317" s="684" t="s">
        <v>40</v>
      </c>
      <c r="Q317" s="685"/>
      <c r="R317" s="685"/>
      <c r="S317" s="685"/>
      <c r="T317" s="685"/>
      <c r="U317" s="685"/>
      <c r="V317" s="686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87"/>
      <c r="B318" s="687"/>
      <c r="C318" s="687"/>
      <c r="D318" s="687"/>
      <c r="E318" s="687"/>
      <c r="F318" s="687"/>
      <c r="G318" s="687"/>
      <c r="H318" s="687"/>
      <c r="I318" s="687"/>
      <c r="J318" s="687"/>
      <c r="K318" s="687"/>
      <c r="L318" s="687"/>
      <c r="M318" s="687"/>
      <c r="N318" s="687"/>
      <c r="O318" s="688"/>
      <c r="P318" s="684" t="s">
        <v>40</v>
      </c>
      <c r="Q318" s="685"/>
      <c r="R318" s="685"/>
      <c r="S318" s="685"/>
      <c r="T318" s="685"/>
      <c r="U318" s="685"/>
      <c r="V318" s="686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77" t="s">
        <v>531</v>
      </c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77"/>
      <c r="P319" s="677"/>
      <c r="Q319" s="677"/>
      <c r="R319" s="677"/>
      <c r="S319" s="677"/>
      <c r="T319" s="677"/>
      <c r="U319" s="677"/>
      <c r="V319" s="677"/>
      <c r="W319" s="677"/>
      <c r="X319" s="677"/>
      <c r="Y319" s="677"/>
      <c r="Z319" s="677"/>
      <c r="AA319" s="65"/>
      <c r="AB319" s="65"/>
      <c r="AC319" s="79"/>
    </row>
    <row r="320" spans="1:68" ht="14.25" hidden="1" customHeight="1" x14ac:dyDescent="0.25">
      <c r="A320" s="678" t="s">
        <v>85</v>
      </c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  <c r="N320" s="678"/>
      <c r="O320" s="678"/>
      <c r="P320" s="678"/>
      <c r="Q320" s="678"/>
      <c r="R320" s="678"/>
      <c r="S320" s="678"/>
      <c r="T320" s="678"/>
      <c r="U320" s="678"/>
      <c r="V320" s="678"/>
      <c r="W320" s="678"/>
      <c r="X320" s="678"/>
      <c r="Y320" s="678"/>
      <c r="Z320" s="678"/>
      <c r="AA320" s="66"/>
      <c r="AB320" s="66"/>
      <c r="AC320" s="80"/>
    </row>
    <row r="321" spans="1:68" ht="27" hidden="1" customHeight="1" x14ac:dyDescent="0.25">
      <c r="A321" s="63" t="s">
        <v>532</v>
      </c>
      <c r="B321" s="63" t="s">
        <v>533</v>
      </c>
      <c r="C321" s="36">
        <v>4301051893</v>
      </c>
      <c r="D321" s="679">
        <v>4680115886186</v>
      </c>
      <c r="E321" s="679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90</v>
      </c>
      <c r="L321" s="37" t="s">
        <v>46</v>
      </c>
      <c r="M321" s="38" t="s">
        <v>89</v>
      </c>
      <c r="N321" s="38"/>
      <c r="O321" s="37">
        <v>45</v>
      </c>
      <c r="P321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81"/>
      <c r="R321" s="681"/>
      <c r="S321" s="681"/>
      <c r="T321" s="68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534</v>
      </c>
      <c r="AG321" s="78"/>
      <c r="AJ321" s="84" t="s">
        <v>46</v>
      </c>
      <c r="AK321" s="84">
        <v>0</v>
      </c>
      <c r="BB321" s="40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535</v>
      </c>
      <c r="B322" s="63" t="s">
        <v>536</v>
      </c>
      <c r="C322" s="36">
        <v>4301051795</v>
      </c>
      <c r="D322" s="679">
        <v>4680115881228</v>
      </c>
      <c r="E322" s="679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90</v>
      </c>
      <c r="L322" s="37" t="s">
        <v>46</v>
      </c>
      <c r="M322" s="38" t="s">
        <v>96</v>
      </c>
      <c r="N322" s="38"/>
      <c r="O322" s="37">
        <v>40</v>
      </c>
      <c r="P322" s="84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537</v>
      </c>
      <c r="AG322" s="78"/>
      <c r="AJ322" s="84" t="s">
        <v>46</v>
      </c>
      <c r="AK322" s="84">
        <v>0</v>
      </c>
      <c r="BB322" s="40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538</v>
      </c>
      <c r="B323" s="63" t="s">
        <v>539</v>
      </c>
      <c r="C323" s="36">
        <v>4301051388</v>
      </c>
      <c r="D323" s="679">
        <v>4680115881211</v>
      </c>
      <c r="E323" s="679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90</v>
      </c>
      <c r="L323" s="37" t="s">
        <v>46</v>
      </c>
      <c r="M323" s="38" t="s">
        <v>89</v>
      </c>
      <c r="N323" s="38"/>
      <c r="O323" s="37">
        <v>45</v>
      </c>
      <c r="P323" s="84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534</v>
      </c>
      <c r="AG323" s="78"/>
      <c r="AJ323" s="84" t="s">
        <v>46</v>
      </c>
      <c r="AK323" s="84">
        <v>0</v>
      </c>
      <c r="BB323" s="40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87"/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8"/>
      <c r="P324" s="684" t="s">
        <v>40</v>
      </c>
      <c r="Q324" s="685"/>
      <c r="R324" s="685"/>
      <c r="S324" s="685"/>
      <c r="T324" s="685"/>
      <c r="U324" s="685"/>
      <c r="V324" s="68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687"/>
      <c r="B325" s="687"/>
      <c r="C325" s="687"/>
      <c r="D325" s="687"/>
      <c r="E325" s="687"/>
      <c r="F325" s="687"/>
      <c r="G325" s="687"/>
      <c r="H325" s="687"/>
      <c r="I325" s="687"/>
      <c r="J325" s="687"/>
      <c r="K325" s="687"/>
      <c r="L325" s="687"/>
      <c r="M325" s="687"/>
      <c r="N325" s="687"/>
      <c r="O325" s="688"/>
      <c r="P325" s="684" t="s">
        <v>40</v>
      </c>
      <c r="Q325" s="685"/>
      <c r="R325" s="685"/>
      <c r="S325" s="685"/>
      <c r="T325" s="685"/>
      <c r="U325" s="685"/>
      <c r="V325" s="68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7" t="s">
        <v>540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5"/>
      <c r="AB326" s="65"/>
      <c r="AC326" s="79"/>
    </row>
    <row r="327" spans="1:68" ht="14.25" hidden="1" customHeight="1" x14ac:dyDescent="0.25">
      <c r="A327" s="678" t="s">
        <v>76</v>
      </c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8"/>
      <c r="P327" s="678"/>
      <c r="Q327" s="678"/>
      <c r="R327" s="678"/>
      <c r="S327" s="678"/>
      <c r="T327" s="678"/>
      <c r="U327" s="678"/>
      <c r="V327" s="678"/>
      <c r="W327" s="678"/>
      <c r="X327" s="678"/>
      <c r="Y327" s="678"/>
      <c r="Z327" s="678"/>
      <c r="AA327" s="66"/>
      <c r="AB327" s="66"/>
      <c r="AC327" s="80"/>
    </row>
    <row r="328" spans="1:68" ht="27" hidden="1" customHeight="1" x14ac:dyDescent="0.25">
      <c r="A328" s="63" t="s">
        <v>541</v>
      </c>
      <c r="B328" s="63" t="s">
        <v>542</v>
      </c>
      <c r="C328" s="36">
        <v>4301031445</v>
      </c>
      <c r="D328" s="679">
        <v>4680115888319</v>
      </c>
      <c r="E328" s="679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81</v>
      </c>
      <c r="L328" s="37" t="s">
        <v>46</v>
      </c>
      <c r="M328" s="38" t="s">
        <v>80</v>
      </c>
      <c r="N328" s="38"/>
      <c r="O328" s="37">
        <v>45</v>
      </c>
      <c r="P328" s="84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81"/>
      <c r="R328" s="681"/>
      <c r="S328" s="681"/>
      <c r="T328" s="68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375</v>
      </c>
      <c r="AG328" s="78"/>
      <c r="AJ328" s="84" t="s">
        <v>46</v>
      </c>
      <c r="AK328" s="84">
        <v>0</v>
      </c>
      <c r="BB328" s="41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543</v>
      </c>
      <c r="B329" s="63" t="s">
        <v>544</v>
      </c>
      <c r="C329" s="36">
        <v>4301031502</v>
      </c>
      <c r="D329" s="679">
        <v>4680115884700</v>
      </c>
      <c r="E329" s="679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81</v>
      </c>
      <c r="L329" s="37" t="s">
        <v>46</v>
      </c>
      <c r="M329" s="38" t="s">
        <v>80</v>
      </c>
      <c r="N329" s="38"/>
      <c r="O329" s="37">
        <v>40</v>
      </c>
      <c r="P329" s="85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545</v>
      </c>
      <c r="AG329" s="78"/>
      <c r="AJ329" s="84" t="s">
        <v>46</v>
      </c>
      <c r="AK329" s="84">
        <v>0</v>
      </c>
      <c r="BB329" s="41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546</v>
      </c>
      <c r="B330" s="63" t="s">
        <v>547</v>
      </c>
      <c r="C330" s="36">
        <v>4301031307</v>
      </c>
      <c r="D330" s="679">
        <v>4680115880344</v>
      </c>
      <c r="E330" s="679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81</v>
      </c>
      <c r="L330" s="37" t="s">
        <v>46</v>
      </c>
      <c r="M330" s="38" t="s">
        <v>80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548</v>
      </c>
      <c r="AG330" s="78"/>
      <c r="AJ330" s="84" t="s">
        <v>46</v>
      </c>
      <c r="AK330" s="84">
        <v>0</v>
      </c>
      <c r="BB330" s="41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549</v>
      </c>
      <c r="B331" s="63" t="s">
        <v>550</v>
      </c>
      <c r="C331" s="36">
        <v>4301031501</v>
      </c>
      <c r="D331" s="679">
        <v>4680115886919</v>
      </c>
      <c r="E331" s="679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90</v>
      </c>
      <c r="L331" s="37" t="s">
        <v>46</v>
      </c>
      <c r="M331" s="38" t="s">
        <v>80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551</v>
      </c>
      <c r="AG331" s="78"/>
      <c r="AJ331" s="84" t="s">
        <v>46</v>
      </c>
      <c r="AK331" s="84">
        <v>0</v>
      </c>
      <c r="BB331" s="417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552</v>
      </c>
      <c r="B332" s="63" t="s">
        <v>553</v>
      </c>
      <c r="C332" s="36">
        <v>4301031246</v>
      </c>
      <c r="D332" s="679">
        <v>4680115883970</v>
      </c>
      <c r="E332" s="679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554</v>
      </c>
      <c r="AG332" s="78"/>
      <c r="AJ332" s="84" t="s">
        <v>46</v>
      </c>
      <c r="AK332" s="84">
        <v>0</v>
      </c>
      <c r="BB332" s="419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87"/>
      <c r="B333" s="687"/>
      <c r="C333" s="687"/>
      <c r="D333" s="687"/>
      <c r="E333" s="687"/>
      <c r="F333" s="687"/>
      <c r="G333" s="687"/>
      <c r="H333" s="687"/>
      <c r="I333" s="687"/>
      <c r="J333" s="687"/>
      <c r="K333" s="687"/>
      <c r="L333" s="687"/>
      <c r="M333" s="687"/>
      <c r="N333" s="687"/>
      <c r="O333" s="688"/>
      <c r="P333" s="684" t="s">
        <v>40</v>
      </c>
      <c r="Q333" s="685"/>
      <c r="R333" s="685"/>
      <c r="S333" s="685"/>
      <c r="T333" s="685"/>
      <c r="U333" s="685"/>
      <c r="V333" s="686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87"/>
      <c r="B334" s="687"/>
      <c r="C334" s="687"/>
      <c r="D334" s="687"/>
      <c r="E334" s="687"/>
      <c r="F334" s="687"/>
      <c r="G334" s="687"/>
      <c r="H334" s="687"/>
      <c r="I334" s="687"/>
      <c r="J334" s="687"/>
      <c r="K334" s="687"/>
      <c r="L334" s="687"/>
      <c r="M334" s="687"/>
      <c r="N334" s="687"/>
      <c r="O334" s="688"/>
      <c r="P334" s="684" t="s">
        <v>40</v>
      </c>
      <c r="Q334" s="685"/>
      <c r="R334" s="685"/>
      <c r="S334" s="685"/>
      <c r="T334" s="685"/>
      <c r="U334" s="685"/>
      <c r="V334" s="686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hidden="1" customHeight="1" x14ac:dyDescent="0.25">
      <c r="A335" s="678" t="s">
        <v>85</v>
      </c>
      <c r="B335" s="678"/>
      <c r="C335" s="678"/>
      <c r="D335" s="678"/>
      <c r="E335" s="678"/>
      <c r="F335" s="678"/>
      <c r="G335" s="678"/>
      <c r="H335" s="678"/>
      <c r="I335" s="678"/>
      <c r="J335" s="678"/>
      <c r="K335" s="678"/>
      <c r="L335" s="678"/>
      <c r="M335" s="678"/>
      <c r="N335" s="678"/>
      <c r="O335" s="678"/>
      <c r="P335" s="678"/>
      <c r="Q335" s="678"/>
      <c r="R335" s="678"/>
      <c r="S335" s="678"/>
      <c r="T335" s="678"/>
      <c r="U335" s="678"/>
      <c r="V335" s="678"/>
      <c r="W335" s="678"/>
      <c r="X335" s="678"/>
      <c r="Y335" s="678"/>
      <c r="Z335" s="678"/>
      <c r="AA335" s="66"/>
      <c r="AB335" s="66"/>
      <c r="AC335" s="80"/>
    </row>
    <row r="336" spans="1:68" ht="27" hidden="1" customHeight="1" x14ac:dyDescent="0.25">
      <c r="A336" s="63" t="s">
        <v>555</v>
      </c>
      <c r="B336" s="63" t="s">
        <v>556</v>
      </c>
      <c r="C336" s="36">
        <v>4301051782</v>
      </c>
      <c r="D336" s="679">
        <v>4680115884618</v>
      </c>
      <c r="E336" s="679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139</v>
      </c>
      <c r="L336" s="37" t="s">
        <v>46</v>
      </c>
      <c r="M336" s="38" t="s">
        <v>89</v>
      </c>
      <c r="N336" s="38"/>
      <c r="O336" s="37">
        <v>45</v>
      </c>
      <c r="P336" s="8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81"/>
      <c r="R336" s="681"/>
      <c r="S336" s="681"/>
      <c r="T336" s="68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557</v>
      </c>
      <c r="AG336" s="78"/>
      <c r="AJ336" s="84" t="s">
        <v>46</v>
      </c>
      <c r="AK336" s="84">
        <v>0</v>
      </c>
      <c r="BB336" s="421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558</v>
      </c>
      <c r="B337" s="63" t="s">
        <v>559</v>
      </c>
      <c r="C337" s="36">
        <v>4301052057</v>
      </c>
      <c r="D337" s="679">
        <v>4680115887114</v>
      </c>
      <c r="E337" s="679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139</v>
      </c>
      <c r="L337" s="37" t="s">
        <v>46</v>
      </c>
      <c r="M337" s="38" t="s">
        <v>89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560</v>
      </c>
      <c r="AG337" s="78"/>
      <c r="AJ337" s="84" t="s">
        <v>46</v>
      </c>
      <c r="AK337" s="84">
        <v>0</v>
      </c>
      <c r="BB337" s="423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87"/>
      <c r="B338" s="687"/>
      <c r="C338" s="687"/>
      <c r="D338" s="687"/>
      <c r="E338" s="687"/>
      <c r="F338" s="687"/>
      <c r="G338" s="687"/>
      <c r="H338" s="687"/>
      <c r="I338" s="687"/>
      <c r="J338" s="687"/>
      <c r="K338" s="687"/>
      <c r="L338" s="687"/>
      <c r="M338" s="687"/>
      <c r="N338" s="687"/>
      <c r="O338" s="688"/>
      <c r="P338" s="684" t="s">
        <v>40</v>
      </c>
      <c r="Q338" s="685"/>
      <c r="R338" s="685"/>
      <c r="S338" s="685"/>
      <c r="T338" s="685"/>
      <c r="U338" s="685"/>
      <c r="V338" s="686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hidden="1" x14ac:dyDescent="0.2">
      <c r="A339" s="687"/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8"/>
      <c r="P339" s="684" t="s">
        <v>40</v>
      </c>
      <c r="Q339" s="685"/>
      <c r="R339" s="685"/>
      <c r="S339" s="685"/>
      <c r="T339" s="685"/>
      <c r="U339" s="685"/>
      <c r="V339" s="686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7" t="s">
        <v>561</v>
      </c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77"/>
      <c r="P340" s="677"/>
      <c r="Q340" s="677"/>
      <c r="R340" s="677"/>
      <c r="S340" s="677"/>
      <c r="T340" s="677"/>
      <c r="U340" s="677"/>
      <c r="V340" s="677"/>
      <c r="W340" s="677"/>
      <c r="X340" s="677"/>
      <c r="Y340" s="677"/>
      <c r="Z340" s="677"/>
      <c r="AA340" s="65"/>
      <c r="AB340" s="65"/>
      <c r="AC340" s="79"/>
    </row>
    <row r="341" spans="1:68" ht="14.25" hidden="1" customHeight="1" x14ac:dyDescent="0.25">
      <c r="A341" s="678" t="s">
        <v>127</v>
      </c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8"/>
      <c r="P341" s="678"/>
      <c r="Q341" s="678"/>
      <c r="R341" s="678"/>
      <c r="S341" s="678"/>
      <c r="T341" s="678"/>
      <c r="U341" s="678"/>
      <c r="V341" s="678"/>
      <c r="W341" s="678"/>
      <c r="X341" s="678"/>
      <c r="Y341" s="678"/>
      <c r="Z341" s="678"/>
      <c r="AA341" s="66"/>
      <c r="AB341" s="66"/>
      <c r="AC341" s="80"/>
    </row>
    <row r="342" spans="1:68" ht="27" hidden="1" customHeight="1" x14ac:dyDescent="0.25">
      <c r="A342" s="63" t="s">
        <v>562</v>
      </c>
      <c r="B342" s="63" t="s">
        <v>563</v>
      </c>
      <c r="C342" s="36">
        <v>4301012324</v>
      </c>
      <c r="D342" s="679">
        <v>4680115887947</v>
      </c>
      <c r="E342" s="679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132</v>
      </c>
      <c r="L342" s="37" t="s">
        <v>46</v>
      </c>
      <c r="M342" s="38" t="s">
        <v>89</v>
      </c>
      <c r="N342" s="38"/>
      <c r="O342" s="37">
        <v>60</v>
      </c>
      <c r="P342" s="8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81"/>
      <c r="R342" s="681"/>
      <c r="S342" s="681"/>
      <c r="T342" s="68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564</v>
      </c>
      <c r="AG342" s="78"/>
      <c r="AJ342" s="84" t="s">
        <v>46</v>
      </c>
      <c r="AK342" s="84">
        <v>0</v>
      </c>
      <c r="BB342" s="42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565</v>
      </c>
      <c r="B343" s="63" t="s">
        <v>566</v>
      </c>
      <c r="C343" s="36">
        <v>4301012325</v>
      </c>
      <c r="D343" s="679">
        <v>4680115887978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132</v>
      </c>
      <c r="L343" s="37" t="s">
        <v>46</v>
      </c>
      <c r="M343" s="38" t="s">
        <v>89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567</v>
      </c>
      <c r="AG343" s="78"/>
      <c r="AJ343" s="84" t="s">
        <v>46</v>
      </c>
      <c r="AK343" s="84">
        <v>0</v>
      </c>
      <c r="BB343" s="42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568</v>
      </c>
      <c r="B344" s="63" t="s">
        <v>569</v>
      </c>
      <c r="C344" s="36">
        <v>4301012327</v>
      </c>
      <c r="D344" s="679">
        <v>4680115887992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132</v>
      </c>
      <c r="L344" s="37" t="s">
        <v>46</v>
      </c>
      <c r="M344" s="38" t="s">
        <v>89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570</v>
      </c>
      <c r="AG344" s="78"/>
      <c r="AJ344" s="84" t="s">
        <v>46</v>
      </c>
      <c r="AK344" s="84">
        <v>0</v>
      </c>
      <c r="BB344" s="429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87"/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8"/>
      <c r="P345" s="684" t="s">
        <v>40</v>
      </c>
      <c r="Q345" s="685"/>
      <c r="R345" s="685"/>
      <c r="S345" s="685"/>
      <c r="T345" s="685"/>
      <c r="U345" s="685"/>
      <c r="V345" s="68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87"/>
      <c r="B346" s="687"/>
      <c r="C346" s="687"/>
      <c r="D346" s="687"/>
      <c r="E346" s="687"/>
      <c r="F346" s="687"/>
      <c r="G346" s="687"/>
      <c r="H346" s="687"/>
      <c r="I346" s="687"/>
      <c r="J346" s="687"/>
      <c r="K346" s="687"/>
      <c r="L346" s="687"/>
      <c r="M346" s="687"/>
      <c r="N346" s="687"/>
      <c r="O346" s="688"/>
      <c r="P346" s="684" t="s">
        <v>40</v>
      </c>
      <c r="Q346" s="685"/>
      <c r="R346" s="685"/>
      <c r="S346" s="685"/>
      <c r="T346" s="685"/>
      <c r="U346" s="685"/>
      <c r="V346" s="68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7" t="s">
        <v>571</v>
      </c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77"/>
      <c r="P347" s="677"/>
      <c r="Q347" s="677"/>
      <c r="R347" s="677"/>
      <c r="S347" s="677"/>
      <c r="T347" s="677"/>
      <c r="U347" s="677"/>
      <c r="V347" s="677"/>
      <c r="W347" s="677"/>
      <c r="X347" s="677"/>
      <c r="Y347" s="677"/>
      <c r="Z347" s="677"/>
      <c r="AA347" s="65"/>
      <c r="AB347" s="65"/>
      <c r="AC347" s="79"/>
    </row>
    <row r="348" spans="1:68" ht="14.25" hidden="1" customHeight="1" x14ac:dyDescent="0.25">
      <c r="A348" s="678" t="s">
        <v>127</v>
      </c>
      <c r="B348" s="678"/>
      <c r="C348" s="678"/>
      <c r="D348" s="678"/>
      <c r="E348" s="678"/>
      <c r="F348" s="678"/>
      <c r="G348" s="678"/>
      <c r="H348" s="678"/>
      <c r="I348" s="678"/>
      <c r="J348" s="678"/>
      <c r="K348" s="678"/>
      <c r="L348" s="678"/>
      <c r="M348" s="678"/>
      <c r="N348" s="678"/>
      <c r="O348" s="678"/>
      <c r="P348" s="678"/>
      <c r="Q348" s="678"/>
      <c r="R348" s="678"/>
      <c r="S348" s="678"/>
      <c r="T348" s="678"/>
      <c r="U348" s="678"/>
      <c r="V348" s="678"/>
      <c r="W348" s="678"/>
      <c r="X348" s="678"/>
      <c r="Y348" s="678"/>
      <c r="Z348" s="678"/>
      <c r="AA348" s="66"/>
      <c r="AB348" s="66"/>
      <c r="AC348" s="80"/>
    </row>
    <row r="349" spans="1:68" ht="27" hidden="1" customHeight="1" x14ac:dyDescent="0.25">
      <c r="A349" s="63" t="s">
        <v>572</v>
      </c>
      <c r="B349" s="63" t="s">
        <v>573</v>
      </c>
      <c r="C349" s="36">
        <v>4301012126</v>
      </c>
      <c r="D349" s="679">
        <v>4607091386004</v>
      </c>
      <c r="E349" s="679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132</v>
      </c>
      <c r="L349" s="37" t="s">
        <v>46</v>
      </c>
      <c r="M349" s="38" t="s">
        <v>131</v>
      </c>
      <c r="N349" s="38"/>
      <c r="O349" s="37">
        <v>55</v>
      </c>
      <c r="P349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81"/>
      <c r="R349" s="681"/>
      <c r="S349" s="681"/>
      <c r="T349" s="682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574</v>
      </c>
      <c r="AG349" s="78"/>
      <c r="AJ349" s="84" t="s">
        <v>46</v>
      </c>
      <c r="AK349" s="84">
        <v>0</v>
      </c>
      <c r="BB349" s="431" t="s">
        <v>66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hidden="1" customHeight="1" x14ac:dyDescent="0.25">
      <c r="A350" s="63" t="s">
        <v>575</v>
      </c>
      <c r="B350" s="63" t="s">
        <v>576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132</v>
      </c>
      <c r="L350" s="37" t="s">
        <v>46</v>
      </c>
      <c r="M350" s="38" t="s">
        <v>131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577</v>
      </c>
      <c r="AG350" s="78"/>
      <c r="AJ350" s="84" t="s">
        <v>46</v>
      </c>
      <c r="AK350" s="84">
        <v>0</v>
      </c>
      <c r="BB350" s="433" t="s">
        <v>66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37.5" hidden="1" customHeight="1" x14ac:dyDescent="0.25">
      <c r="A351" s="63" t="s">
        <v>578</v>
      </c>
      <c r="B351" s="63" t="s">
        <v>579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132</v>
      </c>
      <c r="L351" s="37" t="s">
        <v>46</v>
      </c>
      <c r="M351" s="38" t="s">
        <v>131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580</v>
      </c>
      <c r="AG351" s="78"/>
      <c r="AJ351" s="84" t="s">
        <v>46</v>
      </c>
      <c r="AK351" s="84">
        <v>0</v>
      </c>
      <c r="BB351" s="435" t="s">
        <v>66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ht="27" hidden="1" customHeight="1" x14ac:dyDescent="0.25">
      <c r="A352" s="63" t="s">
        <v>581</v>
      </c>
      <c r="B352" s="63" t="s">
        <v>582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132</v>
      </c>
      <c r="L352" s="37" t="s">
        <v>46</v>
      </c>
      <c r="M352" s="38" t="s">
        <v>89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583</v>
      </c>
      <c r="AG352" s="78"/>
      <c r="AJ352" s="84" t="s">
        <v>46</v>
      </c>
      <c r="AK352" s="84">
        <v>0</v>
      </c>
      <c r="BB352" s="437" t="s">
        <v>66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hidden="1" customHeight="1" x14ac:dyDescent="0.25">
      <c r="A353" s="63" t="s">
        <v>584</v>
      </c>
      <c r="B353" s="63" t="s">
        <v>585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139</v>
      </c>
      <c r="L353" s="37" t="s">
        <v>46</v>
      </c>
      <c r="M353" s="38" t="s">
        <v>131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577</v>
      </c>
      <c r="AG353" s="78"/>
      <c r="AJ353" s="84" t="s">
        <v>46</v>
      </c>
      <c r="AK353" s="84">
        <v>0</v>
      </c>
      <c r="BB353" s="439" t="s">
        <v>66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hidden="1" customHeight="1" x14ac:dyDescent="0.25">
      <c r="A354" s="63" t="s">
        <v>586</v>
      </c>
      <c r="B354" s="63" t="s">
        <v>587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139</v>
      </c>
      <c r="L354" s="37" t="s">
        <v>46</v>
      </c>
      <c r="M354" s="38" t="s">
        <v>131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588</v>
      </c>
      <c r="AG354" s="78"/>
      <c r="AJ354" s="84" t="s">
        <v>46</v>
      </c>
      <c r="AK354" s="84">
        <v>0</v>
      </c>
      <c r="BB354" s="441" t="s">
        <v>66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idden="1" x14ac:dyDescent="0.2">
      <c r="A355" s="687"/>
      <c r="B355" s="687"/>
      <c r="C355" s="687"/>
      <c r="D355" s="687"/>
      <c r="E355" s="687"/>
      <c r="F355" s="687"/>
      <c r="G355" s="687"/>
      <c r="H355" s="687"/>
      <c r="I355" s="687"/>
      <c r="J355" s="687"/>
      <c r="K355" s="687"/>
      <c r="L355" s="687"/>
      <c r="M355" s="687"/>
      <c r="N355" s="687"/>
      <c r="O355" s="688"/>
      <c r="P355" s="684" t="s">
        <v>40</v>
      </c>
      <c r="Q355" s="685"/>
      <c r="R355" s="685"/>
      <c r="S355" s="685"/>
      <c r="T355" s="685"/>
      <c r="U355" s="685"/>
      <c r="V355" s="686"/>
      <c r="W355" s="42" t="s">
        <v>39</v>
      </c>
      <c r="X355" s="43">
        <f>IFERROR(X349/H349,"0")+IFERROR(X350/H350,"0")+IFERROR(X351/H351,"0")+IFERROR(X352/H352,"0")+IFERROR(X353/H353,"0")+IFERROR(X354/H354,"0")</f>
        <v>0</v>
      </c>
      <c r="Y355" s="43">
        <f>IFERROR(Y349/H349,"0")+IFERROR(Y350/H350,"0")+IFERROR(Y351/H351,"0")+IFERROR(Y352/H352,"0")+IFERROR(Y353/H353,"0")+IFERROR(Y354/H354,"0")</f>
        <v>0</v>
      </c>
      <c r="Z355" s="43">
        <f>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87"/>
      <c r="B356" s="687"/>
      <c r="C356" s="687"/>
      <c r="D356" s="687"/>
      <c r="E356" s="687"/>
      <c r="F356" s="687"/>
      <c r="G356" s="687"/>
      <c r="H356" s="687"/>
      <c r="I356" s="687"/>
      <c r="J356" s="687"/>
      <c r="K356" s="687"/>
      <c r="L356" s="687"/>
      <c r="M356" s="687"/>
      <c r="N356" s="687"/>
      <c r="O356" s="688"/>
      <c r="P356" s="684" t="s">
        <v>40</v>
      </c>
      <c r="Q356" s="685"/>
      <c r="R356" s="685"/>
      <c r="S356" s="685"/>
      <c r="T356" s="685"/>
      <c r="U356" s="685"/>
      <c r="V356" s="686"/>
      <c r="W356" s="42" t="s">
        <v>0</v>
      </c>
      <c r="X356" s="43">
        <f>IFERROR(SUM(X349:X354),"0")</f>
        <v>0</v>
      </c>
      <c r="Y356" s="43">
        <f>IFERROR(SUM(Y349:Y354),"0")</f>
        <v>0</v>
      </c>
      <c r="Z356" s="42"/>
      <c r="AA356" s="67"/>
      <c r="AB356" s="67"/>
      <c r="AC356" s="67"/>
    </row>
    <row r="357" spans="1:68" ht="14.25" hidden="1" customHeight="1" x14ac:dyDescent="0.25">
      <c r="A357" s="678" t="s">
        <v>76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hidden="1" customHeight="1" x14ac:dyDescent="0.25">
      <c r="A358" s="63" t="s">
        <v>589</v>
      </c>
      <c r="B358" s="63" t="s">
        <v>590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139</v>
      </c>
      <c r="L358" s="37" t="s">
        <v>46</v>
      </c>
      <c r="M358" s="38" t="s">
        <v>80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5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591</v>
      </c>
      <c r="AG358" s="78"/>
      <c r="AJ358" s="84" t="s">
        <v>46</v>
      </c>
      <c r="AK358" s="84">
        <v>0</v>
      </c>
      <c r="BB358" s="443" t="s">
        <v>66</v>
      </c>
      <c r="BM358" s="78">
        <f t="shared" ref="BM358:BM364" si="53">IFERROR(X358*I358/H358,"0")</f>
        <v>0</v>
      </c>
      <c r="BN358" s="78">
        <f t="shared" ref="BN358:BN364" si="54">IFERROR(Y358*I358/H358,"0")</f>
        <v>0</v>
      </c>
      <c r="BO358" s="78">
        <f t="shared" ref="BO358:BO364" si="55">IFERROR(1/J358*(X358/H358),"0")</f>
        <v>0</v>
      </c>
      <c r="BP358" s="78">
        <f t="shared" ref="BP358:BP364" si="56">IFERROR(1/J358*(Y358/H358),"0")</f>
        <v>0</v>
      </c>
    </row>
    <row r="359" spans="1:68" ht="27" hidden="1" customHeight="1" x14ac:dyDescent="0.25">
      <c r="A359" s="63" t="s">
        <v>592</v>
      </c>
      <c r="B359" s="63" t="s">
        <v>593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139</v>
      </c>
      <c r="L359" s="37" t="s">
        <v>46</v>
      </c>
      <c r="M359" s="38" t="s">
        <v>80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594</v>
      </c>
      <c r="AG359" s="78"/>
      <c r="AJ359" s="84" t="s">
        <v>46</v>
      </c>
      <c r="AK359" s="84">
        <v>0</v>
      </c>
      <c r="BB359" s="445" t="s">
        <v>66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139</v>
      </c>
      <c r="L360" s="37" t="s">
        <v>46</v>
      </c>
      <c r="M360" s="38" t="s">
        <v>80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597</v>
      </c>
      <c r="AG360" s="78"/>
      <c r="AJ360" s="84" t="s">
        <v>46</v>
      </c>
      <c r="AK360" s="84">
        <v>0</v>
      </c>
      <c r="BB360" s="447" t="s">
        <v>66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81</v>
      </c>
      <c r="L361" s="37" t="s">
        <v>46</v>
      </c>
      <c r="M361" s="38" t="s">
        <v>80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594</v>
      </c>
      <c r="AG361" s="78"/>
      <c r="AJ361" s="84" t="s">
        <v>46</v>
      </c>
      <c r="AK361" s="84">
        <v>0</v>
      </c>
      <c r="BB361" s="449" t="s">
        <v>66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81</v>
      </c>
      <c r="L362" s="37" t="s">
        <v>46</v>
      </c>
      <c r="M362" s="38" t="s">
        <v>80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66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hidden="1" customHeight="1" x14ac:dyDescent="0.25">
      <c r="A363" s="63" t="s">
        <v>603</v>
      </c>
      <c r="B363" s="63" t="s">
        <v>604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139</v>
      </c>
      <c r="L363" s="37" t="s">
        <v>46</v>
      </c>
      <c r="M363" s="38" t="s">
        <v>80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597</v>
      </c>
      <c r="AG363" s="78"/>
      <c r="AJ363" s="84" t="s">
        <v>46</v>
      </c>
      <c r="AK363" s="84">
        <v>0</v>
      </c>
      <c r="BB363" s="453" t="s">
        <v>66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90</v>
      </c>
      <c r="L364" s="37" t="s">
        <v>46</v>
      </c>
      <c r="M364" s="38" t="s">
        <v>80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66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idden="1" x14ac:dyDescent="0.2">
      <c r="A365" s="687"/>
      <c r="B365" s="687"/>
      <c r="C365" s="687"/>
      <c r="D365" s="687"/>
      <c r="E365" s="687"/>
      <c r="F365" s="687"/>
      <c r="G365" s="687"/>
      <c r="H365" s="687"/>
      <c r="I365" s="687"/>
      <c r="J365" s="687"/>
      <c r="K365" s="687"/>
      <c r="L365" s="687"/>
      <c r="M365" s="687"/>
      <c r="N365" s="687"/>
      <c r="O365" s="688"/>
      <c r="P365" s="684" t="s">
        <v>40</v>
      </c>
      <c r="Q365" s="685"/>
      <c r="R365" s="685"/>
      <c r="S365" s="685"/>
      <c r="T365" s="685"/>
      <c r="U365" s="685"/>
      <c r="V365" s="686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87"/>
      <c r="B366" s="687"/>
      <c r="C366" s="687"/>
      <c r="D366" s="687"/>
      <c r="E366" s="687"/>
      <c r="F366" s="687"/>
      <c r="G366" s="687"/>
      <c r="H366" s="687"/>
      <c r="I366" s="687"/>
      <c r="J366" s="687"/>
      <c r="K366" s="687"/>
      <c r="L366" s="687"/>
      <c r="M366" s="687"/>
      <c r="N366" s="687"/>
      <c r="O366" s="688"/>
      <c r="P366" s="684" t="s">
        <v>40</v>
      </c>
      <c r="Q366" s="685"/>
      <c r="R366" s="685"/>
      <c r="S366" s="685"/>
      <c r="T366" s="685"/>
      <c r="U366" s="685"/>
      <c r="V366" s="686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78" t="s">
        <v>85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hidden="1" customHeight="1" x14ac:dyDescent="0.25">
      <c r="A368" s="63" t="s">
        <v>608</v>
      </c>
      <c r="B368" s="63" t="s">
        <v>609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132</v>
      </c>
      <c r="L368" s="37" t="s">
        <v>46</v>
      </c>
      <c r="M368" s="38" t="s">
        <v>89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610</v>
      </c>
      <c r="AG368" s="78"/>
      <c r="AJ368" s="84" t="s">
        <v>46</v>
      </c>
      <c r="AK368" s="84">
        <v>0</v>
      </c>
      <c r="BB368" s="457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611</v>
      </c>
      <c r="B369" s="63" t="s">
        <v>612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132</v>
      </c>
      <c r="L369" s="37" t="s">
        <v>46</v>
      </c>
      <c r="M369" s="38" t="s">
        <v>89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613</v>
      </c>
      <c r="AG369" s="78"/>
      <c r="AJ369" s="84" t="s">
        <v>46</v>
      </c>
      <c r="AK369" s="84">
        <v>0</v>
      </c>
      <c r="BB369" s="459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132</v>
      </c>
      <c r="L370" s="37" t="s">
        <v>46</v>
      </c>
      <c r="M370" s="38" t="s">
        <v>89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616</v>
      </c>
      <c r="AG370" s="78"/>
      <c r="AJ370" s="84" t="s">
        <v>46</v>
      </c>
      <c r="AK370" s="84">
        <v>0</v>
      </c>
      <c r="BB370" s="461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90</v>
      </c>
      <c r="L371" s="37" t="s">
        <v>46</v>
      </c>
      <c r="M371" s="38" t="s">
        <v>89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610</v>
      </c>
      <c r="AG371" s="78"/>
      <c r="AJ371" s="84" t="s">
        <v>46</v>
      </c>
      <c r="AK371" s="84">
        <v>0</v>
      </c>
      <c r="BB371" s="463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idden="1" x14ac:dyDescent="0.2">
      <c r="A372" s="687"/>
      <c r="B372" s="687"/>
      <c r="C372" s="687"/>
      <c r="D372" s="687"/>
      <c r="E372" s="687"/>
      <c r="F372" s="687"/>
      <c r="G372" s="687"/>
      <c r="H372" s="687"/>
      <c r="I372" s="687"/>
      <c r="J372" s="687"/>
      <c r="K372" s="687"/>
      <c r="L372" s="687"/>
      <c r="M372" s="687"/>
      <c r="N372" s="687"/>
      <c r="O372" s="688"/>
      <c r="P372" s="684" t="s">
        <v>40</v>
      </c>
      <c r="Q372" s="685"/>
      <c r="R372" s="685"/>
      <c r="S372" s="685"/>
      <c r="T372" s="685"/>
      <c r="U372" s="685"/>
      <c r="V372" s="686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87"/>
      <c r="B373" s="687"/>
      <c r="C373" s="687"/>
      <c r="D373" s="687"/>
      <c r="E373" s="687"/>
      <c r="F373" s="687"/>
      <c r="G373" s="687"/>
      <c r="H373" s="687"/>
      <c r="I373" s="687"/>
      <c r="J373" s="687"/>
      <c r="K373" s="687"/>
      <c r="L373" s="687"/>
      <c r="M373" s="687"/>
      <c r="N373" s="687"/>
      <c r="O373" s="688"/>
      <c r="P373" s="684" t="s">
        <v>40</v>
      </c>
      <c r="Q373" s="685"/>
      <c r="R373" s="685"/>
      <c r="S373" s="685"/>
      <c r="T373" s="685"/>
      <c r="U373" s="685"/>
      <c r="V373" s="686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78" t="s">
        <v>179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hidden="1" customHeight="1" x14ac:dyDescent="0.25">
      <c r="A375" s="63" t="s">
        <v>619</v>
      </c>
      <c r="B375" s="63" t="s">
        <v>620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132</v>
      </c>
      <c r="L375" s="37" t="s">
        <v>46</v>
      </c>
      <c r="M375" s="38" t="s">
        <v>89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621</v>
      </c>
      <c r="AG375" s="78"/>
      <c r="AJ375" s="84" t="s">
        <v>46</v>
      </c>
      <c r="AK375" s="84">
        <v>0</v>
      </c>
      <c r="BB375" s="465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622</v>
      </c>
      <c r="B376" s="63" t="s">
        <v>623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132</v>
      </c>
      <c r="L376" s="37" t="s">
        <v>46</v>
      </c>
      <c r="M376" s="38" t="s">
        <v>89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624</v>
      </c>
      <c r="AG376" s="78"/>
      <c r="AJ376" s="84" t="s">
        <v>46</v>
      </c>
      <c r="AK376" s="84">
        <v>0</v>
      </c>
      <c r="BB376" s="467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hidden="1" customHeight="1" x14ac:dyDescent="0.25">
      <c r="A377" s="63" t="s">
        <v>625</v>
      </c>
      <c r="B377" s="63" t="s">
        <v>626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132</v>
      </c>
      <c r="L377" s="37" t="s">
        <v>46</v>
      </c>
      <c r="M377" s="38" t="s">
        <v>96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627</v>
      </c>
      <c r="AG377" s="78"/>
      <c r="AJ377" s="84" t="s">
        <v>46</v>
      </c>
      <c r="AK377" s="84">
        <v>0</v>
      </c>
      <c r="BB377" s="46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idden="1" x14ac:dyDescent="0.2">
      <c r="A378" s="687"/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8"/>
      <c r="P378" s="684" t="s">
        <v>40</v>
      </c>
      <c r="Q378" s="685"/>
      <c r="R378" s="685"/>
      <c r="S378" s="685"/>
      <c r="T378" s="685"/>
      <c r="U378" s="685"/>
      <c r="V378" s="686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87"/>
      <c r="B379" s="687"/>
      <c r="C379" s="687"/>
      <c r="D379" s="687"/>
      <c r="E379" s="687"/>
      <c r="F379" s="687"/>
      <c r="G379" s="687"/>
      <c r="H379" s="687"/>
      <c r="I379" s="687"/>
      <c r="J379" s="687"/>
      <c r="K379" s="687"/>
      <c r="L379" s="687"/>
      <c r="M379" s="687"/>
      <c r="N379" s="687"/>
      <c r="O379" s="688"/>
      <c r="P379" s="684" t="s">
        <v>40</v>
      </c>
      <c r="Q379" s="685"/>
      <c r="R379" s="685"/>
      <c r="S379" s="685"/>
      <c r="T379" s="685"/>
      <c r="U379" s="685"/>
      <c r="V379" s="686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78" t="s">
        <v>106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hidden="1" customHeight="1" x14ac:dyDescent="0.25">
      <c r="A381" s="63" t="s">
        <v>628</v>
      </c>
      <c r="B381" s="63" t="s">
        <v>629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139</v>
      </c>
      <c r="L381" s="37" t="s">
        <v>46</v>
      </c>
      <c r="M381" s="38" t="s">
        <v>111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630</v>
      </c>
      <c r="AG381" s="78"/>
      <c r="AJ381" s="84" t="s">
        <v>46</v>
      </c>
      <c r="AK381" s="84">
        <v>0</v>
      </c>
      <c r="BB381" s="471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631</v>
      </c>
      <c r="B382" s="63" t="s">
        <v>632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139</v>
      </c>
      <c r="L382" s="37" t="s">
        <v>46</v>
      </c>
      <c r="M382" s="38" t="s">
        <v>111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630</v>
      </c>
      <c r="AG382" s="78"/>
      <c r="AJ382" s="84" t="s">
        <v>46</v>
      </c>
      <c r="AK382" s="84">
        <v>0</v>
      </c>
      <c r="BB382" s="473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633</v>
      </c>
      <c r="B383" s="63" t="s">
        <v>634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90</v>
      </c>
      <c r="L383" s="37" t="s">
        <v>46</v>
      </c>
      <c r="M383" s="38" t="s">
        <v>111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630</v>
      </c>
      <c r="AG383" s="78"/>
      <c r="AJ383" s="84" t="s">
        <v>46</v>
      </c>
      <c r="AK383" s="84">
        <v>0</v>
      </c>
      <c r="BB383" s="475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90</v>
      </c>
      <c r="L384" s="37" t="s">
        <v>46</v>
      </c>
      <c r="M384" s="38" t="s">
        <v>111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630</v>
      </c>
      <c r="AG384" s="78"/>
      <c r="AJ384" s="84" t="s">
        <v>46</v>
      </c>
      <c r="AK384" s="84">
        <v>0</v>
      </c>
      <c r="BB384" s="477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687"/>
      <c r="B385" s="687"/>
      <c r="C385" s="687"/>
      <c r="D385" s="687"/>
      <c r="E385" s="687"/>
      <c r="F385" s="687"/>
      <c r="G385" s="687"/>
      <c r="H385" s="687"/>
      <c r="I385" s="687"/>
      <c r="J385" s="687"/>
      <c r="K385" s="687"/>
      <c r="L385" s="687"/>
      <c r="M385" s="687"/>
      <c r="N385" s="687"/>
      <c r="O385" s="688"/>
      <c r="P385" s="684" t="s">
        <v>40</v>
      </c>
      <c r="Q385" s="685"/>
      <c r="R385" s="685"/>
      <c r="S385" s="685"/>
      <c r="T385" s="685"/>
      <c r="U385" s="685"/>
      <c r="V385" s="686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87"/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8"/>
      <c r="P386" s="684" t="s">
        <v>40</v>
      </c>
      <c r="Q386" s="685"/>
      <c r="R386" s="685"/>
      <c r="S386" s="685"/>
      <c r="T386" s="685"/>
      <c r="U386" s="685"/>
      <c r="V386" s="686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8" t="s">
        <v>637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hidden="1" customHeight="1" x14ac:dyDescent="0.25">
      <c r="A388" s="63" t="s">
        <v>638</v>
      </c>
      <c r="B388" s="63" t="s">
        <v>639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90</v>
      </c>
      <c r="L388" s="37" t="s">
        <v>46</v>
      </c>
      <c r="M388" s="38" t="s">
        <v>641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640</v>
      </c>
      <c r="AG388" s="78"/>
      <c r="AJ388" s="84" t="s">
        <v>46</v>
      </c>
      <c r="AK388" s="84">
        <v>0</v>
      </c>
      <c r="BB388" s="479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642</v>
      </c>
      <c r="B389" s="63" t="s">
        <v>643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90</v>
      </c>
      <c r="L389" s="37" t="s">
        <v>46</v>
      </c>
      <c r="M389" s="38" t="s">
        <v>641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640</v>
      </c>
      <c r="AG389" s="78"/>
      <c r="AJ389" s="84" t="s">
        <v>46</v>
      </c>
      <c r="AK389" s="84">
        <v>0</v>
      </c>
      <c r="BB389" s="481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644</v>
      </c>
      <c r="B390" s="63" t="s">
        <v>645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90</v>
      </c>
      <c r="L390" s="37" t="s">
        <v>46</v>
      </c>
      <c r="M390" s="38" t="s">
        <v>641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640</v>
      </c>
      <c r="AG390" s="78"/>
      <c r="AJ390" s="84" t="s">
        <v>46</v>
      </c>
      <c r="AK390" s="84">
        <v>0</v>
      </c>
      <c r="BB390" s="483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87"/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8"/>
      <c r="P391" s="684" t="s">
        <v>40</v>
      </c>
      <c r="Q391" s="685"/>
      <c r="R391" s="685"/>
      <c r="S391" s="685"/>
      <c r="T391" s="685"/>
      <c r="U391" s="685"/>
      <c r="V391" s="686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87"/>
      <c r="B392" s="687"/>
      <c r="C392" s="687"/>
      <c r="D392" s="687"/>
      <c r="E392" s="687"/>
      <c r="F392" s="687"/>
      <c r="G392" s="687"/>
      <c r="H392" s="687"/>
      <c r="I392" s="687"/>
      <c r="J392" s="687"/>
      <c r="K392" s="687"/>
      <c r="L392" s="687"/>
      <c r="M392" s="687"/>
      <c r="N392" s="687"/>
      <c r="O392" s="688"/>
      <c r="P392" s="684" t="s">
        <v>40</v>
      </c>
      <c r="Q392" s="685"/>
      <c r="R392" s="685"/>
      <c r="S392" s="685"/>
      <c r="T392" s="685"/>
      <c r="U392" s="685"/>
      <c r="V392" s="686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hidden="1" customHeight="1" x14ac:dyDescent="0.25">
      <c r="A393" s="677" t="s">
        <v>646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hidden="1" customHeight="1" x14ac:dyDescent="0.25">
      <c r="A394" s="678" t="s">
        <v>85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27" hidden="1" customHeight="1" x14ac:dyDescent="0.25">
      <c r="A395" s="63" t="s">
        <v>647</v>
      </c>
      <c r="B395" s="63" t="s">
        <v>648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132</v>
      </c>
      <c r="L395" s="37" t="s">
        <v>46</v>
      </c>
      <c r="M395" s="38" t="s">
        <v>96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649</v>
      </c>
      <c r="AG395" s="78"/>
      <c r="AJ395" s="84" t="s">
        <v>46</v>
      </c>
      <c r="AK395" s="84">
        <v>0</v>
      </c>
      <c r="BB395" s="48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650</v>
      </c>
      <c r="B396" s="63" t="s">
        <v>651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90</v>
      </c>
      <c r="L396" s="37" t="s">
        <v>46</v>
      </c>
      <c r="M396" s="38" t="s">
        <v>89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652</v>
      </c>
      <c r="AG396" s="78"/>
      <c r="AJ396" s="84" t="s">
        <v>46</v>
      </c>
      <c r="AK396" s="84">
        <v>0</v>
      </c>
      <c r="BB396" s="48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653</v>
      </c>
      <c r="B397" s="63" t="s">
        <v>654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90</v>
      </c>
      <c r="L397" s="37" t="s">
        <v>46</v>
      </c>
      <c r="M397" s="38" t="s">
        <v>96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655</v>
      </c>
      <c r="AG397" s="78"/>
      <c r="AJ397" s="84" t="s">
        <v>46</v>
      </c>
      <c r="AK397" s="84">
        <v>0</v>
      </c>
      <c r="BB397" s="48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8"/>
      <c r="P398" s="684" t="s">
        <v>40</v>
      </c>
      <c r="Q398" s="685"/>
      <c r="R398" s="685"/>
      <c r="S398" s="685"/>
      <c r="T398" s="685"/>
      <c r="U398" s="685"/>
      <c r="V398" s="68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8"/>
      <c r="P399" s="684" t="s">
        <v>40</v>
      </c>
      <c r="Q399" s="685"/>
      <c r="R399" s="685"/>
      <c r="S399" s="685"/>
      <c r="T399" s="685"/>
      <c r="U399" s="685"/>
      <c r="V399" s="68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hidden="1" customHeight="1" x14ac:dyDescent="0.2">
      <c r="A400" s="676" t="s">
        <v>656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hidden="1" customHeight="1" x14ac:dyDescent="0.25">
      <c r="A401" s="677" t="s">
        <v>657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hidden="1" customHeight="1" x14ac:dyDescent="0.25">
      <c r="A402" s="678" t="s">
        <v>127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hidden="1" customHeight="1" x14ac:dyDescent="0.25">
      <c r="A403" s="63" t="s">
        <v>658</v>
      </c>
      <c r="B403" s="63" t="s">
        <v>659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132</v>
      </c>
      <c r="L403" s="37" t="s">
        <v>46</v>
      </c>
      <c r="M403" s="38" t="s">
        <v>96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660</v>
      </c>
      <c r="AG403" s="78"/>
      <c r="AJ403" s="84" t="s">
        <v>46</v>
      </c>
      <c r="AK403" s="84">
        <v>0</v>
      </c>
      <c r="BB403" s="491" t="s">
        <v>66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hidden="1" customHeight="1" x14ac:dyDescent="0.25">
      <c r="A404" s="63" t="s">
        <v>661</v>
      </c>
      <c r="B404" s="63" t="s">
        <v>662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132</v>
      </c>
      <c r="L404" s="37" t="s">
        <v>46</v>
      </c>
      <c r="M404" s="38" t="s">
        <v>80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663</v>
      </c>
      <c r="AG404" s="78"/>
      <c r="AJ404" s="84" t="s">
        <v>46</v>
      </c>
      <c r="AK404" s="84">
        <v>0</v>
      </c>
      <c r="BB404" s="493" t="s">
        <v>66</v>
      </c>
      <c r="BM404" s="78">
        <f t="shared" si="58"/>
        <v>0</v>
      </c>
      <c r="BN404" s="78">
        <f t="shared" si="59"/>
        <v>0</v>
      </c>
      <c r="BO404" s="78">
        <f t="shared" si="60"/>
        <v>0</v>
      </c>
      <c r="BP404" s="78">
        <f t="shared" si="61"/>
        <v>0</v>
      </c>
    </row>
    <row r="405" spans="1:68" ht="27" hidden="1" customHeight="1" x14ac:dyDescent="0.25">
      <c r="A405" s="63" t="s">
        <v>664</v>
      </c>
      <c r="B405" s="63" t="s">
        <v>665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132</v>
      </c>
      <c r="L405" s="37" t="s">
        <v>46</v>
      </c>
      <c r="M405" s="38" t="s">
        <v>131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666</v>
      </c>
      <c r="AG405" s="78"/>
      <c r="AJ405" s="84" t="s">
        <v>46</v>
      </c>
      <c r="AK405" s="84">
        <v>0</v>
      </c>
      <c r="BB405" s="495" t="s">
        <v>66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667</v>
      </c>
      <c r="B406" s="63" t="s">
        <v>668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132</v>
      </c>
      <c r="L406" s="37" t="s">
        <v>46</v>
      </c>
      <c r="M406" s="38" t="s">
        <v>80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1700</v>
      </c>
      <c r="Y406" s="55">
        <f t="shared" si="57"/>
        <v>1710</v>
      </c>
      <c r="Z406" s="41">
        <f>IFERROR(IF(Y406=0,"",ROUNDUP(Y406/H406,0)*0.02175),"")</f>
        <v>2.4794999999999998</v>
      </c>
      <c r="AA406" s="68" t="s">
        <v>46</v>
      </c>
      <c r="AB406" s="69" t="s">
        <v>46</v>
      </c>
      <c r="AC406" s="496" t="s">
        <v>669</v>
      </c>
      <c r="AG406" s="78"/>
      <c r="AJ406" s="84" t="s">
        <v>46</v>
      </c>
      <c r="AK406" s="84">
        <v>0</v>
      </c>
      <c r="BB406" s="497" t="s">
        <v>66</v>
      </c>
      <c r="BM406" s="78">
        <f t="shared" si="58"/>
        <v>1753.2666666666667</v>
      </c>
      <c r="BN406" s="78">
        <f t="shared" si="59"/>
        <v>1763.5800000000002</v>
      </c>
      <c r="BO406" s="78">
        <f t="shared" si="60"/>
        <v>2.3611111111111107</v>
      </c>
      <c r="BP406" s="78">
        <f t="shared" si="61"/>
        <v>2.375</v>
      </c>
    </row>
    <row r="407" spans="1:68" ht="27" hidden="1" customHeight="1" x14ac:dyDescent="0.25">
      <c r="A407" s="63" t="s">
        <v>670</v>
      </c>
      <c r="B407" s="63" t="s">
        <v>671</v>
      </c>
      <c r="C407" s="36">
        <v>4301012356</v>
      </c>
      <c r="D407" s="679">
        <v>4680115889231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132</v>
      </c>
      <c r="L407" s="37" t="s">
        <v>46</v>
      </c>
      <c r="M407" s="38" t="s">
        <v>96</v>
      </c>
      <c r="N407" s="38"/>
      <c r="O407" s="37">
        <v>60</v>
      </c>
      <c r="P407" s="8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672</v>
      </c>
      <c r="AG407" s="78"/>
      <c r="AJ407" s="84" t="s">
        <v>46</v>
      </c>
      <c r="AK407" s="84">
        <v>0</v>
      </c>
      <c r="BB407" s="499" t="s">
        <v>66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ht="27" hidden="1" customHeight="1" x14ac:dyDescent="0.25">
      <c r="A408" s="63" t="s">
        <v>673</v>
      </c>
      <c r="B408" s="63" t="s">
        <v>674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139</v>
      </c>
      <c r="L408" s="37" t="s">
        <v>46</v>
      </c>
      <c r="M408" s="38" t="s">
        <v>131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675</v>
      </c>
      <c r="AG408" s="78"/>
      <c r="AJ408" s="84" t="s">
        <v>46</v>
      </c>
      <c r="AK408" s="84">
        <v>0</v>
      </c>
      <c r="BB408" s="501" t="s">
        <v>66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676</v>
      </c>
      <c r="B409" s="63" t="s">
        <v>677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139</v>
      </c>
      <c r="L409" s="37" t="s">
        <v>46</v>
      </c>
      <c r="M409" s="38" t="s">
        <v>80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678</v>
      </c>
      <c r="AG409" s="78"/>
      <c r="AJ409" s="84" t="s">
        <v>46</v>
      </c>
      <c r="AK409" s="84">
        <v>0</v>
      </c>
      <c r="BB409" s="503" t="s">
        <v>66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hidden="1" customHeight="1" x14ac:dyDescent="0.25">
      <c r="A410" s="63" t="s">
        <v>679</v>
      </c>
      <c r="B410" s="63" t="s">
        <v>680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139</v>
      </c>
      <c r="L410" s="37" t="s">
        <v>46</v>
      </c>
      <c r="M410" s="38" t="s">
        <v>80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681</v>
      </c>
      <c r="AG410" s="78"/>
      <c r="AJ410" s="84" t="s">
        <v>46</v>
      </c>
      <c r="AK410" s="84">
        <v>0</v>
      </c>
      <c r="BB410" s="505" t="s">
        <v>66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8"/>
      <c r="P411" s="684" t="s">
        <v>40</v>
      </c>
      <c r="Q411" s="685"/>
      <c r="R411" s="685"/>
      <c r="S411" s="685"/>
      <c r="T411" s="685"/>
      <c r="U411" s="685"/>
      <c r="V411" s="686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113.33333333333333</v>
      </c>
      <c r="Y411" s="43">
        <f>IFERROR(Y403/H403,"0")+IFERROR(Y404/H404,"0")+IFERROR(Y405/H405,"0")+IFERROR(Y406/H406,"0")+IFERROR(Y407/H407,"0")+IFERROR(Y408/H408,"0")+IFERROR(Y409/H409,"0")+IFERROR(Y410/H410,"0")</f>
        <v>114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2.4794999999999998</v>
      </c>
      <c r="AA411" s="67"/>
      <c r="AB411" s="67"/>
      <c r="AC411" s="67"/>
    </row>
    <row r="412" spans="1:68" x14ac:dyDescent="0.2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8"/>
      <c r="P412" s="684" t="s">
        <v>40</v>
      </c>
      <c r="Q412" s="685"/>
      <c r="R412" s="685"/>
      <c r="S412" s="685"/>
      <c r="T412" s="685"/>
      <c r="U412" s="685"/>
      <c r="V412" s="686"/>
      <c r="W412" s="42" t="s">
        <v>0</v>
      </c>
      <c r="X412" s="43">
        <f>IFERROR(SUM(X403:X410),"0")</f>
        <v>1700</v>
      </c>
      <c r="Y412" s="43">
        <f>IFERROR(SUM(Y403:Y410),"0")</f>
        <v>1710</v>
      </c>
      <c r="Z412" s="42"/>
      <c r="AA412" s="67"/>
      <c r="AB412" s="67"/>
      <c r="AC412" s="67"/>
    </row>
    <row r="413" spans="1:68" ht="14.25" hidden="1" customHeight="1" x14ac:dyDescent="0.25">
      <c r="A413" s="678" t="s">
        <v>162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hidden="1" customHeight="1" x14ac:dyDescent="0.25">
      <c r="A414" s="63" t="s">
        <v>682</v>
      </c>
      <c r="B414" s="63" t="s">
        <v>683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132</v>
      </c>
      <c r="L414" s="37" t="s">
        <v>46</v>
      </c>
      <c r="M414" s="38" t="s">
        <v>131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685</v>
      </c>
      <c r="B415" s="63" t="s">
        <v>686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132</v>
      </c>
      <c r="L415" s="37" t="s">
        <v>46</v>
      </c>
      <c r="M415" s="38" t="s">
        <v>131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139</v>
      </c>
      <c r="L416" s="37" t="s">
        <v>46</v>
      </c>
      <c r="M416" s="38" t="s">
        <v>131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8"/>
      <c r="P417" s="684" t="s">
        <v>40</v>
      </c>
      <c r="Q417" s="685"/>
      <c r="R417" s="685"/>
      <c r="S417" s="685"/>
      <c r="T417" s="685"/>
      <c r="U417" s="685"/>
      <c r="V417" s="68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8"/>
      <c r="P418" s="684" t="s">
        <v>40</v>
      </c>
      <c r="Q418" s="685"/>
      <c r="R418" s="685"/>
      <c r="S418" s="685"/>
      <c r="T418" s="685"/>
      <c r="U418" s="685"/>
      <c r="V418" s="68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4.25" hidden="1" customHeight="1" x14ac:dyDescent="0.25">
      <c r="A419" s="678" t="s">
        <v>85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hidden="1" customHeight="1" x14ac:dyDescent="0.25">
      <c r="A420" s="63" t="s">
        <v>691</v>
      </c>
      <c r="B420" s="63" t="s">
        <v>692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132</v>
      </c>
      <c r="L420" s="37" t="s">
        <v>46</v>
      </c>
      <c r="M420" s="38" t="s">
        <v>89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693</v>
      </c>
      <c r="AG420" s="78"/>
      <c r="AJ420" s="84" t="s">
        <v>46</v>
      </c>
      <c r="AK420" s="84">
        <v>0</v>
      </c>
      <c r="BB420" s="513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694</v>
      </c>
      <c r="B421" s="63" t="s">
        <v>695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132</v>
      </c>
      <c r="L421" s="37" t="s">
        <v>46</v>
      </c>
      <c r="M421" s="38" t="s">
        <v>89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696</v>
      </c>
      <c r="AG421" s="78"/>
      <c r="AJ421" s="84" t="s">
        <v>46</v>
      </c>
      <c r="AK421" s="84">
        <v>0</v>
      </c>
      <c r="BB421" s="515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87"/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8"/>
      <c r="P422" s="684" t="s">
        <v>40</v>
      </c>
      <c r="Q422" s="685"/>
      <c r="R422" s="685"/>
      <c r="S422" s="685"/>
      <c r="T422" s="685"/>
      <c r="U422" s="685"/>
      <c r="V422" s="686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687"/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8"/>
      <c r="P423" s="684" t="s">
        <v>40</v>
      </c>
      <c r="Q423" s="685"/>
      <c r="R423" s="685"/>
      <c r="S423" s="685"/>
      <c r="T423" s="685"/>
      <c r="U423" s="685"/>
      <c r="V423" s="686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hidden="1" customHeight="1" x14ac:dyDescent="0.25">
      <c r="A424" s="678" t="s">
        <v>179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hidden="1" customHeight="1" x14ac:dyDescent="0.25">
      <c r="A425" s="63" t="s">
        <v>697</v>
      </c>
      <c r="B425" s="63" t="s">
        <v>698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132</v>
      </c>
      <c r="L425" s="37" t="s">
        <v>46</v>
      </c>
      <c r="M425" s="38" t="s">
        <v>89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699</v>
      </c>
      <c r="AG425" s="78"/>
      <c r="AJ425" s="84" t="s">
        <v>46</v>
      </c>
      <c r="AK425" s="84">
        <v>0</v>
      </c>
      <c r="BB425" s="517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87"/>
      <c r="B426" s="687"/>
      <c r="C426" s="687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8"/>
      <c r="P426" s="684" t="s">
        <v>40</v>
      </c>
      <c r="Q426" s="685"/>
      <c r="R426" s="685"/>
      <c r="S426" s="685"/>
      <c r="T426" s="685"/>
      <c r="U426" s="685"/>
      <c r="V426" s="686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hidden="1" x14ac:dyDescent="0.2">
      <c r="A427" s="687"/>
      <c r="B427" s="687"/>
      <c r="C427" s="687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8"/>
      <c r="P427" s="684" t="s">
        <v>40</v>
      </c>
      <c r="Q427" s="685"/>
      <c r="R427" s="685"/>
      <c r="S427" s="685"/>
      <c r="T427" s="685"/>
      <c r="U427" s="685"/>
      <c r="V427" s="686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77" t="s">
        <v>700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hidden="1" customHeight="1" x14ac:dyDescent="0.25">
      <c r="A429" s="678" t="s">
        <v>127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hidden="1" customHeight="1" x14ac:dyDescent="0.25">
      <c r="A430" s="63" t="s">
        <v>701</v>
      </c>
      <c r="B430" s="63" t="s">
        <v>702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132</v>
      </c>
      <c r="L430" s="37" t="s">
        <v>46</v>
      </c>
      <c r="M430" s="38" t="s">
        <v>80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703</v>
      </c>
      <c r="AG430" s="78"/>
      <c r="AJ430" s="84" t="s">
        <v>46</v>
      </c>
      <c r="AK430" s="84">
        <v>0</v>
      </c>
      <c r="BB430" s="519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hidden="1" customHeight="1" x14ac:dyDescent="0.25">
      <c r="A431" s="63" t="s">
        <v>704</v>
      </c>
      <c r="B431" s="63" t="s">
        <v>705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139</v>
      </c>
      <c r="L431" s="37" t="s">
        <v>46</v>
      </c>
      <c r="M431" s="38" t="s">
        <v>80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703</v>
      </c>
      <c r="AG431" s="78"/>
      <c r="AJ431" s="84" t="s">
        <v>46</v>
      </c>
      <c r="AK431" s="84">
        <v>0</v>
      </c>
      <c r="BB431" s="521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idden="1" x14ac:dyDescent="0.2">
      <c r="A432" s="687"/>
      <c r="B432" s="687"/>
      <c r="C432" s="687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8"/>
      <c r="P432" s="684" t="s">
        <v>40</v>
      </c>
      <c r="Q432" s="685"/>
      <c r="R432" s="685"/>
      <c r="S432" s="685"/>
      <c r="T432" s="685"/>
      <c r="U432" s="685"/>
      <c r="V432" s="686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hidden="1" x14ac:dyDescent="0.2">
      <c r="A433" s="687"/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8"/>
      <c r="P433" s="684" t="s">
        <v>40</v>
      </c>
      <c r="Q433" s="685"/>
      <c r="R433" s="685"/>
      <c r="S433" s="685"/>
      <c r="T433" s="685"/>
      <c r="U433" s="685"/>
      <c r="V433" s="686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hidden="1" customHeight="1" x14ac:dyDescent="0.25">
      <c r="A434" s="678" t="s">
        <v>76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hidden="1" customHeight="1" x14ac:dyDescent="0.25">
      <c r="A435" s="63" t="s">
        <v>706</v>
      </c>
      <c r="B435" s="63" t="s">
        <v>707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139</v>
      </c>
      <c r="L435" s="37" t="s">
        <v>46</v>
      </c>
      <c r="M435" s="38" t="s">
        <v>80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708</v>
      </c>
      <c r="AG435" s="78"/>
      <c r="AJ435" s="84" t="s">
        <v>46</v>
      </c>
      <c r="AK435" s="84">
        <v>0</v>
      </c>
      <c r="BB435" s="523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87"/>
      <c r="B436" s="687"/>
      <c r="C436" s="687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8"/>
      <c r="P436" s="684" t="s">
        <v>40</v>
      </c>
      <c r="Q436" s="685"/>
      <c r="R436" s="685"/>
      <c r="S436" s="685"/>
      <c r="T436" s="685"/>
      <c r="U436" s="685"/>
      <c r="V436" s="686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hidden="1" x14ac:dyDescent="0.2">
      <c r="A437" s="687"/>
      <c r="B437" s="687"/>
      <c r="C437" s="687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8"/>
      <c r="P437" s="684" t="s">
        <v>40</v>
      </c>
      <c r="Q437" s="685"/>
      <c r="R437" s="685"/>
      <c r="S437" s="685"/>
      <c r="T437" s="685"/>
      <c r="U437" s="685"/>
      <c r="V437" s="686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78" t="s">
        <v>85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hidden="1" customHeight="1" x14ac:dyDescent="0.25">
      <c r="A439" s="63" t="s">
        <v>709</v>
      </c>
      <c r="B439" s="63" t="s">
        <v>710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711</v>
      </c>
      <c r="AG439" s="78"/>
      <c r="AJ439" s="84" t="s">
        <v>46</v>
      </c>
      <c r="AK439" s="84">
        <v>0</v>
      </c>
      <c r="BB439" s="525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712</v>
      </c>
      <c r="B440" s="63" t="s">
        <v>713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90</v>
      </c>
      <c r="L440" s="37" t="s">
        <v>46</v>
      </c>
      <c r="M440" s="38" t="s">
        <v>89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711</v>
      </c>
      <c r="AG440" s="78"/>
      <c r="AJ440" s="84" t="s">
        <v>46</v>
      </c>
      <c r="AK440" s="84">
        <v>0</v>
      </c>
      <c r="BB440" s="527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712</v>
      </c>
      <c r="B441" s="63" t="s">
        <v>714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90</v>
      </c>
      <c r="L441" s="37" t="s">
        <v>46</v>
      </c>
      <c r="M441" s="38" t="s">
        <v>89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715</v>
      </c>
      <c r="AG441" s="78"/>
      <c r="AJ441" s="84" t="s">
        <v>46</v>
      </c>
      <c r="AK441" s="84">
        <v>0</v>
      </c>
      <c r="BB441" s="529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687"/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8"/>
      <c r="P442" s="684" t="s">
        <v>40</v>
      </c>
      <c r="Q442" s="685"/>
      <c r="R442" s="685"/>
      <c r="S442" s="685"/>
      <c r="T442" s="685"/>
      <c r="U442" s="685"/>
      <c r="V442" s="686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687"/>
      <c r="B443" s="687"/>
      <c r="C443" s="687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8"/>
      <c r="P443" s="684" t="s">
        <v>40</v>
      </c>
      <c r="Q443" s="685"/>
      <c r="R443" s="685"/>
      <c r="S443" s="685"/>
      <c r="T443" s="685"/>
      <c r="U443" s="685"/>
      <c r="V443" s="686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hidden="1" customHeight="1" x14ac:dyDescent="0.2">
      <c r="A444" s="676" t="s">
        <v>716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hidden="1" customHeight="1" x14ac:dyDescent="0.25">
      <c r="A445" s="677" t="s">
        <v>717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hidden="1" customHeight="1" x14ac:dyDescent="0.25">
      <c r="A446" s="678" t="s">
        <v>76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hidden="1" customHeight="1" x14ac:dyDescent="0.25">
      <c r="A447" s="63" t="s">
        <v>718</v>
      </c>
      <c r="B447" s="63" t="s">
        <v>719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139</v>
      </c>
      <c r="L447" s="37" t="s">
        <v>46</v>
      </c>
      <c r="M447" s="38" t="s">
        <v>80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720</v>
      </c>
      <c r="AG447" s="78"/>
      <c r="AJ447" s="84" t="s">
        <v>46</v>
      </c>
      <c r="AK447" s="84">
        <v>0</v>
      </c>
      <c r="BB447" s="531" t="s">
        <v>66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hidden="1" customHeight="1" x14ac:dyDescent="0.25">
      <c r="A448" s="63" t="s">
        <v>721</v>
      </c>
      <c r="B448" s="63" t="s">
        <v>722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139</v>
      </c>
      <c r="L448" s="37" t="s">
        <v>46</v>
      </c>
      <c r="M448" s="38" t="s">
        <v>80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723</v>
      </c>
      <c r="AG448" s="78"/>
      <c r="AJ448" s="84" t="s">
        <v>46</v>
      </c>
      <c r="AK448" s="84">
        <v>0</v>
      </c>
      <c r="BB448" s="533" t="s">
        <v>66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hidden="1" customHeight="1" x14ac:dyDescent="0.25">
      <c r="A449" s="63" t="s">
        <v>724</v>
      </c>
      <c r="B449" s="63" t="s">
        <v>725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81</v>
      </c>
      <c r="L449" s="37" t="s">
        <v>46</v>
      </c>
      <c r="M449" s="38" t="s">
        <v>80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720</v>
      </c>
      <c r="AG449" s="78"/>
      <c r="AJ449" s="84" t="s">
        <v>46</v>
      </c>
      <c r="AK449" s="84">
        <v>0</v>
      </c>
      <c r="BB449" s="535" t="s">
        <v>66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hidden="1" customHeight="1" x14ac:dyDescent="0.25">
      <c r="A450" s="63" t="s">
        <v>726</v>
      </c>
      <c r="B450" s="63" t="s">
        <v>727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81</v>
      </c>
      <c r="L450" s="37" t="s">
        <v>46</v>
      </c>
      <c r="M450" s="38" t="s">
        <v>80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728</v>
      </c>
      <c r="AG450" s="78"/>
      <c r="AJ450" s="84" t="s">
        <v>46</v>
      </c>
      <c r="AK450" s="84">
        <v>0</v>
      </c>
      <c r="BB450" s="537" t="s">
        <v>66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hidden="1" customHeight="1" x14ac:dyDescent="0.25">
      <c r="A451" s="63" t="s">
        <v>729</v>
      </c>
      <c r="B451" s="63" t="s">
        <v>730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81</v>
      </c>
      <c r="L451" s="37" t="s">
        <v>46</v>
      </c>
      <c r="M451" s="38" t="s">
        <v>80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731</v>
      </c>
      <c r="AG451" s="78"/>
      <c r="AJ451" s="84" t="s">
        <v>46</v>
      </c>
      <c r="AK451" s="84">
        <v>0</v>
      </c>
      <c r="BB451" s="539" t="s">
        <v>66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hidden="1" customHeight="1" x14ac:dyDescent="0.25">
      <c r="A452" s="63" t="s">
        <v>732</v>
      </c>
      <c r="B452" s="63" t="s">
        <v>733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81</v>
      </c>
      <c r="L452" s="37" t="s">
        <v>46</v>
      </c>
      <c r="M452" s="38" t="s">
        <v>80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728</v>
      </c>
      <c r="AG452" s="78"/>
      <c r="AJ452" s="84" t="s">
        <v>46</v>
      </c>
      <c r="AK452" s="84">
        <v>0</v>
      </c>
      <c r="BB452" s="541" t="s">
        <v>66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idden="1" x14ac:dyDescent="0.2">
      <c r="A453" s="687"/>
      <c r="B453" s="687"/>
      <c r="C453" s="687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8"/>
      <c r="P453" s="684" t="s">
        <v>40</v>
      </c>
      <c r="Q453" s="685"/>
      <c r="R453" s="685"/>
      <c r="S453" s="685"/>
      <c r="T453" s="685"/>
      <c r="U453" s="685"/>
      <c r="V453" s="686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87"/>
      <c r="B454" s="687"/>
      <c r="C454" s="687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8"/>
      <c r="P454" s="684" t="s">
        <v>40</v>
      </c>
      <c r="Q454" s="685"/>
      <c r="R454" s="685"/>
      <c r="S454" s="685"/>
      <c r="T454" s="685"/>
      <c r="U454" s="685"/>
      <c r="V454" s="686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78" t="s">
        <v>85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hidden="1" customHeight="1" x14ac:dyDescent="0.25">
      <c r="A456" s="63" t="s">
        <v>734</v>
      </c>
      <c r="B456" s="63" t="s">
        <v>735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139</v>
      </c>
      <c r="L456" s="37" t="s">
        <v>46</v>
      </c>
      <c r="M456" s="38" t="s">
        <v>89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736</v>
      </c>
      <c r="AG456" s="78"/>
      <c r="AJ456" s="84" t="s">
        <v>46</v>
      </c>
      <c r="AK456" s="84">
        <v>0</v>
      </c>
      <c r="BB456" s="54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737</v>
      </c>
      <c r="B457" s="63" t="s">
        <v>738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90</v>
      </c>
      <c r="L457" s="37" t="s">
        <v>46</v>
      </c>
      <c r="M457" s="38" t="s">
        <v>89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739</v>
      </c>
      <c r="AG457" s="78"/>
      <c r="AJ457" s="84" t="s">
        <v>46</v>
      </c>
      <c r="AK457" s="84">
        <v>0</v>
      </c>
      <c r="BB457" s="54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87"/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8"/>
      <c r="P458" s="684" t="s">
        <v>40</v>
      </c>
      <c r="Q458" s="685"/>
      <c r="R458" s="685"/>
      <c r="S458" s="685"/>
      <c r="T458" s="685"/>
      <c r="U458" s="685"/>
      <c r="V458" s="686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87"/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8"/>
      <c r="P459" s="684" t="s">
        <v>40</v>
      </c>
      <c r="Q459" s="685"/>
      <c r="R459" s="685"/>
      <c r="S459" s="685"/>
      <c r="T459" s="685"/>
      <c r="U459" s="685"/>
      <c r="V459" s="686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7" t="s">
        <v>740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hidden="1" customHeight="1" x14ac:dyDescent="0.25">
      <c r="A461" s="678" t="s">
        <v>162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hidden="1" customHeight="1" x14ac:dyDescent="0.25">
      <c r="A462" s="63" t="s">
        <v>741</v>
      </c>
      <c r="B462" s="63" t="s">
        <v>742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90</v>
      </c>
      <c r="L462" s="37" t="s">
        <v>46</v>
      </c>
      <c r="M462" s="38" t="s">
        <v>80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743</v>
      </c>
      <c r="AG462" s="78"/>
      <c r="AJ462" s="84" t="s">
        <v>46</v>
      </c>
      <c r="AK462" s="84">
        <v>0</v>
      </c>
      <c r="BB462" s="54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87"/>
      <c r="B463" s="687"/>
      <c r="C463" s="687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8"/>
      <c r="P463" s="684" t="s">
        <v>40</v>
      </c>
      <c r="Q463" s="685"/>
      <c r="R463" s="685"/>
      <c r="S463" s="685"/>
      <c r="T463" s="685"/>
      <c r="U463" s="685"/>
      <c r="V463" s="686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hidden="1" x14ac:dyDescent="0.2">
      <c r="A464" s="687"/>
      <c r="B464" s="687"/>
      <c r="C464" s="687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8"/>
      <c r="P464" s="684" t="s">
        <v>40</v>
      </c>
      <c r="Q464" s="685"/>
      <c r="R464" s="685"/>
      <c r="S464" s="685"/>
      <c r="T464" s="685"/>
      <c r="U464" s="685"/>
      <c r="V464" s="686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8" t="s">
        <v>76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hidden="1" customHeight="1" x14ac:dyDescent="0.25">
      <c r="A466" s="63" t="s">
        <v>744</v>
      </c>
      <c r="B466" s="63" t="s">
        <v>745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139</v>
      </c>
      <c r="L466" s="37" t="s">
        <v>46</v>
      </c>
      <c r="M466" s="38" t="s">
        <v>80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746</v>
      </c>
      <c r="AG466" s="78"/>
      <c r="AJ466" s="84" t="s">
        <v>46</v>
      </c>
      <c r="AK466" s="84">
        <v>0</v>
      </c>
      <c r="BB466" s="549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747</v>
      </c>
      <c r="B467" s="63" t="s">
        <v>748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81</v>
      </c>
      <c r="L467" s="37" t="s">
        <v>46</v>
      </c>
      <c r="M467" s="38" t="s">
        <v>80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749</v>
      </c>
      <c r="AG467" s="78"/>
      <c r="AJ467" s="84" t="s">
        <v>46</v>
      </c>
      <c r="AK467" s="84">
        <v>0</v>
      </c>
      <c r="BB467" s="551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750</v>
      </c>
      <c r="B468" s="63" t="s">
        <v>751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81</v>
      </c>
      <c r="L468" s="37" t="s">
        <v>46</v>
      </c>
      <c r="M468" s="38" t="s">
        <v>80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749</v>
      </c>
      <c r="AG468" s="78"/>
      <c r="AJ468" s="84" t="s">
        <v>46</v>
      </c>
      <c r="AK468" s="84">
        <v>0</v>
      </c>
      <c r="BB468" s="553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87"/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8"/>
      <c r="P469" s="684" t="s">
        <v>40</v>
      </c>
      <c r="Q469" s="685"/>
      <c r="R469" s="685"/>
      <c r="S469" s="685"/>
      <c r="T469" s="685"/>
      <c r="U469" s="685"/>
      <c r="V469" s="686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hidden="1" x14ac:dyDescent="0.2">
      <c r="A470" s="687"/>
      <c r="B470" s="687"/>
      <c r="C470" s="687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8"/>
      <c r="P470" s="684" t="s">
        <v>40</v>
      </c>
      <c r="Q470" s="685"/>
      <c r="R470" s="685"/>
      <c r="S470" s="685"/>
      <c r="T470" s="685"/>
      <c r="U470" s="685"/>
      <c r="V470" s="686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hidden="1" customHeight="1" x14ac:dyDescent="0.2">
      <c r="A471" s="676" t="s">
        <v>752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hidden="1" customHeight="1" x14ac:dyDescent="0.25">
      <c r="A472" s="677" t="s">
        <v>752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hidden="1" customHeight="1" x14ac:dyDescent="0.25">
      <c r="A473" s="678" t="s">
        <v>127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hidden="1" customHeight="1" x14ac:dyDescent="0.25">
      <c r="A474" s="63" t="s">
        <v>753</v>
      </c>
      <c r="B474" s="63" t="s">
        <v>754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132</v>
      </c>
      <c r="L474" s="37" t="s">
        <v>46</v>
      </c>
      <c r="M474" s="38" t="s">
        <v>89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67">IFERROR(IF(X474="",0,CEILING((X474/$H474),1)*$H474),"")</f>
        <v>0</v>
      </c>
      <c r="Z474" s="41" t="str">
        <f t="shared" ref="Z474:Z479" si="68">IFERROR(IF(Y474=0,"",ROUNDUP(Y474/H474,0)*0.01196),"")</f>
        <v/>
      </c>
      <c r="AA474" s="68" t="s">
        <v>46</v>
      </c>
      <c r="AB474" s="69" t="s">
        <v>46</v>
      </c>
      <c r="AC474" s="554" t="s">
        <v>130</v>
      </c>
      <c r="AG474" s="78"/>
      <c r="AJ474" s="84" t="s">
        <v>46</v>
      </c>
      <c r="AK474" s="84">
        <v>0</v>
      </c>
      <c r="BB474" s="555" t="s">
        <v>66</v>
      </c>
      <c r="BM474" s="78">
        <f t="shared" ref="BM474:BM482" si="69">IFERROR(X474*I474/H474,"0")</f>
        <v>0</v>
      </c>
      <c r="BN474" s="78">
        <f t="shared" ref="BN474:BN482" si="70">IFERROR(Y474*I474/H474,"0")</f>
        <v>0</v>
      </c>
      <c r="BO474" s="78">
        <f t="shared" ref="BO474:BO482" si="71">IFERROR(1/J474*(X474/H474),"0")</f>
        <v>0</v>
      </c>
      <c r="BP474" s="78">
        <f t="shared" ref="BP474:BP482" si="72">IFERROR(1/J474*(Y474/H474),"0")</f>
        <v>0</v>
      </c>
    </row>
    <row r="475" spans="1:68" ht="27" hidden="1" customHeight="1" x14ac:dyDescent="0.25">
      <c r="A475" s="63" t="s">
        <v>755</v>
      </c>
      <c r="B475" s="63" t="s">
        <v>756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132</v>
      </c>
      <c r="L475" s="37" t="s">
        <v>46</v>
      </c>
      <c r="M475" s="38" t="s">
        <v>131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757</v>
      </c>
      <c r="AG475" s="78"/>
      <c r="AJ475" s="84" t="s">
        <v>46</v>
      </c>
      <c r="AK475" s="84">
        <v>0</v>
      </c>
      <c r="BB475" s="557" t="s">
        <v>66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hidden="1" customHeight="1" x14ac:dyDescent="0.25">
      <c r="A476" s="63" t="s">
        <v>758</v>
      </c>
      <c r="B476" s="63" t="s">
        <v>759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132</v>
      </c>
      <c r="L476" s="37" t="s">
        <v>46</v>
      </c>
      <c r="M476" s="38" t="s">
        <v>131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760</v>
      </c>
      <c r="AG476" s="78"/>
      <c r="AJ476" s="84" t="s">
        <v>46</v>
      </c>
      <c r="AK476" s="84">
        <v>0</v>
      </c>
      <c r="BB476" s="559" t="s">
        <v>66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hidden="1" customHeight="1" x14ac:dyDescent="0.25">
      <c r="A477" s="63" t="s">
        <v>761</v>
      </c>
      <c r="B477" s="63" t="s">
        <v>762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132</v>
      </c>
      <c r="L477" s="37" t="s">
        <v>46</v>
      </c>
      <c r="M477" s="38" t="s">
        <v>131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 t="shared" si="68"/>
        <v/>
      </c>
      <c r="AA477" s="68" t="s">
        <v>46</v>
      </c>
      <c r="AB477" s="69" t="s">
        <v>46</v>
      </c>
      <c r="AC477" s="560" t="s">
        <v>763</v>
      </c>
      <c r="AG477" s="78"/>
      <c r="AJ477" s="84" t="s">
        <v>46</v>
      </c>
      <c r="AK477" s="84">
        <v>0</v>
      </c>
      <c r="BB477" s="561" t="s">
        <v>66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16.5" hidden="1" customHeight="1" x14ac:dyDescent="0.25">
      <c r="A478" s="63" t="s">
        <v>764</v>
      </c>
      <c r="B478" s="63" t="s">
        <v>765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132</v>
      </c>
      <c r="L478" s="37" t="s">
        <v>46</v>
      </c>
      <c r="M478" s="38" t="s">
        <v>89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766</v>
      </c>
      <c r="AG478" s="78"/>
      <c r="AJ478" s="84" t="s">
        <v>46</v>
      </c>
      <c r="AK478" s="84">
        <v>0</v>
      </c>
      <c r="BB478" s="563" t="s">
        <v>66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767</v>
      </c>
      <c r="B479" s="63" t="s">
        <v>768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132</v>
      </c>
      <c r="L479" s="37" t="s">
        <v>46</v>
      </c>
      <c r="M479" s="38" t="s">
        <v>131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769</v>
      </c>
      <c r="AG479" s="78"/>
      <c r="AJ479" s="84" t="s">
        <v>46</v>
      </c>
      <c r="AK479" s="84">
        <v>0</v>
      </c>
      <c r="BB479" s="565" t="s">
        <v>66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770</v>
      </c>
      <c r="B480" s="63" t="s">
        <v>771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130</v>
      </c>
      <c r="AG480" s="78"/>
      <c r="AJ480" s="84" t="s">
        <v>46</v>
      </c>
      <c r="AK480" s="84">
        <v>0</v>
      </c>
      <c r="BB480" s="567" t="s">
        <v>66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772</v>
      </c>
      <c r="B481" s="63" t="s">
        <v>773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139</v>
      </c>
      <c r="L481" s="37" t="s">
        <v>46</v>
      </c>
      <c r="M481" s="38" t="s">
        <v>89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130</v>
      </c>
      <c r="AG481" s="78"/>
      <c r="AJ481" s="84" t="s">
        <v>46</v>
      </c>
      <c r="AK481" s="84">
        <v>0</v>
      </c>
      <c r="BB481" s="569" t="s">
        <v>66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hidden="1" customHeight="1" x14ac:dyDescent="0.25">
      <c r="A482" s="63" t="s">
        <v>774</v>
      </c>
      <c r="B482" s="63" t="s">
        <v>775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139</v>
      </c>
      <c r="L482" s="37" t="s">
        <v>46</v>
      </c>
      <c r="M482" s="38" t="s">
        <v>131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769</v>
      </c>
      <c r="AG482" s="78"/>
      <c r="AJ482" s="84" t="s">
        <v>46</v>
      </c>
      <c r="AK482" s="84">
        <v>0</v>
      </c>
      <c r="BB482" s="571" t="s">
        <v>66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87"/>
      <c r="B483" s="687"/>
      <c r="C483" s="687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8"/>
      <c r="P483" s="684" t="s">
        <v>40</v>
      </c>
      <c r="Q483" s="685"/>
      <c r="R483" s="685"/>
      <c r="S483" s="685"/>
      <c r="T483" s="685"/>
      <c r="U483" s="685"/>
      <c r="V483" s="686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0</v>
      </c>
      <c r="Y483" s="43">
        <f>IFERROR(Y474/H474,"0")+IFERROR(Y475/H475,"0")+IFERROR(Y476/H476,"0")+IFERROR(Y477/H477,"0")+IFERROR(Y478/H478,"0")+IFERROR(Y479/H479,"0")+IFERROR(Y480/H480,"0")+IFERROR(Y481/H481,"0")+IFERROR(Y482/H482,"0")</f>
        <v>0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87"/>
      <c r="B484" s="687"/>
      <c r="C484" s="687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8"/>
      <c r="P484" s="684" t="s">
        <v>40</v>
      </c>
      <c r="Q484" s="685"/>
      <c r="R484" s="685"/>
      <c r="S484" s="685"/>
      <c r="T484" s="685"/>
      <c r="U484" s="685"/>
      <c r="V484" s="686"/>
      <c r="W484" s="42" t="s">
        <v>0</v>
      </c>
      <c r="X484" s="43">
        <f>IFERROR(SUM(X474:X482),"0")</f>
        <v>0</v>
      </c>
      <c r="Y484" s="43">
        <f>IFERROR(SUM(Y474:Y482),"0")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78" t="s">
        <v>162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hidden="1" customHeight="1" x14ac:dyDescent="0.25">
      <c r="A486" s="63" t="s">
        <v>776</v>
      </c>
      <c r="B486" s="63" t="s">
        <v>777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132</v>
      </c>
      <c r="L486" s="37" t="s">
        <v>46</v>
      </c>
      <c r="M486" s="38" t="s">
        <v>89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IFERROR(IF(Y486=0,"",ROUNDUP(Y486/H486,0)*0.01196),"")</f>
        <v/>
      </c>
      <c r="AA486" s="68" t="s">
        <v>46</v>
      </c>
      <c r="AB486" s="69" t="s">
        <v>46</v>
      </c>
      <c r="AC486" s="572" t="s">
        <v>778</v>
      </c>
      <c r="AG486" s="78"/>
      <c r="AJ486" s="84" t="s">
        <v>46</v>
      </c>
      <c r="AK486" s="84">
        <v>0</v>
      </c>
      <c r="BB486" s="573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hidden="1" customHeight="1" x14ac:dyDescent="0.25">
      <c r="A487" s="63" t="s">
        <v>779</v>
      </c>
      <c r="B487" s="63" t="s">
        <v>780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90</v>
      </c>
      <c r="L487" s="37" t="s">
        <v>46</v>
      </c>
      <c r="M487" s="38" t="s">
        <v>131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778</v>
      </c>
      <c r="AG487" s="78"/>
      <c r="AJ487" s="84" t="s">
        <v>46</v>
      </c>
      <c r="AK487" s="84">
        <v>0</v>
      </c>
      <c r="BB487" s="575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hidden="1" customHeight="1" x14ac:dyDescent="0.25">
      <c r="A488" s="63" t="s">
        <v>781</v>
      </c>
      <c r="B488" s="63" t="s">
        <v>782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139</v>
      </c>
      <c r="L488" s="37" t="s">
        <v>46</v>
      </c>
      <c r="M488" s="38" t="s">
        <v>131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778</v>
      </c>
      <c r="AG488" s="78"/>
      <c r="AJ488" s="84" t="s">
        <v>46</v>
      </c>
      <c r="AK488" s="84">
        <v>0</v>
      </c>
      <c r="BB488" s="577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87"/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8"/>
      <c r="P489" s="684" t="s">
        <v>40</v>
      </c>
      <c r="Q489" s="685"/>
      <c r="R489" s="685"/>
      <c r="S489" s="685"/>
      <c r="T489" s="685"/>
      <c r="U489" s="685"/>
      <c r="V489" s="686"/>
      <c r="W489" s="42" t="s">
        <v>39</v>
      </c>
      <c r="X489" s="43">
        <f>IFERROR(X486/H486,"0")+IFERROR(X487/H487,"0")+IFERROR(X488/H488,"0")</f>
        <v>0</v>
      </c>
      <c r="Y489" s="43">
        <f>IFERROR(Y486/H486,"0")+IFERROR(Y487/H487,"0")+IFERROR(Y488/H488,"0")</f>
        <v>0</v>
      </c>
      <c r="Z489" s="43">
        <f>IFERROR(IF(Z486="",0,Z486),"0")+IFERROR(IF(Z487="",0,Z487),"0")+IFERROR(IF(Z488="",0,Z488),"0")</f>
        <v>0</v>
      </c>
      <c r="AA489" s="67"/>
      <c r="AB489" s="67"/>
      <c r="AC489" s="67"/>
    </row>
    <row r="490" spans="1:68" hidden="1" x14ac:dyDescent="0.2">
      <c r="A490" s="687"/>
      <c r="B490" s="687"/>
      <c r="C490" s="687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8"/>
      <c r="P490" s="684" t="s">
        <v>40</v>
      </c>
      <c r="Q490" s="685"/>
      <c r="R490" s="685"/>
      <c r="S490" s="685"/>
      <c r="T490" s="685"/>
      <c r="U490" s="685"/>
      <c r="V490" s="686"/>
      <c r="W490" s="42" t="s">
        <v>0</v>
      </c>
      <c r="X490" s="43">
        <f>IFERROR(SUM(X486:X488),"0")</f>
        <v>0</v>
      </c>
      <c r="Y490" s="43">
        <f>IFERROR(SUM(Y486:Y488),"0")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78" t="s">
        <v>76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hidden="1" customHeight="1" x14ac:dyDescent="0.25">
      <c r="A492" s="63" t="s">
        <v>783</v>
      </c>
      <c r="B492" s="63" t="s">
        <v>784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132</v>
      </c>
      <c r="L492" s="37" t="s">
        <v>46</v>
      </c>
      <c r="M492" s="38" t="s">
        <v>131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7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785</v>
      </c>
      <c r="AG492" s="78"/>
      <c r="AJ492" s="84" t="s">
        <v>46</v>
      </c>
      <c r="AK492" s="84">
        <v>0</v>
      </c>
      <c r="BB492" s="579" t="s">
        <v>66</v>
      </c>
      <c r="BM492" s="78">
        <f t="shared" ref="BM492:BM498" si="74">IFERROR(X492*I492/H492,"0")</f>
        <v>0</v>
      </c>
      <c r="BN492" s="78">
        <f t="shared" ref="BN492:BN498" si="75">IFERROR(Y492*I492/H492,"0")</f>
        <v>0</v>
      </c>
      <c r="BO492" s="78">
        <f t="shared" ref="BO492:BO498" si="76">IFERROR(1/J492*(X492/H492),"0")</f>
        <v>0</v>
      </c>
      <c r="BP492" s="78">
        <f t="shared" ref="BP492:BP498" si="77">IFERROR(1/J492*(Y492/H492),"0")</f>
        <v>0</v>
      </c>
    </row>
    <row r="493" spans="1:68" ht="27" hidden="1" customHeight="1" x14ac:dyDescent="0.25">
      <c r="A493" s="63" t="s">
        <v>786</v>
      </c>
      <c r="B493" s="63" t="s">
        <v>787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132</v>
      </c>
      <c r="L493" s="37" t="s">
        <v>46</v>
      </c>
      <c r="M493" s="38" t="s">
        <v>80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788</v>
      </c>
      <c r="AG493" s="78"/>
      <c r="AJ493" s="84" t="s">
        <v>46</v>
      </c>
      <c r="AK493" s="84">
        <v>0</v>
      </c>
      <c r="BB493" s="581" t="s">
        <v>66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132</v>
      </c>
      <c r="L494" s="37" t="s">
        <v>46</v>
      </c>
      <c r="M494" s="38" t="s">
        <v>80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791</v>
      </c>
      <c r="AG494" s="78"/>
      <c r="AJ494" s="84" t="s">
        <v>46</v>
      </c>
      <c r="AK494" s="84">
        <v>0</v>
      </c>
      <c r="BB494" s="583" t="s">
        <v>66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139</v>
      </c>
      <c r="L495" s="37" t="s">
        <v>46</v>
      </c>
      <c r="M495" s="38" t="s">
        <v>131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785</v>
      </c>
      <c r="AG495" s="78"/>
      <c r="AJ495" s="84" t="s">
        <v>46</v>
      </c>
      <c r="AK495" s="84">
        <v>0</v>
      </c>
      <c r="BB495" s="585" t="s">
        <v>66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hidden="1" customHeight="1" x14ac:dyDescent="0.25">
      <c r="A496" s="63" t="s">
        <v>794</v>
      </c>
      <c r="B496" s="63" t="s">
        <v>795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139</v>
      </c>
      <c r="L496" s="37" t="s">
        <v>46</v>
      </c>
      <c r="M496" s="38" t="s">
        <v>80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788</v>
      </c>
      <c r="AG496" s="78"/>
      <c r="AJ496" s="84" t="s">
        <v>46</v>
      </c>
      <c r="AK496" s="84">
        <v>0</v>
      </c>
      <c r="BB496" s="587" t="s">
        <v>66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hidden="1" customHeight="1" x14ac:dyDescent="0.25">
      <c r="A497" s="63" t="s">
        <v>794</v>
      </c>
      <c r="B497" s="63" t="s">
        <v>796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139</v>
      </c>
      <c r="L497" s="37" t="s">
        <v>46</v>
      </c>
      <c r="M497" s="38" t="s">
        <v>80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788</v>
      </c>
      <c r="AG497" s="78"/>
      <c r="AJ497" s="84" t="s">
        <v>46</v>
      </c>
      <c r="AK497" s="84">
        <v>0</v>
      </c>
      <c r="BB497" s="589" t="s">
        <v>66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797</v>
      </c>
      <c r="B498" s="63" t="s">
        <v>798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139</v>
      </c>
      <c r="L498" s="37" t="s">
        <v>46</v>
      </c>
      <c r="M498" s="38" t="s">
        <v>80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791</v>
      </c>
      <c r="AG498" s="78"/>
      <c r="AJ498" s="84" t="s">
        <v>46</v>
      </c>
      <c r="AK498" s="84">
        <v>0</v>
      </c>
      <c r="BB498" s="591" t="s">
        <v>66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idden="1" x14ac:dyDescent="0.2">
      <c r="A499" s="687"/>
      <c r="B499" s="687"/>
      <c r="C499" s="687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8"/>
      <c r="P499" s="684" t="s">
        <v>40</v>
      </c>
      <c r="Q499" s="685"/>
      <c r="R499" s="685"/>
      <c r="S499" s="685"/>
      <c r="T499" s="685"/>
      <c r="U499" s="685"/>
      <c r="V499" s="686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87"/>
      <c r="B500" s="687"/>
      <c r="C500" s="687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8"/>
      <c r="P500" s="684" t="s">
        <v>40</v>
      </c>
      <c r="Q500" s="685"/>
      <c r="R500" s="685"/>
      <c r="S500" s="685"/>
      <c r="T500" s="685"/>
      <c r="U500" s="685"/>
      <c r="V500" s="686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76" t="s">
        <v>799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hidden="1" customHeight="1" x14ac:dyDescent="0.25">
      <c r="A502" s="677" t="s">
        <v>799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hidden="1" customHeight="1" x14ac:dyDescent="0.25">
      <c r="A503" s="678" t="s">
        <v>127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hidden="1" customHeight="1" x14ac:dyDescent="0.25">
      <c r="A504" s="63" t="s">
        <v>800</v>
      </c>
      <c r="B504" s="63" t="s">
        <v>801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132</v>
      </c>
      <c r="L504" s="37" t="s">
        <v>46</v>
      </c>
      <c r="M504" s="38" t="s">
        <v>131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802</v>
      </c>
      <c r="AG504" s="78"/>
      <c r="AJ504" s="84" t="s">
        <v>46</v>
      </c>
      <c r="AK504" s="84">
        <v>0</v>
      </c>
      <c r="BB504" s="593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87"/>
      <c r="B505" s="687"/>
      <c r="C505" s="687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8"/>
      <c r="P505" s="684" t="s">
        <v>40</v>
      </c>
      <c r="Q505" s="685"/>
      <c r="R505" s="685"/>
      <c r="S505" s="685"/>
      <c r="T505" s="685"/>
      <c r="U505" s="685"/>
      <c r="V505" s="686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hidden="1" x14ac:dyDescent="0.2">
      <c r="A506" s="687"/>
      <c r="B506" s="687"/>
      <c r="C506" s="687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8"/>
      <c r="P506" s="684" t="s">
        <v>40</v>
      </c>
      <c r="Q506" s="685"/>
      <c r="R506" s="685"/>
      <c r="S506" s="685"/>
      <c r="T506" s="685"/>
      <c r="U506" s="685"/>
      <c r="V506" s="686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78" t="s">
        <v>162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hidden="1" customHeight="1" x14ac:dyDescent="0.25">
      <c r="A508" s="63" t="s">
        <v>803</v>
      </c>
      <c r="B508" s="63" t="s">
        <v>804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132</v>
      </c>
      <c r="L508" s="37" t="s">
        <v>46</v>
      </c>
      <c r="M508" s="38" t="s">
        <v>131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805</v>
      </c>
      <c r="AG508" s="78"/>
      <c r="AJ508" s="84" t="s">
        <v>46</v>
      </c>
      <c r="AK508" s="84">
        <v>0</v>
      </c>
      <c r="BB508" s="59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87"/>
      <c r="B509" s="687"/>
      <c r="C509" s="687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8"/>
      <c r="P509" s="684" t="s">
        <v>40</v>
      </c>
      <c r="Q509" s="685"/>
      <c r="R509" s="685"/>
      <c r="S509" s="685"/>
      <c r="T509" s="685"/>
      <c r="U509" s="685"/>
      <c r="V509" s="686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87"/>
      <c r="B510" s="687"/>
      <c r="C510" s="687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8"/>
      <c r="P510" s="684" t="s">
        <v>40</v>
      </c>
      <c r="Q510" s="685"/>
      <c r="R510" s="685"/>
      <c r="S510" s="685"/>
      <c r="T510" s="685"/>
      <c r="U510" s="685"/>
      <c r="V510" s="686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78" t="s">
        <v>76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hidden="1" customHeight="1" x14ac:dyDescent="0.25">
      <c r="A512" s="63" t="s">
        <v>806</v>
      </c>
      <c r="B512" s="63" t="s">
        <v>807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139</v>
      </c>
      <c r="L512" s="37" t="s">
        <v>46</v>
      </c>
      <c r="M512" s="38" t="s">
        <v>80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808</v>
      </c>
      <c r="AG512" s="78"/>
      <c r="AJ512" s="84" t="s">
        <v>46</v>
      </c>
      <c r="AK512" s="84">
        <v>0</v>
      </c>
      <c r="BB512" s="597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hidden="1" customHeight="1" x14ac:dyDescent="0.25">
      <c r="A513" s="63" t="s">
        <v>806</v>
      </c>
      <c r="B513" s="63" t="s">
        <v>809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139</v>
      </c>
      <c r="L513" s="37" t="s">
        <v>46</v>
      </c>
      <c r="M513" s="38" t="s">
        <v>80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810</v>
      </c>
      <c r="AG513" s="78"/>
      <c r="AJ513" s="84" t="s">
        <v>46</v>
      </c>
      <c r="AK513" s="84">
        <v>0</v>
      </c>
      <c r="BB513" s="599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87"/>
      <c r="B514" s="687"/>
      <c r="C514" s="687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8"/>
      <c r="P514" s="684" t="s">
        <v>40</v>
      </c>
      <c r="Q514" s="685"/>
      <c r="R514" s="685"/>
      <c r="S514" s="685"/>
      <c r="T514" s="685"/>
      <c r="U514" s="685"/>
      <c r="V514" s="686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hidden="1" x14ac:dyDescent="0.2">
      <c r="A515" s="687"/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8"/>
      <c r="P515" s="684" t="s">
        <v>40</v>
      </c>
      <c r="Q515" s="685"/>
      <c r="R515" s="685"/>
      <c r="S515" s="685"/>
      <c r="T515" s="685"/>
      <c r="U515" s="685"/>
      <c r="V515" s="686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8" t="s">
        <v>85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hidden="1" customHeight="1" x14ac:dyDescent="0.25">
      <c r="A517" s="63" t="s">
        <v>811</v>
      </c>
      <c r="B517" s="63" t="s">
        <v>812</v>
      </c>
      <c r="C517" s="36">
        <v>4301052043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132</v>
      </c>
      <c r="L517" s="37" t="s">
        <v>46</v>
      </c>
      <c r="M517" s="38" t="s">
        <v>89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813</v>
      </c>
      <c r="AG517" s="78"/>
      <c r="AJ517" s="84" t="s">
        <v>46</v>
      </c>
      <c r="AK517" s="84">
        <v>0</v>
      </c>
      <c r="BB517" s="60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87"/>
      <c r="B518" s="687"/>
      <c r="C518" s="687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8"/>
      <c r="P518" s="684" t="s">
        <v>40</v>
      </c>
      <c r="Q518" s="685"/>
      <c r="R518" s="685"/>
      <c r="S518" s="685"/>
      <c r="T518" s="685"/>
      <c r="U518" s="685"/>
      <c r="V518" s="686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hidden="1" x14ac:dyDescent="0.2">
      <c r="A519" s="687"/>
      <c r="B519" s="687"/>
      <c r="C519" s="687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8"/>
      <c r="P519" s="684" t="s">
        <v>40</v>
      </c>
      <c r="Q519" s="685"/>
      <c r="R519" s="685"/>
      <c r="S519" s="685"/>
      <c r="T519" s="685"/>
      <c r="U519" s="685"/>
      <c r="V519" s="686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8" t="s">
        <v>179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hidden="1" customHeight="1" x14ac:dyDescent="0.25">
      <c r="A521" s="63" t="s">
        <v>814</v>
      </c>
      <c r="B521" s="63" t="s">
        <v>815</v>
      </c>
      <c r="C521" s="36">
        <v>4301060535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132</v>
      </c>
      <c r="L521" s="37" t="s">
        <v>46</v>
      </c>
      <c r="M521" s="38" t="s">
        <v>89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816</v>
      </c>
      <c r="AG521" s="78"/>
      <c r="AJ521" s="84" t="s">
        <v>46</v>
      </c>
      <c r="AK521" s="84">
        <v>0</v>
      </c>
      <c r="BB521" s="603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hidden="1" customHeight="1" x14ac:dyDescent="0.25">
      <c r="A522" s="63" t="s">
        <v>817</v>
      </c>
      <c r="B522" s="63" t="s">
        <v>818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132</v>
      </c>
      <c r="L522" s="37" t="s">
        <v>46</v>
      </c>
      <c r="M522" s="38" t="s">
        <v>89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819</v>
      </c>
      <c r="AG522" s="78"/>
      <c r="AJ522" s="84" t="s">
        <v>46</v>
      </c>
      <c r="AK522" s="84">
        <v>0</v>
      </c>
      <c r="BB522" s="605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87"/>
      <c r="B523" s="687"/>
      <c r="C523" s="687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8"/>
      <c r="P523" s="684" t="s">
        <v>40</v>
      </c>
      <c r="Q523" s="685"/>
      <c r="R523" s="685"/>
      <c r="S523" s="685"/>
      <c r="T523" s="685"/>
      <c r="U523" s="685"/>
      <c r="V523" s="686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hidden="1" x14ac:dyDescent="0.2">
      <c r="A524" s="687"/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8"/>
      <c r="P524" s="684" t="s">
        <v>40</v>
      </c>
      <c r="Q524" s="685"/>
      <c r="R524" s="685"/>
      <c r="S524" s="685"/>
      <c r="T524" s="685"/>
      <c r="U524" s="685"/>
      <c r="V524" s="686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hidden="1" customHeight="1" x14ac:dyDescent="0.25">
      <c r="A525" s="677" t="s">
        <v>820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hidden="1" customHeight="1" x14ac:dyDescent="0.25">
      <c r="A526" s="678" t="s">
        <v>162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hidden="1" customHeight="1" x14ac:dyDescent="0.25">
      <c r="A527" s="63" t="s">
        <v>821</v>
      </c>
      <c r="B527" s="63" t="s">
        <v>822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132</v>
      </c>
      <c r="L527" s="37" t="s">
        <v>46</v>
      </c>
      <c r="M527" s="38" t="s">
        <v>131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823</v>
      </c>
      <c r="AG527" s="78"/>
      <c r="AJ527" s="84" t="s">
        <v>46</v>
      </c>
      <c r="AK527" s="84">
        <v>0</v>
      </c>
      <c r="BB527" s="607" t="s">
        <v>66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687"/>
      <c r="B528" s="687"/>
      <c r="C528" s="687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8"/>
      <c r="P528" s="684" t="s">
        <v>40</v>
      </c>
      <c r="Q528" s="685"/>
      <c r="R528" s="685"/>
      <c r="S528" s="685"/>
      <c r="T528" s="685"/>
      <c r="U528" s="685"/>
      <c r="V528" s="68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hidden="1" x14ac:dyDescent="0.2">
      <c r="A529" s="687"/>
      <c r="B529" s="687"/>
      <c r="C529" s="687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8"/>
      <c r="P529" s="684" t="s">
        <v>40</v>
      </c>
      <c r="Q529" s="685"/>
      <c r="R529" s="685"/>
      <c r="S529" s="685"/>
      <c r="T529" s="685"/>
      <c r="U529" s="685"/>
      <c r="V529" s="68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7"/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1700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1710</v>
      </c>
      <c r="Z530" s="42"/>
      <c r="AA530" s="67"/>
      <c r="AB530" s="67"/>
      <c r="AC530" s="67"/>
    </row>
    <row r="531" spans="1:32" x14ac:dyDescent="0.2">
      <c r="A531" s="687"/>
      <c r="B531" s="687"/>
      <c r="C531" s="687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1753.2666666666667</v>
      </c>
      <c r="Y531" s="43">
        <f>IFERROR(SUM(BN22:BN527),"0")</f>
        <v>1763.5800000000002</v>
      </c>
      <c r="Z531" s="42"/>
      <c r="AA531" s="67"/>
      <c r="AB531" s="67"/>
      <c r="AC531" s="67"/>
    </row>
    <row r="532" spans="1:32" x14ac:dyDescent="0.2">
      <c r="A532" s="687"/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3</v>
      </c>
      <c r="Y532" s="44">
        <f>ROUNDUP(SUM(BP22:BP527),0)</f>
        <v>3</v>
      </c>
      <c r="Z532" s="42"/>
      <c r="AA532" s="67"/>
      <c r="AB532" s="67"/>
      <c r="AC532" s="67"/>
    </row>
    <row r="533" spans="1:32" x14ac:dyDescent="0.2">
      <c r="A533" s="687"/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1828.2666666666667</v>
      </c>
      <c r="Y533" s="43">
        <f>GrossWeightTotalR+PalletQtyTotalR*25</f>
        <v>1838.5800000000002</v>
      </c>
      <c r="Z533" s="42"/>
      <c r="AA533" s="67"/>
      <c r="AB533" s="67"/>
      <c r="AC533" s="67"/>
    </row>
    <row r="534" spans="1:32" x14ac:dyDescent="0.2">
      <c r="A534" s="687"/>
      <c r="B534" s="687"/>
      <c r="C534" s="687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113.33333333333333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114</v>
      </c>
      <c r="Z534" s="42"/>
      <c r="AA534" s="67"/>
      <c r="AB534" s="67"/>
      <c r="AC534" s="67"/>
    </row>
    <row r="535" spans="1:32" ht="14.25" hidden="1" x14ac:dyDescent="0.2">
      <c r="A535" s="687"/>
      <c r="B535" s="687"/>
      <c r="C535" s="687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2.4794999999999998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75</v>
      </c>
      <c r="C537" s="85" t="s">
        <v>45</v>
      </c>
      <c r="D537" s="954" t="s">
        <v>125</v>
      </c>
      <c r="E537" s="954" t="s">
        <v>125</v>
      </c>
      <c r="F537" s="954" t="s">
        <v>125</v>
      </c>
      <c r="G537" s="954" t="s">
        <v>125</v>
      </c>
      <c r="H537" s="954" t="s">
        <v>125</v>
      </c>
      <c r="I537" s="954" t="s">
        <v>125</v>
      </c>
      <c r="J537" s="954" t="s">
        <v>125</v>
      </c>
      <c r="K537" s="954" t="s">
        <v>334</v>
      </c>
      <c r="L537" s="954" t="s">
        <v>334</v>
      </c>
      <c r="M537" s="954" t="s">
        <v>334</v>
      </c>
      <c r="N537" s="955"/>
      <c r="O537" s="954" t="s">
        <v>334</v>
      </c>
      <c r="P537" s="954" t="s">
        <v>334</v>
      </c>
      <c r="Q537" s="954" t="s">
        <v>334</v>
      </c>
      <c r="R537" s="954" t="s">
        <v>334</v>
      </c>
      <c r="S537" s="954" t="s">
        <v>334</v>
      </c>
      <c r="T537" s="954" t="s">
        <v>334</v>
      </c>
      <c r="U537" s="954" t="s">
        <v>334</v>
      </c>
      <c r="V537" s="954" t="s">
        <v>656</v>
      </c>
      <c r="W537" s="954" t="s">
        <v>656</v>
      </c>
      <c r="X537" s="954" t="s">
        <v>716</v>
      </c>
      <c r="Y537" s="954" t="s">
        <v>716</v>
      </c>
      <c r="Z537" s="85" t="s">
        <v>752</v>
      </c>
      <c r="AA537" s="954" t="s">
        <v>799</v>
      </c>
      <c r="AB537" s="954" t="s">
        <v>799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75</v>
      </c>
      <c r="C538" s="954" t="s">
        <v>112</v>
      </c>
      <c r="D538" s="954" t="s">
        <v>126</v>
      </c>
      <c r="E538" s="954" t="s">
        <v>142</v>
      </c>
      <c r="F538" s="954" t="s">
        <v>186</v>
      </c>
      <c r="G538" s="954" t="s">
        <v>207</v>
      </c>
      <c r="H538" s="954" t="s">
        <v>251</v>
      </c>
      <c r="I538" s="954" t="s">
        <v>263</v>
      </c>
      <c r="J538" s="954" t="s">
        <v>125</v>
      </c>
      <c r="K538" s="954" t="s">
        <v>335</v>
      </c>
      <c r="L538" s="954" t="s">
        <v>347</v>
      </c>
      <c r="M538" s="954" t="s">
        <v>414</v>
      </c>
      <c r="N538" s="1"/>
      <c r="O538" s="954" t="s">
        <v>482</v>
      </c>
      <c r="P538" s="954" t="s">
        <v>515</v>
      </c>
      <c r="Q538" s="954" t="s">
        <v>531</v>
      </c>
      <c r="R538" s="954" t="s">
        <v>540</v>
      </c>
      <c r="S538" s="954" t="s">
        <v>561</v>
      </c>
      <c r="T538" s="954" t="s">
        <v>571</v>
      </c>
      <c r="U538" s="954" t="s">
        <v>646</v>
      </c>
      <c r="V538" s="954" t="s">
        <v>657</v>
      </c>
      <c r="W538" s="954" t="s">
        <v>700</v>
      </c>
      <c r="X538" s="954" t="s">
        <v>717</v>
      </c>
      <c r="Y538" s="954" t="s">
        <v>740</v>
      </c>
      <c r="Z538" s="954" t="s">
        <v>752</v>
      </c>
      <c r="AA538" s="954" t="s">
        <v>799</v>
      </c>
      <c r="AB538" s="954" t="s">
        <v>820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0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40" s="52">
        <f>IFERROR(Y87*1,"0")+IFERROR(Y88*1,"0")+IFERROR(Y89*1,"0")+IFERROR(Y90*1,"0")+IFERROR(Y94*1,"0")+IFERROR(Y95*1,"0")+IFERROR(Y96*1,"0")+IFERROR(Y97*1,"0")</f>
        <v>0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0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0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1710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0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 753,27"/>
        <filter val="1 828,27"/>
        <filter val="113,33"/>
        <filter val="3"/>
      </filters>
    </filterColumn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824</v>
      </c>
      <c r="H1" s="9"/>
    </row>
    <row r="3" spans="2:8" x14ac:dyDescent="0.2">
      <c r="B3" s="53" t="s">
        <v>825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827</v>
      </c>
      <c r="C6" s="53" t="s">
        <v>828</v>
      </c>
      <c r="D6" s="53" t="s">
        <v>829</v>
      </c>
      <c r="E6" s="53" t="s">
        <v>46</v>
      </c>
    </row>
    <row r="7" spans="2:8" x14ac:dyDescent="0.2">
      <c r="B7" s="53" t="s">
        <v>830</v>
      </c>
      <c r="C7" s="53" t="s">
        <v>831</v>
      </c>
      <c r="D7" s="53" t="s">
        <v>832</v>
      </c>
      <c r="E7" s="53" t="s">
        <v>46</v>
      </c>
    </row>
    <row r="9" spans="2:8" x14ac:dyDescent="0.2">
      <c r="B9" s="53" t="s">
        <v>833</v>
      </c>
      <c r="C9" s="53" t="s">
        <v>828</v>
      </c>
      <c r="D9" s="53" t="s">
        <v>46</v>
      </c>
      <c r="E9" s="53" t="s">
        <v>46</v>
      </c>
    </row>
    <row r="11" spans="2:8" x14ac:dyDescent="0.2">
      <c r="B11" s="53" t="s">
        <v>833</v>
      </c>
      <c r="C11" s="53" t="s">
        <v>831</v>
      </c>
      <c r="D11" s="53" t="s">
        <v>46</v>
      </c>
      <c r="E11" s="53" t="s">
        <v>46</v>
      </c>
    </row>
    <row r="13" spans="2:8" x14ac:dyDescent="0.2">
      <c r="B13" s="53" t="s">
        <v>834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835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836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837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838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839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842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843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844</v>
      </c>
      <c r="C23" s="53" t="s">
        <v>46</v>
      </c>
      <c r="D23" s="53" t="s">
        <v>46</v>
      </c>
      <c r="E23" s="53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0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