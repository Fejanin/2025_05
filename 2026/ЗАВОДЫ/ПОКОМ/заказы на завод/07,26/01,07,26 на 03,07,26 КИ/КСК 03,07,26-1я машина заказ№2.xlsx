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AA78C3-DC4C-4A22-AF2D-B6C9C0E3814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O501" i="2"/>
  <c r="BM501" i="2"/>
  <c r="Y501" i="2"/>
  <c r="BP501" i="2" s="1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M492" i="2"/>
  <c r="Y492" i="2"/>
  <c r="Z492" i="2" s="1"/>
  <c r="P492" i="2"/>
  <c r="BO491" i="2"/>
  <c r="BM491" i="2"/>
  <c r="Y491" i="2"/>
  <c r="P491" i="2"/>
  <c r="BO490" i="2"/>
  <c r="BM490" i="2"/>
  <c r="Y490" i="2"/>
  <c r="BN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BP483" i="2" s="1"/>
  <c r="P483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Z422" i="2" s="1"/>
  <c r="Z423" i="2" s="1"/>
  <c r="P422" i="2"/>
  <c r="X420" i="2"/>
  <c r="X419" i="2"/>
  <c r="BO418" i="2"/>
  <c r="BM418" i="2"/>
  <c r="Y418" i="2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N400" i="2" s="1"/>
  <c r="P400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N392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O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Z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BN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N264" i="2"/>
  <c r="BM264" i="2"/>
  <c r="Y264" i="2"/>
  <c r="BP264" i="2" s="1"/>
  <c r="P264" i="2"/>
  <c r="BO263" i="2"/>
  <c r="BM263" i="2"/>
  <c r="Y263" i="2"/>
  <c r="P263" i="2"/>
  <c r="BO262" i="2"/>
  <c r="BM262" i="2"/>
  <c r="Y262" i="2"/>
  <c r="BN262" i="2" s="1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X244" i="2"/>
  <c r="X243" i="2"/>
  <c r="BO242" i="2"/>
  <c r="BM242" i="2"/>
  <c r="Z242" i="2"/>
  <c r="Y242" i="2"/>
  <c r="P242" i="2"/>
  <c r="BO241" i="2"/>
  <c r="BM241" i="2"/>
  <c r="Y241" i="2"/>
  <c r="Y244" i="2" s="1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X223" i="2"/>
  <c r="X222" i="2"/>
  <c r="BO221" i="2"/>
  <c r="BM221" i="2"/>
  <c r="Y221" i="2"/>
  <c r="Z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O198" i="2"/>
  <c r="BM198" i="2"/>
  <c r="Y198" i="2"/>
  <c r="BP198" i="2" s="1"/>
  <c r="P198" i="2"/>
  <c r="BP197" i="2"/>
  <c r="BO197" i="2"/>
  <c r="BN197" i="2"/>
  <c r="BM197" i="2"/>
  <c r="Z197" i="2"/>
  <c r="Y197" i="2"/>
  <c r="P197" i="2"/>
  <c r="BO196" i="2"/>
  <c r="BM196" i="2"/>
  <c r="Y196" i="2"/>
  <c r="P196" i="2"/>
  <c r="X192" i="2"/>
  <c r="X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M185" i="2"/>
  <c r="Y185" i="2"/>
  <c r="Z185" i="2" s="1"/>
  <c r="P185" i="2"/>
  <c r="X183" i="2"/>
  <c r="X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X164" i="2"/>
  <c r="X163" i="2"/>
  <c r="BO162" i="2"/>
  <c r="BM162" i="2"/>
  <c r="Y162" i="2"/>
  <c r="Y163" i="2" s="1"/>
  <c r="P162" i="2"/>
  <c r="X160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BP133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N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453" i="2" l="1"/>
  <c r="BP139" i="2"/>
  <c r="Z438" i="2"/>
  <c r="BN151" i="2"/>
  <c r="Z269" i="2"/>
  <c r="BN185" i="2"/>
  <c r="BP328" i="2"/>
  <c r="BP185" i="2"/>
  <c r="Z117" i="2"/>
  <c r="BN350" i="2"/>
  <c r="Z445" i="2"/>
  <c r="BP350" i="2"/>
  <c r="BP266" i="2"/>
  <c r="BN386" i="2"/>
  <c r="BN339" i="2"/>
  <c r="BP339" i="2"/>
  <c r="Z262" i="2"/>
  <c r="Y419" i="2"/>
  <c r="BP262" i="2"/>
  <c r="Z283" i="2"/>
  <c r="BP386" i="2"/>
  <c r="Y433" i="2"/>
  <c r="BP162" i="2"/>
  <c r="Y164" i="2"/>
  <c r="BP297" i="2"/>
  <c r="Z285" i="2"/>
  <c r="BN285" i="2"/>
  <c r="BP394" i="2"/>
  <c r="Y130" i="2"/>
  <c r="BN252" i="2"/>
  <c r="BP252" i="2"/>
  <c r="BP271" i="2"/>
  <c r="BN373" i="2"/>
  <c r="BP373" i="2"/>
  <c r="Z514" i="2"/>
  <c r="Z515" i="2" s="1"/>
  <c r="BP514" i="2"/>
  <c r="BN492" i="2"/>
  <c r="Z490" i="2"/>
  <c r="BP489" i="2"/>
  <c r="BN478" i="2"/>
  <c r="Z475" i="2"/>
  <c r="BN472" i="2"/>
  <c r="Z463" i="2"/>
  <c r="Y467" i="2"/>
  <c r="BN447" i="2"/>
  <c r="Z432" i="2"/>
  <c r="Z433" i="2" s="1"/>
  <c r="BN422" i="2"/>
  <c r="Y423" i="2"/>
  <c r="Z418" i="2"/>
  <c r="BN418" i="2"/>
  <c r="BP418" i="2"/>
  <c r="Y420" i="2"/>
  <c r="Z406" i="2"/>
  <c r="BN406" i="2"/>
  <c r="BP403" i="2"/>
  <c r="Z401" i="2"/>
  <c r="Z394" i="2"/>
  <c r="Y389" i="2"/>
  <c r="Y383" i="2"/>
  <c r="BN372" i="2"/>
  <c r="Z361" i="2"/>
  <c r="BN361" i="2"/>
  <c r="BP358" i="2"/>
  <c r="Z356" i="2"/>
  <c r="Z349" i="2"/>
  <c r="BN349" i="2"/>
  <c r="BN334" i="2"/>
  <c r="Y335" i="2"/>
  <c r="Z335" i="2"/>
  <c r="Z328" i="2"/>
  <c r="Z318" i="2"/>
  <c r="BN318" i="2"/>
  <c r="Z313" i="2"/>
  <c r="BN313" i="2"/>
  <c r="Z304" i="2"/>
  <c r="BN304" i="2"/>
  <c r="BP301" i="2"/>
  <c r="Z297" i="2"/>
  <c r="Z298" i="2" s="1"/>
  <c r="BN297" i="2"/>
  <c r="BP289" i="2"/>
  <c r="Z287" i="2"/>
  <c r="BN283" i="2"/>
  <c r="Z271" i="2"/>
  <c r="Z266" i="2"/>
  <c r="Z264" i="2"/>
  <c r="Z256" i="2"/>
  <c r="BN256" i="2"/>
  <c r="Z254" i="2"/>
  <c r="BN254" i="2"/>
  <c r="Z226" i="2"/>
  <c r="BN221" i="2"/>
  <c r="BP221" i="2"/>
  <c r="Z220" i="2"/>
  <c r="BN220" i="2"/>
  <c r="Z219" i="2"/>
  <c r="Z217" i="2"/>
  <c r="BN217" i="2"/>
  <c r="BP215" i="2"/>
  <c r="Z211" i="2"/>
  <c r="Z209" i="2"/>
  <c r="BN209" i="2"/>
  <c r="BP180" i="2"/>
  <c r="Z174" i="2"/>
  <c r="Z173" i="2"/>
  <c r="BP173" i="2"/>
  <c r="Z171" i="2"/>
  <c r="BP170" i="2"/>
  <c r="BP168" i="2"/>
  <c r="Z168" i="2"/>
  <c r="Z162" i="2"/>
  <c r="Z163" i="2" s="1"/>
  <c r="Y159" i="2"/>
  <c r="Z139" i="2"/>
  <c r="Z138" i="2"/>
  <c r="Z133" i="2"/>
  <c r="BN133" i="2"/>
  <c r="Z128" i="2"/>
  <c r="Z129" i="2" s="1"/>
  <c r="BN128" i="2"/>
  <c r="BP128" i="2"/>
  <c r="Z124" i="2"/>
  <c r="BP123" i="2"/>
  <c r="Y126" i="2"/>
  <c r="Z121" i="2"/>
  <c r="BP121" i="2"/>
  <c r="Z115" i="2"/>
  <c r="Z114" i="2"/>
  <c r="BP113" i="2"/>
  <c r="Z107" i="2"/>
  <c r="Z106" i="2"/>
  <c r="BP106" i="2"/>
  <c r="G537" i="2"/>
  <c r="Z105" i="2"/>
  <c r="Z97" i="2"/>
  <c r="BN97" i="2"/>
  <c r="BN95" i="2"/>
  <c r="BN88" i="2"/>
  <c r="BN77" i="2"/>
  <c r="Z71" i="2"/>
  <c r="Z70" i="2"/>
  <c r="BP69" i="2"/>
  <c r="BN65" i="2"/>
  <c r="Z64" i="2"/>
  <c r="Z62" i="2"/>
  <c r="BP62" i="2"/>
  <c r="BN53" i="2"/>
  <c r="BN43" i="2"/>
  <c r="BN36" i="2"/>
  <c r="X529" i="2"/>
  <c r="Z30" i="2"/>
  <c r="BP30" i="2"/>
  <c r="Z23" i="2"/>
  <c r="J9" i="2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Z187" i="2" s="1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Z55" i="2" s="1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Z243" i="2" s="1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Z135" i="2"/>
  <c r="BN134" i="2"/>
  <c r="Y135" i="2"/>
  <c r="Z140" i="2"/>
  <c r="BN157" i="2"/>
  <c r="Z190" i="2"/>
  <c r="Z191" i="2" s="1"/>
  <c r="Y191" i="2"/>
  <c r="BP216" i="2"/>
  <c r="Z216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75" i="2" s="1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Z419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BP372" i="2"/>
  <c r="Y376" i="2"/>
  <c r="BN378" i="2"/>
  <c r="Z380" i="2"/>
  <c r="Z385" i="2"/>
  <c r="Z392" i="2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Y200" i="2"/>
  <c r="Z208" i="2"/>
  <c r="Z251" i="2"/>
  <c r="Y274" i="2"/>
  <c r="Z327" i="2"/>
  <c r="Z381" i="2"/>
  <c r="Y430" i="2"/>
  <c r="Z464" i="2"/>
  <c r="Z476" i="2"/>
  <c r="Z510" i="2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437" i="2"/>
  <c r="Z449" i="2"/>
  <c r="BP464" i="2"/>
  <c r="Z474" i="2"/>
  <c r="Z484" i="2"/>
  <c r="Z494" i="2"/>
  <c r="Y521" i="2"/>
  <c r="O537" i="2"/>
  <c r="BN28" i="2"/>
  <c r="Y78" i="2"/>
  <c r="Y145" i="2"/>
  <c r="BN231" i="2"/>
  <c r="Y331" i="2"/>
  <c r="BN432" i="2"/>
  <c r="Z444" i="2"/>
  <c r="Z454" i="2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57" i="2"/>
  <c r="Z267" i="2"/>
  <c r="Z277" i="2"/>
  <c r="Z288" i="2"/>
  <c r="Z311" i="2"/>
  <c r="BN325" i="2"/>
  <c r="Y336" i="2"/>
  <c r="Z347" i="2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Y237" i="2"/>
  <c r="BP247" i="2"/>
  <c r="Z255" i="2"/>
  <c r="Z265" i="2"/>
  <c r="Z286" i="2"/>
  <c r="Z309" i="2"/>
  <c r="Z320" i="2"/>
  <c r="Z355" i="2"/>
  <c r="Z365" i="2"/>
  <c r="Z400" i="2"/>
  <c r="Y450" i="2"/>
  <c r="B537" i="2"/>
  <c r="BN82" i="2"/>
  <c r="Y480" i="2"/>
  <c r="Z29" i="2"/>
  <c r="Y46" i="2"/>
  <c r="Y56" i="2"/>
  <c r="Y67" i="2"/>
  <c r="Z76" i="2"/>
  <c r="BP102" i="2"/>
  <c r="BP112" i="2"/>
  <c r="Z143" i="2"/>
  <c r="Z167" i="2"/>
  <c r="BP179" i="2"/>
  <c r="Y25" i="2"/>
  <c r="BN61" i="2"/>
  <c r="BN71" i="2"/>
  <c r="Z81" i="2"/>
  <c r="Z83" i="2" s="1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24" i="2" s="1"/>
  <c r="Z32" i="2"/>
  <c r="Z59" i="2"/>
  <c r="Z66" i="2" s="1"/>
  <c r="Z69" i="2"/>
  <c r="BN81" i="2"/>
  <c r="Z103" i="2"/>
  <c r="Z113" i="2"/>
  <c r="Z123" i="2"/>
  <c r="BN149" i="2"/>
  <c r="Z170" i="2"/>
  <c r="Z180" i="2"/>
  <c r="Z215" i="2"/>
  <c r="Z225" i="2"/>
  <c r="Z227" i="2" s="1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248" i="2" l="1"/>
  <c r="Z429" i="2"/>
  <c r="Z78" i="2"/>
  <c r="Z125" i="2"/>
  <c r="Z480" i="2"/>
  <c r="Z511" i="2"/>
  <c r="Z466" i="2"/>
  <c r="Z455" i="2"/>
  <c r="Z395" i="2"/>
  <c r="Z382" i="2"/>
  <c r="Z352" i="2"/>
  <c r="Z321" i="2"/>
  <c r="Z233" i="2"/>
  <c r="Z145" i="2"/>
  <c r="Z91" i="2"/>
  <c r="X530" i="2"/>
  <c r="Z290" i="2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<sst xmlns="http://schemas.openxmlformats.org/spreadsheetml/2006/main" count="3949" uniqueCount="840">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</sst>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839</v>
      </c>
      <c r="I5" s="602"/>
      <c r="J5" s="602"/>
      <c r="K5" s="602"/>
      <c r="L5" s="602"/>
      <c r="M5" s="602"/>
      <c r="N5" s="69"/>
      <c r="P5" s="26" t="s">
        <v>4</v>
      </c>
      <c r="Q5" s="604">
        <v>46206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821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Пятница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1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0.375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42.666666666666671</v>
      </c>
      <c r="Y44" s="53">
        <f>IFERROR(IF(X44="",0,CEILING((X44/$H44),1)*$H44),"")</f>
        <v>44.16</v>
      </c>
      <c r="Z44" s="39">
        <f>IFERROR(IF(Y44=0,"",ROUNDUP(Y44/H44,0)*0.00651),"")</f>
        <v>0.14973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46.666666666666671</v>
      </c>
      <c r="BN44" s="75">
        <f>IFERROR(Y44*I44/H44,"0")</f>
        <v>48.3</v>
      </c>
      <c r="BO44" s="75">
        <f>IFERROR(1/J44*(X44/H44),"0")</f>
        <v>0.12210012210012212</v>
      </c>
      <c r="BP44" s="75">
        <f>IFERROR(1/J44*(Y44/H44),"0")</f>
        <v>0.1263736263736264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21.333333333333336</v>
      </c>
      <c r="Y45" s="53">
        <f>IFERROR(IF(X45="",0,CEILING((X45/$H45),1)*$H45),"")</f>
        <v>23.04</v>
      </c>
      <c r="Z45" s="39">
        <f>IFERROR(IF(Y45=0,"",ROUNDUP(Y45/H45,0)*0.00651),"")</f>
        <v>7.8119999999999995E-2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23.333333333333336</v>
      </c>
      <c r="BN45" s="75">
        <f>IFERROR(Y45*I45/H45,"0")</f>
        <v>25.200000000000003</v>
      </c>
      <c r="BO45" s="75">
        <f>IFERROR(1/J45*(X45/H45),"0")</f>
        <v>6.1050061050061062E-2</v>
      </c>
      <c r="BP45" s="75">
        <f>IFERROR(1/J45*(Y45/H45),"0")</f>
        <v>6.5934065934065936E-2</v>
      </c>
    </row>
    <row r="46" spans="1:68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33.333333333333336</v>
      </c>
      <c r="Y46" s="41">
        <f>IFERROR(Y42/H42,"0")+IFERROR(Y43/H43,"0")+IFERROR(Y44/H44,"0")+IFERROR(Y45/H45,"0")</f>
        <v>35</v>
      </c>
      <c r="Z46" s="41">
        <f>IFERROR(IF(Z42="",0,Z42),"0")+IFERROR(IF(Z43="",0,Z43),"0")+IFERROR(IF(Z44="",0,Z44),"0")+IFERROR(IF(Z45="",0,Z45),"0")</f>
        <v>0.22785</v>
      </c>
      <c r="AA46" s="64"/>
      <c r="AB46" s="64"/>
      <c r="AC46" s="64"/>
    </row>
    <row r="47" spans="1:68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64</v>
      </c>
      <c r="Y47" s="41">
        <f>IFERROR(SUM(Y42:Y45),"0")</f>
        <v>67.199999999999989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200</v>
      </c>
      <c r="Y53" s="53">
        <f>IFERROR(IF(X53="",0,CEILING((X53/$H53),1)*$H53),"")</f>
        <v>200</v>
      </c>
      <c r="Z53" s="39">
        <f>IFERROR(IF(Y53=0,"",ROUNDUP(Y53/H53,0)*0.00902),"")</f>
        <v>0.45100000000000001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209.50000000000003</v>
      </c>
      <c r="BN53" s="75">
        <f>IFERROR(Y53*I53/H53,"0")</f>
        <v>209.50000000000003</v>
      </c>
      <c r="BO53" s="75">
        <f>IFERROR(1/J53*(X53/H53),"0")</f>
        <v>0.37878787878787878</v>
      </c>
      <c r="BP53" s="75">
        <f>IFERROR(1/J53*(Y53/H53),"0")</f>
        <v>0.37878787878787878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50</v>
      </c>
      <c r="Y55" s="41">
        <f>IFERROR(Y51/H51,"0")+IFERROR(Y52/H52,"0")+IFERROR(Y53/H53,"0")+IFERROR(Y54/H54,"0")</f>
        <v>50</v>
      </c>
      <c r="Z55" s="41">
        <f>IFERROR(IF(Z51="",0,Z51),"0")+IFERROR(IF(Z52="",0,Z52),"0")+IFERROR(IF(Z53="",0,Z53),"0")+IFERROR(IF(Z54="",0,Z54),"0")</f>
        <v>0.45100000000000001</v>
      </c>
      <c r="AA55" s="64"/>
      <c r="AB55" s="64"/>
      <c r="AC55" s="64"/>
    </row>
    <row r="56" spans="1:68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200</v>
      </c>
      <c r="Y56" s="41">
        <f>IFERROR(SUM(Y51:Y54),"0")</f>
        <v>200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33.333333333333336</v>
      </c>
      <c r="Y61" s="53">
        <f t="shared" si="6"/>
        <v>43.2</v>
      </c>
      <c r="Z61" s="39">
        <f>IFERROR(IF(Y61=0,"",ROUNDUP(Y61/H61,0)*0.01898),"")</f>
        <v>7.5920000000000001E-2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34.598765432098773</v>
      </c>
      <c r="BN61" s="75">
        <f t="shared" si="8"/>
        <v>44.84</v>
      </c>
      <c r="BO61" s="75">
        <f t="shared" si="9"/>
        <v>4.8225308641975308E-2</v>
      </c>
      <c r="BP61" s="75">
        <f t="shared" si="10"/>
        <v>6.25E-2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210</v>
      </c>
      <c r="Y65" s="53">
        <f t="shared" si="6"/>
        <v>211.5</v>
      </c>
      <c r="Z65" s="39">
        <f>IFERROR(IF(Y65=0,"",ROUNDUP(Y65/H65,0)*0.00902),"")</f>
        <v>0.42393999999999998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218.86666666666667</v>
      </c>
      <c r="BN65" s="75">
        <f t="shared" si="8"/>
        <v>220.43</v>
      </c>
      <c r="BO65" s="75">
        <f t="shared" si="9"/>
        <v>0.35353535353535354</v>
      </c>
      <c r="BP65" s="75">
        <f t="shared" si="10"/>
        <v>0.35606060606060608</v>
      </c>
    </row>
    <row r="66" spans="1:68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49.753086419753082</v>
      </c>
      <c r="Y66" s="41">
        <f>IFERROR(Y59/H59,"0")+IFERROR(Y60/H60,"0")+IFERROR(Y61/H61,"0")+IFERROR(Y62/H62,"0")+IFERROR(Y63/H63,"0")+IFERROR(Y64/H64,"0")+IFERROR(Y65/H65,"0")</f>
        <v>51</v>
      </c>
      <c r="Z66" s="41">
        <f>IFERROR(IF(Z59="",0,Z59),"0")+IFERROR(IF(Z60="",0,Z60),"0")+IFERROR(IF(Z61="",0,Z61),"0")+IFERROR(IF(Z62="",0,Z62),"0")+IFERROR(IF(Z63="",0,Z63),"0")+IFERROR(IF(Z64="",0,Z64),"0")+IFERROR(IF(Z65="",0,Z65),"0")</f>
        <v>0.49985999999999997</v>
      </c>
      <c r="AA66" s="64"/>
      <c r="AB66" s="64"/>
      <c r="AC66" s="64"/>
    </row>
    <row r="67" spans="1:68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243.33333333333334</v>
      </c>
      <c r="Y67" s="41">
        <f>IFERROR(SUM(Y59:Y65),"0")</f>
        <v>254.7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0.66666666666666674</v>
      </c>
      <c r="Y71" s="53">
        <f>IFERROR(IF(X71="",0,CEILING((X71/$H71),1)*$H71),"")</f>
        <v>1</v>
      </c>
      <c r="Z71" s="39">
        <f>IFERROR(IF(Y71=0,"",ROUNDUP(Y71/H71,0)*0.00726),"")</f>
        <v>7.26E-3</v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0.80666666666666675</v>
      </c>
      <c r="BN71" s="75">
        <f>IFERROR(Y71*I71/H71,"0")</f>
        <v>1.21</v>
      </c>
      <c r="BO71" s="75">
        <f>IFERROR(1/J71*(X71/H71),"0")</f>
        <v>3.4722222222222225E-3</v>
      </c>
      <c r="BP71" s="75">
        <f>IFERROR(1/J71*(Y71/H71),"0")</f>
        <v>5.208333333333333E-3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135</v>
      </c>
      <c r="Y72" s="53">
        <f>IFERROR(IF(X72="",0,CEILING((X72/$H72),1)*$H72),"")</f>
        <v>135</v>
      </c>
      <c r="Z72" s="39">
        <f>IFERROR(IF(Y72=0,"",ROUNDUP(Y72/H72,0)*0.00651),"")</f>
        <v>0.32550000000000001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144</v>
      </c>
      <c r="BN72" s="75">
        <f>IFERROR(Y72*I72/H72,"0")</f>
        <v>144</v>
      </c>
      <c r="BO72" s="75">
        <f>IFERROR(1/J72*(X72/H72),"0")</f>
        <v>0.27472527472527475</v>
      </c>
      <c r="BP72" s="75">
        <f>IFERROR(1/J72*(Y72/H72),"0")</f>
        <v>0.27472527472527475</v>
      </c>
    </row>
    <row r="73" spans="1:68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50.666666666666664</v>
      </c>
      <c r="Y73" s="41">
        <f>IFERROR(Y69/H69,"0")+IFERROR(Y70/H70,"0")+IFERROR(Y71/H71,"0")+IFERROR(Y72/H72,"0")</f>
        <v>51</v>
      </c>
      <c r="Z73" s="41">
        <f>IFERROR(IF(Z69="",0,Z69),"0")+IFERROR(IF(Z70="",0,Z70),"0")+IFERROR(IF(Z71="",0,Z71),"0")+IFERROR(IF(Z72="",0,Z72),"0")</f>
        <v>0.33276</v>
      </c>
      <c r="AA73" s="64"/>
      <c r="AB73" s="64"/>
      <c r="AC73" s="64"/>
    </row>
    <row r="74" spans="1:68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135.66666666666666</v>
      </c>
      <c r="Y74" s="41">
        <f>IFERROR(SUM(Y69:Y72),"0")</f>
        <v>136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33.333333333333336</v>
      </c>
      <c r="Y87" s="53">
        <f>IFERROR(IF(X87="",0,CEILING((X87/$H87),1)*$H87),"")</f>
        <v>43.2</v>
      </c>
      <c r="Z87" s="39">
        <f>IFERROR(IF(Y87=0,"",ROUNDUP(Y87/H87,0)*0.01898),"")</f>
        <v>7.5920000000000001E-2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34.598765432098773</v>
      </c>
      <c r="BN87" s="75">
        <f>IFERROR(Y87*I87/H87,"0")</f>
        <v>44.84</v>
      </c>
      <c r="BO87" s="75">
        <f>IFERROR(1/J87*(X87/H87),"0")</f>
        <v>4.8225308641975308E-2</v>
      </c>
      <c r="BP87" s="75">
        <f>IFERROR(1/J87*(Y87/H87),"0")</f>
        <v>6.25E-2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285</v>
      </c>
      <c r="Y90" s="53">
        <f>IFERROR(IF(X90="",0,CEILING((X90/$H90),1)*$H90),"")</f>
        <v>288</v>
      </c>
      <c r="Z90" s="39">
        <f>IFERROR(IF(Y90=0,"",ROUNDUP(Y90/H90,0)*0.00902),"")</f>
        <v>0.57728000000000002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297.03333333333336</v>
      </c>
      <c r="BN90" s="75">
        <f>IFERROR(Y90*I90/H90,"0")</f>
        <v>300.16000000000003</v>
      </c>
      <c r="BO90" s="75">
        <f>IFERROR(1/J90*(X90/H90),"0")</f>
        <v>0.47979797979797983</v>
      </c>
      <c r="BP90" s="75">
        <f>IFERROR(1/J90*(Y90/H90),"0")</f>
        <v>0.48484848484848486</v>
      </c>
    </row>
    <row r="91" spans="1:68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66.41975308641976</v>
      </c>
      <c r="Y91" s="41">
        <f>IFERROR(Y87/H87,"0")+IFERROR(Y88/H88,"0")+IFERROR(Y89/H89,"0")+IFERROR(Y90/H90,"0")</f>
        <v>68</v>
      </c>
      <c r="Z91" s="41">
        <f>IFERROR(IF(Z87="",0,Z87),"0")+IFERROR(IF(Z88="",0,Z88),"0")+IFERROR(IF(Z89="",0,Z89),"0")+IFERROR(IF(Z90="",0,Z90),"0")</f>
        <v>0.6532</v>
      </c>
      <c r="AA91" s="64"/>
      <c r="AB91" s="64"/>
      <c r="AC91" s="64"/>
    </row>
    <row r="92" spans="1:68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318.33333333333331</v>
      </c>
      <c r="Y92" s="41">
        <f>IFERROR(SUM(Y87:Y90),"0")</f>
        <v>331.2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100</v>
      </c>
      <c r="Y94" s="53">
        <f>IFERROR(IF(X94="",0,CEILING((X94/$H94),1)*$H94),"")</f>
        <v>105.3</v>
      </c>
      <c r="Z94" s="39">
        <f>IFERROR(IF(Y94=0,"",ROUNDUP(Y94/H94,0)*0.01898),"")</f>
        <v>0.24674000000000001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106.09876543209877</v>
      </c>
      <c r="BN94" s="75">
        <f>IFERROR(Y94*I94/H94,"0")</f>
        <v>111.72199999999999</v>
      </c>
      <c r="BO94" s="75">
        <f>IFERROR(1/J94*(X94/H94),"0")</f>
        <v>0.19290123456790123</v>
      </c>
      <c r="BP94" s="75">
        <f>IFERROR(1/J94*(Y94/H94),"0")</f>
        <v>0.203125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390</v>
      </c>
      <c r="Y96" s="53">
        <f>IFERROR(IF(X96="",0,CEILING((X96/$H96),1)*$H96),"")</f>
        <v>391.5</v>
      </c>
      <c r="Z96" s="39">
        <f>IFERROR(IF(Y96=0,"",ROUNDUP(Y96/H96,0)*0.00651),"")</f>
        <v>0.94395000000000007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426.4</v>
      </c>
      <c r="BN96" s="75">
        <f>IFERROR(Y96*I96/H96,"0")</f>
        <v>428.04</v>
      </c>
      <c r="BO96" s="75">
        <f>IFERROR(1/J96*(X96/H96),"0")</f>
        <v>0.79365079365079361</v>
      </c>
      <c r="BP96" s="75">
        <f>IFERROR(1/J96*(Y96/H96),"0")</f>
        <v>0.79670329670329676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156.7901234567901</v>
      </c>
      <c r="Y98" s="41">
        <f>IFERROR(Y94/H94,"0")+IFERROR(Y95/H95,"0")+IFERROR(Y96/H96,"0")+IFERROR(Y97/H97,"0")</f>
        <v>158</v>
      </c>
      <c r="Z98" s="41">
        <f>IFERROR(IF(Z94="",0,Z94),"0")+IFERROR(IF(Z95="",0,Z95),"0")+IFERROR(IF(Z96="",0,Z96),"0")+IFERROR(IF(Z97="",0,Z97),"0")</f>
        <v>1.19069</v>
      </c>
      <c r="AA98" s="64"/>
      <c r="AB98" s="64"/>
      <c r="AC98" s="64"/>
    </row>
    <row r="99" spans="1:68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490</v>
      </c>
      <c r="Y99" s="41">
        <f>IFERROR(SUM(Y94:Y97),"0")</f>
        <v>496.8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30</v>
      </c>
      <c r="Y102" s="53">
        <f t="shared" ref="Y102:Y108" si="11">IFERROR(IF(X102="",0,CEILING((X102/$H102),1)*$H102),"")</f>
        <v>32.400000000000006</v>
      </c>
      <c r="Z102" s="39">
        <f>IFERROR(IF(Y102=0,"",ROUNDUP(Y102/H102,0)*0.01898),"")</f>
        <v>5.6940000000000004E-2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31.138888888888889</v>
      </c>
      <c r="BN102" s="75">
        <f t="shared" ref="BN102:BN108" si="13">IFERROR(Y102*I102/H102,"0")</f>
        <v>33.630000000000003</v>
      </c>
      <c r="BO102" s="75">
        <f t="shared" ref="BO102:BO108" si="14">IFERROR(1/J102*(X102/H102),"0")</f>
        <v>4.3402777777777776E-2</v>
      </c>
      <c r="BP102" s="75">
        <f t="shared" ref="BP102:BP108" si="15">IFERROR(1/J102*(Y102/H102),"0")</f>
        <v>4.6875000000000007E-2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315</v>
      </c>
      <c r="Y107" s="53">
        <f t="shared" si="11"/>
        <v>315</v>
      </c>
      <c r="Z107" s="39">
        <f>IFERROR(IF(Y107=0,"",ROUNDUP(Y107/H107,0)*0.00902),"")</f>
        <v>0.63139999999999996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328.3</v>
      </c>
      <c r="BN107" s="75">
        <f t="shared" si="13"/>
        <v>328.3</v>
      </c>
      <c r="BO107" s="75">
        <f t="shared" si="14"/>
        <v>0.53030303030303028</v>
      </c>
      <c r="BP107" s="75">
        <f t="shared" si="15"/>
        <v>0.53030303030303028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72.777777777777771</v>
      </c>
      <c r="Y109" s="41">
        <f>IFERROR(Y102/H102,"0")+IFERROR(Y103/H103,"0")+IFERROR(Y104/H104,"0")+IFERROR(Y105/H105,"0")+IFERROR(Y106/H106,"0")+IFERROR(Y107/H107,"0")+IFERROR(Y108/H108,"0")</f>
        <v>73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0.68833999999999995</v>
      </c>
      <c r="AA109" s="64"/>
      <c r="AB109" s="64"/>
      <c r="AC109" s="64"/>
    </row>
    <row r="110" spans="1:68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345</v>
      </c>
      <c r="Y110" s="41">
        <f>IFERROR(SUM(Y102:Y108),"0")</f>
        <v>347.4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1</v>
      </c>
      <c r="Y114" s="53">
        <f t="shared" si="16"/>
        <v>1</v>
      </c>
      <c r="Z114" s="39">
        <f>IFERROR(IF(Y114=0,"",ROUNDUP(Y114/H114,0)*0.00358),"")</f>
        <v>3.5799999999999998E-3</v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1.21</v>
      </c>
      <c r="BN114" s="75">
        <f t="shared" si="18"/>
        <v>1.21</v>
      </c>
      <c r="BO114" s="75">
        <f t="shared" si="19"/>
        <v>2.5510204081632651E-3</v>
      </c>
      <c r="BP114" s="75">
        <f t="shared" si="20"/>
        <v>2.5510204081632651E-3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1</v>
      </c>
      <c r="Y118" s="41">
        <f>IFERROR(Y112/H112,"0")+IFERROR(Y113/H113,"0")+IFERROR(Y114/H114,"0")+IFERROR(Y115/H115,"0")+IFERROR(Y116/H116,"0")+IFERROR(Y117/H117,"0")</f>
        <v>1</v>
      </c>
      <c r="Z118" s="41">
        <f>IFERROR(IF(Z112="",0,Z112),"0")+IFERROR(IF(Z113="",0,Z113),"0")+IFERROR(IF(Z114="",0,Z114),"0")+IFERROR(IF(Z115="",0,Z115),"0")+IFERROR(IF(Z116="",0,Z116),"0")+IFERROR(IF(Z117="",0,Z117),"0")</f>
        <v>3.5799999999999998E-3</v>
      </c>
      <c r="AA118" s="64"/>
      <c r="AB118" s="64"/>
      <c r="AC118" s="64"/>
    </row>
    <row r="119" spans="1:68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1</v>
      </c>
      <c r="Y119" s="41">
        <f>IFERROR(SUM(Y112:Y117),"0")</f>
        <v>1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33.333333333333336</v>
      </c>
      <c r="Y121" s="53">
        <f>IFERROR(IF(X121="",0,CEILING((X121/$H121),1)*$H121),"")</f>
        <v>40.5</v>
      </c>
      <c r="Z121" s="39">
        <f>IFERROR(IF(Y121=0,"",ROUNDUP(Y121/H121,0)*0.01898),"")</f>
        <v>9.4899999999999998E-2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35.34156378600823</v>
      </c>
      <c r="BN121" s="75">
        <f>IFERROR(Y121*I121/H121,"0")</f>
        <v>42.94</v>
      </c>
      <c r="BO121" s="75">
        <f>IFERROR(1/J121*(X121/H121),"0")</f>
        <v>6.4300411522633757E-2</v>
      </c>
      <c r="BP121" s="75">
        <f>IFERROR(1/J121*(Y121/H121),"0")</f>
        <v>7.8125E-2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390</v>
      </c>
      <c r="Y123" s="53">
        <f>IFERROR(IF(X123="",0,CEILING((X123/$H123),1)*$H123),"")</f>
        <v>391.5</v>
      </c>
      <c r="Z123" s="39">
        <f>IFERROR(IF(Y123=0,"",ROUNDUP(Y123/H123,0)*0.00651),"")</f>
        <v>0.94395000000000007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426.4</v>
      </c>
      <c r="BN123" s="75">
        <f>IFERROR(Y123*I123/H123,"0")</f>
        <v>428.04</v>
      </c>
      <c r="BO123" s="75">
        <f>IFERROR(1/J123*(X123/H123),"0")</f>
        <v>0.79365079365079361</v>
      </c>
      <c r="BP123" s="75">
        <f>IFERROR(1/J123*(Y123/H123),"0")</f>
        <v>0.79670329670329676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12</v>
      </c>
      <c r="Y124" s="53">
        <f>IFERROR(IF(X124="",0,CEILING((X124/$H124),1)*$H124),"")</f>
        <v>12.6</v>
      </c>
      <c r="Z124" s="39">
        <f>IFERROR(IF(Y124=0,"",ROUNDUP(Y124/H124,0)*0.00651),"")</f>
        <v>4.5569999999999999E-2</v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13.2</v>
      </c>
      <c r="BN124" s="75">
        <f>IFERROR(Y124*I124/H124,"0")</f>
        <v>13.86</v>
      </c>
      <c r="BO124" s="75">
        <f>IFERROR(1/J124*(X124/H124),"0")</f>
        <v>3.6630036630036632E-2</v>
      </c>
      <c r="BP124" s="75">
        <f>IFERROR(1/J124*(Y124/H124),"0")</f>
        <v>3.8461538461538464E-2</v>
      </c>
    </row>
    <row r="125" spans="1:68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155.22633744855963</v>
      </c>
      <c r="Y125" s="41">
        <f>IFERROR(Y121/H121,"0")+IFERROR(Y122/H122,"0")+IFERROR(Y123/H123,"0")+IFERROR(Y124/H124,"0")</f>
        <v>157</v>
      </c>
      <c r="Z125" s="41">
        <f>IFERROR(IF(Z121="",0,Z121),"0")+IFERROR(IF(Z122="",0,Z122),"0")+IFERROR(IF(Z123="",0,Z123),"0")+IFERROR(IF(Z124="",0,Z124),"0")</f>
        <v>1.0844200000000002</v>
      </c>
      <c r="AA125" s="64"/>
      <c r="AB125" s="64"/>
      <c r="AC125" s="64"/>
    </row>
    <row r="126" spans="1:68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435.33333333333331</v>
      </c>
      <c r="Y126" s="41">
        <f>IFERROR(SUM(Y121:Y124),"0")</f>
        <v>444.6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16.5</v>
      </c>
      <c r="Y128" s="53">
        <f>IFERROR(IF(X128="",0,CEILING((X128/$H128),1)*$H128),"")</f>
        <v>17.82</v>
      </c>
      <c r="Z128" s="39">
        <f>IFERROR(IF(Y128=0,"",ROUNDUP(Y128/H128,0)*0.00651),"")</f>
        <v>5.8590000000000003E-2</v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18.649999999999999</v>
      </c>
      <c r="BN128" s="75">
        <f>IFERROR(Y128*I128/H128,"0")</f>
        <v>20.141999999999999</v>
      </c>
      <c r="BO128" s="75">
        <f>IFERROR(1/J128*(X128/H128),"0")</f>
        <v>4.5787545787545791E-2</v>
      </c>
      <c r="BP128" s="75">
        <f>IFERROR(1/J128*(Y128/H128),"0")</f>
        <v>4.9450549450549455E-2</v>
      </c>
    </row>
    <row r="129" spans="1:68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8.3333333333333339</v>
      </c>
      <c r="Y129" s="41">
        <f>IFERROR(Y128/H128,"0")</f>
        <v>9</v>
      </c>
      <c r="Z129" s="41">
        <f>IFERROR(IF(Z128="",0,Z128),"0")</f>
        <v>5.8590000000000003E-2</v>
      </c>
      <c r="AA129" s="64"/>
      <c r="AB129" s="64"/>
      <c r="AC129" s="64"/>
    </row>
    <row r="130" spans="1:68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16.5</v>
      </c>
      <c r="Y130" s="41">
        <f>IFERROR(SUM(Y128:Y128),"0")</f>
        <v>17.82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8</v>
      </c>
      <c r="Y134" s="53">
        <f>IFERROR(IF(X134="",0,CEILING((X134/$H134),1)*$H134),"")</f>
        <v>9.6000000000000014</v>
      </c>
      <c r="Z134" s="39">
        <f>IFERROR(IF(Y134=0,"",ROUNDUP(Y134/H134,0)*0.00651),"")</f>
        <v>1.9529999999999999E-2</v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8.4499999999999993</v>
      </c>
      <c r="BN134" s="75">
        <f>IFERROR(Y134*I134/H134,"0")</f>
        <v>10.139999999999999</v>
      </c>
      <c r="BO134" s="75">
        <f>IFERROR(1/J134*(X134/H134),"0")</f>
        <v>1.3736263736263738E-2</v>
      </c>
      <c r="BP134" s="75">
        <f>IFERROR(1/J134*(Y134/H134),"0")</f>
        <v>1.6483516483516487E-2</v>
      </c>
    </row>
    <row r="135" spans="1:68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2.5</v>
      </c>
      <c r="Y135" s="41">
        <f>IFERROR(Y133/H133,"0")+IFERROR(Y134/H134,"0")</f>
        <v>3.0000000000000004</v>
      </c>
      <c r="Z135" s="41">
        <f>IFERROR(IF(Z133="",0,Z133),"0")+IFERROR(IF(Z134="",0,Z134),"0")</f>
        <v>1.9529999999999999E-2</v>
      </c>
      <c r="AA135" s="64"/>
      <c r="AB135" s="64"/>
      <c r="AC135" s="64"/>
    </row>
    <row r="136" spans="1:68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8</v>
      </c>
      <c r="Y136" s="41">
        <f>IFERROR(SUM(Y133:Y134),"0")</f>
        <v>9.6000000000000014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8.8000000000000007</v>
      </c>
      <c r="Y143" s="53">
        <f>IFERROR(IF(X143="",0,CEILING((X143/$H143),1)*$H143),"")</f>
        <v>10.56</v>
      </c>
      <c r="Z143" s="39">
        <f>IFERROR(IF(Y143=0,"",ROUNDUP(Y143/H143,0)*0.00651),"")</f>
        <v>2.6040000000000001E-2</v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9.6933333333333334</v>
      </c>
      <c r="BN143" s="75">
        <f>IFERROR(Y143*I143/H143,"0")</f>
        <v>11.632</v>
      </c>
      <c r="BO143" s="75">
        <f>IFERROR(1/J143*(X143/H143),"0")</f>
        <v>1.8315018315018316E-2</v>
      </c>
      <c r="BP143" s="75">
        <f>IFERROR(1/J143*(Y143/H143),"0")</f>
        <v>2.197802197802198E-2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3.3333333333333335</v>
      </c>
      <c r="Y145" s="41">
        <f>IFERROR(Y143/H143,"0")+IFERROR(Y144/H144,"0")</f>
        <v>4</v>
      </c>
      <c r="Z145" s="41">
        <f>IFERROR(IF(Z143="",0,Z143),"0")+IFERROR(IF(Z144="",0,Z144),"0")</f>
        <v>2.6040000000000001E-2</v>
      </c>
      <c r="AA145" s="64"/>
      <c r="AB145" s="64"/>
      <c r="AC145" s="64"/>
    </row>
    <row r="146" spans="1:68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8.8000000000000007</v>
      </c>
      <c r="Y146" s="41">
        <f>IFERROR(SUM(Y143:Y144),"0")</f>
        <v>10.56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4</v>
      </c>
      <c r="Y162" s="53">
        <f>IFERROR(IF(X162="",0,CEILING((X162/$H162),1)*$H162),"")</f>
        <v>4.32</v>
      </c>
      <c r="Z162" s="39">
        <f>IFERROR(IF(Y162=0,"",ROUNDUP(Y162/H162,0)*0.00556),"")</f>
        <v>3.3360000000000001E-2</v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4.7222222222222223</v>
      </c>
      <c r="BN162" s="75">
        <f>IFERROR(Y162*I162/H162,"0")</f>
        <v>5.1000000000000005</v>
      </c>
      <c r="BO162" s="75">
        <f>IFERROR(1/J162*(X162/H162),"0")</f>
        <v>2.2045855379188711E-2</v>
      </c>
      <c r="BP162" s="75">
        <f>IFERROR(1/J162*(Y162/H162),"0")</f>
        <v>2.3809523809523812E-2</v>
      </c>
    </row>
    <row r="163" spans="1:68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5.5555555555555554</v>
      </c>
      <c r="Y163" s="41">
        <f>IFERROR(Y162/H162,"0")</f>
        <v>6.0000000000000009</v>
      </c>
      <c r="Z163" s="41">
        <f>IFERROR(IF(Z162="",0,Z162),"0")</f>
        <v>3.3360000000000001E-2</v>
      </c>
      <c r="AA163" s="64"/>
      <c r="AB163" s="64"/>
      <c r="AC163" s="64"/>
    </row>
    <row r="164" spans="1:68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4</v>
      </c>
      <c r="Y164" s="41">
        <f>IFERROR(SUM(Y162:Y162),"0")</f>
        <v>4.32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13.333333333333334</v>
      </c>
      <c r="Y169" s="53">
        <f t="shared" si="21"/>
        <v>14</v>
      </c>
      <c r="Z169" s="39">
        <f>IFERROR(IF(Y169=0,"",ROUNDUP(Y169/H169,0)*0.00902),"")</f>
        <v>3.6080000000000001E-2</v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14.057142857142859</v>
      </c>
      <c r="BN169" s="75">
        <f t="shared" si="23"/>
        <v>14.76</v>
      </c>
      <c r="BO169" s="75">
        <f t="shared" si="24"/>
        <v>2.8860028860028863E-2</v>
      </c>
      <c r="BP169" s="75">
        <f t="shared" si="25"/>
        <v>3.0303030303030304E-2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5.3999999999999995</v>
      </c>
      <c r="Y170" s="53">
        <f t="shared" si="21"/>
        <v>5.4</v>
      </c>
      <c r="Z170" s="39">
        <f>IFERROR(IF(Y170=0,"",ROUNDUP(Y170/H170,0)*0.00417),"")</f>
        <v>2.5020000000000001E-2</v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6.6599999999999993</v>
      </c>
      <c r="BN170" s="75">
        <f t="shared" si="23"/>
        <v>6.66</v>
      </c>
      <c r="BO170" s="75">
        <f t="shared" si="24"/>
        <v>1.7857142857142853E-2</v>
      </c>
      <c r="BP170" s="75">
        <f t="shared" si="25"/>
        <v>1.7857142857142856E-2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32.666666666666671</v>
      </c>
      <c r="Y171" s="53">
        <f t="shared" si="21"/>
        <v>33.6</v>
      </c>
      <c r="Z171" s="39">
        <f>IFERROR(IF(Y171=0,"",ROUNDUP(Y171/H171,0)*0.00502),"")</f>
        <v>0.1004</v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34.611111111111114</v>
      </c>
      <c r="BN171" s="75">
        <f t="shared" si="23"/>
        <v>35.600000000000009</v>
      </c>
      <c r="BO171" s="75">
        <f t="shared" si="24"/>
        <v>8.309591642924978E-2</v>
      </c>
      <c r="BP171" s="75">
        <f t="shared" si="25"/>
        <v>8.5470085470085472E-2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1.2</v>
      </c>
      <c r="Y172" s="53">
        <f t="shared" si="21"/>
        <v>1.8</v>
      </c>
      <c r="Z172" s="39">
        <f>IFERROR(IF(Y172=0,"",ROUNDUP(Y172/H172,0)*0.00417),"")</f>
        <v>8.3400000000000002E-3</v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1.48</v>
      </c>
      <c r="BN172" s="75">
        <f t="shared" si="23"/>
        <v>2.2200000000000002</v>
      </c>
      <c r="BO172" s="75">
        <f t="shared" si="24"/>
        <v>3.968253968253968E-3</v>
      </c>
      <c r="BP172" s="75">
        <f t="shared" si="25"/>
        <v>5.9523809523809521E-3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25.200000000000003</v>
      </c>
      <c r="Y173" s="53">
        <f t="shared" si="21"/>
        <v>25.2</v>
      </c>
      <c r="Z173" s="39">
        <f>IFERROR(IF(Y173=0,"",ROUNDUP(Y173/H173,0)*0.00502),"")</f>
        <v>7.5300000000000006E-2</v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26.700000000000006</v>
      </c>
      <c r="BN173" s="75">
        <f t="shared" si="23"/>
        <v>26.700000000000003</v>
      </c>
      <c r="BO173" s="75">
        <f t="shared" si="24"/>
        <v>6.4102564102564111E-2</v>
      </c>
      <c r="BP173" s="75">
        <f t="shared" si="25"/>
        <v>6.4102564102564111E-2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45.587301587301589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47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0.24514</v>
      </c>
      <c r="AA176" s="64"/>
      <c r="AB176" s="64"/>
      <c r="AC176" s="64"/>
    </row>
    <row r="177" spans="1:68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77.800000000000011</v>
      </c>
      <c r="Y177" s="41">
        <f>IFERROR(SUM(Y166:Y175),"0")</f>
        <v>80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1.3333333333333335</v>
      </c>
      <c r="Y211" s="53">
        <f t="shared" si="26"/>
        <v>1.6</v>
      </c>
      <c r="Z211" s="39">
        <f>IFERROR(IF(Y211=0,"",ROUNDUP(Y211/H211,0)*0.00556),"")</f>
        <v>1.112E-2</v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1.5500000000000003</v>
      </c>
      <c r="BN211" s="75">
        <f t="shared" si="28"/>
        <v>1.86</v>
      </c>
      <c r="BO211" s="75">
        <f t="shared" si="29"/>
        <v>6.6137566137566134E-3</v>
      </c>
      <c r="BP211" s="75">
        <f t="shared" si="30"/>
        <v>7.9365079365079361E-3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46.666666666666664</v>
      </c>
      <c r="Y212" s="53">
        <f t="shared" si="26"/>
        <v>48.300000000000004</v>
      </c>
      <c r="Z212" s="39">
        <f t="shared" ref="Z212:Z217" si="31">IFERROR(IF(Y212=0,"",ROUNDUP(Y212/H212,0)*0.00502),"")</f>
        <v>0.11546000000000001</v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49.55555555555555</v>
      </c>
      <c r="BN212" s="75">
        <f t="shared" si="28"/>
        <v>51.29</v>
      </c>
      <c r="BO212" s="75">
        <f t="shared" si="29"/>
        <v>9.4966761633428307E-2</v>
      </c>
      <c r="BP212" s="75">
        <f t="shared" si="30"/>
        <v>9.8290598290598302E-2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52.5</v>
      </c>
      <c r="Y214" s="53">
        <f t="shared" si="26"/>
        <v>52.5</v>
      </c>
      <c r="Z214" s="39">
        <f t="shared" si="31"/>
        <v>0.1255</v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55.75</v>
      </c>
      <c r="BN214" s="75">
        <f t="shared" si="28"/>
        <v>55.75</v>
      </c>
      <c r="BO214" s="75">
        <f t="shared" si="29"/>
        <v>0.10683760683760685</v>
      </c>
      <c r="BP214" s="75">
        <f t="shared" si="30"/>
        <v>0.10683760683760685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4</v>
      </c>
      <c r="Y218" s="53">
        <f t="shared" si="26"/>
        <v>4</v>
      </c>
      <c r="Z218" s="39">
        <f>IFERROR(IF(Y218=0,"",ROUNDUP(Y218/H218,0)*0.00417),"")</f>
        <v>2.085E-2</v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5.05</v>
      </c>
      <c r="BN218" s="75">
        <f t="shared" si="28"/>
        <v>5.05</v>
      </c>
      <c r="BO218" s="75">
        <f t="shared" si="29"/>
        <v>1.488095238095238E-2</v>
      </c>
      <c r="BP218" s="75">
        <f t="shared" si="30"/>
        <v>1.488095238095238E-2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81.666666666666671</v>
      </c>
      <c r="Y219" s="53">
        <f t="shared" si="26"/>
        <v>81.900000000000006</v>
      </c>
      <c r="Z219" s="39">
        <f>IFERROR(IF(Y219=0,"",ROUNDUP(Y219/H219,0)*0.00502),"")</f>
        <v>0.19578000000000001</v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85.555555555555557</v>
      </c>
      <c r="BN219" s="75">
        <f t="shared" si="28"/>
        <v>85.800000000000011</v>
      </c>
      <c r="BO219" s="75">
        <f t="shared" si="29"/>
        <v>0.16619183285849956</v>
      </c>
      <c r="BP219" s="75">
        <f t="shared" si="30"/>
        <v>0.16666666666666669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92.777777777777771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94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0.46870999999999996</v>
      </c>
      <c r="AA222" s="64"/>
      <c r="AB222" s="64"/>
      <c r="AC222" s="64"/>
    </row>
    <row r="223" spans="1:68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186.16666666666669</v>
      </c>
      <c r="Y223" s="41">
        <f>IFERROR(SUM(Y208:Y221),"0")</f>
        <v>188.3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6.5333333333333332</v>
      </c>
      <c r="Y230" s="53">
        <f>IFERROR(IF(X230="",0,CEILING((X230/$H230),1)*$H230),"")</f>
        <v>7.5600000000000005</v>
      </c>
      <c r="Z230" s="39">
        <f>IFERROR(IF(Y230=0,"",ROUNDUP(Y230/H230,0)*0.0059),"")</f>
        <v>3.5400000000000001E-2</v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7.5185185185185182</v>
      </c>
      <c r="BN230" s="75">
        <f>IFERROR(Y230*I230/H230,"0")</f>
        <v>8.6999999999999993</v>
      </c>
      <c r="BO230" s="75">
        <f>IFERROR(1/J230*(X230/H230),"0")</f>
        <v>2.4005486968449931E-2</v>
      </c>
      <c r="BP230" s="75">
        <f>IFERROR(1/J230*(Y230/H230),"0")</f>
        <v>2.7777777777777776E-2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8.8666666666666671</v>
      </c>
      <c r="Y231" s="53">
        <f>IFERROR(IF(X231="",0,CEILING((X231/$H231),1)*$H231),"")</f>
        <v>10.08</v>
      </c>
      <c r="Z231" s="39">
        <f>IFERROR(IF(Y231=0,"",ROUNDUP(Y231/H231,0)*0.0059),"")</f>
        <v>4.7199999999999999E-2</v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10.203703703703704</v>
      </c>
      <c r="BN231" s="75">
        <f>IFERROR(Y231*I231/H231,"0")</f>
        <v>11.6</v>
      </c>
      <c r="BO231" s="75">
        <f>IFERROR(1/J231*(X231/H231),"0")</f>
        <v>3.2578875171467764E-2</v>
      </c>
      <c r="BP231" s="75">
        <f>IFERROR(1/J231*(Y231/H231),"0")</f>
        <v>3.7037037037037035E-2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8.8666666666666671</v>
      </c>
      <c r="Y232" s="53">
        <f>IFERROR(IF(X232="",0,CEILING((X232/$H232),1)*$H232),"")</f>
        <v>10.08</v>
      </c>
      <c r="Z232" s="39">
        <f>IFERROR(IF(Y232=0,"",ROUNDUP(Y232/H232,0)*0.0059),"")</f>
        <v>4.7199999999999999E-2</v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10.203703703703704</v>
      </c>
      <c r="BN232" s="75">
        <f>IFERROR(Y232*I232/H232,"0")</f>
        <v>11.6</v>
      </c>
      <c r="BO232" s="75">
        <f>IFERROR(1/J232*(X232/H232),"0")</f>
        <v>3.2578875171467764E-2</v>
      </c>
      <c r="BP232" s="75">
        <f>IFERROR(1/J232*(Y232/H232),"0")</f>
        <v>3.7037037037037035E-2</v>
      </c>
    </row>
    <row r="233" spans="1:68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19.25925925925926</v>
      </c>
      <c r="Y233" s="41">
        <f>IFERROR(Y230/H230,"0")+IFERROR(Y231/H231,"0")+IFERROR(Y232/H232,"0")</f>
        <v>22</v>
      </c>
      <c r="Z233" s="41">
        <f>IFERROR(IF(Z230="",0,Z230),"0")+IFERROR(IF(Z231="",0,Z231),"0")+IFERROR(IF(Z232="",0,Z232),"0")</f>
        <v>0.1298</v>
      </c>
      <c r="AA233" s="64"/>
      <c r="AB233" s="64"/>
      <c r="AC233" s="64"/>
    </row>
    <row r="234" spans="1:68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24.266666666666666</v>
      </c>
      <c r="Y234" s="41">
        <f>IFERROR(SUM(Y230:Y232),"0")</f>
        <v>27.72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3.5000000000000004</v>
      </c>
      <c r="Y236" s="53">
        <f>IFERROR(IF(X236="",0,CEILING((X236/$H236),1)*$H236),"")</f>
        <v>3.7800000000000002</v>
      </c>
      <c r="Z236" s="39">
        <f>IFERROR(IF(Y236=0,"",ROUNDUP(Y236/H236,0)*0.0059),"")</f>
        <v>1.77E-2</v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4.0277777777777777</v>
      </c>
      <c r="BN236" s="75">
        <f>IFERROR(Y236*I236/H236,"0")</f>
        <v>4.3499999999999996</v>
      </c>
      <c r="BO236" s="75">
        <f>IFERROR(1/J236*(X236/H236),"0")</f>
        <v>1.2860082304526749E-2</v>
      </c>
      <c r="BP236" s="75">
        <f>IFERROR(1/J236*(Y236/H236),"0")</f>
        <v>1.3888888888888888E-2</v>
      </c>
    </row>
    <row r="237" spans="1:68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2.7777777777777781</v>
      </c>
      <c r="Y237" s="41">
        <f>IFERROR(Y236/H236,"0")</f>
        <v>3</v>
      </c>
      <c r="Z237" s="41">
        <f>IFERROR(IF(Z236="",0,Z236),"0")</f>
        <v>1.77E-2</v>
      </c>
      <c r="AA237" s="64"/>
      <c r="AB237" s="64"/>
      <c r="AC237" s="64"/>
    </row>
    <row r="238" spans="1:68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3.5000000000000004</v>
      </c>
      <c r="Y238" s="41">
        <f>IFERROR(SUM(Y236:Y236),"0")</f>
        <v>3.7800000000000002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46.666666666666664</v>
      </c>
      <c r="Y252" s="53">
        <f t="shared" si="32"/>
        <v>48.6</v>
      </c>
      <c r="Z252" s="39">
        <f>IFERROR(IF(Y252=0,"",ROUNDUP(Y252/H252,0)*0.00902),"")</f>
        <v>8.1180000000000002E-2</v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48.308641975308639</v>
      </c>
      <c r="BN252" s="75">
        <f t="shared" si="34"/>
        <v>50.309999999999995</v>
      </c>
      <c r="BO252" s="75">
        <f t="shared" si="35"/>
        <v>6.5469509913954352E-2</v>
      </c>
      <c r="BP252" s="75">
        <f t="shared" si="36"/>
        <v>6.8181818181818177E-2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45</v>
      </c>
      <c r="Y255" s="53">
        <f t="shared" si="32"/>
        <v>45</v>
      </c>
      <c r="Z255" s="39">
        <f>IFERROR(IF(Y255=0,"",ROUNDUP(Y255/H255,0)*0.00502),"")</f>
        <v>0.1255</v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48.249999999999993</v>
      </c>
      <c r="BN255" s="75">
        <f t="shared" si="34"/>
        <v>48.249999999999993</v>
      </c>
      <c r="BO255" s="75">
        <f t="shared" si="35"/>
        <v>0.10683760683760685</v>
      </c>
      <c r="BP255" s="75">
        <f t="shared" si="36"/>
        <v>0.10683760683760685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30</v>
      </c>
      <c r="Y256" s="53">
        <f t="shared" si="32"/>
        <v>30.6</v>
      </c>
      <c r="Z256" s="39">
        <f>IFERROR(IF(Y256=0,"",ROUNDUP(Y256/H256,0)*0.00502),"")</f>
        <v>8.5339999999999999E-2</v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31.666666666666664</v>
      </c>
      <c r="BN256" s="75">
        <f t="shared" si="34"/>
        <v>32.299999999999997</v>
      </c>
      <c r="BO256" s="75">
        <f t="shared" si="35"/>
        <v>7.122507122507124E-2</v>
      </c>
      <c r="BP256" s="75">
        <f t="shared" si="36"/>
        <v>7.2649572649572655E-2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30</v>
      </c>
      <c r="Y257" s="53">
        <f t="shared" si="32"/>
        <v>30.6</v>
      </c>
      <c r="Z257" s="39">
        <f>IFERROR(IF(Y257=0,"",ROUNDUP(Y257/H257,0)*0.00502),"")</f>
        <v>8.5339999999999999E-2</v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31.666666666666664</v>
      </c>
      <c r="BN257" s="75">
        <f t="shared" si="34"/>
        <v>32.299999999999997</v>
      </c>
      <c r="BO257" s="75">
        <f t="shared" si="35"/>
        <v>7.122507122507124E-2</v>
      </c>
      <c r="BP257" s="75">
        <f t="shared" si="36"/>
        <v>7.2649572649572655E-2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32</v>
      </c>
      <c r="Y258" s="53">
        <f t="shared" si="32"/>
        <v>32.4</v>
      </c>
      <c r="Z258" s="39">
        <f>IFERROR(IF(Y258=0,"",ROUNDUP(Y258/H258,0)*0.00502),"")</f>
        <v>9.0359999999999996E-2</v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33.777777777777779</v>
      </c>
      <c r="BN258" s="75">
        <f t="shared" si="34"/>
        <v>34.199999999999996</v>
      </c>
      <c r="BO258" s="75">
        <f t="shared" si="35"/>
        <v>7.5973409306742651E-2</v>
      </c>
      <c r="BP258" s="75">
        <f t="shared" si="36"/>
        <v>7.6923076923076927E-2</v>
      </c>
    </row>
    <row r="259" spans="1:68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84.753086419753089</v>
      </c>
      <c r="Y259" s="41">
        <f>IFERROR(Y251/H251,"0")+IFERROR(Y252/H252,"0")+IFERROR(Y253/H253,"0")+IFERROR(Y254/H254,"0")+IFERROR(Y255/H255,"0")+IFERROR(Y256/H256,"0")+IFERROR(Y257/H257,"0")+IFERROR(Y258/H258,"0")</f>
        <v>86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0.46772000000000002</v>
      </c>
      <c r="AA259" s="64"/>
      <c r="AB259" s="64"/>
      <c r="AC259" s="64"/>
    </row>
    <row r="260" spans="1:68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183.66666666666666</v>
      </c>
      <c r="Y260" s="41">
        <f>IFERROR(SUM(Y251:Y258),"0")</f>
        <v>187.2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253.33333333333337</v>
      </c>
      <c r="Y265" s="53">
        <f t="shared" si="37"/>
        <v>254.39999999999998</v>
      </c>
      <c r="Z265" s="39">
        <f>IFERROR(IF(Y265=0,"",ROUNDUP(Y265/H265,0)*0.00651),"")</f>
        <v>0.69006000000000001</v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281.83333333333337</v>
      </c>
      <c r="BN265" s="75">
        <f t="shared" si="39"/>
        <v>283.02</v>
      </c>
      <c r="BO265" s="75">
        <f t="shared" si="40"/>
        <v>0.57997557997558014</v>
      </c>
      <c r="BP265" s="75">
        <f t="shared" si="41"/>
        <v>0.58241758241758246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200</v>
      </c>
      <c r="Y268" s="53">
        <f t="shared" si="37"/>
        <v>201.6</v>
      </c>
      <c r="Z268" s="39">
        <f>IFERROR(IF(Y268=0,"",ROUNDUP(Y268/H268,0)*0.00651),"")</f>
        <v>0.54683999999999999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221</v>
      </c>
      <c r="BN268" s="75">
        <f t="shared" si="39"/>
        <v>222.768</v>
      </c>
      <c r="BO268" s="75">
        <f t="shared" si="40"/>
        <v>0.45787545787545797</v>
      </c>
      <c r="BP268" s="75">
        <f t="shared" si="41"/>
        <v>0.46153846153846156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60</v>
      </c>
      <c r="Y271" s="53">
        <f t="shared" si="37"/>
        <v>60</v>
      </c>
      <c r="Z271" s="39">
        <f>IFERROR(IF(Y271=0,"",ROUNDUP(Y271/H271,0)*0.00651),"")</f>
        <v>0.16275000000000001</v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66.300000000000011</v>
      </c>
      <c r="BN271" s="75">
        <f t="shared" si="39"/>
        <v>66.300000000000011</v>
      </c>
      <c r="BO271" s="75">
        <f t="shared" si="40"/>
        <v>0.13736263736263737</v>
      </c>
      <c r="BP271" s="75">
        <f t="shared" si="41"/>
        <v>0.13736263736263737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200</v>
      </c>
      <c r="Y272" s="53">
        <f t="shared" si="37"/>
        <v>201.6</v>
      </c>
      <c r="Z272" s="39">
        <f>IFERROR(IF(Y272=0,"",ROUNDUP(Y272/H272,0)*0.00651),"")</f>
        <v>0.54683999999999999</v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221.50000000000003</v>
      </c>
      <c r="BN272" s="75">
        <f t="shared" si="39"/>
        <v>223.27200000000002</v>
      </c>
      <c r="BO272" s="75">
        <f t="shared" si="40"/>
        <v>0.45787545787545797</v>
      </c>
      <c r="BP272" s="75">
        <f t="shared" si="41"/>
        <v>0.46153846153846156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297.22222222222229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299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1.9464899999999998</v>
      </c>
      <c r="AA274" s="64"/>
      <c r="AB274" s="64"/>
      <c r="AC274" s="64"/>
    </row>
    <row r="275" spans="1:68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713.33333333333337</v>
      </c>
      <c r="Y275" s="41">
        <f>IFERROR(SUM(Y262:Y273),"0")</f>
        <v>717.6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5.3333333333333339</v>
      </c>
      <c r="Y277" s="53">
        <f>IFERROR(IF(X277="",0,CEILING((X277/$H277),1)*$H277),"")</f>
        <v>7.1999999999999993</v>
      </c>
      <c r="Z277" s="39">
        <f>IFERROR(IF(Y277=0,"",ROUNDUP(Y277/H277,0)*0.00651),"")</f>
        <v>1.9529999999999999E-2</v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5.8933333333333344</v>
      </c>
      <c r="BN277" s="75">
        <f>IFERROR(Y277*I277/H277,"0")</f>
        <v>7.9560000000000004</v>
      </c>
      <c r="BO277" s="75">
        <f>IFERROR(1/J277*(X277/H277),"0")</f>
        <v>1.2210012210012213E-2</v>
      </c>
      <c r="BP277" s="75">
        <f>IFERROR(1/J277*(Y277/H277),"0")</f>
        <v>1.6483516483516484E-2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12</v>
      </c>
      <c r="Y278" s="53">
        <f>IFERROR(IF(X278="",0,CEILING((X278/$H278),1)*$H278),"")</f>
        <v>12</v>
      </c>
      <c r="Z278" s="39">
        <f>IFERROR(IF(Y278=0,"",ROUNDUP(Y278/H278,0)*0.00651),"")</f>
        <v>3.2550000000000003E-2</v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13.260000000000002</v>
      </c>
      <c r="BN278" s="75">
        <f>IFERROR(Y278*I278/H278,"0")</f>
        <v>13.260000000000002</v>
      </c>
      <c r="BO278" s="75">
        <f>IFERROR(1/J278*(X278/H278),"0")</f>
        <v>2.7472527472527476E-2</v>
      </c>
      <c r="BP278" s="75">
        <f>IFERROR(1/J278*(Y278/H278),"0")</f>
        <v>2.7472527472527476E-2</v>
      </c>
    </row>
    <row r="279" spans="1:68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7.2222222222222232</v>
      </c>
      <c r="Y279" s="41">
        <f>IFERROR(Y277/H277,"0")+IFERROR(Y278/H278,"0")</f>
        <v>8</v>
      </c>
      <c r="Z279" s="41">
        <f>IFERROR(IF(Z277="",0,Z277),"0")+IFERROR(IF(Z278="",0,Z278),"0")</f>
        <v>5.2080000000000001E-2</v>
      </c>
      <c r="AA279" s="64"/>
      <c r="AB279" s="64"/>
      <c r="AC279" s="64"/>
    </row>
    <row r="280" spans="1:68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17.333333333333336</v>
      </c>
      <c r="Y280" s="41">
        <f>IFERROR(SUM(Y277:Y278),"0")</f>
        <v>19.2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6.666666666666667</v>
      </c>
      <c r="Y283" s="53">
        <f t="shared" ref="Y283:Y289" si="42">IFERROR(IF(X283="",0,CEILING((X283/$H283),1)*$H283),"")</f>
        <v>11.6</v>
      </c>
      <c r="Z283" s="39">
        <f>IFERROR(IF(Y283=0,"",ROUNDUP(Y283/H283,0)*0.01898),"")</f>
        <v>1.898E-2</v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6.9022988505747129</v>
      </c>
      <c r="BN283" s="75">
        <f t="shared" ref="BN283:BN289" si="44">IFERROR(Y283*I283/H283,"0")</f>
        <v>12.01</v>
      </c>
      <c r="BO283" s="75">
        <f t="shared" ref="BO283:BO289" si="45">IFERROR(1/J283*(X283/H283),"0")</f>
        <v>8.9798850574712655E-3</v>
      </c>
      <c r="BP283" s="75">
        <f t="shared" ref="BP283:BP289" si="46">IFERROR(1/J283*(Y283/H283),"0")</f>
        <v>1.5625E-2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33.333333333333336</v>
      </c>
      <c r="Y285" s="53">
        <f t="shared" si="42"/>
        <v>34.799999999999997</v>
      </c>
      <c r="Z285" s="39">
        <f>IFERROR(IF(Y285=0,"",ROUNDUP(Y285/H285,0)*0.01898),"")</f>
        <v>5.6940000000000004E-2</v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34.511494252873568</v>
      </c>
      <c r="BN285" s="75">
        <f t="shared" si="44"/>
        <v>36.03</v>
      </c>
      <c r="BO285" s="75">
        <f t="shared" si="45"/>
        <v>4.4899425287356326E-2</v>
      </c>
      <c r="BP285" s="75">
        <f t="shared" si="46"/>
        <v>4.6875E-2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16</v>
      </c>
      <c r="Y286" s="53">
        <f t="shared" si="42"/>
        <v>16</v>
      </c>
      <c r="Z286" s="39">
        <f>IFERROR(IF(Y286=0,"",ROUNDUP(Y286/H286,0)*0.00902),"")</f>
        <v>3.6080000000000001E-2</v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16.760000000000002</v>
      </c>
      <c r="BN286" s="75">
        <f t="shared" si="44"/>
        <v>16.760000000000002</v>
      </c>
      <c r="BO286" s="75">
        <f t="shared" si="45"/>
        <v>3.0303030303030304E-2</v>
      </c>
      <c r="BP286" s="75">
        <f t="shared" si="46"/>
        <v>3.0303030303030304E-2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20</v>
      </c>
      <c r="Y289" s="53">
        <f t="shared" si="42"/>
        <v>20</v>
      </c>
      <c r="Z289" s="39">
        <f>IFERROR(IF(Y289=0,"",ROUNDUP(Y289/H289,0)*0.00902),"")</f>
        <v>4.5100000000000001E-2</v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20.950000000000003</v>
      </c>
      <c r="BN289" s="75">
        <f t="shared" si="44"/>
        <v>20.950000000000003</v>
      </c>
      <c r="BO289" s="75">
        <f t="shared" si="45"/>
        <v>3.787878787878788E-2</v>
      </c>
      <c r="BP289" s="75">
        <f t="shared" si="46"/>
        <v>3.787878787878788E-2</v>
      </c>
    </row>
    <row r="290" spans="1:68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12.448275862068966</v>
      </c>
      <c r="Y290" s="41">
        <f>IFERROR(Y283/H283,"0")+IFERROR(Y284/H284,"0")+IFERROR(Y285/H285,"0")+IFERROR(Y286/H286,"0")+IFERROR(Y287/H287,"0")+IFERROR(Y288/H288,"0")+IFERROR(Y289/H289,"0")</f>
        <v>13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0.15710000000000002</v>
      </c>
      <c r="AA290" s="64"/>
      <c r="AB290" s="64"/>
      <c r="AC290" s="64"/>
    </row>
    <row r="291" spans="1:68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76</v>
      </c>
      <c r="Y291" s="41">
        <f>IFERROR(SUM(Y283:Y289),"0")</f>
        <v>82.4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3.5999999999999996</v>
      </c>
      <c r="Y297" s="53">
        <f>IFERROR(IF(X297="",0,CEILING((X297/$H297),1)*$H297),"")</f>
        <v>3.6</v>
      </c>
      <c r="Z297" s="39">
        <f>IFERROR(IF(Y297=0,"",ROUNDUP(Y297/H297,0)*0.0059),"")</f>
        <v>1.18E-2</v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3.9499999999999997</v>
      </c>
      <c r="BN297" s="75">
        <f>IFERROR(Y297*I297/H297,"0")</f>
        <v>3.95</v>
      </c>
      <c r="BO297" s="75">
        <f>IFERROR(1/J297*(X297/H297),"0")</f>
        <v>9.259259259259257E-3</v>
      </c>
      <c r="BP297" s="75">
        <f>IFERROR(1/J297*(Y297/H297),"0")</f>
        <v>9.2592592592592587E-3</v>
      </c>
    </row>
    <row r="298" spans="1:68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1.9999999999999998</v>
      </c>
      <c r="Y298" s="41">
        <f>IFERROR(Y297/H297,"0")</f>
        <v>2</v>
      </c>
      <c r="Z298" s="41">
        <f>IFERROR(IF(Z297="",0,Z297),"0")</f>
        <v>1.18E-2</v>
      </c>
      <c r="AA298" s="64"/>
      <c r="AB298" s="64"/>
      <c r="AC298" s="64"/>
    </row>
    <row r="299" spans="1:68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3.5999999999999996</v>
      </c>
      <c r="Y299" s="41">
        <f>IFERROR(SUM(Y297:Y297),"0")</f>
        <v>3.6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53.333333333333343</v>
      </c>
      <c r="Y319" s="53">
        <f>IFERROR(IF(X319="",0,CEILING((X319/$H319),1)*$H319),"")</f>
        <v>55.199999999999996</v>
      </c>
      <c r="Z319" s="39">
        <f>IFERROR(IF(Y319=0,"",ROUNDUP(Y319/H319,0)*0.00651),"")</f>
        <v>0.14973</v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58.933333333333344</v>
      </c>
      <c r="BN319" s="75">
        <f>IFERROR(Y319*I319/H319,"0")</f>
        <v>60.996000000000002</v>
      </c>
      <c r="BO319" s="75">
        <f>IFERROR(1/J319*(X319/H319),"0")</f>
        <v>0.12210012210012214</v>
      </c>
      <c r="BP319" s="75">
        <f>IFERROR(1/J319*(Y319/H319),"0")</f>
        <v>0.1263736263736264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22.222222222222229</v>
      </c>
      <c r="Y321" s="41">
        <f>IFERROR(Y318/H318,"0")+IFERROR(Y319/H319,"0")+IFERROR(Y320/H320,"0")</f>
        <v>23</v>
      </c>
      <c r="Z321" s="41">
        <f>IFERROR(IF(Z318="",0,Z318),"0")+IFERROR(IF(Z319="",0,Z319),"0")+IFERROR(IF(Z320="",0,Z320),"0")</f>
        <v>0.14973</v>
      </c>
      <c r="AA321" s="64"/>
      <c r="AB321" s="64"/>
      <c r="AC321" s="64"/>
    </row>
    <row r="322" spans="1:68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53.333333333333343</v>
      </c>
      <c r="Y322" s="41">
        <f>IFERROR(SUM(Y318:Y320),"0")</f>
        <v>55.199999999999996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60</v>
      </c>
      <c r="Y339" s="53">
        <f>IFERROR(IF(X339="",0,CEILING((X339/$H339),1)*$H339),"")</f>
        <v>62.4</v>
      </c>
      <c r="Z339" s="39">
        <f>IFERROR(IF(Y339=0,"",ROUNDUP(Y339/H339,0)*0.01898),"")</f>
        <v>0.15184</v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63.15384615384616</v>
      </c>
      <c r="BN339" s="75">
        <f>IFERROR(Y339*I339/H339,"0")</f>
        <v>65.680000000000007</v>
      </c>
      <c r="BO339" s="75">
        <f>IFERROR(1/J339*(X339/H339),"0")</f>
        <v>0.1201923076923077</v>
      </c>
      <c r="BP339" s="75">
        <f>IFERROR(1/J339*(Y339/H339),"0")</f>
        <v>0.125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46.666666666666664</v>
      </c>
      <c r="Y340" s="53">
        <f>IFERROR(IF(X340="",0,CEILING((X340/$H340),1)*$H340),"")</f>
        <v>46.8</v>
      </c>
      <c r="Z340" s="39">
        <f>IFERROR(IF(Y340=0,"",ROUNDUP(Y340/H340,0)*0.01898),"")</f>
        <v>0.11388000000000001</v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49.119658119658119</v>
      </c>
      <c r="BN340" s="75">
        <f>IFERROR(Y340*I340/H340,"0")</f>
        <v>49.260000000000005</v>
      </c>
      <c r="BO340" s="75">
        <f>IFERROR(1/J340*(X340/H340),"0")</f>
        <v>9.3482905982905984E-2</v>
      </c>
      <c r="BP340" s="75">
        <f>IFERROR(1/J340*(Y340/H340),"0")</f>
        <v>9.375E-2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13.675213675213676</v>
      </c>
      <c r="Y342" s="41">
        <f>IFERROR(Y339/H339,"0")+IFERROR(Y340/H340,"0")+IFERROR(Y341/H341,"0")</f>
        <v>14</v>
      </c>
      <c r="Z342" s="41">
        <f>IFERROR(IF(Z339="",0,Z339),"0")+IFERROR(IF(Z340="",0,Z340),"0")+IFERROR(IF(Z341="",0,Z341),"0")</f>
        <v>0.26572000000000001</v>
      </c>
      <c r="AA342" s="64"/>
      <c r="AB342" s="64"/>
      <c r="AC342" s="64"/>
    </row>
    <row r="343" spans="1:68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106.66666666666666</v>
      </c>
      <c r="Y343" s="41">
        <f>IFERROR(SUM(Y339:Y341),"0")</f>
        <v>109.19999999999999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81.666666666666671</v>
      </c>
      <c r="Y359" s="53">
        <f t="shared" si="52"/>
        <v>81.900000000000006</v>
      </c>
      <c r="Z359" s="39">
        <f>IFERROR(IF(Y359=0,"",ROUNDUP(Y359/H359,0)*0.00502),"")</f>
        <v>0.19578000000000001</v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85.555555555555557</v>
      </c>
      <c r="BN359" s="75">
        <f t="shared" si="54"/>
        <v>85.800000000000011</v>
      </c>
      <c r="BO359" s="75">
        <f t="shared" si="55"/>
        <v>0.16619183285849956</v>
      </c>
      <c r="BP359" s="75">
        <f t="shared" si="56"/>
        <v>0.16666666666666669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38.888888888888893</v>
      </c>
      <c r="Y362" s="41">
        <f>IFERROR(Y355/H355,"0")+IFERROR(Y356/H356,"0")+IFERROR(Y357/H357,"0")+IFERROR(Y358/H358,"0")+IFERROR(Y359/H359,"0")+IFERROR(Y360/H360,"0")+IFERROR(Y361/H361,"0")</f>
        <v>39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0.19578000000000001</v>
      </c>
      <c r="AA362" s="64"/>
      <c r="AB362" s="64"/>
      <c r="AC362" s="64"/>
    </row>
    <row r="363" spans="1:68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81.666666666666671</v>
      </c>
      <c r="Y363" s="41">
        <f>IFERROR(SUM(Y355:Y361),"0")</f>
        <v>81.900000000000006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106.66666666666667</v>
      </c>
      <c r="Y372" s="53">
        <f>IFERROR(IF(X372="",0,CEILING((X372/$H372),1)*$H372),"")</f>
        <v>109.2</v>
      </c>
      <c r="Z372" s="39">
        <f>IFERROR(IF(Y372=0,"",ROUNDUP(Y372/H372,0)*0.01898),"")</f>
        <v>0.24674000000000001</v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112.93968253968254</v>
      </c>
      <c r="BN372" s="75">
        <f>IFERROR(Y372*I372/H372,"0")</f>
        <v>115.622</v>
      </c>
      <c r="BO372" s="75">
        <f>IFERROR(1/J372*(X372/H372),"0")</f>
        <v>0.1984126984126984</v>
      </c>
      <c r="BP372" s="75">
        <f>IFERROR(1/J372*(Y372/H372),"0")</f>
        <v>0.203125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166.66666666666666</v>
      </c>
      <c r="Y373" s="53">
        <f>IFERROR(IF(X373="",0,CEILING((X373/$H373),1)*$H373),"")</f>
        <v>171.6</v>
      </c>
      <c r="Z373" s="39">
        <f>IFERROR(IF(Y373=0,"",ROUNDUP(Y373/H373,0)*0.01898),"")</f>
        <v>0.41755999999999999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177.22222222222223</v>
      </c>
      <c r="BN373" s="75">
        <f>IFERROR(Y373*I373/H373,"0")</f>
        <v>182.46800000000002</v>
      </c>
      <c r="BO373" s="75">
        <f>IFERROR(1/J373*(X373/H373),"0")</f>
        <v>0.33386752136752135</v>
      </c>
      <c r="BP373" s="75">
        <f>IFERROR(1/J373*(Y373/H373),"0")</f>
        <v>0.34375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23.333333333333332</v>
      </c>
      <c r="Y374" s="53">
        <f>IFERROR(IF(X374="",0,CEILING((X374/$H374),1)*$H374),"")</f>
        <v>25.200000000000003</v>
      </c>
      <c r="Z374" s="39">
        <f>IFERROR(IF(Y374=0,"",ROUNDUP(Y374/H374,0)*0.01898),"")</f>
        <v>5.6940000000000004E-2</v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24.705555555555556</v>
      </c>
      <c r="BN374" s="75">
        <f>IFERROR(Y374*I374/H374,"0")</f>
        <v>26.682000000000002</v>
      </c>
      <c r="BO374" s="75">
        <f>IFERROR(1/J374*(X374/H374),"0")</f>
        <v>4.3402777777777776E-2</v>
      </c>
      <c r="BP374" s="75">
        <f>IFERROR(1/J374*(Y374/H374),"0")</f>
        <v>4.6875E-2</v>
      </c>
    </row>
    <row r="375" spans="1:68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36.843711843711844</v>
      </c>
      <c r="Y375" s="41">
        <f>IFERROR(Y372/H372,"0")+IFERROR(Y373/H373,"0")+IFERROR(Y374/H374,"0")</f>
        <v>38</v>
      </c>
      <c r="Z375" s="41">
        <f>IFERROR(IF(Z372="",0,Z372),"0")+IFERROR(IF(Z373="",0,Z373),"0")+IFERROR(IF(Z374="",0,Z374),"0")</f>
        <v>0.72123999999999999</v>
      </c>
      <c r="AA375" s="64"/>
      <c r="AB375" s="64"/>
      <c r="AC375" s="64"/>
    </row>
    <row r="376" spans="1:68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296.66666666666663</v>
      </c>
      <c r="Y376" s="41">
        <f>IFERROR(SUM(Y372:Y374),"0")</f>
        <v>306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408.33333333333331</v>
      </c>
      <c r="Y393" s="53">
        <f>IFERROR(IF(X393="",0,CEILING((X393/$H393),1)*$H393),"")</f>
        <v>409.5</v>
      </c>
      <c r="Z393" s="39">
        <f>IFERROR(IF(Y393=0,"",ROUNDUP(Y393/H393,0)*0.00651),"")</f>
        <v>1.26945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457.33333333333326</v>
      </c>
      <c r="BN393" s="75">
        <f>IFERROR(Y393*I393/H393,"0")</f>
        <v>458.63999999999993</v>
      </c>
      <c r="BO393" s="75">
        <f>IFERROR(1/J393*(X393/H393),"0")</f>
        <v>1.0683760683760684</v>
      </c>
      <c r="BP393" s="75">
        <f>IFERROR(1/J393*(Y393/H393),"0")</f>
        <v>1.0714285714285716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210</v>
      </c>
      <c r="Y394" s="53">
        <f>IFERROR(IF(X394="",0,CEILING((X394/$H394),1)*$H394),"")</f>
        <v>210</v>
      </c>
      <c r="Z394" s="39">
        <f>IFERROR(IF(Y394=0,"",ROUNDUP(Y394/H394,0)*0.00651),"")</f>
        <v>0.65100000000000002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233.99999999999997</v>
      </c>
      <c r="BN394" s="75">
        <f>IFERROR(Y394*I394/H394,"0")</f>
        <v>233.99999999999997</v>
      </c>
      <c r="BO394" s="75">
        <f>IFERROR(1/J394*(X394/H394),"0")</f>
        <v>0.5494505494505495</v>
      </c>
      <c r="BP394" s="75">
        <f>IFERROR(1/J394*(Y394/H394),"0")</f>
        <v>0.5494505494505495</v>
      </c>
    </row>
    <row r="395" spans="1:68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294.44444444444446</v>
      </c>
      <c r="Y395" s="41">
        <f>IFERROR(Y392/H392,"0")+IFERROR(Y393/H393,"0")+IFERROR(Y394/H394,"0")</f>
        <v>295</v>
      </c>
      <c r="Z395" s="41">
        <f>IFERROR(IF(Z392="",0,Z392),"0")+IFERROR(IF(Z393="",0,Z393),"0")+IFERROR(IF(Z394="",0,Z394),"0")</f>
        <v>1.92045</v>
      </c>
      <c r="AA395" s="64"/>
      <c r="AB395" s="64"/>
      <c r="AC395" s="64"/>
    </row>
    <row r="396" spans="1:68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618.33333333333326</v>
      </c>
      <c r="Y396" s="41">
        <f>IFERROR(SUM(Y392:Y394),"0")</f>
        <v>619.5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566.66666666666663</v>
      </c>
      <c r="Y401" s="53">
        <f t="shared" si="57"/>
        <v>570</v>
      </c>
      <c r="Z401" s="39">
        <f>IFERROR(IF(Y401=0,"",ROUNDUP(Y401/H401,0)*0.02175),"")</f>
        <v>0.8264999999999999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584.42222222222222</v>
      </c>
      <c r="BN401" s="75">
        <f t="shared" si="59"/>
        <v>587.86</v>
      </c>
      <c r="BO401" s="75">
        <f t="shared" si="60"/>
        <v>0.78703703703703698</v>
      </c>
      <c r="BP401" s="75">
        <f t="shared" si="61"/>
        <v>0.79166666666666663</v>
      </c>
    </row>
    <row r="402" spans="1:68" ht="27" hidden="1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430</v>
      </c>
      <c r="Y403" s="53">
        <f t="shared" si="57"/>
        <v>435</v>
      </c>
      <c r="Z403" s="39">
        <f>IFERROR(IF(Y403=0,"",ROUNDUP(Y403/H403,0)*0.02175),"")</f>
        <v>0.63074999999999992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443.47333333333336</v>
      </c>
      <c r="BN403" s="75">
        <f t="shared" si="59"/>
        <v>448.63000000000005</v>
      </c>
      <c r="BO403" s="75">
        <f t="shared" si="60"/>
        <v>0.59722222222222221</v>
      </c>
      <c r="BP403" s="75">
        <f t="shared" si="61"/>
        <v>0.60416666666666663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66.444444444444443</v>
      </c>
      <c r="Y408" s="41">
        <f>IFERROR(Y400/H400,"0")+IFERROR(Y401/H401,"0")+IFERROR(Y402/H402,"0")+IFERROR(Y403/H403,"0")+IFERROR(Y404/H404,"0")+IFERROR(Y405/H405,"0")+IFERROR(Y406/H406,"0")+IFERROR(Y407/H407,"0")</f>
        <v>67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1.4572499999999997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996.66666666666663</v>
      </c>
      <c r="Y409" s="41">
        <f>IFERROR(SUM(Y400:Y407),"0")</f>
        <v>1005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166.66666666666666</v>
      </c>
      <c r="Y411" s="53">
        <f>IFERROR(IF(X411="",0,CEILING((X411/$H411),1)*$H411),"")</f>
        <v>180</v>
      </c>
      <c r="Z411" s="39">
        <f>IFERROR(IF(Y411=0,"",ROUNDUP(Y411/H411,0)*0.02175),"")</f>
        <v>0.26100000000000001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171.88888888888889</v>
      </c>
      <c r="BN411" s="75">
        <f>IFERROR(Y411*I411/H411,"0")</f>
        <v>185.64</v>
      </c>
      <c r="BO411" s="75">
        <f>IFERROR(1/J411*(X411/H411),"0")</f>
        <v>0.23148148148148145</v>
      </c>
      <c r="BP411" s="75">
        <f>IFERROR(1/J411*(Y411/H411),"0")</f>
        <v>0.25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56.666666666666664</v>
      </c>
      <c r="Y412" s="53">
        <f>IFERROR(IF(X412="",0,CEILING((X412/$H412),1)*$H412),"")</f>
        <v>60</v>
      </c>
      <c r="Z412" s="39">
        <f>IFERROR(IF(Y412=0,"",ROUNDUP(Y412/H412,0)*0.02175),"")</f>
        <v>8.6999999999999994E-2</v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58.44222222222222</v>
      </c>
      <c r="BN412" s="75">
        <f>IFERROR(Y412*I412/H412,"0")</f>
        <v>61.88</v>
      </c>
      <c r="BO412" s="75">
        <f>IFERROR(1/J412*(X412/H412),"0")</f>
        <v>7.8703703703703692E-2</v>
      </c>
      <c r="BP412" s="75">
        <f>IFERROR(1/J412*(Y412/H412),"0")</f>
        <v>8.3333333333333329E-2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14.888888888888889</v>
      </c>
      <c r="Y414" s="41">
        <f>IFERROR(Y411/H411,"0")+IFERROR(Y412/H412,"0")+IFERROR(Y413/H413,"0")</f>
        <v>16</v>
      </c>
      <c r="Z414" s="41">
        <f>IFERROR(IF(Z411="",0,Z411),"0")+IFERROR(IF(Z412="",0,Z412),"0")+IFERROR(IF(Z413="",0,Z413),"0")</f>
        <v>0.34799999999999998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223.33333333333331</v>
      </c>
      <c r="Y415" s="41">
        <f>IFERROR(SUM(Y411:Y413),"0")</f>
        <v>240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26.666666666666668</v>
      </c>
      <c r="Y422" s="53">
        <f>IFERROR(IF(X422="",0,CEILING((X422/$H422),1)*$H422),"")</f>
        <v>27</v>
      </c>
      <c r="Z422" s="39">
        <f>IFERROR(IF(Y422=0,"",ROUNDUP(Y422/H422,0)*0.01898),"")</f>
        <v>5.6940000000000004E-2</v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28.130370370370372</v>
      </c>
      <c r="BN422" s="75">
        <f>IFERROR(Y422*I422/H422,"0")</f>
        <v>28.481999999999996</v>
      </c>
      <c r="BO422" s="75">
        <f>IFERROR(1/J422*(X422/H422),"0")</f>
        <v>4.6296296296296301E-2</v>
      </c>
      <c r="BP422" s="75">
        <f>IFERROR(1/J422*(Y422/H422),"0")</f>
        <v>4.6875E-2</v>
      </c>
    </row>
    <row r="423" spans="1:68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2.9629629629629632</v>
      </c>
      <c r="Y423" s="41">
        <f>IFERROR(Y422/H422,"0")</f>
        <v>3</v>
      </c>
      <c r="Z423" s="41">
        <f>IFERROR(IF(Z422="",0,Z422),"0")</f>
        <v>5.6940000000000004E-2</v>
      </c>
      <c r="AA423" s="64"/>
      <c r="AB423" s="64"/>
      <c r="AC423" s="64"/>
    </row>
    <row r="424" spans="1:68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26.666666666666668</v>
      </c>
      <c r="Y424" s="41">
        <f>IFERROR(SUM(Y422:Y422),"0")</f>
        <v>27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6.666666666666667</v>
      </c>
      <c r="Y427" s="53">
        <f>IFERROR(IF(X427="",0,CEILING((X427/$H427),1)*$H427),"")</f>
        <v>12</v>
      </c>
      <c r="Z427" s="39">
        <f>IFERROR(IF(Y427=0,"",ROUNDUP(Y427/H427,0)*0.01898),"")</f>
        <v>1.898E-2</v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6.8944444444444448</v>
      </c>
      <c r="BN427" s="75">
        <f>IFERROR(Y427*I427/H427,"0")</f>
        <v>12.410000000000002</v>
      </c>
      <c r="BO427" s="75">
        <f>IFERROR(1/J427*(X427/H427),"0")</f>
        <v>8.6805555555555559E-3</v>
      </c>
      <c r="BP427" s="75">
        <f>IFERROR(1/J427*(Y427/H427),"0")</f>
        <v>1.5625E-2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0.55555555555555558</v>
      </c>
      <c r="Y429" s="41">
        <f>IFERROR(Y427/H427,"0")+IFERROR(Y428/H428,"0")</f>
        <v>1</v>
      </c>
      <c r="Z429" s="41">
        <f>IFERROR(IF(Z427="",0,Z427),"0")+IFERROR(IF(Z428="",0,Z428),"0")</f>
        <v>1.898E-2</v>
      </c>
      <c r="AA429" s="64"/>
      <c r="AB429" s="64"/>
      <c r="AC429" s="64"/>
    </row>
    <row r="430" spans="1:68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6.666666666666667</v>
      </c>
      <c r="Y430" s="41">
        <f>IFERROR(SUM(Y427:Y428),"0")</f>
        <v>12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40</v>
      </c>
      <c r="Y436" s="53">
        <f>IFERROR(IF(X436="",0,CEILING((X436/$H436),1)*$H436),"")</f>
        <v>45</v>
      </c>
      <c r="Z436" s="39">
        <f>IFERROR(IF(Y436=0,"",ROUNDUP(Y436/H436,0)*0.01898),"")</f>
        <v>9.4899999999999998E-2</v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42.195555555555558</v>
      </c>
      <c r="BN436" s="75">
        <f>IFERROR(Y436*I436/H436,"0")</f>
        <v>47.47</v>
      </c>
      <c r="BO436" s="75">
        <f>IFERROR(1/J436*(X436/H436),"0")</f>
        <v>6.9444444444444448E-2</v>
      </c>
      <c r="BP436" s="75">
        <f>IFERROR(1/J436*(Y436/H436),"0")</f>
        <v>7.8125E-2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4.4444444444444446</v>
      </c>
      <c r="Y439" s="41">
        <f>IFERROR(Y436/H436,"0")+IFERROR(Y437/H437,"0")+IFERROR(Y438/H438,"0")</f>
        <v>5</v>
      </c>
      <c r="Z439" s="41">
        <f>IFERROR(IF(Z436="",0,Z436),"0")+IFERROR(IF(Z437="",0,Z437),"0")+IFERROR(IF(Z438="",0,Z438),"0")</f>
        <v>9.4899999999999998E-2</v>
      </c>
      <c r="AA439" s="64"/>
      <c r="AB439" s="64"/>
      <c r="AC439" s="64"/>
    </row>
    <row r="440" spans="1:68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40</v>
      </c>
      <c r="Y440" s="41">
        <f>IFERROR(SUM(Y436:Y438),"0")</f>
        <v>45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2.3333333333333335</v>
      </c>
      <c r="Y465" s="53">
        <f>IFERROR(IF(X465="",0,CEILING((X465/$H465),1)*$H465),"")</f>
        <v>4.2</v>
      </c>
      <c r="Z465" s="39">
        <f>IFERROR(IF(Y465=0,"",ROUNDUP(Y465/H465,0)*0.00502),"")</f>
        <v>1.004E-2</v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2.4777777777777779</v>
      </c>
      <c r="BN465" s="75">
        <f>IFERROR(Y465*I465/H465,"0")</f>
        <v>4.46</v>
      </c>
      <c r="BO465" s="75">
        <f>IFERROR(1/J465*(X465/H465),"0")</f>
        <v>4.7483380816714157E-3</v>
      </c>
      <c r="BP465" s="75">
        <f>IFERROR(1/J465*(Y465/H465),"0")</f>
        <v>8.5470085470085479E-3</v>
      </c>
    </row>
    <row r="466" spans="1:68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1.1111111111111112</v>
      </c>
      <c r="Y466" s="41">
        <f>IFERROR(Y463/H463,"0")+IFERROR(Y464/H464,"0")+IFERROR(Y465/H465,"0")</f>
        <v>2</v>
      </c>
      <c r="Z466" s="41">
        <f>IFERROR(IF(Z463="",0,Z463),"0")+IFERROR(IF(Z464="",0,Z464),"0")+IFERROR(IF(Z465="",0,Z465),"0")</f>
        <v>1.004E-2</v>
      </c>
      <c r="AA466" s="64"/>
      <c r="AB466" s="64"/>
      <c r="AC466" s="64"/>
    </row>
    <row r="467" spans="1:68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2.3333333333333335</v>
      </c>
      <c r="Y467" s="41">
        <f>IFERROR(SUM(Y463:Y465),"0")</f>
        <v>4.2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10</v>
      </c>
      <c r="Y471" s="53">
        <f t="shared" ref="Y471:Y479" si="67">IFERROR(IF(X471="",0,CEILING((X471/$H471),1)*$H471),"")</f>
        <v>10.56</v>
      </c>
      <c r="Z471" s="39">
        <f t="shared" ref="Z471:Z476" si="68">IFERROR(IF(Y471=0,"",ROUNDUP(Y471/H471,0)*0.01196),"")</f>
        <v>2.392E-2</v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10.662878787878787</v>
      </c>
      <c r="BN471" s="75">
        <f t="shared" ref="BN471:BN479" si="70">IFERROR(Y471*I471/H471,"0")</f>
        <v>11.26</v>
      </c>
      <c r="BO471" s="75">
        <f t="shared" ref="BO471:BO479" si="71">IFERROR(1/J471*(X471/H471),"0")</f>
        <v>1.8210955710955712E-2</v>
      </c>
      <c r="BP471" s="75">
        <f t="shared" ref="BP471:BP479" si="72">IFERROR(1/J471*(Y471/H471),"0")</f>
        <v>1.9230769230769232E-2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60</v>
      </c>
      <c r="Y474" s="53">
        <f t="shared" si="67"/>
        <v>63.36</v>
      </c>
      <c r="Z474" s="39">
        <f t="shared" si="68"/>
        <v>0.14352000000000001</v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63.977272727272727</v>
      </c>
      <c r="BN474" s="75">
        <f t="shared" si="70"/>
        <v>67.559999999999988</v>
      </c>
      <c r="BO474" s="75">
        <f t="shared" si="71"/>
        <v>0.10926573426573427</v>
      </c>
      <c r="BP474" s="75">
        <f t="shared" si="72"/>
        <v>0.11538461538461539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80</v>
      </c>
      <c r="Y478" s="53">
        <f t="shared" si="67"/>
        <v>81.599999999999994</v>
      </c>
      <c r="Z478" s="39">
        <f>IFERROR(IF(Y478=0,"",ROUNDUP(Y478/H478,0)*0.00902),"")</f>
        <v>0.15334</v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115.16666666666666</v>
      </c>
      <c r="BN478" s="75">
        <f t="shared" si="70"/>
        <v>117.47</v>
      </c>
      <c r="BO478" s="75">
        <f t="shared" si="71"/>
        <v>0.12626262626262627</v>
      </c>
      <c r="BP478" s="75">
        <f t="shared" si="72"/>
        <v>0.12878787878787878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140</v>
      </c>
      <c r="Y479" s="53">
        <f t="shared" si="67"/>
        <v>144</v>
      </c>
      <c r="Z479" s="39">
        <f>IFERROR(IF(Y479=0,"",ROUNDUP(Y479/H479,0)*0.00902),"")</f>
        <v>0.27060000000000001</v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201.54166666666666</v>
      </c>
      <c r="BN479" s="75">
        <f t="shared" si="70"/>
        <v>207.3</v>
      </c>
      <c r="BO479" s="75">
        <f t="shared" si="71"/>
        <v>0.22095959595959597</v>
      </c>
      <c r="BP479" s="75">
        <f t="shared" si="72"/>
        <v>0.22727272727272729</v>
      </c>
    </row>
    <row r="480" spans="1:68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59.090909090909093</v>
      </c>
      <c r="Y480" s="41">
        <f>IFERROR(Y471/H471,"0")+IFERROR(Y472/H472,"0")+IFERROR(Y473/H473,"0")+IFERROR(Y474/H474,"0")+IFERROR(Y475/H475,"0")+IFERROR(Y476/H476,"0")+IFERROR(Y477/H477,"0")+IFERROR(Y478/H478,"0")+IFERROR(Y479/H479,"0")</f>
        <v>61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0.59138000000000002</v>
      </c>
      <c r="AA480" s="64"/>
      <c r="AB480" s="64"/>
      <c r="AC480" s="64"/>
    </row>
    <row r="481" spans="1:68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290</v>
      </c>
      <c r="Y481" s="41">
        <f>IFERROR(SUM(Y471:Y479),"0")</f>
        <v>299.52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hidden="1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40</v>
      </c>
      <c r="Y485" s="53">
        <f>IFERROR(IF(X485="",0,CEILING((X485/$H485),1)*$H485),"")</f>
        <v>43.199999999999996</v>
      </c>
      <c r="Z485" s="39">
        <f>IFERROR(IF(Y485=0,"",ROUNDUP(Y485/H485,0)*0.00902),"")</f>
        <v>8.1180000000000002E-2</v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57.583333333333329</v>
      </c>
      <c r="BN485" s="75">
        <f>IFERROR(Y485*I485/H485,"0")</f>
        <v>62.190000000000005</v>
      </c>
      <c r="BO485" s="75">
        <f>IFERROR(1/J485*(X485/H485),"0")</f>
        <v>6.3131313131313135E-2</v>
      </c>
      <c r="BP485" s="75">
        <f>IFERROR(1/J485*(Y485/H485),"0")</f>
        <v>6.8181818181818177E-2</v>
      </c>
    </row>
    <row r="486" spans="1:68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8.3333333333333339</v>
      </c>
      <c r="Y486" s="41">
        <f>IFERROR(Y483/H483,"0")+IFERROR(Y484/H484,"0")+IFERROR(Y485/H485,"0")</f>
        <v>9</v>
      </c>
      <c r="Z486" s="41">
        <f>IFERROR(IF(Z483="",0,Z483),"0")+IFERROR(IF(Z484="",0,Z484),"0")+IFERROR(IF(Z485="",0,Z485),"0")</f>
        <v>8.1180000000000002E-2</v>
      </c>
      <c r="AA486" s="64"/>
      <c r="AB486" s="64"/>
      <c r="AC486" s="64"/>
    </row>
    <row r="487" spans="1:68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40</v>
      </c>
      <c r="Y487" s="41">
        <f>IFERROR(SUM(Y483:Y485),"0")</f>
        <v>43.199999999999996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116.66666666666667</v>
      </c>
      <c r="Y491" s="53">
        <f t="shared" si="73"/>
        <v>121.44000000000001</v>
      </c>
      <c r="Z491" s="39">
        <f>IFERROR(IF(Y491=0,"",ROUNDUP(Y491/H491,0)*0.01196),"")</f>
        <v>0.27507999999999999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124.40025252525253</v>
      </c>
      <c r="BN491" s="75">
        <f t="shared" si="75"/>
        <v>129.49</v>
      </c>
      <c r="BO491" s="75">
        <f t="shared" si="76"/>
        <v>0.21246114996114995</v>
      </c>
      <c r="BP491" s="75">
        <f t="shared" si="77"/>
        <v>0.22115384615384617</v>
      </c>
    </row>
    <row r="492" spans="1:68" ht="27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55.999999999999993</v>
      </c>
      <c r="Y492" s="53">
        <f t="shared" si="73"/>
        <v>57.599999999999994</v>
      </c>
      <c r="Z492" s="39">
        <f>IFERROR(IF(Y492=0,"",ROUNDUP(Y492/H492,0)*0.00902),"")</f>
        <v>0.10824</v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80.61666666666666</v>
      </c>
      <c r="BN492" s="75">
        <f t="shared" si="75"/>
        <v>82.92</v>
      </c>
      <c r="BO492" s="75">
        <f t="shared" si="76"/>
        <v>8.8383838383838384E-2</v>
      </c>
      <c r="BP492" s="75">
        <f t="shared" si="77"/>
        <v>9.0909090909090912E-2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8</v>
      </c>
      <c r="Y494" s="53">
        <f t="shared" si="73"/>
        <v>9.6</v>
      </c>
      <c r="Z494" s="39">
        <f>IFERROR(IF(Y494=0,"",ROUNDUP(Y494/H494,0)*0.00902),"")</f>
        <v>1.804E-2</v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11.116666666666667</v>
      </c>
      <c r="BN494" s="75">
        <f t="shared" si="75"/>
        <v>13.34</v>
      </c>
      <c r="BO494" s="75">
        <f t="shared" si="76"/>
        <v>1.2626262626262628E-2</v>
      </c>
      <c r="BP494" s="75">
        <f t="shared" si="77"/>
        <v>1.5151515151515152E-2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40</v>
      </c>
      <c r="Y495" s="53">
        <f t="shared" si="73"/>
        <v>43.199999999999996</v>
      </c>
      <c r="Z495" s="39">
        <f>IFERROR(IF(Y495=0,"",ROUNDUP(Y495/H495,0)*0.00902),"")</f>
        <v>8.1180000000000002E-2</v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55.583333333333336</v>
      </c>
      <c r="BN495" s="75">
        <f t="shared" si="75"/>
        <v>60.029999999999994</v>
      </c>
      <c r="BO495" s="75">
        <f t="shared" si="76"/>
        <v>6.3131313131313135E-2</v>
      </c>
      <c r="BP495" s="75">
        <f t="shared" si="77"/>
        <v>6.8181818181818177E-2</v>
      </c>
    </row>
    <row r="496" spans="1:68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43.762626262626263</v>
      </c>
      <c r="Y496" s="41">
        <f>IFERROR(Y489/H489,"0")+IFERROR(Y490/H490,"0")+IFERROR(Y491/H491,"0")+IFERROR(Y492/H492,"0")+IFERROR(Y493/H493,"0")+IFERROR(Y494/H494,"0")+IFERROR(Y495/H495,"0")</f>
        <v>46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0.48253999999999997</v>
      </c>
      <c r="AA496" s="64"/>
      <c r="AB496" s="64"/>
      <c r="AC496" s="64"/>
    </row>
    <row r="497" spans="1:68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220.66666666666666</v>
      </c>
      <c r="Y497" s="41">
        <f>IFERROR(SUM(Y489:Y495),"0")</f>
        <v>231.84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66.666666666666671</v>
      </c>
      <c r="Y501" s="53">
        <f>IFERROR(IF(X501="",0,CEILING((X501/$H501),1)*$H501),"")</f>
        <v>72</v>
      </c>
      <c r="Z501" s="39">
        <f>IFERROR(IF(Y501=0,"",ROUNDUP(Y501/H501,0)*0.01898),"")</f>
        <v>0.11388000000000001</v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68.944444444444443</v>
      </c>
      <c r="BN501" s="75">
        <f>IFERROR(Y501*I501/H501,"0")</f>
        <v>74.459999999999994</v>
      </c>
      <c r="BO501" s="75">
        <f>IFERROR(1/J501*(X501/H501),"0")</f>
        <v>8.6805555555555566E-2</v>
      </c>
      <c r="BP501" s="75">
        <f>IFERROR(1/J501*(Y501/H501),"0")</f>
        <v>9.375E-2</v>
      </c>
    </row>
    <row r="502" spans="1:68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5.5555555555555562</v>
      </c>
      <c r="Y502" s="41">
        <f>IFERROR(Y501/H501,"0")</f>
        <v>6</v>
      </c>
      <c r="Z502" s="41">
        <f>IFERROR(IF(Z501="",0,Z501),"0")</f>
        <v>0.11388000000000001</v>
      </c>
      <c r="AA502" s="64"/>
      <c r="AB502" s="64"/>
      <c r="AC502" s="64"/>
    </row>
    <row r="503" spans="1:68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66.666666666666671</v>
      </c>
      <c r="Y503" s="41">
        <f>IFERROR(SUM(Y501:Y501),"0")</f>
        <v>72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333.33333333333331</v>
      </c>
      <c r="Y514" s="53">
        <f>IFERROR(IF(X514="",0,CEILING((X514/$H514),1)*$H514),"")</f>
        <v>342</v>
      </c>
      <c r="Z514" s="39">
        <f>IFERROR(IF(Y514=0,"",ROUNDUP(Y514/H514,0)*0.01898),"")</f>
        <v>0.72123999999999999</v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351.62962962962962</v>
      </c>
      <c r="BN514" s="75">
        <f>IFERROR(Y514*I514/H514,"0")</f>
        <v>360.77199999999999</v>
      </c>
      <c r="BO514" s="75">
        <f>IFERROR(1/J514*(X514/H514),"0")</f>
        <v>0.57870370370370372</v>
      </c>
      <c r="BP514" s="75">
        <f>IFERROR(1/J514*(Y514/H514),"0")</f>
        <v>0.59375</v>
      </c>
    </row>
    <row r="515" spans="1:68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37.037037037037038</v>
      </c>
      <c r="Y515" s="41">
        <f>IFERROR(Y514/H514,"0")</f>
        <v>38</v>
      </c>
      <c r="Z515" s="41">
        <f>IFERROR(IF(Z514="",0,Z514),"0")</f>
        <v>0.72123999999999999</v>
      </c>
      <c r="AA515" s="64"/>
      <c r="AB515" s="64"/>
      <c r="AC515" s="64"/>
    </row>
    <row r="516" spans="1:68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333.33333333333331</v>
      </c>
      <c r="Y516" s="41">
        <f>IFERROR(SUM(Y514:Y514),"0")</f>
        <v>342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6958.6333333333341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7124.5599999999986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7560.5730659088349</v>
      </c>
      <c r="Y528" s="41">
        <f>IFERROR(SUM(BN22:BN524),"0")</f>
        <v>7741.5840000000017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14</v>
      </c>
      <c r="Y529" s="42">
        <f>ROUNDUP(SUM(BP22:BP524),0)</f>
        <v>14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7910.5730659088349</v>
      </c>
      <c r="Y530" s="41">
        <f>GrossWeightTotalR+PalletQtyTotalR*25</f>
        <v>8091.5840000000017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1869.9985733012552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1903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15.995010000000001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67.199999999999989</v>
      </c>
      <c r="D537" s="50">
        <f>IFERROR(Y51*1,"0")+IFERROR(Y52*1,"0")+IFERROR(Y53*1,"0")+IFERROR(Y54*1,"0")</f>
        <v>200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390.7</v>
      </c>
      <c r="F537" s="50">
        <f>IFERROR(Y87*1,"0")+IFERROR(Y88*1,"0")+IFERROR(Y89*1,"0")+IFERROR(Y90*1,"0")+IFERROR(Y94*1,"0")+IFERROR(Y95*1,"0")+IFERROR(Y96*1,"0")+IFERROR(Y97*1,"0")</f>
        <v>828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810.82</v>
      </c>
      <c r="H537" s="50">
        <f>IFERROR(Y133*1,"0")+IFERROR(Y134*1,"0")+IFERROR(Y138*1,"0")+IFERROR(Y139*1,"0")+IFERROR(Y143*1,"0")+IFERROR(Y144*1,"0")</f>
        <v>20.160000000000004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84.32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219.80000000000004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924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86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55.199999999999996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109.19999999999999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387.90000000000003</v>
      </c>
      <c r="U537" s="50">
        <f>IFERROR(Y392*1,"0")+IFERROR(Y393*1,"0")+IFERROR(Y394*1,"0")</f>
        <v>619.5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1272</v>
      </c>
      <c r="W537" s="50">
        <f>IFERROR(Y427*1,"0")+IFERROR(Y428*1,"0")+IFERROR(Y432*1,"0")+IFERROR(Y436*1,"0")+IFERROR(Y437*1,"0")+IFERROR(Y438*1,"0")</f>
        <v>57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4.2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574.56000000000006</v>
      </c>
      <c r="AA537" s="50">
        <f>IFERROR(Y501*1,"0")+IFERROR(Y505*1,"0")+IFERROR(Y509*1,"0")+IFERROR(Y510*1,"0")+IFERROR(Y514*1,"0")+IFERROR(Y518*1,"0")+IFERROR(Y519*1,"0")</f>
        <v>414</v>
      </c>
      <c r="AB537" s="50">
        <f>IFERROR(Y524*1,"0")</f>
        <v>0</v>
      </c>
      <c r="AC537" s="9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67"/>
        <filter val="1 870,00"/>
        <filter val="1,00"/>
        <filter val="1,11"/>
        <filter val="1,20"/>
        <filter val="1,33"/>
        <filter val="10,00"/>
        <filter val="100,00"/>
        <filter val="106,67"/>
        <filter val="116,67"/>
        <filter val="12,00"/>
        <filter val="12,45"/>
        <filter val="13,33"/>
        <filter val="13,68"/>
        <filter val="135,00"/>
        <filter val="135,67"/>
        <filter val="14"/>
        <filter val="14,89"/>
        <filter val="140,00"/>
        <filter val="155,23"/>
        <filter val="156,79"/>
        <filter val="16,00"/>
        <filter val="16,50"/>
        <filter val="166,67"/>
        <filter val="17,33"/>
        <filter val="183,67"/>
        <filter val="186,17"/>
        <filter val="19,26"/>
        <filter val="2,00"/>
        <filter val="2,33"/>
        <filter val="2,50"/>
        <filter val="2,78"/>
        <filter val="2,96"/>
        <filter val="20,00"/>
        <filter val="200,00"/>
        <filter val="21,33"/>
        <filter val="210,00"/>
        <filter val="22,22"/>
        <filter val="220,67"/>
        <filter val="223,33"/>
        <filter val="23,33"/>
        <filter val="24,27"/>
        <filter val="243,33"/>
        <filter val="25,20"/>
        <filter val="253,33"/>
        <filter val="26,67"/>
        <filter val="285,00"/>
        <filter val="290,00"/>
        <filter val="294,44"/>
        <filter val="296,67"/>
        <filter val="297,22"/>
        <filter val="3,33"/>
        <filter val="3,50"/>
        <filter val="3,60"/>
        <filter val="30,00"/>
        <filter val="315,00"/>
        <filter val="318,33"/>
        <filter val="32,00"/>
        <filter val="32,67"/>
        <filter val="33,33"/>
        <filter val="333,33"/>
        <filter val="345,00"/>
        <filter val="36,84"/>
        <filter val="37,04"/>
        <filter val="38,89"/>
        <filter val="390,00"/>
        <filter val="4,00"/>
        <filter val="4,44"/>
        <filter val="40,00"/>
        <filter val="408,33"/>
        <filter val="42,67"/>
        <filter val="43,76"/>
        <filter val="430,00"/>
        <filter val="435,33"/>
        <filter val="45,00"/>
        <filter val="45,59"/>
        <filter val="46,67"/>
        <filter val="49,75"/>
        <filter val="490,00"/>
        <filter val="5,33"/>
        <filter val="5,40"/>
        <filter val="5,56"/>
        <filter val="50,00"/>
        <filter val="50,67"/>
        <filter val="52,50"/>
        <filter val="53,33"/>
        <filter val="56,00"/>
        <filter val="56,67"/>
        <filter val="566,67"/>
        <filter val="59,09"/>
        <filter val="6 958,63"/>
        <filter val="6,53"/>
        <filter val="6,67"/>
        <filter val="60,00"/>
        <filter val="618,33"/>
        <filter val="64,00"/>
        <filter val="66,42"/>
        <filter val="66,44"/>
        <filter val="66,67"/>
        <filter val="7 560,57"/>
        <filter val="7 910,57"/>
        <filter val="7,22"/>
        <filter val="713,33"/>
        <filter val="72,78"/>
        <filter val="76,00"/>
        <filter val="77,80"/>
        <filter val="8,00"/>
        <filter val="8,33"/>
        <filter val="8,80"/>
        <filter val="8,87"/>
        <filter val="80,00"/>
        <filter val="81,67"/>
        <filter val="84,75"/>
        <filter val="92,78"/>
        <filter val="996,67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9" spans="2:8" x14ac:dyDescent="0.2">
      <c r="B9" s="51" t="s">
        <v>827</v>
      </c>
      <c r="C9" s="51" t="s">
        <v>822</v>
      </c>
      <c r="D9" s="51" t="s">
        <v>46</v>
      </c>
      <c r="E9" s="51" t="s">
        <v>46</v>
      </c>
    </row>
    <row r="11" spans="2:8" x14ac:dyDescent="0.2">
      <c r="B11" s="51" t="s">
        <v>827</v>
      </c>
      <c r="C11" s="51" t="s">
        <v>825</v>
      </c>
      <c r="D11" s="51" t="s">
        <v>46</v>
      </c>
      <c r="E11" s="51" t="s">
        <v>46</v>
      </c>
    </row>
    <row r="13" spans="2:8" x14ac:dyDescent="0.2">
      <c r="B13" s="51" t="s">
        <v>828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838</v>
      </c>
      <c r="C23" s="51" t="s">
        <v>46</v>
      </c>
      <c r="D23" s="51" t="s">
        <v>46</v>
      </c>
      <c r="E23" s="51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1075</vt:i4>
      </vt:variant>
    </vt:vector>
  </HeadingPairs>
  <TitlesOfParts>
    <vt:vector size="10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