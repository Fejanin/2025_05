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4AFF2E-D585-4687-B89A-0BA458C9F38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Z505" i="2" s="1"/>
  <c r="Z506" i="2" s="1"/>
  <c r="P505" i="2"/>
  <c r="X503" i="2"/>
  <c r="X502" i="2"/>
  <c r="BO501" i="2"/>
  <c r="BM501" i="2"/>
  <c r="Y501" i="2"/>
  <c r="Y502" i="2" s="1"/>
  <c r="P501" i="2"/>
  <c r="X497" i="2"/>
  <c r="X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Z491" i="2" s="1"/>
  <c r="P491" i="2"/>
  <c r="BO490" i="2"/>
  <c r="BM490" i="2"/>
  <c r="Y490" i="2"/>
  <c r="BP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N485" i="2" s="1"/>
  <c r="P485" i="2"/>
  <c r="BO484" i="2"/>
  <c r="BM484" i="2"/>
  <c r="Y484" i="2"/>
  <c r="BP484" i="2" s="1"/>
  <c r="P484" i="2"/>
  <c r="BO483" i="2"/>
  <c r="BM483" i="2"/>
  <c r="Y483" i="2"/>
  <c r="P483" i="2"/>
  <c r="X481" i="2"/>
  <c r="X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BO446" i="2"/>
  <c r="BM446" i="2"/>
  <c r="Y446" i="2"/>
  <c r="Z446" i="2" s="1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X430" i="2"/>
  <c r="X429" i="2"/>
  <c r="BO428" i="2"/>
  <c r="BM428" i="2"/>
  <c r="Y428" i="2"/>
  <c r="P428" i="2"/>
  <c r="BO427" i="2"/>
  <c r="BM427" i="2"/>
  <c r="Y427" i="2"/>
  <c r="BN427" i="2" s="1"/>
  <c r="P427" i="2"/>
  <c r="X424" i="2"/>
  <c r="X423" i="2"/>
  <c r="BO422" i="2"/>
  <c r="BM422" i="2"/>
  <c r="Y422" i="2"/>
  <c r="Y424" i="2" s="1"/>
  <c r="P422" i="2"/>
  <c r="X420" i="2"/>
  <c r="X419" i="2"/>
  <c r="BO418" i="2"/>
  <c r="BM418" i="2"/>
  <c r="Y418" i="2"/>
  <c r="BN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Z401" i="2" s="1"/>
  <c r="P401" i="2"/>
  <c r="BO400" i="2"/>
  <c r="BM400" i="2"/>
  <c r="Y400" i="2"/>
  <c r="P400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N374" i="2" s="1"/>
  <c r="P374" i="2"/>
  <c r="BO373" i="2"/>
  <c r="BM373" i="2"/>
  <c r="Y373" i="2"/>
  <c r="BN373" i="2" s="1"/>
  <c r="P373" i="2"/>
  <c r="BO372" i="2"/>
  <c r="BM372" i="2"/>
  <c r="Y372" i="2"/>
  <c r="Z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P355" i="2" s="1"/>
  <c r="P355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BO349" i="2"/>
  <c r="BM349" i="2"/>
  <c r="Y349" i="2"/>
  <c r="BN349" i="2" s="1"/>
  <c r="P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X336" i="2"/>
  <c r="X335" i="2"/>
  <c r="BO334" i="2"/>
  <c r="BM334" i="2"/>
  <c r="Y334" i="2"/>
  <c r="Z334" i="2" s="1"/>
  <c r="P334" i="2"/>
  <c r="BO333" i="2"/>
  <c r="BM333" i="2"/>
  <c r="Y333" i="2"/>
  <c r="BP333" i="2" s="1"/>
  <c r="P333" i="2"/>
  <c r="X331" i="2"/>
  <c r="X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P318" i="2"/>
  <c r="X315" i="2"/>
  <c r="X314" i="2"/>
  <c r="BO313" i="2"/>
  <c r="BM313" i="2"/>
  <c r="Y313" i="2"/>
  <c r="P313" i="2"/>
  <c r="BO312" i="2"/>
  <c r="BM312" i="2"/>
  <c r="Y312" i="2"/>
  <c r="BP312" i="2" s="1"/>
  <c r="P312" i="2"/>
  <c r="BO311" i="2"/>
  <c r="BM311" i="2"/>
  <c r="Y311" i="2"/>
  <c r="BN311" i="2" s="1"/>
  <c r="P311" i="2"/>
  <c r="BO310" i="2"/>
  <c r="BM310" i="2"/>
  <c r="Y310" i="2"/>
  <c r="Z310" i="2" s="1"/>
  <c r="P310" i="2"/>
  <c r="BO309" i="2"/>
  <c r="BM309" i="2"/>
  <c r="Y309" i="2"/>
  <c r="P309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BP301" i="2" s="1"/>
  <c r="P301" i="2"/>
  <c r="X299" i="2"/>
  <c r="X298" i="2"/>
  <c r="BO297" i="2"/>
  <c r="BM297" i="2"/>
  <c r="Y297" i="2"/>
  <c r="BN297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N284" i="2" s="1"/>
  <c r="P284" i="2"/>
  <c r="BO283" i="2"/>
  <c r="BM283" i="2"/>
  <c r="Y283" i="2"/>
  <c r="P283" i="2"/>
  <c r="X280" i="2"/>
  <c r="X279" i="2"/>
  <c r="BO278" i="2"/>
  <c r="BM278" i="2"/>
  <c r="Y278" i="2"/>
  <c r="P278" i="2"/>
  <c r="BO277" i="2"/>
  <c r="BM277" i="2"/>
  <c r="Y277" i="2"/>
  <c r="BN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BN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BO256" i="2"/>
  <c r="BM256" i="2"/>
  <c r="Y256" i="2"/>
  <c r="Z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N253" i="2" s="1"/>
  <c r="P253" i="2"/>
  <c r="BO252" i="2"/>
  <c r="BM252" i="2"/>
  <c r="Y252" i="2"/>
  <c r="BP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X244" i="2"/>
  <c r="X243" i="2"/>
  <c r="BO242" i="2"/>
  <c r="BM242" i="2"/>
  <c r="Y242" i="2"/>
  <c r="P242" i="2"/>
  <c r="BO241" i="2"/>
  <c r="BM241" i="2"/>
  <c r="Y241" i="2"/>
  <c r="BP241" i="2" s="1"/>
  <c r="P241" i="2"/>
  <c r="X238" i="2"/>
  <c r="X237" i="2"/>
  <c r="BO236" i="2"/>
  <c r="BM236" i="2"/>
  <c r="Y236" i="2"/>
  <c r="P236" i="2"/>
  <c r="X234" i="2"/>
  <c r="X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P215" i="2" s="1"/>
  <c r="P215" i="2"/>
  <c r="BO214" i="2"/>
  <c r="BM214" i="2"/>
  <c r="Y214" i="2"/>
  <c r="P214" i="2"/>
  <c r="BO213" i="2"/>
  <c r="BM213" i="2"/>
  <c r="Y213" i="2"/>
  <c r="Z213" i="2" s="1"/>
  <c r="P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X206" i="2"/>
  <c r="X205" i="2"/>
  <c r="BO204" i="2"/>
  <c r="BM204" i="2"/>
  <c r="Y204" i="2"/>
  <c r="P204" i="2"/>
  <c r="X201" i="2"/>
  <c r="X200" i="2"/>
  <c r="BO199" i="2"/>
  <c r="BM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N197" i="2" s="1"/>
  <c r="P197" i="2"/>
  <c r="BO196" i="2"/>
  <c r="BM196" i="2"/>
  <c r="Y196" i="2"/>
  <c r="BN196" i="2" s="1"/>
  <c r="P196" i="2"/>
  <c r="X192" i="2"/>
  <c r="X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X183" i="2"/>
  <c r="X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X177" i="2"/>
  <c r="X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BN167" i="2" s="1"/>
  <c r="P167" i="2"/>
  <c r="BO166" i="2"/>
  <c r="BM166" i="2"/>
  <c r="Y166" i="2"/>
  <c r="BP166" i="2" s="1"/>
  <c r="P166" i="2"/>
  <c r="X164" i="2"/>
  <c r="X163" i="2"/>
  <c r="BO162" i="2"/>
  <c r="BM162" i="2"/>
  <c r="Y162" i="2"/>
  <c r="P162" i="2"/>
  <c r="X160" i="2"/>
  <c r="X159" i="2"/>
  <c r="BO158" i="2"/>
  <c r="BM158" i="2"/>
  <c r="Y158" i="2"/>
  <c r="BP158" i="2" s="1"/>
  <c r="P158" i="2"/>
  <c r="BO157" i="2"/>
  <c r="BM157" i="2"/>
  <c r="Y157" i="2"/>
  <c r="BN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Z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Z128" i="2" s="1"/>
  <c r="Z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BN122" i="2" s="1"/>
  <c r="P122" i="2"/>
  <c r="BO121" i="2"/>
  <c r="BM121" i="2"/>
  <c r="Y121" i="2"/>
  <c r="Z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X99" i="2"/>
  <c r="X98" i="2"/>
  <c r="BO97" i="2"/>
  <c r="BM97" i="2"/>
  <c r="Y97" i="2"/>
  <c r="BN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N94" i="2" s="1"/>
  <c r="P94" i="2"/>
  <c r="X92" i="2"/>
  <c r="X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P81" i="2" s="1"/>
  <c r="P81" i="2"/>
  <c r="X79" i="2"/>
  <c r="X78" i="2"/>
  <c r="BO77" i="2"/>
  <c r="BM77" i="2"/>
  <c r="Y77" i="2"/>
  <c r="Z77" i="2" s="1"/>
  <c r="P77" i="2"/>
  <c r="BO76" i="2"/>
  <c r="BM76" i="2"/>
  <c r="Y76" i="2"/>
  <c r="BP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X67" i="2"/>
  <c r="X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396" i="2" l="1"/>
  <c r="Z106" i="2"/>
  <c r="Z277" i="2"/>
  <c r="Z218" i="2"/>
  <c r="BN218" i="2"/>
  <c r="Z359" i="2"/>
  <c r="Z53" i="2"/>
  <c r="Z169" i="2"/>
  <c r="Z262" i="2"/>
  <c r="Z339" i="2"/>
  <c r="BN339" i="2"/>
  <c r="Z380" i="2"/>
  <c r="Z36" i="2"/>
  <c r="Z37" i="2" s="1"/>
  <c r="Z82" i="2"/>
  <c r="Z115" i="2"/>
  <c r="Z175" i="2"/>
  <c r="Z241" i="2"/>
  <c r="BN241" i="2"/>
  <c r="Z270" i="2"/>
  <c r="Z303" i="2"/>
  <c r="Z349" i="2"/>
  <c r="Z365" i="2"/>
  <c r="Z406" i="2"/>
  <c r="BP30" i="2"/>
  <c r="Z44" i="2"/>
  <c r="BN44" i="2"/>
  <c r="Z72" i="2"/>
  <c r="Z108" i="2"/>
  <c r="Z116" i="2"/>
  <c r="BN116" i="2"/>
  <c r="Z122" i="2"/>
  <c r="Z217" i="2"/>
  <c r="Z220" i="2"/>
  <c r="Z252" i="2"/>
  <c r="Z267" i="2"/>
  <c r="Z271" i="2"/>
  <c r="Z304" i="2"/>
  <c r="BN304" i="2"/>
  <c r="Z350" i="2"/>
  <c r="BN350" i="2"/>
  <c r="Z360" i="2"/>
  <c r="BN360" i="2"/>
  <c r="Z402" i="2"/>
  <c r="Z485" i="2"/>
  <c r="Z495" i="2"/>
  <c r="BP23" i="2"/>
  <c r="BN28" i="2"/>
  <c r="BN54" i="2"/>
  <c r="BN70" i="2"/>
  <c r="BN104" i="2"/>
  <c r="BN107" i="2"/>
  <c r="BN124" i="2"/>
  <c r="BN134" i="2"/>
  <c r="BN149" i="2"/>
  <c r="Z149" i="2"/>
  <c r="BP151" i="2"/>
  <c r="Z151" i="2"/>
  <c r="BP162" i="2"/>
  <c r="Y164" i="2"/>
  <c r="Y163" i="2"/>
  <c r="BN162" i="2"/>
  <c r="BN174" i="2"/>
  <c r="BP186" i="2"/>
  <c r="BN186" i="2"/>
  <c r="Z186" i="2"/>
  <c r="BN208" i="2"/>
  <c r="Z208" i="2"/>
  <c r="BN214" i="2"/>
  <c r="Z214" i="2"/>
  <c r="BN219" i="2"/>
  <c r="BP231" i="2"/>
  <c r="BN231" i="2"/>
  <c r="Z231" i="2"/>
  <c r="BN254" i="2"/>
  <c r="Z254" i="2"/>
  <c r="BP265" i="2"/>
  <c r="Z265" i="2"/>
  <c r="BP283" i="2"/>
  <c r="Z283" i="2"/>
  <c r="X528" i="2"/>
  <c r="Z23" i="2"/>
  <c r="Z31" i="2"/>
  <c r="D537" i="2"/>
  <c r="BN60" i="2"/>
  <c r="Z62" i="2"/>
  <c r="BN63" i="2"/>
  <c r="Z64" i="2"/>
  <c r="BN65" i="2"/>
  <c r="BP77" i="2"/>
  <c r="Z95" i="2"/>
  <c r="BN96" i="2"/>
  <c r="Z97" i="2"/>
  <c r="BP115" i="2"/>
  <c r="BN128" i="2"/>
  <c r="Y140" i="2"/>
  <c r="BN138" i="2"/>
  <c r="Z143" i="2"/>
  <c r="Z145" i="2" s="1"/>
  <c r="BN143" i="2"/>
  <c r="BN173" i="2"/>
  <c r="Z173" i="2"/>
  <c r="BN247" i="2"/>
  <c r="Z247" i="2"/>
  <c r="BP254" i="2"/>
  <c r="BP255" i="2"/>
  <c r="BN255" i="2"/>
  <c r="Z255" i="2"/>
  <c r="BN257" i="2"/>
  <c r="Z257" i="2"/>
  <c r="BP268" i="2"/>
  <c r="Z268" i="2"/>
  <c r="BN273" i="2"/>
  <c r="Z273" i="2"/>
  <c r="BP293" i="2"/>
  <c r="Y295" i="2"/>
  <c r="BN334" i="2"/>
  <c r="BN340" i="2"/>
  <c r="BN351" i="2"/>
  <c r="BN361" i="2"/>
  <c r="BP374" i="2"/>
  <c r="BN379" i="2"/>
  <c r="BP392" i="2"/>
  <c r="BN393" i="2"/>
  <c r="Y395" i="2"/>
  <c r="BN404" i="2"/>
  <c r="BN432" i="2"/>
  <c r="Y455" i="2"/>
  <c r="BP479" i="2"/>
  <c r="BN484" i="2"/>
  <c r="BN494" i="2"/>
  <c r="BN158" i="2"/>
  <c r="BN166" i="2"/>
  <c r="BN198" i="2"/>
  <c r="BN211" i="2"/>
  <c r="BP217" i="2"/>
  <c r="BP270" i="2"/>
  <c r="BP271" i="2"/>
  <c r="BN272" i="2"/>
  <c r="Y298" i="2"/>
  <c r="Z301" i="2"/>
  <c r="BP303" i="2"/>
  <c r="Z312" i="2"/>
  <c r="BN319" i="2"/>
  <c r="Z325" i="2"/>
  <c r="BN326" i="2"/>
  <c r="Z348" i="2"/>
  <c r="BP349" i="2"/>
  <c r="BN355" i="2"/>
  <c r="Z358" i="2"/>
  <c r="BP359" i="2"/>
  <c r="Z368" i="2"/>
  <c r="Y376" i="2"/>
  <c r="Z374" i="2"/>
  <c r="BP381" i="2"/>
  <c r="Y389" i="2"/>
  <c r="BN386" i="2"/>
  <c r="Z392" i="2"/>
  <c r="BN394" i="2"/>
  <c r="BP406" i="2"/>
  <c r="BN407" i="2"/>
  <c r="Z412" i="2"/>
  <c r="Y433" i="2"/>
  <c r="Y434" i="2"/>
  <c r="BN436" i="2"/>
  <c r="Z437" i="2"/>
  <c r="BN438" i="2"/>
  <c r="Z444" i="2"/>
  <c r="BN444" i="2"/>
  <c r="BN446" i="2"/>
  <c r="Z449" i="2"/>
  <c r="BN449" i="2"/>
  <c r="Z453" i="2"/>
  <c r="BN453" i="2"/>
  <c r="Y456" i="2"/>
  <c r="BN454" i="2"/>
  <c r="BN463" i="2"/>
  <c r="Y466" i="2"/>
  <c r="BN474" i="2"/>
  <c r="Z479" i="2"/>
  <c r="BN491" i="2"/>
  <c r="Z501" i="2"/>
  <c r="Z502" i="2" s="1"/>
  <c r="Z509" i="2"/>
  <c r="J9" i="2"/>
  <c r="Y83" i="2"/>
  <c r="BP172" i="2"/>
  <c r="Y206" i="2"/>
  <c r="Y205" i="2"/>
  <c r="BP204" i="2"/>
  <c r="BN357" i="2"/>
  <c r="Z357" i="2"/>
  <c r="X529" i="2"/>
  <c r="X531" i="2"/>
  <c r="C537" i="2"/>
  <c r="Y56" i="2"/>
  <c r="BP52" i="2"/>
  <c r="Z61" i="2"/>
  <c r="BP61" i="2"/>
  <c r="BP63" i="2"/>
  <c r="Z71" i="2"/>
  <c r="BP71" i="2"/>
  <c r="Z81" i="2"/>
  <c r="Z83" i="2" s="1"/>
  <c r="F537" i="2"/>
  <c r="BP87" i="2"/>
  <c r="BN88" i="2"/>
  <c r="Z90" i="2"/>
  <c r="Z94" i="2"/>
  <c r="BP94" i="2"/>
  <c r="Y99" i="2"/>
  <c r="Z105" i="2"/>
  <c r="BP105" i="2"/>
  <c r="Z114" i="2"/>
  <c r="BP114" i="2"/>
  <c r="H537" i="2"/>
  <c r="Z139" i="2"/>
  <c r="BP167" i="2"/>
  <c r="Z167" i="2"/>
  <c r="Z172" i="2"/>
  <c r="BP181" i="2"/>
  <c r="Z181" i="2"/>
  <c r="Z190" i="2"/>
  <c r="Z191" i="2" s="1"/>
  <c r="Y192" i="2"/>
  <c r="BN190" i="2"/>
  <c r="Y191" i="2"/>
  <c r="BP197" i="2"/>
  <c r="Z199" i="2"/>
  <c r="Z204" i="2"/>
  <c r="Z205" i="2" s="1"/>
  <c r="BP209" i="2"/>
  <c r="Z209" i="2"/>
  <c r="BP232" i="2"/>
  <c r="BN232" i="2"/>
  <c r="Z232" i="2"/>
  <c r="BN251" i="2"/>
  <c r="BP251" i="2"/>
  <c r="BN269" i="2"/>
  <c r="BP269" i="2"/>
  <c r="Z269" i="2"/>
  <c r="BN285" i="2"/>
  <c r="BP285" i="2"/>
  <c r="Z285" i="2"/>
  <c r="BN288" i="2"/>
  <c r="Z288" i="2"/>
  <c r="Z346" i="2"/>
  <c r="Y353" i="2"/>
  <c r="BN347" i="2"/>
  <c r="Z347" i="2"/>
  <c r="Y429" i="2"/>
  <c r="BN428" i="2"/>
  <c r="BP428" i="2"/>
  <c r="Z428" i="2"/>
  <c r="BP475" i="2"/>
  <c r="BN475" i="2"/>
  <c r="Z475" i="2"/>
  <c r="Z483" i="2"/>
  <c r="BN483" i="2"/>
  <c r="Z493" i="2"/>
  <c r="BN493" i="2"/>
  <c r="BP518" i="2"/>
  <c r="Z518" i="2"/>
  <c r="Y141" i="2"/>
  <c r="BN150" i="2"/>
  <c r="Z150" i="2"/>
  <c r="Y244" i="2"/>
  <c r="BN242" i="2"/>
  <c r="BN405" i="2"/>
  <c r="BP405" i="2"/>
  <c r="Z405" i="2"/>
  <c r="BP417" i="2"/>
  <c r="Z417" i="2"/>
  <c r="X527" i="2"/>
  <c r="BN27" i="2"/>
  <c r="Z28" i="2"/>
  <c r="BN29" i="2"/>
  <c r="BP31" i="2"/>
  <c r="Y47" i="2"/>
  <c r="BN45" i="2"/>
  <c r="BN51" i="2"/>
  <c r="Y55" i="2"/>
  <c r="Z60" i="2"/>
  <c r="BN62" i="2"/>
  <c r="Y66" i="2"/>
  <c r="Z70" i="2"/>
  <c r="BN72" i="2"/>
  <c r="Y74" i="2"/>
  <c r="BN76" i="2"/>
  <c r="BP82" i="2"/>
  <c r="Z87" i="2"/>
  <c r="BN95" i="2"/>
  <c r="BP97" i="2"/>
  <c r="Z104" i="2"/>
  <c r="BN106" i="2"/>
  <c r="BP108" i="2"/>
  <c r="Y119" i="2"/>
  <c r="BP112" i="2"/>
  <c r="BN117" i="2"/>
  <c r="Z124" i="2"/>
  <c r="Z134" i="2"/>
  <c r="Z138" i="2"/>
  <c r="BP138" i="2"/>
  <c r="I537" i="2"/>
  <c r="Z197" i="2"/>
  <c r="BP212" i="2"/>
  <c r="BN212" i="2"/>
  <c r="Z212" i="2"/>
  <c r="BP221" i="2"/>
  <c r="BN221" i="2"/>
  <c r="BN264" i="2"/>
  <c r="BP264" i="2"/>
  <c r="Z264" i="2"/>
  <c r="BP278" i="2"/>
  <c r="Z278" i="2"/>
  <c r="Z279" i="2" s="1"/>
  <c r="BP309" i="2"/>
  <c r="BN309" i="2"/>
  <c r="BP320" i="2"/>
  <c r="BN320" i="2"/>
  <c r="BP328" i="2"/>
  <c r="Z328" i="2"/>
  <c r="Y409" i="2"/>
  <c r="BN400" i="2"/>
  <c r="Z400" i="2"/>
  <c r="BN514" i="2"/>
  <c r="Z514" i="2"/>
  <c r="Z515" i="2" s="1"/>
  <c r="K537" i="2"/>
  <c r="BP196" i="2"/>
  <c r="Z196" i="2"/>
  <c r="BP199" i="2"/>
  <c r="BN226" i="2"/>
  <c r="BP226" i="2"/>
  <c r="Z226" i="2"/>
  <c r="H9" i="2"/>
  <c r="BP53" i="2"/>
  <c r="BP64" i="2"/>
  <c r="BN81" i="2"/>
  <c r="Y84" i="2"/>
  <c r="BN90" i="2"/>
  <c r="G537" i="2"/>
  <c r="BP102" i="2"/>
  <c r="BP122" i="2"/>
  <c r="BN139" i="2"/>
  <c r="BP150" i="2"/>
  <c r="BP171" i="2"/>
  <c r="Z171" i="2"/>
  <c r="BN216" i="2"/>
  <c r="BP216" i="2"/>
  <c r="Z216" i="2"/>
  <c r="Y237" i="2"/>
  <c r="Y238" i="2"/>
  <c r="BN236" i="2"/>
  <c r="Z236" i="2"/>
  <c r="Z237" i="2" s="1"/>
  <c r="BN302" i="2"/>
  <c r="BP302" i="2"/>
  <c r="Z302" i="2"/>
  <c r="BN313" i="2"/>
  <c r="BP313" i="2"/>
  <c r="Z313" i="2"/>
  <c r="Y343" i="2"/>
  <c r="BN341" i="2"/>
  <c r="BP357" i="2"/>
  <c r="Z378" i="2"/>
  <c r="Y382" i="2"/>
  <c r="BN378" i="2"/>
  <c r="BP403" i="2"/>
  <c r="Z403" i="2"/>
  <c r="BN490" i="2"/>
  <c r="Z490" i="2"/>
  <c r="Y222" i="2"/>
  <c r="Y233" i="2"/>
  <c r="M537" i="2"/>
  <c r="Y248" i="2"/>
  <c r="BP267" i="2"/>
  <c r="BN286" i="2"/>
  <c r="BP297" i="2"/>
  <c r="Y299" i="2"/>
  <c r="BP311" i="2"/>
  <c r="Y321" i="2"/>
  <c r="Y342" i="2"/>
  <c r="Y363" i="2"/>
  <c r="BP367" i="2"/>
  <c r="BP385" i="2"/>
  <c r="W537" i="2"/>
  <c r="BP445" i="2"/>
  <c r="Y451" i="2"/>
  <c r="Y481" i="2"/>
  <c r="Y511" i="2"/>
  <c r="Y188" i="2"/>
  <c r="BP208" i="2"/>
  <c r="Z211" i="2"/>
  <c r="BP214" i="2"/>
  <c r="BP220" i="2"/>
  <c r="BN265" i="2"/>
  <c r="BP273" i="2"/>
  <c r="BP277" i="2"/>
  <c r="Z293" i="2"/>
  <c r="Z294" i="2" s="1"/>
  <c r="Y294" i="2"/>
  <c r="Y306" i="2"/>
  <c r="Z311" i="2"/>
  <c r="Z319" i="2"/>
  <c r="BN325" i="2"/>
  <c r="Z326" i="2"/>
  <c r="BP327" i="2"/>
  <c r="S537" i="2"/>
  <c r="Z340" i="2"/>
  <c r="Z351" i="2"/>
  <c r="Z361" i="2"/>
  <c r="BN365" i="2"/>
  <c r="Z367" i="2"/>
  <c r="Z379" i="2"/>
  <c r="BN380" i="2"/>
  <c r="Z385" i="2"/>
  <c r="BN392" i="2"/>
  <c r="Z394" i="2"/>
  <c r="BP402" i="2"/>
  <c r="Z404" i="2"/>
  <c r="Z413" i="2"/>
  <c r="Z427" i="2"/>
  <c r="BP427" i="2"/>
  <c r="BN437" i="2"/>
  <c r="Z438" i="2"/>
  <c r="Z439" i="2" s="1"/>
  <c r="X537" i="2"/>
  <c r="Z445" i="2"/>
  <c r="Z454" i="2"/>
  <c r="Z455" i="2" s="1"/>
  <c r="BP454" i="2"/>
  <c r="Z463" i="2"/>
  <c r="Z484" i="2"/>
  <c r="BP491" i="2"/>
  <c r="Z494" i="2"/>
  <c r="BN495" i="2"/>
  <c r="BN509" i="2"/>
  <c r="Z158" i="2"/>
  <c r="Z162" i="2"/>
  <c r="Z163" i="2" s="1"/>
  <c r="Z166" i="2"/>
  <c r="BP169" i="2"/>
  <c r="BP175" i="2"/>
  <c r="Y182" i="2"/>
  <c r="BP179" i="2"/>
  <c r="Z248" i="2"/>
  <c r="BP247" i="2"/>
  <c r="BP257" i="2"/>
  <c r="Z289" i="2"/>
  <c r="BP386" i="2"/>
  <c r="U537" i="2"/>
  <c r="Z393" i="2"/>
  <c r="Z407" i="2"/>
  <c r="BP412" i="2"/>
  <c r="Z432" i="2"/>
  <c r="Z433" i="2" s="1"/>
  <c r="Y439" i="2"/>
  <c r="BP446" i="2"/>
  <c r="BN448" i="2"/>
  <c r="Y467" i="2"/>
  <c r="Z537" i="2"/>
  <c r="BP471" i="2"/>
  <c r="BN473" i="2"/>
  <c r="Z474" i="2"/>
  <c r="Z477" i="2"/>
  <c r="Y486" i="2"/>
  <c r="Y496" i="2"/>
  <c r="AA537" i="2"/>
  <c r="BP501" i="2"/>
  <c r="Y98" i="2"/>
  <c r="Y109" i="2"/>
  <c r="BP152" i="2"/>
  <c r="Y176" i="2"/>
  <c r="BP185" i="2"/>
  <c r="Y200" i="2"/>
  <c r="BP210" i="2"/>
  <c r="BP230" i="2"/>
  <c r="Z251" i="2"/>
  <c r="BP253" i="2"/>
  <c r="BP263" i="2"/>
  <c r="Y274" i="2"/>
  <c r="BP284" i="2"/>
  <c r="BP318" i="2"/>
  <c r="Z327" i="2"/>
  <c r="BP329" i="2"/>
  <c r="BP373" i="2"/>
  <c r="Z381" i="2"/>
  <c r="BP418" i="2"/>
  <c r="Y430" i="2"/>
  <c r="Z464" i="2"/>
  <c r="Z476" i="2"/>
  <c r="BP478" i="2"/>
  <c r="Z510" i="2"/>
  <c r="Z511" i="2" s="1"/>
  <c r="Y515" i="2"/>
  <c r="J537" i="2"/>
  <c r="BP133" i="2"/>
  <c r="BP157" i="2"/>
  <c r="BP22" i="2"/>
  <c r="Z30" i="2"/>
  <c r="BP32" i="2"/>
  <c r="BP128" i="2"/>
  <c r="Y33" i="2"/>
  <c r="Z42" i="2"/>
  <c r="Z54" i="2"/>
  <c r="Z65" i="2"/>
  <c r="BN77" i="2"/>
  <c r="Z88" i="2"/>
  <c r="BN121" i="2"/>
  <c r="BN144" i="2"/>
  <c r="BN168" i="2"/>
  <c r="BP190" i="2"/>
  <c r="BN213" i="2"/>
  <c r="Z221" i="2"/>
  <c r="Y234" i="2"/>
  <c r="BN246" i="2"/>
  <c r="BN256" i="2"/>
  <c r="Y259" i="2"/>
  <c r="BN266" i="2"/>
  <c r="Y279" i="2"/>
  <c r="BN287" i="2"/>
  <c r="Y290" i="2"/>
  <c r="Z297" i="2"/>
  <c r="Z298" i="2" s="1"/>
  <c r="BN310" i="2"/>
  <c r="Y322" i="2"/>
  <c r="BP334" i="2"/>
  <c r="BN346" i="2"/>
  <c r="BN356" i="2"/>
  <c r="BN366" i="2"/>
  <c r="Y369" i="2"/>
  <c r="BP378" i="2"/>
  <c r="BN401" i="2"/>
  <c r="BN411" i="2"/>
  <c r="Y414" i="2"/>
  <c r="BP436" i="2"/>
  <c r="BP448" i="2"/>
  <c r="BN459" i="2"/>
  <c r="Z471" i="2"/>
  <c r="BP473" i="2"/>
  <c r="BP483" i="2"/>
  <c r="BP493" i="2"/>
  <c r="BN505" i="2"/>
  <c r="Y520" i="2"/>
  <c r="BP43" i="2"/>
  <c r="Y38" i="2"/>
  <c r="BP27" i="2"/>
  <c r="BP51" i="2"/>
  <c r="Y129" i="2"/>
  <c r="Y153" i="2"/>
  <c r="Y330" i="2"/>
  <c r="Y419" i="2"/>
  <c r="Y440" i="2"/>
  <c r="BN464" i="2"/>
  <c r="BN476" i="2"/>
  <c r="Y487" i="2"/>
  <c r="Y497" i="2"/>
  <c r="BN510" i="2"/>
  <c r="L537" i="2"/>
  <c r="Y91" i="2"/>
  <c r="Y110" i="2"/>
  <c r="BP121" i="2"/>
  <c r="Y135" i="2"/>
  <c r="BP144" i="2"/>
  <c r="Y159" i="2"/>
  <c r="BP168" i="2"/>
  <c r="Y177" i="2"/>
  <c r="Y201" i="2"/>
  <c r="BP213" i="2"/>
  <c r="BP246" i="2"/>
  <c r="BP256" i="2"/>
  <c r="BP266" i="2"/>
  <c r="Y275" i="2"/>
  <c r="BP287" i="2"/>
  <c r="BP310" i="2"/>
  <c r="Y335" i="2"/>
  <c r="BP346" i="2"/>
  <c r="BP356" i="2"/>
  <c r="BP366" i="2"/>
  <c r="BP401" i="2"/>
  <c r="BP411" i="2"/>
  <c r="BP459" i="2"/>
  <c r="BP505" i="2"/>
  <c r="Y516" i="2"/>
  <c r="Y260" i="2"/>
  <c r="Y280" i="2"/>
  <c r="Y291" i="2"/>
  <c r="Y305" i="2"/>
  <c r="Y352" i="2"/>
  <c r="Y362" i="2"/>
  <c r="Y370" i="2"/>
  <c r="Y415" i="2"/>
  <c r="Y521" i="2"/>
  <c r="O537" i="2"/>
  <c r="Y34" i="2"/>
  <c r="Z45" i="2"/>
  <c r="Y73" i="2"/>
  <c r="F9" i="2"/>
  <c r="BP42" i="2"/>
  <c r="Z52" i="2"/>
  <c r="Y78" i="2"/>
  <c r="Z96" i="2"/>
  <c r="Z107" i="2"/>
  <c r="Z117" i="2"/>
  <c r="Y130" i="2"/>
  <c r="Y145" i="2"/>
  <c r="Y154" i="2"/>
  <c r="Z174" i="2"/>
  <c r="Z198" i="2"/>
  <c r="Z219" i="2"/>
  <c r="Z242" i="2"/>
  <c r="Z272" i="2"/>
  <c r="Y331" i="2"/>
  <c r="Z341" i="2"/>
  <c r="Y420" i="2"/>
  <c r="Y460" i="2"/>
  <c r="Z489" i="2"/>
  <c r="Y506" i="2"/>
  <c r="P537" i="2"/>
  <c r="Y92" i="2"/>
  <c r="Y136" i="2"/>
  <c r="Y160" i="2"/>
  <c r="Y336" i="2"/>
  <c r="Q537" i="2"/>
  <c r="BN501" i="2"/>
  <c r="Z524" i="2"/>
  <c r="Z525" i="2" s="1"/>
  <c r="R537" i="2"/>
  <c r="A10" i="2"/>
  <c r="Y24" i="2"/>
  <c r="Z43" i="2"/>
  <c r="Y79" i="2"/>
  <c r="Z89" i="2"/>
  <c r="BN102" i="2"/>
  <c r="BN112" i="2"/>
  <c r="Y125" i="2"/>
  <c r="Z133" i="2"/>
  <c r="Y146" i="2"/>
  <c r="Z157" i="2"/>
  <c r="BN179" i="2"/>
  <c r="BN204" i="2"/>
  <c r="Y227" i="2"/>
  <c r="BP236" i="2"/>
  <c r="Y314" i="2"/>
  <c r="Z333" i="2"/>
  <c r="Z335" i="2" s="1"/>
  <c r="Z387" i="2"/>
  <c r="Z422" i="2"/>
  <c r="Z423" i="2" s="1"/>
  <c r="Z447" i="2"/>
  <c r="Y461" i="2"/>
  <c r="Z472" i="2"/>
  <c r="Z492" i="2"/>
  <c r="Y507" i="2"/>
  <c r="BN518" i="2"/>
  <c r="BN36" i="2"/>
  <c r="BN151" i="2"/>
  <c r="Y187" i="2"/>
  <c r="BN209" i="2"/>
  <c r="BP242" i="2"/>
  <c r="BN252" i="2"/>
  <c r="BN262" i="2"/>
  <c r="BN283" i="2"/>
  <c r="BN293" i="2"/>
  <c r="BN328" i="2"/>
  <c r="BP341" i="2"/>
  <c r="BN372" i="2"/>
  <c r="Y375" i="2"/>
  <c r="Y383" i="2"/>
  <c r="BN417" i="2"/>
  <c r="BN465" i="2"/>
  <c r="BN477" i="2"/>
  <c r="Y480" i="2"/>
  <c r="BP489" i="2"/>
  <c r="Y512" i="2"/>
  <c r="BN524" i="2"/>
  <c r="T537" i="2"/>
  <c r="Z29" i="2"/>
  <c r="BN43" i="2"/>
  <c r="Y46" i="2"/>
  <c r="Y67" i="2"/>
  <c r="Z76" i="2"/>
  <c r="Z78" i="2" s="1"/>
  <c r="BN89" i="2"/>
  <c r="BN133" i="2"/>
  <c r="Y223" i="2"/>
  <c r="Z286" i="2"/>
  <c r="Z309" i="2"/>
  <c r="Z320" i="2"/>
  <c r="BN333" i="2"/>
  <c r="Z355" i="2"/>
  <c r="BN387" i="2"/>
  <c r="BN422" i="2"/>
  <c r="BN447" i="2"/>
  <c r="Y450" i="2"/>
  <c r="BN472" i="2"/>
  <c r="BN492" i="2"/>
  <c r="B537" i="2"/>
  <c r="Y25" i="2"/>
  <c r="BP36" i="2"/>
  <c r="Y118" i="2"/>
  <c r="Y126" i="2"/>
  <c r="Y183" i="2"/>
  <c r="Y228" i="2"/>
  <c r="Y243" i="2"/>
  <c r="Y315" i="2"/>
  <c r="BP372" i="2"/>
  <c r="Y408" i="2"/>
  <c r="BP465" i="2"/>
  <c r="BP524" i="2"/>
  <c r="V537" i="2"/>
  <c r="BP422" i="2"/>
  <c r="BP447" i="2"/>
  <c r="BP472" i="2"/>
  <c r="Z22" i="2"/>
  <c r="Z59" i="2"/>
  <c r="Z103" i="2"/>
  <c r="Z113" i="2"/>
  <c r="Z123" i="2"/>
  <c r="Z170" i="2"/>
  <c r="Z215" i="2"/>
  <c r="Z225" i="2"/>
  <c r="Z258" i="2"/>
  <c r="Z519" i="2"/>
  <c r="Y525" i="2"/>
  <c r="E537" i="2"/>
  <c r="Z32" i="2"/>
  <c r="Z69" i="2"/>
  <c r="Z180" i="2"/>
  <c r="BN87" i="2"/>
  <c r="Z152" i="2"/>
  <c r="Z185" i="2"/>
  <c r="Z210" i="2"/>
  <c r="Z230" i="2"/>
  <c r="Z253" i="2"/>
  <c r="Z263" i="2"/>
  <c r="Z284" i="2"/>
  <c r="Z318" i="2"/>
  <c r="Z329" i="2"/>
  <c r="Z373" i="2"/>
  <c r="Z375" i="2" s="1"/>
  <c r="BN385" i="2"/>
  <c r="Y388" i="2"/>
  <c r="BP400" i="2"/>
  <c r="Z418" i="2"/>
  <c r="Y423" i="2"/>
  <c r="Z478" i="2"/>
  <c r="Y503" i="2"/>
  <c r="Y537" i="2"/>
  <c r="BN59" i="2"/>
  <c r="BN69" i="2"/>
  <c r="BN103" i="2"/>
  <c r="BN113" i="2"/>
  <c r="BN123" i="2"/>
  <c r="BP149" i="2"/>
  <c r="BN170" i="2"/>
  <c r="BN180" i="2"/>
  <c r="BN215" i="2"/>
  <c r="BN225" i="2"/>
  <c r="Y249" i="2"/>
  <c r="BN258" i="2"/>
  <c r="BN268" i="2"/>
  <c r="BN278" i="2"/>
  <c r="BN289" i="2"/>
  <c r="BN301" i="2"/>
  <c r="BN312" i="2"/>
  <c r="BN348" i="2"/>
  <c r="BN358" i="2"/>
  <c r="BN368" i="2"/>
  <c r="BN403" i="2"/>
  <c r="BN413" i="2"/>
  <c r="BP485" i="2"/>
  <c r="BN519" i="2"/>
  <c r="BN230" i="2"/>
  <c r="BN318" i="2"/>
  <c r="Y526" i="2"/>
  <c r="Z243" i="2" l="1"/>
  <c r="X530" i="2"/>
  <c r="Z24" i="2"/>
  <c r="Z159" i="2"/>
  <c r="Z55" i="2"/>
  <c r="Z466" i="2"/>
  <c r="Z429" i="2"/>
  <c r="Z305" i="2"/>
  <c r="Z450" i="2"/>
  <c r="Z419" i="2"/>
  <c r="Z274" i="2"/>
  <c r="Z187" i="2"/>
  <c r="Z520" i="2"/>
  <c r="Z227" i="2"/>
  <c r="Z176" i="2"/>
  <c r="Z135" i="2"/>
  <c r="Z98" i="2"/>
  <c r="Z330" i="2"/>
  <c r="Z140" i="2"/>
  <c r="Z414" i="2"/>
  <c r="Z66" i="2"/>
  <c r="Z408" i="2"/>
  <c r="Z290" i="2"/>
  <c r="Z222" i="2"/>
  <c r="Z153" i="2"/>
  <c r="Z182" i="2"/>
  <c r="Z109" i="2"/>
  <c r="Z362" i="2"/>
  <c r="Z388" i="2"/>
  <c r="Z496" i="2"/>
  <c r="Z200" i="2"/>
  <c r="Z91" i="2"/>
  <c r="Z382" i="2"/>
  <c r="Z395" i="2"/>
  <c r="Z369" i="2"/>
  <c r="Z73" i="2"/>
  <c r="Z314" i="2"/>
  <c r="Y529" i="2"/>
  <c r="Z259" i="2"/>
  <c r="Z352" i="2"/>
  <c r="Y528" i="2"/>
  <c r="Z33" i="2"/>
  <c r="Z486" i="2"/>
  <c r="Z125" i="2"/>
  <c r="Z321" i="2"/>
  <c r="Z233" i="2"/>
  <c r="Z118" i="2"/>
  <c r="Z342" i="2"/>
  <c r="Y527" i="2"/>
  <c r="Z46" i="2"/>
  <c r="Y531" i="2"/>
  <c r="Z480" i="2"/>
  <c r="Y530" i="2" l="1"/>
  <c r="Z532" i="2"/>
</calcChain>
</file>

<file path=xl/sharedStrings.xml><?xml version="1.0" encoding="utf-8"?>
<sst xmlns="http://schemas.openxmlformats.org/spreadsheetml/2006/main" count="3957" uniqueCount="845">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</sst>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844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827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3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0.45833333333333331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120</v>
      </c>
      <c r="Y61" s="53">
        <f t="shared" si="6"/>
        <v>129.60000000000002</v>
      </c>
      <c r="Z61" s="39">
        <f>IFERROR(IF(Y61=0,"",ROUNDUP(Y61/H61,0)*0.01898),"")</f>
        <v>0.22776000000000002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124.55555555555556</v>
      </c>
      <c r="BN61" s="75">
        <f t="shared" si="8"/>
        <v>134.52000000000001</v>
      </c>
      <c r="BO61" s="75">
        <f t="shared" si="9"/>
        <v>0.1736111111111111</v>
      </c>
      <c r="BP61" s="75">
        <f t="shared" si="10"/>
        <v>0.18750000000000003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11.111111111111111</v>
      </c>
      <c r="Y66" s="41">
        <f>IFERROR(Y59/H59,"0")+IFERROR(Y60/H60,"0")+IFERROR(Y61/H61,"0")+IFERROR(Y62/H62,"0")+IFERROR(Y63/H63,"0")+IFERROR(Y64/H64,"0")+IFERROR(Y65/H65,"0")</f>
        <v>12.000000000000002</v>
      </c>
      <c r="Z66" s="41">
        <f>IFERROR(IF(Z59="",0,Z59),"0")+IFERROR(IF(Z60="",0,Z60),"0")+IFERROR(IF(Z61="",0,Z61),"0")+IFERROR(IF(Z62="",0,Z62),"0")+IFERROR(IF(Z63="",0,Z63),"0")+IFERROR(IF(Z64="",0,Z64),"0")+IFERROR(IF(Z65="",0,Z65),"0")</f>
        <v>0.22776000000000002</v>
      </c>
      <c r="AA66" s="64"/>
      <c r="AB66" s="64"/>
      <c r="AC66" s="64"/>
    </row>
    <row r="67" spans="1:68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120</v>
      </c>
      <c r="Y67" s="41">
        <f>IFERROR(SUM(Y59:Y65),"0")</f>
        <v>129.60000000000002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150</v>
      </c>
      <c r="Y69" s="53">
        <f>IFERROR(IF(X69="",0,CEILING((X69/$H69),1)*$H69),"")</f>
        <v>151.20000000000002</v>
      </c>
      <c r="Z69" s="39">
        <f>IFERROR(IF(Y69=0,"",ROUNDUP(Y69/H69,0)*0.01898),"")</f>
        <v>0.26572000000000001</v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155.69444444444446</v>
      </c>
      <c r="BN69" s="75">
        <f>IFERROR(Y69*I69/H69,"0")</f>
        <v>156.94</v>
      </c>
      <c r="BO69" s="75">
        <f>IFERROR(1/J69*(X69/H69),"0")</f>
        <v>0.21701388888888887</v>
      </c>
      <c r="BP69" s="75">
        <f>IFERROR(1/J69*(Y69/H69),"0")</f>
        <v>0.21875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13.888888888888888</v>
      </c>
      <c r="Y73" s="41">
        <f>IFERROR(Y69/H69,"0")+IFERROR(Y70/H70,"0")+IFERROR(Y71/H71,"0")+IFERROR(Y72/H72,"0")</f>
        <v>14</v>
      </c>
      <c r="Z73" s="41">
        <f>IFERROR(IF(Z69="",0,Z69),"0")+IFERROR(IF(Z70="",0,Z70),"0")+IFERROR(IF(Z71="",0,Z71),"0")+IFERROR(IF(Z72="",0,Z72),"0")</f>
        <v>0.26572000000000001</v>
      </c>
      <c r="AA73" s="64"/>
      <c r="AB73" s="64"/>
      <c r="AC73" s="64"/>
    </row>
    <row r="74" spans="1:68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150</v>
      </c>
      <c r="Y74" s="41">
        <f>IFERROR(SUM(Y69:Y72),"0")</f>
        <v>151.20000000000002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60</v>
      </c>
      <c r="Y94" s="53">
        <f>IFERROR(IF(X94="",0,CEILING((X94/$H94),1)*$H94),"")</f>
        <v>64.8</v>
      </c>
      <c r="Z94" s="39">
        <f>IFERROR(IF(Y94=0,"",ROUNDUP(Y94/H94,0)*0.01898),"")</f>
        <v>0.15184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63.659259259259258</v>
      </c>
      <c r="BN94" s="75">
        <f>IFERROR(Y94*I94/H94,"0")</f>
        <v>68.751999999999995</v>
      </c>
      <c r="BO94" s="75">
        <f>IFERROR(1/J94*(X94/H94),"0")</f>
        <v>0.11574074074074074</v>
      </c>
      <c r="BP94" s="75">
        <f>IFERROR(1/J94*(Y94/H94),"0")</f>
        <v>0.125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7.4074074074074074</v>
      </c>
      <c r="Y98" s="41">
        <f>IFERROR(Y94/H94,"0")+IFERROR(Y95/H95,"0")+IFERROR(Y96/H96,"0")+IFERROR(Y97/H97,"0")</f>
        <v>8</v>
      </c>
      <c r="Z98" s="41">
        <f>IFERROR(IF(Z94="",0,Z94),"0")+IFERROR(IF(Z95="",0,Z95),"0")+IFERROR(IF(Z96="",0,Z96),"0")+IFERROR(IF(Z97="",0,Z97),"0")</f>
        <v>0.15184</v>
      </c>
      <c r="AA98" s="64"/>
      <c r="AB98" s="64"/>
      <c r="AC98" s="64"/>
    </row>
    <row r="99" spans="1:68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60</v>
      </c>
      <c r="Y99" s="41">
        <f>IFERROR(SUM(Y94:Y97),"0")</f>
        <v>64.8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60</v>
      </c>
      <c r="Y121" s="53">
        <f>IFERROR(IF(X121="",0,CEILING((X121/$H121),1)*$H121),"")</f>
        <v>64.8</v>
      </c>
      <c r="Z121" s="39">
        <f>IFERROR(IF(Y121=0,"",ROUNDUP(Y121/H121,0)*0.01898),"")</f>
        <v>0.15184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63.614814814814814</v>
      </c>
      <c r="BN121" s="75">
        <f>IFERROR(Y121*I121/H121,"0")</f>
        <v>68.703999999999994</v>
      </c>
      <c r="BO121" s="75">
        <f>IFERROR(1/J121*(X121/H121),"0")</f>
        <v>0.11574074074074074</v>
      </c>
      <c r="BP121" s="75">
        <f>IFERROR(1/J121*(Y121/H121),"0")</f>
        <v>0.125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7.4074074074074074</v>
      </c>
      <c r="Y125" s="41">
        <f>IFERROR(Y121/H121,"0")+IFERROR(Y122/H122,"0")+IFERROR(Y123/H123,"0")+IFERROR(Y124/H124,"0")</f>
        <v>8</v>
      </c>
      <c r="Z125" s="41">
        <f>IFERROR(IF(Z121="",0,Z121),"0")+IFERROR(IF(Z122="",0,Z122),"0")+IFERROR(IF(Z123="",0,Z123),"0")+IFERROR(IF(Z124="",0,Z124),"0")</f>
        <v>0.15184</v>
      </c>
      <c r="AA125" s="64"/>
      <c r="AB125" s="64"/>
      <c r="AC125" s="64"/>
    </row>
    <row r="126" spans="1:68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60</v>
      </c>
      <c r="Y126" s="41">
        <f>IFERROR(SUM(Y121:Y124),"0")</f>
        <v>64.8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25.6</v>
      </c>
      <c r="Y133" s="53">
        <f>IFERROR(IF(X133="",0,CEILING((X133/$H133),1)*$H133),"")</f>
        <v>25.6</v>
      </c>
      <c r="Z133" s="39">
        <f>IFERROR(IF(Y133=0,"",ROUNDUP(Y133/H133,0)*0.00651),"")</f>
        <v>5.2080000000000001E-2</v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27.04</v>
      </c>
      <c r="BN133" s="75">
        <f>IFERROR(Y133*I133/H133,"0")</f>
        <v>27.04</v>
      </c>
      <c r="BO133" s="75">
        <f>IFERROR(1/J133*(X133/H133),"0")</f>
        <v>4.3956043956043959E-2</v>
      </c>
      <c r="BP133" s="75">
        <f>IFERROR(1/J133*(Y133/H133),"0")</f>
        <v>4.3956043956043959E-2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8</v>
      </c>
      <c r="Y135" s="41">
        <f>IFERROR(Y133/H133,"0")+IFERROR(Y134/H134,"0")</f>
        <v>8</v>
      </c>
      <c r="Z135" s="41">
        <f>IFERROR(IF(Z133="",0,Z133),"0")+IFERROR(IF(Z134="",0,Z134),"0")</f>
        <v>5.2080000000000001E-2</v>
      </c>
      <c r="AA135" s="64"/>
      <c r="AB135" s="64"/>
      <c r="AC135" s="64"/>
    </row>
    <row r="136" spans="1:68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25.6</v>
      </c>
      <c r="Y136" s="41">
        <f>IFERROR(SUM(Y133:Y134),"0")</f>
        <v>25.6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30</v>
      </c>
      <c r="Y166" s="53">
        <f t="shared" ref="Y166:Y175" si="21">IFERROR(IF(X166="",0,CEILING((X166/$H166),1)*$H166),"")</f>
        <v>31.5</v>
      </c>
      <c r="Z166" s="39">
        <f>IFERROR(IF(Y166=0,"",ROUNDUP(Y166/H166,0)*0.00902),"")</f>
        <v>8.1180000000000002E-2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31.62857142857143</v>
      </c>
      <c r="BN166" s="75">
        <f t="shared" ref="BN166:BN175" si="23">IFERROR(Y166*I166/H166,"0")</f>
        <v>33.21</v>
      </c>
      <c r="BO166" s="75">
        <f t="shared" ref="BO166:BO175" si="24">IFERROR(1/J166*(X166/H166),"0")</f>
        <v>6.4935064935064929E-2</v>
      </c>
      <c r="BP166" s="75">
        <f t="shared" ref="BP166:BP175" si="25">IFERROR(1/J166*(Y166/H166),"0")</f>
        <v>6.8181818181818177E-2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8.5714285714285712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9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8.1180000000000002E-2</v>
      </c>
      <c r="AA176" s="64"/>
      <c r="AB176" s="64"/>
      <c r="AC176" s="64"/>
    </row>
    <row r="177" spans="1:68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30</v>
      </c>
      <c r="Y177" s="41">
        <f>IFERROR(SUM(Y166:Y175),"0")</f>
        <v>31.5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50</v>
      </c>
      <c r="Y251" s="53">
        <f t="shared" ref="Y251:Y258" si="32">IFERROR(IF(X251="",0,CEILING((X251/$H251),1)*$H251),"")</f>
        <v>54</v>
      </c>
      <c r="Z251" s="39">
        <f>IFERROR(IF(Y251=0,"",ROUNDUP(Y251/H251,0)*0.00902),"")</f>
        <v>9.0200000000000002E-2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51.759259259259252</v>
      </c>
      <c r="BN251" s="75">
        <f t="shared" ref="BN251:BN258" si="34">IFERROR(Y251*I251/H251,"0")</f>
        <v>55.9</v>
      </c>
      <c r="BO251" s="75">
        <f t="shared" ref="BO251:BO258" si="35">IFERROR(1/J251*(X251/H251),"0")</f>
        <v>7.0145903479236812E-2</v>
      </c>
      <c r="BP251" s="75">
        <f t="shared" ref="BP251:BP258" si="36">IFERROR(1/J251*(Y251/H251),"0")</f>
        <v>7.575757575757576E-2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200</v>
      </c>
      <c r="Y253" s="53">
        <f t="shared" si="32"/>
        <v>205.20000000000002</v>
      </c>
      <c r="Z253" s="39">
        <f>IFERROR(IF(Y253=0,"",ROUNDUP(Y253/H253,0)*0.00902),"")</f>
        <v>0.34276000000000001</v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207.03703703703701</v>
      </c>
      <c r="BN253" s="75">
        <f t="shared" si="34"/>
        <v>212.42</v>
      </c>
      <c r="BO253" s="75">
        <f t="shared" si="35"/>
        <v>0.28058361391694725</v>
      </c>
      <c r="BP253" s="75">
        <f t="shared" si="36"/>
        <v>0.2878787878787879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46.296296296296298</v>
      </c>
      <c r="Y259" s="41">
        <f>IFERROR(Y251/H251,"0")+IFERROR(Y252/H252,"0")+IFERROR(Y253/H253,"0")+IFERROR(Y254/H254,"0")+IFERROR(Y255/H255,"0")+IFERROR(Y256/H256,"0")+IFERROR(Y257/H257,"0")+IFERROR(Y258/H258,"0")</f>
        <v>48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0.43296000000000001</v>
      </c>
      <c r="AA259" s="64"/>
      <c r="AB259" s="64"/>
      <c r="AC259" s="64"/>
    </row>
    <row r="260" spans="1:68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250</v>
      </c>
      <c r="Y260" s="41">
        <f>IFERROR(SUM(Y251:Y258),"0")</f>
        <v>259.20000000000005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700</v>
      </c>
      <c r="Y349" s="53">
        <f t="shared" si="47"/>
        <v>702</v>
      </c>
      <c r="Z349" s="39">
        <f>IFERROR(IF(Y349=0,"",ROUNDUP(Y349/H349,0)*0.01898),"")</f>
        <v>1.2337</v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726.57407407407413</v>
      </c>
      <c r="BN349" s="75">
        <f t="shared" si="49"/>
        <v>728.65000000000009</v>
      </c>
      <c r="BO349" s="75">
        <f t="shared" si="50"/>
        <v>1.0127314814814814</v>
      </c>
      <c r="BP349" s="75">
        <f t="shared" si="51"/>
        <v>1.015625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64.81481481481481</v>
      </c>
      <c r="Y352" s="41">
        <f>IFERROR(Y346/H346,"0")+IFERROR(Y347/H347,"0")+IFERROR(Y348/H348,"0")+IFERROR(Y349/H349,"0")+IFERROR(Y350/H350,"0")+IFERROR(Y351/H351,"0")</f>
        <v>65</v>
      </c>
      <c r="Z352" s="41">
        <f>IFERROR(IF(Z346="",0,Z346),"0")+IFERROR(IF(Z347="",0,Z347),"0")+IFERROR(IF(Z348="",0,Z348),"0")+IFERROR(IF(Z349="",0,Z349),"0")+IFERROR(IF(Z350="",0,Z350),"0")+IFERROR(IF(Z351="",0,Z351),"0")</f>
        <v>1.2337</v>
      </c>
      <c r="AA352" s="64"/>
      <c r="AB352" s="64"/>
      <c r="AC352" s="64"/>
    </row>
    <row r="353" spans="1:68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700</v>
      </c>
      <c r="Y353" s="41">
        <f>IFERROR(SUM(Y346:Y351),"0")</f>
        <v>702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100</v>
      </c>
      <c r="Y355" s="53">
        <f t="shared" ref="Y355:Y361" si="52">IFERROR(IF(X355="",0,CEILING((X355/$H355),1)*$H355),"")</f>
        <v>100.80000000000001</v>
      </c>
      <c r="Z355" s="39">
        <f>IFERROR(IF(Y355=0,"",ROUNDUP(Y355/H355,0)*0.00902),"")</f>
        <v>0.21648000000000001</v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105.95238095238095</v>
      </c>
      <c r="BN355" s="75">
        <f t="shared" ref="BN355:BN361" si="54">IFERROR(Y355*I355/H355,"0")</f>
        <v>106.80000000000001</v>
      </c>
      <c r="BO355" s="75">
        <f t="shared" ref="BO355:BO361" si="55">IFERROR(1/J355*(X355/H355),"0")</f>
        <v>0.18037518037518038</v>
      </c>
      <c r="BP355" s="75">
        <f t="shared" ref="BP355:BP361" si="56">IFERROR(1/J355*(Y355/H355),"0")</f>
        <v>0.18181818181818182</v>
      </c>
    </row>
    <row r="356" spans="1:68" ht="27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750</v>
      </c>
      <c r="Y356" s="53">
        <f t="shared" si="52"/>
        <v>751.80000000000007</v>
      </c>
      <c r="Z356" s="39">
        <f>IFERROR(IF(Y356=0,"",ROUNDUP(Y356/H356,0)*0.00902),"")</f>
        <v>1.6145800000000001</v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794.64285714285711</v>
      </c>
      <c r="BN356" s="75">
        <f t="shared" si="54"/>
        <v>796.55000000000007</v>
      </c>
      <c r="BO356" s="75">
        <f t="shared" si="55"/>
        <v>1.3528138528138527</v>
      </c>
      <c r="BP356" s="75">
        <f t="shared" si="56"/>
        <v>1.3560606060606062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202.38095238095235</v>
      </c>
      <c r="Y362" s="41">
        <f>IFERROR(Y355/H355,"0")+IFERROR(Y356/H356,"0")+IFERROR(Y357/H357,"0")+IFERROR(Y358/H358,"0")+IFERROR(Y359/H359,"0")+IFERROR(Y360/H360,"0")+IFERROR(Y361/H361,"0")</f>
        <v>203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1.8310600000000001</v>
      </c>
      <c r="AA362" s="64"/>
      <c r="AB362" s="64"/>
      <c r="AC362" s="64"/>
    </row>
    <row r="363" spans="1:68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850</v>
      </c>
      <c r="Y363" s="41">
        <f>IFERROR(SUM(Y355:Y361),"0")</f>
        <v>852.60000000000014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4000</v>
      </c>
      <c r="Y365" s="53">
        <f>IFERROR(IF(X365="",0,CEILING((X365/$H365),1)*$H365),"")</f>
        <v>4001.4</v>
      </c>
      <c r="Z365" s="39">
        <f>IFERROR(IF(Y365=0,"",ROUNDUP(Y365/H365,0)*0.01898),"")</f>
        <v>9.7367400000000011</v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4250.2564102564102</v>
      </c>
      <c r="BN365" s="75">
        <f>IFERROR(Y365*I365/H365,"0")</f>
        <v>4251.7440000000006</v>
      </c>
      <c r="BO365" s="75">
        <f>IFERROR(1/J365*(X365/H365),"0")</f>
        <v>8.0128205128205128</v>
      </c>
      <c r="BP365" s="75">
        <f>IFERROR(1/J365*(Y365/H365),"0")</f>
        <v>8.015625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512.82051282051282</v>
      </c>
      <c r="Y369" s="41">
        <f>IFERROR(Y365/H365,"0")+IFERROR(Y366/H366,"0")+IFERROR(Y367/H367,"0")+IFERROR(Y368/H368,"0")</f>
        <v>513</v>
      </c>
      <c r="Z369" s="41">
        <f>IFERROR(IF(Z365="",0,Z365),"0")+IFERROR(IF(Z366="",0,Z366),"0")+IFERROR(IF(Z367="",0,Z367),"0")+IFERROR(IF(Z368="",0,Z368),"0")</f>
        <v>9.7367400000000011</v>
      </c>
      <c r="AA369" s="64"/>
      <c r="AB369" s="64"/>
      <c r="AC369" s="64"/>
    </row>
    <row r="370" spans="1:68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4000</v>
      </c>
      <c r="Y370" s="41">
        <f>IFERROR(SUM(Y365:Y368),"0")</f>
        <v>4001.4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100</v>
      </c>
      <c r="Y373" s="53">
        <f>IFERROR(IF(X373="",0,CEILING((X373/$H373),1)*$H373),"")</f>
        <v>101.39999999999999</v>
      </c>
      <c r="Z373" s="39">
        <f>IFERROR(IF(Y373=0,"",ROUNDUP(Y373/H373,0)*0.01898),"")</f>
        <v>0.24674000000000001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106.33333333333334</v>
      </c>
      <c r="BN373" s="75">
        <f>IFERROR(Y373*I373/H373,"0")</f>
        <v>107.82199999999999</v>
      </c>
      <c r="BO373" s="75">
        <f>IFERROR(1/J373*(X373/H373),"0")</f>
        <v>0.20032051282051283</v>
      </c>
      <c r="BP373" s="75">
        <f>IFERROR(1/J373*(Y373/H373),"0")</f>
        <v>0.203125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20</v>
      </c>
      <c r="Y374" s="53">
        <f>IFERROR(IF(X374="",0,CEILING((X374/$H374),1)*$H374),"")</f>
        <v>25.200000000000003</v>
      </c>
      <c r="Z374" s="39">
        <f>IFERROR(IF(Y374=0,"",ROUNDUP(Y374/H374,0)*0.01898),"")</f>
        <v>5.6940000000000004E-2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21.176190476190474</v>
      </c>
      <c r="BN374" s="75">
        <f>IFERROR(Y374*I374/H374,"0")</f>
        <v>26.682000000000002</v>
      </c>
      <c r="BO374" s="75">
        <f>IFERROR(1/J374*(X374/H374),"0")</f>
        <v>3.7202380952380952E-2</v>
      </c>
      <c r="BP374" s="75">
        <f>IFERROR(1/J374*(Y374/H374),"0")</f>
        <v>4.6875E-2</v>
      </c>
    </row>
    <row r="375" spans="1:68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15.201465201465203</v>
      </c>
      <c r="Y375" s="41">
        <f>IFERROR(Y372/H372,"0")+IFERROR(Y373/H373,"0")+IFERROR(Y374/H374,"0")</f>
        <v>16</v>
      </c>
      <c r="Z375" s="41">
        <f>IFERROR(IF(Z372="",0,Z372),"0")+IFERROR(IF(Z373="",0,Z373),"0")+IFERROR(IF(Z374="",0,Z374),"0")</f>
        <v>0.30368000000000001</v>
      </c>
      <c r="AA375" s="64"/>
      <c r="AB375" s="64"/>
      <c r="AC375" s="64"/>
    </row>
    <row r="376" spans="1:68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120</v>
      </c>
      <c r="Y376" s="41">
        <f>IFERROR(SUM(Y372:Y374),"0")</f>
        <v>126.6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100</v>
      </c>
      <c r="Y392" s="53">
        <f>IFERROR(IF(X392="",0,CEILING((X392/$H392),1)*$H392),"")</f>
        <v>105.3</v>
      </c>
      <c r="Z392" s="39">
        <f>IFERROR(IF(Y392=0,"",ROUNDUP(Y392/H392,0)*0.01898),"")</f>
        <v>0.24674000000000001</v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106.09876543209877</v>
      </c>
      <c r="BN392" s="75">
        <f>IFERROR(Y392*I392/H392,"0")</f>
        <v>111.72199999999999</v>
      </c>
      <c r="BO392" s="75">
        <f>IFERROR(1/J392*(X392/H392),"0")</f>
        <v>0.19290123456790123</v>
      </c>
      <c r="BP392" s="75">
        <f>IFERROR(1/J392*(Y392/H392),"0")</f>
        <v>0.203125</v>
      </c>
    </row>
    <row r="393" spans="1:68" ht="37.5" hidden="1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12.345679012345679</v>
      </c>
      <c r="Y395" s="41">
        <f>IFERROR(Y392/H392,"0")+IFERROR(Y393/H393,"0")+IFERROR(Y394/H394,"0")</f>
        <v>13</v>
      </c>
      <c r="Z395" s="41">
        <f>IFERROR(IF(Z392="",0,Z392),"0")+IFERROR(IF(Z393="",0,Z393),"0")+IFERROR(IF(Z394="",0,Z394),"0")</f>
        <v>0.24674000000000001</v>
      </c>
      <c r="AA395" s="64"/>
      <c r="AB395" s="64"/>
      <c r="AC395" s="64"/>
    </row>
    <row r="396" spans="1:68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100</v>
      </c>
      <c r="Y396" s="41">
        <f>IFERROR(SUM(Y392:Y394),"0")</f>
        <v>105.3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300</v>
      </c>
      <c r="Y401" s="53">
        <f t="shared" si="57"/>
        <v>300</v>
      </c>
      <c r="Z401" s="39">
        <f>IFERROR(IF(Y401=0,"",ROUNDUP(Y401/H401,0)*0.02175),"")</f>
        <v>0.43499999999999994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309.39999999999998</v>
      </c>
      <c r="BN401" s="75">
        <f t="shared" si="59"/>
        <v>309.39999999999998</v>
      </c>
      <c r="BO401" s="75">
        <f t="shared" si="60"/>
        <v>0.41666666666666663</v>
      </c>
      <c r="BP401" s="75">
        <f t="shared" si="61"/>
        <v>0.41666666666666663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120</v>
      </c>
      <c r="Y402" s="53">
        <f t="shared" si="57"/>
        <v>120</v>
      </c>
      <c r="Z402" s="39">
        <f>IFERROR(IF(Y402=0,"",ROUNDUP(Y402/H402,0)*0.02175),"")</f>
        <v>0.17399999999999999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123.76</v>
      </c>
      <c r="BN402" s="75">
        <f t="shared" si="59"/>
        <v>123.76</v>
      </c>
      <c r="BO402" s="75">
        <f t="shared" si="60"/>
        <v>0.16666666666666666</v>
      </c>
      <c r="BP402" s="75">
        <f t="shared" si="61"/>
        <v>0.16666666666666666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500</v>
      </c>
      <c r="Y403" s="53">
        <f t="shared" si="57"/>
        <v>510</v>
      </c>
      <c r="Z403" s="39">
        <f>IFERROR(IF(Y403=0,"",ROUNDUP(Y403/H403,0)*0.02175),"")</f>
        <v>0.73949999999999994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515.66666666666663</v>
      </c>
      <c r="BN403" s="75">
        <f t="shared" si="59"/>
        <v>525.98</v>
      </c>
      <c r="BO403" s="75">
        <f t="shared" si="60"/>
        <v>0.69444444444444442</v>
      </c>
      <c r="BP403" s="75">
        <f t="shared" si="61"/>
        <v>0.70833333333333326</v>
      </c>
    </row>
    <row r="404" spans="1:68" ht="27" hidden="1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IFERROR(IF(Y404=0,"",ROUNDUP(Y404/H404,0)*0.02175),"")</f>
        <v/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61.333333333333336</v>
      </c>
      <c r="Y408" s="41">
        <f>IFERROR(Y400/H400,"0")+IFERROR(Y401/H401,"0")+IFERROR(Y402/H402,"0")+IFERROR(Y403/H403,"0")+IFERROR(Y404/H404,"0")+IFERROR(Y405/H405,"0")+IFERROR(Y406/H406,"0")+IFERROR(Y407/H407,"0")</f>
        <v>62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1.3485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920</v>
      </c>
      <c r="Y409" s="41">
        <f>IFERROR(SUM(Y400:Y407),"0")</f>
        <v>930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1000</v>
      </c>
      <c r="Y411" s="53">
        <f>IFERROR(IF(X411="",0,CEILING((X411/$H411),1)*$H411),"")</f>
        <v>1005</v>
      </c>
      <c r="Z411" s="39">
        <f>IFERROR(IF(Y411=0,"",ROUNDUP(Y411/H411,0)*0.02175),"")</f>
        <v>1.4572499999999999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1031.3333333333333</v>
      </c>
      <c r="BN411" s="75">
        <f>IFERROR(Y411*I411/H411,"0")</f>
        <v>1036.49</v>
      </c>
      <c r="BO411" s="75">
        <f>IFERROR(1/J411*(X411/H411),"0")</f>
        <v>1.3888888888888888</v>
      </c>
      <c r="BP411" s="75">
        <f>IFERROR(1/J411*(Y411/H411),"0")</f>
        <v>1.3958333333333333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66.666666666666671</v>
      </c>
      <c r="Y414" s="41">
        <f>IFERROR(Y411/H411,"0")+IFERROR(Y412/H412,"0")+IFERROR(Y413/H413,"0")</f>
        <v>67</v>
      </c>
      <c r="Z414" s="41">
        <f>IFERROR(IF(Z411="",0,Z411),"0")+IFERROR(IF(Z412="",0,Z412),"0")+IFERROR(IF(Z413="",0,Z413),"0")</f>
        <v>1.4572499999999999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1000</v>
      </c>
      <c r="Y415" s="41">
        <f>IFERROR(SUM(Y411:Y413),"0")</f>
        <v>1005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36</v>
      </c>
      <c r="Y417" s="53">
        <f>IFERROR(IF(X417="",0,CEILING((X417/$H417),1)*$H417),"")</f>
        <v>36</v>
      </c>
      <c r="Z417" s="39">
        <f>IFERROR(IF(Y417=0,"",ROUNDUP(Y417/H417,0)*0.01898),"")</f>
        <v>7.5920000000000001E-2</v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38</v>
      </c>
      <c r="BN417" s="75">
        <f>IFERROR(Y417*I417/H417,"0")</f>
        <v>38</v>
      </c>
      <c r="BO417" s="75">
        <f>IFERROR(1/J417*(X417/H417),"0")</f>
        <v>6.25E-2</v>
      </c>
      <c r="BP417" s="75">
        <f>IFERROR(1/J417*(Y417/H417),"0")</f>
        <v>6.25E-2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4</v>
      </c>
      <c r="Y419" s="41">
        <f>IFERROR(Y417/H417,"0")+IFERROR(Y418/H418,"0")</f>
        <v>4</v>
      </c>
      <c r="Z419" s="41">
        <f>IFERROR(IF(Z417="",0,Z417),"0")+IFERROR(IF(Z418="",0,Z418),"0")</f>
        <v>7.5920000000000001E-2</v>
      </c>
      <c r="AA419" s="64"/>
      <c r="AB419" s="64"/>
      <c r="AC419" s="64"/>
    </row>
    <row r="420" spans="1:68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36</v>
      </c>
      <c r="Y420" s="41">
        <f>IFERROR(SUM(Y417:Y418),"0")</f>
        <v>36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100</v>
      </c>
      <c r="Y436" s="53">
        <f>IFERROR(IF(X436="",0,CEILING((X436/$H436),1)*$H436),"")</f>
        <v>108</v>
      </c>
      <c r="Z436" s="39">
        <f>IFERROR(IF(Y436=0,"",ROUNDUP(Y436/H436,0)*0.01898),"")</f>
        <v>0.22776000000000002</v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105.48888888888888</v>
      </c>
      <c r="BN436" s="75">
        <f>IFERROR(Y436*I436/H436,"0")</f>
        <v>113.92799999999998</v>
      </c>
      <c r="BO436" s="75">
        <f>IFERROR(1/J436*(X436/H436),"0")</f>
        <v>0.1736111111111111</v>
      </c>
      <c r="BP436" s="75">
        <f>IFERROR(1/J436*(Y436/H436),"0")</f>
        <v>0.1875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11.111111111111111</v>
      </c>
      <c r="Y439" s="41">
        <f>IFERROR(Y436/H436,"0")+IFERROR(Y437/H437,"0")+IFERROR(Y438/H438,"0")</f>
        <v>12</v>
      </c>
      <c r="Z439" s="41">
        <f>IFERROR(IF(Z436="",0,Z436),"0")+IFERROR(IF(Z437="",0,Z437),"0")+IFERROR(IF(Z438="",0,Z438),"0")</f>
        <v>0.22776000000000002</v>
      </c>
      <c r="AA439" s="64"/>
      <c r="AB439" s="64"/>
      <c r="AC439" s="64"/>
    </row>
    <row r="440" spans="1:68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100</v>
      </c>
      <c r="Y440" s="41">
        <f>IFERROR(SUM(Y436:Y438),"0")</f>
        <v>108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40</v>
      </c>
      <c r="Y463" s="53">
        <f>IFERROR(IF(X463="",0,CEILING((X463/$H463),1)*$H463),"")</f>
        <v>43.2</v>
      </c>
      <c r="Z463" s="39">
        <f>IFERROR(IF(Y463=0,"",ROUNDUP(Y463/H463,0)*0.00902),"")</f>
        <v>7.2160000000000002E-2</v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41.407407407407405</v>
      </c>
      <c r="BN463" s="75">
        <f>IFERROR(Y463*I463/H463,"0")</f>
        <v>44.72</v>
      </c>
      <c r="BO463" s="75">
        <f>IFERROR(1/J463*(X463/H463),"0")</f>
        <v>5.6116722783389444E-2</v>
      </c>
      <c r="BP463" s="75">
        <f>IFERROR(1/J463*(Y463/H463),"0")</f>
        <v>6.0606060606060608E-2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7.4074074074074066</v>
      </c>
      <c r="Y466" s="41">
        <f>IFERROR(Y463/H463,"0")+IFERROR(Y464/H464,"0")+IFERROR(Y465/H465,"0")</f>
        <v>8</v>
      </c>
      <c r="Z466" s="41">
        <f>IFERROR(IF(Z463="",0,Z463),"0")+IFERROR(IF(Z464="",0,Z464),"0")+IFERROR(IF(Z465="",0,Z465),"0")</f>
        <v>7.2160000000000002E-2</v>
      </c>
      <c r="AA466" s="64"/>
      <c r="AB466" s="64"/>
      <c r="AC466" s="64"/>
    </row>
    <row r="467" spans="1:68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40</v>
      </c>
      <c r="Y467" s="41">
        <f>IFERROR(SUM(Y463:Y465),"0")</f>
        <v>43.2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50</v>
      </c>
      <c r="Y474" s="53">
        <f t="shared" si="67"/>
        <v>52.800000000000004</v>
      </c>
      <c r="Z474" s="39">
        <f t="shared" si="68"/>
        <v>0.1196</v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53.314393939393938</v>
      </c>
      <c r="BN474" s="75">
        <f t="shared" si="70"/>
        <v>56.3</v>
      </c>
      <c r="BO474" s="75">
        <f t="shared" si="71"/>
        <v>9.1054778554778545E-2</v>
      </c>
      <c r="BP474" s="75">
        <f t="shared" si="72"/>
        <v>9.6153846153846159E-2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9.4696969696969688</v>
      </c>
      <c r="Y480" s="41">
        <f>IFERROR(Y471/H471,"0")+IFERROR(Y472/H472,"0")+IFERROR(Y473/H473,"0")+IFERROR(Y474/H474,"0")+IFERROR(Y475/H475,"0")+IFERROR(Y476/H476,"0")+IFERROR(Y477/H477,"0")+IFERROR(Y478/H478,"0")+IFERROR(Y479/H479,"0")</f>
        <v>10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0.1196</v>
      </c>
      <c r="AA480" s="64"/>
      <c r="AB480" s="64"/>
      <c r="AC480" s="64"/>
    </row>
    <row r="481" spans="1:68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50</v>
      </c>
      <c r="Y481" s="41">
        <f>IFERROR(SUM(Y471:Y479),"0")</f>
        <v>52.800000000000004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100</v>
      </c>
      <c r="Y483" s="53">
        <f>IFERROR(IF(X483="",0,CEILING((X483/$H483),1)*$H483),"")</f>
        <v>100.32000000000001</v>
      </c>
      <c r="Z483" s="39">
        <f>IFERROR(IF(Y483=0,"",ROUNDUP(Y483/H483,0)*0.01196),"")</f>
        <v>0.22724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106.62878787878788</v>
      </c>
      <c r="BN483" s="75">
        <f>IFERROR(Y483*I483/H483,"0")</f>
        <v>106.97</v>
      </c>
      <c r="BO483" s="75">
        <f>IFERROR(1/J483*(X483/H483),"0")</f>
        <v>0.18210955710955709</v>
      </c>
      <c r="BP483" s="75">
        <f>IFERROR(1/J483*(Y483/H483),"0")</f>
        <v>0.18269230769230771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18.939393939393938</v>
      </c>
      <c r="Y486" s="41">
        <f>IFERROR(Y483/H483,"0")+IFERROR(Y484/H484,"0")+IFERROR(Y485/H485,"0")</f>
        <v>19</v>
      </c>
      <c r="Z486" s="41">
        <f>IFERROR(IF(Z483="",0,Z483),"0")+IFERROR(IF(Z484="",0,Z484),"0")+IFERROR(IF(Z485="",0,Z485),"0")</f>
        <v>0.22724</v>
      </c>
      <c r="AA486" s="64"/>
      <c r="AB486" s="64"/>
      <c r="AC486" s="64"/>
    </row>
    <row r="487" spans="1:68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100</v>
      </c>
      <c r="Y487" s="41">
        <f>IFERROR(SUM(Y483:Y485),"0")</f>
        <v>100.32000000000001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80</v>
      </c>
      <c r="Y489" s="53">
        <f t="shared" ref="Y489:Y495" si="73">IFERROR(IF(X489="",0,CEILING((X489/$H489),1)*$H489),"")</f>
        <v>84.48</v>
      </c>
      <c r="Z489" s="39">
        <f>IFERROR(IF(Y489=0,"",ROUNDUP(Y489/H489,0)*0.01196),"")</f>
        <v>0.19136</v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85.303030303030297</v>
      </c>
      <c r="BN489" s="75">
        <f t="shared" ref="BN489:BN495" si="75">IFERROR(Y489*I489/H489,"0")</f>
        <v>90.08</v>
      </c>
      <c r="BO489" s="75">
        <f t="shared" ref="BO489:BO495" si="76">IFERROR(1/J489*(X489/H489),"0")</f>
        <v>0.14568764568764569</v>
      </c>
      <c r="BP489" s="75">
        <f t="shared" ref="BP489:BP495" si="77">IFERROR(1/J489*(Y489/H489),"0")</f>
        <v>0.15384615384615385</v>
      </c>
    </row>
    <row r="490" spans="1:68" ht="27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100</v>
      </c>
      <c r="Y490" s="53">
        <f t="shared" si="73"/>
        <v>100.32000000000001</v>
      </c>
      <c r="Z490" s="39">
        <f>IFERROR(IF(Y490=0,"",ROUNDUP(Y490/H490,0)*0.01196),"")</f>
        <v>0.22724</v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106.62878787878788</v>
      </c>
      <c r="BN490" s="75">
        <f t="shared" si="75"/>
        <v>106.97</v>
      </c>
      <c r="BO490" s="75">
        <f t="shared" si="76"/>
        <v>0.18210955710955709</v>
      </c>
      <c r="BP490" s="75">
        <f t="shared" si="77"/>
        <v>0.18269230769230771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50</v>
      </c>
      <c r="Y491" s="53">
        <f t="shared" si="73"/>
        <v>52.800000000000004</v>
      </c>
      <c r="Z491" s="39">
        <f>IFERROR(IF(Y491=0,"",ROUNDUP(Y491/H491,0)*0.01196),"")</f>
        <v>0.1196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53.314393939393938</v>
      </c>
      <c r="BN491" s="75">
        <f t="shared" si="75"/>
        <v>56.3</v>
      </c>
      <c r="BO491" s="75">
        <f t="shared" si="76"/>
        <v>9.1054778554778545E-2</v>
      </c>
      <c r="BP491" s="75">
        <f t="shared" si="77"/>
        <v>9.6153846153846159E-2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43.560606060606055</v>
      </c>
      <c r="Y496" s="41">
        <f>IFERROR(Y489/H489,"0")+IFERROR(Y490/H490,"0")+IFERROR(Y491/H491,"0")+IFERROR(Y492/H492,"0")+IFERROR(Y493/H493,"0")+IFERROR(Y494/H494,"0")+IFERROR(Y495/H495,"0")</f>
        <v>45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0.53820000000000001</v>
      </c>
      <c r="AA496" s="64"/>
      <c r="AB496" s="64"/>
      <c r="AC496" s="64"/>
    </row>
    <row r="497" spans="1:68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230</v>
      </c>
      <c r="Y497" s="41">
        <f>IFERROR(SUM(Y489:Y495),"0")</f>
        <v>237.60000000000002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150</v>
      </c>
      <c r="Y509" s="53">
        <f>IFERROR(IF(X509="",0,CEILING((X509/$H509),1)*$H509),"")</f>
        <v>153.6</v>
      </c>
      <c r="Z509" s="39">
        <f>IFERROR(IF(Y509=0,"",ROUNDUP(Y509/H509,0)*0.00902),"")</f>
        <v>0.28864000000000001</v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157.8125</v>
      </c>
      <c r="BN509" s="75">
        <f>IFERROR(Y509*I509/H509,"0")</f>
        <v>161.6</v>
      </c>
      <c r="BO509" s="75">
        <f>IFERROR(1/J509*(X509/H509),"0")</f>
        <v>0.23674242424242425</v>
      </c>
      <c r="BP509" s="75">
        <f>IFERROR(1/J509*(Y509/H509),"0")</f>
        <v>0.24242424242424243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31.25</v>
      </c>
      <c r="Y511" s="41">
        <f>IFERROR(Y509/H509,"0")+IFERROR(Y510/H510,"0")</f>
        <v>32</v>
      </c>
      <c r="Z511" s="41">
        <f>IFERROR(IF(Z509="",0,Z509),"0")+IFERROR(IF(Z510="",0,Z510),"0")</f>
        <v>0.28864000000000001</v>
      </c>
      <c r="AA511" s="64"/>
      <c r="AB511" s="64"/>
      <c r="AC511" s="64"/>
    </row>
    <row r="512" spans="1:68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150</v>
      </c>
      <c r="Y512" s="41">
        <f>IFERROR(SUM(Y509:Y510),"0")</f>
        <v>153.6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hidden="1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IFERROR(IF(Y514=0,"",ROUNDUP(Y514/H514,0)*0.01898),"")</f>
        <v/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idden="1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0</v>
      </c>
      <c r="Y515" s="41">
        <f>IFERROR(Y514/H514,"0")</f>
        <v>0</v>
      </c>
      <c r="Z515" s="41">
        <f>IFERROR(IF(Z514="",0,Z514),"0")</f>
        <v>0</v>
      </c>
      <c r="AA515" s="64"/>
      <c r="AB515" s="64"/>
      <c r="AC515" s="64"/>
    </row>
    <row r="516" spans="1:68" hidden="1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0</v>
      </c>
      <c r="Y516" s="41">
        <f>IFERROR(SUM(Y514:Y514),"0")</f>
        <v>0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9091.6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9181.1200000000026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9564.0811437019765</v>
      </c>
      <c r="Y528" s="41">
        <f>IFERROR(SUM(BN22:BN524),"0")</f>
        <v>9657.9539999999961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16</v>
      </c>
      <c r="Y529" s="42">
        <f>ROUNDUP(SUM(BP22:BP524),0)</f>
        <v>17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9964.0811437019765</v>
      </c>
      <c r="Y530" s="41">
        <f>GrossWeightTotalR+PalletQtyTotalR*25</f>
        <v>10082.953999999996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1163.9841794008462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1176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19.070569999999996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280.80000000000007</v>
      </c>
      <c r="F537" s="50">
        <f>IFERROR(Y87*1,"0")+IFERROR(Y88*1,"0")+IFERROR(Y89*1,"0")+IFERROR(Y90*1,"0")+IFERROR(Y94*1,"0")+IFERROR(Y95*1,"0")+IFERROR(Y96*1,"0")+IFERROR(Y97*1,"0")</f>
        <v>64.8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64.8</v>
      </c>
      <c r="H537" s="50">
        <f>IFERROR(Y133*1,"0")+IFERROR(Y134*1,"0")+IFERROR(Y138*1,"0")+IFERROR(Y139*1,"0")+IFERROR(Y143*1,"0")+IFERROR(Y144*1,"0")</f>
        <v>25.6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31.5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259.20000000000005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5682.5999999999995</v>
      </c>
      <c r="U537" s="50">
        <f>IFERROR(Y392*1,"0")+IFERROR(Y393*1,"0")+IFERROR(Y394*1,"0")</f>
        <v>105.3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1971</v>
      </c>
      <c r="W537" s="50">
        <f>IFERROR(Y427*1,"0")+IFERROR(Y428*1,"0")+IFERROR(Y432*1,"0")+IFERROR(Y436*1,"0")+IFERROR(Y437*1,"0")+IFERROR(Y438*1,"0")</f>
        <v>108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43.2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390.72</v>
      </c>
      <c r="AA537" s="50">
        <f>IFERROR(Y501*1,"0")+IFERROR(Y505*1,"0")+IFERROR(Y509*1,"0")+IFERROR(Y510*1,"0")+IFERROR(Y514*1,"0")+IFERROR(Y518*1,"0")+IFERROR(Y519*1,"0")</f>
        <v>153.6</v>
      </c>
      <c r="AB537" s="50">
        <f>IFERROR(Y524*1,"0")</f>
        <v>0</v>
      </c>
      <c r="AC537" s="9"/>
      <c r="AF537" s="1"/>
    </row>
  </sheetData>
  <sheetProtection algorithmName="SHA-512" hashValue="nSCAnlF5WSqXgUTixSfF06ufBIEd7lrevC7hYToQQP1wjuHiG7Ztq9Bt0HZvzote+8bf7xokjQ9hY3gsI++4JQ==" saltValue="SFctwdYjkgDzZTc5giy0Z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63,98"/>
        <filter val="100,00"/>
        <filter val="11,11"/>
        <filter val="12,35"/>
        <filter val="120,00"/>
        <filter val="13,89"/>
        <filter val="15,20"/>
        <filter val="150,00"/>
        <filter val="16"/>
        <filter val="18,94"/>
        <filter val="20,00"/>
        <filter val="200,00"/>
        <filter val="202,38"/>
        <filter val="230,00"/>
        <filter val="25,60"/>
        <filter val="250,00"/>
        <filter val="30,00"/>
        <filter val="300,00"/>
        <filter val="31,25"/>
        <filter val="36,00"/>
        <filter val="4 000,00"/>
        <filter val="4,00"/>
        <filter val="40,00"/>
        <filter val="43,56"/>
        <filter val="46,30"/>
        <filter val="50,00"/>
        <filter val="500,00"/>
        <filter val="512,82"/>
        <filter val="60,00"/>
        <filter val="61,33"/>
        <filter val="64,81"/>
        <filter val="66,67"/>
        <filter val="7,41"/>
        <filter val="700,00"/>
        <filter val="750,00"/>
        <filter val="8,00"/>
        <filter val="8,57"/>
        <filter val="80,00"/>
        <filter val="850,00"/>
        <filter val="9 091,60"/>
        <filter val="9 564,08"/>
        <filter val="9 964,08"/>
        <filter val="9,47"/>
        <filter val="920,00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pmpqRyQYLq8OpaN5adiOxt0MYw38PSnb+YxvHUeg5D11N5WAzRn6t68Yw7c+rR1ijc4l8DzmumGeR5dKUMOg0A==" saltValue="EvOZM9ktax1cypf5AQuDo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1077</vt:i4>
      </vt:variant>
    </vt:vector>
  </HeadingPairs>
  <TitlesOfParts>
    <vt:vector size="10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