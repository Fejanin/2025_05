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6928D1-3324-4F65-8393-28755DFA0B9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O501" i="2"/>
  <c r="BM501" i="2"/>
  <c r="Y501" i="2"/>
  <c r="BP501" i="2" s="1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M492" i="2"/>
  <c r="Y492" i="2"/>
  <c r="Z492" i="2" s="1"/>
  <c r="P492" i="2"/>
  <c r="BO491" i="2"/>
  <c r="BM491" i="2"/>
  <c r="Y491" i="2"/>
  <c r="P491" i="2"/>
  <c r="BO490" i="2"/>
  <c r="BM490" i="2"/>
  <c r="Y490" i="2"/>
  <c r="BN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BP483" i="2" s="1"/>
  <c r="P483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Z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Z422" i="2" s="1"/>
  <c r="Z423" i="2" s="1"/>
  <c r="P422" i="2"/>
  <c r="X420" i="2"/>
  <c r="X419" i="2"/>
  <c r="BO418" i="2"/>
  <c r="BM418" i="2"/>
  <c r="Y418" i="2"/>
  <c r="Y419" i="2" s="1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N400" i="2" s="1"/>
  <c r="P400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N392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O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Z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BN309" i="2" s="1"/>
  <c r="P309" i="2"/>
  <c r="X306" i="2"/>
  <c r="X305" i="2"/>
  <c r="BO304" i="2"/>
  <c r="BM304" i="2"/>
  <c r="Y304" i="2"/>
  <c r="Z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N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Z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P266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N264" i="2"/>
  <c r="BM264" i="2"/>
  <c r="Y264" i="2"/>
  <c r="BP264" i="2" s="1"/>
  <c r="P264" i="2"/>
  <c r="BO263" i="2"/>
  <c r="BM263" i="2"/>
  <c r="Y263" i="2"/>
  <c r="P263" i="2"/>
  <c r="BP262" i="2"/>
  <c r="BO262" i="2"/>
  <c r="BN262" i="2"/>
  <c r="BM262" i="2"/>
  <c r="Y262" i="2"/>
  <c r="Z262" i="2" s="1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Y244" i="2" s="1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X223" i="2"/>
  <c r="X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N209" i="2" s="1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2" i="2"/>
  <c r="X191" i="2"/>
  <c r="BO190" i="2"/>
  <c r="BM190" i="2"/>
  <c r="Y190" i="2"/>
  <c r="BN190" i="2" s="1"/>
  <c r="P190" i="2"/>
  <c r="X188" i="2"/>
  <c r="X187" i="2"/>
  <c r="BO186" i="2"/>
  <c r="BM186" i="2"/>
  <c r="Y186" i="2"/>
  <c r="P186" i="2"/>
  <c r="BP185" i="2"/>
  <c r="BO185" i="2"/>
  <c r="BM185" i="2"/>
  <c r="Y185" i="2"/>
  <c r="BN185" i="2" s="1"/>
  <c r="P185" i="2"/>
  <c r="X183" i="2"/>
  <c r="X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X164" i="2"/>
  <c r="X163" i="2"/>
  <c r="BO162" i="2"/>
  <c r="BM162" i="2"/>
  <c r="Y162" i="2"/>
  <c r="Y163" i="2" s="1"/>
  <c r="P162" i="2"/>
  <c r="X160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N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BP133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Z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N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P271" i="2" l="1"/>
  <c r="BN350" i="2"/>
  <c r="Y130" i="2"/>
  <c r="BP373" i="2"/>
  <c r="BP252" i="2"/>
  <c r="Z185" i="2"/>
  <c r="Z197" i="2"/>
  <c r="BN197" i="2"/>
  <c r="BP350" i="2"/>
  <c r="Z285" i="2"/>
  <c r="Z445" i="2"/>
  <c r="BN373" i="2"/>
  <c r="BN453" i="2"/>
  <c r="BP139" i="2"/>
  <c r="BP328" i="2"/>
  <c r="BN339" i="2"/>
  <c r="BP339" i="2"/>
  <c r="BP162" i="2"/>
  <c r="BP297" i="2"/>
  <c r="Y164" i="2"/>
  <c r="BN252" i="2"/>
  <c r="BN386" i="2"/>
  <c r="BP386" i="2"/>
  <c r="Y433" i="2"/>
  <c r="BP394" i="2"/>
  <c r="Z514" i="2"/>
  <c r="Z515" i="2" s="1"/>
  <c r="BP514" i="2"/>
  <c r="BN492" i="2"/>
  <c r="Z490" i="2"/>
  <c r="BP489" i="2"/>
  <c r="BN478" i="2"/>
  <c r="Z475" i="2"/>
  <c r="BN472" i="2"/>
  <c r="Z463" i="2"/>
  <c r="Y467" i="2"/>
  <c r="BN447" i="2"/>
  <c r="Z432" i="2"/>
  <c r="Z433" i="2" s="1"/>
  <c r="BN422" i="2"/>
  <c r="Y423" i="2"/>
  <c r="Z418" i="2"/>
  <c r="Z419" i="2" s="1"/>
  <c r="BN418" i="2"/>
  <c r="BP418" i="2"/>
  <c r="Y420" i="2"/>
  <c r="Z406" i="2"/>
  <c r="BN406" i="2"/>
  <c r="BP403" i="2"/>
  <c r="Z401" i="2"/>
  <c r="Z394" i="2"/>
  <c r="Y389" i="2"/>
  <c r="Y383" i="2"/>
  <c r="BN372" i="2"/>
  <c r="Z361" i="2"/>
  <c r="BN361" i="2"/>
  <c r="BP358" i="2"/>
  <c r="Z356" i="2"/>
  <c r="Z349" i="2"/>
  <c r="BN349" i="2"/>
  <c r="BN334" i="2"/>
  <c r="Z335" i="2"/>
  <c r="Y335" i="2"/>
  <c r="Z328" i="2"/>
  <c r="Z318" i="2"/>
  <c r="BN318" i="2"/>
  <c r="Z313" i="2"/>
  <c r="BN313" i="2"/>
  <c r="BN304" i="2"/>
  <c r="BP304" i="2"/>
  <c r="BP301" i="2"/>
  <c r="Z297" i="2"/>
  <c r="Z298" i="2" s="1"/>
  <c r="BN297" i="2"/>
  <c r="BP289" i="2"/>
  <c r="Z287" i="2"/>
  <c r="Z283" i="2"/>
  <c r="BN283" i="2"/>
  <c r="Z271" i="2"/>
  <c r="Z266" i="2"/>
  <c r="Z264" i="2"/>
  <c r="Z256" i="2"/>
  <c r="BN256" i="2"/>
  <c r="Z254" i="2"/>
  <c r="BN254" i="2"/>
  <c r="Z226" i="2"/>
  <c r="Z221" i="2"/>
  <c r="BN221" i="2"/>
  <c r="Z220" i="2"/>
  <c r="BN220" i="2"/>
  <c r="Z219" i="2"/>
  <c r="Z217" i="2"/>
  <c r="BN217" i="2"/>
  <c r="BP215" i="2"/>
  <c r="Z211" i="2"/>
  <c r="Z209" i="2"/>
  <c r="BP209" i="2"/>
  <c r="BP180" i="2"/>
  <c r="Z174" i="2"/>
  <c r="Z173" i="2"/>
  <c r="BP173" i="2"/>
  <c r="Z171" i="2"/>
  <c r="BP170" i="2"/>
  <c r="Z168" i="2"/>
  <c r="BP168" i="2"/>
  <c r="Z162" i="2"/>
  <c r="Z163" i="2" s="1"/>
  <c r="Y159" i="2"/>
  <c r="Z139" i="2"/>
  <c r="Z138" i="2"/>
  <c r="Z133" i="2"/>
  <c r="BN133" i="2"/>
  <c r="Z128" i="2"/>
  <c r="Z129" i="2" s="1"/>
  <c r="BP128" i="2"/>
  <c r="BN128" i="2"/>
  <c r="Z124" i="2"/>
  <c r="BP123" i="2"/>
  <c r="Y126" i="2"/>
  <c r="Z121" i="2"/>
  <c r="BP121" i="2"/>
  <c r="Z115" i="2"/>
  <c r="Z114" i="2"/>
  <c r="BP113" i="2"/>
  <c r="Z107" i="2"/>
  <c r="Z106" i="2"/>
  <c r="BP106" i="2"/>
  <c r="Z105" i="2"/>
  <c r="G537" i="2"/>
  <c r="Z97" i="2"/>
  <c r="BN97" i="2"/>
  <c r="BN95" i="2"/>
  <c r="BN88" i="2"/>
  <c r="BN77" i="2"/>
  <c r="Z71" i="2"/>
  <c r="Z70" i="2"/>
  <c r="BP69" i="2"/>
  <c r="BN65" i="2"/>
  <c r="Z64" i="2"/>
  <c r="Z62" i="2"/>
  <c r="BP62" i="2"/>
  <c r="BN53" i="2"/>
  <c r="BN43" i="2"/>
  <c r="BN36" i="2"/>
  <c r="X529" i="2"/>
  <c r="Z30" i="2"/>
  <c r="BP30" i="2"/>
  <c r="Z23" i="2"/>
  <c r="J9" i="2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Z187" i="2" s="1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Z243" i="2" s="1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Z135" i="2"/>
  <c r="BN134" i="2"/>
  <c r="Y135" i="2"/>
  <c r="Z140" i="2"/>
  <c r="BN157" i="2"/>
  <c r="Z190" i="2"/>
  <c r="Z191" i="2" s="1"/>
  <c r="Y191" i="2"/>
  <c r="BP216" i="2"/>
  <c r="Z216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75" i="2" s="1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BP372" i="2"/>
  <c r="Y376" i="2"/>
  <c r="BN378" i="2"/>
  <c r="Z380" i="2"/>
  <c r="Z385" i="2"/>
  <c r="Z392" i="2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Y200" i="2"/>
  <c r="Z208" i="2"/>
  <c r="Z251" i="2"/>
  <c r="Y274" i="2"/>
  <c r="Z327" i="2"/>
  <c r="Z381" i="2"/>
  <c r="Y430" i="2"/>
  <c r="Z464" i="2"/>
  <c r="Z476" i="2"/>
  <c r="Z510" i="2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437" i="2"/>
  <c r="Z449" i="2"/>
  <c r="BP464" i="2"/>
  <c r="Z474" i="2"/>
  <c r="Z484" i="2"/>
  <c r="Z494" i="2"/>
  <c r="Y521" i="2"/>
  <c r="O537" i="2"/>
  <c r="BN28" i="2"/>
  <c r="Y78" i="2"/>
  <c r="Y145" i="2"/>
  <c r="BN231" i="2"/>
  <c r="Y331" i="2"/>
  <c r="BN432" i="2"/>
  <c r="Z444" i="2"/>
  <c r="Z454" i="2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57" i="2"/>
  <c r="Z267" i="2"/>
  <c r="Z277" i="2"/>
  <c r="Z288" i="2"/>
  <c r="Z311" i="2"/>
  <c r="BN325" i="2"/>
  <c r="Y336" i="2"/>
  <c r="Z347" i="2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Y237" i="2"/>
  <c r="BP247" i="2"/>
  <c r="Z255" i="2"/>
  <c r="Z265" i="2"/>
  <c r="Z286" i="2"/>
  <c r="Z309" i="2"/>
  <c r="Z320" i="2"/>
  <c r="Z321" i="2" s="1"/>
  <c r="Z355" i="2"/>
  <c r="Z365" i="2"/>
  <c r="Z400" i="2"/>
  <c r="Y450" i="2"/>
  <c r="B537" i="2"/>
  <c r="BN82" i="2"/>
  <c r="Y480" i="2"/>
  <c r="Z29" i="2"/>
  <c r="Y46" i="2"/>
  <c r="Y56" i="2"/>
  <c r="Y67" i="2"/>
  <c r="Z76" i="2"/>
  <c r="Z78" i="2" s="1"/>
  <c r="BP102" i="2"/>
  <c r="BP112" i="2"/>
  <c r="Z143" i="2"/>
  <c r="Z167" i="2"/>
  <c r="BP179" i="2"/>
  <c r="Y25" i="2"/>
  <c r="BN61" i="2"/>
  <c r="BN71" i="2"/>
  <c r="Z81" i="2"/>
  <c r="Z83" i="2" s="1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24" i="2" s="1"/>
  <c r="Z32" i="2"/>
  <c r="Z59" i="2"/>
  <c r="Z66" i="2" s="1"/>
  <c r="Z69" i="2"/>
  <c r="BN81" i="2"/>
  <c r="Z103" i="2"/>
  <c r="Z113" i="2"/>
  <c r="Z123" i="2"/>
  <c r="Z125" i="2" s="1"/>
  <c r="BN149" i="2"/>
  <c r="Z170" i="2"/>
  <c r="Z180" i="2"/>
  <c r="Z215" i="2"/>
  <c r="Z225" i="2"/>
  <c r="Z227" i="2" s="1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382" i="2" l="1"/>
  <c r="Z511" i="2"/>
  <c r="Z55" i="2"/>
  <c r="Z429" i="2"/>
  <c r="Z91" i="2"/>
  <c r="Z480" i="2"/>
  <c r="Z466" i="2"/>
  <c r="Z455" i="2"/>
  <c r="Z395" i="2"/>
  <c r="Z352" i="2"/>
  <c r="Z248" i="2"/>
  <c r="Z233" i="2"/>
  <c r="Z145" i="2"/>
  <c r="X530" i="2"/>
  <c r="Z290" i="2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<sst xmlns="http://schemas.openxmlformats.org/spreadsheetml/2006/main" count="3949" uniqueCount="840">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</sst>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839</v>
      </c>
      <c r="I5" s="602"/>
      <c r="J5" s="602"/>
      <c r="K5" s="602"/>
      <c r="L5" s="602"/>
      <c r="M5" s="602"/>
      <c r="N5" s="69"/>
      <c r="P5" s="26" t="s">
        <v>4</v>
      </c>
      <c r="Q5" s="604">
        <v>46206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824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Пятница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2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0.375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624</v>
      </c>
      <c r="Y53" s="53">
        <f>IFERROR(IF(X53="",0,CEILING((X53/$H53),1)*$H53),"")</f>
        <v>624</v>
      </c>
      <c r="Z53" s="39">
        <f>IFERROR(IF(Y53=0,"",ROUNDUP(Y53/H53,0)*0.00902),"")</f>
        <v>1.4071199999999999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653.6400000000001</v>
      </c>
      <c r="BN53" s="75">
        <f>IFERROR(Y53*I53/H53,"0")</f>
        <v>653.6400000000001</v>
      </c>
      <c r="BO53" s="75">
        <f>IFERROR(1/J53*(X53/H53),"0")</f>
        <v>1.1818181818181819</v>
      </c>
      <c r="BP53" s="75">
        <f>IFERROR(1/J53*(Y53/H53),"0")</f>
        <v>1.1818181818181819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156</v>
      </c>
      <c r="Y55" s="41">
        <f>IFERROR(Y51/H51,"0")+IFERROR(Y52/H52,"0")+IFERROR(Y53/H53,"0")+IFERROR(Y54/H54,"0")</f>
        <v>156</v>
      </c>
      <c r="Z55" s="41">
        <f>IFERROR(IF(Z51="",0,Z51),"0")+IFERROR(IF(Z52="",0,Z52),"0")+IFERROR(IF(Z53="",0,Z53),"0")+IFERROR(IF(Z54="",0,Z54),"0")</f>
        <v>1.4071199999999999</v>
      </c>
      <c r="AA55" s="64"/>
      <c r="AB55" s="64"/>
      <c r="AC55" s="64"/>
    </row>
    <row r="56" spans="1:68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624</v>
      </c>
      <c r="Y56" s="41">
        <f>IFERROR(SUM(Y51:Y54),"0")</f>
        <v>624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846</v>
      </c>
      <c r="Y65" s="53">
        <f t="shared" si="6"/>
        <v>846</v>
      </c>
      <c r="Z65" s="39">
        <f>IFERROR(IF(Y65=0,"",ROUNDUP(Y65/H65,0)*0.00902),"")</f>
        <v>1.6957599999999999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881.72</v>
      </c>
      <c r="BN65" s="75">
        <f t="shared" si="8"/>
        <v>881.72</v>
      </c>
      <c r="BO65" s="75">
        <f t="shared" si="9"/>
        <v>1.4242424242424243</v>
      </c>
      <c r="BP65" s="75">
        <f t="shared" si="10"/>
        <v>1.4242424242424243</v>
      </c>
    </row>
    <row r="66" spans="1:68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188</v>
      </c>
      <c r="Y66" s="41">
        <f>IFERROR(Y59/H59,"0")+IFERROR(Y60/H60,"0")+IFERROR(Y61/H61,"0")+IFERROR(Y62/H62,"0")+IFERROR(Y63/H63,"0")+IFERROR(Y64/H64,"0")+IFERROR(Y65/H65,"0")</f>
        <v>188</v>
      </c>
      <c r="Z66" s="41">
        <f>IFERROR(IF(Z59="",0,Z59),"0")+IFERROR(IF(Z60="",0,Z60),"0")+IFERROR(IF(Z61="",0,Z61),"0")+IFERROR(IF(Z62="",0,Z62),"0")+IFERROR(IF(Z63="",0,Z63),"0")+IFERROR(IF(Z64="",0,Z64),"0")+IFERROR(IF(Z65="",0,Z65),"0")</f>
        <v>1.6957599999999999</v>
      </c>
      <c r="AA66" s="64"/>
      <c r="AB66" s="64"/>
      <c r="AC66" s="64"/>
    </row>
    <row r="67" spans="1:68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846</v>
      </c>
      <c r="Y67" s="41">
        <f>IFERROR(SUM(Y59:Y65),"0")</f>
        <v>846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1080</v>
      </c>
      <c r="Y90" s="53">
        <f>IFERROR(IF(X90="",0,CEILING((X90/$H90),1)*$H90),"")</f>
        <v>1080</v>
      </c>
      <c r="Z90" s="39">
        <f>IFERROR(IF(Y90=0,"",ROUNDUP(Y90/H90,0)*0.00902),"")</f>
        <v>2.1648000000000001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1125.6000000000001</v>
      </c>
      <c r="BN90" s="75">
        <f>IFERROR(Y90*I90/H90,"0")</f>
        <v>1125.6000000000001</v>
      </c>
      <c r="BO90" s="75">
        <f>IFERROR(1/J90*(X90/H90),"0")</f>
        <v>1.8181818181818183</v>
      </c>
      <c r="BP90" s="75">
        <f>IFERROR(1/J90*(Y90/H90),"0")</f>
        <v>1.8181818181818183</v>
      </c>
    </row>
    <row r="91" spans="1:68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240</v>
      </c>
      <c r="Y91" s="41">
        <f>IFERROR(Y87/H87,"0")+IFERROR(Y88/H88,"0")+IFERROR(Y89/H89,"0")+IFERROR(Y90/H90,"0")</f>
        <v>240</v>
      </c>
      <c r="Z91" s="41">
        <f>IFERROR(IF(Z87="",0,Z87),"0")+IFERROR(IF(Z88="",0,Z88),"0")+IFERROR(IF(Z89="",0,Z89),"0")+IFERROR(IF(Z90="",0,Z90),"0")</f>
        <v>2.1648000000000001</v>
      </c>
      <c r="AA91" s="64"/>
      <c r="AB91" s="64"/>
      <c r="AC91" s="64"/>
    </row>
    <row r="92" spans="1:68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1080</v>
      </c>
      <c r="Y92" s="41">
        <f>IFERROR(SUM(Y87:Y90),"0")</f>
        <v>1080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1080</v>
      </c>
      <c r="Y96" s="53">
        <f>IFERROR(IF(X96="",0,CEILING((X96/$H96),1)*$H96),"")</f>
        <v>1080</v>
      </c>
      <c r="Z96" s="39">
        <f>IFERROR(IF(Y96=0,"",ROUNDUP(Y96/H96,0)*0.00651),"")</f>
        <v>2.6040000000000001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1180.8</v>
      </c>
      <c r="BN96" s="75">
        <f>IFERROR(Y96*I96/H96,"0")</f>
        <v>1180.8</v>
      </c>
      <c r="BO96" s="75">
        <f>IFERROR(1/J96*(X96/H96),"0")</f>
        <v>2.197802197802198</v>
      </c>
      <c r="BP96" s="75">
        <f>IFERROR(1/J96*(Y96/H96),"0")</f>
        <v>2.197802197802198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400</v>
      </c>
      <c r="Y98" s="41">
        <f>IFERROR(Y94/H94,"0")+IFERROR(Y95/H95,"0")+IFERROR(Y96/H96,"0")+IFERROR(Y97/H97,"0")</f>
        <v>400</v>
      </c>
      <c r="Z98" s="41">
        <f>IFERROR(IF(Z94="",0,Z94),"0")+IFERROR(IF(Z95="",0,Z95),"0")+IFERROR(IF(Z96="",0,Z96),"0")+IFERROR(IF(Z97="",0,Z97),"0")</f>
        <v>2.6040000000000001</v>
      </c>
      <c r="AA98" s="64"/>
      <c r="AB98" s="64"/>
      <c r="AC98" s="64"/>
    </row>
    <row r="99" spans="1:68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1080</v>
      </c>
      <c r="Y99" s="41">
        <f>IFERROR(SUM(Y94:Y97),"0")</f>
        <v>1080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1620</v>
      </c>
      <c r="Y107" s="53">
        <f t="shared" si="11"/>
        <v>1620</v>
      </c>
      <c r="Z107" s="39">
        <f>IFERROR(IF(Y107=0,"",ROUNDUP(Y107/H107,0)*0.00902),"")</f>
        <v>3.2472000000000003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1688.4</v>
      </c>
      <c r="BN107" s="75">
        <f t="shared" si="13"/>
        <v>1688.4</v>
      </c>
      <c r="BO107" s="75">
        <f t="shared" si="14"/>
        <v>2.7272727272727275</v>
      </c>
      <c r="BP107" s="75">
        <f t="shared" si="15"/>
        <v>2.7272727272727275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360</v>
      </c>
      <c r="Y109" s="41">
        <f>IFERROR(Y102/H102,"0")+IFERROR(Y103/H103,"0")+IFERROR(Y104/H104,"0")+IFERROR(Y105/H105,"0")+IFERROR(Y106/H106,"0")+IFERROR(Y107/H107,"0")+IFERROR(Y108/H108,"0")</f>
        <v>360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3.2472000000000003</v>
      </c>
      <c r="AA109" s="64"/>
      <c r="AB109" s="64"/>
      <c r="AC109" s="64"/>
    </row>
    <row r="110" spans="1:68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1620</v>
      </c>
      <c r="Y110" s="41">
        <f>IFERROR(SUM(Y102:Y108),"0")</f>
        <v>1620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540</v>
      </c>
      <c r="Y123" s="53">
        <f>IFERROR(IF(X123="",0,CEILING((X123/$H123),1)*$H123),"")</f>
        <v>540</v>
      </c>
      <c r="Z123" s="39">
        <f>IFERROR(IF(Y123=0,"",ROUNDUP(Y123/H123,0)*0.00651),"")</f>
        <v>1.302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590.4</v>
      </c>
      <c r="BN123" s="75">
        <f>IFERROR(Y123*I123/H123,"0")</f>
        <v>590.4</v>
      </c>
      <c r="BO123" s="75">
        <f>IFERROR(1/J123*(X123/H123),"0")</f>
        <v>1.098901098901099</v>
      </c>
      <c r="BP123" s="75">
        <f>IFERROR(1/J123*(Y123/H123),"0")</f>
        <v>1.098901098901099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200</v>
      </c>
      <c r="Y125" s="41">
        <f>IFERROR(Y121/H121,"0")+IFERROR(Y122/H122,"0")+IFERROR(Y123/H123,"0")+IFERROR(Y124/H124,"0")</f>
        <v>200</v>
      </c>
      <c r="Z125" s="41">
        <f>IFERROR(IF(Z121="",0,Z121),"0")+IFERROR(IF(Z122="",0,Z122),"0")+IFERROR(IF(Z123="",0,Z123),"0")+IFERROR(IF(Z124="",0,Z124),"0")</f>
        <v>1.302</v>
      </c>
      <c r="AA125" s="64"/>
      <c r="AB125" s="64"/>
      <c r="AC125" s="64"/>
    </row>
    <row r="126" spans="1:68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540</v>
      </c>
      <c r="Y126" s="41">
        <f>IFERROR(SUM(Y121:Y124),"0")</f>
        <v>540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393.12000000000006</v>
      </c>
      <c r="Y171" s="53">
        <f t="shared" si="21"/>
        <v>393.12</v>
      </c>
      <c r="Z171" s="39">
        <f>IFERROR(IF(Y171=0,"",ROUNDUP(Y171/H171,0)*0.00502),"")</f>
        <v>1.1746799999999999</v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416.5200000000001</v>
      </c>
      <c r="BN171" s="75">
        <f t="shared" si="23"/>
        <v>416.52000000000004</v>
      </c>
      <c r="BO171" s="75">
        <f t="shared" si="24"/>
        <v>1.0000000000000004</v>
      </c>
      <c r="BP171" s="75">
        <f t="shared" si="25"/>
        <v>1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393.12000000000006</v>
      </c>
      <c r="Y173" s="53">
        <f t="shared" si="21"/>
        <v>393.12</v>
      </c>
      <c r="Z173" s="39">
        <f>IFERROR(IF(Y173=0,"",ROUNDUP(Y173/H173,0)*0.00502),"")</f>
        <v>1.1746799999999999</v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416.5200000000001</v>
      </c>
      <c r="BN173" s="75">
        <f t="shared" si="23"/>
        <v>416.52000000000004</v>
      </c>
      <c r="BO173" s="75">
        <f t="shared" si="24"/>
        <v>1.0000000000000004</v>
      </c>
      <c r="BP173" s="75">
        <f t="shared" si="25"/>
        <v>1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468.00000000000011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468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2.3493599999999999</v>
      </c>
      <c r="AA176" s="64"/>
      <c r="AB176" s="64"/>
      <c r="AC176" s="64"/>
    </row>
    <row r="177" spans="1:68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786.24000000000012</v>
      </c>
      <c r="Y177" s="41">
        <f>IFERROR(SUM(Y166:Y175),"0")</f>
        <v>786.24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421.2</v>
      </c>
      <c r="Y255" s="53">
        <f t="shared" si="32"/>
        <v>421.2</v>
      </c>
      <c r="Z255" s="39">
        <f>IFERROR(IF(Y255=0,"",ROUNDUP(Y255/H255,0)*0.00502),"")</f>
        <v>1.1746799999999999</v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451.61999999999995</v>
      </c>
      <c r="BN255" s="75">
        <f t="shared" si="34"/>
        <v>451.61999999999995</v>
      </c>
      <c r="BO255" s="75">
        <f t="shared" si="35"/>
        <v>1</v>
      </c>
      <c r="BP255" s="75">
        <f t="shared" si="36"/>
        <v>1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421.2</v>
      </c>
      <c r="Y257" s="53">
        <f t="shared" si="32"/>
        <v>421.2</v>
      </c>
      <c r="Z257" s="39">
        <f>IFERROR(IF(Y257=0,"",ROUNDUP(Y257/H257,0)*0.00502),"")</f>
        <v>1.1746799999999999</v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444.59999999999997</v>
      </c>
      <c r="BN257" s="75">
        <f t="shared" si="34"/>
        <v>444.59999999999997</v>
      </c>
      <c r="BO257" s="75">
        <f t="shared" si="35"/>
        <v>1</v>
      </c>
      <c r="BP257" s="75">
        <f t="shared" si="36"/>
        <v>1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468</v>
      </c>
      <c r="Y259" s="41">
        <f>IFERROR(Y251/H251,"0")+IFERROR(Y252/H252,"0")+IFERROR(Y253/H253,"0")+IFERROR(Y254/H254,"0")+IFERROR(Y255/H255,"0")+IFERROR(Y256/H256,"0")+IFERROR(Y257/H257,"0")+IFERROR(Y258/H258,"0")</f>
        <v>468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2.3493599999999999</v>
      </c>
      <c r="AA259" s="64"/>
      <c r="AB259" s="64"/>
      <c r="AC259" s="64"/>
    </row>
    <row r="260" spans="1:68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842.4</v>
      </c>
      <c r="Y260" s="41">
        <f>IFERROR(SUM(Y251:Y258),"0")</f>
        <v>842.4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374.40000000000003</v>
      </c>
      <c r="Y265" s="53">
        <f t="shared" si="37"/>
        <v>374.4</v>
      </c>
      <c r="Z265" s="39">
        <f>IFERROR(IF(Y265=0,"",ROUNDUP(Y265/H265,0)*0.00651),"")</f>
        <v>1.01556</v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416.52000000000004</v>
      </c>
      <c r="BN265" s="75">
        <f t="shared" si="39"/>
        <v>416.52</v>
      </c>
      <c r="BO265" s="75">
        <f t="shared" si="40"/>
        <v>0.85714285714285732</v>
      </c>
      <c r="BP265" s="75">
        <f t="shared" si="41"/>
        <v>0.85714285714285721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374.40000000000003</v>
      </c>
      <c r="Y268" s="53">
        <f t="shared" si="37"/>
        <v>374.4</v>
      </c>
      <c r="Z268" s="39">
        <f>IFERROR(IF(Y268=0,"",ROUNDUP(Y268/H268,0)*0.00651),"")</f>
        <v>1.01556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413.7120000000001</v>
      </c>
      <c r="BN268" s="75">
        <f t="shared" si="39"/>
        <v>413.71200000000005</v>
      </c>
      <c r="BO268" s="75">
        <f t="shared" si="40"/>
        <v>0.85714285714285732</v>
      </c>
      <c r="BP268" s="75">
        <f t="shared" si="41"/>
        <v>0.85714285714285721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312.00000000000006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312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2.03112</v>
      </c>
      <c r="AA274" s="64"/>
      <c r="AB274" s="64"/>
      <c r="AC274" s="64"/>
    </row>
    <row r="275" spans="1:68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748.80000000000007</v>
      </c>
      <c r="Y275" s="41">
        <f>IFERROR(SUM(Y262:Y273),"0")</f>
        <v>748.8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99</v>
      </c>
      <c r="Y293" s="53">
        <f>IFERROR(IF(X293="",0,CEILING((X293/$H293),1)*$H293),"")</f>
        <v>99</v>
      </c>
      <c r="Z293" s="39">
        <f>IFERROR(IF(Y293=0,"",ROUNDUP(Y293/H293,0)*0.00502),"")</f>
        <v>0.251</v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104.00000000000001</v>
      </c>
      <c r="BN293" s="75">
        <f>IFERROR(Y293*I293/H293,"0")</f>
        <v>104.00000000000001</v>
      </c>
      <c r="BO293" s="75">
        <f>IFERROR(1/J293*(X293/H293),"0")</f>
        <v>0.21367521367521369</v>
      </c>
      <c r="BP293" s="75">
        <f>IFERROR(1/J293*(Y293/H293),"0")</f>
        <v>0.21367521367521369</v>
      </c>
    </row>
    <row r="294" spans="1:68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50</v>
      </c>
      <c r="Y294" s="41">
        <f>IFERROR(Y293/H293,"0")</f>
        <v>50</v>
      </c>
      <c r="Z294" s="41">
        <f>IFERROR(IF(Z293="",0,Z293),"0")</f>
        <v>0.251</v>
      </c>
      <c r="AA294" s="64"/>
      <c r="AB294" s="64"/>
      <c r="AC294" s="64"/>
    </row>
    <row r="295" spans="1:68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99</v>
      </c>
      <c r="Y295" s="41">
        <f>IFERROR(SUM(Y293:Y293),"0")</f>
        <v>99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491.4</v>
      </c>
      <c r="Y359" s="53">
        <f t="shared" si="52"/>
        <v>491.40000000000003</v>
      </c>
      <c r="Z359" s="39">
        <f>IFERROR(IF(Y359=0,"",ROUNDUP(Y359/H359,0)*0.00502),"")</f>
        <v>1.1746799999999999</v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514.79999999999995</v>
      </c>
      <c r="BN359" s="75">
        <f t="shared" si="54"/>
        <v>514.80000000000007</v>
      </c>
      <c r="BO359" s="75">
        <f t="shared" si="55"/>
        <v>1</v>
      </c>
      <c r="BP359" s="75">
        <f t="shared" si="56"/>
        <v>1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233.99999999999997</v>
      </c>
      <c r="Y362" s="41">
        <f>IFERROR(Y355/H355,"0")+IFERROR(Y356/H356,"0")+IFERROR(Y357/H357,"0")+IFERROR(Y358/H358,"0")+IFERROR(Y359/H359,"0")+IFERROR(Y360/H360,"0")+IFERROR(Y361/H361,"0")</f>
        <v>234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1.1746799999999999</v>
      </c>
      <c r="AA362" s="64"/>
      <c r="AB362" s="64"/>
      <c r="AC362" s="64"/>
    </row>
    <row r="363" spans="1:68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491.4</v>
      </c>
      <c r="Y363" s="41">
        <f>IFERROR(SUM(Y355:Y361),"0")</f>
        <v>491.40000000000003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hidden="1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51.000000000000007</v>
      </c>
      <c r="Y381" s="53">
        <f>IFERROR(IF(X381="",0,CEILING((X381/$H381),1)*$H381),"")</f>
        <v>51</v>
      </c>
      <c r="Z381" s="39">
        <f>IFERROR(IF(Y381=0,"",ROUNDUP(Y381/H381,0)*0.00651),"")</f>
        <v>0.13020000000000001</v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57.600000000000016</v>
      </c>
      <c r="BN381" s="75">
        <f>IFERROR(Y381*I381/H381,"0")</f>
        <v>57.6</v>
      </c>
      <c r="BO381" s="75">
        <f>IFERROR(1/J381*(X381/H381),"0")</f>
        <v>0.10989010989010992</v>
      </c>
      <c r="BP381" s="75">
        <f>IFERROR(1/J381*(Y381/H381),"0")</f>
        <v>0.1098901098901099</v>
      </c>
    </row>
    <row r="382" spans="1:68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20.000000000000004</v>
      </c>
      <c r="Y382" s="41">
        <f>IFERROR(Y378/H378,"0")+IFERROR(Y379/H379,"0")+IFERROR(Y380/H380,"0")+IFERROR(Y381/H381,"0")</f>
        <v>20</v>
      </c>
      <c r="Z382" s="41">
        <f>IFERROR(IF(Z378="",0,Z378),"0")+IFERROR(IF(Z379="",0,Z379),"0")+IFERROR(IF(Z380="",0,Z380),"0")+IFERROR(IF(Z381="",0,Z381),"0")</f>
        <v>0.13020000000000001</v>
      </c>
      <c r="AA382" s="64"/>
      <c r="AB382" s="64"/>
      <c r="AC382" s="64"/>
    </row>
    <row r="383" spans="1:68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51.000000000000007</v>
      </c>
      <c r="Y383" s="41">
        <f>IFERROR(SUM(Y378:Y381),"0")</f>
        <v>51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655.19999999999993</v>
      </c>
      <c r="Y393" s="53">
        <f>IFERROR(IF(X393="",0,CEILING((X393/$H393),1)*$H393),"")</f>
        <v>655.20000000000005</v>
      </c>
      <c r="Z393" s="39">
        <f>IFERROR(IF(Y393=0,"",ROUNDUP(Y393/H393,0)*0.00651),"")</f>
        <v>2.03112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733.82399999999984</v>
      </c>
      <c r="BN393" s="75">
        <f>IFERROR(Y393*I393/H393,"0")</f>
        <v>733.82400000000007</v>
      </c>
      <c r="BO393" s="75">
        <f>IFERROR(1/J393*(X393/H393),"0")</f>
        <v>1.7142857142857142</v>
      </c>
      <c r="BP393" s="75">
        <f>IFERROR(1/J393*(Y393/H393),"0")</f>
        <v>1.7142857142857144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327.59999999999997</v>
      </c>
      <c r="Y394" s="53">
        <f>IFERROR(IF(X394="",0,CEILING((X394/$H394),1)*$H394),"")</f>
        <v>327.60000000000002</v>
      </c>
      <c r="Z394" s="39">
        <f>IFERROR(IF(Y394=0,"",ROUNDUP(Y394/H394,0)*0.00651),"")</f>
        <v>1.01556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365.03999999999991</v>
      </c>
      <c r="BN394" s="75">
        <f>IFERROR(Y394*I394/H394,"0")</f>
        <v>365.04</v>
      </c>
      <c r="BO394" s="75">
        <f>IFERROR(1/J394*(X394/H394),"0")</f>
        <v>0.8571428571428571</v>
      </c>
      <c r="BP394" s="75">
        <f>IFERROR(1/J394*(Y394/H394),"0")</f>
        <v>0.85714285714285721</v>
      </c>
    </row>
    <row r="395" spans="1:68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467.99999999999989</v>
      </c>
      <c r="Y395" s="41">
        <f>IFERROR(Y392/H392,"0")+IFERROR(Y393/H393,"0")+IFERROR(Y394/H394,"0")</f>
        <v>468</v>
      </c>
      <c r="Z395" s="41">
        <f>IFERROR(IF(Z392="",0,Z392),"0")+IFERROR(IF(Z393="",0,Z393),"0")+IFERROR(IF(Z394="",0,Z394),"0")</f>
        <v>3.0466800000000003</v>
      </c>
      <c r="AA395" s="64"/>
      <c r="AB395" s="64"/>
      <c r="AC395" s="64"/>
    </row>
    <row r="396" spans="1:68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982.8</v>
      </c>
      <c r="Y396" s="41">
        <f>IFERROR(SUM(Y392:Y394),"0")</f>
        <v>982.80000000000007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60</v>
      </c>
      <c r="Y401" s="53">
        <f t="shared" si="57"/>
        <v>60</v>
      </c>
      <c r="Z401" s="39">
        <f>IFERROR(IF(Y401=0,"",ROUNDUP(Y401/H401,0)*0.02175),"")</f>
        <v>8.6999999999999994E-2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61.88</v>
      </c>
      <c r="BN401" s="75">
        <f t="shared" si="59"/>
        <v>61.88</v>
      </c>
      <c r="BO401" s="75">
        <f t="shared" si="60"/>
        <v>8.3333333333333329E-2</v>
      </c>
      <c r="BP401" s="75">
        <f t="shared" si="61"/>
        <v>8.3333333333333329E-2</v>
      </c>
    </row>
    <row r="402" spans="1:68" ht="27" hidden="1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60</v>
      </c>
      <c r="Y403" s="53">
        <f t="shared" si="57"/>
        <v>60</v>
      </c>
      <c r="Z403" s="39">
        <f>IFERROR(IF(Y403=0,"",ROUNDUP(Y403/H403,0)*0.02175),"")</f>
        <v>8.6999999999999994E-2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61.88</v>
      </c>
      <c r="BN403" s="75">
        <f t="shared" si="59"/>
        <v>61.88</v>
      </c>
      <c r="BO403" s="75">
        <f t="shared" si="60"/>
        <v>8.3333333333333329E-2</v>
      </c>
      <c r="BP403" s="75">
        <f t="shared" si="61"/>
        <v>8.3333333333333329E-2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8</v>
      </c>
      <c r="Y408" s="41">
        <f>IFERROR(Y400/H400,"0")+IFERROR(Y401/H401,"0")+IFERROR(Y402/H402,"0")+IFERROR(Y403/H403,"0")+IFERROR(Y404/H404,"0")+IFERROR(Y405/H405,"0")+IFERROR(Y406/H406,"0")+IFERROR(Y407/H407,"0")</f>
        <v>8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0.17399999999999999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120</v>
      </c>
      <c r="Y409" s="41">
        <f>IFERROR(SUM(Y400:Y407),"0")</f>
        <v>120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60</v>
      </c>
      <c r="Y411" s="53">
        <f>IFERROR(IF(X411="",0,CEILING((X411/$H411),1)*$H411),"")</f>
        <v>60</v>
      </c>
      <c r="Z411" s="39">
        <f>IFERROR(IF(Y411=0,"",ROUNDUP(Y411/H411,0)*0.02175),"")</f>
        <v>8.6999999999999994E-2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61.88</v>
      </c>
      <c r="BN411" s="75">
        <f>IFERROR(Y411*I411/H411,"0")</f>
        <v>61.88</v>
      </c>
      <c r="BO411" s="75">
        <f>IFERROR(1/J411*(X411/H411),"0")</f>
        <v>8.3333333333333329E-2</v>
      </c>
      <c r="BP411" s="75">
        <f>IFERROR(1/J411*(Y411/H411),"0")</f>
        <v>8.3333333333333329E-2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4</v>
      </c>
      <c r="Y414" s="41">
        <f>IFERROR(Y411/H411,"0")+IFERROR(Y412/H412,"0")+IFERROR(Y413/H413,"0")</f>
        <v>4</v>
      </c>
      <c r="Z414" s="41">
        <f>IFERROR(IF(Z411="",0,Z411),"0")+IFERROR(IF(Z412="",0,Z412),"0")+IFERROR(IF(Z413="",0,Z413),"0")</f>
        <v>8.6999999999999994E-2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60</v>
      </c>
      <c r="Y415" s="41">
        <f>IFERROR(SUM(Y411:Y413),"0")</f>
        <v>60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idden="1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0</v>
      </c>
      <c r="Y480" s="41">
        <f>IFERROR(Y471/H471,"0")+IFERROR(Y472/H472,"0")+IFERROR(Y473/H473,"0")+IFERROR(Y474/H474,"0")+IFERROR(Y475/H475,"0")+IFERROR(Y476/H476,"0")+IFERROR(Y477/H477,"0")+IFERROR(Y478/H478,"0")+IFERROR(Y479/H479,"0")</f>
        <v>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</v>
      </c>
      <c r="AA480" s="64"/>
      <c r="AB480" s="64"/>
      <c r="AC480" s="64"/>
    </row>
    <row r="481" spans="1:68" hidden="1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0</v>
      </c>
      <c r="Y481" s="41">
        <f>IFERROR(SUM(Y471:Y479),"0")</f>
        <v>0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hidden="1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hidden="1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hidden="1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idden="1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hidden="1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9971.6399999999976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9971.6399999999976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10640.955999999996</v>
      </c>
      <c r="Y528" s="41">
        <f>IFERROR(SUM(BN22:BN524),"0")</f>
        <v>10640.955999999998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21</v>
      </c>
      <c r="Y529" s="42">
        <f>ROUNDUP(SUM(BP22:BP524),0)</f>
        <v>21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11165.955999999996</v>
      </c>
      <c r="Y530" s="41">
        <f>GrossWeightTotalR+PalletQtyTotalR*25</f>
        <v>11165.955999999998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3576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3576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24.014280000000003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624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846</v>
      </c>
      <c r="F537" s="50">
        <f>IFERROR(Y87*1,"0")+IFERROR(Y88*1,"0")+IFERROR(Y89*1,"0")+IFERROR(Y90*1,"0")+IFERROR(Y94*1,"0")+IFERROR(Y95*1,"0")+IFERROR(Y96*1,"0")+IFERROR(Y97*1,"0")</f>
        <v>2160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2160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786.24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1591.1999999999998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99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542.40000000000009</v>
      </c>
      <c r="U537" s="50">
        <f>IFERROR(Y392*1,"0")+IFERROR(Y393*1,"0")+IFERROR(Y394*1,"0")</f>
        <v>982.80000000000007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180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0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620,00"/>
        <filter val="10 640,96"/>
        <filter val="11 165,96"/>
        <filter val="120,00"/>
        <filter val="156,00"/>
        <filter val="188,00"/>
        <filter val="20,00"/>
        <filter val="200,00"/>
        <filter val="21"/>
        <filter val="234,00"/>
        <filter val="240,00"/>
        <filter val="3 576,00"/>
        <filter val="312,00"/>
        <filter val="327,60"/>
        <filter val="360,00"/>
        <filter val="374,40"/>
        <filter val="393,12"/>
        <filter val="4,00"/>
        <filter val="400,00"/>
        <filter val="421,20"/>
        <filter val="468,00"/>
        <filter val="491,40"/>
        <filter val="50,00"/>
        <filter val="51,00"/>
        <filter val="540,00"/>
        <filter val="60,00"/>
        <filter val="624,00"/>
        <filter val="655,20"/>
        <filter val="748,80"/>
        <filter val="786,24"/>
        <filter val="8,00"/>
        <filter val="842,40"/>
        <filter val="846,00"/>
        <filter val="9 971,64"/>
        <filter val="982,80"/>
        <filter val="99,00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9" spans="2:8" x14ac:dyDescent="0.2">
      <c r="B9" s="51" t="s">
        <v>827</v>
      </c>
      <c r="C9" s="51" t="s">
        <v>822</v>
      </c>
      <c r="D9" s="51" t="s">
        <v>46</v>
      </c>
      <c r="E9" s="51" t="s">
        <v>46</v>
      </c>
    </row>
    <row r="11" spans="2:8" x14ac:dyDescent="0.2">
      <c r="B11" s="51" t="s">
        <v>827</v>
      </c>
      <c r="C11" s="51" t="s">
        <v>825</v>
      </c>
      <c r="D11" s="51" t="s">
        <v>46</v>
      </c>
      <c r="E11" s="51" t="s">
        <v>46</v>
      </c>
    </row>
    <row r="13" spans="2:8" x14ac:dyDescent="0.2">
      <c r="B13" s="51" t="s">
        <v>828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838</v>
      </c>
      <c r="C23" s="51" t="s">
        <v>46</v>
      </c>
      <c r="D23" s="51" t="s">
        <v>46</v>
      </c>
      <c r="E23" s="51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1075</vt:i4>
      </vt:variant>
    </vt:vector>
  </HeadingPairs>
  <TitlesOfParts>
    <vt:vector size="10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