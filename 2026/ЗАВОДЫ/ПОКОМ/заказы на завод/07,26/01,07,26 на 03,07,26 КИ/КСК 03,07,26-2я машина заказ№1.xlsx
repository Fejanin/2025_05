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BE8F65-54D4-467B-AD69-17B8A2C0A37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Y419" i="2" s="1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P350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N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N264" i="2"/>
  <c r="BM264" i="2"/>
  <c r="Y264" i="2"/>
  <c r="BP264" i="2" s="1"/>
  <c r="P264" i="2"/>
  <c r="BO263" i="2"/>
  <c r="BM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Y244" i="2" s="1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N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M197" i="2"/>
  <c r="Y197" i="2"/>
  <c r="Z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262" i="2" l="1"/>
  <c r="Z138" i="2"/>
  <c r="BN350" i="2"/>
  <c r="BN453" i="2"/>
  <c r="BP328" i="2"/>
  <c r="BN197" i="2"/>
  <c r="BP197" i="2"/>
  <c r="Z185" i="2"/>
  <c r="Z445" i="2"/>
  <c r="BN185" i="2"/>
  <c r="Z269" i="2"/>
  <c r="Z117" i="2"/>
  <c r="BP339" i="2"/>
  <c r="Z438" i="2"/>
  <c r="BP139" i="2"/>
  <c r="BN386" i="2"/>
  <c r="Z283" i="2"/>
  <c r="BP386" i="2"/>
  <c r="Y433" i="2"/>
  <c r="BP162" i="2"/>
  <c r="Y164" i="2"/>
  <c r="BP297" i="2"/>
  <c r="Z285" i="2"/>
  <c r="BN285" i="2"/>
  <c r="BP394" i="2"/>
  <c r="Y130" i="2"/>
  <c r="BN252" i="2"/>
  <c r="BP252" i="2"/>
  <c r="BP271" i="2"/>
  <c r="BN373" i="2"/>
  <c r="BP373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Z419" i="2" s="1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Y335" i="2"/>
  <c r="Z335" i="2"/>
  <c r="Z328" i="2"/>
  <c r="Z318" i="2"/>
  <c r="BP318" i="2"/>
  <c r="Z313" i="2"/>
  <c r="BN313" i="2"/>
  <c r="Z304" i="2"/>
  <c r="BN304" i="2"/>
  <c r="BP301" i="2"/>
  <c r="Z297" i="2"/>
  <c r="Z298" i="2" s="1"/>
  <c r="BN297" i="2"/>
  <c r="BP289" i="2"/>
  <c r="Z287" i="2"/>
  <c r="BN283" i="2"/>
  <c r="Z271" i="2"/>
  <c r="Z266" i="2"/>
  <c r="Z264" i="2"/>
  <c r="Z256" i="2"/>
  <c r="BN256" i="2"/>
  <c r="Z254" i="2"/>
  <c r="BN254" i="2"/>
  <c r="Z226" i="2"/>
  <c r="Z221" i="2"/>
  <c r="BP221" i="2"/>
  <c r="Z220" i="2"/>
  <c r="BN220" i="2"/>
  <c r="Z219" i="2"/>
  <c r="Z217" i="2"/>
  <c r="BN217" i="2"/>
  <c r="BP215" i="2"/>
  <c r="Z211" i="2"/>
  <c r="Z209" i="2"/>
  <c r="BN209" i="2"/>
  <c r="BP180" i="2"/>
  <c r="Z174" i="2"/>
  <c r="Z173" i="2"/>
  <c r="BP173" i="2"/>
  <c r="Z171" i="2"/>
  <c r="BP170" i="2"/>
  <c r="Z168" i="2"/>
  <c r="BP168" i="2"/>
  <c r="Z162" i="2"/>
  <c r="Z163" i="2" s="1"/>
  <c r="Y159" i="2"/>
  <c r="Z139" i="2"/>
  <c r="Z133" i="2"/>
  <c r="BN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G537" i="2"/>
  <c r="Z107" i="2"/>
  <c r="Z106" i="2"/>
  <c r="BP106" i="2"/>
  <c r="Z105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Z187" i="2" s="1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Z140" i="2"/>
  <c r="BN15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48" i="2" s="1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BP102" i="2"/>
  <c r="BP112" i="2"/>
  <c r="Z143" i="2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32" i="2"/>
  <c r="Z59" i="2"/>
  <c r="Z66" i="2" s="1"/>
  <c r="Z69" i="2"/>
  <c r="BN81" i="2"/>
  <c r="Z103" i="2"/>
  <c r="Z113" i="2"/>
  <c r="Z123" i="2"/>
  <c r="Z125" i="2" s="1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78" i="2" l="1"/>
  <c r="Z55" i="2"/>
  <c r="Z24" i="2"/>
  <c r="Z429" i="2"/>
  <c r="Z382" i="2"/>
  <c r="Z233" i="2"/>
  <c r="Z480" i="2"/>
  <c r="Z511" i="2"/>
  <c r="Z466" i="2"/>
  <c r="Z455" i="2"/>
  <c r="Z395" i="2"/>
  <c r="Z352" i="2"/>
  <c r="Z321" i="2"/>
  <c r="Z145" i="2"/>
  <c r="Z91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<sst xmlns="http://schemas.openxmlformats.org/spreadsheetml/2006/main" count="3949" uniqueCount="840">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</sst>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839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821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1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0.41666666666666669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85.333333333333329</v>
      </c>
      <c r="Y44" s="53">
        <f>IFERROR(IF(X44="",0,CEILING((X44/$H44),1)*$H44),"")</f>
        <v>86.399999999999991</v>
      </c>
      <c r="Z44" s="39">
        <f>IFERROR(IF(Y44=0,"",ROUNDUP(Y44/H44,0)*0.00651),"")</f>
        <v>0.29294999999999999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93.333333333333329</v>
      </c>
      <c r="BN44" s="75">
        <f>IFERROR(Y44*I44/H44,"0")</f>
        <v>94.5</v>
      </c>
      <c r="BO44" s="75">
        <f>IFERROR(1/J44*(X44/H44),"0")</f>
        <v>0.24420024420024422</v>
      </c>
      <c r="BP44" s="75">
        <f>IFERROR(1/J44*(Y44/H44),"0")</f>
        <v>0.24725274725274726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42.666666666666664</v>
      </c>
      <c r="Y45" s="53">
        <f>IFERROR(IF(X45="",0,CEILING((X45/$H45),1)*$H45),"")</f>
        <v>44.16</v>
      </c>
      <c r="Z45" s="39">
        <f>IFERROR(IF(Y45=0,"",ROUNDUP(Y45/H45,0)*0.00651),"")</f>
        <v>0.14973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46.666666666666664</v>
      </c>
      <c r="BN45" s="75">
        <f>IFERROR(Y45*I45/H45,"0")</f>
        <v>48.3</v>
      </c>
      <c r="BO45" s="75">
        <f>IFERROR(1/J45*(X45/H45),"0")</f>
        <v>0.12210012210012211</v>
      </c>
      <c r="BP45" s="75">
        <f>IFERROR(1/J45*(Y45/H45),"0")</f>
        <v>0.1263736263736264</v>
      </c>
    </row>
    <row r="46" spans="1:68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66.666666666666657</v>
      </c>
      <c r="Y46" s="41">
        <f>IFERROR(Y42/H42,"0")+IFERROR(Y43/H43,"0")+IFERROR(Y44/H44,"0")+IFERROR(Y45/H45,"0")</f>
        <v>68</v>
      </c>
      <c r="Z46" s="41">
        <f>IFERROR(IF(Z42="",0,Z42),"0")+IFERROR(IF(Z43="",0,Z43),"0")+IFERROR(IF(Z44="",0,Z44),"0")+IFERROR(IF(Z45="",0,Z45),"0")</f>
        <v>0.44267999999999996</v>
      </c>
      <c r="AA46" s="64"/>
      <c r="AB46" s="64"/>
      <c r="AC46" s="64"/>
    </row>
    <row r="47" spans="1:68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128</v>
      </c>
      <c r="Y47" s="41">
        <f>IFERROR(SUM(Y42:Y45),"0")</f>
        <v>130.56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400</v>
      </c>
      <c r="Y53" s="53">
        <f>IFERROR(IF(X53="",0,CEILING((X53/$H53),1)*$H53),"")</f>
        <v>400</v>
      </c>
      <c r="Z53" s="39">
        <f>IFERROR(IF(Y53=0,"",ROUNDUP(Y53/H53,0)*0.00902),"")</f>
        <v>0.90200000000000002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419.00000000000006</v>
      </c>
      <c r="BN53" s="75">
        <f>IFERROR(Y53*I53/H53,"0")</f>
        <v>419.00000000000006</v>
      </c>
      <c r="BO53" s="75">
        <f>IFERROR(1/J53*(X53/H53),"0")</f>
        <v>0.75757575757575757</v>
      </c>
      <c r="BP53" s="75">
        <f>IFERROR(1/J53*(Y53/H53),"0")</f>
        <v>0.75757575757575757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100</v>
      </c>
      <c r="Y55" s="41">
        <f>IFERROR(Y51/H51,"0")+IFERROR(Y52/H52,"0")+IFERROR(Y53/H53,"0")+IFERROR(Y54/H54,"0")</f>
        <v>100</v>
      </c>
      <c r="Z55" s="41">
        <f>IFERROR(IF(Z51="",0,Z51),"0")+IFERROR(IF(Z52="",0,Z52),"0")+IFERROR(IF(Z53="",0,Z53),"0")+IFERROR(IF(Z54="",0,Z54),"0")</f>
        <v>0.90200000000000002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400</v>
      </c>
      <c r="Y56" s="41">
        <f>IFERROR(SUM(Y51:Y54),"0")</f>
        <v>400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66.666666666666657</v>
      </c>
      <c r="Y61" s="53">
        <f t="shared" si="6"/>
        <v>75.600000000000009</v>
      </c>
      <c r="Z61" s="39">
        <f>IFERROR(IF(Y61=0,"",ROUNDUP(Y61/H61,0)*0.01898),"")</f>
        <v>0.13286000000000001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69.197530864197518</v>
      </c>
      <c r="BN61" s="75">
        <f t="shared" si="8"/>
        <v>78.47</v>
      </c>
      <c r="BO61" s="75">
        <f t="shared" si="9"/>
        <v>9.6450617283950602E-2</v>
      </c>
      <c r="BP61" s="75">
        <f t="shared" si="10"/>
        <v>0.109375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420</v>
      </c>
      <c r="Y65" s="53">
        <f t="shared" si="6"/>
        <v>423</v>
      </c>
      <c r="Z65" s="39">
        <f>IFERROR(IF(Y65=0,"",ROUNDUP(Y65/H65,0)*0.00902),"")</f>
        <v>0.84787999999999997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437.73333333333335</v>
      </c>
      <c r="BN65" s="75">
        <f t="shared" si="8"/>
        <v>440.86</v>
      </c>
      <c r="BO65" s="75">
        <f t="shared" si="9"/>
        <v>0.70707070707070707</v>
      </c>
      <c r="BP65" s="75">
        <f t="shared" si="10"/>
        <v>0.71212121212121215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99.506172839506164</v>
      </c>
      <c r="Y66" s="41">
        <f>IFERROR(Y59/H59,"0")+IFERROR(Y60/H60,"0")+IFERROR(Y61/H61,"0")+IFERROR(Y62/H62,"0")+IFERROR(Y63/H63,"0")+IFERROR(Y64/H64,"0")+IFERROR(Y65/H65,"0")</f>
        <v>101</v>
      </c>
      <c r="Z66" s="41">
        <f>IFERROR(IF(Z59="",0,Z59),"0")+IFERROR(IF(Z60="",0,Z60),"0")+IFERROR(IF(Z61="",0,Z61),"0")+IFERROR(IF(Z62="",0,Z62),"0")+IFERROR(IF(Z63="",0,Z63),"0")+IFERROR(IF(Z64="",0,Z64),"0")+IFERROR(IF(Z65="",0,Z65),"0")</f>
        <v>0.98073999999999995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486.66666666666663</v>
      </c>
      <c r="Y67" s="41">
        <f>IFERROR(SUM(Y59:Y65),"0")</f>
        <v>498.6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1.3333333333333333</v>
      </c>
      <c r="Y71" s="53">
        <f>IFERROR(IF(X71="",0,CEILING((X71/$H71),1)*$H71),"")</f>
        <v>2</v>
      </c>
      <c r="Z71" s="39">
        <f>IFERROR(IF(Y71=0,"",ROUNDUP(Y71/H71,0)*0.00726),"")</f>
        <v>1.452E-2</v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1.6133333333333333</v>
      </c>
      <c r="BN71" s="75">
        <f>IFERROR(Y71*I71/H71,"0")</f>
        <v>2.42</v>
      </c>
      <c r="BO71" s="75">
        <f>IFERROR(1/J71*(X71/H71),"0")</f>
        <v>6.9444444444444441E-3</v>
      </c>
      <c r="BP71" s="75">
        <f>IFERROR(1/J71*(Y71/H71),"0")</f>
        <v>1.0416666666666666E-2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270</v>
      </c>
      <c r="Y72" s="53">
        <f>IFERROR(IF(X72="",0,CEILING((X72/$H72),1)*$H72),"")</f>
        <v>270</v>
      </c>
      <c r="Z72" s="39">
        <f>IFERROR(IF(Y72=0,"",ROUNDUP(Y72/H72,0)*0.00651),"")</f>
        <v>0.65100000000000002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288</v>
      </c>
      <c r="BN72" s="75">
        <f>IFERROR(Y72*I72/H72,"0")</f>
        <v>288</v>
      </c>
      <c r="BO72" s="75">
        <f>IFERROR(1/J72*(X72/H72),"0")</f>
        <v>0.5494505494505495</v>
      </c>
      <c r="BP72" s="75">
        <f>IFERROR(1/J72*(Y72/H72),"0")</f>
        <v>0.5494505494505495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101.33333333333333</v>
      </c>
      <c r="Y73" s="41">
        <f>IFERROR(Y69/H69,"0")+IFERROR(Y70/H70,"0")+IFERROR(Y71/H71,"0")+IFERROR(Y72/H72,"0")</f>
        <v>102</v>
      </c>
      <c r="Z73" s="41">
        <f>IFERROR(IF(Z69="",0,Z69),"0")+IFERROR(IF(Z70="",0,Z70),"0")+IFERROR(IF(Z71="",0,Z71),"0")+IFERROR(IF(Z72="",0,Z72),"0")</f>
        <v>0.66552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271.33333333333331</v>
      </c>
      <c r="Y74" s="41">
        <f>IFERROR(SUM(Y69:Y72),"0")</f>
        <v>272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66.666666666666657</v>
      </c>
      <c r="Y87" s="53">
        <f>IFERROR(IF(X87="",0,CEILING((X87/$H87),1)*$H87),"")</f>
        <v>75.600000000000009</v>
      </c>
      <c r="Z87" s="39">
        <f>IFERROR(IF(Y87=0,"",ROUNDUP(Y87/H87,0)*0.01898),"")</f>
        <v>0.13286000000000001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69.197530864197518</v>
      </c>
      <c r="BN87" s="75">
        <f>IFERROR(Y87*I87/H87,"0")</f>
        <v>78.47</v>
      </c>
      <c r="BO87" s="75">
        <f>IFERROR(1/J87*(X87/H87),"0")</f>
        <v>9.6450617283950602E-2</v>
      </c>
      <c r="BP87" s="75">
        <f>IFERROR(1/J87*(Y87/H87),"0")</f>
        <v>0.109375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570</v>
      </c>
      <c r="Y90" s="53">
        <f>IFERROR(IF(X90="",0,CEILING((X90/$H90),1)*$H90),"")</f>
        <v>571.5</v>
      </c>
      <c r="Z90" s="39">
        <f>IFERROR(IF(Y90=0,"",ROUNDUP(Y90/H90,0)*0.00902),"")</f>
        <v>1.14554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594.06666666666672</v>
      </c>
      <c r="BN90" s="75">
        <f>IFERROR(Y90*I90/H90,"0")</f>
        <v>595.63</v>
      </c>
      <c r="BO90" s="75">
        <f>IFERROR(1/J90*(X90/H90),"0")</f>
        <v>0.95959595959595967</v>
      </c>
      <c r="BP90" s="75">
        <f>IFERROR(1/J90*(Y90/H90),"0")</f>
        <v>0.96212121212121215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132.83950617283952</v>
      </c>
      <c r="Y91" s="41">
        <f>IFERROR(Y87/H87,"0")+IFERROR(Y88/H88,"0")+IFERROR(Y89/H89,"0")+IFERROR(Y90/H90,"0")</f>
        <v>134</v>
      </c>
      <c r="Z91" s="41">
        <f>IFERROR(IF(Z87="",0,Z87),"0")+IFERROR(IF(Z88="",0,Z88),"0")+IFERROR(IF(Z89="",0,Z89),"0")+IFERROR(IF(Z90="",0,Z90),"0")</f>
        <v>1.2784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636.66666666666663</v>
      </c>
      <c r="Y92" s="41">
        <f>IFERROR(SUM(Y87:Y90),"0")</f>
        <v>647.1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200</v>
      </c>
      <c r="Y94" s="53">
        <f>IFERROR(IF(X94="",0,CEILING((X94/$H94),1)*$H94),"")</f>
        <v>202.5</v>
      </c>
      <c r="Z94" s="39">
        <f>IFERROR(IF(Y94=0,"",ROUNDUP(Y94/H94,0)*0.01898),"")</f>
        <v>0.47450000000000003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212.19753086419755</v>
      </c>
      <c r="BN94" s="75">
        <f>IFERROR(Y94*I94/H94,"0")</f>
        <v>214.85</v>
      </c>
      <c r="BO94" s="75">
        <f>IFERROR(1/J94*(X94/H94),"0")</f>
        <v>0.38580246913580246</v>
      </c>
      <c r="BP94" s="75">
        <f>IFERROR(1/J94*(Y94/H94),"0")</f>
        <v>0.390625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780.00000000000011</v>
      </c>
      <c r="Y96" s="53">
        <f>IFERROR(IF(X96="",0,CEILING((X96/$H96),1)*$H96),"")</f>
        <v>780.30000000000007</v>
      </c>
      <c r="Z96" s="39">
        <f>IFERROR(IF(Y96=0,"",ROUNDUP(Y96/H96,0)*0.00651),"")</f>
        <v>1.8813900000000001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852.80000000000007</v>
      </c>
      <c r="BN96" s="75">
        <f>IFERROR(Y96*I96/H96,"0")</f>
        <v>853.12799999999993</v>
      </c>
      <c r="BO96" s="75">
        <f>IFERROR(1/J96*(X96/H96),"0")</f>
        <v>1.5873015873015877</v>
      </c>
      <c r="BP96" s="75">
        <f>IFERROR(1/J96*(Y96/H96),"0")</f>
        <v>1.587912087912088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313.58024691358025</v>
      </c>
      <c r="Y98" s="41">
        <f>IFERROR(Y94/H94,"0")+IFERROR(Y95/H95,"0")+IFERROR(Y96/H96,"0")+IFERROR(Y97/H97,"0")</f>
        <v>314</v>
      </c>
      <c r="Z98" s="41">
        <f>IFERROR(IF(Z94="",0,Z94),"0")+IFERROR(IF(Z95="",0,Z95),"0")+IFERROR(IF(Z96="",0,Z96),"0")+IFERROR(IF(Z97="",0,Z97),"0")</f>
        <v>2.35589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980.00000000000011</v>
      </c>
      <c r="Y99" s="41">
        <f>IFERROR(SUM(Y94:Y97),"0")</f>
        <v>982.80000000000007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60</v>
      </c>
      <c r="Y102" s="53">
        <f t="shared" ref="Y102:Y108" si="11">IFERROR(IF(X102="",0,CEILING((X102/$H102),1)*$H102),"")</f>
        <v>64.800000000000011</v>
      </c>
      <c r="Z102" s="39">
        <f>IFERROR(IF(Y102=0,"",ROUNDUP(Y102/H102,0)*0.01898),"")</f>
        <v>0.11388000000000001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62.277777777777779</v>
      </c>
      <c r="BN102" s="75">
        <f t="shared" ref="BN102:BN108" si="13">IFERROR(Y102*I102/H102,"0")</f>
        <v>67.260000000000005</v>
      </c>
      <c r="BO102" s="75">
        <f t="shared" ref="BO102:BO108" si="14">IFERROR(1/J102*(X102/H102),"0")</f>
        <v>8.6805555555555552E-2</v>
      </c>
      <c r="BP102" s="75">
        <f t="shared" ref="BP102:BP108" si="15">IFERROR(1/J102*(Y102/H102),"0")</f>
        <v>9.3750000000000014E-2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630</v>
      </c>
      <c r="Y107" s="53">
        <f t="shared" si="11"/>
        <v>630</v>
      </c>
      <c r="Z107" s="39">
        <f>IFERROR(IF(Y107=0,"",ROUNDUP(Y107/H107,0)*0.00902),"")</f>
        <v>1.2627999999999999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656.6</v>
      </c>
      <c r="BN107" s="75">
        <f t="shared" si="13"/>
        <v>656.6</v>
      </c>
      <c r="BO107" s="75">
        <f t="shared" si="14"/>
        <v>1.0606060606060606</v>
      </c>
      <c r="BP107" s="75">
        <f t="shared" si="15"/>
        <v>1.0606060606060606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145.55555555555554</v>
      </c>
      <c r="Y109" s="41">
        <f>IFERROR(Y102/H102,"0")+IFERROR(Y103/H103,"0")+IFERROR(Y104/H104,"0")+IFERROR(Y105/H105,"0")+IFERROR(Y106/H106,"0")+IFERROR(Y107/H107,"0")+IFERROR(Y108/H108,"0")</f>
        <v>146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1.3766799999999999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690</v>
      </c>
      <c r="Y110" s="41">
        <f>IFERROR(SUM(Y102:Y108),"0")</f>
        <v>694.8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2</v>
      </c>
      <c r="Y114" s="53">
        <f t="shared" si="16"/>
        <v>2</v>
      </c>
      <c r="Z114" s="39">
        <f>IFERROR(IF(Y114=0,"",ROUNDUP(Y114/H114,0)*0.00358),"")</f>
        <v>7.1599999999999997E-3</v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2.42</v>
      </c>
      <c r="BN114" s="75">
        <f t="shared" si="18"/>
        <v>2.42</v>
      </c>
      <c r="BO114" s="75">
        <f t="shared" si="19"/>
        <v>5.1020408163265302E-3</v>
      </c>
      <c r="BP114" s="75">
        <f t="shared" si="20"/>
        <v>5.1020408163265302E-3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2</v>
      </c>
      <c r="Y118" s="41">
        <f>IFERROR(Y112/H112,"0")+IFERROR(Y113/H113,"0")+IFERROR(Y114/H114,"0")+IFERROR(Y115/H115,"0")+IFERROR(Y116/H116,"0")+IFERROR(Y117/H117,"0")</f>
        <v>2</v>
      </c>
      <c r="Z118" s="41">
        <f>IFERROR(IF(Z112="",0,Z112),"0")+IFERROR(IF(Z113="",0,Z113),"0")+IFERROR(IF(Z114="",0,Z114),"0")+IFERROR(IF(Z115="",0,Z115),"0")+IFERROR(IF(Z116="",0,Z116),"0")+IFERROR(IF(Z117="",0,Z117),"0")</f>
        <v>7.1599999999999997E-3</v>
      </c>
      <c r="AA118" s="64"/>
      <c r="AB118" s="64"/>
      <c r="AC118" s="64"/>
    </row>
    <row r="119" spans="1:68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2</v>
      </c>
      <c r="Y119" s="41">
        <f>IFERROR(SUM(Y112:Y117),"0")</f>
        <v>2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66.666666666666657</v>
      </c>
      <c r="Y121" s="53">
        <f>IFERROR(IF(X121="",0,CEILING((X121/$H121),1)*$H121),"")</f>
        <v>72.899999999999991</v>
      </c>
      <c r="Z121" s="39">
        <f>IFERROR(IF(Y121=0,"",ROUNDUP(Y121/H121,0)*0.01898),"")</f>
        <v>0.17082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70.683127572016446</v>
      </c>
      <c r="BN121" s="75">
        <f>IFERROR(Y121*I121/H121,"0")</f>
        <v>77.291999999999987</v>
      </c>
      <c r="BO121" s="75">
        <f>IFERROR(1/J121*(X121/H121),"0")</f>
        <v>0.12860082304526749</v>
      </c>
      <c r="BP121" s="75">
        <f>IFERROR(1/J121*(Y121/H121),"0")</f>
        <v>0.140625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780.00000000000011</v>
      </c>
      <c r="Y123" s="53">
        <f>IFERROR(IF(X123="",0,CEILING((X123/$H123),1)*$H123),"")</f>
        <v>780.30000000000007</v>
      </c>
      <c r="Z123" s="39">
        <f>IFERROR(IF(Y123=0,"",ROUNDUP(Y123/H123,0)*0.00651),"")</f>
        <v>1.8813900000000001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852.80000000000007</v>
      </c>
      <c r="BN123" s="75">
        <f>IFERROR(Y123*I123/H123,"0")</f>
        <v>853.12799999999993</v>
      </c>
      <c r="BO123" s="75">
        <f>IFERROR(1/J123*(X123/H123),"0")</f>
        <v>1.5873015873015877</v>
      </c>
      <c r="BP123" s="75">
        <f>IFERROR(1/J123*(Y123/H123),"0")</f>
        <v>1.587912087912088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24</v>
      </c>
      <c r="Y124" s="53">
        <f>IFERROR(IF(X124="",0,CEILING((X124/$H124),1)*$H124),"")</f>
        <v>25.2</v>
      </c>
      <c r="Z124" s="39">
        <f>IFERROR(IF(Y124=0,"",ROUNDUP(Y124/H124,0)*0.00651),"")</f>
        <v>9.1139999999999999E-2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26.4</v>
      </c>
      <c r="BN124" s="75">
        <f>IFERROR(Y124*I124/H124,"0")</f>
        <v>27.72</v>
      </c>
      <c r="BO124" s="75">
        <f>IFERROR(1/J124*(X124/H124),"0")</f>
        <v>7.3260073260073263E-2</v>
      </c>
      <c r="BP124" s="75">
        <f>IFERROR(1/J124*(Y124/H124),"0")</f>
        <v>7.6923076923076927E-2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310.45267489711932</v>
      </c>
      <c r="Y125" s="41">
        <f>IFERROR(Y121/H121,"0")+IFERROR(Y122/H122,"0")+IFERROR(Y123/H123,"0")+IFERROR(Y124/H124,"0")</f>
        <v>312</v>
      </c>
      <c r="Z125" s="41">
        <f>IFERROR(IF(Z121="",0,Z121),"0")+IFERROR(IF(Z122="",0,Z122),"0")+IFERROR(IF(Z123="",0,Z123),"0")+IFERROR(IF(Z124="",0,Z124),"0")</f>
        <v>2.1433499999999999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870.66666666666674</v>
      </c>
      <c r="Y126" s="41">
        <f>IFERROR(SUM(Y121:Y124),"0")</f>
        <v>878.40000000000009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33</v>
      </c>
      <c r="Y128" s="53">
        <f>IFERROR(IF(X128="",0,CEILING((X128/$H128),1)*$H128),"")</f>
        <v>33.659999999999997</v>
      </c>
      <c r="Z128" s="39">
        <f>IFERROR(IF(Y128=0,"",ROUNDUP(Y128/H128,0)*0.00651),"")</f>
        <v>0.11067</v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37.299999999999997</v>
      </c>
      <c r="BN128" s="75">
        <f>IFERROR(Y128*I128/H128,"0")</f>
        <v>38.045999999999992</v>
      </c>
      <c r="BO128" s="75">
        <f>IFERROR(1/J128*(X128/H128),"0")</f>
        <v>9.1575091575091583E-2</v>
      </c>
      <c r="BP128" s="75">
        <f>IFERROR(1/J128*(Y128/H128),"0")</f>
        <v>9.3406593406593408E-2</v>
      </c>
    </row>
    <row r="129" spans="1:68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16.666666666666668</v>
      </c>
      <c r="Y129" s="41">
        <f>IFERROR(Y128/H128,"0")</f>
        <v>17</v>
      </c>
      <c r="Z129" s="41">
        <f>IFERROR(IF(Z128="",0,Z128),"0")</f>
        <v>0.11067</v>
      </c>
      <c r="AA129" s="64"/>
      <c r="AB129" s="64"/>
      <c r="AC129" s="64"/>
    </row>
    <row r="130" spans="1:68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33</v>
      </c>
      <c r="Y130" s="41">
        <f>IFERROR(SUM(Y128:Y128),"0")</f>
        <v>33.659999999999997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16</v>
      </c>
      <c r="Y134" s="53">
        <f>IFERROR(IF(X134="",0,CEILING((X134/$H134),1)*$H134),"")</f>
        <v>16</v>
      </c>
      <c r="Z134" s="39">
        <f>IFERROR(IF(Y134=0,"",ROUNDUP(Y134/H134,0)*0.00651),"")</f>
        <v>3.2550000000000003E-2</v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16.899999999999999</v>
      </c>
      <c r="BN134" s="75">
        <f>IFERROR(Y134*I134/H134,"0")</f>
        <v>16.899999999999999</v>
      </c>
      <c r="BO134" s="75">
        <f>IFERROR(1/J134*(X134/H134),"0")</f>
        <v>2.7472527472527476E-2</v>
      </c>
      <c r="BP134" s="75">
        <f>IFERROR(1/J134*(Y134/H134),"0")</f>
        <v>2.7472527472527476E-2</v>
      </c>
    </row>
    <row r="135" spans="1:68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5</v>
      </c>
      <c r="Y135" s="41">
        <f>IFERROR(Y133/H133,"0")+IFERROR(Y134/H134,"0")</f>
        <v>5</v>
      </c>
      <c r="Z135" s="41">
        <f>IFERROR(IF(Z133="",0,Z133),"0")+IFERROR(IF(Z134="",0,Z134),"0")</f>
        <v>3.2550000000000003E-2</v>
      </c>
      <c r="AA135" s="64"/>
      <c r="AB135" s="64"/>
      <c r="AC135" s="64"/>
    </row>
    <row r="136" spans="1:68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16</v>
      </c>
      <c r="Y136" s="41">
        <f>IFERROR(SUM(Y133:Y134),"0")</f>
        <v>16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17.599999999999998</v>
      </c>
      <c r="Y143" s="53">
        <f>IFERROR(IF(X143="",0,CEILING((X143/$H143),1)*$H143),"")</f>
        <v>18.48</v>
      </c>
      <c r="Z143" s="39">
        <f>IFERROR(IF(Y143=0,"",ROUNDUP(Y143/H143,0)*0.00651),"")</f>
        <v>4.5569999999999999E-2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19.386666666666663</v>
      </c>
      <c r="BN143" s="75">
        <f>IFERROR(Y143*I143/H143,"0")</f>
        <v>20.355999999999998</v>
      </c>
      <c r="BO143" s="75">
        <f>IFERROR(1/J143*(X143/H143),"0")</f>
        <v>3.6630036630036625E-2</v>
      </c>
      <c r="BP143" s="75">
        <f>IFERROR(1/J143*(Y143/H143),"0")</f>
        <v>3.8461538461538464E-2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6.6666666666666652</v>
      </c>
      <c r="Y145" s="41">
        <f>IFERROR(Y143/H143,"0")+IFERROR(Y144/H144,"0")</f>
        <v>7</v>
      </c>
      <c r="Z145" s="41">
        <f>IFERROR(IF(Z143="",0,Z143),"0")+IFERROR(IF(Z144="",0,Z144),"0")</f>
        <v>4.5569999999999999E-2</v>
      </c>
      <c r="AA145" s="64"/>
      <c r="AB145" s="64"/>
      <c r="AC145" s="64"/>
    </row>
    <row r="146" spans="1:68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17.599999999999998</v>
      </c>
      <c r="Y146" s="41">
        <f>IFERROR(SUM(Y143:Y144),"0")</f>
        <v>18.48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7.9999999999999982</v>
      </c>
      <c r="Y162" s="53">
        <f>IFERROR(IF(X162="",0,CEILING((X162/$H162),1)*$H162),"")</f>
        <v>8.64</v>
      </c>
      <c r="Z162" s="39">
        <f>IFERROR(IF(Y162=0,"",ROUNDUP(Y162/H162,0)*0.00556),"")</f>
        <v>6.6720000000000002E-2</v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9.4444444444444429</v>
      </c>
      <c r="BN162" s="75">
        <f>IFERROR(Y162*I162/H162,"0")</f>
        <v>10.200000000000001</v>
      </c>
      <c r="BO162" s="75">
        <f>IFERROR(1/J162*(X162/H162),"0")</f>
        <v>4.4091710758377416E-2</v>
      </c>
      <c r="BP162" s="75">
        <f>IFERROR(1/J162*(Y162/H162),"0")</f>
        <v>4.7619047619047623E-2</v>
      </c>
    </row>
    <row r="163" spans="1:68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11.111111111111109</v>
      </c>
      <c r="Y163" s="41">
        <f>IFERROR(Y162/H162,"0")</f>
        <v>12.000000000000002</v>
      </c>
      <c r="Z163" s="41">
        <f>IFERROR(IF(Z162="",0,Z162),"0")</f>
        <v>6.6720000000000002E-2</v>
      </c>
      <c r="AA163" s="64"/>
      <c r="AB163" s="64"/>
      <c r="AC163" s="64"/>
    </row>
    <row r="164" spans="1:68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7.9999999999999982</v>
      </c>
      <c r="Y164" s="41">
        <f>IFERROR(SUM(Y162:Y162),"0")</f>
        <v>8.64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26.666666666666664</v>
      </c>
      <c r="Y169" s="53">
        <f t="shared" si="21"/>
        <v>28</v>
      </c>
      <c r="Z169" s="39">
        <f>IFERROR(IF(Y169=0,"",ROUNDUP(Y169/H169,0)*0.00902),"")</f>
        <v>7.2160000000000002E-2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28.11428571428571</v>
      </c>
      <c r="BN169" s="75">
        <f t="shared" si="23"/>
        <v>29.52</v>
      </c>
      <c r="BO169" s="75">
        <f t="shared" si="24"/>
        <v>5.772005772005772E-2</v>
      </c>
      <c r="BP169" s="75">
        <f t="shared" si="25"/>
        <v>6.0606060606060608E-2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10.799999999999999</v>
      </c>
      <c r="Y170" s="53">
        <f t="shared" si="21"/>
        <v>10.8</v>
      </c>
      <c r="Z170" s="39">
        <f>IFERROR(IF(Y170=0,"",ROUNDUP(Y170/H170,0)*0.00417),"")</f>
        <v>5.0040000000000001E-2</v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13.319999999999999</v>
      </c>
      <c r="BN170" s="75">
        <f t="shared" si="23"/>
        <v>13.32</v>
      </c>
      <c r="BO170" s="75">
        <f t="shared" si="24"/>
        <v>3.5714285714285705E-2</v>
      </c>
      <c r="BP170" s="75">
        <f t="shared" si="25"/>
        <v>3.5714285714285712E-2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65.333333333333329</v>
      </c>
      <c r="Y171" s="53">
        <f t="shared" si="21"/>
        <v>65.52</v>
      </c>
      <c r="Z171" s="39">
        <f>IFERROR(IF(Y171=0,"",ROUNDUP(Y171/H171,0)*0.00502),"")</f>
        <v>0.19578000000000001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69.222222222222214</v>
      </c>
      <c r="BN171" s="75">
        <f t="shared" si="23"/>
        <v>69.42</v>
      </c>
      <c r="BO171" s="75">
        <f t="shared" si="24"/>
        <v>0.16619183285849953</v>
      </c>
      <c r="BP171" s="75">
        <f t="shared" si="25"/>
        <v>0.16666666666666669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2.4</v>
      </c>
      <c r="Y172" s="53">
        <f t="shared" si="21"/>
        <v>2.7</v>
      </c>
      <c r="Z172" s="39">
        <f>IFERROR(IF(Y172=0,"",ROUNDUP(Y172/H172,0)*0.00417),"")</f>
        <v>1.251E-2</v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2.96</v>
      </c>
      <c r="BN172" s="75">
        <f t="shared" si="23"/>
        <v>3.33</v>
      </c>
      <c r="BO172" s="75">
        <f t="shared" si="24"/>
        <v>7.9365079365079361E-3</v>
      </c>
      <c r="BP172" s="75">
        <f t="shared" si="25"/>
        <v>8.9285714285714281E-3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50.400000000000006</v>
      </c>
      <c r="Y173" s="53">
        <f t="shared" si="21"/>
        <v>50.4</v>
      </c>
      <c r="Z173" s="39">
        <f>IFERROR(IF(Y173=0,"",ROUNDUP(Y173/H173,0)*0.00502),"")</f>
        <v>0.15060000000000001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53.400000000000013</v>
      </c>
      <c r="BN173" s="75">
        <f t="shared" si="23"/>
        <v>53.400000000000006</v>
      </c>
      <c r="BO173" s="75">
        <f t="shared" si="24"/>
        <v>0.12820512820512822</v>
      </c>
      <c r="BP173" s="75">
        <f t="shared" si="25"/>
        <v>0.12820512820512822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91.174603174603178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92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0.48109000000000007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155.6</v>
      </c>
      <c r="Y177" s="41">
        <f>IFERROR(SUM(Y166:Y175),"0")</f>
        <v>157.41999999999999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2.6666666666666665</v>
      </c>
      <c r="Y211" s="53">
        <f t="shared" si="26"/>
        <v>3.2</v>
      </c>
      <c r="Z211" s="39">
        <f>IFERROR(IF(Y211=0,"",ROUNDUP(Y211/H211,0)*0.00556),"")</f>
        <v>2.2239999999999999E-2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3.0999999999999996</v>
      </c>
      <c r="BN211" s="75">
        <f t="shared" si="28"/>
        <v>3.72</v>
      </c>
      <c r="BO211" s="75">
        <f t="shared" si="29"/>
        <v>1.3227513227513225E-2</v>
      </c>
      <c r="BP211" s="75">
        <f t="shared" si="30"/>
        <v>1.5873015873015872E-2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93.333333333333314</v>
      </c>
      <c r="Y212" s="53">
        <f t="shared" si="26"/>
        <v>94.5</v>
      </c>
      <c r="Z212" s="39">
        <f t="shared" ref="Z212:Z217" si="31">IFERROR(IF(Y212=0,"",ROUNDUP(Y212/H212,0)*0.00502),"")</f>
        <v>0.22590000000000002</v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99.111111111111086</v>
      </c>
      <c r="BN212" s="75">
        <f t="shared" si="28"/>
        <v>100.35</v>
      </c>
      <c r="BO212" s="75">
        <f t="shared" si="29"/>
        <v>0.18993352326685659</v>
      </c>
      <c r="BP212" s="75">
        <f t="shared" si="30"/>
        <v>0.19230769230769232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105</v>
      </c>
      <c r="Y214" s="53">
        <f t="shared" si="26"/>
        <v>105</v>
      </c>
      <c r="Z214" s="39">
        <f t="shared" si="31"/>
        <v>0.251</v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111.5</v>
      </c>
      <c r="BN214" s="75">
        <f t="shared" si="28"/>
        <v>111.5</v>
      </c>
      <c r="BO214" s="75">
        <f t="shared" si="29"/>
        <v>0.21367521367521369</v>
      </c>
      <c r="BP214" s="75">
        <f t="shared" si="30"/>
        <v>0.21367521367521369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8</v>
      </c>
      <c r="Y218" s="53">
        <f t="shared" si="26"/>
        <v>8</v>
      </c>
      <c r="Z218" s="39">
        <f>IFERROR(IF(Y218=0,"",ROUNDUP(Y218/H218,0)*0.00417),"")</f>
        <v>4.1700000000000001E-2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10.1</v>
      </c>
      <c r="BN218" s="75">
        <f t="shared" si="28"/>
        <v>10.1</v>
      </c>
      <c r="BO218" s="75">
        <f t="shared" si="29"/>
        <v>2.976190476190476E-2</v>
      </c>
      <c r="BP218" s="75">
        <f t="shared" si="30"/>
        <v>2.976190476190476E-2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163.33333333333331</v>
      </c>
      <c r="Y219" s="53">
        <f t="shared" si="26"/>
        <v>163.80000000000001</v>
      </c>
      <c r="Z219" s="39">
        <f>IFERROR(IF(Y219=0,"",ROUNDUP(Y219/H219,0)*0.00502),"")</f>
        <v>0.39156000000000002</v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171.11111111111109</v>
      </c>
      <c r="BN219" s="75">
        <f t="shared" si="28"/>
        <v>171.60000000000002</v>
      </c>
      <c r="BO219" s="75">
        <f t="shared" si="29"/>
        <v>0.33238366571699907</v>
      </c>
      <c r="BP219" s="75">
        <f t="shared" si="30"/>
        <v>0.33333333333333337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185.55555555555554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187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0.93240000000000001</v>
      </c>
      <c r="AA222" s="64"/>
      <c r="AB222" s="64"/>
      <c r="AC222" s="64"/>
    </row>
    <row r="223" spans="1:68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372.33333333333331</v>
      </c>
      <c r="Y223" s="41">
        <f>IFERROR(SUM(Y208:Y221),"0")</f>
        <v>374.5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13.06666666666667</v>
      </c>
      <c r="Y230" s="53">
        <f>IFERROR(IF(X230="",0,CEILING((X230/$H230),1)*$H230),"")</f>
        <v>13.86</v>
      </c>
      <c r="Z230" s="39">
        <f>IFERROR(IF(Y230=0,"",ROUNDUP(Y230/H230,0)*0.0059),"")</f>
        <v>6.4899999999999999E-2</v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15.037037037037042</v>
      </c>
      <c r="BN230" s="75">
        <f>IFERROR(Y230*I230/H230,"0")</f>
        <v>15.949999999999998</v>
      </c>
      <c r="BO230" s="75">
        <f>IFERROR(1/J230*(X230/H230),"0")</f>
        <v>4.8010973936899876E-2</v>
      </c>
      <c r="BP230" s="75">
        <f>IFERROR(1/J230*(Y230/H230),"0")</f>
        <v>5.0925925925925923E-2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17.733333333333334</v>
      </c>
      <c r="Y231" s="53">
        <f>IFERROR(IF(X231="",0,CEILING((X231/$H231),1)*$H231),"")</f>
        <v>18.899999999999999</v>
      </c>
      <c r="Z231" s="39">
        <f>IFERROR(IF(Y231=0,"",ROUNDUP(Y231/H231,0)*0.0059),"")</f>
        <v>8.8499999999999995E-2</v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20.407407407407408</v>
      </c>
      <c r="BN231" s="75">
        <f>IFERROR(Y231*I231/H231,"0")</f>
        <v>21.749999999999996</v>
      </c>
      <c r="BO231" s="75">
        <f>IFERROR(1/J231*(X231/H231),"0")</f>
        <v>6.5157750342935528E-2</v>
      </c>
      <c r="BP231" s="75">
        <f>IFERROR(1/J231*(Y231/H231),"0")</f>
        <v>6.9444444444444434E-2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17.733333333333334</v>
      </c>
      <c r="Y232" s="53">
        <f>IFERROR(IF(X232="",0,CEILING((X232/$H232),1)*$H232),"")</f>
        <v>18.899999999999999</v>
      </c>
      <c r="Z232" s="39">
        <f>IFERROR(IF(Y232=0,"",ROUNDUP(Y232/H232,0)*0.0059),"")</f>
        <v>8.8499999999999995E-2</v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20.407407407407408</v>
      </c>
      <c r="BN232" s="75">
        <f>IFERROR(Y232*I232/H232,"0")</f>
        <v>21.749999999999996</v>
      </c>
      <c r="BO232" s="75">
        <f>IFERROR(1/J232*(X232/H232),"0")</f>
        <v>6.5157750342935528E-2</v>
      </c>
      <c r="BP232" s="75">
        <f>IFERROR(1/J232*(Y232/H232),"0")</f>
        <v>6.9444444444444434E-2</v>
      </c>
    </row>
    <row r="233" spans="1:68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38.518518518518526</v>
      </c>
      <c r="Y233" s="41">
        <f>IFERROR(Y230/H230,"0")+IFERROR(Y231/H231,"0")+IFERROR(Y232/H232,"0")</f>
        <v>41</v>
      </c>
      <c r="Z233" s="41">
        <f>IFERROR(IF(Z230="",0,Z230),"0")+IFERROR(IF(Z231="",0,Z231),"0")+IFERROR(IF(Z232="",0,Z232),"0")</f>
        <v>0.24189999999999998</v>
      </c>
      <c r="AA233" s="64"/>
      <c r="AB233" s="64"/>
      <c r="AC233" s="64"/>
    </row>
    <row r="234" spans="1:68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48.533333333333339</v>
      </c>
      <c r="Y234" s="41">
        <f>IFERROR(SUM(Y230:Y232),"0")</f>
        <v>51.66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7.0000000000000009</v>
      </c>
      <c r="Y236" s="53">
        <f>IFERROR(IF(X236="",0,CEILING((X236/$H236),1)*$H236),"")</f>
        <v>7.5600000000000005</v>
      </c>
      <c r="Z236" s="39">
        <f>IFERROR(IF(Y236=0,"",ROUNDUP(Y236/H236,0)*0.0059),"")</f>
        <v>3.5400000000000001E-2</v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8.0555555555555554</v>
      </c>
      <c r="BN236" s="75">
        <f>IFERROR(Y236*I236/H236,"0")</f>
        <v>8.6999999999999993</v>
      </c>
      <c r="BO236" s="75">
        <f>IFERROR(1/J236*(X236/H236),"0")</f>
        <v>2.5720164609053499E-2</v>
      </c>
      <c r="BP236" s="75">
        <f>IFERROR(1/J236*(Y236/H236),"0")</f>
        <v>2.7777777777777776E-2</v>
      </c>
    </row>
    <row r="237" spans="1:68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5.5555555555555562</v>
      </c>
      <c r="Y237" s="41">
        <f>IFERROR(Y236/H236,"0")</f>
        <v>6</v>
      </c>
      <c r="Z237" s="41">
        <f>IFERROR(IF(Z236="",0,Z236),"0")</f>
        <v>3.5400000000000001E-2</v>
      </c>
      <c r="AA237" s="64"/>
      <c r="AB237" s="64"/>
      <c r="AC237" s="64"/>
    </row>
    <row r="238" spans="1:68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7.0000000000000009</v>
      </c>
      <c r="Y238" s="41">
        <f>IFERROR(SUM(Y236:Y236),"0")</f>
        <v>7.5600000000000005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93.333333333333343</v>
      </c>
      <c r="Y252" s="53">
        <f t="shared" si="32"/>
        <v>97.2</v>
      </c>
      <c r="Z252" s="39">
        <f>IFERROR(IF(Y252=0,"",ROUNDUP(Y252/H252,0)*0.00902),"")</f>
        <v>0.16236</v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96.617283950617278</v>
      </c>
      <c r="BN252" s="75">
        <f t="shared" si="34"/>
        <v>100.61999999999999</v>
      </c>
      <c r="BO252" s="75">
        <f t="shared" si="35"/>
        <v>0.13093901982790873</v>
      </c>
      <c r="BP252" s="75">
        <f t="shared" si="36"/>
        <v>0.13636363636363635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90</v>
      </c>
      <c r="Y255" s="53">
        <f t="shared" si="32"/>
        <v>90</v>
      </c>
      <c r="Z255" s="39">
        <f>IFERROR(IF(Y255=0,"",ROUNDUP(Y255/H255,0)*0.00502),"")</f>
        <v>0.251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96.499999999999986</v>
      </c>
      <c r="BN255" s="75">
        <f t="shared" si="34"/>
        <v>96.499999999999986</v>
      </c>
      <c r="BO255" s="75">
        <f t="shared" si="35"/>
        <v>0.21367521367521369</v>
      </c>
      <c r="BP255" s="75">
        <f t="shared" si="36"/>
        <v>0.21367521367521369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60</v>
      </c>
      <c r="Y256" s="53">
        <f t="shared" si="32"/>
        <v>61.2</v>
      </c>
      <c r="Z256" s="39">
        <f>IFERROR(IF(Y256=0,"",ROUNDUP(Y256/H256,0)*0.00502),"")</f>
        <v>0.17068</v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63.333333333333329</v>
      </c>
      <c r="BN256" s="75">
        <f t="shared" si="34"/>
        <v>64.599999999999994</v>
      </c>
      <c r="BO256" s="75">
        <f t="shared" si="35"/>
        <v>0.14245014245014248</v>
      </c>
      <c r="BP256" s="75">
        <f t="shared" si="36"/>
        <v>0.14529914529914531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60</v>
      </c>
      <c r="Y257" s="53">
        <f t="shared" si="32"/>
        <v>61.2</v>
      </c>
      <c r="Z257" s="39">
        <f>IFERROR(IF(Y257=0,"",ROUNDUP(Y257/H257,0)*0.00502),"")</f>
        <v>0.17068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63.333333333333329</v>
      </c>
      <c r="BN257" s="75">
        <f t="shared" si="34"/>
        <v>64.599999999999994</v>
      </c>
      <c r="BO257" s="75">
        <f t="shared" si="35"/>
        <v>0.14245014245014248</v>
      </c>
      <c r="BP257" s="75">
        <f t="shared" si="36"/>
        <v>0.14529914529914531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63.999999999999993</v>
      </c>
      <c r="Y258" s="53">
        <f t="shared" si="32"/>
        <v>64.8</v>
      </c>
      <c r="Z258" s="39">
        <f>IFERROR(IF(Y258=0,"",ROUNDUP(Y258/H258,0)*0.00502),"")</f>
        <v>0.18071999999999999</v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67.555555555555543</v>
      </c>
      <c r="BN258" s="75">
        <f t="shared" si="34"/>
        <v>68.399999999999991</v>
      </c>
      <c r="BO258" s="75">
        <f t="shared" si="35"/>
        <v>0.15194681861348527</v>
      </c>
      <c r="BP258" s="75">
        <f t="shared" si="36"/>
        <v>0.15384615384615385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169.50617283950618</v>
      </c>
      <c r="Y259" s="41">
        <f>IFERROR(Y251/H251,"0")+IFERROR(Y252/H252,"0")+IFERROR(Y253/H253,"0")+IFERROR(Y254/H254,"0")+IFERROR(Y255/H255,"0")+IFERROR(Y256/H256,"0")+IFERROR(Y257/H257,"0")+IFERROR(Y258/H258,"0")</f>
        <v>172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0.93544000000000005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367.33333333333337</v>
      </c>
      <c r="Y260" s="41">
        <f>IFERROR(SUM(Y251:Y258),"0")</f>
        <v>374.4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506.66666666666663</v>
      </c>
      <c r="Y265" s="53">
        <f t="shared" si="37"/>
        <v>508.79999999999995</v>
      </c>
      <c r="Z265" s="39">
        <f>IFERROR(IF(Y265=0,"",ROUNDUP(Y265/H265,0)*0.00651),"")</f>
        <v>1.38012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563.66666666666663</v>
      </c>
      <c r="BN265" s="75">
        <f t="shared" si="39"/>
        <v>566.04</v>
      </c>
      <c r="BO265" s="75">
        <f t="shared" si="40"/>
        <v>1.15995115995116</v>
      </c>
      <c r="BP265" s="75">
        <f t="shared" si="41"/>
        <v>1.1648351648351649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400</v>
      </c>
      <c r="Y268" s="53">
        <f t="shared" si="37"/>
        <v>400.8</v>
      </c>
      <c r="Z268" s="39">
        <f>IFERROR(IF(Y268=0,"",ROUNDUP(Y268/H268,0)*0.00651),"")</f>
        <v>1.08717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442</v>
      </c>
      <c r="BN268" s="75">
        <f t="shared" si="39"/>
        <v>442.88400000000007</v>
      </c>
      <c r="BO268" s="75">
        <f t="shared" si="40"/>
        <v>0.91575091575091594</v>
      </c>
      <c r="BP268" s="75">
        <f t="shared" si="41"/>
        <v>0.91758241758241765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120</v>
      </c>
      <c r="Y271" s="53">
        <f t="shared" si="37"/>
        <v>120</v>
      </c>
      <c r="Z271" s="39">
        <f>IFERROR(IF(Y271=0,"",ROUNDUP(Y271/H271,0)*0.00651),"")</f>
        <v>0.32550000000000001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132.60000000000002</v>
      </c>
      <c r="BN271" s="75">
        <f t="shared" si="39"/>
        <v>132.60000000000002</v>
      </c>
      <c r="BO271" s="75">
        <f t="shared" si="40"/>
        <v>0.27472527472527475</v>
      </c>
      <c r="BP271" s="75">
        <f t="shared" si="41"/>
        <v>0.27472527472527475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400</v>
      </c>
      <c r="Y272" s="53">
        <f t="shared" si="37"/>
        <v>400.8</v>
      </c>
      <c r="Z272" s="39">
        <f>IFERROR(IF(Y272=0,"",ROUNDUP(Y272/H272,0)*0.00651),"")</f>
        <v>1.08717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443.00000000000006</v>
      </c>
      <c r="BN272" s="75">
        <f t="shared" si="39"/>
        <v>443.88599999999997</v>
      </c>
      <c r="BO272" s="75">
        <f t="shared" si="40"/>
        <v>0.91575091575091594</v>
      </c>
      <c r="BP272" s="75">
        <f t="shared" si="41"/>
        <v>0.91758241758241765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594.44444444444457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596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3.8799600000000001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1426.6666666666665</v>
      </c>
      <c r="Y275" s="41">
        <f>IFERROR(SUM(Y262:Y273),"0")</f>
        <v>1430.3999999999999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10.666666666666666</v>
      </c>
      <c r="Y277" s="53">
        <f>IFERROR(IF(X277="",0,CEILING((X277/$H277),1)*$H277),"")</f>
        <v>12</v>
      </c>
      <c r="Z277" s="39">
        <f>IFERROR(IF(Y277=0,"",ROUNDUP(Y277/H277,0)*0.00651),"")</f>
        <v>3.2550000000000003E-2</v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11.786666666666667</v>
      </c>
      <c r="BN277" s="75">
        <f>IFERROR(Y277*I277/H277,"0")</f>
        <v>13.260000000000002</v>
      </c>
      <c r="BO277" s="75">
        <f>IFERROR(1/J277*(X277/H277),"0")</f>
        <v>2.4420024420024423E-2</v>
      </c>
      <c r="BP277" s="75">
        <f>IFERROR(1/J277*(Y277/H277),"0")</f>
        <v>2.7472527472527476E-2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24</v>
      </c>
      <c r="Y278" s="53">
        <f>IFERROR(IF(X278="",0,CEILING((X278/$H278),1)*$H278),"")</f>
        <v>24</v>
      </c>
      <c r="Z278" s="39">
        <f>IFERROR(IF(Y278=0,"",ROUNDUP(Y278/H278,0)*0.00651),"")</f>
        <v>6.5100000000000005E-2</v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26.520000000000003</v>
      </c>
      <c r="BN278" s="75">
        <f>IFERROR(Y278*I278/H278,"0")</f>
        <v>26.520000000000003</v>
      </c>
      <c r="BO278" s="75">
        <f>IFERROR(1/J278*(X278/H278),"0")</f>
        <v>5.4945054945054951E-2</v>
      </c>
      <c r="BP278" s="75">
        <f>IFERROR(1/J278*(Y278/H278),"0")</f>
        <v>5.4945054945054951E-2</v>
      </c>
    </row>
    <row r="279" spans="1:68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14.444444444444445</v>
      </c>
      <c r="Y279" s="41">
        <f>IFERROR(Y277/H277,"0")+IFERROR(Y278/H278,"0")</f>
        <v>15</v>
      </c>
      <c r="Z279" s="41">
        <f>IFERROR(IF(Z277="",0,Z277),"0")+IFERROR(IF(Z278="",0,Z278),"0")</f>
        <v>9.7650000000000015E-2</v>
      </c>
      <c r="AA279" s="64"/>
      <c r="AB279" s="64"/>
      <c r="AC279" s="64"/>
    </row>
    <row r="280" spans="1:68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34.666666666666664</v>
      </c>
      <c r="Y280" s="41">
        <f>IFERROR(SUM(Y277:Y278),"0")</f>
        <v>36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13.333333333333332</v>
      </c>
      <c r="Y283" s="53">
        <f t="shared" ref="Y283:Y289" si="42">IFERROR(IF(X283="",0,CEILING((X283/$H283),1)*$H283),"")</f>
        <v>23.2</v>
      </c>
      <c r="Z283" s="39">
        <f>IFERROR(IF(Y283=0,"",ROUNDUP(Y283/H283,0)*0.01898),"")</f>
        <v>3.7960000000000001E-2</v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13.804597701149426</v>
      </c>
      <c r="BN283" s="75">
        <f t="shared" ref="BN283:BN289" si="44">IFERROR(Y283*I283/H283,"0")</f>
        <v>24.02</v>
      </c>
      <c r="BO283" s="75">
        <f t="shared" ref="BO283:BO289" si="45">IFERROR(1/J283*(X283/H283),"0")</f>
        <v>1.7959770114942528E-2</v>
      </c>
      <c r="BP283" s="75">
        <f t="shared" ref="BP283:BP289" si="46">IFERROR(1/J283*(Y283/H283),"0")</f>
        <v>3.125E-2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66.666666666666657</v>
      </c>
      <c r="Y285" s="53">
        <f t="shared" si="42"/>
        <v>69.599999999999994</v>
      </c>
      <c r="Z285" s="39">
        <f>IFERROR(IF(Y285=0,"",ROUNDUP(Y285/H285,0)*0.01898),"")</f>
        <v>0.11388000000000001</v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69.022988505747122</v>
      </c>
      <c r="BN285" s="75">
        <f t="shared" si="44"/>
        <v>72.06</v>
      </c>
      <c r="BO285" s="75">
        <f t="shared" si="45"/>
        <v>8.9798850574712638E-2</v>
      </c>
      <c r="BP285" s="75">
        <f t="shared" si="46"/>
        <v>9.375E-2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32</v>
      </c>
      <c r="Y286" s="53">
        <f t="shared" si="42"/>
        <v>32</v>
      </c>
      <c r="Z286" s="39">
        <f>IFERROR(IF(Y286=0,"",ROUNDUP(Y286/H286,0)*0.00902),"")</f>
        <v>7.2160000000000002E-2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33.520000000000003</v>
      </c>
      <c r="BN286" s="75">
        <f t="shared" si="44"/>
        <v>33.520000000000003</v>
      </c>
      <c r="BO286" s="75">
        <f t="shared" si="45"/>
        <v>6.0606060606060608E-2</v>
      </c>
      <c r="BP286" s="75">
        <f t="shared" si="46"/>
        <v>6.0606060606060608E-2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42"/>
        <v>40</v>
      </c>
      <c r="Z289" s="39">
        <f>IFERROR(IF(Y289=0,"",ROUNDUP(Y289/H289,0)*0.00902),"")</f>
        <v>9.0200000000000002E-2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41.900000000000006</v>
      </c>
      <c r="BN289" s="75">
        <f t="shared" si="44"/>
        <v>41.900000000000006</v>
      </c>
      <c r="BO289" s="75">
        <f t="shared" si="45"/>
        <v>7.575757575757576E-2</v>
      </c>
      <c r="BP289" s="75">
        <f t="shared" si="46"/>
        <v>7.575757575757576E-2</v>
      </c>
    </row>
    <row r="290" spans="1:68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24.896551724137929</v>
      </c>
      <c r="Y290" s="41">
        <f>IFERROR(Y283/H283,"0")+IFERROR(Y284/H284,"0")+IFERROR(Y285/H285,"0")+IFERROR(Y286/H286,"0")+IFERROR(Y287/H287,"0")+IFERROR(Y288/H288,"0")+IFERROR(Y289/H289,"0")</f>
        <v>26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0.31420000000000003</v>
      </c>
      <c r="AA290" s="64"/>
      <c r="AB290" s="64"/>
      <c r="AC290" s="64"/>
    </row>
    <row r="291" spans="1:68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152</v>
      </c>
      <c r="Y291" s="41">
        <f>IFERROR(SUM(Y283:Y289),"0")</f>
        <v>164.8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7.1999999999999993</v>
      </c>
      <c r="Y297" s="53">
        <f>IFERROR(IF(X297="",0,CEILING((X297/$H297),1)*$H297),"")</f>
        <v>7.2</v>
      </c>
      <c r="Z297" s="39">
        <f>IFERROR(IF(Y297=0,"",ROUNDUP(Y297/H297,0)*0.0059),"")</f>
        <v>2.3599999999999999E-2</v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7.8999999999999995</v>
      </c>
      <c r="BN297" s="75">
        <f>IFERROR(Y297*I297/H297,"0")</f>
        <v>7.9</v>
      </c>
      <c r="BO297" s="75">
        <f>IFERROR(1/J297*(X297/H297),"0")</f>
        <v>1.8518518518518514E-2</v>
      </c>
      <c r="BP297" s="75">
        <f>IFERROR(1/J297*(Y297/H297),"0")</f>
        <v>1.8518518518518517E-2</v>
      </c>
    </row>
    <row r="298" spans="1:68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3.9999999999999996</v>
      </c>
      <c r="Y298" s="41">
        <f>IFERROR(Y297/H297,"0")</f>
        <v>4</v>
      </c>
      <c r="Z298" s="41">
        <f>IFERROR(IF(Z297="",0,Z297),"0")</f>
        <v>2.3599999999999999E-2</v>
      </c>
      <c r="AA298" s="64"/>
      <c r="AB298" s="64"/>
      <c r="AC298" s="64"/>
    </row>
    <row r="299" spans="1:68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7.1999999999999993</v>
      </c>
      <c r="Y299" s="41">
        <f>IFERROR(SUM(Y297:Y297),"0")</f>
        <v>7.2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106.66666666666666</v>
      </c>
      <c r="Y319" s="53">
        <f>IFERROR(IF(X319="",0,CEILING((X319/$H319),1)*$H319),"")</f>
        <v>108</v>
      </c>
      <c r="Z319" s="39">
        <f>IFERROR(IF(Y319=0,"",ROUNDUP(Y319/H319,0)*0.00651),"")</f>
        <v>0.29294999999999999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117.86666666666667</v>
      </c>
      <c r="BN319" s="75">
        <f>IFERROR(Y319*I319/H319,"0")</f>
        <v>119.34</v>
      </c>
      <c r="BO319" s="75">
        <f>IFERROR(1/J319*(X319/H319),"0")</f>
        <v>0.24420024420024422</v>
      </c>
      <c r="BP319" s="75">
        <f>IFERROR(1/J319*(Y319/H319),"0")</f>
        <v>0.24725274725274726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44.444444444444443</v>
      </c>
      <c r="Y321" s="41">
        <f>IFERROR(Y318/H318,"0")+IFERROR(Y319/H319,"0")+IFERROR(Y320/H320,"0")</f>
        <v>45</v>
      </c>
      <c r="Z321" s="41">
        <f>IFERROR(IF(Z318="",0,Z318),"0")+IFERROR(IF(Z319="",0,Z319),"0")+IFERROR(IF(Z320="",0,Z320),"0")</f>
        <v>0.29294999999999999</v>
      </c>
      <c r="AA321" s="64"/>
      <c r="AB321" s="64"/>
      <c r="AC321" s="64"/>
    </row>
    <row r="322" spans="1:68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106.66666666666666</v>
      </c>
      <c r="Y322" s="41">
        <f>IFERROR(SUM(Y318:Y320),"0")</f>
        <v>108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120</v>
      </c>
      <c r="Y339" s="53">
        <f>IFERROR(IF(X339="",0,CEILING((X339/$H339),1)*$H339),"")</f>
        <v>124.8</v>
      </c>
      <c r="Z339" s="39">
        <f>IFERROR(IF(Y339=0,"",ROUNDUP(Y339/H339,0)*0.01898),"")</f>
        <v>0.30368000000000001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126.30769230769232</v>
      </c>
      <c r="BN339" s="75">
        <f>IFERROR(Y339*I339/H339,"0")</f>
        <v>131.36000000000001</v>
      </c>
      <c r="BO339" s="75">
        <f>IFERROR(1/J339*(X339/H339),"0")</f>
        <v>0.24038461538461539</v>
      </c>
      <c r="BP339" s="75">
        <f>IFERROR(1/J339*(Y339/H339),"0")</f>
        <v>0.25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93.333333333333343</v>
      </c>
      <c r="Y340" s="53">
        <f>IFERROR(IF(X340="",0,CEILING((X340/$H340),1)*$H340),"")</f>
        <v>93.6</v>
      </c>
      <c r="Z340" s="39">
        <f>IFERROR(IF(Y340=0,"",ROUNDUP(Y340/H340,0)*0.01898),"")</f>
        <v>0.22776000000000002</v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98.239316239316267</v>
      </c>
      <c r="BN340" s="75">
        <f>IFERROR(Y340*I340/H340,"0")</f>
        <v>98.52000000000001</v>
      </c>
      <c r="BO340" s="75">
        <f>IFERROR(1/J340*(X340/H340),"0")</f>
        <v>0.186965811965812</v>
      </c>
      <c r="BP340" s="75">
        <f>IFERROR(1/J340*(Y340/H340),"0")</f>
        <v>0.1875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27.350427350427353</v>
      </c>
      <c r="Y342" s="41">
        <f>IFERROR(Y339/H339,"0")+IFERROR(Y340/H340,"0")+IFERROR(Y341/H341,"0")</f>
        <v>28</v>
      </c>
      <c r="Z342" s="41">
        <f>IFERROR(IF(Z339="",0,Z339),"0")+IFERROR(IF(Z340="",0,Z340),"0")+IFERROR(IF(Z341="",0,Z341),"0")</f>
        <v>0.53144000000000002</v>
      </c>
      <c r="AA342" s="64"/>
      <c r="AB342" s="64"/>
      <c r="AC342" s="64"/>
    </row>
    <row r="343" spans="1:68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213.33333333333334</v>
      </c>
      <c r="Y343" s="41">
        <f>IFERROR(SUM(Y339:Y341),"0")</f>
        <v>218.39999999999998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163.33333333333331</v>
      </c>
      <c r="Y359" s="53">
        <f t="shared" si="52"/>
        <v>163.80000000000001</v>
      </c>
      <c r="Z359" s="39">
        <f>IFERROR(IF(Y359=0,"",ROUNDUP(Y359/H359,0)*0.00502),"")</f>
        <v>0.39156000000000002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171.11111111111109</v>
      </c>
      <c r="BN359" s="75">
        <f t="shared" si="54"/>
        <v>171.60000000000002</v>
      </c>
      <c r="BO359" s="75">
        <f t="shared" si="55"/>
        <v>0.33238366571699907</v>
      </c>
      <c r="BP359" s="75">
        <f t="shared" si="56"/>
        <v>0.33333333333333337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77.777777777777771</v>
      </c>
      <c r="Y362" s="41">
        <f>IFERROR(Y355/H355,"0")+IFERROR(Y356/H356,"0")+IFERROR(Y357/H357,"0")+IFERROR(Y358/H358,"0")+IFERROR(Y359/H359,"0")+IFERROR(Y360/H360,"0")+IFERROR(Y361/H361,"0")</f>
        <v>78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0.39156000000000002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163.33333333333331</v>
      </c>
      <c r="Y363" s="41">
        <f>IFERROR(SUM(Y355:Y361),"0")</f>
        <v>163.80000000000001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213.33333333333331</v>
      </c>
      <c r="Y372" s="53">
        <f>IFERROR(IF(X372="",0,CEILING((X372/$H372),1)*$H372),"")</f>
        <v>218.4</v>
      </c>
      <c r="Z372" s="39">
        <f>IFERROR(IF(Y372=0,"",ROUNDUP(Y372/H372,0)*0.01898),"")</f>
        <v>0.49348000000000003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225.87936507936504</v>
      </c>
      <c r="BN372" s="75">
        <f>IFERROR(Y372*I372/H372,"0")</f>
        <v>231.244</v>
      </c>
      <c r="BO372" s="75">
        <f>IFERROR(1/J372*(X372/H372),"0")</f>
        <v>0.39682539682539675</v>
      </c>
      <c r="BP372" s="75">
        <f>IFERROR(1/J372*(Y372/H372),"0")</f>
        <v>0.40625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333.33333333333337</v>
      </c>
      <c r="Y373" s="53">
        <f>IFERROR(IF(X373="",0,CEILING((X373/$H373),1)*$H373),"")</f>
        <v>335.4</v>
      </c>
      <c r="Z373" s="39">
        <f>IFERROR(IF(Y373=0,"",ROUNDUP(Y373/H373,0)*0.01898),"")</f>
        <v>0.81613999999999998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354.44444444444451</v>
      </c>
      <c r="BN373" s="75">
        <f>IFERROR(Y373*I373/H373,"0")</f>
        <v>356.642</v>
      </c>
      <c r="BO373" s="75">
        <f>IFERROR(1/J373*(X373/H373),"0")</f>
        <v>0.66773504273504281</v>
      </c>
      <c r="BP373" s="75">
        <f>IFERROR(1/J373*(Y373/H373),"0")</f>
        <v>0.671875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46.666666666666671</v>
      </c>
      <c r="Y374" s="53">
        <f>IFERROR(IF(X374="",0,CEILING((X374/$H374),1)*$H374),"")</f>
        <v>50.400000000000006</v>
      </c>
      <c r="Z374" s="39">
        <f>IFERROR(IF(Y374=0,"",ROUNDUP(Y374/H374,0)*0.01898),"")</f>
        <v>0.11388000000000001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49.411111111111119</v>
      </c>
      <c r="BN374" s="75">
        <f>IFERROR(Y374*I374/H374,"0")</f>
        <v>53.364000000000004</v>
      </c>
      <c r="BO374" s="75">
        <f>IFERROR(1/J374*(X374/H374),"0")</f>
        <v>8.6805555555555566E-2</v>
      </c>
      <c r="BP374" s="75">
        <f>IFERROR(1/J374*(Y374/H374),"0")</f>
        <v>9.375E-2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73.687423687423689</v>
      </c>
      <c r="Y375" s="41">
        <f>IFERROR(Y372/H372,"0")+IFERROR(Y373/H373,"0")+IFERROR(Y374/H374,"0")</f>
        <v>75</v>
      </c>
      <c r="Z375" s="41">
        <f>IFERROR(IF(Z372="",0,Z372),"0")+IFERROR(IF(Z373="",0,Z373),"0")+IFERROR(IF(Z374="",0,Z374),"0")</f>
        <v>1.4235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593.33333333333337</v>
      </c>
      <c r="Y376" s="41">
        <f>IFERROR(SUM(Y372:Y374),"0")</f>
        <v>604.19999999999993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816.66666666666652</v>
      </c>
      <c r="Y393" s="53">
        <f>IFERROR(IF(X393="",0,CEILING((X393/$H393),1)*$H393),"")</f>
        <v>816.90000000000009</v>
      </c>
      <c r="Z393" s="39">
        <f>IFERROR(IF(Y393=0,"",ROUNDUP(Y393/H393,0)*0.00651),"")</f>
        <v>2.5323899999999999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914.6666666666664</v>
      </c>
      <c r="BN393" s="75">
        <f>IFERROR(Y393*I393/H393,"0")</f>
        <v>914.92800000000011</v>
      </c>
      <c r="BO393" s="75">
        <f>IFERROR(1/J393*(X393/H393),"0")</f>
        <v>2.1367521367521363</v>
      </c>
      <c r="BP393" s="75">
        <f>IFERROR(1/J393*(Y393/H393),"0")</f>
        <v>2.1373626373626373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420</v>
      </c>
      <c r="Y394" s="53">
        <f>IFERROR(IF(X394="",0,CEILING((X394/$H394),1)*$H394),"")</f>
        <v>420</v>
      </c>
      <c r="Z394" s="39">
        <f>IFERROR(IF(Y394=0,"",ROUNDUP(Y394/H394,0)*0.00651),"")</f>
        <v>1.302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467.99999999999994</v>
      </c>
      <c r="BN394" s="75">
        <f>IFERROR(Y394*I394/H394,"0")</f>
        <v>467.99999999999994</v>
      </c>
      <c r="BO394" s="75">
        <f>IFERROR(1/J394*(X394/H394),"0")</f>
        <v>1.098901098901099</v>
      </c>
      <c r="BP394" s="75">
        <f>IFERROR(1/J394*(Y394/H394),"0")</f>
        <v>1.098901098901099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588.8888888888888</v>
      </c>
      <c r="Y395" s="41">
        <f>IFERROR(Y392/H392,"0")+IFERROR(Y393/H393,"0")+IFERROR(Y394/H394,"0")</f>
        <v>589</v>
      </c>
      <c r="Z395" s="41">
        <f>IFERROR(IF(Z392="",0,Z392),"0")+IFERROR(IF(Z393="",0,Z393),"0")+IFERROR(IF(Z394="",0,Z394),"0")</f>
        <v>3.83439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1236.6666666666665</v>
      </c>
      <c r="Y396" s="41">
        <f>IFERROR(SUM(Y392:Y394),"0")</f>
        <v>1236.9000000000001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1133.3333333333335</v>
      </c>
      <c r="Y401" s="53">
        <f t="shared" si="57"/>
        <v>1140</v>
      </c>
      <c r="Z401" s="39">
        <f>IFERROR(IF(Y401=0,"",ROUNDUP(Y401/H401,0)*0.02175),"")</f>
        <v>1.6529999999999998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1168.8444444444447</v>
      </c>
      <c r="BN401" s="75">
        <f t="shared" si="59"/>
        <v>1175.72</v>
      </c>
      <c r="BO401" s="75">
        <f t="shared" si="60"/>
        <v>1.5740740740740744</v>
      </c>
      <c r="BP401" s="75">
        <f t="shared" si="61"/>
        <v>1.5833333333333333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1000</v>
      </c>
      <c r="Y402" s="53">
        <f t="shared" si="57"/>
        <v>1005</v>
      </c>
      <c r="Z402" s="39">
        <f>IFERROR(IF(Y402=0,"",ROUNDUP(Y402/H402,0)*0.02175),"")</f>
        <v>1.4572499999999999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1031.3333333333333</v>
      </c>
      <c r="BN402" s="75">
        <f t="shared" si="59"/>
        <v>1036.49</v>
      </c>
      <c r="BO402" s="75">
        <f t="shared" si="60"/>
        <v>1.3888888888888888</v>
      </c>
      <c r="BP402" s="75">
        <f t="shared" si="61"/>
        <v>1.3958333333333333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1300</v>
      </c>
      <c r="Y403" s="53">
        <f t="shared" si="57"/>
        <v>1305</v>
      </c>
      <c r="Z403" s="39">
        <f>IFERROR(IF(Y403=0,"",ROUNDUP(Y403/H403,0)*0.02175),"")</f>
        <v>1.8922499999999998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1340.7333333333333</v>
      </c>
      <c r="BN403" s="75">
        <f t="shared" si="59"/>
        <v>1345.89</v>
      </c>
      <c r="BO403" s="75">
        <f t="shared" si="60"/>
        <v>1.8055555555555556</v>
      </c>
      <c r="BP403" s="75">
        <f t="shared" si="61"/>
        <v>1.8125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228.88888888888891</v>
      </c>
      <c r="Y408" s="41">
        <f>IFERROR(Y400/H400,"0")+IFERROR(Y401/H401,"0")+IFERROR(Y402/H402,"0")+IFERROR(Y403/H403,"0")+IFERROR(Y404/H404,"0")+IFERROR(Y405/H405,"0")+IFERROR(Y406/H406,"0")+IFERROR(Y407/H407,"0")</f>
        <v>230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5.0024999999999995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3433.3333333333335</v>
      </c>
      <c r="Y409" s="41">
        <f>IFERROR(SUM(Y400:Y407),"0")</f>
        <v>3450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333.33333333333337</v>
      </c>
      <c r="Y411" s="53">
        <f>IFERROR(IF(X411="",0,CEILING((X411/$H411),1)*$H411),"")</f>
        <v>345</v>
      </c>
      <c r="Z411" s="39">
        <f>IFERROR(IF(Y411=0,"",ROUNDUP(Y411/H411,0)*0.02175),"")</f>
        <v>0.50024999999999997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343.77777777777789</v>
      </c>
      <c r="BN411" s="75">
        <f>IFERROR(Y411*I411/H411,"0")</f>
        <v>355.81000000000006</v>
      </c>
      <c r="BO411" s="75">
        <f>IFERROR(1/J411*(X411/H411),"0")</f>
        <v>0.46296296296296302</v>
      </c>
      <c r="BP411" s="75">
        <f>IFERROR(1/J411*(Y411/H411),"0")</f>
        <v>0.47916666666666663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113.33333333333334</v>
      </c>
      <c r="Y412" s="53">
        <f>IFERROR(IF(X412="",0,CEILING((X412/$H412),1)*$H412),"")</f>
        <v>120</v>
      </c>
      <c r="Z412" s="39">
        <f>IFERROR(IF(Y412=0,"",ROUNDUP(Y412/H412,0)*0.02175),"")</f>
        <v>0.17399999999999999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116.88444444444445</v>
      </c>
      <c r="BN412" s="75">
        <f>IFERROR(Y412*I412/H412,"0")</f>
        <v>123.76</v>
      </c>
      <c r="BO412" s="75">
        <f>IFERROR(1/J412*(X412/H412),"0")</f>
        <v>0.15740740740740741</v>
      </c>
      <c r="BP412" s="75">
        <f>IFERROR(1/J412*(Y412/H412),"0")</f>
        <v>0.16666666666666666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29.777777777777782</v>
      </c>
      <c r="Y414" s="41">
        <f>IFERROR(Y411/H411,"0")+IFERROR(Y412/H412,"0")+IFERROR(Y413/H413,"0")</f>
        <v>31</v>
      </c>
      <c r="Z414" s="41">
        <f>IFERROR(IF(Z411="",0,Z411),"0")+IFERROR(IF(Z412="",0,Z412),"0")+IFERROR(IF(Z413="",0,Z413),"0")</f>
        <v>0.67425000000000002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446.66666666666674</v>
      </c>
      <c r="Y415" s="41">
        <f>IFERROR(SUM(Y411:Y413),"0")</f>
        <v>465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53.333333333333329</v>
      </c>
      <c r="Y422" s="53">
        <f>IFERROR(IF(X422="",0,CEILING((X422/$H422),1)*$H422),"")</f>
        <v>54</v>
      </c>
      <c r="Z422" s="39">
        <f>IFERROR(IF(Y422=0,"",ROUNDUP(Y422/H422,0)*0.01898),"")</f>
        <v>0.11388000000000001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56.260740740740736</v>
      </c>
      <c r="BN422" s="75">
        <f>IFERROR(Y422*I422/H422,"0")</f>
        <v>56.963999999999992</v>
      </c>
      <c r="BO422" s="75">
        <f>IFERROR(1/J422*(X422/H422),"0")</f>
        <v>9.2592592592592587E-2</v>
      </c>
      <c r="BP422" s="75">
        <f>IFERROR(1/J422*(Y422/H422),"0")</f>
        <v>9.375E-2</v>
      </c>
    </row>
    <row r="423" spans="1:68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5.9259259259259256</v>
      </c>
      <c r="Y423" s="41">
        <f>IFERROR(Y422/H422,"0")</f>
        <v>6</v>
      </c>
      <c r="Z423" s="41">
        <f>IFERROR(IF(Z422="",0,Z422),"0")</f>
        <v>0.11388000000000001</v>
      </c>
      <c r="AA423" s="64"/>
      <c r="AB423" s="64"/>
      <c r="AC423" s="64"/>
    </row>
    <row r="424" spans="1:68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53.333333333333329</v>
      </c>
      <c r="Y424" s="41">
        <f>IFERROR(SUM(Y422:Y422),"0")</f>
        <v>54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13.333333333333332</v>
      </c>
      <c r="Y427" s="53">
        <f>IFERROR(IF(X427="",0,CEILING((X427/$H427),1)*$H427),"")</f>
        <v>24</v>
      </c>
      <c r="Z427" s="39">
        <f>IFERROR(IF(Y427=0,"",ROUNDUP(Y427/H427,0)*0.01898),"")</f>
        <v>3.7960000000000001E-2</v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13.788888888888886</v>
      </c>
      <c r="BN427" s="75">
        <f>IFERROR(Y427*I427/H427,"0")</f>
        <v>24.820000000000004</v>
      </c>
      <c r="BO427" s="75">
        <f>IFERROR(1/J427*(X427/H427),"0")</f>
        <v>1.7361111111111108E-2</v>
      </c>
      <c r="BP427" s="75">
        <f>IFERROR(1/J427*(Y427/H427),"0")</f>
        <v>3.125E-2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1.1111111111111109</v>
      </c>
      <c r="Y429" s="41">
        <f>IFERROR(Y427/H427,"0")+IFERROR(Y428/H428,"0")</f>
        <v>2</v>
      </c>
      <c r="Z429" s="41">
        <f>IFERROR(IF(Z427="",0,Z427),"0")+IFERROR(IF(Z428="",0,Z428),"0")</f>
        <v>3.7960000000000001E-2</v>
      </c>
      <c r="AA429" s="64"/>
      <c r="AB429" s="64"/>
      <c r="AC429" s="64"/>
    </row>
    <row r="430" spans="1:68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13.333333333333332</v>
      </c>
      <c r="Y430" s="41">
        <f>IFERROR(SUM(Y427:Y428),"0")</f>
        <v>24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80</v>
      </c>
      <c r="Y436" s="53">
        <f>IFERROR(IF(X436="",0,CEILING((X436/$H436),1)*$H436),"")</f>
        <v>81</v>
      </c>
      <c r="Z436" s="39">
        <f>IFERROR(IF(Y436=0,"",ROUNDUP(Y436/H436,0)*0.01898),"")</f>
        <v>0.17082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84.391111111111115</v>
      </c>
      <c r="BN436" s="75">
        <f>IFERROR(Y436*I436/H436,"0")</f>
        <v>85.445999999999998</v>
      </c>
      <c r="BO436" s="75">
        <f>IFERROR(1/J436*(X436/H436),"0")</f>
        <v>0.1388888888888889</v>
      </c>
      <c r="BP436" s="75">
        <f>IFERROR(1/J436*(Y436/H436),"0")</f>
        <v>0.140625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8.8888888888888893</v>
      </c>
      <c r="Y439" s="41">
        <f>IFERROR(Y436/H436,"0")+IFERROR(Y437/H437,"0")+IFERROR(Y438/H438,"0")</f>
        <v>9</v>
      </c>
      <c r="Z439" s="41">
        <f>IFERROR(IF(Z436="",0,Z436),"0")+IFERROR(IF(Z437="",0,Z437),"0")+IFERROR(IF(Z438="",0,Z438),"0")</f>
        <v>0.17082</v>
      </c>
      <c r="AA439" s="64"/>
      <c r="AB439" s="64"/>
      <c r="AC439" s="64"/>
    </row>
    <row r="440" spans="1:68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80</v>
      </c>
      <c r="Y440" s="41">
        <f>IFERROR(SUM(Y436:Y438),"0")</f>
        <v>81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4.6666666666666661</v>
      </c>
      <c r="Y465" s="53">
        <f>IFERROR(IF(X465="",0,CEILING((X465/$H465),1)*$H465),"")</f>
        <v>6.3000000000000007</v>
      </c>
      <c r="Z465" s="39">
        <f>IFERROR(IF(Y465=0,"",ROUNDUP(Y465/H465,0)*0.00502),"")</f>
        <v>1.506E-2</v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4.9555555555555539</v>
      </c>
      <c r="BN465" s="75">
        <f>IFERROR(Y465*I465/H465,"0")</f>
        <v>6.69</v>
      </c>
      <c r="BO465" s="75">
        <f>IFERROR(1/J465*(X465/H465),"0")</f>
        <v>9.4966761633428296E-3</v>
      </c>
      <c r="BP465" s="75">
        <f>IFERROR(1/J465*(Y465/H465),"0")</f>
        <v>1.2820512820512822E-2</v>
      </c>
    </row>
    <row r="466" spans="1:68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2.2222222222222219</v>
      </c>
      <c r="Y466" s="41">
        <f>IFERROR(Y463/H463,"0")+IFERROR(Y464/H464,"0")+IFERROR(Y465/H465,"0")</f>
        <v>3</v>
      </c>
      <c r="Z466" s="41">
        <f>IFERROR(IF(Z463="",0,Z463),"0")+IFERROR(IF(Z464="",0,Z464),"0")+IFERROR(IF(Z465="",0,Z465),"0")</f>
        <v>1.506E-2</v>
      </c>
      <c r="AA466" s="64"/>
      <c r="AB466" s="64"/>
      <c r="AC466" s="64"/>
    </row>
    <row r="467" spans="1:68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4.6666666666666661</v>
      </c>
      <c r="Y467" s="41">
        <f>IFERROR(SUM(Y463:Y465),"0")</f>
        <v>6.3000000000000007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20</v>
      </c>
      <c r="Y471" s="53">
        <f t="shared" ref="Y471:Y479" si="67">IFERROR(IF(X471="",0,CEILING((X471/$H471),1)*$H471),"")</f>
        <v>21.12</v>
      </c>
      <c r="Z471" s="39">
        <f t="shared" ref="Z471:Z476" si="68">IFERROR(IF(Y471=0,"",ROUNDUP(Y471/H471,0)*0.01196),"")</f>
        <v>4.7840000000000001E-2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21.325757575757574</v>
      </c>
      <c r="BN471" s="75">
        <f t="shared" ref="BN471:BN479" si="70">IFERROR(Y471*I471/H471,"0")</f>
        <v>22.52</v>
      </c>
      <c r="BO471" s="75">
        <f t="shared" ref="BO471:BO479" si="71">IFERROR(1/J471*(X471/H471),"0")</f>
        <v>3.6421911421911424E-2</v>
      </c>
      <c r="BP471" s="75">
        <f t="shared" ref="BP471:BP479" si="72">IFERROR(1/J471*(Y471/H471),"0")</f>
        <v>3.8461538461538464E-2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120</v>
      </c>
      <c r="Y474" s="53">
        <f t="shared" si="67"/>
        <v>121.44000000000001</v>
      </c>
      <c r="Z474" s="39">
        <f t="shared" si="68"/>
        <v>0.27507999999999999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127.95454545454545</v>
      </c>
      <c r="BN474" s="75">
        <f t="shared" si="70"/>
        <v>129.49</v>
      </c>
      <c r="BO474" s="75">
        <f t="shared" si="71"/>
        <v>0.21853146853146854</v>
      </c>
      <c r="BP474" s="75">
        <f t="shared" si="72"/>
        <v>0.22115384615384617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159.99999999999997</v>
      </c>
      <c r="Y478" s="53">
        <f t="shared" si="67"/>
        <v>163.19999999999999</v>
      </c>
      <c r="Z478" s="39">
        <f>IFERROR(IF(Y478=0,"",ROUNDUP(Y478/H478,0)*0.00902),"")</f>
        <v>0.30668000000000001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230.33333333333331</v>
      </c>
      <c r="BN478" s="75">
        <f t="shared" si="70"/>
        <v>234.94</v>
      </c>
      <c r="BO478" s="75">
        <f t="shared" si="71"/>
        <v>0.25252525252525249</v>
      </c>
      <c r="BP478" s="75">
        <f t="shared" si="72"/>
        <v>0.25757575757575757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279.99999999999994</v>
      </c>
      <c r="Y479" s="53">
        <f t="shared" si="67"/>
        <v>283.2</v>
      </c>
      <c r="Z479" s="39">
        <f>IFERROR(IF(Y479=0,"",ROUNDUP(Y479/H479,0)*0.00902),"")</f>
        <v>0.53217999999999999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403.08333333333331</v>
      </c>
      <c r="BN479" s="75">
        <f t="shared" si="70"/>
        <v>407.69</v>
      </c>
      <c r="BO479" s="75">
        <f t="shared" si="71"/>
        <v>0.44191919191919182</v>
      </c>
      <c r="BP479" s="75">
        <f t="shared" si="72"/>
        <v>0.44696969696969696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118.18181818181816</v>
      </c>
      <c r="Y480" s="41">
        <f>IFERROR(Y471/H471,"0")+IFERROR(Y472/H472,"0")+IFERROR(Y473/H473,"0")+IFERROR(Y474/H474,"0")+IFERROR(Y475/H475,"0")+IFERROR(Y476/H476,"0")+IFERROR(Y477/H477,"0")+IFERROR(Y478/H478,"0")+IFERROR(Y479/H479,"0")</f>
        <v>120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1.1617799999999998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580</v>
      </c>
      <c r="Y481" s="41">
        <f>IFERROR(SUM(Y471:Y479),"0")</f>
        <v>588.96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79.999999999999986</v>
      </c>
      <c r="Y485" s="53">
        <f>IFERROR(IF(X485="",0,CEILING((X485/$H485),1)*$H485),"")</f>
        <v>81.599999999999994</v>
      </c>
      <c r="Z485" s="39">
        <f>IFERROR(IF(Y485=0,"",ROUNDUP(Y485/H485,0)*0.00902),"")</f>
        <v>0.15334</v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115.16666666666666</v>
      </c>
      <c r="BN485" s="75">
        <f>IFERROR(Y485*I485/H485,"0")</f>
        <v>117.47</v>
      </c>
      <c r="BO485" s="75">
        <f>IFERROR(1/J485*(X485/H485),"0")</f>
        <v>0.12626262626262624</v>
      </c>
      <c r="BP485" s="75">
        <f>IFERROR(1/J485*(Y485/H485),"0")</f>
        <v>0.12878787878787878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16.666666666666664</v>
      </c>
      <c r="Y486" s="41">
        <f>IFERROR(Y483/H483,"0")+IFERROR(Y484/H484,"0")+IFERROR(Y485/H485,"0")</f>
        <v>17</v>
      </c>
      <c r="Z486" s="41">
        <f>IFERROR(IF(Z483="",0,Z483),"0")+IFERROR(IF(Z484="",0,Z484),"0")+IFERROR(IF(Z485="",0,Z485),"0")</f>
        <v>0.15334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79.999999999999986</v>
      </c>
      <c r="Y487" s="41">
        <f>IFERROR(SUM(Y483:Y485),"0")</f>
        <v>81.599999999999994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233.33333333333331</v>
      </c>
      <c r="Y491" s="53">
        <f t="shared" si="73"/>
        <v>237.60000000000002</v>
      </c>
      <c r="Z491" s="39">
        <f>IFERROR(IF(Y491=0,"",ROUNDUP(Y491/H491,0)*0.01196),"")</f>
        <v>0.53820000000000001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248.80050505050502</v>
      </c>
      <c r="BN491" s="75">
        <f t="shared" si="75"/>
        <v>253.35</v>
      </c>
      <c r="BO491" s="75">
        <f t="shared" si="76"/>
        <v>0.42492229992229985</v>
      </c>
      <c r="BP491" s="75">
        <f t="shared" si="77"/>
        <v>0.43269230769230771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112.00000000000001</v>
      </c>
      <c r="Y492" s="53">
        <f t="shared" si="73"/>
        <v>115.19999999999999</v>
      </c>
      <c r="Z492" s="39">
        <f>IFERROR(IF(Y492=0,"",ROUNDUP(Y492/H492,0)*0.00902),"")</f>
        <v>0.21648000000000001</v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161.23333333333335</v>
      </c>
      <c r="BN492" s="75">
        <f t="shared" si="75"/>
        <v>165.84</v>
      </c>
      <c r="BO492" s="75">
        <f t="shared" si="76"/>
        <v>0.1767676767676768</v>
      </c>
      <c r="BP492" s="75">
        <f t="shared" si="77"/>
        <v>0.18181818181818182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15.999999999999998</v>
      </c>
      <c r="Y494" s="53">
        <f t="shared" si="73"/>
        <v>19.2</v>
      </c>
      <c r="Z494" s="39">
        <f>IFERROR(IF(Y494=0,"",ROUNDUP(Y494/H494,0)*0.00902),"")</f>
        <v>3.6080000000000001E-2</v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22.233333333333331</v>
      </c>
      <c r="BN494" s="75">
        <f t="shared" si="75"/>
        <v>26.68</v>
      </c>
      <c r="BO494" s="75">
        <f t="shared" si="76"/>
        <v>2.5252525252525252E-2</v>
      </c>
      <c r="BP494" s="75">
        <f t="shared" si="77"/>
        <v>3.0303030303030304E-2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79.999999999999986</v>
      </c>
      <c r="Y495" s="53">
        <f t="shared" si="73"/>
        <v>81.599999999999994</v>
      </c>
      <c r="Z495" s="39">
        <f>IFERROR(IF(Y495=0,"",ROUNDUP(Y495/H495,0)*0.00902),"")</f>
        <v>0.15334</v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111.16666666666666</v>
      </c>
      <c r="BN495" s="75">
        <f t="shared" si="75"/>
        <v>113.38999999999999</v>
      </c>
      <c r="BO495" s="75">
        <f t="shared" si="76"/>
        <v>0.12626262626262624</v>
      </c>
      <c r="BP495" s="75">
        <f t="shared" si="77"/>
        <v>0.12878787878787878</v>
      </c>
    </row>
    <row r="496" spans="1:68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87.525252525252512</v>
      </c>
      <c r="Y496" s="41">
        <f>IFERROR(Y489/H489,"0")+IFERROR(Y490/H490,"0")+IFERROR(Y491/H491,"0")+IFERROR(Y492/H492,"0")+IFERROR(Y493/H493,"0")+IFERROR(Y494/H494,"0")+IFERROR(Y495/H495,"0")</f>
        <v>90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0.94410000000000005</v>
      </c>
      <c r="AA496" s="64"/>
      <c r="AB496" s="64"/>
      <c r="AC496" s="64"/>
    </row>
    <row r="497" spans="1:68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441.33333333333331</v>
      </c>
      <c r="Y497" s="41">
        <f>IFERROR(SUM(Y489:Y495),"0")</f>
        <v>453.6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133.33333333333331</v>
      </c>
      <c r="Y501" s="53">
        <f>IFERROR(IF(X501="",0,CEILING((X501/$H501),1)*$H501),"")</f>
        <v>144</v>
      </c>
      <c r="Z501" s="39">
        <f>IFERROR(IF(Y501=0,"",ROUNDUP(Y501/H501,0)*0.01898),"")</f>
        <v>0.22776000000000002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137.88888888888889</v>
      </c>
      <c r="BN501" s="75">
        <f>IFERROR(Y501*I501/H501,"0")</f>
        <v>148.91999999999999</v>
      </c>
      <c r="BO501" s="75">
        <f>IFERROR(1/J501*(X501/H501),"0")</f>
        <v>0.17361111111111108</v>
      </c>
      <c r="BP501" s="75">
        <f>IFERROR(1/J501*(Y501/H501),"0")</f>
        <v>0.1875</v>
      </c>
    </row>
    <row r="502" spans="1:68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11.111111111111109</v>
      </c>
      <c r="Y502" s="41">
        <f>IFERROR(Y501/H501,"0")</f>
        <v>12</v>
      </c>
      <c r="Z502" s="41">
        <f>IFERROR(IF(Z501="",0,Z501),"0")</f>
        <v>0.22776000000000002</v>
      </c>
      <c r="AA502" s="64"/>
      <c r="AB502" s="64"/>
      <c r="AC502" s="64"/>
    </row>
    <row r="503" spans="1:68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133.33333333333331</v>
      </c>
      <c r="Y503" s="41">
        <f>IFERROR(SUM(Y501:Y501),"0")</f>
        <v>144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666.66666666666674</v>
      </c>
      <c r="Y514" s="53">
        <f>IFERROR(IF(X514="",0,CEILING((X514/$H514),1)*$H514),"")</f>
        <v>675</v>
      </c>
      <c r="Z514" s="39">
        <f>IFERROR(IF(Y514=0,"",ROUNDUP(Y514/H514,0)*0.01898),"")</f>
        <v>1.4235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703.25925925925935</v>
      </c>
      <c r="BN514" s="75">
        <f>IFERROR(Y514*I514/H514,"0")</f>
        <v>712.05</v>
      </c>
      <c r="BO514" s="75">
        <f>IFERROR(1/J514*(X514/H514),"0")</f>
        <v>1.1574074074074074</v>
      </c>
      <c r="BP514" s="75">
        <f>IFERROR(1/J514*(Y514/H514),"0")</f>
        <v>1.171875</v>
      </c>
    </row>
    <row r="515" spans="1:68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74.074074074074076</v>
      </c>
      <c r="Y515" s="41">
        <f>IFERROR(Y514/H514,"0")</f>
        <v>75</v>
      </c>
      <c r="Z515" s="41">
        <f>IFERROR(IF(Z514="",0,Z514),"0")</f>
        <v>1.4235</v>
      </c>
      <c r="AA515" s="64"/>
      <c r="AB515" s="64"/>
      <c r="AC515" s="64"/>
    </row>
    <row r="516" spans="1:68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666.66666666666674</v>
      </c>
      <c r="Y516" s="41">
        <f>IFERROR(SUM(Y514:Y514),"0")</f>
        <v>675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15357.266666666666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15541.739999999998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16606.266131817672</v>
      </c>
      <c r="Y528" s="41">
        <f>IFERROR(SUM(BN22:BN524),"0")</f>
        <v>16806.198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29</v>
      </c>
      <c r="Y529" s="42">
        <f>ROUNDUP(SUM(BP22:BP524),0)</f>
        <v>29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17331.266131817672</v>
      </c>
      <c r="Y530" s="41">
        <f>GrossWeightTotalR+PalletQtyTotalR*25</f>
        <v>17531.198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3835.9971466025104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3869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33.748360000000005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130.56</v>
      </c>
      <c r="D537" s="50">
        <f>IFERROR(Y51*1,"0")+IFERROR(Y52*1,"0")+IFERROR(Y53*1,"0")+IFERROR(Y54*1,"0")</f>
        <v>400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770.6</v>
      </c>
      <c r="F537" s="50">
        <f>IFERROR(Y87*1,"0")+IFERROR(Y88*1,"0")+IFERROR(Y89*1,"0")+IFERROR(Y90*1,"0")+IFERROR(Y94*1,"0")+IFERROR(Y95*1,"0")+IFERROR(Y96*1,"0")+IFERROR(Y97*1,"0")</f>
        <v>1629.9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1608.8600000000001</v>
      </c>
      <c r="H537" s="50">
        <f>IFERROR(Y133*1,"0")+IFERROR(Y134*1,"0")+IFERROR(Y138*1,"0")+IFERROR(Y139*1,"0")+IFERROR(Y143*1,"0")+IFERROR(Y144*1,"0")</f>
        <v>34.480000000000004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166.06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433.71999999999997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1840.8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172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108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218.39999999999998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768</v>
      </c>
      <c r="U537" s="50">
        <f>IFERROR(Y392*1,"0")+IFERROR(Y393*1,"0")+IFERROR(Y394*1,"0")</f>
        <v>1236.9000000000001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3969</v>
      </c>
      <c r="W537" s="50">
        <f>IFERROR(Y427*1,"0")+IFERROR(Y428*1,"0")+IFERROR(Y432*1,"0")+IFERROR(Y436*1,"0")+IFERROR(Y437*1,"0")+IFERROR(Y438*1,"0")</f>
        <v>105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6.3000000000000007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1124.1600000000001</v>
      </c>
      <c r="AA537" s="50">
        <f>IFERROR(Y501*1,"0")+IFERROR(Y505*1,"0")+IFERROR(Y509*1,"0")+IFERROR(Y510*1,"0")+IFERROR(Y514*1,"0")+IFERROR(Y518*1,"0")+IFERROR(Y519*1,"0")</f>
        <v>819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33,33"/>
        <filter val="1 236,67"/>
        <filter val="1 300,00"/>
        <filter val="1 426,67"/>
        <filter val="1,11"/>
        <filter val="1,33"/>
        <filter val="10,67"/>
        <filter val="10,80"/>
        <filter val="100,00"/>
        <filter val="101,33"/>
        <filter val="105,00"/>
        <filter val="106,67"/>
        <filter val="11,11"/>
        <filter val="112,00"/>
        <filter val="113,33"/>
        <filter val="118,18"/>
        <filter val="120,00"/>
        <filter val="128,00"/>
        <filter val="13,07"/>
        <filter val="13,33"/>
        <filter val="132,84"/>
        <filter val="133,33"/>
        <filter val="14,44"/>
        <filter val="145,56"/>
        <filter val="15 357,27"/>
        <filter val="152,00"/>
        <filter val="155,60"/>
        <filter val="16 606,27"/>
        <filter val="16,00"/>
        <filter val="16,67"/>
        <filter val="160,00"/>
        <filter val="163,33"/>
        <filter val="169,51"/>
        <filter val="17 331,27"/>
        <filter val="17,60"/>
        <filter val="17,73"/>
        <filter val="185,56"/>
        <filter val="2,00"/>
        <filter val="2,22"/>
        <filter val="2,40"/>
        <filter val="2,67"/>
        <filter val="20,00"/>
        <filter val="200,00"/>
        <filter val="213,33"/>
        <filter val="228,89"/>
        <filter val="233,33"/>
        <filter val="24,00"/>
        <filter val="24,90"/>
        <filter val="26,67"/>
        <filter val="27,35"/>
        <filter val="270,00"/>
        <filter val="271,33"/>
        <filter val="280,00"/>
        <filter val="29"/>
        <filter val="29,78"/>
        <filter val="3 433,33"/>
        <filter val="3 836,00"/>
        <filter val="310,45"/>
        <filter val="313,58"/>
        <filter val="32,00"/>
        <filter val="33,00"/>
        <filter val="333,33"/>
        <filter val="34,67"/>
        <filter val="367,33"/>
        <filter val="372,33"/>
        <filter val="38,52"/>
        <filter val="4,00"/>
        <filter val="4,67"/>
        <filter val="40,00"/>
        <filter val="400,00"/>
        <filter val="42,67"/>
        <filter val="420,00"/>
        <filter val="44,44"/>
        <filter val="441,33"/>
        <filter val="446,67"/>
        <filter val="46,67"/>
        <filter val="48,53"/>
        <filter val="486,67"/>
        <filter val="5,00"/>
        <filter val="5,56"/>
        <filter val="5,93"/>
        <filter val="50,40"/>
        <filter val="506,67"/>
        <filter val="53,33"/>
        <filter val="570,00"/>
        <filter val="580,00"/>
        <filter val="588,89"/>
        <filter val="593,33"/>
        <filter val="594,44"/>
        <filter val="6,67"/>
        <filter val="60,00"/>
        <filter val="630,00"/>
        <filter val="636,67"/>
        <filter val="64,00"/>
        <filter val="65,33"/>
        <filter val="66,67"/>
        <filter val="666,67"/>
        <filter val="690,00"/>
        <filter val="7,00"/>
        <filter val="7,20"/>
        <filter val="73,69"/>
        <filter val="74,07"/>
        <filter val="77,78"/>
        <filter val="780,00"/>
        <filter val="8,00"/>
        <filter val="8,89"/>
        <filter val="80,00"/>
        <filter val="816,67"/>
        <filter val="85,33"/>
        <filter val="87,53"/>
        <filter val="870,67"/>
        <filter val="90,00"/>
        <filter val="91,17"/>
        <filter val="93,33"/>
        <filter val="980,00"/>
        <filter val="99,51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