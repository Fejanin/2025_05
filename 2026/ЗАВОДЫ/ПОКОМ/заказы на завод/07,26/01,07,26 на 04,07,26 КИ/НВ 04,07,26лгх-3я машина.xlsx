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4E79C6-1F8E-4F82-A25A-CF5814FD6A5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O517" i="1"/>
  <c r="BM517" i="1"/>
  <c r="Y517" i="1"/>
  <c r="Y520" i="1" s="1"/>
  <c r="P517" i="1"/>
  <c r="X515" i="1"/>
  <c r="Y514" i="1"/>
  <c r="X514" i="1"/>
  <c r="BO513" i="1"/>
  <c r="BM513" i="1"/>
  <c r="Y513" i="1"/>
  <c r="BP513" i="1" s="1"/>
  <c r="P513" i="1"/>
  <c r="X511" i="1"/>
  <c r="X510" i="1"/>
  <c r="BO509" i="1"/>
  <c r="BM509" i="1"/>
  <c r="Y509" i="1"/>
  <c r="P509" i="1"/>
  <c r="BO508" i="1"/>
  <c r="BM508" i="1"/>
  <c r="Y508" i="1"/>
  <c r="Z508" i="1" s="1"/>
  <c r="P508" i="1"/>
  <c r="X506" i="1"/>
  <c r="X505" i="1"/>
  <c r="BO504" i="1"/>
  <c r="BM504" i="1"/>
  <c r="Y504" i="1"/>
  <c r="Y506" i="1" s="1"/>
  <c r="P504" i="1"/>
  <c r="X502" i="1"/>
  <c r="Y501" i="1"/>
  <c r="X501" i="1"/>
  <c r="BO500" i="1"/>
  <c r="BM500" i="1"/>
  <c r="Y500" i="1"/>
  <c r="Z500" i="1" s="1"/>
  <c r="Z501" i="1" s="1"/>
  <c r="P500" i="1"/>
  <c r="X496" i="1"/>
  <c r="X495" i="1"/>
  <c r="BO494" i="1"/>
  <c r="BM494" i="1"/>
  <c r="Y494" i="1"/>
  <c r="BP494" i="1" s="1"/>
  <c r="P494" i="1"/>
  <c r="BO493" i="1"/>
  <c r="BM493" i="1"/>
  <c r="Y493" i="1"/>
  <c r="BP493" i="1" s="1"/>
  <c r="P493" i="1"/>
  <c r="BO492" i="1"/>
  <c r="BM492" i="1"/>
  <c r="Y492" i="1"/>
  <c r="BP492" i="1" s="1"/>
  <c r="P492" i="1"/>
  <c r="BO491" i="1"/>
  <c r="BM491" i="1"/>
  <c r="Y491" i="1"/>
  <c r="BP491" i="1" s="1"/>
  <c r="P491" i="1"/>
  <c r="BO490" i="1"/>
  <c r="BM490" i="1"/>
  <c r="Y490" i="1"/>
  <c r="Z490" i="1" s="1"/>
  <c r="P490" i="1"/>
  <c r="BO489" i="1"/>
  <c r="BM489" i="1"/>
  <c r="Z489" i="1"/>
  <c r="Y489" i="1"/>
  <c r="BP489" i="1" s="1"/>
  <c r="P489" i="1"/>
  <c r="BO488" i="1"/>
  <c r="BM488" i="1"/>
  <c r="Y488" i="1"/>
  <c r="BP488" i="1" s="1"/>
  <c r="P488" i="1"/>
  <c r="X486" i="1"/>
  <c r="X485" i="1"/>
  <c r="BO484" i="1"/>
  <c r="BM484" i="1"/>
  <c r="Z484" i="1"/>
  <c r="Y484" i="1"/>
  <c r="BP484" i="1" s="1"/>
  <c r="P484" i="1"/>
  <c r="BO483" i="1"/>
  <c r="BM483" i="1"/>
  <c r="Y483" i="1"/>
  <c r="Z483" i="1" s="1"/>
  <c r="P483" i="1"/>
  <c r="BO482" i="1"/>
  <c r="BM482" i="1"/>
  <c r="Y482" i="1"/>
  <c r="BP482" i="1" s="1"/>
  <c r="P482" i="1"/>
  <c r="X480" i="1"/>
  <c r="X479" i="1"/>
  <c r="BO478" i="1"/>
  <c r="BM478" i="1"/>
  <c r="Y478" i="1"/>
  <c r="BP478" i="1" s="1"/>
  <c r="P478" i="1"/>
  <c r="BP477" i="1"/>
  <c r="BO477" i="1"/>
  <c r="BM477" i="1"/>
  <c r="Y477" i="1"/>
  <c r="Z477" i="1" s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BP474" i="1" s="1"/>
  <c r="P474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BP471" i="1" s="1"/>
  <c r="P471" i="1"/>
  <c r="BP470" i="1"/>
  <c r="BO470" i="1"/>
  <c r="BM470" i="1"/>
  <c r="Y470" i="1"/>
  <c r="BN470" i="1" s="1"/>
  <c r="P470" i="1"/>
  <c r="X466" i="1"/>
  <c r="X465" i="1"/>
  <c r="BO464" i="1"/>
  <c r="BM464" i="1"/>
  <c r="Y464" i="1"/>
  <c r="Z464" i="1" s="1"/>
  <c r="P464" i="1"/>
  <c r="BO463" i="1"/>
  <c r="BM463" i="1"/>
  <c r="Y463" i="1"/>
  <c r="BP463" i="1" s="1"/>
  <c r="P463" i="1"/>
  <c r="BO462" i="1"/>
  <c r="BM462" i="1"/>
  <c r="Z462" i="1"/>
  <c r="Y462" i="1"/>
  <c r="BP462" i="1" s="1"/>
  <c r="P462" i="1"/>
  <c r="X460" i="1"/>
  <c r="X459" i="1"/>
  <c r="BO458" i="1"/>
  <c r="BM458" i="1"/>
  <c r="Y458" i="1"/>
  <c r="BP458" i="1" s="1"/>
  <c r="P458" i="1"/>
  <c r="X455" i="1"/>
  <c r="X454" i="1"/>
  <c r="BO453" i="1"/>
  <c r="BM453" i="1"/>
  <c r="Y453" i="1"/>
  <c r="BP453" i="1" s="1"/>
  <c r="P453" i="1"/>
  <c r="BO452" i="1"/>
  <c r="BM452" i="1"/>
  <c r="Y452" i="1"/>
  <c r="Z452" i="1" s="1"/>
  <c r="P452" i="1"/>
  <c r="X450" i="1"/>
  <c r="X449" i="1"/>
  <c r="BO448" i="1"/>
  <c r="BN448" i="1"/>
  <c r="BM448" i="1"/>
  <c r="Y448" i="1"/>
  <c r="Z448" i="1" s="1"/>
  <c r="P448" i="1"/>
  <c r="BO447" i="1"/>
  <c r="BM447" i="1"/>
  <c r="Y447" i="1"/>
  <c r="BP447" i="1" s="1"/>
  <c r="P447" i="1"/>
  <c r="BP446" i="1"/>
  <c r="BO446" i="1"/>
  <c r="BM446" i="1"/>
  <c r="Y446" i="1"/>
  <c r="Z446" i="1" s="1"/>
  <c r="P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BP443" i="1" s="1"/>
  <c r="P443" i="1"/>
  <c r="X439" i="1"/>
  <c r="X438" i="1"/>
  <c r="BO437" i="1"/>
  <c r="BM437" i="1"/>
  <c r="Y437" i="1"/>
  <c r="BN437" i="1" s="1"/>
  <c r="P437" i="1"/>
  <c r="BO436" i="1"/>
  <c r="BM436" i="1"/>
  <c r="Y436" i="1"/>
  <c r="BP436" i="1" s="1"/>
  <c r="P436" i="1"/>
  <c r="BO435" i="1"/>
  <c r="BM435" i="1"/>
  <c r="Y435" i="1"/>
  <c r="Y439" i="1" s="1"/>
  <c r="P435" i="1"/>
  <c r="X433" i="1"/>
  <c r="X432" i="1"/>
  <c r="BO431" i="1"/>
  <c r="BM431" i="1"/>
  <c r="Z431" i="1"/>
  <c r="Z432" i="1" s="1"/>
  <c r="Y431" i="1"/>
  <c r="Y433" i="1" s="1"/>
  <c r="P431" i="1"/>
  <c r="X429" i="1"/>
  <c r="X428" i="1"/>
  <c r="BO427" i="1"/>
  <c r="BM427" i="1"/>
  <c r="Y427" i="1"/>
  <c r="P427" i="1"/>
  <c r="BO426" i="1"/>
  <c r="BM426" i="1"/>
  <c r="Y426" i="1"/>
  <c r="P426" i="1"/>
  <c r="X423" i="1"/>
  <c r="Y422" i="1"/>
  <c r="X422" i="1"/>
  <c r="BO421" i="1"/>
  <c r="BM421" i="1"/>
  <c r="Y421" i="1"/>
  <c r="Y423" i="1" s="1"/>
  <c r="P421" i="1"/>
  <c r="X419" i="1"/>
  <c r="X418" i="1"/>
  <c r="BO417" i="1"/>
  <c r="BM417" i="1"/>
  <c r="Y417" i="1"/>
  <c r="BN417" i="1" s="1"/>
  <c r="P417" i="1"/>
  <c r="BO416" i="1"/>
  <c r="BM416" i="1"/>
  <c r="Y416" i="1"/>
  <c r="P416" i="1"/>
  <c r="X414" i="1"/>
  <c r="X413" i="1"/>
  <c r="BO412" i="1"/>
  <c r="BN412" i="1"/>
  <c r="BM412" i="1"/>
  <c r="Y412" i="1"/>
  <c r="Z412" i="1" s="1"/>
  <c r="P412" i="1"/>
  <c r="BO411" i="1"/>
  <c r="BM411" i="1"/>
  <c r="Z411" i="1"/>
  <c r="Y411" i="1"/>
  <c r="BN411" i="1" s="1"/>
  <c r="P411" i="1"/>
  <c r="BO410" i="1"/>
  <c r="BM410" i="1"/>
  <c r="Y410" i="1"/>
  <c r="BP410" i="1" s="1"/>
  <c r="P410" i="1"/>
  <c r="X408" i="1"/>
  <c r="X407" i="1"/>
  <c r="BO406" i="1"/>
  <c r="BM406" i="1"/>
  <c r="Y406" i="1"/>
  <c r="BP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BO403" i="1"/>
  <c r="BM403" i="1"/>
  <c r="Y403" i="1"/>
  <c r="BP403" i="1" s="1"/>
  <c r="P403" i="1"/>
  <c r="BO402" i="1"/>
  <c r="BM402" i="1"/>
  <c r="Y402" i="1"/>
  <c r="P402" i="1"/>
  <c r="BO401" i="1"/>
  <c r="BM401" i="1"/>
  <c r="Y401" i="1"/>
  <c r="P401" i="1"/>
  <c r="BP400" i="1"/>
  <c r="BO400" i="1"/>
  <c r="BM400" i="1"/>
  <c r="Y400" i="1"/>
  <c r="BN400" i="1" s="1"/>
  <c r="P400" i="1"/>
  <c r="BO399" i="1"/>
  <c r="BM399" i="1"/>
  <c r="Z399" i="1"/>
  <c r="Y399" i="1"/>
  <c r="P399" i="1"/>
  <c r="X395" i="1"/>
  <c r="X394" i="1"/>
  <c r="BO393" i="1"/>
  <c r="BM393" i="1"/>
  <c r="Y393" i="1"/>
  <c r="Z393" i="1" s="1"/>
  <c r="P393" i="1"/>
  <c r="BO392" i="1"/>
  <c r="BN392" i="1"/>
  <c r="BM392" i="1"/>
  <c r="Z392" i="1"/>
  <c r="Y392" i="1"/>
  <c r="BP392" i="1" s="1"/>
  <c r="P392" i="1"/>
  <c r="BO391" i="1"/>
  <c r="BM391" i="1"/>
  <c r="Y391" i="1"/>
  <c r="P391" i="1"/>
  <c r="X388" i="1"/>
  <c r="X387" i="1"/>
  <c r="BO386" i="1"/>
  <c r="BM386" i="1"/>
  <c r="Y386" i="1"/>
  <c r="Z386" i="1" s="1"/>
  <c r="P386" i="1"/>
  <c r="BO385" i="1"/>
  <c r="BM385" i="1"/>
  <c r="Y385" i="1"/>
  <c r="Z385" i="1" s="1"/>
  <c r="P385" i="1"/>
  <c r="BO384" i="1"/>
  <c r="BM384" i="1"/>
  <c r="Y384" i="1"/>
  <c r="P384" i="1"/>
  <c r="X382" i="1"/>
  <c r="X381" i="1"/>
  <c r="BP380" i="1"/>
  <c r="BO380" i="1"/>
  <c r="BM380" i="1"/>
  <c r="Z380" i="1"/>
  <c r="Y380" i="1"/>
  <c r="BN380" i="1" s="1"/>
  <c r="P380" i="1"/>
  <c r="BO379" i="1"/>
  <c r="BM379" i="1"/>
  <c r="Y379" i="1"/>
  <c r="BP379" i="1" s="1"/>
  <c r="P379" i="1"/>
  <c r="BO378" i="1"/>
  <c r="BM378" i="1"/>
  <c r="Y378" i="1"/>
  <c r="Z378" i="1" s="1"/>
  <c r="P378" i="1"/>
  <c r="BO377" i="1"/>
  <c r="BM377" i="1"/>
  <c r="Y377" i="1"/>
  <c r="BN377" i="1" s="1"/>
  <c r="P377" i="1"/>
  <c r="X375" i="1"/>
  <c r="X374" i="1"/>
  <c r="BO373" i="1"/>
  <c r="BM373" i="1"/>
  <c r="Y373" i="1"/>
  <c r="BP373" i="1" s="1"/>
  <c r="P373" i="1"/>
  <c r="BO372" i="1"/>
  <c r="BM372" i="1"/>
  <c r="Y372" i="1"/>
  <c r="Y375" i="1" s="1"/>
  <c r="P372" i="1"/>
  <c r="BP371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N365" i="1" s="1"/>
  <c r="P365" i="1"/>
  <c r="BO364" i="1"/>
  <c r="BM364" i="1"/>
  <c r="Y364" i="1"/>
  <c r="Z364" i="1" s="1"/>
  <c r="P364" i="1"/>
  <c r="X362" i="1"/>
  <c r="X361" i="1"/>
  <c r="BO360" i="1"/>
  <c r="BM360" i="1"/>
  <c r="Z360" i="1"/>
  <c r="Y360" i="1"/>
  <c r="BP360" i="1" s="1"/>
  <c r="P360" i="1"/>
  <c r="BO359" i="1"/>
  <c r="BM359" i="1"/>
  <c r="Y359" i="1"/>
  <c r="BP359" i="1" s="1"/>
  <c r="P359" i="1"/>
  <c r="BO358" i="1"/>
  <c r="BM358" i="1"/>
  <c r="Y358" i="1"/>
  <c r="Z358" i="1" s="1"/>
  <c r="P358" i="1"/>
  <c r="BO357" i="1"/>
  <c r="BM357" i="1"/>
  <c r="Y357" i="1"/>
  <c r="Z357" i="1" s="1"/>
  <c r="P357" i="1"/>
  <c r="BO356" i="1"/>
  <c r="BM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BN354" i="1" s="1"/>
  <c r="P354" i="1"/>
  <c r="X352" i="1"/>
  <c r="X351" i="1"/>
  <c r="BO350" i="1"/>
  <c r="BN350" i="1"/>
  <c r="BM350" i="1"/>
  <c r="Y350" i="1"/>
  <c r="Z350" i="1" s="1"/>
  <c r="P350" i="1"/>
  <c r="BO349" i="1"/>
  <c r="BM349" i="1"/>
  <c r="Y349" i="1"/>
  <c r="BP349" i="1" s="1"/>
  <c r="P349" i="1"/>
  <c r="BO348" i="1"/>
  <c r="BM348" i="1"/>
  <c r="Z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Z340" i="1"/>
  <c r="Y340" i="1"/>
  <c r="BN340" i="1" s="1"/>
  <c r="P340" i="1"/>
  <c r="BO339" i="1"/>
  <c r="BM339" i="1"/>
  <c r="Y339" i="1"/>
  <c r="BP339" i="1" s="1"/>
  <c r="P339" i="1"/>
  <c r="X336" i="1"/>
  <c r="X335" i="1"/>
  <c r="BO334" i="1"/>
  <c r="BM334" i="1"/>
  <c r="Y334" i="1"/>
  <c r="Y335" i="1" s="1"/>
  <c r="P334" i="1"/>
  <c r="BO333" i="1"/>
  <c r="BM333" i="1"/>
  <c r="Y333" i="1"/>
  <c r="P333" i="1"/>
  <c r="X331" i="1"/>
  <c r="X330" i="1"/>
  <c r="BO329" i="1"/>
  <c r="BM329" i="1"/>
  <c r="Y329" i="1"/>
  <c r="BP329" i="1" s="1"/>
  <c r="P329" i="1"/>
  <c r="BO328" i="1"/>
  <c r="BN328" i="1"/>
  <c r="BM328" i="1"/>
  <c r="Y328" i="1"/>
  <c r="BP328" i="1" s="1"/>
  <c r="P328" i="1"/>
  <c r="BO327" i="1"/>
  <c r="BM327" i="1"/>
  <c r="Y327" i="1"/>
  <c r="Z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BP320" i="1" s="1"/>
  <c r="P320" i="1"/>
  <c r="BP319" i="1"/>
  <c r="BO319" i="1"/>
  <c r="BN319" i="1"/>
  <c r="BM319" i="1"/>
  <c r="Y319" i="1"/>
  <c r="Z319" i="1" s="1"/>
  <c r="P319" i="1"/>
  <c r="BO318" i="1"/>
  <c r="BM318" i="1"/>
  <c r="Y318" i="1"/>
  <c r="P318" i="1"/>
  <c r="X315" i="1"/>
  <c r="X314" i="1"/>
  <c r="BO313" i="1"/>
  <c r="BN313" i="1"/>
  <c r="BM313" i="1"/>
  <c r="Y313" i="1"/>
  <c r="BP313" i="1" s="1"/>
  <c r="P313" i="1"/>
  <c r="BP312" i="1"/>
  <c r="BO312" i="1"/>
  <c r="BM312" i="1"/>
  <c r="Y312" i="1"/>
  <c r="BN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Z309" i="1" s="1"/>
  <c r="P309" i="1"/>
  <c r="X306" i="1"/>
  <c r="X305" i="1"/>
  <c r="BO304" i="1"/>
  <c r="BM304" i="1"/>
  <c r="Y304" i="1"/>
  <c r="BN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Z301" i="1"/>
  <c r="Y301" i="1"/>
  <c r="BN301" i="1" s="1"/>
  <c r="P301" i="1"/>
  <c r="X299" i="1"/>
  <c r="Y298" i="1"/>
  <c r="X298" i="1"/>
  <c r="BP297" i="1"/>
  <c r="BO297" i="1"/>
  <c r="BN297" i="1"/>
  <c r="BM297" i="1"/>
  <c r="Y297" i="1"/>
  <c r="Y299" i="1" s="1"/>
  <c r="P297" i="1"/>
  <c r="X295" i="1"/>
  <c r="X294" i="1"/>
  <c r="BO293" i="1"/>
  <c r="BM293" i="1"/>
  <c r="Y293" i="1"/>
  <c r="Y295" i="1" s="1"/>
  <c r="P293" i="1"/>
  <c r="X291" i="1"/>
  <c r="X290" i="1"/>
  <c r="BO289" i="1"/>
  <c r="BN289" i="1"/>
  <c r="BM289" i="1"/>
  <c r="Z289" i="1"/>
  <c r="Y289" i="1"/>
  <c r="BP289" i="1" s="1"/>
  <c r="P289" i="1"/>
  <c r="BO288" i="1"/>
  <c r="BM288" i="1"/>
  <c r="Y288" i="1"/>
  <c r="Z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N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Z278" i="1" s="1"/>
  <c r="P278" i="1"/>
  <c r="BO277" i="1"/>
  <c r="BM277" i="1"/>
  <c r="Y277" i="1"/>
  <c r="P277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N268" i="1" s="1"/>
  <c r="P268" i="1"/>
  <c r="BP267" i="1"/>
  <c r="BO267" i="1"/>
  <c r="BN267" i="1"/>
  <c r="BM267" i="1"/>
  <c r="Y267" i="1"/>
  <c r="Z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Z264" i="1" s="1"/>
  <c r="P264" i="1"/>
  <c r="BO263" i="1"/>
  <c r="BM263" i="1"/>
  <c r="Y263" i="1"/>
  <c r="BP263" i="1" s="1"/>
  <c r="P263" i="1"/>
  <c r="BP262" i="1"/>
  <c r="BO262" i="1"/>
  <c r="BN262" i="1"/>
  <c r="BM262" i="1"/>
  <c r="Y262" i="1"/>
  <c r="P262" i="1"/>
  <c r="X260" i="1"/>
  <c r="X259" i="1"/>
  <c r="BP258" i="1"/>
  <c r="BO258" i="1"/>
  <c r="BN258" i="1"/>
  <c r="BM258" i="1"/>
  <c r="Y258" i="1"/>
  <c r="Z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N255" i="1" s="1"/>
  <c r="P255" i="1"/>
  <c r="BO254" i="1"/>
  <c r="BM254" i="1"/>
  <c r="Z254" i="1"/>
  <c r="Y254" i="1"/>
  <c r="BP254" i="1" s="1"/>
  <c r="P254" i="1"/>
  <c r="BO253" i="1"/>
  <c r="BM253" i="1"/>
  <c r="Y253" i="1"/>
  <c r="BP253" i="1" s="1"/>
  <c r="P253" i="1"/>
  <c r="BP252" i="1"/>
  <c r="BO252" i="1"/>
  <c r="BN252" i="1"/>
  <c r="BM252" i="1"/>
  <c r="Y252" i="1"/>
  <c r="Z252" i="1" s="1"/>
  <c r="P252" i="1"/>
  <c r="BO251" i="1"/>
  <c r="BM251" i="1"/>
  <c r="Y251" i="1"/>
  <c r="Z251" i="1" s="1"/>
  <c r="P251" i="1"/>
  <c r="X249" i="1"/>
  <c r="X248" i="1"/>
  <c r="BO247" i="1"/>
  <c r="BN247" i="1"/>
  <c r="BM247" i="1"/>
  <c r="Y247" i="1"/>
  <c r="Z247" i="1" s="1"/>
  <c r="P247" i="1"/>
  <c r="BO246" i="1"/>
  <c r="BM246" i="1"/>
  <c r="Y246" i="1"/>
  <c r="BP246" i="1" s="1"/>
  <c r="P246" i="1"/>
  <c r="X244" i="1"/>
  <c r="X243" i="1"/>
  <c r="BO242" i="1"/>
  <c r="BN242" i="1"/>
  <c r="BM242" i="1"/>
  <c r="Z242" i="1"/>
  <c r="Y242" i="1"/>
  <c r="BP242" i="1" s="1"/>
  <c r="P242" i="1"/>
  <c r="BO241" i="1"/>
  <c r="BM241" i="1"/>
  <c r="Y241" i="1"/>
  <c r="Z241" i="1" s="1"/>
  <c r="P241" i="1"/>
  <c r="X238" i="1"/>
  <c r="X237" i="1"/>
  <c r="BO236" i="1"/>
  <c r="BM236" i="1"/>
  <c r="Y236" i="1"/>
  <c r="Y237" i="1" s="1"/>
  <c r="P236" i="1"/>
  <c r="X234" i="1"/>
  <c r="X233" i="1"/>
  <c r="BO232" i="1"/>
  <c r="BM232" i="1"/>
  <c r="Y232" i="1"/>
  <c r="BP232" i="1" s="1"/>
  <c r="P232" i="1"/>
  <c r="BO231" i="1"/>
  <c r="BM231" i="1"/>
  <c r="Y231" i="1"/>
  <c r="Z231" i="1" s="1"/>
  <c r="P231" i="1"/>
  <c r="BO230" i="1"/>
  <c r="BM230" i="1"/>
  <c r="Y230" i="1"/>
  <c r="P230" i="1"/>
  <c r="X228" i="1"/>
  <c r="X227" i="1"/>
  <c r="BO226" i="1"/>
  <c r="BM226" i="1"/>
  <c r="Y226" i="1"/>
  <c r="Y227" i="1" s="1"/>
  <c r="P226" i="1"/>
  <c r="BO225" i="1"/>
  <c r="BM225" i="1"/>
  <c r="Y225" i="1"/>
  <c r="P225" i="1"/>
  <c r="X223" i="1"/>
  <c r="X222" i="1"/>
  <c r="BO221" i="1"/>
  <c r="BM221" i="1"/>
  <c r="Y221" i="1"/>
  <c r="Z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N218" i="1" s="1"/>
  <c r="P218" i="1"/>
  <c r="BO217" i="1"/>
  <c r="BM217" i="1"/>
  <c r="Y217" i="1"/>
  <c r="BP217" i="1" s="1"/>
  <c r="P217" i="1"/>
  <c r="BP216" i="1"/>
  <c r="BO216" i="1"/>
  <c r="BN216" i="1"/>
  <c r="BM216" i="1"/>
  <c r="Y216" i="1"/>
  <c r="Z216" i="1" s="1"/>
  <c r="P216" i="1"/>
  <c r="BO215" i="1"/>
  <c r="BM215" i="1"/>
  <c r="Y215" i="1"/>
  <c r="BP215" i="1" s="1"/>
  <c r="P215" i="1"/>
  <c r="BP214" i="1"/>
  <c r="BO214" i="1"/>
  <c r="BN214" i="1"/>
  <c r="BM214" i="1"/>
  <c r="Y214" i="1"/>
  <c r="Z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Z211" i="1" s="1"/>
  <c r="P211" i="1"/>
  <c r="BO210" i="1"/>
  <c r="BM210" i="1"/>
  <c r="Y210" i="1"/>
  <c r="BP210" i="1" s="1"/>
  <c r="P210" i="1"/>
  <c r="BO209" i="1"/>
  <c r="BM209" i="1"/>
  <c r="Y209" i="1"/>
  <c r="Z209" i="1" s="1"/>
  <c r="P209" i="1"/>
  <c r="BO208" i="1"/>
  <c r="BM208" i="1"/>
  <c r="Y208" i="1"/>
  <c r="BP208" i="1" s="1"/>
  <c r="P208" i="1"/>
  <c r="X206" i="1"/>
  <c r="X205" i="1"/>
  <c r="BO204" i="1"/>
  <c r="BM204" i="1"/>
  <c r="Y204" i="1"/>
  <c r="BP204" i="1" s="1"/>
  <c r="P204" i="1"/>
  <c r="X201" i="1"/>
  <c r="X200" i="1"/>
  <c r="BO199" i="1"/>
  <c r="BM199" i="1"/>
  <c r="Y199" i="1"/>
  <c r="P199" i="1"/>
  <c r="BO198" i="1"/>
  <c r="BM198" i="1"/>
  <c r="Y198" i="1"/>
  <c r="P198" i="1"/>
  <c r="BP197" i="1"/>
  <c r="BO197" i="1"/>
  <c r="BM197" i="1"/>
  <c r="Z197" i="1"/>
  <c r="Y197" i="1"/>
  <c r="BN197" i="1" s="1"/>
  <c r="P197" i="1"/>
  <c r="BO196" i="1"/>
  <c r="BM196" i="1"/>
  <c r="Y196" i="1"/>
  <c r="Z196" i="1" s="1"/>
  <c r="P196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Y187" i="1" s="1"/>
  <c r="P186" i="1"/>
  <c r="BO185" i="1"/>
  <c r="BM185" i="1"/>
  <c r="Z185" i="1"/>
  <c r="Y185" i="1"/>
  <c r="BN185" i="1" s="1"/>
  <c r="P185" i="1"/>
  <c r="X183" i="1"/>
  <c r="X182" i="1"/>
  <c r="BO181" i="1"/>
  <c r="BM181" i="1"/>
  <c r="Y181" i="1"/>
  <c r="BP181" i="1" s="1"/>
  <c r="P181" i="1"/>
  <c r="BO180" i="1"/>
  <c r="BM180" i="1"/>
  <c r="Y180" i="1"/>
  <c r="Z180" i="1" s="1"/>
  <c r="P180" i="1"/>
  <c r="BO179" i="1"/>
  <c r="BM179" i="1"/>
  <c r="Y179" i="1"/>
  <c r="Z179" i="1" s="1"/>
  <c r="P179" i="1"/>
  <c r="X177" i="1"/>
  <c r="X176" i="1"/>
  <c r="BO175" i="1"/>
  <c r="BM175" i="1"/>
  <c r="Y175" i="1"/>
  <c r="Z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Z172" i="1" s="1"/>
  <c r="P172" i="1"/>
  <c r="BO171" i="1"/>
  <c r="BM171" i="1"/>
  <c r="Y171" i="1"/>
  <c r="BP171" i="1" s="1"/>
  <c r="P171" i="1"/>
  <c r="BO170" i="1"/>
  <c r="BM170" i="1"/>
  <c r="Y170" i="1"/>
  <c r="Z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BP166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Z158" i="1" s="1"/>
  <c r="P158" i="1"/>
  <c r="BO157" i="1"/>
  <c r="BM157" i="1"/>
  <c r="Y157" i="1"/>
  <c r="BP157" i="1" s="1"/>
  <c r="P157" i="1"/>
  <c r="X154" i="1"/>
  <c r="X153" i="1"/>
  <c r="BO152" i="1"/>
  <c r="BM152" i="1"/>
  <c r="Z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Z150" i="1" s="1"/>
  <c r="P150" i="1"/>
  <c r="BO149" i="1"/>
  <c r="BM149" i="1"/>
  <c r="Y149" i="1"/>
  <c r="Y154" i="1" s="1"/>
  <c r="P149" i="1"/>
  <c r="X146" i="1"/>
  <c r="X145" i="1"/>
  <c r="BP144" i="1"/>
  <c r="BO144" i="1"/>
  <c r="BM144" i="1"/>
  <c r="Y144" i="1"/>
  <c r="BN144" i="1" s="1"/>
  <c r="P144" i="1"/>
  <c r="BO143" i="1"/>
  <c r="BM143" i="1"/>
  <c r="Y143" i="1"/>
  <c r="Z143" i="1" s="1"/>
  <c r="P143" i="1"/>
  <c r="X141" i="1"/>
  <c r="X140" i="1"/>
  <c r="BO139" i="1"/>
  <c r="BM139" i="1"/>
  <c r="Y139" i="1"/>
  <c r="BP139" i="1" s="1"/>
  <c r="P139" i="1"/>
  <c r="BP138" i="1"/>
  <c r="BO138" i="1"/>
  <c r="BM138" i="1"/>
  <c r="Y138" i="1"/>
  <c r="Y141" i="1" s="1"/>
  <c r="P138" i="1"/>
  <c r="X136" i="1"/>
  <c r="X135" i="1"/>
  <c r="BP134" i="1"/>
  <c r="BO134" i="1"/>
  <c r="BM134" i="1"/>
  <c r="Y134" i="1"/>
  <c r="Z134" i="1" s="1"/>
  <c r="P134" i="1"/>
  <c r="BO133" i="1"/>
  <c r="BM133" i="1"/>
  <c r="Y133" i="1"/>
  <c r="BN133" i="1" s="1"/>
  <c r="P133" i="1"/>
  <c r="X130" i="1"/>
  <c r="X129" i="1"/>
  <c r="BO128" i="1"/>
  <c r="BM128" i="1"/>
  <c r="Y128" i="1"/>
  <c r="BN128" i="1" s="1"/>
  <c r="P128" i="1"/>
  <c r="X126" i="1"/>
  <c r="X125" i="1"/>
  <c r="BO124" i="1"/>
  <c r="BM124" i="1"/>
  <c r="Y124" i="1"/>
  <c r="BN124" i="1" s="1"/>
  <c r="P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M116" i="1"/>
  <c r="Z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Z113" i="1"/>
  <c r="Y113" i="1"/>
  <c r="BP113" i="1" s="1"/>
  <c r="P113" i="1"/>
  <c r="BP112" i="1"/>
  <c r="BO112" i="1"/>
  <c r="BM112" i="1"/>
  <c r="Y112" i="1"/>
  <c r="Z112" i="1" s="1"/>
  <c r="P112" i="1"/>
  <c r="X110" i="1"/>
  <c r="X109" i="1"/>
  <c r="BO108" i="1"/>
  <c r="BM108" i="1"/>
  <c r="Y108" i="1"/>
  <c r="Z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Z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P102" i="1"/>
  <c r="X99" i="1"/>
  <c r="X98" i="1"/>
  <c r="BP97" i="1"/>
  <c r="BO97" i="1"/>
  <c r="BM97" i="1"/>
  <c r="Y97" i="1"/>
  <c r="Z97" i="1" s="1"/>
  <c r="P97" i="1"/>
  <c r="BO96" i="1"/>
  <c r="BM96" i="1"/>
  <c r="Y96" i="1"/>
  <c r="P96" i="1"/>
  <c r="BP95" i="1"/>
  <c r="BO95" i="1"/>
  <c r="BM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P90" i="1"/>
  <c r="BO89" i="1"/>
  <c r="BM89" i="1"/>
  <c r="Y89" i="1"/>
  <c r="BP89" i="1" s="1"/>
  <c r="P89" i="1"/>
  <c r="BP88" i="1"/>
  <c r="BO88" i="1"/>
  <c r="BM88" i="1"/>
  <c r="Z88" i="1"/>
  <c r="Y88" i="1"/>
  <c r="BN88" i="1" s="1"/>
  <c r="P88" i="1"/>
  <c r="BO87" i="1"/>
  <c r="BM87" i="1"/>
  <c r="Y87" i="1"/>
  <c r="BP87" i="1" s="1"/>
  <c r="P87" i="1"/>
  <c r="X84" i="1"/>
  <c r="X83" i="1"/>
  <c r="BO82" i="1"/>
  <c r="BM82" i="1"/>
  <c r="Y82" i="1"/>
  <c r="Z82" i="1" s="1"/>
  <c r="P82" i="1"/>
  <c r="BO81" i="1"/>
  <c r="BM81" i="1"/>
  <c r="Y81" i="1"/>
  <c r="BP81" i="1" s="1"/>
  <c r="P81" i="1"/>
  <c r="X79" i="1"/>
  <c r="X78" i="1"/>
  <c r="BO77" i="1"/>
  <c r="BM77" i="1"/>
  <c r="Y77" i="1"/>
  <c r="BP77" i="1" s="1"/>
  <c r="P77" i="1"/>
  <c r="BO76" i="1"/>
  <c r="BM76" i="1"/>
  <c r="Y76" i="1"/>
  <c r="Z76" i="1" s="1"/>
  <c r="P76" i="1"/>
  <c r="X74" i="1"/>
  <c r="X73" i="1"/>
  <c r="BO72" i="1"/>
  <c r="BM72" i="1"/>
  <c r="Y72" i="1"/>
  <c r="Z72" i="1" s="1"/>
  <c r="P72" i="1"/>
  <c r="BO71" i="1"/>
  <c r="BM71" i="1"/>
  <c r="Y71" i="1"/>
  <c r="Z71" i="1" s="1"/>
  <c r="P71" i="1"/>
  <c r="BO70" i="1"/>
  <c r="BM70" i="1"/>
  <c r="Y70" i="1"/>
  <c r="BN70" i="1" s="1"/>
  <c r="P70" i="1"/>
  <c r="BP69" i="1"/>
  <c r="BO69" i="1"/>
  <c r="BN69" i="1"/>
  <c r="BM69" i="1"/>
  <c r="Z69" i="1"/>
  <c r="Y69" i="1"/>
  <c r="P69" i="1"/>
  <c r="X67" i="1"/>
  <c r="X66" i="1"/>
  <c r="BO65" i="1"/>
  <c r="BM65" i="1"/>
  <c r="Y65" i="1"/>
  <c r="BP65" i="1" s="1"/>
  <c r="P65" i="1"/>
  <c r="BO64" i="1"/>
  <c r="BM64" i="1"/>
  <c r="Y64" i="1"/>
  <c r="Z64" i="1" s="1"/>
  <c r="P64" i="1"/>
  <c r="BO63" i="1"/>
  <c r="BM63" i="1"/>
  <c r="Y63" i="1"/>
  <c r="P63" i="1"/>
  <c r="BO62" i="1"/>
  <c r="BM62" i="1"/>
  <c r="Z62" i="1"/>
  <c r="Y62" i="1"/>
  <c r="BN62" i="1" s="1"/>
  <c r="P62" i="1"/>
  <c r="BO61" i="1"/>
  <c r="BM61" i="1"/>
  <c r="Y61" i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Z53" i="1" s="1"/>
  <c r="P53" i="1"/>
  <c r="BP52" i="1"/>
  <c r="BO52" i="1"/>
  <c r="BM52" i="1"/>
  <c r="Z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Z45" i="1" s="1"/>
  <c r="P45" i="1"/>
  <c r="BO44" i="1"/>
  <c r="BM44" i="1"/>
  <c r="Y44" i="1"/>
  <c r="Z44" i="1" s="1"/>
  <c r="P44" i="1"/>
  <c r="BO43" i="1"/>
  <c r="BM43" i="1"/>
  <c r="Y43" i="1"/>
  <c r="BN43" i="1" s="1"/>
  <c r="P43" i="1"/>
  <c r="BO42" i="1"/>
  <c r="BM42" i="1"/>
  <c r="Z42" i="1"/>
  <c r="Y42" i="1"/>
  <c r="BN42" i="1" s="1"/>
  <c r="P42" i="1"/>
  <c r="X38" i="1"/>
  <c r="X37" i="1"/>
  <c r="BO36" i="1"/>
  <c r="BM36" i="1"/>
  <c r="Y36" i="1"/>
  <c r="BN36" i="1" s="1"/>
  <c r="P36" i="1"/>
  <c r="X34" i="1"/>
  <c r="X33" i="1"/>
  <c r="BP32" i="1"/>
  <c r="BO32" i="1"/>
  <c r="BM32" i="1"/>
  <c r="Y32" i="1"/>
  <c r="Z32" i="1" s="1"/>
  <c r="P32" i="1"/>
  <c r="BO31" i="1"/>
  <c r="BM31" i="1"/>
  <c r="Y31" i="1"/>
  <c r="Z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Z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Z22" i="1" s="1"/>
  <c r="P22" i="1"/>
  <c r="H10" i="1"/>
  <c r="A9" i="1"/>
  <c r="D7" i="1"/>
  <c r="Q6" i="1"/>
  <c r="P2" i="1"/>
  <c r="BP42" i="1" l="1"/>
  <c r="Z114" i="1"/>
  <c r="BP255" i="1"/>
  <c r="BP358" i="1"/>
  <c r="W536" i="1"/>
  <c r="Y459" i="1"/>
  <c r="Z149" i="1"/>
  <c r="BN386" i="1"/>
  <c r="BN71" i="1"/>
  <c r="Z166" i="1"/>
  <c r="Z246" i="1"/>
  <c r="Z248" i="1" s="1"/>
  <c r="Z287" i="1"/>
  <c r="BP386" i="1"/>
  <c r="Y505" i="1"/>
  <c r="O536" i="1"/>
  <c r="BP301" i="1"/>
  <c r="BN348" i="1"/>
  <c r="Z410" i="1"/>
  <c r="Z413" i="1" s="1"/>
  <c r="Z81" i="1"/>
  <c r="Z83" i="1" s="1"/>
  <c r="Z157" i="1"/>
  <c r="BN171" i="1"/>
  <c r="Z215" i="1"/>
  <c r="BN246" i="1"/>
  <c r="Y294" i="1"/>
  <c r="Y305" i="1"/>
  <c r="Y315" i="1"/>
  <c r="Z417" i="1"/>
  <c r="Z36" i="1"/>
  <c r="Z37" i="1" s="1"/>
  <c r="Y66" i="1"/>
  <c r="BN81" i="1"/>
  <c r="BP175" i="1"/>
  <c r="U536" i="1"/>
  <c r="BP36" i="1"/>
  <c r="BP150" i="1"/>
  <c r="Y233" i="1"/>
  <c r="BN302" i="1"/>
  <c r="Z391" i="1"/>
  <c r="Z394" i="1" s="1"/>
  <c r="Z437" i="1"/>
  <c r="BN22" i="1"/>
  <c r="Y126" i="1"/>
  <c r="Z243" i="1"/>
  <c r="BN288" i="1"/>
  <c r="BN349" i="1"/>
  <c r="Y388" i="1"/>
  <c r="BP417" i="1"/>
  <c r="BN490" i="1"/>
  <c r="BN60" i="1"/>
  <c r="Y37" i="1"/>
  <c r="BN112" i="1"/>
  <c r="BN172" i="1"/>
  <c r="BP185" i="1"/>
  <c r="Z297" i="1"/>
  <c r="Z298" i="1" s="1"/>
  <c r="Z384" i="1"/>
  <c r="BN391" i="1"/>
  <c r="BN446" i="1"/>
  <c r="Z463" i="1"/>
  <c r="Z472" i="1"/>
  <c r="BP288" i="1"/>
  <c r="BP490" i="1"/>
  <c r="Z400" i="1"/>
  <c r="Y438" i="1"/>
  <c r="Y38" i="1"/>
  <c r="Z144" i="1"/>
  <c r="BN431" i="1"/>
  <c r="BN477" i="1"/>
  <c r="BN31" i="1"/>
  <c r="Z312" i="1"/>
  <c r="Z458" i="1"/>
  <c r="Z459" i="1" s="1"/>
  <c r="Y110" i="1"/>
  <c r="Z232" i="1"/>
  <c r="Z255" i="1"/>
  <c r="Z328" i="1"/>
  <c r="Z372" i="1"/>
  <c r="Z379" i="1"/>
  <c r="BP385" i="1"/>
  <c r="BP412" i="1"/>
  <c r="Z59" i="1"/>
  <c r="Z77" i="1"/>
  <c r="Z78" i="1" s="1"/>
  <c r="BP180" i="1"/>
  <c r="Y228" i="1"/>
  <c r="Z286" i="1"/>
  <c r="BP304" i="1"/>
  <c r="BN358" i="1"/>
  <c r="Z492" i="1"/>
  <c r="X528" i="1"/>
  <c r="BN32" i="1"/>
  <c r="BP53" i="1"/>
  <c r="BP64" i="1"/>
  <c r="Z70" i="1"/>
  <c r="Z73" i="1" s="1"/>
  <c r="Z103" i="1"/>
  <c r="Y159" i="1"/>
  <c r="Z167" i="1"/>
  <c r="BN180" i="1"/>
  <c r="BP221" i="1"/>
  <c r="BP268" i="1"/>
  <c r="BP309" i="1"/>
  <c r="Z355" i="1"/>
  <c r="BP405" i="1"/>
  <c r="BP426" i="1"/>
  <c r="BP473" i="1"/>
  <c r="BN211" i="1"/>
  <c r="BN103" i="1"/>
  <c r="Z107" i="1"/>
  <c r="Z123" i="1"/>
  <c r="Z186" i="1"/>
  <c r="Z187" i="1" s="1"/>
  <c r="Z334" i="1"/>
  <c r="Y419" i="1"/>
  <c r="Y429" i="1"/>
  <c r="Z453" i="1"/>
  <c r="Z454" i="1" s="1"/>
  <c r="Z494" i="1"/>
  <c r="BN82" i="1"/>
  <c r="Z89" i="1"/>
  <c r="Z139" i="1"/>
  <c r="Z23" i="1"/>
  <c r="Z24" i="1" s="1"/>
  <c r="Y47" i="1"/>
  <c r="Z54" i="1"/>
  <c r="Z65" i="1"/>
  <c r="BP82" i="1"/>
  <c r="BP167" i="1"/>
  <c r="BP211" i="1"/>
  <c r="Z218" i="1"/>
  <c r="Z266" i="1"/>
  <c r="Z269" i="1"/>
  <c r="Z283" i="1"/>
  <c r="Z303" i="1"/>
  <c r="Z325" i="1"/>
  <c r="Z365" i="1"/>
  <c r="Z406" i="1"/>
  <c r="Z427" i="1"/>
  <c r="Z435" i="1"/>
  <c r="Z443" i="1"/>
  <c r="Z471" i="1"/>
  <c r="Z474" i="1"/>
  <c r="BN29" i="1"/>
  <c r="BN89" i="1"/>
  <c r="BN107" i="1"/>
  <c r="BN123" i="1"/>
  <c r="Y321" i="1"/>
  <c r="Z29" i="1"/>
  <c r="BN54" i="1"/>
  <c r="BN65" i="1"/>
  <c r="BN175" i="1"/>
  <c r="Z181" i="1"/>
  <c r="Z182" i="1" s="1"/>
  <c r="Z225" i="1"/>
  <c r="BN266" i="1"/>
  <c r="BN269" i="1"/>
  <c r="BN283" i="1"/>
  <c r="Z356" i="1"/>
  <c r="Z359" i="1"/>
  <c r="BN378" i="1"/>
  <c r="Z403" i="1"/>
  <c r="Z421" i="1"/>
  <c r="Z422" i="1" s="1"/>
  <c r="BN427" i="1"/>
  <c r="BN435" i="1"/>
  <c r="BN471" i="1"/>
  <c r="BN478" i="1"/>
  <c r="Y485" i="1"/>
  <c r="Z491" i="1"/>
  <c r="BN23" i="1"/>
  <c r="Z43" i="1"/>
  <c r="Z46" i="1" s="1"/>
  <c r="BN77" i="1"/>
  <c r="Y84" i="1"/>
  <c r="BN113" i="1"/>
  <c r="Y118" i="1"/>
  <c r="BP123" i="1"/>
  <c r="BN149" i="1"/>
  <c r="BN152" i="1"/>
  <c r="Z212" i="1"/>
  <c r="BN215" i="1"/>
  <c r="BP218" i="1"/>
  <c r="BN231" i="1"/>
  <c r="BN318" i="1"/>
  <c r="BP365" i="1"/>
  <c r="BN372" i="1"/>
  <c r="BN384" i="1"/>
  <c r="BN447" i="1"/>
  <c r="Y454" i="1"/>
  <c r="Y495" i="1"/>
  <c r="BN181" i="1"/>
  <c r="BN225" i="1"/>
  <c r="BP283" i="1"/>
  <c r="BN356" i="1"/>
  <c r="BN359" i="1"/>
  <c r="BP378" i="1"/>
  <c r="BN403" i="1"/>
  <c r="BN421" i="1"/>
  <c r="BN491" i="1"/>
  <c r="BP149" i="1"/>
  <c r="Z162" i="1"/>
  <c r="Z163" i="1" s="1"/>
  <c r="BP231" i="1"/>
  <c r="Z253" i="1"/>
  <c r="BN263" i="1"/>
  <c r="BN287" i="1"/>
  <c r="Z293" i="1"/>
  <c r="Z294" i="1" s="1"/>
  <c r="Z304" i="1"/>
  <c r="Z326" i="1"/>
  <c r="Z330" i="1" s="1"/>
  <c r="Z329" i="1"/>
  <c r="BP372" i="1"/>
  <c r="BP384" i="1"/>
  <c r="Y418" i="1"/>
  <c r="Y428" i="1"/>
  <c r="BN230" i="1"/>
  <c r="Y24" i="1"/>
  <c r="BP71" i="1"/>
  <c r="BN97" i="1"/>
  <c r="BN134" i="1"/>
  <c r="Y146" i="1"/>
  <c r="BP172" i="1"/>
  <c r="Z190" i="1"/>
  <c r="Z191" i="1" s="1"/>
  <c r="BP225" i="1"/>
  <c r="BP247" i="1"/>
  <c r="Z270" i="1"/>
  <c r="Y291" i="1"/>
  <c r="Z339" i="1"/>
  <c r="BP350" i="1"/>
  <c r="BP421" i="1"/>
  <c r="Z436" i="1"/>
  <c r="Z488" i="1"/>
  <c r="Z495" i="1" s="1"/>
  <c r="BP62" i="1"/>
  <c r="Y67" i="1"/>
  <c r="BN87" i="1"/>
  <c r="BN108" i="1"/>
  <c r="Y153" i="1"/>
  <c r="BN209" i="1"/>
  <c r="BN253" i="1"/>
  <c r="BN293" i="1"/>
  <c r="BN326" i="1"/>
  <c r="BN329" i="1"/>
  <c r="BP391" i="1"/>
  <c r="BN416" i="1"/>
  <c r="BN464" i="1"/>
  <c r="Y480" i="1"/>
  <c r="Y182" i="1"/>
  <c r="Z27" i="1"/>
  <c r="Y83" i="1"/>
  <c r="BP108" i="1"/>
  <c r="BN114" i="1"/>
  <c r="BN150" i="1"/>
  <c r="Z173" i="1"/>
  <c r="BP209" i="1"/>
  <c r="Y249" i="1"/>
  <c r="BP293" i="1"/>
  <c r="BN373" i="1"/>
  <c r="BN385" i="1"/>
  <c r="BP416" i="1"/>
  <c r="BP464" i="1"/>
  <c r="BN472" i="1"/>
  <c r="BN482" i="1"/>
  <c r="BN44" i="1"/>
  <c r="BN105" i="1"/>
  <c r="BN179" i="1"/>
  <c r="BN226" i="1"/>
  <c r="BN264" i="1"/>
  <c r="Y361" i="1"/>
  <c r="BN357" i="1"/>
  <c r="BN404" i="1"/>
  <c r="BN492" i="1"/>
  <c r="Z159" i="1"/>
  <c r="BP44" i="1"/>
  <c r="BP179" i="1"/>
  <c r="BP264" i="1"/>
  <c r="Y336" i="1"/>
  <c r="BP357" i="1"/>
  <c r="BN27" i="1"/>
  <c r="BP105" i="1"/>
  <c r="Y140" i="1"/>
  <c r="Z115" i="1"/>
  <c r="BN157" i="1"/>
  <c r="BN170" i="1"/>
  <c r="BN210" i="1"/>
  <c r="BN251" i="1"/>
  <c r="Z268" i="1"/>
  <c r="BN278" i="1"/>
  <c r="BN285" i="1"/>
  <c r="Y306" i="1"/>
  <c r="Z320" i="1"/>
  <c r="BN327" i="1"/>
  <c r="Z333" i="1"/>
  <c r="Z426" i="1"/>
  <c r="Z473" i="1"/>
  <c r="BN138" i="1"/>
  <c r="BP271" i="1"/>
  <c r="Z302" i="1"/>
  <c r="BP340" i="1"/>
  <c r="BP354" i="1"/>
  <c r="BP437" i="1"/>
  <c r="BN483" i="1"/>
  <c r="Z493" i="1"/>
  <c r="Z60" i="1"/>
  <c r="C536" i="1"/>
  <c r="BN53" i="1"/>
  <c r="BN64" i="1"/>
  <c r="Z95" i="1"/>
  <c r="BP170" i="1"/>
  <c r="Z217" i="1"/>
  <c r="BN221" i="1"/>
  <c r="Z236" i="1"/>
  <c r="Z237" i="1" s="1"/>
  <c r="Y248" i="1"/>
  <c r="BP251" i="1"/>
  <c r="Z265" i="1"/>
  <c r="BP278" i="1"/>
  <c r="BP285" i="1"/>
  <c r="BP327" i="1"/>
  <c r="BN333" i="1"/>
  <c r="Y382" i="1"/>
  <c r="Y394" i="1"/>
  <c r="BN405" i="1"/>
  <c r="BP411" i="1"/>
  <c r="BN426" i="1"/>
  <c r="Y432" i="1"/>
  <c r="BN452" i="1"/>
  <c r="Z504" i="1"/>
  <c r="Z505" i="1" s="1"/>
  <c r="Q536" i="1"/>
  <c r="Y136" i="1"/>
  <c r="BP133" i="1"/>
  <c r="H536" i="1"/>
  <c r="Y135" i="1"/>
  <c r="Z133" i="1"/>
  <c r="Z135" i="1" s="1"/>
  <c r="Y369" i="1"/>
  <c r="BP401" i="1"/>
  <c r="BN401" i="1"/>
  <c r="Z401" i="1"/>
  <c r="Z536" i="1"/>
  <c r="BP90" i="1"/>
  <c r="BN90" i="1"/>
  <c r="BP31" i="1"/>
  <c r="Y34" i="1"/>
  <c r="Y73" i="1"/>
  <c r="BP70" i="1"/>
  <c r="BP72" i="1"/>
  <c r="BN72" i="1"/>
  <c r="Z90" i="1"/>
  <c r="J536" i="1"/>
  <c r="BN169" i="1"/>
  <c r="Z169" i="1"/>
  <c r="Y206" i="1"/>
  <c r="L536" i="1"/>
  <c r="Y205" i="1"/>
  <c r="BN204" i="1"/>
  <c r="Z204" i="1"/>
  <c r="Z205" i="1" s="1"/>
  <c r="BP219" i="1"/>
  <c r="BN219" i="1"/>
  <c r="Z219" i="1"/>
  <c r="M536" i="1"/>
  <c r="BP256" i="1"/>
  <c r="BN256" i="1"/>
  <c r="Z256" i="1"/>
  <c r="Y259" i="1"/>
  <c r="Y407" i="1"/>
  <c r="Y201" i="1"/>
  <c r="BN311" i="1"/>
  <c r="Z311" i="1"/>
  <c r="BP341" i="1"/>
  <c r="BN341" i="1"/>
  <c r="Z341" i="1"/>
  <c r="Z342" i="1" s="1"/>
  <c r="BN367" i="1"/>
  <c r="Z367" i="1"/>
  <c r="BN402" i="1"/>
  <c r="Z402" i="1"/>
  <c r="AB536" i="1"/>
  <c r="Y525" i="1"/>
  <c r="Y524" i="1"/>
  <c r="BP523" i="1"/>
  <c r="BN523" i="1"/>
  <c r="Z523" i="1"/>
  <c r="Z524" i="1" s="1"/>
  <c r="BN220" i="1"/>
  <c r="Z220" i="1"/>
  <c r="BP96" i="1"/>
  <c r="BN96" i="1"/>
  <c r="Z96" i="1"/>
  <c r="G536" i="1"/>
  <c r="Y109" i="1"/>
  <c r="Z102" i="1"/>
  <c r="BP106" i="1"/>
  <c r="BN106" i="1"/>
  <c r="Z145" i="1"/>
  <c r="BN199" i="1"/>
  <c r="Z199" i="1"/>
  <c r="BP272" i="1"/>
  <c r="BN272" i="1"/>
  <c r="Z272" i="1"/>
  <c r="BP311" i="1"/>
  <c r="BP367" i="1"/>
  <c r="BN445" i="1"/>
  <c r="Z445" i="1"/>
  <c r="F10" i="1"/>
  <c r="A10" i="1"/>
  <c r="J9" i="1"/>
  <c r="H9" i="1"/>
  <c r="F9" i="1"/>
  <c r="BP509" i="1"/>
  <c r="BN509" i="1"/>
  <c r="Z509" i="1"/>
  <c r="Z510" i="1" s="1"/>
  <c r="Y223" i="1"/>
  <c r="P536" i="1"/>
  <c r="X530" i="1"/>
  <c r="B536" i="1"/>
  <c r="Y56" i="1"/>
  <c r="BP51" i="1"/>
  <c r="Y55" i="1"/>
  <c r="BN51" i="1"/>
  <c r="Z106" i="1"/>
  <c r="Y275" i="1"/>
  <c r="Y342" i="1"/>
  <c r="BP402" i="1"/>
  <c r="Z465" i="1"/>
  <c r="BP475" i="1"/>
  <c r="Y479" i="1"/>
  <c r="BN475" i="1"/>
  <c r="Z475" i="1"/>
  <c r="AA536" i="1"/>
  <c r="BP198" i="1"/>
  <c r="BN198" i="1"/>
  <c r="Z198" i="1"/>
  <c r="BP444" i="1"/>
  <c r="BN444" i="1"/>
  <c r="Z444" i="1"/>
  <c r="Y449" i="1"/>
  <c r="Y129" i="1"/>
  <c r="BP128" i="1"/>
  <c r="Z128" i="1"/>
  <c r="Z129" i="1" s="1"/>
  <c r="BP30" i="1"/>
  <c r="BN30" i="1"/>
  <c r="Z30" i="1"/>
  <c r="Y91" i="1"/>
  <c r="Y260" i="1"/>
  <c r="BN277" i="1"/>
  <c r="Y279" i="1"/>
  <c r="Z277" i="1"/>
  <c r="Z279" i="1" s="1"/>
  <c r="Y280" i="1"/>
  <c r="Y99" i="1"/>
  <c r="BP94" i="1"/>
  <c r="Y98" i="1"/>
  <c r="BN94" i="1"/>
  <c r="BP104" i="1"/>
  <c r="Z104" i="1"/>
  <c r="Z51" i="1"/>
  <c r="Z55" i="1" s="1"/>
  <c r="BP63" i="1"/>
  <c r="BN63" i="1"/>
  <c r="Z63" i="1"/>
  <c r="Y74" i="1"/>
  <c r="Z94" i="1"/>
  <c r="BN102" i="1"/>
  <c r="BN122" i="1"/>
  <c r="Z122" i="1"/>
  <c r="BP124" i="1"/>
  <c r="Z124" i="1"/>
  <c r="Z153" i="1"/>
  <c r="BN208" i="1"/>
  <c r="Y222" i="1"/>
  <c r="Z208" i="1"/>
  <c r="BP220" i="1"/>
  <c r="BP277" i="1"/>
  <c r="Z387" i="1"/>
  <c r="X536" i="1"/>
  <c r="Y510" i="1"/>
  <c r="BN347" i="1"/>
  <c r="Z347" i="1"/>
  <c r="X527" i="1"/>
  <c r="X529" i="1" s="1"/>
  <c r="BP199" i="1"/>
  <c r="BP121" i="1"/>
  <c r="Y125" i="1"/>
  <c r="BN121" i="1"/>
  <c r="Z121" i="1"/>
  <c r="BP28" i="1"/>
  <c r="BN28" i="1"/>
  <c r="BN257" i="1"/>
  <c r="Z257" i="1"/>
  <c r="Z259" i="1" s="1"/>
  <c r="X526" i="1"/>
  <c r="BP61" i="1"/>
  <c r="BN61" i="1"/>
  <c r="BP117" i="1"/>
  <c r="BN117" i="1"/>
  <c r="Z117" i="1"/>
  <c r="BP168" i="1"/>
  <c r="BN168" i="1"/>
  <c r="Z168" i="1"/>
  <c r="Y177" i="1"/>
  <c r="Y33" i="1"/>
  <c r="Y46" i="1"/>
  <c r="BP43" i="1"/>
  <c r="BP45" i="1"/>
  <c r="BN45" i="1"/>
  <c r="Z61" i="1"/>
  <c r="Y79" i="1"/>
  <c r="BP76" i="1"/>
  <c r="BN76" i="1"/>
  <c r="Y78" i="1"/>
  <c r="BP102" i="1"/>
  <c r="Y130" i="1"/>
  <c r="BN273" i="1"/>
  <c r="Z273" i="1"/>
  <c r="BP346" i="1"/>
  <c r="BN346" i="1"/>
  <c r="Y352" i="1"/>
  <c r="Z346" i="1"/>
  <c r="Y351" i="1"/>
  <c r="T536" i="1"/>
  <c r="Y374" i="1"/>
  <c r="BN371" i="1"/>
  <c r="Z371" i="1"/>
  <c r="BP518" i="1"/>
  <c r="BN518" i="1"/>
  <c r="Z518" i="1"/>
  <c r="D536" i="1"/>
  <c r="BP310" i="1"/>
  <c r="Y314" i="1"/>
  <c r="BN310" i="1"/>
  <c r="Z310" i="1"/>
  <c r="Z314" i="1" s="1"/>
  <c r="BP366" i="1"/>
  <c r="BN366" i="1"/>
  <c r="Z366" i="1"/>
  <c r="Z368" i="1" s="1"/>
  <c r="BN476" i="1"/>
  <c r="Z476" i="1"/>
  <c r="Y511" i="1"/>
  <c r="Y92" i="1"/>
  <c r="Y160" i="1"/>
  <c r="Y164" i="1"/>
  <c r="Y176" i="1"/>
  <c r="Y188" i="1"/>
  <c r="Y192" i="1"/>
  <c r="BP302" i="1"/>
  <c r="BN309" i="1"/>
  <c r="BP333" i="1"/>
  <c r="Y362" i="1"/>
  <c r="Y395" i="1"/>
  <c r="Y413" i="1"/>
  <c r="BP427" i="1"/>
  <c r="BP431" i="1"/>
  <c r="BP435" i="1"/>
  <c r="BN443" i="1"/>
  <c r="Y465" i="1"/>
  <c r="BN474" i="1"/>
  <c r="BN494" i="1"/>
  <c r="BN500" i="1"/>
  <c r="BN504" i="1"/>
  <c r="BN508" i="1"/>
  <c r="E536" i="1"/>
  <c r="R536" i="1"/>
  <c r="Y234" i="1"/>
  <c r="Y238" i="1"/>
  <c r="Y322" i="1"/>
  <c r="Y408" i="1"/>
  <c r="BP448" i="1"/>
  <c r="BP452" i="1"/>
  <c r="Y455" i="1"/>
  <c r="Y460" i="1"/>
  <c r="BN463" i="1"/>
  <c r="BP483" i="1"/>
  <c r="Y486" i="1"/>
  <c r="BN489" i="1"/>
  <c r="F536" i="1"/>
  <c r="S536" i="1"/>
  <c r="Y119" i="1"/>
  <c r="Z171" i="1"/>
  <c r="Z210" i="1"/>
  <c r="Z226" i="1"/>
  <c r="Z227" i="1" s="1"/>
  <c r="Z230" i="1"/>
  <c r="Z233" i="1" s="1"/>
  <c r="Z263" i="1"/>
  <c r="Z284" i="1"/>
  <c r="Z290" i="1" s="1"/>
  <c r="Z313" i="1"/>
  <c r="Z318" i="1"/>
  <c r="Y330" i="1"/>
  <c r="Y343" i="1"/>
  <c r="Z349" i="1"/>
  <c r="Z373" i="1"/>
  <c r="Z377" i="1"/>
  <c r="Z381" i="1" s="1"/>
  <c r="Z404" i="1"/>
  <c r="Z447" i="1"/>
  <c r="Z478" i="1"/>
  <c r="Z482" i="1"/>
  <c r="Z485" i="1" s="1"/>
  <c r="BP500" i="1"/>
  <c r="BP504" i="1"/>
  <c r="BP508" i="1"/>
  <c r="Y515" i="1"/>
  <c r="Y414" i="1"/>
  <c r="Y466" i="1"/>
  <c r="I536" i="1"/>
  <c r="V536" i="1"/>
  <c r="BP22" i="1"/>
  <c r="Y25" i="1"/>
  <c r="BN115" i="1"/>
  <c r="Y145" i="1"/>
  <c r="BN158" i="1"/>
  <c r="BN162" i="1"/>
  <c r="BN166" i="1"/>
  <c r="Y183" i="1"/>
  <c r="BN186" i="1"/>
  <c r="BN190" i="1"/>
  <c r="BN196" i="1"/>
  <c r="BN217" i="1"/>
  <c r="Y243" i="1"/>
  <c r="BN254" i="1"/>
  <c r="BN270" i="1"/>
  <c r="BN303" i="1"/>
  <c r="Y331" i="1"/>
  <c r="BN334" i="1"/>
  <c r="BN339" i="1"/>
  <c r="BN360" i="1"/>
  <c r="BN364" i="1"/>
  <c r="Y381" i="1"/>
  <c r="BN393" i="1"/>
  <c r="BN399" i="1"/>
  <c r="BN436" i="1"/>
  <c r="BN493" i="1"/>
  <c r="Z513" i="1"/>
  <c r="Z514" i="1" s="1"/>
  <c r="Z517" i="1"/>
  <c r="Z87" i="1"/>
  <c r="BN139" i="1"/>
  <c r="BN143" i="1"/>
  <c r="BN173" i="1"/>
  <c r="Y200" i="1"/>
  <c r="BN212" i="1"/>
  <c r="BP226" i="1"/>
  <c r="BP230" i="1"/>
  <c r="BN232" i="1"/>
  <c r="BN236" i="1"/>
  <c r="BN241" i="1"/>
  <c r="BN265" i="1"/>
  <c r="Y274" i="1"/>
  <c r="BP284" i="1"/>
  <c r="BN286" i="1"/>
  <c r="BP318" i="1"/>
  <c r="BN320" i="1"/>
  <c r="BN325" i="1"/>
  <c r="BN355" i="1"/>
  <c r="Y368" i="1"/>
  <c r="BP377" i="1"/>
  <c r="BN379" i="1"/>
  <c r="BN406" i="1"/>
  <c r="BN410" i="1"/>
  <c r="Z416" i="1"/>
  <c r="Z418" i="1" s="1"/>
  <c r="Y450" i="1"/>
  <c r="BN453" i="1"/>
  <c r="BN458" i="1"/>
  <c r="BN462" i="1"/>
  <c r="Z470" i="1"/>
  <c r="BN484" i="1"/>
  <c r="BN488" i="1"/>
  <c r="Y519" i="1"/>
  <c r="K536" i="1"/>
  <c r="BP158" i="1"/>
  <c r="BP162" i="1"/>
  <c r="BP186" i="1"/>
  <c r="BP190" i="1"/>
  <c r="BP196" i="1"/>
  <c r="Z262" i="1"/>
  <c r="Y290" i="1"/>
  <c r="BP334" i="1"/>
  <c r="BP364" i="1"/>
  <c r="Y387" i="1"/>
  <c r="BP393" i="1"/>
  <c r="BP399" i="1"/>
  <c r="Y496" i="1"/>
  <c r="Y502" i="1"/>
  <c r="BN513" i="1"/>
  <c r="BN517" i="1"/>
  <c r="Y536" i="1"/>
  <c r="BP143" i="1"/>
  <c r="BP236" i="1"/>
  <c r="BP241" i="1"/>
  <c r="Y244" i="1"/>
  <c r="Z138" i="1"/>
  <c r="Z140" i="1" s="1"/>
  <c r="Z354" i="1"/>
  <c r="BP517" i="1"/>
  <c r="Z519" i="1" l="1"/>
  <c r="Z33" i="1"/>
  <c r="Z321" i="1"/>
  <c r="Z305" i="1"/>
  <c r="Z361" i="1"/>
  <c r="Z66" i="1"/>
  <c r="Z118" i="1"/>
  <c r="Z200" i="1"/>
  <c r="Z222" i="1"/>
  <c r="Z109" i="1"/>
  <c r="Z125" i="1"/>
  <c r="Z98" i="1"/>
  <c r="Z274" i="1"/>
  <c r="Z438" i="1"/>
  <c r="Y527" i="1"/>
  <c r="Y530" i="1"/>
  <c r="Z176" i="1"/>
  <c r="Z351" i="1"/>
  <c r="Z335" i="1"/>
  <c r="Z428" i="1"/>
  <c r="Z407" i="1"/>
  <c r="Z374" i="1"/>
  <c r="Z91" i="1"/>
  <c r="Y526" i="1"/>
  <c r="Z449" i="1"/>
  <c r="Y528" i="1"/>
  <c r="Z479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<sst xmlns="http://schemas.openxmlformats.org/spreadsheetml/2006/main" count="2355" uniqueCount="857">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</sst>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854" t="s">
        <v>0</v>
      </c>
      <c r="E1" s="628"/>
      <c r="F1" s="628"/>
      <c r="G1" s="13" t="s">
        <v>1</v>
      </c>
      <c r="H1" s="85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918" t="s">
        <v>3</v>
      </c>
      <c r="S1" s="628"/>
      <c r="T1" s="62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6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96"/>
      <c r="Q3" s="596"/>
      <c r="R3" s="596"/>
      <c r="S3" s="596"/>
      <c r="T3" s="596"/>
      <c r="U3" s="596"/>
      <c r="V3" s="596"/>
      <c r="W3" s="596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861" t="s">
        <v>8</v>
      </c>
      <c r="B5" s="603"/>
      <c r="C5" s="604"/>
      <c r="D5" s="723"/>
      <c r="E5" s="725"/>
      <c r="F5" s="674" t="s">
        <v>9</v>
      </c>
      <c r="G5" s="604"/>
      <c r="H5" s="723" t="s">
        <v>856</v>
      </c>
      <c r="I5" s="724"/>
      <c r="J5" s="724"/>
      <c r="K5" s="724"/>
      <c r="L5" s="724"/>
      <c r="M5" s="725"/>
      <c r="N5" s="58"/>
      <c r="P5" s="24" t="s">
        <v>10</v>
      </c>
      <c r="Q5" s="649">
        <v>46207</v>
      </c>
      <c r="R5" s="650"/>
      <c r="T5" s="784" t="s">
        <v>11</v>
      </c>
      <c r="U5" s="785"/>
      <c r="V5" s="787" t="s">
        <v>12</v>
      </c>
      <c r="W5" s="650"/>
      <c r="AB5" s="52"/>
      <c r="AC5" s="52"/>
      <c r="AD5" s="52"/>
      <c r="AE5" s="52"/>
    </row>
    <row r="6" spans="1:32" s="585" customFormat="1" ht="24" customHeight="1" x14ac:dyDescent="0.2">
      <c r="A6" s="861" t="s">
        <v>13</v>
      </c>
      <c r="B6" s="603"/>
      <c r="C6" s="604"/>
      <c r="D6" s="711" t="s">
        <v>832</v>
      </c>
      <c r="E6" s="712"/>
      <c r="F6" s="712"/>
      <c r="G6" s="712"/>
      <c r="H6" s="712"/>
      <c r="I6" s="712"/>
      <c r="J6" s="712"/>
      <c r="K6" s="712"/>
      <c r="L6" s="712"/>
      <c r="M6" s="650"/>
      <c r="N6" s="59"/>
      <c r="P6" s="24" t="s">
        <v>14</v>
      </c>
      <c r="Q6" s="644" t="str">
        <f>IF(Q5=0," ",CHOOSE(WEEKDAY(Q5,2),"Понедельник","Вторник","Среда","Четверг","Пятница","Суббота","Воскресенье"))</f>
        <v>Суббота</v>
      </c>
      <c r="R6" s="600"/>
      <c r="T6" s="793" t="s">
        <v>15</v>
      </c>
      <c r="U6" s="785"/>
      <c r="V6" s="733" t="s">
        <v>16</v>
      </c>
      <c r="W6" s="734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930" t="str">
        <f>IFERROR(VLOOKUP(DeliveryAddress,Table,3,0),1)</f>
        <v>6</v>
      </c>
      <c r="E7" s="931"/>
      <c r="F7" s="931"/>
      <c r="G7" s="931"/>
      <c r="H7" s="931"/>
      <c r="I7" s="931"/>
      <c r="J7" s="931"/>
      <c r="K7" s="931"/>
      <c r="L7" s="931"/>
      <c r="M7" s="789"/>
      <c r="N7" s="60"/>
      <c r="P7" s="24"/>
      <c r="Q7" s="43"/>
      <c r="R7" s="43"/>
      <c r="T7" s="596"/>
      <c r="U7" s="785"/>
      <c r="V7" s="735"/>
      <c r="W7" s="736"/>
      <c r="AB7" s="52"/>
      <c r="AC7" s="52"/>
      <c r="AD7" s="52"/>
      <c r="AE7" s="52"/>
    </row>
    <row r="8" spans="1:32" s="585" customFormat="1" ht="25.5" customHeight="1" x14ac:dyDescent="0.2">
      <c r="A8" s="614" t="s">
        <v>17</v>
      </c>
      <c r="B8" s="615"/>
      <c r="C8" s="616"/>
      <c r="D8" s="888"/>
      <c r="E8" s="889"/>
      <c r="F8" s="889"/>
      <c r="G8" s="889"/>
      <c r="H8" s="889"/>
      <c r="I8" s="889"/>
      <c r="J8" s="889"/>
      <c r="K8" s="889"/>
      <c r="L8" s="889"/>
      <c r="M8" s="890"/>
      <c r="N8" s="61"/>
      <c r="P8" s="24" t="s">
        <v>18</v>
      </c>
      <c r="Q8" s="788">
        <v>0.45833333333333331</v>
      </c>
      <c r="R8" s="789"/>
      <c r="T8" s="596"/>
      <c r="U8" s="785"/>
      <c r="V8" s="735"/>
      <c r="W8" s="736"/>
      <c r="AB8" s="52"/>
      <c r="AC8" s="52"/>
      <c r="AD8" s="52"/>
      <c r="AE8" s="52"/>
    </row>
    <row r="9" spans="1:32" s="585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6"/>
      <c r="C9" s="596"/>
      <c r="D9" s="684"/>
      <c r="E9" s="685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6"/>
      <c r="H9" s="76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7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583"/>
      <c r="P9" s="27" t="s">
        <v>19</v>
      </c>
      <c r="Q9" s="859"/>
      <c r="R9" s="660"/>
      <c r="T9" s="596"/>
      <c r="U9" s="785"/>
      <c r="V9" s="737"/>
      <c r="W9" s="738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6"/>
      <c r="C10" s="596"/>
      <c r="D10" s="684"/>
      <c r="E10" s="685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6"/>
      <c r="H10" s="746" t="str">
        <f>IFERROR(VLOOKUP($D$10,Proxy,2,FALSE),"")</f>
        <v/>
      </c>
      <c r="I10" s="596"/>
      <c r="J10" s="596"/>
      <c r="K10" s="596"/>
      <c r="L10" s="596"/>
      <c r="M10" s="596"/>
      <c r="N10" s="584"/>
      <c r="P10" s="27" t="s">
        <v>20</v>
      </c>
      <c r="Q10" s="794"/>
      <c r="R10" s="795"/>
      <c r="U10" s="24" t="s">
        <v>21</v>
      </c>
      <c r="V10" s="908" t="s">
        <v>22</v>
      </c>
      <c r="W10" s="734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860"/>
      <c r="R11" s="650"/>
      <c r="U11" s="24" t="s">
        <v>25</v>
      </c>
      <c r="V11" s="659" t="s">
        <v>26</v>
      </c>
      <c r="W11" s="660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1" t="s">
        <v>27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4"/>
      <c r="N12" s="62"/>
      <c r="P12" s="24" t="s">
        <v>28</v>
      </c>
      <c r="Q12" s="788"/>
      <c r="R12" s="789"/>
      <c r="S12" s="25"/>
      <c r="U12" s="24"/>
      <c r="V12" s="628"/>
      <c r="W12" s="596"/>
      <c r="AB12" s="52"/>
      <c r="AC12" s="52"/>
      <c r="AD12" s="52"/>
      <c r="AE12" s="52"/>
    </row>
    <row r="13" spans="1:32" s="585" customFormat="1" ht="23.25" customHeight="1" x14ac:dyDescent="0.2">
      <c r="A13" s="771" t="s">
        <v>29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4"/>
      <c r="N13" s="62"/>
      <c r="O13" s="27"/>
      <c r="P13" s="27" t="s">
        <v>30</v>
      </c>
      <c r="Q13" s="659"/>
      <c r="R13" s="66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1" t="s">
        <v>31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4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73" t="s">
        <v>32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4"/>
      <c r="N15" s="63"/>
      <c r="P15" s="801" t="s">
        <v>33</v>
      </c>
      <c r="Q15" s="628"/>
      <c r="R15" s="628"/>
      <c r="S15" s="628"/>
      <c r="T15" s="62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23" t="s">
        <v>34</v>
      </c>
      <c r="B17" s="623" t="s">
        <v>35</v>
      </c>
      <c r="C17" s="827" t="s">
        <v>36</v>
      </c>
      <c r="D17" s="623" t="s">
        <v>37</v>
      </c>
      <c r="E17" s="624"/>
      <c r="F17" s="623" t="s">
        <v>38</v>
      </c>
      <c r="G17" s="623" t="s">
        <v>39</v>
      </c>
      <c r="H17" s="623" t="s">
        <v>40</v>
      </c>
      <c r="I17" s="623" t="s">
        <v>41</v>
      </c>
      <c r="J17" s="623" t="s">
        <v>42</v>
      </c>
      <c r="K17" s="623" t="s">
        <v>43</v>
      </c>
      <c r="L17" s="623" t="s">
        <v>44</v>
      </c>
      <c r="M17" s="623" t="s">
        <v>45</v>
      </c>
      <c r="N17" s="623" t="s">
        <v>46</v>
      </c>
      <c r="O17" s="623" t="s">
        <v>47</v>
      </c>
      <c r="P17" s="623" t="s">
        <v>48</v>
      </c>
      <c r="Q17" s="845"/>
      <c r="R17" s="845"/>
      <c r="S17" s="845"/>
      <c r="T17" s="624"/>
      <c r="U17" s="634" t="s">
        <v>49</v>
      </c>
      <c r="V17" s="604"/>
      <c r="W17" s="623" t="s">
        <v>50</v>
      </c>
      <c r="X17" s="623" t="s">
        <v>51</v>
      </c>
      <c r="Y17" s="635" t="s">
        <v>52</v>
      </c>
      <c r="Z17" s="754" t="s">
        <v>53</v>
      </c>
      <c r="AA17" s="667" t="s">
        <v>54</v>
      </c>
      <c r="AB17" s="667" t="s">
        <v>55</v>
      </c>
      <c r="AC17" s="667" t="s">
        <v>56</v>
      </c>
      <c r="AD17" s="667" t="s">
        <v>57</v>
      </c>
      <c r="AE17" s="668"/>
      <c r="AF17" s="669"/>
      <c r="AG17" s="66"/>
      <c r="BD17" s="65" t="s">
        <v>58</v>
      </c>
    </row>
    <row r="18" spans="1:68" ht="14.25" customHeight="1" x14ac:dyDescent="0.2">
      <c r="A18" s="627"/>
      <c r="B18" s="627"/>
      <c r="C18" s="627"/>
      <c r="D18" s="625"/>
      <c r="E18" s="626"/>
      <c r="F18" s="627"/>
      <c r="G18" s="627"/>
      <c r="H18" s="627"/>
      <c r="I18" s="627"/>
      <c r="J18" s="627"/>
      <c r="K18" s="627"/>
      <c r="L18" s="627"/>
      <c r="M18" s="627"/>
      <c r="N18" s="627"/>
      <c r="O18" s="627"/>
      <c r="P18" s="625"/>
      <c r="Q18" s="846"/>
      <c r="R18" s="846"/>
      <c r="S18" s="846"/>
      <c r="T18" s="626"/>
      <c r="U18" s="67" t="s">
        <v>59</v>
      </c>
      <c r="V18" s="67" t="s">
        <v>60</v>
      </c>
      <c r="W18" s="627"/>
      <c r="X18" s="627"/>
      <c r="Y18" s="636"/>
      <c r="Z18" s="755"/>
      <c r="AA18" s="722"/>
      <c r="AB18" s="722"/>
      <c r="AC18" s="722"/>
      <c r="AD18" s="670"/>
      <c r="AE18" s="671"/>
      <c r="AF18" s="672"/>
      <c r="AG18" s="66"/>
      <c r="BD18" s="65"/>
    </row>
    <row r="19" spans="1:68" ht="27.75" hidden="1" customHeight="1" x14ac:dyDescent="0.2">
      <c r="A19" s="620" t="s">
        <v>61</v>
      </c>
      <c r="B19" s="621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621"/>
      <c r="P19" s="621"/>
      <c r="Q19" s="621"/>
      <c r="R19" s="621"/>
      <c r="S19" s="621"/>
      <c r="T19" s="621"/>
      <c r="U19" s="621"/>
      <c r="V19" s="621"/>
      <c r="W19" s="621"/>
      <c r="X19" s="621"/>
      <c r="Y19" s="621"/>
      <c r="Z19" s="621"/>
      <c r="AA19" s="49"/>
      <c r="AB19" s="49"/>
      <c r="AC19" s="49"/>
    </row>
    <row r="20" spans="1:68" ht="16.5" hidden="1" customHeight="1" x14ac:dyDescent="0.25">
      <c r="A20" s="601" t="s">
        <v>61</v>
      </c>
      <c r="B20" s="596"/>
      <c r="C20" s="596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86"/>
      <c r="AB20" s="586"/>
      <c r="AC20" s="586"/>
    </row>
    <row r="21" spans="1:68" ht="14.25" hidden="1" customHeight="1" x14ac:dyDescent="0.25">
      <c r="A21" s="595" t="s">
        <v>62</v>
      </c>
      <c r="B21" s="596"/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9">
        <v>4680115886643</v>
      </c>
      <c r="E22" s="600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7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9">
        <v>4680115889071</v>
      </c>
      <c r="E23" s="600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80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609"/>
      <c r="P24" s="618" t="s">
        <v>72</v>
      </c>
      <c r="Q24" s="615"/>
      <c r="R24" s="615"/>
      <c r="S24" s="615"/>
      <c r="T24" s="615"/>
      <c r="U24" s="615"/>
      <c r="V24" s="616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596"/>
      <c r="B25" s="596"/>
      <c r="C25" s="596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609"/>
      <c r="P25" s="618" t="s">
        <v>72</v>
      </c>
      <c r="Q25" s="615"/>
      <c r="R25" s="615"/>
      <c r="S25" s="615"/>
      <c r="T25" s="615"/>
      <c r="U25" s="615"/>
      <c r="V25" s="616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595" t="s">
        <v>74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R26" s="596"/>
      <c r="S26" s="596"/>
      <c r="T26" s="596"/>
      <c r="U26" s="596"/>
      <c r="V26" s="596"/>
      <c r="W26" s="596"/>
      <c r="X26" s="596"/>
      <c r="Y26" s="596"/>
      <c r="Z26" s="596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9">
        <v>4680115885912</v>
      </c>
      <c r="E27" s="600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9">
        <v>4607091388237</v>
      </c>
      <c r="E28" s="600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2">
        <v>4301052063</v>
      </c>
      <c r="D29" s="599">
        <v>4680115887350</v>
      </c>
      <c r="E29" s="600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9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9">
        <v>4680115885905</v>
      </c>
      <c r="E30" s="600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9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9">
        <v>4680115887657</v>
      </c>
      <c r="E31" s="600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89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9">
        <v>4680115887619</v>
      </c>
      <c r="E32" s="600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6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596"/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  <c r="O33" s="609"/>
      <c r="P33" s="618" t="s">
        <v>72</v>
      </c>
      <c r="Q33" s="615"/>
      <c r="R33" s="615"/>
      <c r="S33" s="615"/>
      <c r="T33" s="615"/>
      <c r="U33" s="615"/>
      <c r="V33" s="616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hidden="1" x14ac:dyDescent="0.2">
      <c r="A34" s="596"/>
      <c r="B34" s="596"/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609"/>
      <c r="P34" s="618" t="s">
        <v>72</v>
      </c>
      <c r="Q34" s="615"/>
      <c r="R34" s="615"/>
      <c r="S34" s="615"/>
      <c r="T34" s="615"/>
      <c r="U34" s="615"/>
      <c r="V34" s="616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hidden="1" customHeight="1" x14ac:dyDescent="0.25">
      <c r="A35" s="595" t="s">
        <v>95</v>
      </c>
      <c r="B35" s="596"/>
      <c r="C35" s="596"/>
      <c r="D35" s="596"/>
      <c r="E35" s="596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9">
        <v>4607091388503</v>
      </c>
      <c r="E36" s="600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596"/>
      <c r="C37" s="596"/>
      <c r="D37" s="596"/>
      <c r="E37" s="596"/>
      <c r="F37" s="596"/>
      <c r="G37" s="596"/>
      <c r="H37" s="596"/>
      <c r="I37" s="596"/>
      <c r="J37" s="596"/>
      <c r="K37" s="596"/>
      <c r="L37" s="596"/>
      <c r="M37" s="596"/>
      <c r="N37" s="596"/>
      <c r="O37" s="609"/>
      <c r="P37" s="618" t="s">
        <v>72</v>
      </c>
      <c r="Q37" s="615"/>
      <c r="R37" s="615"/>
      <c r="S37" s="615"/>
      <c r="T37" s="615"/>
      <c r="U37" s="615"/>
      <c r="V37" s="616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596"/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609"/>
      <c r="P38" s="618" t="s">
        <v>72</v>
      </c>
      <c r="Q38" s="615"/>
      <c r="R38" s="615"/>
      <c r="S38" s="615"/>
      <c r="T38" s="615"/>
      <c r="U38" s="615"/>
      <c r="V38" s="616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620" t="s">
        <v>101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49"/>
      <c r="AB39" s="49"/>
      <c r="AC39" s="49"/>
    </row>
    <row r="40" spans="1:68" ht="16.5" hidden="1" customHeight="1" x14ac:dyDescent="0.25">
      <c r="A40" s="601" t="s">
        <v>102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6"/>
      <c r="L40" s="596"/>
      <c r="M40" s="596"/>
      <c r="N40" s="596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  <c r="Z40" s="596"/>
      <c r="AA40" s="586"/>
      <c r="AB40" s="586"/>
      <c r="AC40" s="586"/>
    </row>
    <row r="41" spans="1:68" ht="14.25" hidden="1" customHeight="1" x14ac:dyDescent="0.25">
      <c r="A41" s="595" t="s">
        <v>74</v>
      </c>
      <c r="B41" s="596"/>
      <c r="C41" s="596"/>
      <c r="D41" s="596"/>
      <c r="E41" s="596"/>
      <c r="F41" s="596"/>
      <c r="G41" s="596"/>
      <c r="H41" s="596"/>
      <c r="I41" s="596"/>
      <c r="J41" s="596"/>
      <c r="K41" s="596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9">
        <v>4680115888463</v>
      </c>
      <c r="E42" s="600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9">
        <v>4680115888494</v>
      </c>
      <c r="E43" s="600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8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9">
        <v>4680115888272</v>
      </c>
      <c r="E44" s="600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89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9">
        <v>4680115888364</v>
      </c>
      <c r="E45" s="600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596"/>
      <c r="C46" s="596"/>
      <c r="D46" s="596"/>
      <c r="E46" s="596"/>
      <c r="F46" s="596"/>
      <c r="G46" s="596"/>
      <c r="H46" s="596"/>
      <c r="I46" s="596"/>
      <c r="J46" s="596"/>
      <c r="K46" s="596"/>
      <c r="L46" s="596"/>
      <c r="M46" s="596"/>
      <c r="N46" s="596"/>
      <c r="O46" s="609"/>
      <c r="P46" s="618" t="s">
        <v>72</v>
      </c>
      <c r="Q46" s="615"/>
      <c r="R46" s="615"/>
      <c r="S46" s="615"/>
      <c r="T46" s="615"/>
      <c r="U46" s="615"/>
      <c r="V46" s="616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596"/>
      <c r="B47" s="596"/>
      <c r="C47" s="596"/>
      <c r="D47" s="596"/>
      <c r="E47" s="596"/>
      <c r="F47" s="596"/>
      <c r="G47" s="596"/>
      <c r="H47" s="596"/>
      <c r="I47" s="596"/>
      <c r="J47" s="596"/>
      <c r="K47" s="596"/>
      <c r="L47" s="596"/>
      <c r="M47" s="596"/>
      <c r="N47" s="596"/>
      <c r="O47" s="609"/>
      <c r="P47" s="618" t="s">
        <v>72</v>
      </c>
      <c r="Q47" s="615"/>
      <c r="R47" s="615"/>
      <c r="S47" s="615"/>
      <c r="T47" s="615"/>
      <c r="U47" s="615"/>
      <c r="V47" s="616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620" t="s">
        <v>115</v>
      </c>
      <c r="B48" s="621"/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  <c r="Z48" s="621"/>
      <c r="AA48" s="49"/>
      <c r="AB48" s="49"/>
      <c r="AC48" s="49"/>
    </row>
    <row r="49" spans="1:68" ht="16.5" hidden="1" customHeight="1" x14ac:dyDescent="0.25">
      <c r="A49" s="601" t="s">
        <v>116</v>
      </c>
      <c r="B49" s="596"/>
      <c r="C49" s="596"/>
      <c r="D49" s="596"/>
      <c r="E49" s="596"/>
      <c r="F49" s="596"/>
      <c r="G49" s="596"/>
      <c r="H49" s="596"/>
      <c r="I49" s="596"/>
      <c r="J49" s="596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  <c r="AA49" s="586"/>
      <c r="AB49" s="586"/>
      <c r="AC49" s="586"/>
    </row>
    <row r="50" spans="1:68" ht="14.25" hidden="1" customHeight="1" x14ac:dyDescent="0.25">
      <c r="A50" s="595" t="s">
        <v>117</v>
      </c>
      <c r="B50" s="596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  <c r="AA50" s="587"/>
      <c r="AB50" s="587"/>
      <c r="AC50" s="587"/>
    </row>
    <row r="51" spans="1:68" ht="16.5" customHeight="1" x14ac:dyDescent="0.25">
      <c r="A51" s="54" t="s">
        <v>118</v>
      </c>
      <c r="B51" s="54" t="s">
        <v>119</v>
      </c>
      <c r="C51" s="32">
        <v>4301011380</v>
      </c>
      <c r="D51" s="599">
        <v>4607091385670</v>
      </c>
      <c r="E51" s="600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5"/>
      <c r="V51" s="35"/>
      <c r="W51" s="36" t="s">
        <v>67</v>
      </c>
      <c r="X51" s="591">
        <v>2341</v>
      </c>
      <c r="Y51" s="592">
        <f>IFERROR(IF(X51="",0,CEILING((X51/$H51),1)*$H51),"")</f>
        <v>2343.6000000000004</v>
      </c>
      <c r="Z51" s="37">
        <f>IFERROR(IF(Y51=0,"",ROUNDUP(Y51/H51,0)*0.01898),"")</f>
        <v>4.1186600000000002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2429.8712962962964</v>
      </c>
      <c r="BN51" s="64">
        <f>IFERROR(Y51*I51/H51,"0")</f>
        <v>2432.5700000000002</v>
      </c>
      <c r="BO51" s="64">
        <f>IFERROR(1/J51*(X51/H51),"0")</f>
        <v>3.3868634259259256</v>
      </c>
      <c r="BP51" s="64">
        <f>IFERROR(1/J51*(Y51/H51),"0")</f>
        <v>3.3906250000000004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9">
        <v>4680115887725</v>
      </c>
      <c r="E52" s="600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85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9">
        <v>4607091385687</v>
      </c>
      <c r="E53" s="600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2">
        <v>4301011565</v>
      </c>
      <c r="D54" s="599">
        <v>4680115882539</v>
      </c>
      <c r="E54" s="600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68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5"/>
      <c r="V54" s="35"/>
      <c r="W54" s="36" t="s">
        <v>67</v>
      </c>
      <c r="X54" s="591">
        <v>39</v>
      </c>
      <c r="Y54" s="592">
        <f>IFERROR(IF(X54="",0,CEILING((X54/$H54),1)*$H54),"")</f>
        <v>40.700000000000003</v>
      </c>
      <c r="Z54" s="37">
        <f>IFERROR(IF(Y54=0,"",ROUNDUP(Y54/H54,0)*0.00902),"")</f>
        <v>9.9220000000000003E-2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41.002702702702706</v>
      </c>
      <c r="BN54" s="64">
        <f>IFERROR(Y54*I54/H54,"0")</f>
        <v>42.79</v>
      </c>
      <c r="BO54" s="64">
        <f>IFERROR(1/J54*(X54/H54),"0")</f>
        <v>7.9852579852579847E-2</v>
      </c>
      <c r="BP54" s="64">
        <f>IFERROR(1/J54*(Y54/H54),"0")</f>
        <v>8.3333333333333343E-2</v>
      </c>
    </row>
    <row r="55" spans="1:68" x14ac:dyDescent="0.2">
      <c r="A55" s="608"/>
      <c r="B55" s="596"/>
      <c r="C55" s="596"/>
      <c r="D55" s="596"/>
      <c r="E55" s="596"/>
      <c r="F55" s="596"/>
      <c r="G55" s="596"/>
      <c r="H55" s="596"/>
      <c r="I55" s="596"/>
      <c r="J55" s="596"/>
      <c r="K55" s="596"/>
      <c r="L55" s="596"/>
      <c r="M55" s="596"/>
      <c r="N55" s="596"/>
      <c r="O55" s="609"/>
      <c r="P55" s="618" t="s">
        <v>72</v>
      </c>
      <c r="Q55" s="615"/>
      <c r="R55" s="615"/>
      <c r="S55" s="615"/>
      <c r="T55" s="615"/>
      <c r="U55" s="615"/>
      <c r="V55" s="616"/>
      <c r="W55" s="38" t="s">
        <v>73</v>
      </c>
      <c r="X55" s="593">
        <f>IFERROR(X51/H51,"0")+IFERROR(X52/H52,"0")+IFERROR(X53/H53,"0")+IFERROR(X54/H54,"0")</f>
        <v>227.29979979979979</v>
      </c>
      <c r="Y55" s="593">
        <f>IFERROR(Y51/H51,"0")+IFERROR(Y52/H52,"0")+IFERROR(Y53/H53,"0")+IFERROR(Y54/H54,"0")</f>
        <v>228.00000000000003</v>
      </c>
      <c r="Z55" s="593">
        <f>IFERROR(IF(Z51="",0,Z51),"0")+IFERROR(IF(Z52="",0,Z52),"0")+IFERROR(IF(Z53="",0,Z53),"0")+IFERROR(IF(Z54="",0,Z54),"0")</f>
        <v>4.2178800000000001</v>
      </c>
      <c r="AA55" s="594"/>
      <c r="AB55" s="594"/>
      <c r="AC55" s="594"/>
    </row>
    <row r="56" spans="1:68" x14ac:dyDescent="0.2">
      <c r="A56" s="596"/>
      <c r="B56" s="596"/>
      <c r="C56" s="596"/>
      <c r="D56" s="596"/>
      <c r="E56" s="596"/>
      <c r="F56" s="596"/>
      <c r="G56" s="596"/>
      <c r="H56" s="596"/>
      <c r="I56" s="596"/>
      <c r="J56" s="596"/>
      <c r="K56" s="596"/>
      <c r="L56" s="596"/>
      <c r="M56" s="596"/>
      <c r="N56" s="596"/>
      <c r="O56" s="609"/>
      <c r="P56" s="618" t="s">
        <v>72</v>
      </c>
      <c r="Q56" s="615"/>
      <c r="R56" s="615"/>
      <c r="S56" s="615"/>
      <c r="T56" s="615"/>
      <c r="U56" s="615"/>
      <c r="V56" s="616"/>
      <c r="W56" s="38" t="s">
        <v>67</v>
      </c>
      <c r="X56" s="593">
        <f>IFERROR(SUM(X51:X54),"0")</f>
        <v>2380</v>
      </c>
      <c r="Y56" s="593">
        <f>IFERROR(SUM(Y51:Y54),"0")</f>
        <v>2384.3000000000002</v>
      </c>
      <c r="Z56" s="38"/>
      <c r="AA56" s="594"/>
      <c r="AB56" s="594"/>
      <c r="AC56" s="594"/>
    </row>
    <row r="57" spans="1:68" ht="16.5" hidden="1" customHeight="1" x14ac:dyDescent="0.25">
      <c r="A57" s="601" t="s">
        <v>132</v>
      </c>
      <c r="B57" s="596"/>
      <c r="C57" s="596"/>
      <c r="D57" s="596"/>
      <c r="E57" s="596"/>
      <c r="F57" s="596"/>
      <c r="G57" s="596"/>
      <c r="H57" s="596"/>
      <c r="I57" s="596"/>
      <c r="J57" s="596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86"/>
      <c r="AB57" s="586"/>
      <c r="AC57" s="586"/>
    </row>
    <row r="58" spans="1:68" ht="14.25" hidden="1" customHeight="1" x14ac:dyDescent="0.25">
      <c r="A58" s="595" t="s">
        <v>117</v>
      </c>
      <c r="B58" s="596"/>
      <c r="C58" s="596"/>
      <c r="D58" s="596"/>
      <c r="E58" s="596"/>
      <c r="F58" s="596"/>
      <c r="G58" s="596"/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87"/>
      <c r="AB58" s="587"/>
      <c r="AC58" s="587"/>
    </row>
    <row r="59" spans="1:68" ht="27" customHeight="1" x14ac:dyDescent="0.25">
      <c r="A59" s="54" t="s">
        <v>133</v>
      </c>
      <c r="B59" s="54" t="s">
        <v>134</v>
      </c>
      <c r="C59" s="32">
        <v>4301012030</v>
      </c>
      <c r="D59" s="599">
        <v>4680115885882</v>
      </c>
      <c r="E59" s="600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5"/>
      <c r="V59" s="35"/>
      <c r="W59" s="36" t="s">
        <v>67</v>
      </c>
      <c r="X59" s="591">
        <v>29</v>
      </c>
      <c r="Y59" s="592">
        <f t="shared" ref="Y59:Y65" si="6">IFERROR(IF(X59="",0,CEILING((X59/$H59),1)*$H59),"")</f>
        <v>33.599999999999994</v>
      </c>
      <c r="Z59" s="37">
        <f>IFERROR(IF(Y59=0,"",ROUNDUP(Y59/H59,0)*0.01898),"")</f>
        <v>5.6940000000000004E-2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30.061607142857145</v>
      </c>
      <c r="BN59" s="64">
        <f t="shared" ref="BN59:BN65" si="8">IFERROR(Y59*I59/H59,"0")</f>
        <v>34.829999999999991</v>
      </c>
      <c r="BO59" s="64">
        <f t="shared" ref="BO59:BO65" si="9">IFERROR(1/J59*(X59/H59),"0")</f>
        <v>4.0457589285714288E-2</v>
      </c>
      <c r="BP59" s="64">
        <f t="shared" ref="BP59:BP65" si="10">IFERROR(1/J59*(Y59/H59),"0")</f>
        <v>4.6874999999999993E-2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9">
        <v>4680115885882</v>
      </c>
      <c r="E60" s="600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6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9">
        <v>4680115881426</v>
      </c>
      <c r="E61" s="600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7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5"/>
      <c r="V61" s="35"/>
      <c r="W61" s="36" t="s">
        <v>67</v>
      </c>
      <c r="X61" s="591">
        <v>284</v>
      </c>
      <c r="Y61" s="592">
        <f t="shared" si="6"/>
        <v>291.60000000000002</v>
      </c>
      <c r="Z61" s="37">
        <f>IFERROR(IF(Y61=0,"",ROUNDUP(Y61/H61,0)*0.01898),"")</f>
        <v>0.51246000000000003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294.78148148148148</v>
      </c>
      <c r="BN61" s="64">
        <f t="shared" si="8"/>
        <v>302.67000000000007</v>
      </c>
      <c r="BO61" s="64">
        <f t="shared" si="9"/>
        <v>0.41087962962962959</v>
      </c>
      <c r="BP61" s="64">
        <f t="shared" si="10"/>
        <v>0.421875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9">
        <v>4680115880283</v>
      </c>
      <c r="E62" s="600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2">
        <v>4301011806</v>
      </c>
      <c r="D63" s="599">
        <v>4680115881525</v>
      </c>
      <c r="E63" s="600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8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5"/>
      <c r="V63" s="35"/>
      <c r="W63" s="36" t="s">
        <v>67</v>
      </c>
      <c r="X63" s="591">
        <v>0</v>
      </c>
      <c r="Y63" s="592">
        <f t="shared" si="6"/>
        <v>0</v>
      </c>
      <c r="Z63" s="37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9">
        <v>4680115885899</v>
      </c>
      <c r="E64" s="600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2">
        <v>4301011801</v>
      </c>
      <c r="D65" s="599">
        <v>4680115881419</v>
      </c>
      <c r="E65" s="600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6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5"/>
      <c r="V65" s="35"/>
      <c r="W65" s="36" t="s">
        <v>67</v>
      </c>
      <c r="X65" s="591">
        <v>11</v>
      </c>
      <c r="Y65" s="592">
        <f t="shared" si="6"/>
        <v>13.5</v>
      </c>
      <c r="Z65" s="37">
        <f>IFERROR(IF(Y65=0,"",ROUNDUP(Y65/H65,0)*0.00902),"")</f>
        <v>2.7060000000000001E-2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11.464444444444446</v>
      </c>
      <c r="BN65" s="64">
        <f t="shared" si="8"/>
        <v>14.07</v>
      </c>
      <c r="BO65" s="64">
        <f t="shared" si="9"/>
        <v>1.8518518518518521E-2</v>
      </c>
      <c r="BP65" s="64">
        <f t="shared" si="10"/>
        <v>2.2727272727272728E-2</v>
      </c>
    </row>
    <row r="66" spans="1:68" x14ac:dyDescent="0.2">
      <c r="A66" s="608"/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609"/>
      <c r="P66" s="618" t="s">
        <v>72</v>
      </c>
      <c r="Q66" s="615"/>
      <c r="R66" s="615"/>
      <c r="S66" s="615"/>
      <c r="T66" s="615"/>
      <c r="U66" s="615"/>
      <c r="V66" s="616"/>
      <c r="W66" s="38" t="s">
        <v>73</v>
      </c>
      <c r="X66" s="593">
        <f>IFERROR(X59/H59,"0")+IFERROR(X60/H60,"0")+IFERROR(X61/H61,"0")+IFERROR(X62/H62,"0")+IFERROR(X63/H63,"0")+IFERROR(X64/H64,"0")+IFERROR(X65/H65,"0")</f>
        <v>31.330026455026456</v>
      </c>
      <c r="Y66" s="593">
        <f>IFERROR(Y59/H59,"0")+IFERROR(Y60/H60,"0")+IFERROR(Y61/H61,"0")+IFERROR(Y62/H62,"0")+IFERROR(Y63/H63,"0")+IFERROR(Y64/H64,"0")+IFERROR(Y65/H65,"0")</f>
        <v>33</v>
      </c>
      <c r="Z66" s="593">
        <f>IFERROR(IF(Z59="",0,Z59),"0")+IFERROR(IF(Z60="",0,Z60),"0")+IFERROR(IF(Z61="",0,Z61),"0")+IFERROR(IF(Z62="",0,Z62),"0")+IFERROR(IF(Z63="",0,Z63),"0")+IFERROR(IF(Z64="",0,Z64),"0")+IFERROR(IF(Z65="",0,Z65),"0")</f>
        <v>0.59645999999999999</v>
      </c>
      <c r="AA66" s="594"/>
      <c r="AB66" s="594"/>
      <c r="AC66" s="594"/>
    </row>
    <row r="67" spans="1:68" x14ac:dyDescent="0.2">
      <c r="A67" s="596"/>
      <c r="B67" s="596"/>
      <c r="C67" s="596"/>
      <c r="D67" s="596"/>
      <c r="E67" s="596"/>
      <c r="F67" s="596"/>
      <c r="G67" s="596"/>
      <c r="H67" s="596"/>
      <c r="I67" s="596"/>
      <c r="J67" s="596"/>
      <c r="K67" s="596"/>
      <c r="L67" s="596"/>
      <c r="M67" s="596"/>
      <c r="N67" s="596"/>
      <c r="O67" s="609"/>
      <c r="P67" s="618" t="s">
        <v>72</v>
      </c>
      <c r="Q67" s="615"/>
      <c r="R67" s="615"/>
      <c r="S67" s="615"/>
      <c r="T67" s="615"/>
      <c r="U67" s="615"/>
      <c r="V67" s="616"/>
      <c r="W67" s="38" t="s">
        <v>67</v>
      </c>
      <c r="X67" s="593">
        <f>IFERROR(SUM(X59:X65),"0")</f>
        <v>324</v>
      </c>
      <c r="Y67" s="593">
        <f>IFERROR(SUM(Y59:Y65),"0")</f>
        <v>338.70000000000005</v>
      </c>
      <c r="Z67" s="38"/>
      <c r="AA67" s="594"/>
      <c r="AB67" s="594"/>
      <c r="AC67" s="594"/>
    </row>
    <row r="68" spans="1:68" ht="14.25" hidden="1" customHeight="1" x14ac:dyDescent="0.25">
      <c r="A68" s="595" t="s">
        <v>152</v>
      </c>
      <c r="B68" s="596"/>
      <c r="C68" s="596"/>
      <c r="D68" s="596"/>
      <c r="E68" s="596"/>
      <c r="F68" s="596"/>
      <c r="G68" s="596"/>
      <c r="H68" s="596"/>
      <c r="I68" s="596"/>
      <c r="J68" s="596"/>
      <c r="K68" s="596"/>
      <c r="L68" s="596"/>
      <c r="M68" s="596"/>
      <c r="N68" s="596"/>
      <c r="O68" s="596"/>
      <c r="P68" s="596"/>
      <c r="Q68" s="596"/>
      <c r="R68" s="596"/>
      <c r="S68" s="596"/>
      <c r="T68" s="596"/>
      <c r="U68" s="596"/>
      <c r="V68" s="596"/>
      <c r="W68" s="596"/>
      <c r="X68" s="596"/>
      <c r="Y68" s="596"/>
      <c r="Z68" s="596"/>
      <c r="AA68" s="587"/>
      <c r="AB68" s="587"/>
      <c r="AC68" s="587"/>
    </row>
    <row r="69" spans="1:68" ht="16.5" customHeight="1" x14ac:dyDescent="0.25">
      <c r="A69" s="54" t="s">
        <v>153</v>
      </c>
      <c r="B69" s="54" t="s">
        <v>154</v>
      </c>
      <c r="C69" s="32">
        <v>4301020298</v>
      </c>
      <c r="D69" s="599">
        <v>4680115881440</v>
      </c>
      <c r="E69" s="600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5"/>
      <c r="V69" s="35"/>
      <c r="W69" s="36" t="s">
        <v>67</v>
      </c>
      <c r="X69" s="591">
        <v>347</v>
      </c>
      <c r="Y69" s="592">
        <f>IFERROR(IF(X69="",0,CEILING((X69/$H69),1)*$H69),"")</f>
        <v>356.40000000000003</v>
      </c>
      <c r="Z69" s="37">
        <f>IFERROR(IF(Y69=0,"",ROUNDUP(Y69/H69,0)*0.01898),"")</f>
        <v>0.62634000000000001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360.17314814814813</v>
      </c>
      <c r="BN69" s="64">
        <f>IFERROR(Y69*I69/H69,"0")</f>
        <v>369.93</v>
      </c>
      <c r="BO69" s="64">
        <f>IFERROR(1/J69*(X69/H69),"0")</f>
        <v>0.50202546296296291</v>
      </c>
      <c r="BP69" s="64">
        <f>IFERROR(1/J69*(Y69/H69),"0")</f>
        <v>0.515625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9">
        <v>4680115885950</v>
      </c>
      <c r="E70" s="600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64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9">
        <v>4680115887688</v>
      </c>
      <c r="E71" s="600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6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9">
        <v>4680115881433</v>
      </c>
      <c r="E72" s="600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59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609"/>
      <c r="P73" s="618" t="s">
        <v>72</v>
      </c>
      <c r="Q73" s="615"/>
      <c r="R73" s="615"/>
      <c r="S73" s="615"/>
      <c r="T73" s="615"/>
      <c r="U73" s="615"/>
      <c r="V73" s="616"/>
      <c r="W73" s="38" t="s">
        <v>73</v>
      </c>
      <c r="X73" s="593">
        <f>IFERROR(X69/H69,"0")+IFERROR(X70/H70,"0")+IFERROR(X71/H71,"0")+IFERROR(X72/H72,"0")</f>
        <v>32.129629629629626</v>
      </c>
      <c r="Y73" s="593">
        <f>IFERROR(Y69/H69,"0")+IFERROR(Y70/H70,"0")+IFERROR(Y71/H71,"0")+IFERROR(Y72/H72,"0")</f>
        <v>33</v>
      </c>
      <c r="Z73" s="593">
        <f>IFERROR(IF(Z69="",0,Z69),"0")+IFERROR(IF(Z70="",0,Z70),"0")+IFERROR(IF(Z71="",0,Z71),"0")+IFERROR(IF(Z72="",0,Z72),"0")</f>
        <v>0.62634000000000001</v>
      </c>
      <c r="AA73" s="594"/>
      <c r="AB73" s="594"/>
      <c r="AC73" s="594"/>
    </row>
    <row r="74" spans="1:68" x14ac:dyDescent="0.2">
      <c r="A74" s="596"/>
      <c r="B74" s="596"/>
      <c r="C74" s="596"/>
      <c r="D74" s="596"/>
      <c r="E74" s="596"/>
      <c r="F74" s="596"/>
      <c r="G74" s="596"/>
      <c r="H74" s="596"/>
      <c r="I74" s="596"/>
      <c r="J74" s="596"/>
      <c r="K74" s="596"/>
      <c r="L74" s="596"/>
      <c r="M74" s="596"/>
      <c r="N74" s="596"/>
      <c r="O74" s="609"/>
      <c r="P74" s="618" t="s">
        <v>72</v>
      </c>
      <c r="Q74" s="615"/>
      <c r="R74" s="615"/>
      <c r="S74" s="615"/>
      <c r="T74" s="615"/>
      <c r="U74" s="615"/>
      <c r="V74" s="616"/>
      <c r="W74" s="38" t="s">
        <v>67</v>
      </c>
      <c r="X74" s="593">
        <f>IFERROR(SUM(X69:X72),"0")</f>
        <v>347</v>
      </c>
      <c r="Y74" s="593">
        <f>IFERROR(SUM(Y69:Y72),"0")</f>
        <v>356.40000000000003</v>
      </c>
      <c r="Z74" s="38"/>
      <c r="AA74" s="594"/>
      <c r="AB74" s="594"/>
      <c r="AC74" s="594"/>
    </row>
    <row r="75" spans="1:68" ht="14.25" hidden="1" customHeight="1" x14ac:dyDescent="0.25">
      <c r="A75" s="595" t="s">
        <v>74</v>
      </c>
      <c r="B75" s="596"/>
      <c r="C75" s="596"/>
      <c r="D75" s="596"/>
      <c r="E75" s="596"/>
      <c r="F75" s="596"/>
      <c r="G75" s="596"/>
      <c r="H75" s="596"/>
      <c r="I75" s="596"/>
      <c r="J75" s="596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  <c r="V75" s="596"/>
      <c r="W75" s="596"/>
      <c r="X75" s="596"/>
      <c r="Y75" s="596"/>
      <c r="Z75" s="596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9">
        <v>4680115884311</v>
      </c>
      <c r="E76" s="600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9">
        <v>4680115884403</v>
      </c>
      <c r="E77" s="600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7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609"/>
      <c r="P78" s="618" t="s">
        <v>72</v>
      </c>
      <c r="Q78" s="615"/>
      <c r="R78" s="615"/>
      <c r="S78" s="615"/>
      <c r="T78" s="615"/>
      <c r="U78" s="615"/>
      <c r="V78" s="616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596"/>
      <c r="B79" s="596"/>
      <c r="C79" s="596"/>
      <c r="D79" s="596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609"/>
      <c r="P79" s="618" t="s">
        <v>72</v>
      </c>
      <c r="Q79" s="615"/>
      <c r="R79" s="615"/>
      <c r="S79" s="615"/>
      <c r="T79" s="615"/>
      <c r="U79" s="615"/>
      <c r="V79" s="616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595" t="s">
        <v>169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  <c r="Z80" s="596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9">
        <v>4680115881532</v>
      </c>
      <c r="E81" s="600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92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9">
        <v>4680115881464</v>
      </c>
      <c r="E82" s="600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6"/>
      <c r="N83" s="596"/>
      <c r="O83" s="609"/>
      <c r="P83" s="618" t="s">
        <v>72</v>
      </c>
      <c r="Q83" s="615"/>
      <c r="R83" s="615"/>
      <c r="S83" s="615"/>
      <c r="T83" s="615"/>
      <c r="U83" s="615"/>
      <c r="V83" s="616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596"/>
      <c r="B84" s="596"/>
      <c r="C84" s="596"/>
      <c r="D84" s="596"/>
      <c r="E84" s="596"/>
      <c r="F84" s="596"/>
      <c r="G84" s="596"/>
      <c r="H84" s="596"/>
      <c r="I84" s="596"/>
      <c r="J84" s="596"/>
      <c r="K84" s="596"/>
      <c r="L84" s="596"/>
      <c r="M84" s="596"/>
      <c r="N84" s="596"/>
      <c r="O84" s="609"/>
      <c r="P84" s="618" t="s">
        <v>72</v>
      </c>
      <c r="Q84" s="615"/>
      <c r="R84" s="615"/>
      <c r="S84" s="615"/>
      <c r="T84" s="615"/>
      <c r="U84" s="615"/>
      <c r="V84" s="616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1" t="s">
        <v>176</v>
      </c>
      <c r="B85" s="596"/>
      <c r="C85" s="596"/>
      <c r="D85" s="596"/>
      <c r="E85" s="596"/>
      <c r="F85" s="596"/>
      <c r="G85" s="596"/>
      <c r="H85" s="596"/>
      <c r="I85" s="596"/>
      <c r="J85" s="596"/>
      <c r="K85" s="596"/>
      <c r="L85" s="596"/>
      <c r="M85" s="596"/>
      <c r="N85" s="596"/>
      <c r="O85" s="596"/>
      <c r="P85" s="596"/>
      <c r="Q85" s="596"/>
      <c r="R85" s="596"/>
      <c r="S85" s="596"/>
      <c r="T85" s="596"/>
      <c r="U85" s="596"/>
      <c r="V85" s="596"/>
      <c r="W85" s="596"/>
      <c r="X85" s="596"/>
      <c r="Y85" s="596"/>
      <c r="Z85" s="596"/>
      <c r="AA85" s="586"/>
      <c r="AB85" s="586"/>
      <c r="AC85" s="586"/>
    </row>
    <row r="86" spans="1:68" ht="14.25" hidden="1" customHeight="1" x14ac:dyDescent="0.25">
      <c r="A86" s="595" t="s">
        <v>117</v>
      </c>
      <c r="B86" s="596"/>
      <c r="C86" s="596"/>
      <c r="D86" s="596"/>
      <c r="E86" s="596"/>
      <c r="F86" s="596"/>
      <c r="G86" s="596"/>
      <c r="H86" s="596"/>
      <c r="I86" s="596"/>
      <c r="J86" s="596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9">
        <v>4680115881327</v>
      </c>
      <c r="E87" s="600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5"/>
      <c r="V87" s="35"/>
      <c r="W87" s="36" t="s">
        <v>67</v>
      </c>
      <c r="X87" s="591">
        <v>55</v>
      </c>
      <c r="Y87" s="592">
        <f>IFERROR(IF(X87="",0,CEILING((X87/$H87),1)*$H87),"")</f>
        <v>64.800000000000011</v>
      </c>
      <c r="Z87" s="37">
        <f>IFERROR(IF(Y87=0,"",ROUNDUP(Y87/H87,0)*0.01898),"")</f>
        <v>0.11388000000000001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57.087962962962969</v>
      </c>
      <c r="BN87" s="64">
        <f>IFERROR(Y87*I87/H87,"0")</f>
        <v>67.260000000000005</v>
      </c>
      <c r="BO87" s="64">
        <f>IFERROR(1/J87*(X87/H87),"0")</f>
        <v>7.9571759259259259E-2</v>
      </c>
      <c r="BP87" s="64">
        <f>IFERROR(1/J87*(Y87/H87),"0")</f>
        <v>9.3750000000000014E-2</v>
      </c>
    </row>
    <row r="88" spans="1:68" ht="27" customHeight="1" x14ac:dyDescent="0.25">
      <c r="A88" s="54" t="s">
        <v>180</v>
      </c>
      <c r="B88" s="54" t="s">
        <v>181</v>
      </c>
      <c r="C88" s="32">
        <v>4301011261</v>
      </c>
      <c r="D88" s="599">
        <v>4680115887732</v>
      </c>
      <c r="E88" s="600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5"/>
      <c r="V88" s="35"/>
      <c r="W88" s="36" t="s">
        <v>67</v>
      </c>
      <c r="X88" s="591">
        <v>3</v>
      </c>
      <c r="Y88" s="592">
        <f>IFERROR(IF(X88="",0,CEILING((X88/$H88),1)*$H88),"")</f>
        <v>3.4</v>
      </c>
      <c r="Z88" s="37">
        <f>IFERROR(IF(Y88=0,"",ROUNDUP(Y88/H88,0)*0.00726),"")</f>
        <v>1.452E-2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3.1764705882352944</v>
      </c>
      <c r="BN88" s="64">
        <f>IFERROR(Y88*I88/H88,"0")</f>
        <v>3.6</v>
      </c>
      <c r="BO88" s="64">
        <f>IFERROR(1/J88*(X88/H88),"0")</f>
        <v>9.1911764705882339E-3</v>
      </c>
      <c r="BP88" s="64">
        <f>IFERROR(1/J88*(Y88/H88),"0")</f>
        <v>1.0416666666666666E-2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9">
        <v>4680115881518</v>
      </c>
      <c r="E89" s="600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9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9">
        <v>4680115881303</v>
      </c>
      <c r="E90" s="600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5"/>
      <c r="V90" s="35"/>
      <c r="W90" s="36" t="s">
        <v>67</v>
      </c>
      <c r="X90" s="591">
        <v>42</v>
      </c>
      <c r="Y90" s="592">
        <f>IFERROR(IF(X90="",0,CEILING((X90/$H90),1)*$H90),"")</f>
        <v>45</v>
      </c>
      <c r="Z90" s="37">
        <f>IFERROR(IF(Y90=0,"",ROUNDUP(Y90/H90,0)*0.00902),"")</f>
        <v>9.0200000000000002E-2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43.773333333333341</v>
      </c>
      <c r="BN90" s="64">
        <f>IFERROR(Y90*I90/H90,"0")</f>
        <v>46.900000000000006</v>
      </c>
      <c r="BO90" s="64">
        <f>IFERROR(1/J90*(X90/H90),"0")</f>
        <v>7.0707070707070718E-2</v>
      </c>
      <c r="BP90" s="64">
        <f>IFERROR(1/J90*(Y90/H90),"0")</f>
        <v>7.575757575757576E-2</v>
      </c>
    </row>
    <row r="91" spans="1:68" x14ac:dyDescent="0.2">
      <c r="A91" s="608"/>
      <c r="B91" s="596"/>
      <c r="C91" s="596"/>
      <c r="D91" s="596"/>
      <c r="E91" s="596"/>
      <c r="F91" s="596"/>
      <c r="G91" s="596"/>
      <c r="H91" s="596"/>
      <c r="I91" s="596"/>
      <c r="J91" s="596"/>
      <c r="K91" s="596"/>
      <c r="L91" s="596"/>
      <c r="M91" s="596"/>
      <c r="N91" s="596"/>
      <c r="O91" s="609"/>
      <c r="P91" s="618" t="s">
        <v>72</v>
      </c>
      <c r="Q91" s="615"/>
      <c r="R91" s="615"/>
      <c r="S91" s="615"/>
      <c r="T91" s="615"/>
      <c r="U91" s="615"/>
      <c r="V91" s="616"/>
      <c r="W91" s="38" t="s">
        <v>73</v>
      </c>
      <c r="X91" s="593">
        <f>IFERROR(X87/H87,"0")+IFERROR(X88/H88,"0")+IFERROR(X89/H89,"0")+IFERROR(X90/H90,"0")</f>
        <v>16.190631808278866</v>
      </c>
      <c r="Y91" s="593">
        <f>IFERROR(Y87/H87,"0")+IFERROR(Y88/H88,"0")+IFERROR(Y89/H89,"0")+IFERROR(Y90/H90,"0")</f>
        <v>18</v>
      </c>
      <c r="Z91" s="593">
        <f>IFERROR(IF(Z87="",0,Z87),"0")+IFERROR(IF(Z88="",0,Z88),"0")+IFERROR(IF(Z89="",0,Z89),"0")+IFERROR(IF(Z90="",0,Z90),"0")</f>
        <v>0.21860000000000002</v>
      </c>
      <c r="AA91" s="594"/>
      <c r="AB91" s="594"/>
      <c r="AC91" s="594"/>
    </row>
    <row r="92" spans="1:68" x14ac:dyDescent="0.2">
      <c r="A92" s="596"/>
      <c r="B92" s="596"/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596"/>
      <c r="O92" s="609"/>
      <c r="P92" s="618" t="s">
        <v>72</v>
      </c>
      <c r="Q92" s="615"/>
      <c r="R92" s="615"/>
      <c r="S92" s="615"/>
      <c r="T92" s="615"/>
      <c r="U92" s="615"/>
      <c r="V92" s="616"/>
      <c r="W92" s="38" t="s">
        <v>67</v>
      </c>
      <c r="X92" s="593">
        <f>IFERROR(SUM(X87:X90),"0")</f>
        <v>100</v>
      </c>
      <c r="Y92" s="593">
        <f>IFERROR(SUM(Y87:Y90),"0")</f>
        <v>113.20000000000002</v>
      </c>
      <c r="Z92" s="38"/>
      <c r="AA92" s="594"/>
      <c r="AB92" s="594"/>
      <c r="AC92" s="594"/>
    </row>
    <row r="93" spans="1:68" ht="14.25" hidden="1" customHeight="1" x14ac:dyDescent="0.25">
      <c r="A93" s="595" t="s">
        <v>74</v>
      </c>
      <c r="B93" s="596"/>
      <c r="C93" s="596"/>
      <c r="D93" s="596"/>
      <c r="E93" s="596"/>
      <c r="F93" s="596"/>
      <c r="G93" s="596"/>
      <c r="H93" s="596"/>
      <c r="I93" s="596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87"/>
      <c r="AB93" s="587"/>
      <c r="AC93" s="587"/>
    </row>
    <row r="94" spans="1:68" ht="27" customHeight="1" x14ac:dyDescent="0.25">
      <c r="A94" s="54" t="s">
        <v>187</v>
      </c>
      <c r="B94" s="54" t="s">
        <v>188</v>
      </c>
      <c r="C94" s="32">
        <v>4301051712</v>
      </c>
      <c r="D94" s="599">
        <v>4607091386967</v>
      </c>
      <c r="E94" s="600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9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5"/>
      <c r="V94" s="35"/>
      <c r="W94" s="36" t="s">
        <v>67</v>
      </c>
      <c r="X94" s="591">
        <v>658</v>
      </c>
      <c r="Y94" s="592">
        <f>IFERROR(IF(X94="",0,CEILING((X94/$H94),1)*$H94),"")</f>
        <v>664.19999999999993</v>
      </c>
      <c r="Z94" s="37">
        <f>IFERROR(IF(Y94=0,"",ROUNDUP(Y94/H94,0)*0.01898),"")</f>
        <v>1.55636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698.12987654320989</v>
      </c>
      <c r="BN94" s="64">
        <f>IFERROR(Y94*I94/H94,"0")</f>
        <v>704.70799999999986</v>
      </c>
      <c r="BO94" s="64">
        <f>IFERROR(1/J94*(X94/H94),"0")</f>
        <v>1.2692901234567902</v>
      </c>
      <c r="BP94" s="64">
        <f>IFERROR(1/J94*(Y94/H94),"0")</f>
        <v>1.28125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9">
        <v>4680115884953</v>
      </c>
      <c r="E95" s="600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8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2">
        <v>4301051718</v>
      </c>
      <c r="D96" s="599">
        <v>4607091385731</v>
      </c>
      <c r="E96" s="600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5"/>
      <c r="V96" s="35"/>
      <c r="W96" s="36" t="s">
        <v>67</v>
      </c>
      <c r="X96" s="591">
        <v>110</v>
      </c>
      <c r="Y96" s="592">
        <f>IFERROR(IF(X96="",0,CEILING((X96/$H96),1)*$H96),"")</f>
        <v>110.7</v>
      </c>
      <c r="Z96" s="37">
        <f>IFERROR(IF(Y96=0,"",ROUNDUP(Y96/H96,0)*0.00651),"")</f>
        <v>0.26690999999999998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120.26666666666665</v>
      </c>
      <c r="BN96" s="64">
        <f>IFERROR(Y96*I96/H96,"0")</f>
        <v>121.032</v>
      </c>
      <c r="BO96" s="64">
        <f>IFERROR(1/J96*(X96/H96),"0")</f>
        <v>0.22385022385022388</v>
      </c>
      <c r="BP96" s="64">
        <f>IFERROR(1/J96*(Y96/H96),"0")</f>
        <v>0.22527472527472528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9">
        <v>4680115880894</v>
      </c>
      <c r="E97" s="600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90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596"/>
      <c r="C98" s="596"/>
      <c r="D98" s="596"/>
      <c r="E98" s="596"/>
      <c r="F98" s="596"/>
      <c r="G98" s="596"/>
      <c r="H98" s="596"/>
      <c r="I98" s="596"/>
      <c r="J98" s="596"/>
      <c r="K98" s="596"/>
      <c r="L98" s="596"/>
      <c r="M98" s="596"/>
      <c r="N98" s="596"/>
      <c r="O98" s="609"/>
      <c r="P98" s="618" t="s">
        <v>72</v>
      </c>
      <c r="Q98" s="615"/>
      <c r="R98" s="615"/>
      <c r="S98" s="615"/>
      <c r="T98" s="615"/>
      <c r="U98" s="615"/>
      <c r="V98" s="616"/>
      <c r="W98" s="38" t="s">
        <v>73</v>
      </c>
      <c r="X98" s="593">
        <f>IFERROR(X94/H94,"0")+IFERROR(X95/H95,"0")+IFERROR(X96/H96,"0")+IFERROR(X97/H97,"0")</f>
        <v>121.97530864197532</v>
      </c>
      <c r="Y98" s="593">
        <f>IFERROR(Y94/H94,"0")+IFERROR(Y95/H95,"0")+IFERROR(Y96/H96,"0")+IFERROR(Y97/H97,"0")</f>
        <v>123</v>
      </c>
      <c r="Z98" s="593">
        <f>IFERROR(IF(Z94="",0,Z94),"0")+IFERROR(IF(Z95="",0,Z95),"0")+IFERROR(IF(Z96="",0,Z96),"0")+IFERROR(IF(Z97="",0,Z97),"0")</f>
        <v>1.8232699999999999</v>
      </c>
      <c r="AA98" s="594"/>
      <c r="AB98" s="594"/>
      <c r="AC98" s="594"/>
    </row>
    <row r="99" spans="1:68" x14ac:dyDescent="0.2">
      <c r="A99" s="596"/>
      <c r="B99" s="596"/>
      <c r="C99" s="596"/>
      <c r="D99" s="596"/>
      <c r="E99" s="596"/>
      <c r="F99" s="596"/>
      <c r="G99" s="596"/>
      <c r="H99" s="596"/>
      <c r="I99" s="596"/>
      <c r="J99" s="596"/>
      <c r="K99" s="596"/>
      <c r="L99" s="596"/>
      <c r="M99" s="596"/>
      <c r="N99" s="596"/>
      <c r="O99" s="609"/>
      <c r="P99" s="618" t="s">
        <v>72</v>
      </c>
      <c r="Q99" s="615"/>
      <c r="R99" s="615"/>
      <c r="S99" s="615"/>
      <c r="T99" s="615"/>
      <c r="U99" s="615"/>
      <c r="V99" s="616"/>
      <c r="W99" s="38" t="s">
        <v>67</v>
      </c>
      <c r="X99" s="593">
        <f>IFERROR(SUM(X94:X97),"0")</f>
        <v>768</v>
      </c>
      <c r="Y99" s="593">
        <f>IFERROR(SUM(Y94:Y97),"0")</f>
        <v>774.9</v>
      </c>
      <c r="Z99" s="38"/>
      <c r="AA99" s="594"/>
      <c r="AB99" s="594"/>
      <c r="AC99" s="594"/>
    </row>
    <row r="100" spans="1:68" ht="16.5" hidden="1" customHeight="1" x14ac:dyDescent="0.25">
      <c r="A100" s="601" t="s">
        <v>197</v>
      </c>
      <c r="B100" s="596"/>
      <c r="C100" s="596"/>
      <c r="D100" s="596"/>
      <c r="E100" s="596"/>
      <c r="F100" s="596"/>
      <c r="G100" s="596"/>
      <c r="H100" s="596"/>
      <c r="I100" s="596"/>
      <c r="J100" s="596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86"/>
      <c r="AB100" s="586"/>
      <c r="AC100" s="586"/>
    </row>
    <row r="101" spans="1:68" ht="14.25" hidden="1" customHeight="1" x14ac:dyDescent="0.25">
      <c r="A101" s="595" t="s">
        <v>117</v>
      </c>
      <c r="B101" s="596"/>
      <c r="C101" s="596"/>
      <c r="D101" s="596"/>
      <c r="E101" s="596"/>
      <c r="F101" s="596"/>
      <c r="G101" s="596"/>
      <c r="H101" s="596"/>
      <c r="I101" s="596"/>
      <c r="J101" s="596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87"/>
      <c r="AB101" s="587"/>
      <c r="AC101" s="587"/>
    </row>
    <row r="102" spans="1:68" ht="37.5" hidden="1" customHeight="1" x14ac:dyDescent="0.25">
      <c r="A102" s="54" t="s">
        <v>198</v>
      </c>
      <c r="B102" s="54" t="s">
        <v>199</v>
      </c>
      <c r="C102" s="32">
        <v>4301011514</v>
      </c>
      <c r="D102" s="599">
        <v>4680115882133</v>
      </c>
      <c r="E102" s="600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5"/>
      <c r="V102" s="35"/>
      <c r="W102" s="36" t="s">
        <v>67</v>
      </c>
      <c r="X102" s="591">
        <v>0</v>
      </c>
      <c r="Y102" s="592">
        <f t="shared" ref="Y102:Y108" si="11">IFERROR(IF(X102="",0,CEILING((X102/$H102),1)*$H102),"")</f>
        <v>0</v>
      </c>
      <c r="Z102" s="37" t="str">
        <f>IFERROR(IF(Y102=0,"",ROUNDUP(Y102/H102,0)*0.01898),"")</f>
        <v/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0</v>
      </c>
      <c r="BN102" s="64">
        <f t="shared" ref="BN102:BN108" si="13">IFERROR(Y102*I102/H102,"0")</f>
        <v>0</v>
      </c>
      <c r="BO102" s="64">
        <f t="shared" ref="BO102:BO108" si="14">IFERROR(1/J102*(X102/H102),"0")</f>
        <v>0</v>
      </c>
      <c r="BP102" s="64">
        <f t="shared" ref="BP102:BP108" si="15">IFERROR(1/J102*(Y102/H102),"0")</f>
        <v>0</v>
      </c>
    </row>
    <row r="103" spans="1:68" ht="27" hidden="1" customHeight="1" x14ac:dyDescent="0.25">
      <c r="A103" s="54" t="s">
        <v>201</v>
      </c>
      <c r="B103" s="54" t="s">
        <v>202</v>
      </c>
      <c r="C103" s="32">
        <v>4301012051</v>
      </c>
      <c r="D103" s="599">
        <v>4680115887718</v>
      </c>
      <c r="E103" s="600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8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5"/>
      <c r="V103" s="35"/>
      <c r="W103" s="36" t="s">
        <v>67</v>
      </c>
      <c r="X103" s="591">
        <v>0</v>
      </c>
      <c r="Y103" s="592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9">
        <v>4680115887718</v>
      </c>
      <c r="E104" s="600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91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9">
        <v>4680115887749</v>
      </c>
      <c r="E105" s="600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9">
        <v>4680115880269</v>
      </c>
      <c r="E106" s="600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7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2">
        <v>4301011415</v>
      </c>
      <c r="D107" s="599">
        <v>4680115880429</v>
      </c>
      <c r="E107" s="600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5"/>
      <c r="V107" s="35"/>
      <c r="W107" s="36" t="s">
        <v>67</v>
      </c>
      <c r="X107" s="591">
        <v>0</v>
      </c>
      <c r="Y107" s="592">
        <f t="shared" si="11"/>
        <v>0</v>
      </c>
      <c r="Z107" s="37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9">
        <v>4680115881457</v>
      </c>
      <c r="E108" s="600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7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idden="1" x14ac:dyDescent="0.2">
      <c r="A109" s="608"/>
      <c r="B109" s="596"/>
      <c r="C109" s="596"/>
      <c r="D109" s="596"/>
      <c r="E109" s="596"/>
      <c r="F109" s="596"/>
      <c r="G109" s="596"/>
      <c r="H109" s="596"/>
      <c r="I109" s="596"/>
      <c r="J109" s="596"/>
      <c r="K109" s="596"/>
      <c r="L109" s="596"/>
      <c r="M109" s="596"/>
      <c r="N109" s="596"/>
      <c r="O109" s="609"/>
      <c r="P109" s="618" t="s">
        <v>72</v>
      </c>
      <c r="Q109" s="615"/>
      <c r="R109" s="615"/>
      <c r="S109" s="615"/>
      <c r="T109" s="615"/>
      <c r="U109" s="615"/>
      <c r="V109" s="616"/>
      <c r="W109" s="38" t="s">
        <v>73</v>
      </c>
      <c r="X109" s="593">
        <f>IFERROR(X102/H102,"0")+IFERROR(X103/H103,"0")+IFERROR(X104/H104,"0")+IFERROR(X105/H105,"0")+IFERROR(X106/H106,"0")+IFERROR(X107/H107,"0")+IFERROR(X108/H108,"0")</f>
        <v>0</v>
      </c>
      <c r="Y109" s="593">
        <f>IFERROR(Y102/H102,"0")+IFERROR(Y103/H103,"0")+IFERROR(Y104/H104,"0")+IFERROR(Y105/H105,"0")+IFERROR(Y106/H106,"0")+IFERROR(Y107/H107,"0")+IFERROR(Y108/H108,"0")</f>
        <v>0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594"/>
      <c r="AB109" s="594"/>
      <c r="AC109" s="594"/>
    </row>
    <row r="110" spans="1:68" hidden="1" x14ac:dyDescent="0.2">
      <c r="A110" s="596"/>
      <c r="B110" s="596"/>
      <c r="C110" s="596"/>
      <c r="D110" s="596"/>
      <c r="E110" s="596"/>
      <c r="F110" s="596"/>
      <c r="G110" s="596"/>
      <c r="H110" s="596"/>
      <c r="I110" s="596"/>
      <c r="J110" s="596"/>
      <c r="K110" s="596"/>
      <c r="L110" s="596"/>
      <c r="M110" s="596"/>
      <c r="N110" s="596"/>
      <c r="O110" s="609"/>
      <c r="P110" s="618" t="s">
        <v>72</v>
      </c>
      <c r="Q110" s="615"/>
      <c r="R110" s="615"/>
      <c r="S110" s="615"/>
      <c r="T110" s="615"/>
      <c r="U110" s="615"/>
      <c r="V110" s="616"/>
      <c r="W110" s="38" t="s">
        <v>67</v>
      </c>
      <c r="X110" s="593">
        <f>IFERROR(SUM(X102:X108),"0")</f>
        <v>0</v>
      </c>
      <c r="Y110" s="593">
        <f>IFERROR(SUM(Y102:Y108),"0")</f>
        <v>0</v>
      </c>
      <c r="Z110" s="38"/>
      <c r="AA110" s="594"/>
      <c r="AB110" s="594"/>
      <c r="AC110" s="594"/>
    </row>
    <row r="111" spans="1:68" ht="14.25" hidden="1" customHeight="1" x14ac:dyDescent="0.25">
      <c r="A111" s="595" t="s">
        <v>152</v>
      </c>
      <c r="B111" s="596"/>
      <c r="C111" s="596"/>
      <c r="D111" s="596"/>
      <c r="E111" s="596"/>
      <c r="F111" s="596"/>
      <c r="G111" s="596"/>
      <c r="H111" s="596"/>
      <c r="I111" s="596"/>
      <c r="J111" s="596"/>
      <c r="K111" s="596"/>
      <c r="L111" s="596"/>
      <c r="M111" s="596"/>
      <c r="N111" s="596"/>
      <c r="O111" s="596"/>
      <c r="P111" s="596"/>
      <c r="Q111" s="596"/>
      <c r="R111" s="596"/>
      <c r="S111" s="596"/>
      <c r="T111" s="596"/>
      <c r="U111" s="596"/>
      <c r="V111" s="596"/>
      <c r="W111" s="596"/>
      <c r="X111" s="596"/>
      <c r="Y111" s="596"/>
      <c r="Z111" s="596"/>
      <c r="AA111" s="587"/>
      <c r="AB111" s="587"/>
      <c r="AC111" s="587"/>
    </row>
    <row r="112" spans="1:68" ht="16.5" customHeight="1" x14ac:dyDescent="0.25">
      <c r="A112" s="54" t="s">
        <v>213</v>
      </c>
      <c r="B112" s="54" t="s">
        <v>214</v>
      </c>
      <c r="C112" s="32">
        <v>4301020345</v>
      </c>
      <c r="D112" s="599">
        <v>4680115881488</v>
      </c>
      <c r="E112" s="600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7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5"/>
      <c r="V112" s="35"/>
      <c r="W112" s="36" t="s">
        <v>67</v>
      </c>
      <c r="X112" s="591">
        <v>14</v>
      </c>
      <c r="Y112" s="592">
        <f t="shared" ref="Y112:Y117" si="16">IFERROR(IF(X112="",0,CEILING((X112/$H112),1)*$H112),"")</f>
        <v>21.6</v>
      </c>
      <c r="Z112" s="37">
        <f>IFERROR(IF(Y112=0,"",ROUNDUP(Y112/H112,0)*0.01898),"")</f>
        <v>3.7960000000000001E-2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14.53148148148148</v>
      </c>
      <c r="BN112" s="64">
        <f t="shared" ref="BN112:BN117" si="18">IFERROR(Y112*I112/H112,"0")</f>
        <v>22.42</v>
      </c>
      <c r="BO112" s="64">
        <f t="shared" ref="BO112:BO117" si="19">IFERROR(1/J112*(X112/H112),"0")</f>
        <v>2.0254629629629629E-2</v>
      </c>
      <c r="BP112" s="64">
        <f t="shared" ref="BP112:BP117" si="20">IFERROR(1/J112*(Y112/H112),"0")</f>
        <v>3.125E-2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9">
        <v>4680115881488</v>
      </c>
      <c r="E113" s="600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2">
        <v>4301020186</v>
      </c>
      <c r="D114" s="599">
        <v>4680115887664</v>
      </c>
      <c r="E114" s="600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5"/>
      <c r="V114" s="35"/>
      <c r="W114" s="36" t="s">
        <v>67</v>
      </c>
      <c r="X114" s="591">
        <v>1</v>
      </c>
      <c r="Y114" s="592">
        <f t="shared" si="16"/>
        <v>1</v>
      </c>
      <c r="Z114" s="37">
        <f>IFERROR(IF(Y114=0,"",ROUNDUP(Y114/H114,0)*0.00358),"")</f>
        <v>3.5799999999999998E-3</v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1.21</v>
      </c>
      <c r="BN114" s="64">
        <f t="shared" si="18"/>
        <v>1.21</v>
      </c>
      <c r="BO114" s="64">
        <f t="shared" si="19"/>
        <v>2.5510204081632651E-3</v>
      </c>
      <c r="BP114" s="64">
        <f t="shared" si="20"/>
        <v>2.5510204081632651E-3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9">
        <v>4680115887664</v>
      </c>
      <c r="E115" s="600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9">
        <v>4680115882775</v>
      </c>
      <c r="E116" s="600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8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2">
        <v>4301020344</v>
      </c>
      <c r="D117" s="599">
        <v>4680115880658</v>
      </c>
      <c r="E117" s="600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5"/>
      <c r="V117" s="35"/>
      <c r="W117" s="36" t="s">
        <v>67</v>
      </c>
      <c r="X117" s="591">
        <v>17</v>
      </c>
      <c r="Y117" s="592">
        <f t="shared" si="16"/>
        <v>19.2</v>
      </c>
      <c r="Z117" s="37">
        <f>IFERROR(IF(Y117=0,"",ROUNDUP(Y117/H117,0)*0.00651),"")</f>
        <v>5.2080000000000001E-2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18.275000000000002</v>
      </c>
      <c r="BN117" s="64">
        <f t="shared" si="18"/>
        <v>20.64</v>
      </c>
      <c r="BO117" s="64">
        <f t="shared" si="19"/>
        <v>3.8919413919413927E-2</v>
      </c>
      <c r="BP117" s="64">
        <f t="shared" si="20"/>
        <v>4.3956043956043959E-2</v>
      </c>
    </row>
    <row r="118" spans="1:68" x14ac:dyDescent="0.2">
      <c r="A118" s="608"/>
      <c r="B118" s="596"/>
      <c r="C118" s="596"/>
      <c r="D118" s="596"/>
      <c r="E118" s="596"/>
      <c r="F118" s="596"/>
      <c r="G118" s="596"/>
      <c r="H118" s="596"/>
      <c r="I118" s="596"/>
      <c r="J118" s="596"/>
      <c r="K118" s="596"/>
      <c r="L118" s="596"/>
      <c r="M118" s="596"/>
      <c r="N118" s="596"/>
      <c r="O118" s="609"/>
      <c r="P118" s="618" t="s">
        <v>72</v>
      </c>
      <c r="Q118" s="615"/>
      <c r="R118" s="615"/>
      <c r="S118" s="615"/>
      <c r="T118" s="615"/>
      <c r="U118" s="615"/>
      <c r="V118" s="616"/>
      <c r="W118" s="38" t="s">
        <v>73</v>
      </c>
      <c r="X118" s="593">
        <f>IFERROR(X112/H112,"0")+IFERROR(X113/H113,"0")+IFERROR(X114/H114,"0")+IFERROR(X115/H115,"0")+IFERROR(X116/H116,"0")+IFERROR(X117/H117,"0")</f>
        <v>9.3796296296296298</v>
      </c>
      <c r="Y118" s="593">
        <f>IFERROR(Y112/H112,"0")+IFERROR(Y113/H113,"0")+IFERROR(Y114/H114,"0")+IFERROR(Y115/H115,"0")+IFERROR(Y116/H116,"0")+IFERROR(Y117/H117,"0")</f>
        <v>11</v>
      </c>
      <c r="Z118" s="593">
        <f>IFERROR(IF(Z112="",0,Z112),"0")+IFERROR(IF(Z113="",0,Z113),"0")+IFERROR(IF(Z114="",0,Z114),"0")+IFERROR(IF(Z115="",0,Z115),"0")+IFERROR(IF(Z116="",0,Z116),"0")+IFERROR(IF(Z117="",0,Z117),"0")</f>
        <v>9.3620000000000009E-2</v>
      </c>
      <c r="AA118" s="594"/>
      <c r="AB118" s="594"/>
      <c r="AC118" s="594"/>
    </row>
    <row r="119" spans="1:68" x14ac:dyDescent="0.2">
      <c r="A119" s="596"/>
      <c r="B119" s="596"/>
      <c r="C119" s="596"/>
      <c r="D119" s="596"/>
      <c r="E119" s="596"/>
      <c r="F119" s="596"/>
      <c r="G119" s="596"/>
      <c r="H119" s="596"/>
      <c r="I119" s="596"/>
      <c r="J119" s="596"/>
      <c r="K119" s="596"/>
      <c r="L119" s="596"/>
      <c r="M119" s="596"/>
      <c r="N119" s="596"/>
      <c r="O119" s="609"/>
      <c r="P119" s="618" t="s">
        <v>72</v>
      </c>
      <c r="Q119" s="615"/>
      <c r="R119" s="615"/>
      <c r="S119" s="615"/>
      <c r="T119" s="615"/>
      <c r="U119" s="615"/>
      <c r="V119" s="616"/>
      <c r="W119" s="38" t="s">
        <v>67</v>
      </c>
      <c r="X119" s="593">
        <f>IFERROR(SUM(X112:X117),"0")</f>
        <v>32</v>
      </c>
      <c r="Y119" s="593">
        <f>IFERROR(SUM(Y112:Y117),"0")</f>
        <v>41.8</v>
      </c>
      <c r="Z119" s="38"/>
      <c r="AA119" s="594"/>
      <c r="AB119" s="594"/>
      <c r="AC119" s="594"/>
    </row>
    <row r="120" spans="1:68" ht="14.25" hidden="1" customHeight="1" x14ac:dyDescent="0.25">
      <c r="A120" s="595" t="s">
        <v>74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6"/>
      <c r="Q120" s="596"/>
      <c r="R120" s="596"/>
      <c r="S120" s="596"/>
      <c r="T120" s="596"/>
      <c r="U120" s="596"/>
      <c r="V120" s="596"/>
      <c r="W120" s="596"/>
      <c r="X120" s="596"/>
      <c r="Y120" s="596"/>
      <c r="Z120" s="596"/>
      <c r="AA120" s="587"/>
      <c r="AB120" s="587"/>
      <c r="AC120" s="587"/>
    </row>
    <row r="121" spans="1:68" ht="27" customHeight="1" x14ac:dyDescent="0.25">
      <c r="A121" s="54" t="s">
        <v>227</v>
      </c>
      <c r="B121" s="54" t="s">
        <v>228</v>
      </c>
      <c r="C121" s="32">
        <v>4301051724</v>
      </c>
      <c r="D121" s="599">
        <v>4607091385168</v>
      </c>
      <c r="E121" s="600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6"/>
      <c r="R121" s="606"/>
      <c r="S121" s="606"/>
      <c r="T121" s="607"/>
      <c r="U121" s="35"/>
      <c r="V121" s="35"/>
      <c r="W121" s="36" t="s">
        <v>67</v>
      </c>
      <c r="X121" s="591">
        <v>628</v>
      </c>
      <c r="Y121" s="592">
        <f>IFERROR(IF(X121="",0,CEILING((X121/$H121),1)*$H121),"")</f>
        <v>631.79999999999995</v>
      </c>
      <c r="Z121" s="37">
        <f>IFERROR(IF(Y121=0,"",ROUNDUP(Y121/H121,0)*0.01898),"")</f>
        <v>1.48044</v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665.83506172839498</v>
      </c>
      <c r="BN121" s="64">
        <f>IFERROR(Y121*I121/H121,"0")</f>
        <v>669.86399999999992</v>
      </c>
      <c r="BO121" s="64">
        <f>IFERROR(1/J121*(X121/H121),"0")</f>
        <v>1.2114197530864199</v>
      </c>
      <c r="BP121" s="64">
        <f>IFERROR(1/J121*(Y121/H121),"0")</f>
        <v>1.21875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9">
        <v>4607091383256</v>
      </c>
      <c r="E122" s="600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6"/>
      <c r="R122" s="606"/>
      <c r="S122" s="606"/>
      <c r="T122" s="607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2">
        <v>4301051721</v>
      </c>
      <c r="D123" s="599">
        <v>4607091385748</v>
      </c>
      <c r="E123" s="600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6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6"/>
      <c r="R123" s="606"/>
      <c r="S123" s="606"/>
      <c r="T123" s="607"/>
      <c r="U123" s="35"/>
      <c r="V123" s="35"/>
      <c r="W123" s="36" t="s">
        <v>67</v>
      </c>
      <c r="X123" s="591">
        <v>71</v>
      </c>
      <c r="Y123" s="592">
        <f>IFERROR(IF(X123="",0,CEILING((X123/$H123),1)*$H123),"")</f>
        <v>72.900000000000006</v>
      </c>
      <c r="Z123" s="37">
        <f>IFERROR(IF(Y123=0,"",ROUNDUP(Y123/H123,0)*0.00651),"")</f>
        <v>0.17577000000000001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77.626666666666651</v>
      </c>
      <c r="BN123" s="64">
        <f>IFERROR(Y123*I123/H123,"0")</f>
        <v>79.703999999999994</v>
      </c>
      <c r="BO123" s="64">
        <f>IFERROR(1/J123*(X123/H123),"0")</f>
        <v>0.14448514448514449</v>
      </c>
      <c r="BP123" s="64">
        <f>IFERROR(1/J123*(Y123/H123),"0")</f>
        <v>0.14835164835164835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9">
        <v>4680115884533</v>
      </c>
      <c r="E124" s="600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75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6"/>
      <c r="R124" s="606"/>
      <c r="S124" s="606"/>
      <c r="T124" s="607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8"/>
      <c r="B125" s="596"/>
      <c r="C125" s="596"/>
      <c r="D125" s="596"/>
      <c r="E125" s="596"/>
      <c r="F125" s="596"/>
      <c r="G125" s="596"/>
      <c r="H125" s="596"/>
      <c r="I125" s="596"/>
      <c r="J125" s="596"/>
      <c r="K125" s="596"/>
      <c r="L125" s="596"/>
      <c r="M125" s="596"/>
      <c r="N125" s="596"/>
      <c r="O125" s="609"/>
      <c r="P125" s="618" t="s">
        <v>72</v>
      </c>
      <c r="Q125" s="615"/>
      <c r="R125" s="615"/>
      <c r="S125" s="615"/>
      <c r="T125" s="615"/>
      <c r="U125" s="615"/>
      <c r="V125" s="616"/>
      <c r="W125" s="38" t="s">
        <v>73</v>
      </c>
      <c r="X125" s="593">
        <f>IFERROR(X121/H121,"0")+IFERROR(X122/H122,"0")+IFERROR(X123/H123,"0")+IFERROR(X124/H124,"0")</f>
        <v>103.82716049382717</v>
      </c>
      <c r="Y125" s="593">
        <f>IFERROR(Y121/H121,"0")+IFERROR(Y122/H122,"0")+IFERROR(Y123/H123,"0")+IFERROR(Y124/H124,"0")</f>
        <v>105</v>
      </c>
      <c r="Z125" s="593">
        <f>IFERROR(IF(Z121="",0,Z121),"0")+IFERROR(IF(Z122="",0,Z122),"0")+IFERROR(IF(Z123="",0,Z123),"0")+IFERROR(IF(Z124="",0,Z124),"0")</f>
        <v>1.65621</v>
      </c>
      <c r="AA125" s="594"/>
      <c r="AB125" s="594"/>
      <c r="AC125" s="594"/>
    </row>
    <row r="126" spans="1:68" x14ac:dyDescent="0.2">
      <c r="A126" s="596"/>
      <c r="B126" s="596"/>
      <c r="C126" s="596"/>
      <c r="D126" s="596"/>
      <c r="E126" s="596"/>
      <c r="F126" s="596"/>
      <c r="G126" s="596"/>
      <c r="H126" s="596"/>
      <c r="I126" s="596"/>
      <c r="J126" s="596"/>
      <c r="K126" s="596"/>
      <c r="L126" s="596"/>
      <c r="M126" s="596"/>
      <c r="N126" s="596"/>
      <c r="O126" s="609"/>
      <c r="P126" s="618" t="s">
        <v>72</v>
      </c>
      <c r="Q126" s="615"/>
      <c r="R126" s="615"/>
      <c r="S126" s="615"/>
      <c r="T126" s="615"/>
      <c r="U126" s="615"/>
      <c r="V126" s="616"/>
      <c r="W126" s="38" t="s">
        <v>67</v>
      </c>
      <c r="X126" s="593">
        <f>IFERROR(SUM(X121:X124),"0")</f>
        <v>699</v>
      </c>
      <c r="Y126" s="593">
        <f>IFERROR(SUM(Y121:Y124),"0")</f>
        <v>704.69999999999993</v>
      </c>
      <c r="Z126" s="38"/>
      <c r="AA126" s="594"/>
      <c r="AB126" s="594"/>
      <c r="AC126" s="594"/>
    </row>
    <row r="127" spans="1:68" ht="14.25" hidden="1" customHeight="1" x14ac:dyDescent="0.25">
      <c r="A127" s="595" t="s">
        <v>169</v>
      </c>
      <c r="B127" s="596"/>
      <c r="C127" s="596"/>
      <c r="D127" s="596"/>
      <c r="E127" s="596"/>
      <c r="F127" s="596"/>
      <c r="G127" s="596"/>
      <c r="H127" s="596"/>
      <c r="I127" s="596"/>
      <c r="J127" s="596"/>
      <c r="K127" s="596"/>
      <c r="L127" s="596"/>
      <c r="M127" s="596"/>
      <c r="N127" s="596"/>
      <c r="O127" s="596"/>
      <c r="P127" s="596"/>
      <c r="Q127" s="596"/>
      <c r="R127" s="596"/>
      <c r="S127" s="596"/>
      <c r="T127" s="596"/>
      <c r="U127" s="596"/>
      <c r="V127" s="596"/>
      <c r="W127" s="596"/>
      <c r="X127" s="596"/>
      <c r="Y127" s="596"/>
      <c r="Z127" s="596"/>
      <c r="AA127" s="587"/>
      <c r="AB127" s="587"/>
      <c r="AC127" s="587"/>
    </row>
    <row r="128" spans="1:68" ht="16.5" hidden="1" customHeight="1" x14ac:dyDescent="0.25">
      <c r="A128" s="54" t="s">
        <v>237</v>
      </c>
      <c r="B128" s="54" t="s">
        <v>238</v>
      </c>
      <c r="C128" s="32">
        <v>4301060317</v>
      </c>
      <c r="D128" s="599">
        <v>4680115880238</v>
      </c>
      <c r="E128" s="600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6"/>
      <c r="R128" s="606"/>
      <c r="S128" s="606"/>
      <c r="T128" s="607"/>
      <c r="U128" s="35"/>
      <c r="V128" s="35"/>
      <c r="W128" s="36" t="s">
        <v>67</v>
      </c>
      <c r="X128" s="591">
        <v>0</v>
      </c>
      <c r="Y128" s="592">
        <f>IFERROR(IF(X128="",0,CEILING((X128/$H128),1)*$H128),"")</f>
        <v>0</v>
      </c>
      <c r="Z128" s="37" t="str">
        <f>IFERROR(IF(Y128=0,"",ROUNDUP(Y128/H128,0)*0.00651),"")</f>
        <v/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08"/>
      <c r="B129" s="596"/>
      <c r="C129" s="596"/>
      <c r="D129" s="596"/>
      <c r="E129" s="596"/>
      <c r="F129" s="596"/>
      <c r="G129" s="596"/>
      <c r="H129" s="596"/>
      <c r="I129" s="596"/>
      <c r="J129" s="596"/>
      <c r="K129" s="596"/>
      <c r="L129" s="596"/>
      <c r="M129" s="596"/>
      <c r="N129" s="596"/>
      <c r="O129" s="609"/>
      <c r="P129" s="618" t="s">
        <v>72</v>
      </c>
      <c r="Q129" s="615"/>
      <c r="R129" s="615"/>
      <c r="S129" s="615"/>
      <c r="T129" s="615"/>
      <c r="U129" s="615"/>
      <c r="V129" s="616"/>
      <c r="W129" s="38" t="s">
        <v>73</v>
      </c>
      <c r="X129" s="593">
        <f>IFERROR(X128/H128,"0")</f>
        <v>0</v>
      </c>
      <c r="Y129" s="593">
        <f>IFERROR(Y128/H128,"0")</f>
        <v>0</v>
      </c>
      <c r="Z129" s="593">
        <f>IFERROR(IF(Z128="",0,Z128),"0")</f>
        <v>0</v>
      </c>
      <c r="AA129" s="594"/>
      <c r="AB129" s="594"/>
      <c r="AC129" s="594"/>
    </row>
    <row r="130" spans="1:68" hidden="1" x14ac:dyDescent="0.2">
      <c r="A130" s="596"/>
      <c r="B130" s="596"/>
      <c r="C130" s="596"/>
      <c r="D130" s="596"/>
      <c r="E130" s="596"/>
      <c r="F130" s="596"/>
      <c r="G130" s="596"/>
      <c r="H130" s="596"/>
      <c r="I130" s="596"/>
      <c r="J130" s="596"/>
      <c r="K130" s="596"/>
      <c r="L130" s="596"/>
      <c r="M130" s="596"/>
      <c r="N130" s="596"/>
      <c r="O130" s="609"/>
      <c r="P130" s="618" t="s">
        <v>72</v>
      </c>
      <c r="Q130" s="615"/>
      <c r="R130" s="615"/>
      <c r="S130" s="615"/>
      <c r="T130" s="615"/>
      <c r="U130" s="615"/>
      <c r="V130" s="616"/>
      <c r="W130" s="38" t="s">
        <v>67</v>
      </c>
      <c r="X130" s="593">
        <f>IFERROR(SUM(X128:X128),"0")</f>
        <v>0</v>
      </c>
      <c r="Y130" s="593">
        <f>IFERROR(SUM(Y128:Y128),"0")</f>
        <v>0</v>
      </c>
      <c r="Z130" s="38"/>
      <c r="AA130" s="594"/>
      <c r="AB130" s="594"/>
      <c r="AC130" s="594"/>
    </row>
    <row r="131" spans="1:68" ht="16.5" hidden="1" customHeight="1" x14ac:dyDescent="0.25">
      <c r="A131" s="601" t="s">
        <v>240</v>
      </c>
      <c r="B131" s="596"/>
      <c r="C131" s="596"/>
      <c r="D131" s="596"/>
      <c r="E131" s="596"/>
      <c r="F131" s="596"/>
      <c r="G131" s="596"/>
      <c r="H131" s="596"/>
      <c r="I131" s="596"/>
      <c r="J131" s="596"/>
      <c r="K131" s="596"/>
      <c r="L131" s="596"/>
      <c r="M131" s="596"/>
      <c r="N131" s="596"/>
      <c r="O131" s="596"/>
      <c r="P131" s="596"/>
      <c r="Q131" s="596"/>
      <c r="R131" s="596"/>
      <c r="S131" s="596"/>
      <c r="T131" s="596"/>
      <c r="U131" s="596"/>
      <c r="V131" s="596"/>
      <c r="W131" s="596"/>
      <c r="X131" s="596"/>
      <c r="Y131" s="596"/>
      <c r="Z131" s="596"/>
      <c r="AA131" s="586"/>
      <c r="AB131" s="586"/>
      <c r="AC131" s="586"/>
    </row>
    <row r="132" spans="1:68" ht="14.25" hidden="1" customHeight="1" x14ac:dyDescent="0.25">
      <c r="A132" s="595" t="s">
        <v>117</v>
      </c>
      <c r="B132" s="596"/>
      <c r="C132" s="596"/>
      <c r="D132" s="596"/>
      <c r="E132" s="596"/>
      <c r="F132" s="596"/>
      <c r="G132" s="596"/>
      <c r="H132" s="596"/>
      <c r="I132" s="596"/>
      <c r="J132" s="596"/>
      <c r="K132" s="596"/>
      <c r="L132" s="596"/>
      <c r="M132" s="596"/>
      <c r="N132" s="596"/>
      <c r="O132" s="596"/>
      <c r="P132" s="596"/>
      <c r="Q132" s="596"/>
      <c r="R132" s="596"/>
      <c r="S132" s="596"/>
      <c r="T132" s="596"/>
      <c r="U132" s="596"/>
      <c r="V132" s="596"/>
      <c r="W132" s="596"/>
      <c r="X132" s="596"/>
      <c r="Y132" s="596"/>
      <c r="Z132" s="596"/>
      <c r="AA132" s="587"/>
      <c r="AB132" s="587"/>
      <c r="AC132" s="587"/>
    </row>
    <row r="133" spans="1:68" ht="27" hidden="1" customHeight="1" x14ac:dyDescent="0.25">
      <c r="A133" s="54" t="s">
        <v>241</v>
      </c>
      <c r="B133" s="54" t="s">
        <v>242</v>
      </c>
      <c r="C133" s="32">
        <v>4301011562</v>
      </c>
      <c r="D133" s="599">
        <v>4680115882577</v>
      </c>
      <c r="E133" s="600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6"/>
      <c r="R133" s="606"/>
      <c r="S133" s="606"/>
      <c r="T133" s="607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9">
        <v>4680115882577</v>
      </c>
      <c r="E134" s="600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6"/>
      <c r="R134" s="606"/>
      <c r="S134" s="606"/>
      <c r="T134" s="607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08"/>
      <c r="B135" s="596"/>
      <c r="C135" s="596"/>
      <c r="D135" s="596"/>
      <c r="E135" s="596"/>
      <c r="F135" s="596"/>
      <c r="G135" s="596"/>
      <c r="H135" s="596"/>
      <c r="I135" s="596"/>
      <c r="J135" s="596"/>
      <c r="K135" s="596"/>
      <c r="L135" s="596"/>
      <c r="M135" s="596"/>
      <c r="N135" s="596"/>
      <c r="O135" s="609"/>
      <c r="P135" s="618" t="s">
        <v>72</v>
      </c>
      <c r="Q135" s="615"/>
      <c r="R135" s="615"/>
      <c r="S135" s="615"/>
      <c r="T135" s="615"/>
      <c r="U135" s="615"/>
      <c r="V135" s="616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hidden="1" x14ac:dyDescent="0.2">
      <c r="A136" s="596"/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609"/>
      <c r="P136" s="618" t="s">
        <v>72</v>
      </c>
      <c r="Q136" s="615"/>
      <c r="R136" s="615"/>
      <c r="S136" s="615"/>
      <c r="T136" s="615"/>
      <c r="U136" s="615"/>
      <c r="V136" s="616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hidden="1" customHeight="1" x14ac:dyDescent="0.25">
      <c r="A137" s="595" t="s">
        <v>62</v>
      </c>
      <c r="B137" s="596"/>
      <c r="C137" s="596"/>
      <c r="D137" s="596"/>
      <c r="E137" s="596"/>
      <c r="F137" s="596"/>
      <c r="G137" s="596"/>
      <c r="H137" s="596"/>
      <c r="I137" s="596"/>
      <c r="J137" s="596"/>
      <c r="K137" s="596"/>
      <c r="L137" s="596"/>
      <c r="M137" s="596"/>
      <c r="N137" s="596"/>
      <c r="O137" s="596"/>
      <c r="P137" s="596"/>
      <c r="Q137" s="596"/>
      <c r="R137" s="596"/>
      <c r="S137" s="596"/>
      <c r="T137" s="596"/>
      <c r="U137" s="596"/>
      <c r="V137" s="596"/>
      <c r="W137" s="596"/>
      <c r="X137" s="596"/>
      <c r="Y137" s="596"/>
      <c r="Z137" s="596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9">
        <v>4680115883444</v>
      </c>
      <c r="E138" s="600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6"/>
      <c r="R138" s="606"/>
      <c r="S138" s="606"/>
      <c r="T138" s="607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9">
        <v>4680115883444</v>
      </c>
      <c r="E139" s="600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8"/>
      <c r="B140" s="596"/>
      <c r="C140" s="596"/>
      <c r="D140" s="596"/>
      <c r="E140" s="596"/>
      <c r="F140" s="596"/>
      <c r="G140" s="596"/>
      <c r="H140" s="596"/>
      <c r="I140" s="596"/>
      <c r="J140" s="596"/>
      <c r="K140" s="596"/>
      <c r="L140" s="596"/>
      <c r="M140" s="596"/>
      <c r="N140" s="596"/>
      <c r="O140" s="609"/>
      <c r="P140" s="618" t="s">
        <v>72</v>
      </c>
      <c r="Q140" s="615"/>
      <c r="R140" s="615"/>
      <c r="S140" s="615"/>
      <c r="T140" s="615"/>
      <c r="U140" s="615"/>
      <c r="V140" s="616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596"/>
      <c r="B141" s="596"/>
      <c r="C141" s="596"/>
      <c r="D141" s="596"/>
      <c r="E141" s="596"/>
      <c r="F141" s="596"/>
      <c r="G141" s="596"/>
      <c r="H141" s="596"/>
      <c r="I141" s="596"/>
      <c r="J141" s="596"/>
      <c r="K141" s="596"/>
      <c r="L141" s="596"/>
      <c r="M141" s="596"/>
      <c r="N141" s="596"/>
      <c r="O141" s="609"/>
      <c r="P141" s="618" t="s">
        <v>72</v>
      </c>
      <c r="Q141" s="615"/>
      <c r="R141" s="615"/>
      <c r="S141" s="615"/>
      <c r="T141" s="615"/>
      <c r="U141" s="615"/>
      <c r="V141" s="616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595" t="s">
        <v>74</v>
      </c>
      <c r="B142" s="596"/>
      <c r="C142" s="596"/>
      <c r="D142" s="596"/>
      <c r="E142" s="596"/>
      <c r="F142" s="596"/>
      <c r="G142" s="596"/>
      <c r="H142" s="596"/>
      <c r="I142" s="596"/>
      <c r="J142" s="596"/>
      <c r="K142" s="596"/>
      <c r="L142" s="596"/>
      <c r="M142" s="596"/>
      <c r="N142" s="596"/>
      <c r="O142" s="596"/>
      <c r="P142" s="596"/>
      <c r="Q142" s="596"/>
      <c r="R142" s="596"/>
      <c r="S142" s="596"/>
      <c r="T142" s="596"/>
      <c r="U142" s="596"/>
      <c r="V142" s="596"/>
      <c r="W142" s="596"/>
      <c r="X142" s="596"/>
      <c r="Y142" s="596"/>
      <c r="Z142" s="596"/>
      <c r="AA142" s="587"/>
      <c r="AB142" s="587"/>
      <c r="AC142" s="587"/>
    </row>
    <row r="143" spans="1:68" ht="16.5" hidden="1" customHeight="1" x14ac:dyDescent="0.25">
      <c r="A143" s="54" t="s">
        <v>249</v>
      </c>
      <c r="B143" s="54" t="s">
        <v>250</v>
      </c>
      <c r="C143" s="32">
        <v>4301051476</v>
      </c>
      <c r="D143" s="599">
        <v>4680115882584</v>
      </c>
      <c r="E143" s="600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76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6"/>
      <c r="R143" s="606"/>
      <c r="S143" s="606"/>
      <c r="T143" s="607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9">
        <v>4680115882584</v>
      </c>
      <c r="E144" s="600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6"/>
      <c r="R144" s="606"/>
      <c r="S144" s="606"/>
      <c r="T144" s="607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8"/>
      <c r="B145" s="596"/>
      <c r="C145" s="596"/>
      <c r="D145" s="596"/>
      <c r="E145" s="596"/>
      <c r="F145" s="596"/>
      <c r="G145" s="596"/>
      <c r="H145" s="596"/>
      <c r="I145" s="596"/>
      <c r="J145" s="596"/>
      <c r="K145" s="596"/>
      <c r="L145" s="596"/>
      <c r="M145" s="596"/>
      <c r="N145" s="596"/>
      <c r="O145" s="609"/>
      <c r="P145" s="618" t="s">
        <v>72</v>
      </c>
      <c r="Q145" s="615"/>
      <c r="R145" s="615"/>
      <c r="S145" s="615"/>
      <c r="T145" s="615"/>
      <c r="U145" s="615"/>
      <c r="V145" s="616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hidden="1" x14ac:dyDescent="0.2">
      <c r="A146" s="596"/>
      <c r="B146" s="596"/>
      <c r="C146" s="596"/>
      <c r="D146" s="596"/>
      <c r="E146" s="596"/>
      <c r="F146" s="596"/>
      <c r="G146" s="596"/>
      <c r="H146" s="596"/>
      <c r="I146" s="596"/>
      <c r="J146" s="596"/>
      <c r="K146" s="596"/>
      <c r="L146" s="596"/>
      <c r="M146" s="596"/>
      <c r="N146" s="596"/>
      <c r="O146" s="609"/>
      <c r="P146" s="618" t="s">
        <v>72</v>
      </c>
      <c r="Q146" s="615"/>
      <c r="R146" s="615"/>
      <c r="S146" s="615"/>
      <c r="T146" s="615"/>
      <c r="U146" s="615"/>
      <c r="V146" s="616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hidden="1" customHeight="1" x14ac:dyDescent="0.25">
      <c r="A147" s="601" t="s">
        <v>252</v>
      </c>
      <c r="B147" s="596"/>
      <c r="C147" s="596"/>
      <c r="D147" s="596"/>
      <c r="E147" s="596"/>
      <c r="F147" s="596"/>
      <c r="G147" s="596"/>
      <c r="H147" s="596"/>
      <c r="I147" s="596"/>
      <c r="J147" s="596"/>
      <c r="K147" s="596"/>
      <c r="L147" s="596"/>
      <c r="M147" s="596"/>
      <c r="N147" s="596"/>
      <c r="O147" s="596"/>
      <c r="P147" s="596"/>
      <c r="Q147" s="596"/>
      <c r="R147" s="596"/>
      <c r="S147" s="596"/>
      <c r="T147" s="596"/>
      <c r="U147" s="596"/>
      <c r="V147" s="596"/>
      <c r="W147" s="596"/>
      <c r="X147" s="596"/>
      <c r="Y147" s="596"/>
      <c r="Z147" s="596"/>
      <c r="AA147" s="586"/>
      <c r="AB147" s="586"/>
      <c r="AC147" s="586"/>
    </row>
    <row r="148" spans="1:68" ht="14.25" hidden="1" customHeight="1" x14ac:dyDescent="0.25">
      <c r="A148" s="595" t="s">
        <v>74</v>
      </c>
      <c r="B148" s="596"/>
      <c r="C148" s="596"/>
      <c r="D148" s="596"/>
      <c r="E148" s="596"/>
      <c r="F148" s="596"/>
      <c r="G148" s="596"/>
      <c r="H148" s="596"/>
      <c r="I148" s="596"/>
      <c r="J148" s="596"/>
      <c r="K148" s="596"/>
      <c r="L148" s="596"/>
      <c r="M148" s="596"/>
      <c r="N148" s="596"/>
      <c r="O148" s="596"/>
      <c r="P148" s="596"/>
      <c r="Q148" s="596"/>
      <c r="R148" s="596"/>
      <c r="S148" s="596"/>
      <c r="T148" s="596"/>
      <c r="U148" s="596"/>
      <c r="V148" s="596"/>
      <c r="W148" s="596"/>
      <c r="X148" s="596"/>
      <c r="Y148" s="596"/>
      <c r="Z148" s="596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9">
        <v>4680115888203</v>
      </c>
      <c r="E149" s="600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63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6"/>
      <c r="R149" s="606"/>
      <c r="S149" s="606"/>
      <c r="T149" s="607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9">
        <v>4680115888180</v>
      </c>
      <c r="E150" s="600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91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6"/>
      <c r="R150" s="606"/>
      <c r="S150" s="606"/>
      <c r="T150" s="607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9">
        <v>4680115888197</v>
      </c>
      <c r="E151" s="600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6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6"/>
      <c r="R151" s="606"/>
      <c r="S151" s="606"/>
      <c r="T151" s="607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9">
        <v>4680115888210</v>
      </c>
      <c r="E152" s="600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92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6"/>
      <c r="R152" s="606"/>
      <c r="S152" s="606"/>
      <c r="T152" s="607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8"/>
      <c r="B153" s="596"/>
      <c r="C153" s="596"/>
      <c r="D153" s="596"/>
      <c r="E153" s="596"/>
      <c r="F153" s="596"/>
      <c r="G153" s="596"/>
      <c r="H153" s="596"/>
      <c r="I153" s="596"/>
      <c r="J153" s="596"/>
      <c r="K153" s="596"/>
      <c r="L153" s="596"/>
      <c r="M153" s="596"/>
      <c r="N153" s="596"/>
      <c r="O153" s="609"/>
      <c r="P153" s="618" t="s">
        <v>72</v>
      </c>
      <c r="Q153" s="615"/>
      <c r="R153" s="615"/>
      <c r="S153" s="615"/>
      <c r="T153" s="615"/>
      <c r="U153" s="615"/>
      <c r="V153" s="616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596"/>
      <c r="B154" s="596"/>
      <c r="C154" s="596"/>
      <c r="D154" s="596"/>
      <c r="E154" s="596"/>
      <c r="F154" s="596"/>
      <c r="G154" s="596"/>
      <c r="H154" s="596"/>
      <c r="I154" s="596"/>
      <c r="J154" s="596"/>
      <c r="K154" s="596"/>
      <c r="L154" s="596"/>
      <c r="M154" s="596"/>
      <c r="N154" s="596"/>
      <c r="O154" s="609"/>
      <c r="P154" s="618" t="s">
        <v>72</v>
      </c>
      <c r="Q154" s="615"/>
      <c r="R154" s="615"/>
      <c r="S154" s="615"/>
      <c r="T154" s="615"/>
      <c r="U154" s="615"/>
      <c r="V154" s="616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1" t="s">
        <v>115</v>
      </c>
      <c r="B155" s="596"/>
      <c r="C155" s="596"/>
      <c r="D155" s="596"/>
      <c r="E155" s="596"/>
      <c r="F155" s="596"/>
      <c r="G155" s="596"/>
      <c r="H155" s="596"/>
      <c r="I155" s="596"/>
      <c r="J155" s="596"/>
      <c r="K155" s="596"/>
      <c r="L155" s="596"/>
      <c r="M155" s="596"/>
      <c r="N155" s="596"/>
      <c r="O155" s="596"/>
      <c r="P155" s="596"/>
      <c r="Q155" s="596"/>
      <c r="R155" s="596"/>
      <c r="S155" s="596"/>
      <c r="T155" s="596"/>
      <c r="U155" s="596"/>
      <c r="V155" s="596"/>
      <c r="W155" s="596"/>
      <c r="X155" s="596"/>
      <c r="Y155" s="596"/>
      <c r="Z155" s="596"/>
      <c r="AA155" s="586"/>
      <c r="AB155" s="586"/>
      <c r="AC155" s="586"/>
    </row>
    <row r="156" spans="1:68" ht="14.25" hidden="1" customHeight="1" x14ac:dyDescent="0.25">
      <c r="A156" s="595" t="s">
        <v>117</v>
      </c>
      <c r="B156" s="596"/>
      <c r="C156" s="596"/>
      <c r="D156" s="596"/>
      <c r="E156" s="596"/>
      <c r="F156" s="596"/>
      <c r="G156" s="596"/>
      <c r="H156" s="596"/>
      <c r="I156" s="596"/>
      <c r="J156" s="596"/>
      <c r="K156" s="596"/>
      <c r="L156" s="596"/>
      <c r="M156" s="596"/>
      <c r="N156" s="596"/>
      <c r="O156" s="596"/>
      <c r="P156" s="596"/>
      <c r="Q156" s="596"/>
      <c r="R156" s="596"/>
      <c r="S156" s="596"/>
      <c r="T156" s="596"/>
      <c r="U156" s="596"/>
      <c r="V156" s="596"/>
      <c r="W156" s="596"/>
      <c r="X156" s="596"/>
      <c r="Y156" s="596"/>
      <c r="Z156" s="596"/>
      <c r="AA156" s="587"/>
      <c r="AB156" s="587"/>
      <c r="AC156" s="587"/>
    </row>
    <row r="157" spans="1:68" ht="27" hidden="1" customHeight="1" x14ac:dyDescent="0.25">
      <c r="A157" s="54" t="s">
        <v>265</v>
      </c>
      <c r="B157" s="54" t="s">
        <v>266</v>
      </c>
      <c r="C157" s="32">
        <v>4301012244</v>
      </c>
      <c r="D157" s="599">
        <v>4680115887374</v>
      </c>
      <c r="E157" s="600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9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6"/>
      <c r="R157" s="606"/>
      <c r="S157" s="606"/>
      <c r="T157" s="607"/>
      <c r="U157" s="35"/>
      <c r="V157" s="35"/>
      <c r="W157" s="36" t="s">
        <v>67</v>
      </c>
      <c r="X157" s="591">
        <v>0</v>
      </c>
      <c r="Y157" s="592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9">
        <v>4607091384604</v>
      </c>
      <c r="E158" s="600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8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6"/>
      <c r="R158" s="606"/>
      <c r="S158" s="606"/>
      <c r="T158" s="607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8"/>
      <c r="B159" s="596"/>
      <c r="C159" s="596"/>
      <c r="D159" s="596"/>
      <c r="E159" s="596"/>
      <c r="F159" s="596"/>
      <c r="G159" s="596"/>
      <c r="H159" s="596"/>
      <c r="I159" s="596"/>
      <c r="J159" s="596"/>
      <c r="K159" s="596"/>
      <c r="L159" s="596"/>
      <c r="M159" s="596"/>
      <c r="N159" s="596"/>
      <c r="O159" s="609"/>
      <c r="P159" s="618" t="s">
        <v>72</v>
      </c>
      <c r="Q159" s="615"/>
      <c r="R159" s="615"/>
      <c r="S159" s="615"/>
      <c r="T159" s="615"/>
      <c r="U159" s="615"/>
      <c r="V159" s="616"/>
      <c r="W159" s="38" t="s">
        <v>73</v>
      </c>
      <c r="X159" s="593">
        <f>IFERROR(X157/H157,"0")+IFERROR(X158/H158,"0")</f>
        <v>0</v>
      </c>
      <c r="Y159" s="593">
        <f>IFERROR(Y157/H157,"0")+IFERROR(Y158/H158,"0")</f>
        <v>0</v>
      </c>
      <c r="Z159" s="593">
        <f>IFERROR(IF(Z157="",0,Z157),"0")+IFERROR(IF(Z158="",0,Z158),"0")</f>
        <v>0</v>
      </c>
      <c r="AA159" s="594"/>
      <c r="AB159" s="594"/>
      <c r="AC159" s="594"/>
    </row>
    <row r="160" spans="1:68" hidden="1" x14ac:dyDescent="0.2">
      <c r="A160" s="596"/>
      <c r="B160" s="596"/>
      <c r="C160" s="596"/>
      <c r="D160" s="596"/>
      <c r="E160" s="596"/>
      <c r="F160" s="596"/>
      <c r="G160" s="596"/>
      <c r="H160" s="596"/>
      <c r="I160" s="596"/>
      <c r="J160" s="596"/>
      <c r="K160" s="596"/>
      <c r="L160" s="596"/>
      <c r="M160" s="596"/>
      <c r="N160" s="596"/>
      <c r="O160" s="609"/>
      <c r="P160" s="618" t="s">
        <v>72</v>
      </c>
      <c r="Q160" s="615"/>
      <c r="R160" s="615"/>
      <c r="S160" s="615"/>
      <c r="T160" s="615"/>
      <c r="U160" s="615"/>
      <c r="V160" s="616"/>
      <c r="W160" s="38" t="s">
        <v>67</v>
      </c>
      <c r="X160" s="593">
        <f>IFERROR(SUM(X157:X158),"0")</f>
        <v>0</v>
      </c>
      <c r="Y160" s="593">
        <f>IFERROR(SUM(Y157:Y158),"0")</f>
        <v>0</v>
      </c>
      <c r="Z160" s="38"/>
      <c r="AA160" s="594"/>
      <c r="AB160" s="594"/>
      <c r="AC160" s="594"/>
    </row>
    <row r="161" spans="1:68" ht="14.25" hidden="1" customHeight="1" x14ac:dyDescent="0.25">
      <c r="A161" s="595" t="s">
        <v>152</v>
      </c>
      <c r="B161" s="596"/>
      <c r="C161" s="596"/>
      <c r="D161" s="596"/>
      <c r="E161" s="596"/>
      <c r="F161" s="596"/>
      <c r="G161" s="596"/>
      <c r="H161" s="596"/>
      <c r="I161" s="596"/>
      <c r="J161" s="596"/>
      <c r="K161" s="596"/>
      <c r="L161" s="596"/>
      <c r="M161" s="596"/>
      <c r="N161" s="596"/>
      <c r="O161" s="596"/>
      <c r="P161" s="596"/>
      <c r="Q161" s="596"/>
      <c r="R161" s="596"/>
      <c r="S161" s="596"/>
      <c r="T161" s="596"/>
      <c r="U161" s="596"/>
      <c r="V161" s="596"/>
      <c r="W161" s="596"/>
      <c r="X161" s="596"/>
      <c r="Y161" s="596"/>
      <c r="Z161" s="596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9">
        <v>4680115887695</v>
      </c>
      <c r="E162" s="600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7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6"/>
      <c r="R162" s="606"/>
      <c r="S162" s="606"/>
      <c r="T162" s="607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8"/>
      <c r="B163" s="596"/>
      <c r="C163" s="596"/>
      <c r="D163" s="596"/>
      <c r="E163" s="596"/>
      <c r="F163" s="596"/>
      <c r="G163" s="596"/>
      <c r="H163" s="596"/>
      <c r="I163" s="596"/>
      <c r="J163" s="596"/>
      <c r="K163" s="596"/>
      <c r="L163" s="596"/>
      <c r="M163" s="596"/>
      <c r="N163" s="596"/>
      <c r="O163" s="609"/>
      <c r="P163" s="618" t="s">
        <v>72</v>
      </c>
      <c r="Q163" s="615"/>
      <c r="R163" s="615"/>
      <c r="S163" s="615"/>
      <c r="T163" s="615"/>
      <c r="U163" s="615"/>
      <c r="V163" s="616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596"/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609"/>
      <c r="P164" s="618" t="s">
        <v>72</v>
      </c>
      <c r="Q164" s="615"/>
      <c r="R164" s="615"/>
      <c r="S164" s="615"/>
      <c r="T164" s="615"/>
      <c r="U164" s="615"/>
      <c r="V164" s="616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595" t="s">
        <v>62</v>
      </c>
      <c r="B165" s="596"/>
      <c r="C165" s="596"/>
      <c r="D165" s="596"/>
      <c r="E165" s="596"/>
      <c r="F165" s="596"/>
      <c r="G165" s="596"/>
      <c r="H165" s="596"/>
      <c r="I165" s="596"/>
      <c r="J165" s="596"/>
      <c r="K165" s="596"/>
      <c r="L165" s="596"/>
      <c r="M165" s="596"/>
      <c r="N165" s="596"/>
      <c r="O165" s="596"/>
      <c r="P165" s="596"/>
      <c r="Q165" s="596"/>
      <c r="R165" s="596"/>
      <c r="S165" s="596"/>
      <c r="T165" s="596"/>
      <c r="U165" s="596"/>
      <c r="V165" s="596"/>
      <c r="W165" s="596"/>
      <c r="X165" s="596"/>
      <c r="Y165" s="596"/>
      <c r="Z165" s="596"/>
      <c r="AA165" s="587"/>
      <c r="AB165" s="587"/>
      <c r="AC165" s="587"/>
    </row>
    <row r="166" spans="1:68" ht="27" customHeight="1" x14ac:dyDescent="0.25">
      <c r="A166" s="54" t="s">
        <v>274</v>
      </c>
      <c r="B166" s="54" t="s">
        <v>275</v>
      </c>
      <c r="C166" s="32">
        <v>4301031496</v>
      </c>
      <c r="D166" s="599">
        <v>4680115887428</v>
      </c>
      <c r="E166" s="600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6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6"/>
      <c r="R166" s="606"/>
      <c r="S166" s="606"/>
      <c r="T166" s="607"/>
      <c r="U166" s="35"/>
      <c r="V166" s="35"/>
      <c r="W166" s="36" t="s">
        <v>67</v>
      </c>
      <c r="X166" s="591">
        <v>92</v>
      </c>
      <c r="Y166" s="592">
        <f t="shared" ref="Y166:Y175" si="21">IFERROR(IF(X166="",0,CEILING((X166/$H166),1)*$H166),"")</f>
        <v>94.5</v>
      </c>
      <c r="Z166" s="37">
        <f>IFERROR(IF(Y166=0,"",ROUNDUP(Y166/H166,0)*0.00902),"")</f>
        <v>0.24354000000000001</v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96.994285714285724</v>
      </c>
      <c r="BN166" s="64">
        <f t="shared" ref="BN166:BN175" si="23">IFERROR(Y166*I166/H166,"0")</f>
        <v>99.63</v>
      </c>
      <c r="BO166" s="64">
        <f t="shared" ref="BO166:BO175" si="24">IFERROR(1/J166*(X166/H166),"0")</f>
        <v>0.19913419913419914</v>
      </c>
      <c r="BP166" s="64">
        <f t="shared" ref="BP166:BP175" si="25">IFERROR(1/J166*(Y166/H166),"0")</f>
        <v>0.20454545454545456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9">
        <v>4607091382426</v>
      </c>
      <c r="E167" s="600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8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6"/>
      <c r="R167" s="606"/>
      <c r="S167" s="606"/>
      <c r="T167" s="607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hidden="1" customHeight="1" x14ac:dyDescent="0.25">
      <c r="A168" s="54" t="s">
        <v>280</v>
      </c>
      <c r="B168" s="54" t="s">
        <v>281</v>
      </c>
      <c r="C168" s="32">
        <v>4301031498</v>
      </c>
      <c r="D168" s="599">
        <v>4680115887398</v>
      </c>
      <c r="E168" s="600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6"/>
      <c r="R168" s="606"/>
      <c r="S168" s="606"/>
      <c r="T168" s="607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283</v>
      </c>
      <c r="B169" s="54" t="s">
        <v>284</v>
      </c>
      <c r="C169" s="32">
        <v>4301031497</v>
      </c>
      <c r="D169" s="599">
        <v>4680115887336</v>
      </c>
      <c r="E169" s="600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6"/>
      <c r="R169" s="606"/>
      <c r="S169" s="606"/>
      <c r="T169" s="607"/>
      <c r="U169" s="35"/>
      <c r="V169" s="35"/>
      <c r="W169" s="36" t="s">
        <v>67</v>
      </c>
      <c r="X169" s="591">
        <v>217</v>
      </c>
      <c r="Y169" s="592">
        <f t="shared" si="21"/>
        <v>217</v>
      </c>
      <c r="Z169" s="37">
        <f>IFERROR(IF(Y169=0,"",ROUNDUP(Y169/H169,0)*0.00902),"")</f>
        <v>0.55923999999999996</v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228.78</v>
      </c>
      <c r="BN169" s="64">
        <f t="shared" si="23"/>
        <v>228.78</v>
      </c>
      <c r="BO169" s="64">
        <f t="shared" si="24"/>
        <v>0.46969696969696972</v>
      </c>
      <c r="BP169" s="64">
        <f t="shared" si="25"/>
        <v>0.46969696969696972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9">
        <v>4680115887787</v>
      </c>
      <c r="E170" s="600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9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6"/>
      <c r="R170" s="606"/>
      <c r="S170" s="606"/>
      <c r="T170" s="607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289</v>
      </c>
      <c r="B171" s="54" t="s">
        <v>290</v>
      </c>
      <c r="C171" s="32">
        <v>4301031448</v>
      </c>
      <c r="D171" s="599">
        <v>4680115887503</v>
      </c>
      <c r="E171" s="600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6"/>
      <c r="R171" s="606"/>
      <c r="S171" s="606"/>
      <c r="T171" s="607"/>
      <c r="U171" s="35"/>
      <c r="V171" s="35"/>
      <c r="W171" s="36" t="s">
        <v>67</v>
      </c>
      <c r="X171" s="591">
        <v>46</v>
      </c>
      <c r="Y171" s="592">
        <f t="shared" si="21"/>
        <v>47.04</v>
      </c>
      <c r="Z171" s="37">
        <f>IFERROR(IF(Y171=0,"",ROUNDUP(Y171/H171,0)*0.00502),"")</f>
        <v>0.14056000000000002</v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48.738095238095234</v>
      </c>
      <c r="BN171" s="64">
        <f t="shared" si="23"/>
        <v>49.84</v>
      </c>
      <c r="BO171" s="64">
        <f t="shared" si="24"/>
        <v>0.11701261701261703</v>
      </c>
      <c r="BP171" s="64">
        <f t="shared" si="25"/>
        <v>0.11965811965811968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9">
        <v>4680115887763</v>
      </c>
      <c r="E172" s="600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6"/>
      <c r="R172" s="606"/>
      <c r="S172" s="606"/>
      <c r="T172" s="607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2">
        <v>4301031454</v>
      </c>
      <c r="D173" s="599">
        <v>4680115887480</v>
      </c>
      <c r="E173" s="600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90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6"/>
      <c r="R173" s="606"/>
      <c r="S173" s="606"/>
      <c r="T173" s="607"/>
      <c r="U173" s="35"/>
      <c r="V173" s="35"/>
      <c r="W173" s="36" t="s">
        <v>67</v>
      </c>
      <c r="X173" s="591">
        <v>0</v>
      </c>
      <c r="Y173" s="592">
        <f t="shared" si="21"/>
        <v>0</v>
      </c>
      <c r="Z173" s="37" t="str">
        <f>IFERROR(IF(Y173=0,"",ROUNDUP(Y173/H173,0)*0.00502),"")</f>
        <v/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9">
        <v>4680115888067</v>
      </c>
      <c r="E174" s="600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6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6"/>
      <c r="R174" s="606"/>
      <c r="S174" s="606"/>
      <c r="T174" s="607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299</v>
      </c>
      <c r="B175" s="54" t="s">
        <v>300</v>
      </c>
      <c r="C175" s="32">
        <v>4301031451</v>
      </c>
      <c r="D175" s="599">
        <v>4680115887435</v>
      </c>
      <c r="E175" s="600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7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6"/>
      <c r="R175" s="606"/>
      <c r="S175" s="606"/>
      <c r="T175" s="607"/>
      <c r="U175" s="35"/>
      <c r="V175" s="35"/>
      <c r="W175" s="36" t="s">
        <v>67</v>
      </c>
      <c r="X175" s="591">
        <v>34</v>
      </c>
      <c r="Y175" s="592">
        <f t="shared" si="21"/>
        <v>35.28</v>
      </c>
      <c r="Z175" s="37">
        <f>IFERROR(IF(Y175=0,"",ROUNDUP(Y175/H175,0)*0.00502),"")</f>
        <v>0.10542</v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36.023809523809526</v>
      </c>
      <c r="BN175" s="64">
        <f t="shared" si="23"/>
        <v>37.380000000000003</v>
      </c>
      <c r="BO175" s="64">
        <f t="shared" si="24"/>
        <v>8.648758648758649E-2</v>
      </c>
      <c r="BP175" s="64">
        <f t="shared" si="25"/>
        <v>8.9743589743589758E-2</v>
      </c>
    </row>
    <row r="176" spans="1:68" x14ac:dyDescent="0.2">
      <c r="A176" s="608"/>
      <c r="B176" s="596"/>
      <c r="C176" s="596"/>
      <c r="D176" s="596"/>
      <c r="E176" s="596"/>
      <c r="F176" s="596"/>
      <c r="G176" s="596"/>
      <c r="H176" s="596"/>
      <c r="I176" s="596"/>
      <c r="J176" s="596"/>
      <c r="K176" s="596"/>
      <c r="L176" s="596"/>
      <c r="M176" s="596"/>
      <c r="N176" s="596"/>
      <c r="O176" s="609"/>
      <c r="P176" s="618" t="s">
        <v>72</v>
      </c>
      <c r="Q176" s="615"/>
      <c r="R176" s="615"/>
      <c r="S176" s="615"/>
      <c r="T176" s="615"/>
      <c r="U176" s="615"/>
      <c r="V176" s="616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135.9047619047619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138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1.0487599999999999</v>
      </c>
      <c r="AA176" s="594"/>
      <c r="AB176" s="594"/>
      <c r="AC176" s="594"/>
    </row>
    <row r="177" spans="1:68" x14ac:dyDescent="0.2">
      <c r="A177" s="596"/>
      <c r="B177" s="596"/>
      <c r="C177" s="596"/>
      <c r="D177" s="596"/>
      <c r="E177" s="596"/>
      <c r="F177" s="596"/>
      <c r="G177" s="596"/>
      <c r="H177" s="596"/>
      <c r="I177" s="596"/>
      <c r="J177" s="596"/>
      <c r="K177" s="596"/>
      <c r="L177" s="596"/>
      <c r="M177" s="596"/>
      <c r="N177" s="596"/>
      <c r="O177" s="609"/>
      <c r="P177" s="618" t="s">
        <v>72</v>
      </c>
      <c r="Q177" s="615"/>
      <c r="R177" s="615"/>
      <c r="S177" s="615"/>
      <c r="T177" s="615"/>
      <c r="U177" s="615"/>
      <c r="V177" s="616"/>
      <c r="W177" s="38" t="s">
        <v>67</v>
      </c>
      <c r="X177" s="593">
        <f>IFERROR(SUM(X166:X175),"0")</f>
        <v>389</v>
      </c>
      <c r="Y177" s="593">
        <f>IFERROR(SUM(Y166:Y175),"0")</f>
        <v>393.82000000000005</v>
      </c>
      <c r="Z177" s="38"/>
      <c r="AA177" s="594"/>
      <c r="AB177" s="594"/>
      <c r="AC177" s="594"/>
    </row>
    <row r="178" spans="1:68" ht="14.25" hidden="1" customHeight="1" x14ac:dyDescent="0.25">
      <c r="A178" s="595" t="s">
        <v>74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6"/>
      <c r="U178" s="596"/>
      <c r="V178" s="596"/>
      <c r="W178" s="596"/>
      <c r="X178" s="596"/>
      <c r="Y178" s="596"/>
      <c r="Z178" s="596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9">
        <v>4680115888395</v>
      </c>
      <c r="E179" s="600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77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6"/>
      <c r="R179" s="606"/>
      <c r="S179" s="606"/>
      <c r="T179" s="607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9">
        <v>4680115888371</v>
      </c>
      <c r="E180" s="600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8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6"/>
      <c r="R180" s="606"/>
      <c r="S180" s="606"/>
      <c r="T180" s="607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307</v>
      </c>
      <c r="B181" s="54" t="s">
        <v>308</v>
      </c>
      <c r="C181" s="32">
        <v>4301052064</v>
      </c>
      <c r="D181" s="599">
        <v>4680115887459</v>
      </c>
      <c r="E181" s="600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6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6"/>
      <c r="R181" s="606"/>
      <c r="S181" s="606"/>
      <c r="T181" s="607"/>
      <c r="U181" s="35"/>
      <c r="V181" s="35"/>
      <c r="W181" s="36" t="s">
        <v>67</v>
      </c>
      <c r="X181" s="591">
        <v>0</v>
      </c>
      <c r="Y181" s="592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8"/>
      <c r="B182" s="596"/>
      <c r="C182" s="596"/>
      <c r="D182" s="596"/>
      <c r="E182" s="596"/>
      <c r="F182" s="596"/>
      <c r="G182" s="596"/>
      <c r="H182" s="596"/>
      <c r="I182" s="596"/>
      <c r="J182" s="596"/>
      <c r="K182" s="596"/>
      <c r="L182" s="596"/>
      <c r="M182" s="596"/>
      <c r="N182" s="596"/>
      <c r="O182" s="609"/>
      <c r="P182" s="618" t="s">
        <v>72</v>
      </c>
      <c r="Q182" s="615"/>
      <c r="R182" s="615"/>
      <c r="S182" s="615"/>
      <c r="T182" s="615"/>
      <c r="U182" s="615"/>
      <c r="V182" s="616"/>
      <c r="W182" s="38" t="s">
        <v>73</v>
      </c>
      <c r="X182" s="593">
        <f>IFERROR(X179/H179,"0")+IFERROR(X180/H180,"0")+IFERROR(X181/H181,"0")</f>
        <v>0</v>
      </c>
      <c r="Y182" s="593">
        <f>IFERROR(Y179/H179,"0")+IFERROR(Y180/H180,"0")+IFERROR(Y181/H181,"0")</f>
        <v>0</v>
      </c>
      <c r="Z182" s="593">
        <f>IFERROR(IF(Z179="",0,Z179),"0")+IFERROR(IF(Z180="",0,Z180),"0")+IFERROR(IF(Z181="",0,Z181),"0")</f>
        <v>0</v>
      </c>
      <c r="AA182" s="594"/>
      <c r="AB182" s="594"/>
      <c r="AC182" s="594"/>
    </row>
    <row r="183" spans="1:68" hidden="1" x14ac:dyDescent="0.2">
      <c r="A183" s="596"/>
      <c r="B183" s="596"/>
      <c r="C183" s="596"/>
      <c r="D183" s="596"/>
      <c r="E183" s="596"/>
      <c r="F183" s="596"/>
      <c r="G183" s="596"/>
      <c r="H183" s="596"/>
      <c r="I183" s="596"/>
      <c r="J183" s="596"/>
      <c r="K183" s="596"/>
      <c r="L183" s="596"/>
      <c r="M183" s="596"/>
      <c r="N183" s="596"/>
      <c r="O183" s="609"/>
      <c r="P183" s="618" t="s">
        <v>72</v>
      </c>
      <c r="Q183" s="615"/>
      <c r="R183" s="615"/>
      <c r="S183" s="615"/>
      <c r="T183" s="615"/>
      <c r="U183" s="615"/>
      <c r="V183" s="616"/>
      <c r="W183" s="38" t="s">
        <v>67</v>
      </c>
      <c r="X183" s="593">
        <f>IFERROR(SUM(X179:X181),"0")</f>
        <v>0</v>
      </c>
      <c r="Y183" s="593">
        <f>IFERROR(SUM(Y179:Y181),"0")</f>
        <v>0</v>
      </c>
      <c r="Z183" s="38"/>
      <c r="AA183" s="594"/>
      <c r="AB183" s="594"/>
      <c r="AC183" s="594"/>
    </row>
    <row r="184" spans="1:68" ht="14.25" hidden="1" customHeight="1" x14ac:dyDescent="0.25">
      <c r="A184" s="595" t="s">
        <v>95</v>
      </c>
      <c r="B184" s="596"/>
      <c r="C184" s="596"/>
      <c r="D184" s="596"/>
      <c r="E184" s="596"/>
      <c r="F184" s="596"/>
      <c r="G184" s="596"/>
      <c r="H184" s="596"/>
      <c r="I184" s="596"/>
      <c r="J184" s="596"/>
      <c r="K184" s="596"/>
      <c r="L184" s="596"/>
      <c r="M184" s="596"/>
      <c r="N184" s="596"/>
      <c r="O184" s="596"/>
      <c r="P184" s="596"/>
      <c r="Q184" s="596"/>
      <c r="R184" s="596"/>
      <c r="S184" s="596"/>
      <c r="T184" s="596"/>
      <c r="U184" s="596"/>
      <c r="V184" s="596"/>
      <c r="W184" s="596"/>
      <c r="X184" s="596"/>
      <c r="Y184" s="596"/>
      <c r="Z184" s="596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9">
        <v>4680115889026</v>
      </c>
      <c r="E185" s="600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80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6"/>
      <c r="R185" s="606"/>
      <c r="S185" s="606"/>
      <c r="T185" s="607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9">
        <v>4680115889088</v>
      </c>
      <c r="E186" s="600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6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6"/>
      <c r="R186" s="606"/>
      <c r="S186" s="606"/>
      <c r="T186" s="607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8"/>
      <c r="B187" s="596"/>
      <c r="C187" s="596"/>
      <c r="D187" s="596"/>
      <c r="E187" s="596"/>
      <c r="F187" s="596"/>
      <c r="G187" s="596"/>
      <c r="H187" s="596"/>
      <c r="I187" s="596"/>
      <c r="J187" s="596"/>
      <c r="K187" s="596"/>
      <c r="L187" s="596"/>
      <c r="M187" s="596"/>
      <c r="N187" s="596"/>
      <c r="O187" s="609"/>
      <c r="P187" s="618" t="s">
        <v>72</v>
      </c>
      <c r="Q187" s="615"/>
      <c r="R187" s="615"/>
      <c r="S187" s="615"/>
      <c r="T187" s="615"/>
      <c r="U187" s="615"/>
      <c r="V187" s="616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596"/>
      <c r="B188" s="596"/>
      <c r="C188" s="596"/>
      <c r="D188" s="596"/>
      <c r="E188" s="596"/>
      <c r="F188" s="596"/>
      <c r="G188" s="596"/>
      <c r="H188" s="596"/>
      <c r="I188" s="596"/>
      <c r="J188" s="596"/>
      <c r="K188" s="596"/>
      <c r="L188" s="596"/>
      <c r="M188" s="596"/>
      <c r="N188" s="596"/>
      <c r="O188" s="609"/>
      <c r="P188" s="618" t="s">
        <v>72</v>
      </c>
      <c r="Q188" s="615"/>
      <c r="R188" s="615"/>
      <c r="S188" s="615"/>
      <c r="T188" s="615"/>
      <c r="U188" s="615"/>
      <c r="V188" s="616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595" t="s">
        <v>318</v>
      </c>
      <c r="B189" s="596"/>
      <c r="C189" s="596"/>
      <c r="D189" s="596"/>
      <c r="E189" s="596"/>
      <c r="F189" s="596"/>
      <c r="G189" s="596"/>
      <c r="H189" s="596"/>
      <c r="I189" s="596"/>
      <c r="J189" s="596"/>
      <c r="K189" s="596"/>
      <c r="L189" s="596"/>
      <c r="M189" s="596"/>
      <c r="N189" s="596"/>
      <c r="O189" s="596"/>
      <c r="P189" s="596"/>
      <c r="Q189" s="596"/>
      <c r="R189" s="596"/>
      <c r="S189" s="596"/>
      <c r="T189" s="596"/>
      <c r="U189" s="596"/>
      <c r="V189" s="596"/>
      <c r="W189" s="596"/>
      <c r="X189" s="596"/>
      <c r="Y189" s="596"/>
      <c r="Z189" s="596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9">
        <v>4680115889033</v>
      </c>
      <c r="E190" s="600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7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6"/>
      <c r="R190" s="606"/>
      <c r="S190" s="606"/>
      <c r="T190" s="607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8"/>
      <c r="B191" s="596"/>
      <c r="C191" s="596"/>
      <c r="D191" s="596"/>
      <c r="E191" s="596"/>
      <c r="F191" s="596"/>
      <c r="G191" s="596"/>
      <c r="H191" s="596"/>
      <c r="I191" s="596"/>
      <c r="J191" s="596"/>
      <c r="K191" s="596"/>
      <c r="L191" s="596"/>
      <c r="M191" s="596"/>
      <c r="N191" s="596"/>
      <c r="O191" s="609"/>
      <c r="P191" s="618" t="s">
        <v>72</v>
      </c>
      <c r="Q191" s="615"/>
      <c r="R191" s="615"/>
      <c r="S191" s="615"/>
      <c r="T191" s="615"/>
      <c r="U191" s="615"/>
      <c r="V191" s="616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596"/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609"/>
      <c r="P192" s="618" t="s">
        <v>72</v>
      </c>
      <c r="Q192" s="615"/>
      <c r="R192" s="615"/>
      <c r="S192" s="615"/>
      <c r="T192" s="615"/>
      <c r="U192" s="615"/>
      <c r="V192" s="616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620" t="s">
        <v>322</v>
      </c>
      <c r="B193" s="621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21"/>
      <c r="O193" s="621"/>
      <c r="P193" s="621"/>
      <c r="Q193" s="621"/>
      <c r="R193" s="621"/>
      <c r="S193" s="621"/>
      <c r="T193" s="621"/>
      <c r="U193" s="621"/>
      <c r="V193" s="621"/>
      <c r="W193" s="621"/>
      <c r="X193" s="621"/>
      <c r="Y193" s="621"/>
      <c r="Z193" s="621"/>
      <c r="AA193" s="49"/>
      <c r="AB193" s="49"/>
      <c r="AC193" s="49"/>
    </row>
    <row r="194" spans="1:68" ht="16.5" hidden="1" customHeight="1" x14ac:dyDescent="0.25">
      <c r="A194" s="601" t="s">
        <v>323</v>
      </c>
      <c r="B194" s="596"/>
      <c r="C194" s="596"/>
      <c r="D194" s="596"/>
      <c r="E194" s="596"/>
      <c r="F194" s="596"/>
      <c r="G194" s="596"/>
      <c r="H194" s="596"/>
      <c r="I194" s="596"/>
      <c r="J194" s="596"/>
      <c r="K194" s="596"/>
      <c r="L194" s="596"/>
      <c r="M194" s="596"/>
      <c r="N194" s="596"/>
      <c r="O194" s="596"/>
      <c r="P194" s="596"/>
      <c r="Q194" s="596"/>
      <c r="R194" s="596"/>
      <c r="S194" s="596"/>
      <c r="T194" s="596"/>
      <c r="U194" s="596"/>
      <c r="V194" s="596"/>
      <c r="W194" s="596"/>
      <c r="X194" s="596"/>
      <c r="Y194" s="596"/>
      <c r="Z194" s="596"/>
      <c r="AA194" s="586"/>
      <c r="AB194" s="586"/>
      <c r="AC194" s="586"/>
    </row>
    <row r="195" spans="1:68" ht="14.25" hidden="1" customHeight="1" x14ac:dyDescent="0.25">
      <c r="A195" s="595" t="s">
        <v>117</v>
      </c>
      <c r="B195" s="596"/>
      <c r="C195" s="596"/>
      <c r="D195" s="596"/>
      <c r="E195" s="596"/>
      <c r="F195" s="596"/>
      <c r="G195" s="596"/>
      <c r="H195" s="596"/>
      <c r="I195" s="596"/>
      <c r="J195" s="596"/>
      <c r="K195" s="596"/>
      <c r="L195" s="596"/>
      <c r="M195" s="596"/>
      <c r="N195" s="596"/>
      <c r="O195" s="596"/>
      <c r="P195" s="596"/>
      <c r="Q195" s="596"/>
      <c r="R195" s="596"/>
      <c r="S195" s="596"/>
      <c r="T195" s="596"/>
      <c r="U195" s="596"/>
      <c r="V195" s="596"/>
      <c r="W195" s="596"/>
      <c r="X195" s="596"/>
      <c r="Y195" s="596"/>
      <c r="Z195" s="596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9">
        <v>4607091383423</v>
      </c>
      <c r="E196" s="600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6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6"/>
      <c r="R196" s="606"/>
      <c r="S196" s="606"/>
      <c r="T196" s="607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9">
        <v>4680115886957</v>
      </c>
      <c r="E197" s="600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81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6"/>
      <c r="R197" s="606"/>
      <c r="S197" s="606"/>
      <c r="T197" s="607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9">
        <v>4680115885660</v>
      </c>
      <c r="E198" s="600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6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6"/>
      <c r="R198" s="606"/>
      <c r="S198" s="606"/>
      <c r="T198" s="607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9">
        <v>4680115886773</v>
      </c>
      <c r="E199" s="600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65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6"/>
      <c r="R199" s="606"/>
      <c r="S199" s="606"/>
      <c r="T199" s="607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8"/>
      <c r="B200" s="596"/>
      <c r="C200" s="596"/>
      <c r="D200" s="596"/>
      <c r="E200" s="596"/>
      <c r="F200" s="596"/>
      <c r="G200" s="596"/>
      <c r="H200" s="596"/>
      <c r="I200" s="596"/>
      <c r="J200" s="596"/>
      <c r="K200" s="596"/>
      <c r="L200" s="596"/>
      <c r="M200" s="596"/>
      <c r="N200" s="596"/>
      <c r="O200" s="609"/>
      <c r="P200" s="618" t="s">
        <v>72</v>
      </c>
      <c r="Q200" s="615"/>
      <c r="R200" s="615"/>
      <c r="S200" s="615"/>
      <c r="T200" s="615"/>
      <c r="U200" s="615"/>
      <c r="V200" s="616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596"/>
      <c r="B201" s="596"/>
      <c r="C201" s="596"/>
      <c r="D201" s="596"/>
      <c r="E201" s="596"/>
      <c r="F201" s="596"/>
      <c r="G201" s="596"/>
      <c r="H201" s="596"/>
      <c r="I201" s="596"/>
      <c r="J201" s="596"/>
      <c r="K201" s="596"/>
      <c r="L201" s="596"/>
      <c r="M201" s="596"/>
      <c r="N201" s="596"/>
      <c r="O201" s="609"/>
      <c r="P201" s="618" t="s">
        <v>72</v>
      </c>
      <c r="Q201" s="615"/>
      <c r="R201" s="615"/>
      <c r="S201" s="615"/>
      <c r="T201" s="615"/>
      <c r="U201" s="615"/>
      <c r="V201" s="616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1" t="s">
        <v>335</v>
      </c>
      <c r="B202" s="596"/>
      <c r="C202" s="596"/>
      <c r="D202" s="596"/>
      <c r="E202" s="596"/>
      <c r="F202" s="596"/>
      <c r="G202" s="596"/>
      <c r="H202" s="596"/>
      <c r="I202" s="596"/>
      <c r="J202" s="596"/>
      <c r="K202" s="596"/>
      <c r="L202" s="596"/>
      <c r="M202" s="596"/>
      <c r="N202" s="596"/>
      <c r="O202" s="596"/>
      <c r="P202" s="596"/>
      <c r="Q202" s="596"/>
      <c r="R202" s="596"/>
      <c r="S202" s="596"/>
      <c r="T202" s="596"/>
      <c r="U202" s="596"/>
      <c r="V202" s="596"/>
      <c r="W202" s="596"/>
      <c r="X202" s="596"/>
      <c r="Y202" s="596"/>
      <c r="Z202" s="596"/>
      <c r="AA202" s="586"/>
      <c r="AB202" s="586"/>
      <c r="AC202" s="586"/>
    </row>
    <row r="203" spans="1:68" ht="14.25" hidden="1" customHeight="1" x14ac:dyDescent="0.25">
      <c r="A203" s="595" t="s">
        <v>152</v>
      </c>
      <c r="B203" s="596"/>
      <c r="C203" s="596"/>
      <c r="D203" s="596"/>
      <c r="E203" s="596"/>
      <c r="F203" s="596"/>
      <c r="G203" s="596"/>
      <c r="H203" s="596"/>
      <c r="I203" s="596"/>
      <c r="J203" s="596"/>
      <c r="K203" s="596"/>
      <c r="L203" s="596"/>
      <c r="M203" s="596"/>
      <c r="N203" s="596"/>
      <c r="O203" s="596"/>
      <c r="P203" s="596"/>
      <c r="Q203" s="596"/>
      <c r="R203" s="596"/>
      <c r="S203" s="596"/>
      <c r="T203" s="596"/>
      <c r="U203" s="596"/>
      <c r="V203" s="596"/>
      <c r="W203" s="596"/>
      <c r="X203" s="596"/>
      <c r="Y203" s="596"/>
      <c r="Z203" s="596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9">
        <v>4680115886223</v>
      </c>
      <c r="E204" s="600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6"/>
      <c r="R204" s="606"/>
      <c r="S204" s="606"/>
      <c r="T204" s="607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8"/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609"/>
      <c r="P205" s="618" t="s">
        <v>72</v>
      </c>
      <c r="Q205" s="615"/>
      <c r="R205" s="615"/>
      <c r="S205" s="615"/>
      <c r="T205" s="615"/>
      <c r="U205" s="615"/>
      <c r="V205" s="616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596"/>
      <c r="B206" s="596"/>
      <c r="C206" s="596"/>
      <c r="D206" s="596"/>
      <c r="E206" s="596"/>
      <c r="F206" s="596"/>
      <c r="G206" s="596"/>
      <c r="H206" s="596"/>
      <c r="I206" s="596"/>
      <c r="J206" s="596"/>
      <c r="K206" s="596"/>
      <c r="L206" s="596"/>
      <c r="M206" s="596"/>
      <c r="N206" s="596"/>
      <c r="O206" s="609"/>
      <c r="P206" s="618" t="s">
        <v>72</v>
      </c>
      <c r="Q206" s="615"/>
      <c r="R206" s="615"/>
      <c r="S206" s="615"/>
      <c r="T206" s="615"/>
      <c r="U206" s="615"/>
      <c r="V206" s="616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595" t="s">
        <v>62</v>
      </c>
      <c r="B207" s="596"/>
      <c r="C207" s="596"/>
      <c r="D207" s="596"/>
      <c r="E207" s="596"/>
      <c r="F207" s="596"/>
      <c r="G207" s="596"/>
      <c r="H207" s="596"/>
      <c r="I207" s="596"/>
      <c r="J207" s="596"/>
      <c r="K207" s="596"/>
      <c r="L207" s="596"/>
      <c r="M207" s="596"/>
      <c r="N207" s="596"/>
      <c r="O207" s="596"/>
      <c r="P207" s="596"/>
      <c r="Q207" s="596"/>
      <c r="R207" s="596"/>
      <c r="S207" s="596"/>
      <c r="T207" s="596"/>
      <c r="U207" s="596"/>
      <c r="V207" s="596"/>
      <c r="W207" s="596"/>
      <c r="X207" s="596"/>
      <c r="Y207" s="596"/>
      <c r="Z207" s="596"/>
      <c r="AA207" s="587"/>
      <c r="AB207" s="587"/>
      <c r="AC207" s="587"/>
    </row>
    <row r="208" spans="1:68" ht="27" hidden="1" customHeight="1" x14ac:dyDescent="0.25">
      <c r="A208" s="54" t="s">
        <v>339</v>
      </c>
      <c r="B208" s="54" t="s">
        <v>340</v>
      </c>
      <c r="C208" s="32">
        <v>4301031191</v>
      </c>
      <c r="D208" s="599">
        <v>4680115880993</v>
      </c>
      <c r="E208" s="600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6"/>
      <c r="R208" s="606"/>
      <c r="S208" s="606"/>
      <c r="T208" s="607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hidden="1" customHeight="1" x14ac:dyDescent="0.25">
      <c r="A209" s="54" t="s">
        <v>342</v>
      </c>
      <c r="B209" s="54" t="s">
        <v>343</v>
      </c>
      <c r="C209" s="32">
        <v>4301031204</v>
      </c>
      <c r="D209" s="599">
        <v>4680115881761</v>
      </c>
      <c r="E209" s="600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6"/>
      <c r="R209" s="606"/>
      <c r="S209" s="606"/>
      <c r="T209" s="607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customHeight="1" x14ac:dyDescent="0.25">
      <c r="A210" s="54" t="s">
        <v>345</v>
      </c>
      <c r="B210" s="54" t="s">
        <v>346</v>
      </c>
      <c r="C210" s="32">
        <v>4301031201</v>
      </c>
      <c r="D210" s="599">
        <v>4680115881563</v>
      </c>
      <c r="E210" s="600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6"/>
      <c r="R210" s="606"/>
      <c r="S210" s="606"/>
      <c r="T210" s="607"/>
      <c r="U210" s="35"/>
      <c r="V210" s="35"/>
      <c r="W210" s="36" t="s">
        <v>67</v>
      </c>
      <c r="X210" s="591">
        <v>110</v>
      </c>
      <c r="Y210" s="592">
        <f t="shared" si="26"/>
        <v>113.4</v>
      </c>
      <c r="Z210" s="37">
        <f>IFERROR(IF(Y210=0,"",ROUNDUP(Y210/H210,0)*0.00902),"")</f>
        <v>0.24354000000000001</v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114.97619047619047</v>
      </c>
      <c r="BN210" s="64">
        <f t="shared" si="28"/>
        <v>118.52999999999999</v>
      </c>
      <c r="BO210" s="64">
        <f t="shared" si="29"/>
        <v>0.1984126984126984</v>
      </c>
      <c r="BP210" s="64">
        <f t="shared" si="30"/>
        <v>0.20454545454545456</v>
      </c>
    </row>
    <row r="211" spans="1:68" ht="37.5" customHeight="1" x14ac:dyDescent="0.25">
      <c r="A211" s="54" t="s">
        <v>348</v>
      </c>
      <c r="B211" s="54" t="s">
        <v>349</v>
      </c>
      <c r="C211" s="32">
        <v>4301031447</v>
      </c>
      <c r="D211" s="599">
        <v>4680115887565</v>
      </c>
      <c r="E211" s="600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6"/>
      <c r="R211" s="606"/>
      <c r="S211" s="606"/>
      <c r="T211" s="607"/>
      <c r="U211" s="35"/>
      <c r="V211" s="35"/>
      <c r="W211" s="36" t="s">
        <v>67</v>
      </c>
      <c r="X211" s="591">
        <v>6</v>
      </c>
      <c r="Y211" s="592">
        <f t="shared" si="26"/>
        <v>6.4</v>
      </c>
      <c r="Z211" s="37">
        <f>IFERROR(IF(Y211=0,"",ROUNDUP(Y211/H211,0)*0.00556),"")</f>
        <v>4.4479999999999999E-2</v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6.9749999999999996</v>
      </c>
      <c r="BN211" s="64">
        <f t="shared" si="28"/>
        <v>7.44</v>
      </c>
      <c r="BO211" s="64">
        <f t="shared" si="29"/>
        <v>2.976190476190476E-2</v>
      </c>
      <c r="BP211" s="64">
        <f t="shared" si="30"/>
        <v>3.1746031746031744E-2</v>
      </c>
    </row>
    <row r="212" spans="1:68" ht="27" customHeight="1" x14ac:dyDescent="0.25">
      <c r="A212" s="54" t="s">
        <v>351</v>
      </c>
      <c r="B212" s="54" t="s">
        <v>352</v>
      </c>
      <c r="C212" s="32">
        <v>4301031199</v>
      </c>
      <c r="D212" s="599">
        <v>4680115880986</v>
      </c>
      <c r="E212" s="600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8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6"/>
      <c r="R212" s="606"/>
      <c r="S212" s="606"/>
      <c r="T212" s="607"/>
      <c r="U212" s="35"/>
      <c r="V212" s="35"/>
      <c r="W212" s="36" t="s">
        <v>67</v>
      </c>
      <c r="X212" s="591">
        <v>15</v>
      </c>
      <c r="Y212" s="592">
        <f t="shared" si="26"/>
        <v>16.8</v>
      </c>
      <c r="Z212" s="37">
        <f t="shared" ref="Z212:Z217" si="31">IFERROR(IF(Y212=0,"",ROUNDUP(Y212/H212,0)*0.00502),"")</f>
        <v>4.0160000000000001E-2</v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15.928571428571429</v>
      </c>
      <c r="BN212" s="64">
        <f t="shared" si="28"/>
        <v>17.84</v>
      </c>
      <c r="BO212" s="64">
        <f t="shared" si="29"/>
        <v>3.0525030525030528E-2</v>
      </c>
      <c r="BP212" s="64">
        <f t="shared" si="30"/>
        <v>3.4188034188034191E-2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9">
        <v>4680115887213</v>
      </c>
      <c r="E213" s="600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9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6"/>
      <c r="R213" s="606"/>
      <c r="S213" s="606"/>
      <c r="T213" s="607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9">
        <v>4680115881785</v>
      </c>
      <c r="E214" s="600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6"/>
      <c r="R214" s="606"/>
      <c r="S214" s="606"/>
      <c r="T214" s="607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9">
        <v>4680115888432</v>
      </c>
      <c r="E215" s="600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9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6"/>
      <c r="R215" s="606"/>
      <c r="S215" s="606"/>
      <c r="T215" s="607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9">
        <v>4680115888104</v>
      </c>
      <c r="E216" s="600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9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6"/>
      <c r="R216" s="606"/>
      <c r="S216" s="606"/>
      <c r="T216" s="607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364</v>
      </c>
      <c r="B217" s="54" t="s">
        <v>365</v>
      </c>
      <c r="C217" s="32">
        <v>4301031399</v>
      </c>
      <c r="D217" s="599">
        <v>4680115886537</v>
      </c>
      <c r="E217" s="600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7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6"/>
      <c r="R217" s="606"/>
      <c r="S217" s="606"/>
      <c r="T217" s="607"/>
      <c r="U217" s="35"/>
      <c r="V217" s="35"/>
      <c r="W217" s="36" t="s">
        <v>67</v>
      </c>
      <c r="X217" s="591">
        <v>36</v>
      </c>
      <c r="Y217" s="592">
        <f t="shared" si="26"/>
        <v>36</v>
      </c>
      <c r="Z217" s="37">
        <f t="shared" si="31"/>
        <v>0.1004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38.6</v>
      </c>
      <c r="BN217" s="64">
        <f t="shared" si="28"/>
        <v>38.6</v>
      </c>
      <c r="BO217" s="64">
        <f t="shared" si="29"/>
        <v>8.5470085470085472E-2</v>
      </c>
      <c r="BP217" s="64">
        <f t="shared" si="30"/>
        <v>8.5470085470085472E-2</v>
      </c>
    </row>
    <row r="218" spans="1:68" ht="27" customHeight="1" x14ac:dyDescent="0.25">
      <c r="A218" s="54" t="s">
        <v>367</v>
      </c>
      <c r="B218" s="54" t="s">
        <v>368</v>
      </c>
      <c r="C218" s="32">
        <v>4301031279</v>
      </c>
      <c r="D218" s="599">
        <v>4680115887596</v>
      </c>
      <c r="E218" s="600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6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6"/>
      <c r="R218" s="606"/>
      <c r="S218" s="606"/>
      <c r="T218" s="607"/>
      <c r="U218" s="35"/>
      <c r="V218" s="35"/>
      <c r="W218" s="36" t="s">
        <v>67</v>
      </c>
      <c r="X218" s="591">
        <v>4</v>
      </c>
      <c r="Y218" s="592">
        <f t="shared" si="26"/>
        <v>4</v>
      </c>
      <c r="Z218" s="37">
        <f>IFERROR(IF(Y218=0,"",ROUNDUP(Y218/H218,0)*0.00417),"")</f>
        <v>2.085E-2</v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5.05</v>
      </c>
      <c r="BN218" s="64">
        <f t="shared" si="28"/>
        <v>5.05</v>
      </c>
      <c r="BO218" s="64">
        <f t="shared" si="29"/>
        <v>1.488095238095238E-2</v>
      </c>
      <c r="BP218" s="64">
        <f t="shared" si="30"/>
        <v>1.488095238095238E-2</v>
      </c>
    </row>
    <row r="219" spans="1:68" ht="37.5" customHeight="1" x14ac:dyDescent="0.25">
      <c r="A219" s="54" t="s">
        <v>370</v>
      </c>
      <c r="B219" s="54" t="s">
        <v>371</v>
      </c>
      <c r="C219" s="32">
        <v>4301031202</v>
      </c>
      <c r="D219" s="599">
        <v>4680115881679</v>
      </c>
      <c r="E219" s="600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6"/>
      <c r="R219" s="606"/>
      <c r="S219" s="606"/>
      <c r="T219" s="607"/>
      <c r="U219" s="35"/>
      <c r="V219" s="35"/>
      <c r="W219" s="36" t="s">
        <v>67</v>
      </c>
      <c r="X219" s="591">
        <v>329</v>
      </c>
      <c r="Y219" s="592">
        <f t="shared" si="26"/>
        <v>329.7</v>
      </c>
      <c r="Z219" s="37">
        <f>IFERROR(IF(Y219=0,"",ROUNDUP(Y219/H219,0)*0.00502),"")</f>
        <v>0.78814000000000006</v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344.66666666666669</v>
      </c>
      <c r="BN219" s="64">
        <f t="shared" si="28"/>
        <v>345.4</v>
      </c>
      <c r="BO219" s="64">
        <f t="shared" si="29"/>
        <v>0.66951566951566954</v>
      </c>
      <c r="BP219" s="64">
        <f t="shared" si="30"/>
        <v>0.670940170940171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9">
        <v>4680115880191</v>
      </c>
      <c r="E220" s="600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9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6"/>
      <c r="R220" s="606"/>
      <c r="S220" s="606"/>
      <c r="T220" s="607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9">
        <v>4680115883963</v>
      </c>
      <c r="E221" s="600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9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6"/>
      <c r="R221" s="606"/>
      <c r="S221" s="606"/>
      <c r="T221" s="607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8"/>
      <c r="B222" s="596"/>
      <c r="C222" s="596"/>
      <c r="D222" s="596"/>
      <c r="E222" s="596"/>
      <c r="F222" s="596"/>
      <c r="G222" s="596"/>
      <c r="H222" s="596"/>
      <c r="I222" s="596"/>
      <c r="J222" s="596"/>
      <c r="K222" s="596"/>
      <c r="L222" s="596"/>
      <c r="M222" s="596"/>
      <c r="N222" s="596"/>
      <c r="O222" s="609"/>
      <c r="P222" s="618" t="s">
        <v>72</v>
      </c>
      <c r="Q222" s="615"/>
      <c r="R222" s="615"/>
      <c r="S222" s="615"/>
      <c r="T222" s="615"/>
      <c r="U222" s="615"/>
      <c r="V222" s="616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222.5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225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1.2375700000000001</v>
      </c>
      <c r="AA222" s="594"/>
      <c r="AB222" s="594"/>
      <c r="AC222" s="594"/>
    </row>
    <row r="223" spans="1:68" x14ac:dyDescent="0.2">
      <c r="A223" s="596"/>
      <c r="B223" s="596"/>
      <c r="C223" s="596"/>
      <c r="D223" s="596"/>
      <c r="E223" s="596"/>
      <c r="F223" s="596"/>
      <c r="G223" s="596"/>
      <c r="H223" s="596"/>
      <c r="I223" s="596"/>
      <c r="J223" s="596"/>
      <c r="K223" s="596"/>
      <c r="L223" s="596"/>
      <c r="M223" s="596"/>
      <c r="N223" s="596"/>
      <c r="O223" s="609"/>
      <c r="P223" s="618" t="s">
        <v>72</v>
      </c>
      <c r="Q223" s="615"/>
      <c r="R223" s="615"/>
      <c r="S223" s="615"/>
      <c r="T223" s="615"/>
      <c r="U223" s="615"/>
      <c r="V223" s="616"/>
      <c r="W223" s="38" t="s">
        <v>67</v>
      </c>
      <c r="X223" s="593">
        <f>IFERROR(SUM(X208:X221),"0")</f>
        <v>500</v>
      </c>
      <c r="Y223" s="593">
        <f>IFERROR(SUM(Y208:Y221),"0")</f>
        <v>506.3</v>
      </c>
      <c r="Z223" s="38"/>
      <c r="AA223" s="594"/>
      <c r="AB223" s="594"/>
      <c r="AC223" s="594"/>
    </row>
    <row r="224" spans="1:68" ht="14.25" hidden="1" customHeight="1" x14ac:dyDescent="0.25">
      <c r="A224" s="595" t="s">
        <v>74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6"/>
      <c r="Q224" s="596"/>
      <c r="R224" s="596"/>
      <c r="S224" s="596"/>
      <c r="T224" s="596"/>
      <c r="U224" s="596"/>
      <c r="V224" s="596"/>
      <c r="W224" s="596"/>
      <c r="X224" s="596"/>
      <c r="Y224" s="596"/>
      <c r="Z224" s="596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9">
        <v>4680115888951</v>
      </c>
      <c r="E225" s="600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7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6"/>
      <c r="R225" s="606"/>
      <c r="S225" s="606"/>
      <c r="T225" s="607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9">
        <v>4680115888982</v>
      </c>
      <c r="E226" s="600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7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6"/>
      <c r="R226" s="606"/>
      <c r="S226" s="606"/>
      <c r="T226" s="607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8"/>
      <c r="B227" s="596"/>
      <c r="C227" s="596"/>
      <c r="D227" s="596"/>
      <c r="E227" s="596"/>
      <c r="F227" s="596"/>
      <c r="G227" s="596"/>
      <c r="H227" s="596"/>
      <c r="I227" s="596"/>
      <c r="J227" s="596"/>
      <c r="K227" s="596"/>
      <c r="L227" s="596"/>
      <c r="M227" s="596"/>
      <c r="N227" s="596"/>
      <c r="O227" s="609"/>
      <c r="P227" s="618" t="s">
        <v>72</v>
      </c>
      <c r="Q227" s="615"/>
      <c r="R227" s="615"/>
      <c r="S227" s="615"/>
      <c r="T227" s="615"/>
      <c r="U227" s="615"/>
      <c r="V227" s="616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596"/>
      <c r="B228" s="596"/>
      <c r="C228" s="596"/>
      <c r="D228" s="596"/>
      <c r="E228" s="596"/>
      <c r="F228" s="596"/>
      <c r="G228" s="596"/>
      <c r="H228" s="596"/>
      <c r="I228" s="596"/>
      <c r="J228" s="596"/>
      <c r="K228" s="596"/>
      <c r="L228" s="596"/>
      <c r="M228" s="596"/>
      <c r="N228" s="596"/>
      <c r="O228" s="609"/>
      <c r="P228" s="618" t="s">
        <v>72</v>
      </c>
      <c r="Q228" s="615"/>
      <c r="R228" s="615"/>
      <c r="S228" s="615"/>
      <c r="T228" s="615"/>
      <c r="U228" s="615"/>
      <c r="V228" s="616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595" t="s">
        <v>95</v>
      </c>
      <c r="B229" s="596"/>
      <c r="C229" s="596"/>
      <c r="D229" s="596"/>
      <c r="E229" s="596"/>
      <c r="F229" s="596"/>
      <c r="G229" s="596"/>
      <c r="H229" s="596"/>
      <c r="I229" s="596"/>
      <c r="J229" s="596"/>
      <c r="K229" s="596"/>
      <c r="L229" s="596"/>
      <c r="M229" s="596"/>
      <c r="N229" s="596"/>
      <c r="O229" s="596"/>
      <c r="P229" s="596"/>
      <c r="Q229" s="596"/>
      <c r="R229" s="596"/>
      <c r="S229" s="596"/>
      <c r="T229" s="596"/>
      <c r="U229" s="596"/>
      <c r="V229" s="596"/>
      <c r="W229" s="596"/>
      <c r="X229" s="596"/>
      <c r="Y229" s="596"/>
      <c r="Z229" s="596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9">
        <v>4680115886780</v>
      </c>
      <c r="E230" s="600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8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6"/>
      <c r="R230" s="606"/>
      <c r="S230" s="606"/>
      <c r="T230" s="607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386</v>
      </c>
      <c r="B231" s="54" t="s">
        <v>387</v>
      </c>
      <c r="C231" s="32">
        <v>4301032051</v>
      </c>
      <c r="D231" s="599">
        <v>4680115886742</v>
      </c>
      <c r="E231" s="600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9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6"/>
      <c r="R231" s="606"/>
      <c r="S231" s="606"/>
      <c r="T231" s="607"/>
      <c r="U231" s="35"/>
      <c r="V231" s="35"/>
      <c r="W231" s="36" t="s">
        <v>67</v>
      </c>
      <c r="X231" s="591">
        <v>0</v>
      </c>
      <c r="Y231" s="592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389</v>
      </c>
      <c r="B232" s="54" t="s">
        <v>390</v>
      </c>
      <c r="C232" s="32">
        <v>4301032052</v>
      </c>
      <c r="D232" s="599">
        <v>4680115886766</v>
      </c>
      <c r="E232" s="600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7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6"/>
      <c r="R232" s="606"/>
      <c r="S232" s="606"/>
      <c r="T232" s="607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idden="1" x14ac:dyDescent="0.2">
      <c r="A233" s="608"/>
      <c r="B233" s="596"/>
      <c r="C233" s="596"/>
      <c r="D233" s="596"/>
      <c r="E233" s="596"/>
      <c r="F233" s="596"/>
      <c r="G233" s="596"/>
      <c r="H233" s="596"/>
      <c r="I233" s="596"/>
      <c r="J233" s="596"/>
      <c r="K233" s="596"/>
      <c r="L233" s="596"/>
      <c r="M233" s="596"/>
      <c r="N233" s="596"/>
      <c r="O233" s="609"/>
      <c r="P233" s="618" t="s">
        <v>72</v>
      </c>
      <c r="Q233" s="615"/>
      <c r="R233" s="615"/>
      <c r="S233" s="615"/>
      <c r="T233" s="615"/>
      <c r="U233" s="615"/>
      <c r="V233" s="616"/>
      <c r="W233" s="38" t="s">
        <v>73</v>
      </c>
      <c r="X233" s="593">
        <f>IFERROR(X230/H230,"0")+IFERROR(X231/H231,"0")+IFERROR(X232/H232,"0")</f>
        <v>0</v>
      </c>
      <c r="Y233" s="593">
        <f>IFERROR(Y230/H230,"0")+IFERROR(Y231/H231,"0")+IFERROR(Y232/H232,"0")</f>
        <v>0</v>
      </c>
      <c r="Z233" s="593">
        <f>IFERROR(IF(Z230="",0,Z230),"0")+IFERROR(IF(Z231="",0,Z231),"0")+IFERROR(IF(Z232="",0,Z232),"0")</f>
        <v>0</v>
      </c>
      <c r="AA233" s="594"/>
      <c r="AB233" s="594"/>
      <c r="AC233" s="594"/>
    </row>
    <row r="234" spans="1:68" hidden="1" x14ac:dyDescent="0.2">
      <c r="A234" s="596"/>
      <c r="B234" s="596"/>
      <c r="C234" s="596"/>
      <c r="D234" s="596"/>
      <c r="E234" s="596"/>
      <c r="F234" s="596"/>
      <c r="G234" s="596"/>
      <c r="H234" s="596"/>
      <c r="I234" s="596"/>
      <c r="J234" s="596"/>
      <c r="K234" s="596"/>
      <c r="L234" s="596"/>
      <c r="M234" s="596"/>
      <c r="N234" s="596"/>
      <c r="O234" s="609"/>
      <c r="P234" s="618" t="s">
        <v>72</v>
      </c>
      <c r="Q234" s="615"/>
      <c r="R234" s="615"/>
      <c r="S234" s="615"/>
      <c r="T234" s="615"/>
      <c r="U234" s="615"/>
      <c r="V234" s="616"/>
      <c r="W234" s="38" t="s">
        <v>67</v>
      </c>
      <c r="X234" s="593">
        <f>IFERROR(SUM(X230:X232),"0")</f>
        <v>0</v>
      </c>
      <c r="Y234" s="593">
        <f>IFERROR(SUM(Y230:Y232),"0")</f>
        <v>0</v>
      </c>
      <c r="Z234" s="38"/>
      <c r="AA234" s="594"/>
      <c r="AB234" s="594"/>
      <c r="AC234" s="594"/>
    </row>
    <row r="235" spans="1:68" ht="14.25" hidden="1" customHeight="1" x14ac:dyDescent="0.25">
      <c r="A235" s="595" t="s">
        <v>391</v>
      </c>
      <c r="B235" s="596"/>
      <c r="C235" s="596"/>
      <c r="D235" s="596"/>
      <c r="E235" s="596"/>
      <c r="F235" s="596"/>
      <c r="G235" s="596"/>
      <c r="H235" s="596"/>
      <c r="I235" s="596"/>
      <c r="J235" s="596"/>
      <c r="K235" s="596"/>
      <c r="L235" s="596"/>
      <c r="M235" s="596"/>
      <c r="N235" s="596"/>
      <c r="O235" s="596"/>
      <c r="P235" s="596"/>
      <c r="Q235" s="596"/>
      <c r="R235" s="596"/>
      <c r="S235" s="596"/>
      <c r="T235" s="596"/>
      <c r="U235" s="596"/>
      <c r="V235" s="596"/>
      <c r="W235" s="596"/>
      <c r="X235" s="596"/>
      <c r="Y235" s="596"/>
      <c r="Z235" s="596"/>
      <c r="AA235" s="587"/>
      <c r="AB235" s="587"/>
      <c r="AC235" s="587"/>
    </row>
    <row r="236" spans="1:68" ht="27" customHeight="1" x14ac:dyDescent="0.25">
      <c r="A236" s="54" t="s">
        <v>392</v>
      </c>
      <c r="B236" s="54" t="s">
        <v>393</v>
      </c>
      <c r="C236" s="32">
        <v>4301170013</v>
      </c>
      <c r="D236" s="599">
        <v>4680115886797</v>
      </c>
      <c r="E236" s="600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6"/>
      <c r="R236" s="606"/>
      <c r="S236" s="606"/>
      <c r="T236" s="607"/>
      <c r="U236" s="35"/>
      <c r="V236" s="35"/>
      <c r="W236" s="36" t="s">
        <v>67</v>
      </c>
      <c r="X236" s="591">
        <v>2</v>
      </c>
      <c r="Y236" s="592">
        <f>IFERROR(IF(X236="",0,CEILING((X236/$H236),1)*$H236),"")</f>
        <v>2.52</v>
      </c>
      <c r="Z236" s="37">
        <f>IFERROR(IF(Y236=0,"",ROUNDUP(Y236/H236,0)*0.0059),"")</f>
        <v>1.18E-2</v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2.3015873015873014</v>
      </c>
      <c r="BN236" s="64">
        <f>IFERROR(Y236*I236/H236,"0")</f>
        <v>2.9</v>
      </c>
      <c r="BO236" s="64">
        <f>IFERROR(1/J236*(X236/H236),"0")</f>
        <v>7.3486184597295699E-3</v>
      </c>
      <c r="BP236" s="64">
        <f>IFERROR(1/J236*(Y236/H236),"0")</f>
        <v>9.2592592592592587E-3</v>
      </c>
    </row>
    <row r="237" spans="1:68" x14ac:dyDescent="0.2">
      <c r="A237" s="608"/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609"/>
      <c r="P237" s="618" t="s">
        <v>72</v>
      </c>
      <c r="Q237" s="615"/>
      <c r="R237" s="615"/>
      <c r="S237" s="615"/>
      <c r="T237" s="615"/>
      <c r="U237" s="615"/>
      <c r="V237" s="616"/>
      <c r="W237" s="38" t="s">
        <v>73</v>
      </c>
      <c r="X237" s="593">
        <f>IFERROR(X236/H236,"0")</f>
        <v>1.5873015873015872</v>
      </c>
      <c r="Y237" s="593">
        <f>IFERROR(Y236/H236,"0")</f>
        <v>2</v>
      </c>
      <c r="Z237" s="593">
        <f>IFERROR(IF(Z236="",0,Z236),"0")</f>
        <v>1.18E-2</v>
      </c>
      <c r="AA237" s="594"/>
      <c r="AB237" s="594"/>
      <c r="AC237" s="594"/>
    </row>
    <row r="238" spans="1:68" x14ac:dyDescent="0.2">
      <c r="A238" s="596"/>
      <c r="B238" s="596"/>
      <c r="C238" s="596"/>
      <c r="D238" s="596"/>
      <c r="E238" s="596"/>
      <c r="F238" s="596"/>
      <c r="G238" s="596"/>
      <c r="H238" s="596"/>
      <c r="I238" s="596"/>
      <c r="J238" s="596"/>
      <c r="K238" s="596"/>
      <c r="L238" s="596"/>
      <c r="M238" s="596"/>
      <c r="N238" s="596"/>
      <c r="O238" s="609"/>
      <c r="P238" s="618" t="s">
        <v>72</v>
      </c>
      <c r="Q238" s="615"/>
      <c r="R238" s="615"/>
      <c r="S238" s="615"/>
      <c r="T238" s="615"/>
      <c r="U238" s="615"/>
      <c r="V238" s="616"/>
      <c r="W238" s="38" t="s">
        <v>67</v>
      </c>
      <c r="X238" s="593">
        <f>IFERROR(SUM(X236:X236),"0")</f>
        <v>2</v>
      </c>
      <c r="Y238" s="593">
        <f>IFERROR(SUM(Y236:Y236),"0")</f>
        <v>2.52</v>
      </c>
      <c r="Z238" s="38"/>
      <c r="AA238" s="594"/>
      <c r="AB238" s="594"/>
      <c r="AC238" s="594"/>
    </row>
    <row r="239" spans="1:68" ht="16.5" hidden="1" customHeight="1" x14ac:dyDescent="0.25">
      <c r="A239" s="601" t="s">
        <v>394</v>
      </c>
      <c r="B239" s="596"/>
      <c r="C239" s="596"/>
      <c r="D239" s="596"/>
      <c r="E239" s="596"/>
      <c r="F239" s="596"/>
      <c r="G239" s="596"/>
      <c r="H239" s="596"/>
      <c r="I239" s="596"/>
      <c r="J239" s="596"/>
      <c r="K239" s="596"/>
      <c r="L239" s="596"/>
      <c r="M239" s="596"/>
      <c r="N239" s="596"/>
      <c r="O239" s="596"/>
      <c r="P239" s="596"/>
      <c r="Q239" s="596"/>
      <c r="R239" s="596"/>
      <c r="S239" s="596"/>
      <c r="T239" s="596"/>
      <c r="U239" s="596"/>
      <c r="V239" s="596"/>
      <c r="W239" s="596"/>
      <c r="X239" s="596"/>
      <c r="Y239" s="596"/>
      <c r="Z239" s="596"/>
      <c r="AA239" s="586"/>
      <c r="AB239" s="586"/>
      <c r="AC239" s="586"/>
    </row>
    <row r="240" spans="1:68" ht="14.25" hidden="1" customHeight="1" x14ac:dyDescent="0.25">
      <c r="A240" s="595" t="s">
        <v>117</v>
      </c>
      <c r="B240" s="596"/>
      <c r="C240" s="596"/>
      <c r="D240" s="596"/>
      <c r="E240" s="596"/>
      <c r="F240" s="596"/>
      <c r="G240" s="596"/>
      <c r="H240" s="596"/>
      <c r="I240" s="596"/>
      <c r="J240" s="596"/>
      <c r="K240" s="596"/>
      <c r="L240" s="596"/>
      <c r="M240" s="596"/>
      <c r="N240" s="596"/>
      <c r="O240" s="596"/>
      <c r="P240" s="596"/>
      <c r="Q240" s="596"/>
      <c r="R240" s="596"/>
      <c r="S240" s="596"/>
      <c r="T240" s="596"/>
      <c r="U240" s="596"/>
      <c r="V240" s="596"/>
      <c r="W240" s="596"/>
      <c r="X240" s="596"/>
      <c r="Y240" s="596"/>
      <c r="Z240" s="596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9">
        <v>4680115881402</v>
      </c>
      <c r="E241" s="600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6"/>
      <c r="R241" s="606"/>
      <c r="S241" s="606"/>
      <c r="T241" s="607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9">
        <v>4680115881396</v>
      </c>
      <c r="E242" s="600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8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6"/>
      <c r="R242" s="606"/>
      <c r="S242" s="606"/>
      <c r="T242" s="607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8"/>
      <c r="B243" s="596"/>
      <c r="C243" s="596"/>
      <c r="D243" s="596"/>
      <c r="E243" s="596"/>
      <c r="F243" s="596"/>
      <c r="G243" s="596"/>
      <c r="H243" s="596"/>
      <c r="I243" s="596"/>
      <c r="J243" s="596"/>
      <c r="K243" s="596"/>
      <c r="L243" s="596"/>
      <c r="M243" s="596"/>
      <c r="N243" s="596"/>
      <c r="O243" s="609"/>
      <c r="P243" s="618" t="s">
        <v>72</v>
      </c>
      <c r="Q243" s="615"/>
      <c r="R243" s="615"/>
      <c r="S243" s="615"/>
      <c r="T243" s="615"/>
      <c r="U243" s="615"/>
      <c r="V243" s="616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596"/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609"/>
      <c r="P244" s="618" t="s">
        <v>72</v>
      </c>
      <c r="Q244" s="615"/>
      <c r="R244" s="615"/>
      <c r="S244" s="615"/>
      <c r="T244" s="615"/>
      <c r="U244" s="615"/>
      <c r="V244" s="616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595" t="s">
        <v>152</v>
      </c>
      <c r="B245" s="596"/>
      <c r="C245" s="596"/>
      <c r="D245" s="596"/>
      <c r="E245" s="596"/>
      <c r="F245" s="596"/>
      <c r="G245" s="596"/>
      <c r="H245" s="596"/>
      <c r="I245" s="596"/>
      <c r="J245" s="596"/>
      <c r="K245" s="596"/>
      <c r="L245" s="596"/>
      <c r="M245" s="596"/>
      <c r="N245" s="596"/>
      <c r="O245" s="596"/>
      <c r="P245" s="596"/>
      <c r="Q245" s="596"/>
      <c r="R245" s="596"/>
      <c r="S245" s="596"/>
      <c r="T245" s="596"/>
      <c r="U245" s="596"/>
      <c r="V245" s="596"/>
      <c r="W245" s="596"/>
      <c r="X245" s="596"/>
      <c r="Y245" s="596"/>
      <c r="Z245" s="596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9">
        <v>4680115882935</v>
      </c>
      <c r="E246" s="600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6"/>
      <c r="R246" s="606"/>
      <c r="S246" s="606"/>
      <c r="T246" s="607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9">
        <v>4680115880764</v>
      </c>
      <c r="E247" s="600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6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6"/>
      <c r="R247" s="606"/>
      <c r="S247" s="606"/>
      <c r="T247" s="607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8"/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609"/>
      <c r="P248" s="618" t="s">
        <v>72</v>
      </c>
      <c r="Q248" s="615"/>
      <c r="R248" s="615"/>
      <c r="S248" s="615"/>
      <c r="T248" s="615"/>
      <c r="U248" s="615"/>
      <c r="V248" s="616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596"/>
      <c r="B249" s="596"/>
      <c r="C249" s="596"/>
      <c r="D249" s="596"/>
      <c r="E249" s="596"/>
      <c r="F249" s="596"/>
      <c r="G249" s="596"/>
      <c r="H249" s="596"/>
      <c r="I249" s="596"/>
      <c r="J249" s="596"/>
      <c r="K249" s="596"/>
      <c r="L249" s="596"/>
      <c r="M249" s="596"/>
      <c r="N249" s="596"/>
      <c r="O249" s="609"/>
      <c r="P249" s="618" t="s">
        <v>72</v>
      </c>
      <c r="Q249" s="615"/>
      <c r="R249" s="615"/>
      <c r="S249" s="615"/>
      <c r="T249" s="615"/>
      <c r="U249" s="615"/>
      <c r="V249" s="616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595" t="s">
        <v>62</v>
      </c>
      <c r="B250" s="596"/>
      <c r="C250" s="596"/>
      <c r="D250" s="596"/>
      <c r="E250" s="596"/>
      <c r="F250" s="596"/>
      <c r="G250" s="596"/>
      <c r="H250" s="596"/>
      <c r="I250" s="596"/>
      <c r="J250" s="596"/>
      <c r="K250" s="596"/>
      <c r="L250" s="596"/>
      <c r="M250" s="596"/>
      <c r="N250" s="596"/>
      <c r="O250" s="596"/>
      <c r="P250" s="596"/>
      <c r="Q250" s="596"/>
      <c r="R250" s="596"/>
      <c r="S250" s="596"/>
      <c r="T250" s="596"/>
      <c r="U250" s="596"/>
      <c r="V250" s="596"/>
      <c r="W250" s="596"/>
      <c r="X250" s="596"/>
      <c r="Y250" s="596"/>
      <c r="Z250" s="596"/>
      <c r="AA250" s="587"/>
      <c r="AB250" s="587"/>
      <c r="AC250" s="587"/>
    </row>
    <row r="251" spans="1:68" ht="27" customHeight="1" x14ac:dyDescent="0.25">
      <c r="A251" s="54" t="s">
        <v>405</v>
      </c>
      <c r="B251" s="54" t="s">
        <v>406</v>
      </c>
      <c r="C251" s="32">
        <v>4301031224</v>
      </c>
      <c r="D251" s="599">
        <v>4680115882683</v>
      </c>
      <c r="E251" s="600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7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6"/>
      <c r="R251" s="606"/>
      <c r="S251" s="606"/>
      <c r="T251" s="607"/>
      <c r="U251" s="35"/>
      <c r="V251" s="35"/>
      <c r="W251" s="36" t="s">
        <v>67</v>
      </c>
      <c r="X251" s="591">
        <v>175</v>
      </c>
      <c r="Y251" s="592">
        <f t="shared" ref="Y251:Y258" si="32">IFERROR(IF(X251="",0,CEILING((X251/$H251),1)*$H251),"")</f>
        <v>178.20000000000002</v>
      </c>
      <c r="Z251" s="37">
        <f>IFERROR(IF(Y251=0,"",ROUNDUP(Y251/H251,0)*0.00902),"")</f>
        <v>0.29766000000000004</v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181.15740740740739</v>
      </c>
      <c r="BN251" s="64">
        <f t="shared" ref="BN251:BN258" si="34">IFERROR(Y251*I251/H251,"0")</f>
        <v>184.47</v>
      </c>
      <c r="BO251" s="64">
        <f t="shared" ref="BO251:BO258" si="35">IFERROR(1/J251*(X251/H251),"0")</f>
        <v>0.24551066217732884</v>
      </c>
      <c r="BP251" s="64">
        <f t="shared" ref="BP251:BP258" si="36">IFERROR(1/J251*(Y251/H251),"0")</f>
        <v>0.25</v>
      </c>
    </row>
    <row r="252" spans="1:68" ht="27" hidden="1" customHeight="1" x14ac:dyDescent="0.25">
      <c r="A252" s="54" t="s">
        <v>408</v>
      </c>
      <c r="B252" s="54" t="s">
        <v>409</v>
      </c>
      <c r="C252" s="32">
        <v>4301031230</v>
      </c>
      <c r="D252" s="599">
        <v>4680115882690</v>
      </c>
      <c r="E252" s="600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9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6"/>
      <c r="R252" s="606"/>
      <c r="S252" s="606"/>
      <c r="T252" s="607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customHeight="1" x14ac:dyDescent="0.25">
      <c r="A253" s="54" t="s">
        <v>411</v>
      </c>
      <c r="B253" s="54" t="s">
        <v>412</v>
      </c>
      <c r="C253" s="32">
        <v>4301031220</v>
      </c>
      <c r="D253" s="599">
        <v>4680115882669</v>
      </c>
      <c r="E253" s="600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6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6"/>
      <c r="R253" s="606"/>
      <c r="S253" s="606"/>
      <c r="T253" s="607"/>
      <c r="U253" s="35"/>
      <c r="V253" s="35"/>
      <c r="W253" s="36" t="s">
        <v>67</v>
      </c>
      <c r="X253" s="591">
        <v>901</v>
      </c>
      <c r="Y253" s="592">
        <f t="shared" si="32"/>
        <v>901.80000000000007</v>
      </c>
      <c r="Z253" s="37">
        <f>IFERROR(IF(Y253=0,"",ROUNDUP(Y253/H253,0)*0.00902),"")</f>
        <v>1.50634</v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932.70185185185187</v>
      </c>
      <c r="BN253" s="64">
        <f t="shared" si="34"/>
        <v>933.53</v>
      </c>
      <c r="BO253" s="64">
        <f t="shared" si="35"/>
        <v>1.2640291806958475</v>
      </c>
      <c r="BP253" s="64">
        <f t="shared" si="36"/>
        <v>1.2651515151515151</v>
      </c>
    </row>
    <row r="254" spans="1:68" ht="27" customHeight="1" x14ac:dyDescent="0.25">
      <c r="A254" s="54" t="s">
        <v>414</v>
      </c>
      <c r="B254" s="54" t="s">
        <v>415</v>
      </c>
      <c r="C254" s="32">
        <v>4301031221</v>
      </c>
      <c r="D254" s="599">
        <v>4680115882676</v>
      </c>
      <c r="E254" s="600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6"/>
      <c r="R254" s="606"/>
      <c r="S254" s="606"/>
      <c r="T254" s="607"/>
      <c r="U254" s="35"/>
      <c r="V254" s="35"/>
      <c r="W254" s="36" t="s">
        <v>67</v>
      </c>
      <c r="X254" s="591">
        <v>194</v>
      </c>
      <c r="Y254" s="592">
        <f t="shared" si="32"/>
        <v>194.4</v>
      </c>
      <c r="Z254" s="37">
        <f>IFERROR(IF(Y254=0,"",ROUNDUP(Y254/H254,0)*0.00902),"")</f>
        <v>0.32472000000000001</v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200.82592592592593</v>
      </c>
      <c r="BN254" s="64">
        <f t="shared" si="34"/>
        <v>201.23999999999998</v>
      </c>
      <c r="BO254" s="64">
        <f t="shared" si="35"/>
        <v>0.27216610549943882</v>
      </c>
      <c r="BP254" s="64">
        <f t="shared" si="36"/>
        <v>0.27272727272727271</v>
      </c>
    </row>
    <row r="255" spans="1:68" ht="27" customHeight="1" x14ac:dyDescent="0.25">
      <c r="A255" s="54" t="s">
        <v>417</v>
      </c>
      <c r="B255" s="54" t="s">
        <v>418</v>
      </c>
      <c r="C255" s="32">
        <v>4301031223</v>
      </c>
      <c r="D255" s="599">
        <v>4680115884014</v>
      </c>
      <c r="E255" s="600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85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6"/>
      <c r="R255" s="606"/>
      <c r="S255" s="606"/>
      <c r="T255" s="607"/>
      <c r="U255" s="35"/>
      <c r="V255" s="35"/>
      <c r="W255" s="36" t="s">
        <v>67</v>
      </c>
      <c r="X255" s="591">
        <v>51</v>
      </c>
      <c r="Y255" s="592">
        <f t="shared" si="32"/>
        <v>52.2</v>
      </c>
      <c r="Z255" s="37">
        <f>IFERROR(IF(Y255=0,"",ROUNDUP(Y255/H255,0)*0.00502),"")</f>
        <v>0.14558000000000001</v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54.68333333333333</v>
      </c>
      <c r="BN255" s="64">
        <f t="shared" si="34"/>
        <v>55.970000000000006</v>
      </c>
      <c r="BO255" s="64">
        <f t="shared" si="35"/>
        <v>0.12108262108262109</v>
      </c>
      <c r="BP255" s="64">
        <f t="shared" si="36"/>
        <v>0.12393162393162395</v>
      </c>
    </row>
    <row r="256" spans="1:68" ht="27" customHeight="1" x14ac:dyDescent="0.25">
      <c r="A256" s="54" t="s">
        <v>419</v>
      </c>
      <c r="B256" s="54" t="s">
        <v>420</v>
      </c>
      <c r="C256" s="32">
        <v>4301031222</v>
      </c>
      <c r="D256" s="599">
        <v>4680115884007</v>
      </c>
      <c r="E256" s="600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6"/>
      <c r="R256" s="606"/>
      <c r="S256" s="606"/>
      <c r="T256" s="607"/>
      <c r="U256" s="35"/>
      <c r="V256" s="35"/>
      <c r="W256" s="36" t="s">
        <v>67</v>
      </c>
      <c r="X256" s="591">
        <v>38</v>
      </c>
      <c r="Y256" s="592">
        <f t="shared" si="32"/>
        <v>39.6</v>
      </c>
      <c r="Z256" s="37">
        <f>IFERROR(IF(Y256=0,"",ROUNDUP(Y256/H256,0)*0.00502),"")</f>
        <v>0.11044000000000001</v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40.111111111111114</v>
      </c>
      <c r="BN256" s="64">
        <f t="shared" si="34"/>
        <v>41.8</v>
      </c>
      <c r="BO256" s="64">
        <f t="shared" si="35"/>
        <v>9.0218423551756896E-2</v>
      </c>
      <c r="BP256" s="64">
        <f t="shared" si="36"/>
        <v>9.401709401709403E-2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9">
        <v>4680115884038</v>
      </c>
      <c r="E257" s="600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7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6"/>
      <c r="R257" s="606"/>
      <c r="S257" s="606"/>
      <c r="T257" s="607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423</v>
      </c>
      <c r="B258" s="54" t="s">
        <v>424</v>
      </c>
      <c r="C258" s="32">
        <v>4301031225</v>
      </c>
      <c r="D258" s="599">
        <v>4680115884021</v>
      </c>
      <c r="E258" s="600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8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6"/>
      <c r="R258" s="606"/>
      <c r="S258" s="606"/>
      <c r="T258" s="607"/>
      <c r="U258" s="35"/>
      <c r="V258" s="35"/>
      <c r="W258" s="36" t="s">
        <v>67</v>
      </c>
      <c r="X258" s="591">
        <v>35</v>
      </c>
      <c r="Y258" s="592">
        <f t="shared" si="32"/>
        <v>36</v>
      </c>
      <c r="Z258" s="37">
        <f>IFERROR(IF(Y258=0,"",ROUNDUP(Y258/H258,0)*0.00502),"")</f>
        <v>0.1004</v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36.944444444444443</v>
      </c>
      <c r="BN258" s="64">
        <f t="shared" si="34"/>
        <v>37.999999999999993</v>
      </c>
      <c r="BO258" s="64">
        <f t="shared" si="35"/>
        <v>8.3095916429249767E-2</v>
      </c>
      <c r="BP258" s="64">
        <f t="shared" si="36"/>
        <v>8.5470085470085472E-2</v>
      </c>
    </row>
    <row r="259" spans="1:68" x14ac:dyDescent="0.2">
      <c r="A259" s="608"/>
      <c r="B259" s="596"/>
      <c r="C259" s="596"/>
      <c r="D259" s="596"/>
      <c r="E259" s="596"/>
      <c r="F259" s="596"/>
      <c r="G259" s="596"/>
      <c r="H259" s="596"/>
      <c r="I259" s="596"/>
      <c r="J259" s="596"/>
      <c r="K259" s="596"/>
      <c r="L259" s="596"/>
      <c r="M259" s="596"/>
      <c r="N259" s="596"/>
      <c r="O259" s="609"/>
      <c r="P259" s="618" t="s">
        <v>72</v>
      </c>
      <c r="Q259" s="615"/>
      <c r="R259" s="615"/>
      <c r="S259" s="615"/>
      <c r="T259" s="615"/>
      <c r="U259" s="615"/>
      <c r="V259" s="616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304.07407407407402</v>
      </c>
      <c r="Y259" s="593">
        <f>IFERROR(Y251/H251,"0")+IFERROR(Y252/H252,"0")+IFERROR(Y253/H253,"0")+IFERROR(Y254/H254,"0")+IFERROR(Y255/H255,"0")+IFERROR(Y256/H256,"0")+IFERROR(Y257/H257,"0")+IFERROR(Y258/H258,"0")</f>
        <v>307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2.4851399999999999</v>
      </c>
      <c r="AA259" s="594"/>
      <c r="AB259" s="594"/>
      <c r="AC259" s="594"/>
    </row>
    <row r="260" spans="1:68" x14ac:dyDescent="0.2">
      <c r="A260" s="596"/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609"/>
      <c r="P260" s="618" t="s">
        <v>72</v>
      </c>
      <c r="Q260" s="615"/>
      <c r="R260" s="615"/>
      <c r="S260" s="615"/>
      <c r="T260" s="615"/>
      <c r="U260" s="615"/>
      <c r="V260" s="616"/>
      <c r="W260" s="38" t="s">
        <v>67</v>
      </c>
      <c r="X260" s="593">
        <f>IFERROR(SUM(X251:X258),"0")</f>
        <v>1394</v>
      </c>
      <c r="Y260" s="593">
        <f>IFERROR(SUM(Y251:Y258),"0")</f>
        <v>1402.2</v>
      </c>
      <c r="Z260" s="38"/>
      <c r="AA260" s="594"/>
      <c r="AB260" s="594"/>
      <c r="AC260" s="594"/>
    </row>
    <row r="261" spans="1:68" ht="14.25" hidden="1" customHeight="1" x14ac:dyDescent="0.25">
      <c r="A261" s="595" t="s">
        <v>74</v>
      </c>
      <c r="B261" s="596"/>
      <c r="C261" s="596"/>
      <c r="D261" s="596"/>
      <c r="E261" s="596"/>
      <c r="F261" s="596"/>
      <c r="G261" s="596"/>
      <c r="H261" s="596"/>
      <c r="I261" s="596"/>
      <c r="J261" s="596"/>
      <c r="K261" s="596"/>
      <c r="L261" s="596"/>
      <c r="M261" s="596"/>
      <c r="N261" s="596"/>
      <c r="O261" s="596"/>
      <c r="P261" s="596"/>
      <c r="Q261" s="596"/>
      <c r="R261" s="596"/>
      <c r="S261" s="596"/>
      <c r="T261" s="596"/>
      <c r="U261" s="596"/>
      <c r="V261" s="596"/>
      <c r="W261" s="596"/>
      <c r="X261" s="596"/>
      <c r="Y261" s="596"/>
      <c r="Z261" s="596"/>
      <c r="AA261" s="587"/>
      <c r="AB261" s="587"/>
      <c r="AC261" s="587"/>
    </row>
    <row r="262" spans="1:68" ht="37.5" hidden="1" customHeight="1" x14ac:dyDescent="0.25">
      <c r="A262" s="54" t="s">
        <v>425</v>
      </c>
      <c r="B262" s="54" t="s">
        <v>426</v>
      </c>
      <c r="C262" s="32">
        <v>4301051408</v>
      </c>
      <c r="D262" s="599">
        <v>4680115881594</v>
      </c>
      <c r="E262" s="600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67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6"/>
      <c r="R262" s="606"/>
      <c r="S262" s="606"/>
      <c r="T262" s="607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9">
        <v>4680115881617</v>
      </c>
      <c r="E263" s="600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6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6"/>
      <c r="R263" s="606"/>
      <c r="S263" s="606"/>
      <c r="T263" s="607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customHeight="1" x14ac:dyDescent="0.25">
      <c r="A264" s="54" t="s">
        <v>431</v>
      </c>
      <c r="B264" s="54" t="s">
        <v>432</v>
      </c>
      <c r="C264" s="32">
        <v>4301051656</v>
      </c>
      <c r="D264" s="599">
        <v>4680115880573</v>
      </c>
      <c r="E264" s="600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82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6"/>
      <c r="R264" s="606"/>
      <c r="S264" s="606"/>
      <c r="T264" s="607"/>
      <c r="U264" s="35"/>
      <c r="V264" s="35"/>
      <c r="W264" s="36" t="s">
        <v>67</v>
      </c>
      <c r="X264" s="591">
        <v>153</v>
      </c>
      <c r="Y264" s="592">
        <f t="shared" si="37"/>
        <v>156.6</v>
      </c>
      <c r="Z264" s="37">
        <f>IFERROR(IF(Y264=0,"",ROUNDUP(Y264/H264,0)*0.01898),"")</f>
        <v>0.34164</v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161.68758620689655</v>
      </c>
      <c r="BN264" s="64">
        <f t="shared" si="39"/>
        <v>165.49200000000002</v>
      </c>
      <c r="BO264" s="64">
        <f t="shared" si="40"/>
        <v>0.27478448275862072</v>
      </c>
      <c r="BP264" s="64">
        <f t="shared" si="41"/>
        <v>0.28125</v>
      </c>
    </row>
    <row r="265" spans="1:68" ht="37.5" customHeight="1" x14ac:dyDescent="0.25">
      <c r="A265" s="54" t="s">
        <v>434</v>
      </c>
      <c r="B265" s="54" t="s">
        <v>435</v>
      </c>
      <c r="C265" s="32">
        <v>4301051407</v>
      </c>
      <c r="D265" s="599">
        <v>4680115882195</v>
      </c>
      <c r="E265" s="600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9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6"/>
      <c r="R265" s="606"/>
      <c r="S265" s="606"/>
      <c r="T265" s="607"/>
      <c r="U265" s="35"/>
      <c r="V265" s="35"/>
      <c r="W265" s="36" t="s">
        <v>67</v>
      </c>
      <c r="X265" s="591">
        <v>213</v>
      </c>
      <c r="Y265" s="592">
        <f t="shared" si="37"/>
        <v>213.6</v>
      </c>
      <c r="Z265" s="37">
        <f>IFERROR(IF(Y265=0,"",ROUNDUP(Y265/H265,0)*0.00651),"")</f>
        <v>0.57938999999999996</v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236.96250000000003</v>
      </c>
      <c r="BN265" s="64">
        <f t="shared" si="39"/>
        <v>237.63000000000002</v>
      </c>
      <c r="BO265" s="64">
        <f t="shared" si="40"/>
        <v>0.48763736263736268</v>
      </c>
      <c r="BP265" s="64">
        <f t="shared" si="41"/>
        <v>0.48901098901098905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9">
        <v>4680115882607</v>
      </c>
      <c r="E266" s="600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8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6"/>
      <c r="R266" s="606"/>
      <c r="S266" s="606"/>
      <c r="T266" s="607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9">
        <v>4680115882607</v>
      </c>
      <c r="E267" s="600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6"/>
      <c r="R267" s="606"/>
      <c r="S267" s="606"/>
      <c r="T267" s="607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9">
        <v>4680115880092</v>
      </c>
      <c r="E268" s="600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6"/>
      <c r="R268" s="606"/>
      <c r="S268" s="606"/>
      <c r="T268" s="607"/>
      <c r="U268" s="35"/>
      <c r="V268" s="35"/>
      <c r="W268" s="36" t="s">
        <v>67</v>
      </c>
      <c r="X268" s="591">
        <v>973</v>
      </c>
      <c r="Y268" s="592">
        <f t="shared" si="37"/>
        <v>974.4</v>
      </c>
      <c r="Z268" s="37">
        <f>IFERROR(IF(Y268=0,"",ROUNDUP(Y268/H268,0)*0.00651),"")</f>
        <v>2.6430600000000002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1075.1650000000002</v>
      </c>
      <c r="BN268" s="64">
        <f t="shared" si="39"/>
        <v>1076.712</v>
      </c>
      <c r="BO268" s="64">
        <f t="shared" si="40"/>
        <v>2.2275641025641026</v>
      </c>
      <c r="BP268" s="64">
        <f t="shared" si="41"/>
        <v>2.2307692307692308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9">
        <v>4680115889064</v>
      </c>
      <c r="E269" s="600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71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6"/>
      <c r="R269" s="606"/>
      <c r="S269" s="606"/>
      <c r="T269" s="607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9">
        <v>4680115880221</v>
      </c>
      <c r="E270" s="600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6"/>
      <c r="R270" s="606"/>
      <c r="S270" s="606"/>
      <c r="T270" s="607"/>
      <c r="U270" s="35"/>
      <c r="V270" s="35"/>
      <c r="W270" s="36" t="s">
        <v>67</v>
      </c>
      <c r="X270" s="591">
        <v>114</v>
      </c>
      <c r="Y270" s="592">
        <f t="shared" si="37"/>
        <v>115.19999999999999</v>
      </c>
      <c r="Z270" s="37">
        <f>IFERROR(IF(Y270=0,"",ROUNDUP(Y270/H270,0)*0.00651),"")</f>
        <v>0.31247999999999998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125.97000000000001</v>
      </c>
      <c r="BN270" s="64">
        <f t="shared" si="39"/>
        <v>127.29600000000001</v>
      </c>
      <c r="BO270" s="64">
        <f t="shared" si="40"/>
        <v>0.26098901098901101</v>
      </c>
      <c r="BP270" s="64">
        <f t="shared" si="41"/>
        <v>0.26373626373626374</v>
      </c>
    </row>
    <row r="271" spans="1:68" ht="27" customHeight="1" x14ac:dyDescent="0.25">
      <c r="A271" s="54" t="s">
        <v>447</v>
      </c>
      <c r="B271" s="54" t="s">
        <v>448</v>
      </c>
      <c r="C271" s="32">
        <v>4301051945</v>
      </c>
      <c r="D271" s="599">
        <v>4680115880504</v>
      </c>
      <c r="E271" s="600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6"/>
      <c r="R271" s="606"/>
      <c r="S271" s="606"/>
      <c r="T271" s="607"/>
      <c r="U271" s="35"/>
      <c r="V271" s="35"/>
      <c r="W271" s="36" t="s">
        <v>67</v>
      </c>
      <c r="X271" s="591">
        <v>93</v>
      </c>
      <c r="Y271" s="592">
        <f t="shared" si="37"/>
        <v>93.6</v>
      </c>
      <c r="Z271" s="37">
        <f>IFERROR(IF(Y271=0,"",ROUNDUP(Y271/H271,0)*0.00651),"")</f>
        <v>0.25389</v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102.76500000000001</v>
      </c>
      <c r="BN271" s="64">
        <f t="shared" si="39"/>
        <v>103.42800000000001</v>
      </c>
      <c r="BO271" s="64">
        <f t="shared" si="40"/>
        <v>0.21291208791208793</v>
      </c>
      <c r="BP271" s="64">
        <f t="shared" si="41"/>
        <v>0.2142857142857143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9">
        <v>4680115882164</v>
      </c>
      <c r="E272" s="600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6"/>
      <c r="R272" s="606"/>
      <c r="S272" s="606"/>
      <c r="T272" s="607"/>
      <c r="U272" s="35"/>
      <c r="V272" s="35"/>
      <c r="W272" s="36" t="s">
        <v>67</v>
      </c>
      <c r="X272" s="591">
        <v>49</v>
      </c>
      <c r="Y272" s="592">
        <f t="shared" si="37"/>
        <v>50.4</v>
      </c>
      <c r="Z272" s="37">
        <f>IFERROR(IF(Y272=0,"",ROUNDUP(Y272/H272,0)*0.00651),"")</f>
        <v>0.13671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54.267499999999998</v>
      </c>
      <c r="BN272" s="64">
        <f t="shared" si="39"/>
        <v>55.818000000000005</v>
      </c>
      <c r="BO272" s="64">
        <f t="shared" si="40"/>
        <v>0.1121794871794872</v>
      </c>
      <c r="BP272" s="64">
        <f t="shared" si="41"/>
        <v>0.11538461538461539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9">
        <v>4680115888340</v>
      </c>
      <c r="E273" s="600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6"/>
      <c r="R273" s="606"/>
      <c r="S273" s="606"/>
      <c r="T273" s="607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8"/>
      <c r="B274" s="596"/>
      <c r="C274" s="596"/>
      <c r="D274" s="596"/>
      <c r="E274" s="596"/>
      <c r="F274" s="596"/>
      <c r="G274" s="596"/>
      <c r="H274" s="596"/>
      <c r="I274" s="596"/>
      <c r="J274" s="596"/>
      <c r="K274" s="596"/>
      <c r="L274" s="596"/>
      <c r="M274" s="596"/>
      <c r="N274" s="596"/>
      <c r="O274" s="609"/>
      <c r="P274" s="618" t="s">
        <v>72</v>
      </c>
      <c r="Q274" s="615"/>
      <c r="R274" s="615"/>
      <c r="S274" s="615"/>
      <c r="T274" s="615"/>
      <c r="U274" s="615"/>
      <c r="V274" s="616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618.419540229885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621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4.2671700000000001</v>
      </c>
      <c r="AA274" s="594"/>
      <c r="AB274" s="594"/>
      <c r="AC274" s="594"/>
    </row>
    <row r="275" spans="1:68" x14ac:dyDescent="0.2">
      <c r="A275" s="596"/>
      <c r="B275" s="596"/>
      <c r="C275" s="596"/>
      <c r="D275" s="596"/>
      <c r="E275" s="596"/>
      <c r="F275" s="596"/>
      <c r="G275" s="596"/>
      <c r="H275" s="596"/>
      <c r="I275" s="596"/>
      <c r="J275" s="596"/>
      <c r="K275" s="596"/>
      <c r="L275" s="596"/>
      <c r="M275" s="596"/>
      <c r="N275" s="596"/>
      <c r="O275" s="609"/>
      <c r="P275" s="618" t="s">
        <v>72</v>
      </c>
      <c r="Q275" s="615"/>
      <c r="R275" s="615"/>
      <c r="S275" s="615"/>
      <c r="T275" s="615"/>
      <c r="U275" s="615"/>
      <c r="V275" s="616"/>
      <c r="W275" s="38" t="s">
        <v>67</v>
      </c>
      <c r="X275" s="593">
        <f>IFERROR(SUM(X262:X273),"0")</f>
        <v>1595</v>
      </c>
      <c r="Y275" s="593">
        <f>IFERROR(SUM(Y262:Y273),"0")</f>
        <v>1603.8</v>
      </c>
      <c r="Z275" s="38"/>
      <c r="AA275" s="594"/>
      <c r="AB275" s="594"/>
      <c r="AC275" s="594"/>
    </row>
    <row r="276" spans="1:68" ht="14.25" hidden="1" customHeight="1" x14ac:dyDescent="0.25">
      <c r="A276" s="595" t="s">
        <v>169</v>
      </c>
      <c r="B276" s="596"/>
      <c r="C276" s="596"/>
      <c r="D276" s="596"/>
      <c r="E276" s="596"/>
      <c r="F276" s="596"/>
      <c r="G276" s="596"/>
      <c r="H276" s="596"/>
      <c r="I276" s="596"/>
      <c r="J276" s="596"/>
      <c r="K276" s="596"/>
      <c r="L276" s="596"/>
      <c r="M276" s="596"/>
      <c r="N276" s="596"/>
      <c r="O276" s="596"/>
      <c r="P276" s="596"/>
      <c r="Q276" s="596"/>
      <c r="R276" s="596"/>
      <c r="S276" s="596"/>
      <c r="T276" s="596"/>
      <c r="U276" s="596"/>
      <c r="V276" s="596"/>
      <c r="W276" s="596"/>
      <c r="X276" s="596"/>
      <c r="Y276" s="596"/>
      <c r="Z276" s="596"/>
      <c r="AA276" s="587"/>
      <c r="AB276" s="587"/>
      <c r="AC276" s="587"/>
    </row>
    <row r="277" spans="1:68" ht="27" customHeight="1" x14ac:dyDescent="0.25">
      <c r="A277" s="54" t="s">
        <v>456</v>
      </c>
      <c r="B277" s="54" t="s">
        <v>457</v>
      </c>
      <c r="C277" s="32">
        <v>4301060463</v>
      </c>
      <c r="D277" s="599">
        <v>4680115880818</v>
      </c>
      <c r="E277" s="600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6"/>
      <c r="R277" s="606"/>
      <c r="S277" s="606"/>
      <c r="T277" s="607"/>
      <c r="U277" s="35"/>
      <c r="V277" s="35"/>
      <c r="W277" s="36" t="s">
        <v>67</v>
      </c>
      <c r="X277" s="591">
        <v>16</v>
      </c>
      <c r="Y277" s="592">
        <f>IFERROR(IF(X277="",0,CEILING((X277/$H277),1)*$H277),"")</f>
        <v>16.8</v>
      </c>
      <c r="Z277" s="37">
        <f>IFERROR(IF(Y277=0,"",ROUNDUP(Y277/H277,0)*0.00651),"")</f>
        <v>4.5569999999999999E-2</v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17.680000000000003</v>
      </c>
      <c r="BN277" s="64">
        <f>IFERROR(Y277*I277/H277,"0")</f>
        <v>18.564000000000004</v>
      </c>
      <c r="BO277" s="64">
        <f>IFERROR(1/J277*(X277/H277),"0")</f>
        <v>3.6630036630036632E-2</v>
      </c>
      <c r="BP277" s="64">
        <f>IFERROR(1/J277*(Y277/H277),"0")</f>
        <v>3.8461538461538471E-2</v>
      </c>
    </row>
    <row r="278" spans="1:68" ht="37.5" customHeight="1" x14ac:dyDescent="0.25">
      <c r="A278" s="54" t="s">
        <v>459</v>
      </c>
      <c r="B278" s="54" t="s">
        <v>460</v>
      </c>
      <c r="C278" s="32">
        <v>4301060389</v>
      </c>
      <c r="D278" s="599">
        <v>4680115880801</v>
      </c>
      <c r="E278" s="600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6"/>
      <c r="R278" s="606"/>
      <c r="S278" s="606"/>
      <c r="T278" s="607"/>
      <c r="U278" s="35"/>
      <c r="V278" s="35"/>
      <c r="W278" s="36" t="s">
        <v>67</v>
      </c>
      <c r="X278" s="591">
        <v>65</v>
      </c>
      <c r="Y278" s="592">
        <f>IFERROR(IF(X278="",0,CEILING((X278/$H278),1)*$H278),"")</f>
        <v>67.2</v>
      </c>
      <c r="Z278" s="37">
        <f>IFERROR(IF(Y278=0,"",ROUNDUP(Y278/H278,0)*0.00651),"")</f>
        <v>0.18228</v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71.825000000000003</v>
      </c>
      <c r="BN278" s="64">
        <f>IFERROR(Y278*I278/H278,"0")</f>
        <v>74.256000000000014</v>
      </c>
      <c r="BO278" s="64">
        <f>IFERROR(1/J278*(X278/H278),"0")</f>
        <v>0.14880952380952384</v>
      </c>
      <c r="BP278" s="64">
        <f>IFERROR(1/J278*(Y278/H278),"0")</f>
        <v>0.15384615384615388</v>
      </c>
    </row>
    <row r="279" spans="1:68" x14ac:dyDescent="0.2">
      <c r="A279" s="608"/>
      <c r="B279" s="596"/>
      <c r="C279" s="596"/>
      <c r="D279" s="596"/>
      <c r="E279" s="596"/>
      <c r="F279" s="596"/>
      <c r="G279" s="596"/>
      <c r="H279" s="596"/>
      <c r="I279" s="596"/>
      <c r="J279" s="596"/>
      <c r="K279" s="596"/>
      <c r="L279" s="596"/>
      <c r="M279" s="596"/>
      <c r="N279" s="596"/>
      <c r="O279" s="609"/>
      <c r="P279" s="618" t="s">
        <v>72</v>
      </c>
      <c r="Q279" s="615"/>
      <c r="R279" s="615"/>
      <c r="S279" s="615"/>
      <c r="T279" s="615"/>
      <c r="U279" s="615"/>
      <c r="V279" s="616"/>
      <c r="W279" s="38" t="s">
        <v>73</v>
      </c>
      <c r="X279" s="593">
        <f>IFERROR(X277/H277,"0")+IFERROR(X278/H278,"0")</f>
        <v>33.75</v>
      </c>
      <c r="Y279" s="593">
        <f>IFERROR(Y277/H277,"0")+IFERROR(Y278/H278,"0")</f>
        <v>35.000000000000007</v>
      </c>
      <c r="Z279" s="593">
        <f>IFERROR(IF(Z277="",0,Z277),"0")+IFERROR(IF(Z278="",0,Z278),"0")</f>
        <v>0.22785</v>
      </c>
      <c r="AA279" s="594"/>
      <c r="AB279" s="594"/>
      <c r="AC279" s="594"/>
    </row>
    <row r="280" spans="1:68" x14ac:dyDescent="0.2">
      <c r="A280" s="596"/>
      <c r="B280" s="596"/>
      <c r="C280" s="596"/>
      <c r="D280" s="596"/>
      <c r="E280" s="596"/>
      <c r="F280" s="596"/>
      <c r="G280" s="596"/>
      <c r="H280" s="596"/>
      <c r="I280" s="596"/>
      <c r="J280" s="596"/>
      <c r="K280" s="596"/>
      <c r="L280" s="596"/>
      <c r="M280" s="596"/>
      <c r="N280" s="596"/>
      <c r="O280" s="609"/>
      <c r="P280" s="618" t="s">
        <v>72</v>
      </c>
      <c r="Q280" s="615"/>
      <c r="R280" s="615"/>
      <c r="S280" s="615"/>
      <c r="T280" s="615"/>
      <c r="U280" s="615"/>
      <c r="V280" s="616"/>
      <c r="W280" s="38" t="s">
        <v>67</v>
      </c>
      <c r="X280" s="593">
        <f>IFERROR(SUM(X277:X278),"0")</f>
        <v>81</v>
      </c>
      <c r="Y280" s="593">
        <f>IFERROR(SUM(Y277:Y278),"0")</f>
        <v>84</v>
      </c>
      <c r="Z280" s="38"/>
      <c r="AA280" s="594"/>
      <c r="AB280" s="594"/>
      <c r="AC280" s="594"/>
    </row>
    <row r="281" spans="1:68" ht="16.5" hidden="1" customHeight="1" x14ac:dyDescent="0.25">
      <c r="A281" s="601" t="s">
        <v>462</v>
      </c>
      <c r="B281" s="596"/>
      <c r="C281" s="596"/>
      <c r="D281" s="596"/>
      <c r="E281" s="596"/>
      <c r="F281" s="596"/>
      <c r="G281" s="596"/>
      <c r="H281" s="596"/>
      <c r="I281" s="596"/>
      <c r="J281" s="596"/>
      <c r="K281" s="596"/>
      <c r="L281" s="596"/>
      <c r="M281" s="596"/>
      <c r="N281" s="596"/>
      <c r="O281" s="596"/>
      <c r="P281" s="596"/>
      <c r="Q281" s="596"/>
      <c r="R281" s="596"/>
      <c r="S281" s="596"/>
      <c r="T281" s="596"/>
      <c r="U281" s="596"/>
      <c r="V281" s="596"/>
      <c r="W281" s="596"/>
      <c r="X281" s="596"/>
      <c r="Y281" s="596"/>
      <c r="Z281" s="596"/>
      <c r="AA281" s="586"/>
      <c r="AB281" s="586"/>
      <c r="AC281" s="586"/>
    </row>
    <row r="282" spans="1:68" ht="14.25" hidden="1" customHeight="1" x14ac:dyDescent="0.25">
      <c r="A282" s="595" t="s">
        <v>117</v>
      </c>
      <c r="B282" s="596"/>
      <c r="C282" s="596"/>
      <c r="D282" s="596"/>
      <c r="E282" s="596"/>
      <c r="F282" s="596"/>
      <c r="G282" s="596"/>
      <c r="H282" s="596"/>
      <c r="I282" s="596"/>
      <c r="J282" s="596"/>
      <c r="K282" s="596"/>
      <c r="L282" s="596"/>
      <c r="M282" s="596"/>
      <c r="N282" s="596"/>
      <c r="O282" s="596"/>
      <c r="P282" s="596"/>
      <c r="Q282" s="596"/>
      <c r="R282" s="596"/>
      <c r="S282" s="596"/>
      <c r="T282" s="596"/>
      <c r="U282" s="596"/>
      <c r="V282" s="596"/>
      <c r="W282" s="596"/>
      <c r="X282" s="596"/>
      <c r="Y282" s="596"/>
      <c r="Z282" s="596"/>
      <c r="AA282" s="587"/>
      <c r="AB282" s="587"/>
      <c r="AC282" s="587"/>
    </row>
    <row r="283" spans="1:68" ht="27" hidden="1" customHeight="1" x14ac:dyDescent="0.25">
      <c r="A283" s="54" t="s">
        <v>463</v>
      </c>
      <c r="B283" s="54" t="s">
        <v>464</v>
      </c>
      <c r="C283" s="32">
        <v>4301011826</v>
      </c>
      <c r="D283" s="599">
        <v>4680115884137</v>
      </c>
      <c r="E283" s="600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8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6"/>
      <c r="R283" s="606"/>
      <c r="S283" s="606"/>
      <c r="T283" s="607"/>
      <c r="U283" s="35"/>
      <c r="V283" s="35"/>
      <c r="W283" s="36" t="s">
        <v>67</v>
      </c>
      <c r="X283" s="591">
        <v>0</v>
      </c>
      <c r="Y283" s="592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9">
        <v>4680115884236</v>
      </c>
      <c r="E284" s="600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8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6"/>
      <c r="R284" s="606"/>
      <c r="S284" s="606"/>
      <c r="T284" s="607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9">
        <v>4680115884175</v>
      </c>
      <c r="E285" s="600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6"/>
      <c r="R285" s="606"/>
      <c r="S285" s="606"/>
      <c r="T285" s="607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9">
        <v>4680115884144</v>
      </c>
      <c r="E286" s="600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6"/>
      <c r="R286" s="606"/>
      <c r="S286" s="606"/>
      <c r="T286" s="607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9">
        <v>4680115886551</v>
      </c>
      <c r="E287" s="600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8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6"/>
      <c r="R287" s="606"/>
      <c r="S287" s="606"/>
      <c r="T287" s="607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9">
        <v>4680115887282</v>
      </c>
      <c r="E288" s="600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6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6"/>
      <c r="R288" s="606"/>
      <c r="S288" s="606"/>
      <c r="T288" s="607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9">
        <v>4680115884205</v>
      </c>
      <c r="E289" s="600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6"/>
      <c r="R289" s="606"/>
      <c r="S289" s="606"/>
      <c r="T289" s="607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idden="1" x14ac:dyDescent="0.2">
      <c r="A290" s="608"/>
      <c r="B290" s="596"/>
      <c r="C290" s="596"/>
      <c r="D290" s="596"/>
      <c r="E290" s="596"/>
      <c r="F290" s="596"/>
      <c r="G290" s="596"/>
      <c r="H290" s="596"/>
      <c r="I290" s="596"/>
      <c r="J290" s="596"/>
      <c r="K290" s="596"/>
      <c r="L290" s="596"/>
      <c r="M290" s="596"/>
      <c r="N290" s="596"/>
      <c r="O290" s="609"/>
      <c r="P290" s="618" t="s">
        <v>72</v>
      </c>
      <c r="Q290" s="615"/>
      <c r="R290" s="615"/>
      <c r="S290" s="615"/>
      <c r="T290" s="615"/>
      <c r="U290" s="615"/>
      <c r="V290" s="616"/>
      <c r="W290" s="38" t="s">
        <v>73</v>
      </c>
      <c r="X290" s="593">
        <f>IFERROR(X283/H283,"0")+IFERROR(X284/H284,"0")+IFERROR(X285/H285,"0")+IFERROR(X286/H286,"0")+IFERROR(X287/H287,"0")+IFERROR(X288/H288,"0")+IFERROR(X289/H289,"0")</f>
        <v>0</v>
      </c>
      <c r="Y290" s="593">
        <f>IFERROR(Y283/H283,"0")+IFERROR(Y284/H284,"0")+IFERROR(Y285/H285,"0")+IFERROR(Y286/H286,"0")+IFERROR(Y287/H287,"0")+IFERROR(Y288/H288,"0")+IFERROR(Y289/H289,"0")</f>
        <v>0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4"/>
      <c r="AB290" s="594"/>
      <c r="AC290" s="594"/>
    </row>
    <row r="291" spans="1:68" hidden="1" x14ac:dyDescent="0.2">
      <c r="A291" s="596"/>
      <c r="B291" s="596"/>
      <c r="C291" s="596"/>
      <c r="D291" s="596"/>
      <c r="E291" s="596"/>
      <c r="F291" s="596"/>
      <c r="G291" s="596"/>
      <c r="H291" s="596"/>
      <c r="I291" s="596"/>
      <c r="J291" s="596"/>
      <c r="K291" s="596"/>
      <c r="L291" s="596"/>
      <c r="M291" s="596"/>
      <c r="N291" s="596"/>
      <c r="O291" s="609"/>
      <c r="P291" s="618" t="s">
        <v>72</v>
      </c>
      <c r="Q291" s="615"/>
      <c r="R291" s="615"/>
      <c r="S291" s="615"/>
      <c r="T291" s="615"/>
      <c r="U291" s="615"/>
      <c r="V291" s="616"/>
      <c r="W291" s="38" t="s">
        <v>67</v>
      </c>
      <c r="X291" s="593">
        <f>IFERROR(SUM(X283:X289),"0")</f>
        <v>0</v>
      </c>
      <c r="Y291" s="593">
        <f>IFERROR(SUM(Y283:Y289),"0")</f>
        <v>0</v>
      </c>
      <c r="Z291" s="38"/>
      <c r="AA291" s="594"/>
      <c r="AB291" s="594"/>
      <c r="AC291" s="594"/>
    </row>
    <row r="292" spans="1:68" ht="14.25" hidden="1" customHeight="1" x14ac:dyDescent="0.25">
      <c r="A292" s="595" t="s">
        <v>152</v>
      </c>
      <c r="B292" s="596"/>
      <c r="C292" s="596"/>
      <c r="D292" s="596"/>
      <c r="E292" s="596"/>
      <c r="F292" s="596"/>
      <c r="G292" s="596"/>
      <c r="H292" s="596"/>
      <c r="I292" s="596"/>
      <c r="J292" s="596"/>
      <c r="K292" s="596"/>
      <c r="L292" s="596"/>
      <c r="M292" s="596"/>
      <c r="N292" s="596"/>
      <c r="O292" s="596"/>
      <c r="P292" s="596"/>
      <c r="Q292" s="596"/>
      <c r="R292" s="596"/>
      <c r="S292" s="596"/>
      <c r="T292" s="596"/>
      <c r="U292" s="596"/>
      <c r="V292" s="596"/>
      <c r="W292" s="596"/>
      <c r="X292" s="596"/>
      <c r="Y292" s="596"/>
      <c r="Z292" s="596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9">
        <v>4680115885981</v>
      </c>
      <c r="E293" s="600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6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6"/>
      <c r="R293" s="606"/>
      <c r="S293" s="606"/>
      <c r="T293" s="607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8"/>
      <c r="B294" s="596"/>
      <c r="C294" s="596"/>
      <c r="D294" s="596"/>
      <c r="E294" s="596"/>
      <c r="F294" s="596"/>
      <c r="G294" s="596"/>
      <c r="H294" s="596"/>
      <c r="I294" s="596"/>
      <c r="J294" s="596"/>
      <c r="K294" s="596"/>
      <c r="L294" s="596"/>
      <c r="M294" s="596"/>
      <c r="N294" s="596"/>
      <c r="O294" s="609"/>
      <c r="P294" s="618" t="s">
        <v>72</v>
      </c>
      <c r="Q294" s="615"/>
      <c r="R294" s="615"/>
      <c r="S294" s="615"/>
      <c r="T294" s="615"/>
      <c r="U294" s="615"/>
      <c r="V294" s="616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596"/>
      <c r="B295" s="596"/>
      <c r="C295" s="596"/>
      <c r="D295" s="596"/>
      <c r="E295" s="596"/>
      <c r="F295" s="596"/>
      <c r="G295" s="596"/>
      <c r="H295" s="596"/>
      <c r="I295" s="596"/>
      <c r="J295" s="596"/>
      <c r="K295" s="596"/>
      <c r="L295" s="596"/>
      <c r="M295" s="596"/>
      <c r="N295" s="596"/>
      <c r="O295" s="609"/>
      <c r="P295" s="618" t="s">
        <v>72</v>
      </c>
      <c r="Q295" s="615"/>
      <c r="R295" s="615"/>
      <c r="S295" s="615"/>
      <c r="T295" s="615"/>
      <c r="U295" s="615"/>
      <c r="V295" s="616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595" t="s">
        <v>484</v>
      </c>
      <c r="B296" s="596"/>
      <c r="C296" s="596"/>
      <c r="D296" s="596"/>
      <c r="E296" s="596"/>
      <c r="F296" s="596"/>
      <c r="G296" s="596"/>
      <c r="H296" s="596"/>
      <c r="I296" s="596"/>
      <c r="J296" s="596"/>
      <c r="K296" s="596"/>
      <c r="L296" s="596"/>
      <c r="M296" s="596"/>
      <c r="N296" s="596"/>
      <c r="O296" s="596"/>
      <c r="P296" s="596"/>
      <c r="Q296" s="596"/>
      <c r="R296" s="596"/>
      <c r="S296" s="596"/>
      <c r="T296" s="596"/>
      <c r="U296" s="596"/>
      <c r="V296" s="596"/>
      <c r="W296" s="596"/>
      <c r="X296" s="596"/>
      <c r="Y296" s="596"/>
      <c r="Z296" s="596"/>
      <c r="AA296" s="587"/>
      <c r="AB296" s="587"/>
      <c r="AC296" s="587"/>
    </row>
    <row r="297" spans="1:68" ht="27" hidden="1" customHeight="1" x14ac:dyDescent="0.25">
      <c r="A297" s="54" t="s">
        <v>485</v>
      </c>
      <c r="B297" s="54" t="s">
        <v>486</v>
      </c>
      <c r="C297" s="32">
        <v>4301040362</v>
      </c>
      <c r="D297" s="599">
        <v>4680115886803</v>
      </c>
      <c r="E297" s="600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6"/>
      <c r="R297" s="606"/>
      <c r="S297" s="606"/>
      <c r="T297" s="607"/>
      <c r="U297" s="35"/>
      <c r="V297" s="35"/>
      <c r="W297" s="36" t="s">
        <v>67</v>
      </c>
      <c r="X297" s="591">
        <v>0</v>
      </c>
      <c r="Y297" s="592">
        <f>IFERROR(IF(X297="",0,CEILING((X297/$H297),1)*$H297),"")</f>
        <v>0</v>
      </c>
      <c r="Z297" s="37" t="str">
        <f>IFERROR(IF(Y297=0,"",ROUNDUP(Y297/H297,0)*0.0059),"")</f>
        <v/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596"/>
      <c r="C298" s="596"/>
      <c r="D298" s="596"/>
      <c r="E298" s="596"/>
      <c r="F298" s="596"/>
      <c r="G298" s="596"/>
      <c r="H298" s="596"/>
      <c r="I298" s="596"/>
      <c r="J298" s="596"/>
      <c r="K298" s="596"/>
      <c r="L298" s="596"/>
      <c r="M298" s="596"/>
      <c r="N298" s="596"/>
      <c r="O298" s="609"/>
      <c r="P298" s="618" t="s">
        <v>72</v>
      </c>
      <c r="Q298" s="615"/>
      <c r="R298" s="615"/>
      <c r="S298" s="615"/>
      <c r="T298" s="615"/>
      <c r="U298" s="615"/>
      <c r="V298" s="616"/>
      <c r="W298" s="38" t="s">
        <v>73</v>
      </c>
      <c r="X298" s="593">
        <f>IFERROR(X297/H297,"0")</f>
        <v>0</v>
      </c>
      <c r="Y298" s="593">
        <f>IFERROR(Y297/H297,"0")</f>
        <v>0</v>
      </c>
      <c r="Z298" s="593">
        <f>IFERROR(IF(Z297="",0,Z297),"0")</f>
        <v>0</v>
      </c>
      <c r="AA298" s="594"/>
      <c r="AB298" s="594"/>
      <c r="AC298" s="594"/>
    </row>
    <row r="299" spans="1:68" hidden="1" x14ac:dyDescent="0.2">
      <c r="A299" s="596"/>
      <c r="B299" s="596"/>
      <c r="C299" s="596"/>
      <c r="D299" s="596"/>
      <c r="E299" s="596"/>
      <c r="F299" s="596"/>
      <c r="G299" s="596"/>
      <c r="H299" s="596"/>
      <c r="I299" s="596"/>
      <c r="J299" s="596"/>
      <c r="K299" s="596"/>
      <c r="L299" s="596"/>
      <c r="M299" s="596"/>
      <c r="N299" s="596"/>
      <c r="O299" s="609"/>
      <c r="P299" s="618" t="s">
        <v>72</v>
      </c>
      <c r="Q299" s="615"/>
      <c r="R299" s="615"/>
      <c r="S299" s="615"/>
      <c r="T299" s="615"/>
      <c r="U299" s="615"/>
      <c r="V299" s="616"/>
      <c r="W299" s="38" t="s">
        <v>67</v>
      </c>
      <c r="X299" s="593">
        <f>IFERROR(SUM(X297:X297),"0")</f>
        <v>0</v>
      </c>
      <c r="Y299" s="593">
        <f>IFERROR(SUM(Y297:Y297),"0")</f>
        <v>0</v>
      </c>
      <c r="Z299" s="38"/>
      <c r="AA299" s="594"/>
      <c r="AB299" s="594"/>
      <c r="AC299" s="594"/>
    </row>
    <row r="300" spans="1:68" ht="14.25" hidden="1" customHeight="1" x14ac:dyDescent="0.25">
      <c r="A300" s="595" t="s">
        <v>318</v>
      </c>
      <c r="B300" s="596"/>
      <c r="C300" s="596"/>
      <c r="D300" s="596"/>
      <c r="E300" s="596"/>
      <c r="F300" s="596"/>
      <c r="G300" s="596"/>
      <c r="H300" s="596"/>
      <c r="I300" s="596"/>
      <c r="J300" s="596"/>
      <c r="K300" s="596"/>
      <c r="L300" s="596"/>
      <c r="M300" s="596"/>
      <c r="N300" s="596"/>
      <c r="O300" s="596"/>
      <c r="P300" s="596"/>
      <c r="Q300" s="596"/>
      <c r="R300" s="596"/>
      <c r="S300" s="596"/>
      <c r="T300" s="596"/>
      <c r="U300" s="596"/>
      <c r="V300" s="596"/>
      <c r="W300" s="596"/>
      <c r="X300" s="596"/>
      <c r="Y300" s="596"/>
      <c r="Z300" s="596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9">
        <v>4680115886704</v>
      </c>
      <c r="E301" s="600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6"/>
      <c r="R301" s="606"/>
      <c r="S301" s="606"/>
      <c r="T301" s="607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9">
        <v>4680115886681</v>
      </c>
      <c r="E302" s="600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6"/>
      <c r="R302" s="606"/>
      <c r="S302" s="606"/>
      <c r="T302" s="607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493</v>
      </c>
      <c r="B303" s="54" t="s">
        <v>494</v>
      </c>
      <c r="C303" s="32">
        <v>4301041007</v>
      </c>
      <c r="D303" s="599">
        <v>4680115886735</v>
      </c>
      <c r="E303" s="600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6"/>
      <c r="R303" s="606"/>
      <c r="S303" s="606"/>
      <c r="T303" s="607"/>
      <c r="U303" s="35"/>
      <c r="V303" s="35"/>
      <c r="W303" s="36" t="s">
        <v>67</v>
      </c>
      <c r="X303" s="591">
        <v>3</v>
      </c>
      <c r="Y303" s="592">
        <f>IFERROR(IF(X303="",0,CEILING((X303/$H303),1)*$H303),"")</f>
        <v>3.6</v>
      </c>
      <c r="Z303" s="37">
        <f>IFERROR(IF(Y303=0,"",ROUNDUP(Y303/H303,0)*0.0059),"")</f>
        <v>2.3599999999999999E-2</v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3.6333333333333337</v>
      </c>
      <c r="BN303" s="64">
        <f>IFERROR(Y303*I303/H303,"0")</f>
        <v>4.3600000000000003</v>
      </c>
      <c r="BO303" s="64">
        <f>IFERROR(1/J303*(X303/H303),"0")</f>
        <v>1.5432098765432096E-2</v>
      </c>
      <c r="BP303" s="64">
        <f>IFERROR(1/J303*(Y303/H303),"0")</f>
        <v>1.8518518518518517E-2</v>
      </c>
    </row>
    <row r="304" spans="1:68" ht="27" customHeight="1" x14ac:dyDescent="0.25">
      <c r="A304" s="54" t="s">
        <v>495</v>
      </c>
      <c r="B304" s="54" t="s">
        <v>496</v>
      </c>
      <c r="C304" s="32">
        <v>4301041005</v>
      </c>
      <c r="D304" s="599">
        <v>4680115886711</v>
      </c>
      <c r="E304" s="600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6"/>
      <c r="R304" s="606"/>
      <c r="S304" s="606"/>
      <c r="T304" s="607"/>
      <c r="U304" s="35"/>
      <c r="V304" s="35" t="s">
        <v>497</v>
      </c>
      <c r="W304" s="36" t="s">
        <v>67</v>
      </c>
      <c r="X304" s="591">
        <v>1</v>
      </c>
      <c r="Y304" s="592">
        <f>IFERROR(IF(X304="",0,CEILING((X304/$H304),1)*$H304),"")</f>
        <v>1.98</v>
      </c>
      <c r="Z304" s="37">
        <f>IFERROR(IF(Y304=0,"",ROUNDUP(Y304/H304,0)*0.0059),"")</f>
        <v>1.18E-2</v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1.1919191919191918</v>
      </c>
      <c r="BN304" s="64">
        <f>IFERROR(Y304*I304/H304,"0")</f>
        <v>2.36</v>
      </c>
      <c r="BO304" s="64">
        <f>IFERROR(1/J304*(X304/H304),"0")</f>
        <v>4.6763935652824546E-3</v>
      </c>
      <c r="BP304" s="64">
        <f>IFERROR(1/J304*(Y304/H304),"0")</f>
        <v>9.2592592592592587E-3</v>
      </c>
    </row>
    <row r="305" spans="1:68" x14ac:dyDescent="0.2">
      <c r="A305" s="608"/>
      <c r="B305" s="596"/>
      <c r="C305" s="596"/>
      <c r="D305" s="596"/>
      <c r="E305" s="596"/>
      <c r="F305" s="596"/>
      <c r="G305" s="596"/>
      <c r="H305" s="596"/>
      <c r="I305" s="596"/>
      <c r="J305" s="596"/>
      <c r="K305" s="596"/>
      <c r="L305" s="596"/>
      <c r="M305" s="596"/>
      <c r="N305" s="596"/>
      <c r="O305" s="609"/>
      <c r="P305" s="618" t="s">
        <v>72</v>
      </c>
      <c r="Q305" s="615"/>
      <c r="R305" s="615"/>
      <c r="S305" s="615"/>
      <c r="T305" s="615"/>
      <c r="U305" s="615"/>
      <c r="V305" s="616"/>
      <c r="W305" s="38" t="s">
        <v>73</v>
      </c>
      <c r="X305" s="593">
        <f>IFERROR(X301/H301,"0")+IFERROR(X302/H302,"0")+IFERROR(X303/H303,"0")+IFERROR(X304/H304,"0")</f>
        <v>4.3434343434343434</v>
      </c>
      <c r="Y305" s="593">
        <f>IFERROR(Y301/H301,"0")+IFERROR(Y302/H302,"0")+IFERROR(Y303/H303,"0")+IFERROR(Y304/H304,"0")</f>
        <v>6</v>
      </c>
      <c r="Z305" s="593">
        <f>IFERROR(IF(Z301="",0,Z301),"0")+IFERROR(IF(Z302="",0,Z302),"0")+IFERROR(IF(Z303="",0,Z303),"0")+IFERROR(IF(Z304="",0,Z304),"0")</f>
        <v>3.5400000000000001E-2</v>
      </c>
      <c r="AA305" s="594"/>
      <c r="AB305" s="594"/>
      <c r="AC305" s="594"/>
    </row>
    <row r="306" spans="1:68" x14ac:dyDescent="0.2">
      <c r="A306" s="596"/>
      <c r="B306" s="596"/>
      <c r="C306" s="596"/>
      <c r="D306" s="596"/>
      <c r="E306" s="596"/>
      <c r="F306" s="596"/>
      <c r="G306" s="596"/>
      <c r="H306" s="596"/>
      <c r="I306" s="596"/>
      <c r="J306" s="596"/>
      <c r="K306" s="596"/>
      <c r="L306" s="596"/>
      <c r="M306" s="596"/>
      <c r="N306" s="596"/>
      <c r="O306" s="609"/>
      <c r="P306" s="618" t="s">
        <v>72</v>
      </c>
      <c r="Q306" s="615"/>
      <c r="R306" s="615"/>
      <c r="S306" s="615"/>
      <c r="T306" s="615"/>
      <c r="U306" s="615"/>
      <c r="V306" s="616"/>
      <c r="W306" s="38" t="s">
        <v>67</v>
      </c>
      <c r="X306" s="593">
        <f>IFERROR(SUM(X301:X304),"0")</f>
        <v>4</v>
      </c>
      <c r="Y306" s="593">
        <f>IFERROR(SUM(Y301:Y304),"0")</f>
        <v>5.58</v>
      </c>
      <c r="Z306" s="38"/>
      <c r="AA306" s="594"/>
      <c r="AB306" s="594"/>
      <c r="AC306" s="594"/>
    </row>
    <row r="307" spans="1:68" ht="16.5" hidden="1" customHeight="1" x14ac:dyDescent="0.25">
      <c r="A307" s="601" t="s">
        <v>498</v>
      </c>
      <c r="B307" s="596"/>
      <c r="C307" s="596"/>
      <c r="D307" s="596"/>
      <c r="E307" s="596"/>
      <c r="F307" s="596"/>
      <c r="G307" s="596"/>
      <c r="H307" s="596"/>
      <c r="I307" s="596"/>
      <c r="J307" s="596"/>
      <c r="K307" s="596"/>
      <c r="L307" s="596"/>
      <c r="M307" s="596"/>
      <c r="N307" s="596"/>
      <c r="O307" s="596"/>
      <c r="P307" s="596"/>
      <c r="Q307" s="596"/>
      <c r="R307" s="596"/>
      <c r="S307" s="596"/>
      <c r="T307" s="596"/>
      <c r="U307" s="596"/>
      <c r="V307" s="596"/>
      <c r="W307" s="596"/>
      <c r="X307" s="596"/>
      <c r="Y307" s="596"/>
      <c r="Z307" s="596"/>
      <c r="AA307" s="586"/>
      <c r="AB307" s="586"/>
      <c r="AC307" s="586"/>
    </row>
    <row r="308" spans="1:68" ht="14.25" hidden="1" customHeight="1" x14ac:dyDescent="0.25">
      <c r="A308" s="595" t="s">
        <v>117</v>
      </c>
      <c r="B308" s="596"/>
      <c r="C308" s="596"/>
      <c r="D308" s="596"/>
      <c r="E308" s="596"/>
      <c r="F308" s="596"/>
      <c r="G308" s="596"/>
      <c r="H308" s="596"/>
      <c r="I308" s="596"/>
      <c r="J308" s="596"/>
      <c r="K308" s="596"/>
      <c r="L308" s="596"/>
      <c r="M308" s="596"/>
      <c r="N308" s="596"/>
      <c r="O308" s="596"/>
      <c r="P308" s="596"/>
      <c r="Q308" s="596"/>
      <c r="R308" s="596"/>
      <c r="S308" s="596"/>
      <c r="T308" s="596"/>
      <c r="U308" s="596"/>
      <c r="V308" s="596"/>
      <c r="W308" s="596"/>
      <c r="X308" s="596"/>
      <c r="Y308" s="596"/>
      <c r="Z308" s="596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9">
        <v>4680115885837</v>
      </c>
      <c r="E309" s="600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6"/>
      <c r="R309" s="606"/>
      <c r="S309" s="606"/>
      <c r="T309" s="607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9">
        <v>4680115887237</v>
      </c>
      <c r="E310" s="600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9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6"/>
      <c r="R310" s="606"/>
      <c r="S310" s="606"/>
      <c r="T310" s="607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505</v>
      </c>
      <c r="B311" s="54" t="s">
        <v>506</v>
      </c>
      <c r="C311" s="32">
        <v>4301011850</v>
      </c>
      <c r="D311" s="599">
        <v>4680115885806</v>
      </c>
      <c r="E311" s="600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6"/>
      <c r="R311" s="606"/>
      <c r="S311" s="606"/>
      <c r="T311" s="607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9">
        <v>4680115885844</v>
      </c>
      <c r="E312" s="600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6"/>
      <c r="R312" s="606"/>
      <c r="S312" s="606"/>
      <c r="T312" s="607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9">
        <v>4680115885820</v>
      </c>
      <c r="E313" s="600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6"/>
      <c r="R313" s="606"/>
      <c r="S313" s="606"/>
      <c r="T313" s="607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08"/>
      <c r="B314" s="596"/>
      <c r="C314" s="596"/>
      <c r="D314" s="596"/>
      <c r="E314" s="596"/>
      <c r="F314" s="596"/>
      <c r="G314" s="596"/>
      <c r="H314" s="596"/>
      <c r="I314" s="596"/>
      <c r="J314" s="596"/>
      <c r="K314" s="596"/>
      <c r="L314" s="596"/>
      <c r="M314" s="596"/>
      <c r="N314" s="596"/>
      <c r="O314" s="609"/>
      <c r="P314" s="618" t="s">
        <v>72</v>
      </c>
      <c r="Q314" s="615"/>
      <c r="R314" s="615"/>
      <c r="S314" s="615"/>
      <c r="T314" s="615"/>
      <c r="U314" s="615"/>
      <c r="V314" s="616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hidden="1" x14ac:dyDescent="0.2">
      <c r="A315" s="596"/>
      <c r="B315" s="596"/>
      <c r="C315" s="596"/>
      <c r="D315" s="596"/>
      <c r="E315" s="596"/>
      <c r="F315" s="596"/>
      <c r="G315" s="596"/>
      <c r="H315" s="596"/>
      <c r="I315" s="596"/>
      <c r="J315" s="596"/>
      <c r="K315" s="596"/>
      <c r="L315" s="596"/>
      <c r="M315" s="596"/>
      <c r="N315" s="596"/>
      <c r="O315" s="609"/>
      <c r="P315" s="618" t="s">
        <v>72</v>
      </c>
      <c r="Q315" s="615"/>
      <c r="R315" s="615"/>
      <c r="S315" s="615"/>
      <c r="T315" s="615"/>
      <c r="U315" s="615"/>
      <c r="V315" s="616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hidden="1" customHeight="1" x14ac:dyDescent="0.25">
      <c r="A316" s="601" t="s">
        <v>514</v>
      </c>
      <c r="B316" s="596"/>
      <c r="C316" s="596"/>
      <c r="D316" s="596"/>
      <c r="E316" s="596"/>
      <c r="F316" s="596"/>
      <c r="G316" s="596"/>
      <c r="H316" s="596"/>
      <c r="I316" s="596"/>
      <c r="J316" s="596"/>
      <c r="K316" s="596"/>
      <c r="L316" s="596"/>
      <c r="M316" s="596"/>
      <c r="N316" s="596"/>
      <c r="O316" s="596"/>
      <c r="P316" s="596"/>
      <c r="Q316" s="596"/>
      <c r="R316" s="596"/>
      <c r="S316" s="596"/>
      <c r="T316" s="596"/>
      <c r="U316" s="596"/>
      <c r="V316" s="596"/>
      <c r="W316" s="596"/>
      <c r="X316" s="596"/>
      <c r="Y316" s="596"/>
      <c r="Z316" s="596"/>
      <c r="AA316" s="586"/>
      <c r="AB316" s="586"/>
      <c r="AC316" s="586"/>
    </row>
    <row r="317" spans="1:68" ht="14.25" hidden="1" customHeight="1" x14ac:dyDescent="0.25">
      <c r="A317" s="595" t="s">
        <v>74</v>
      </c>
      <c r="B317" s="596"/>
      <c r="C317" s="596"/>
      <c r="D317" s="596"/>
      <c r="E317" s="596"/>
      <c r="F317" s="596"/>
      <c r="G317" s="596"/>
      <c r="H317" s="596"/>
      <c r="I317" s="596"/>
      <c r="J317" s="596"/>
      <c r="K317" s="596"/>
      <c r="L317" s="596"/>
      <c r="M317" s="596"/>
      <c r="N317" s="596"/>
      <c r="O317" s="596"/>
      <c r="P317" s="596"/>
      <c r="Q317" s="596"/>
      <c r="R317" s="596"/>
      <c r="S317" s="596"/>
      <c r="T317" s="596"/>
      <c r="U317" s="596"/>
      <c r="V317" s="596"/>
      <c r="W317" s="596"/>
      <c r="X317" s="596"/>
      <c r="Y317" s="596"/>
      <c r="Z317" s="596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9">
        <v>4680115886186</v>
      </c>
      <c r="E318" s="600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6"/>
      <c r="R318" s="606"/>
      <c r="S318" s="606"/>
      <c r="T318" s="607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9">
        <v>4680115881228</v>
      </c>
      <c r="E319" s="600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62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6"/>
      <c r="R319" s="606"/>
      <c r="S319" s="606"/>
      <c r="T319" s="607"/>
      <c r="U319" s="35"/>
      <c r="V319" s="35"/>
      <c r="W319" s="36" t="s">
        <v>67</v>
      </c>
      <c r="X319" s="591">
        <v>63</v>
      </c>
      <c r="Y319" s="592">
        <f>IFERROR(IF(X319="",0,CEILING((X319/$H319),1)*$H319),"")</f>
        <v>64.8</v>
      </c>
      <c r="Z319" s="37">
        <f>IFERROR(IF(Y319=0,"",ROUNDUP(Y319/H319,0)*0.00651),"")</f>
        <v>0.17577000000000001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69.615000000000009</v>
      </c>
      <c r="BN319" s="64">
        <f>IFERROR(Y319*I319/H319,"0")</f>
        <v>71.604000000000013</v>
      </c>
      <c r="BO319" s="64">
        <f>IFERROR(1/J319*(X319/H319),"0")</f>
        <v>0.14423076923076925</v>
      </c>
      <c r="BP319" s="64">
        <f>IFERROR(1/J319*(Y319/H319),"0")</f>
        <v>0.14835164835164835</v>
      </c>
    </row>
    <row r="320" spans="1:68" ht="27" customHeight="1" x14ac:dyDescent="0.25">
      <c r="A320" s="54" t="s">
        <v>521</v>
      </c>
      <c r="B320" s="54" t="s">
        <v>522</v>
      </c>
      <c r="C320" s="32">
        <v>4301051388</v>
      </c>
      <c r="D320" s="599">
        <v>4680115881211</v>
      </c>
      <c r="E320" s="600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6"/>
      <c r="R320" s="606"/>
      <c r="S320" s="606"/>
      <c r="T320" s="607"/>
      <c r="U320" s="35"/>
      <c r="V320" s="35"/>
      <c r="W320" s="36" t="s">
        <v>67</v>
      </c>
      <c r="X320" s="591">
        <v>24</v>
      </c>
      <c r="Y320" s="592">
        <f>IFERROR(IF(X320="",0,CEILING((X320/$H320),1)*$H320),"")</f>
        <v>24</v>
      </c>
      <c r="Z320" s="37">
        <f>IFERROR(IF(Y320=0,"",ROUNDUP(Y320/H320,0)*0.00651),"")</f>
        <v>6.5100000000000005E-2</v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25.8</v>
      </c>
      <c r="BN320" s="64">
        <f>IFERROR(Y320*I320/H320,"0")</f>
        <v>25.8</v>
      </c>
      <c r="BO320" s="64">
        <f>IFERROR(1/J320*(X320/H320),"0")</f>
        <v>5.4945054945054951E-2</v>
      </c>
      <c r="BP320" s="64">
        <f>IFERROR(1/J320*(Y320/H320),"0")</f>
        <v>5.4945054945054951E-2</v>
      </c>
    </row>
    <row r="321" spans="1:68" x14ac:dyDescent="0.2">
      <c r="A321" s="608"/>
      <c r="B321" s="596"/>
      <c r="C321" s="596"/>
      <c r="D321" s="596"/>
      <c r="E321" s="596"/>
      <c r="F321" s="596"/>
      <c r="G321" s="596"/>
      <c r="H321" s="596"/>
      <c r="I321" s="596"/>
      <c r="J321" s="596"/>
      <c r="K321" s="596"/>
      <c r="L321" s="596"/>
      <c r="M321" s="596"/>
      <c r="N321" s="596"/>
      <c r="O321" s="609"/>
      <c r="P321" s="618" t="s">
        <v>72</v>
      </c>
      <c r="Q321" s="615"/>
      <c r="R321" s="615"/>
      <c r="S321" s="615"/>
      <c r="T321" s="615"/>
      <c r="U321" s="615"/>
      <c r="V321" s="616"/>
      <c r="W321" s="38" t="s">
        <v>73</v>
      </c>
      <c r="X321" s="593">
        <f>IFERROR(X318/H318,"0")+IFERROR(X319/H319,"0")+IFERROR(X320/H320,"0")</f>
        <v>36.25</v>
      </c>
      <c r="Y321" s="593">
        <f>IFERROR(Y318/H318,"0")+IFERROR(Y319/H319,"0")+IFERROR(Y320/H320,"0")</f>
        <v>37</v>
      </c>
      <c r="Z321" s="593">
        <f>IFERROR(IF(Z318="",0,Z318),"0")+IFERROR(IF(Z319="",0,Z319),"0")+IFERROR(IF(Z320="",0,Z320),"0")</f>
        <v>0.24087000000000003</v>
      </c>
      <c r="AA321" s="594"/>
      <c r="AB321" s="594"/>
      <c r="AC321" s="594"/>
    </row>
    <row r="322" spans="1:68" x14ac:dyDescent="0.2">
      <c r="A322" s="596"/>
      <c r="B322" s="596"/>
      <c r="C322" s="596"/>
      <c r="D322" s="596"/>
      <c r="E322" s="596"/>
      <c r="F322" s="596"/>
      <c r="G322" s="596"/>
      <c r="H322" s="596"/>
      <c r="I322" s="596"/>
      <c r="J322" s="596"/>
      <c r="K322" s="596"/>
      <c r="L322" s="596"/>
      <c r="M322" s="596"/>
      <c r="N322" s="596"/>
      <c r="O322" s="609"/>
      <c r="P322" s="618" t="s">
        <v>72</v>
      </c>
      <c r="Q322" s="615"/>
      <c r="R322" s="615"/>
      <c r="S322" s="615"/>
      <c r="T322" s="615"/>
      <c r="U322" s="615"/>
      <c r="V322" s="616"/>
      <c r="W322" s="38" t="s">
        <v>67</v>
      </c>
      <c r="X322" s="593">
        <f>IFERROR(SUM(X318:X320),"0")</f>
        <v>87</v>
      </c>
      <c r="Y322" s="593">
        <f>IFERROR(SUM(Y318:Y320),"0")</f>
        <v>88.8</v>
      </c>
      <c r="Z322" s="38"/>
      <c r="AA322" s="594"/>
      <c r="AB322" s="594"/>
      <c r="AC322" s="594"/>
    </row>
    <row r="323" spans="1:68" ht="16.5" hidden="1" customHeight="1" x14ac:dyDescent="0.25">
      <c r="A323" s="601" t="s">
        <v>523</v>
      </c>
      <c r="B323" s="596"/>
      <c r="C323" s="596"/>
      <c r="D323" s="596"/>
      <c r="E323" s="596"/>
      <c r="F323" s="596"/>
      <c r="G323" s="596"/>
      <c r="H323" s="596"/>
      <c r="I323" s="596"/>
      <c r="J323" s="596"/>
      <c r="K323" s="596"/>
      <c r="L323" s="596"/>
      <c r="M323" s="596"/>
      <c r="N323" s="596"/>
      <c r="O323" s="596"/>
      <c r="P323" s="596"/>
      <c r="Q323" s="596"/>
      <c r="R323" s="596"/>
      <c r="S323" s="596"/>
      <c r="T323" s="596"/>
      <c r="U323" s="596"/>
      <c r="V323" s="596"/>
      <c r="W323" s="596"/>
      <c r="X323" s="596"/>
      <c r="Y323" s="596"/>
      <c r="Z323" s="596"/>
      <c r="AA323" s="586"/>
      <c r="AB323" s="586"/>
      <c r="AC323" s="586"/>
    </row>
    <row r="324" spans="1:68" ht="14.25" hidden="1" customHeight="1" x14ac:dyDescent="0.25">
      <c r="A324" s="595" t="s">
        <v>62</v>
      </c>
      <c r="B324" s="596"/>
      <c r="C324" s="596"/>
      <c r="D324" s="596"/>
      <c r="E324" s="596"/>
      <c r="F324" s="596"/>
      <c r="G324" s="596"/>
      <c r="H324" s="596"/>
      <c r="I324" s="596"/>
      <c r="J324" s="596"/>
      <c r="K324" s="596"/>
      <c r="L324" s="596"/>
      <c r="M324" s="596"/>
      <c r="N324" s="596"/>
      <c r="O324" s="596"/>
      <c r="P324" s="596"/>
      <c r="Q324" s="596"/>
      <c r="R324" s="596"/>
      <c r="S324" s="596"/>
      <c r="T324" s="596"/>
      <c r="U324" s="596"/>
      <c r="V324" s="596"/>
      <c r="W324" s="596"/>
      <c r="X324" s="596"/>
      <c r="Y324" s="596"/>
      <c r="Z324" s="596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9">
        <v>4680115888319</v>
      </c>
      <c r="E325" s="600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7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6"/>
      <c r="R325" s="606"/>
      <c r="S325" s="606"/>
      <c r="T325" s="607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9">
        <v>4680115884700</v>
      </c>
      <c r="E326" s="600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6"/>
      <c r="R326" s="606"/>
      <c r="S326" s="606"/>
      <c r="T326" s="607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9">
        <v>4680115880344</v>
      </c>
      <c r="E327" s="600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6"/>
      <c r="R327" s="606"/>
      <c r="S327" s="606"/>
      <c r="T327" s="607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9">
        <v>4680115886919</v>
      </c>
      <c r="E328" s="600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93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6"/>
      <c r="R328" s="606"/>
      <c r="S328" s="606"/>
      <c r="T328" s="607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9">
        <v>4680115883970</v>
      </c>
      <c r="E329" s="600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6"/>
      <c r="R329" s="606"/>
      <c r="S329" s="606"/>
      <c r="T329" s="607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8"/>
      <c r="B330" s="596"/>
      <c r="C330" s="596"/>
      <c r="D330" s="596"/>
      <c r="E330" s="596"/>
      <c r="F330" s="596"/>
      <c r="G330" s="596"/>
      <c r="H330" s="596"/>
      <c r="I330" s="596"/>
      <c r="J330" s="596"/>
      <c r="K330" s="596"/>
      <c r="L330" s="596"/>
      <c r="M330" s="596"/>
      <c r="N330" s="596"/>
      <c r="O330" s="609"/>
      <c r="P330" s="618" t="s">
        <v>72</v>
      </c>
      <c r="Q330" s="615"/>
      <c r="R330" s="615"/>
      <c r="S330" s="615"/>
      <c r="T330" s="615"/>
      <c r="U330" s="615"/>
      <c r="V330" s="616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596"/>
      <c r="B331" s="596"/>
      <c r="C331" s="596"/>
      <c r="D331" s="596"/>
      <c r="E331" s="596"/>
      <c r="F331" s="596"/>
      <c r="G331" s="596"/>
      <c r="H331" s="596"/>
      <c r="I331" s="596"/>
      <c r="J331" s="596"/>
      <c r="K331" s="596"/>
      <c r="L331" s="596"/>
      <c r="M331" s="596"/>
      <c r="N331" s="596"/>
      <c r="O331" s="609"/>
      <c r="P331" s="618" t="s">
        <v>72</v>
      </c>
      <c r="Q331" s="615"/>
      <c r="R331" s="615"/>
      <c r="S331" s="615"/>
      <c r="T331" s="615"/>
      <c r="U331" s="615"/>
      <c r="V331" s="616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595" t="s">
        <v>74</v>
      </c>
      <c r="B332" s="596"/>
      <c r="C332" s="596"/>
      <c r="D332" s="596"/>
      <c r="E332" s="596"/>
      <c r="F332" s="596"/>
      <c r="G332" s="596"/>
      <c r="H332" s="596"/>
      <c r="I332" s="596"/>
      <c r="J332" s="596"/>
      <c r="K332" s="596"/>
      <c r="L332" s="596"/>
      <c r="M332" s="596"/>
      <c r="N332" s="596"/>
      <c r="O332" s="596"/>
      <c r="P332" s="596"/>
      <c r="Q332" s="596"/>
      <c r="R332" s="596"/>
      <c r="S332" s="596"/>
      <c r="T332" s="596"/>
      <c r="U332" s="596"/>
      <c r="V332" s="596"/>
      <c r="W332" s="596"/>
      <c r="X332" s="596"/>
      <c r="Y332" s="596"/>
      <c r="Z332" s="596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9">
        <v>4680115884618</v>
      </c>
      <c r="E333" s="600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6"/>
      <c r="R333" s="606"/>
      <c r="S333" s="606"/>
      <c r="T333" s="607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9">
        <v>4680115887114</v>
      </c>
      <c r="E334" s="600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6"/>
      <c r="R334" s="606"/>
      <c r="S334" s="606"/>
      <c r="T334" s="607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8"/>
      <c r="B335" s="596"/>
      <c r="C335" s="596"/>
      <c r="D335" s="596"/>
      <c r="E335" s="596"/>
      <c r="F335" s="596"/>
      <c r="G335" s="596"/>
      <c r="H335" s="596"/>
      <c r="I335" s="596"/>
      <c r="J335" s="596"/>
      <c r="K335" s="596"/>
      <c r="L335" s="596"/>
      <c r="M335" s="596"/>
      <c r="N335" s="596"/>
      <c r="O335" s="609"/>
      <c r="P335" s="618" t="s">
        <v>72</v>
      </c>
      <c r="Q335" s="615"/>
      <c r="R335" s="615"/>
      <c r="S335" s="615"/>
      <c r="T335" s="615"/>
      <c r="U335" s="615"/>
      <c r="V335" s="616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596"/>
      <c r="B336" s="596"/>
      <c r="C336" s="596"/>
      <c r="D336" s="596"/>
      <c r="E336" s="596"/>
      <c r="F336" s="596"/>
      <c r="G336" s="596"/>
      <c r="H336" s="596"/>
      <c r="I336" s="596"/>
      <c r="J336" s="596"/>
      <c r="K336" s="596"/>
      <c r="L336" s="596"/>
      <c r="M336" s="596"/>
      <c r="N336" s="596"/>
      <c r="O336" s="609"/>
      <c r="P336" s="618" t="s">
        <v>72</v>
      </c>
      <c r="Q336" s="615"/>
      <c r="R336" s="615"/>
      <c r="S336" s="615"/>
      <c r="T336" s="615"/>
      <c r="U336" s="615"/>
      <c r="V336" s="616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1" t="s">
        <v>544</v>
      </c>
      <c r="B337" s="596"/>
      <c r="C337" s="596"/>
      <c r="D337" s="596"/>
      <c r="E337" s="596"/>
      <c r="F337" s="596"/>
      <c r="G337" s="596"/>
      <c r="H337" s="596"/>
      <c r="I337" s="596"/>
      <c r="J337" s="596"/>
      <c r="K337" s="596"/>
      <c r="L337" s="596"/>
      <c r="M337" s="596"/>
      <c r="N337" s="596"/>
      <c r="O337" s="596"/>
      <c r="P337" s="596"/>
      <c r="Q337" s="596"/>
      <c r="R337" s="596"/>
      <c r="S337" s="596"/>
      <c r="T337" s="596"/>
      <c r="U337" s="596"/>
      <c r="V337" s="596"/>
      <c r="W337" s="596"/>
      <c r="X337" s="596"/>
      <c r="Y337" s="596"/>
      <c r="Z337" s="596"/>
      <c r="AA337" s="586"/>
      <c r="AB337" s="586"/>
      <c r="AC337" s="586"/>
    </row>
    <row r="338" spans="1:68" ht="14.25" hidden="1" customHeight="1" x14ac:dyDescent="0.25">
      <c r="A338" s="595" t="s">
        <v>117</v>
      </c>
      <c r="B338" s="596"/>
      <c r="C338" s="596"/>
      <c r="D338" s="596"/>
      <c r="E338" s="596"/>
      <c r="F338" s="596"/>
      <c r="G338" s="596"/>
      <c r="H338" s="596"/>
      <c r="I338" s="596"/>
      <c r="J338" s="596"/>
      <c r="K338" s="596"/>
      <c r="L338" s="596"/>
      <c r="M338" s="596"/>
      <c r="N338" s="596"/>
      <c r="O338" s="596"/>
      <c r="P338" s="596"/>
      <c r="Q338" s="596"/>
      <c r="R338" s="596"/>
      <c r="S338" s="596"/>
      <c r="T338" s="596"/>
      <c r="U338" s="596"/>
      <c r="V338" s="596"/>
      <c r="W338" s="596"/>
      <c r="X338" s="596"/>
      <c r="Y338" s="596"/>
      <c r="Z338" s="596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9">
        <v>4680115887947</v>
      </c>
      <c r="E339" s="600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8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6"/>
      <c r="R339" s="606"/>
      <c r="S339" s="606"/>
      <c r="T339" s="607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2">
        <v>4301012325</v>
      </c>
      <c r="D340" s="599">
        <v>4680115887978</v>
      </c>
      <c r="E340" s="600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8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6"/>
      <c r="R340" s="606"/>
      <c r="S340" s="606"/>
      <c r="T340" s="607"/>
      <c r="U340" s="35"/>
      <c r="V340" s="35"/>
      <c r="W340" s="36" t="s">
        <v>67</v>
      </c>
      <c r="X340" s="591">
        <v>0</v>
      </c>
      <c r="Y340" s="592">
        <f>IFERROR(IF(X340="",0,CEILING((X340/$H340),1)*$H340),"")</f>
        <v>0</v>
      </c>
      <c r="Z340" s="37" t="str">
        <f>IFERROR(IF(Y340=0,"",ROUNDUP(Y340/H340,0)*0.01898),"")</f>
        <v/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2">
        <v>4301012327</v>
      </c>
      <c r="D341" s="599">
        <v>4680115887992</v>
      </c>
      <c r="E341" s="600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7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6"/>
      <c r="R341" s="606"/>
      <c r="S341" s="606"/>
      <c r="T341" s="607"/>
      <c r="U341" s="35"/>
      <c r="V341" s="35"/>
      <c r="W341" s="36" t="s">
        <v>67</v>
      </c>
      <c r="X341" s="591">
        <v>24</v>
      </c>
      <c r="Y341" s="592">
        <f>IFERROR(IF(X341="",0,CEILING((X341/$H341),1)*$H341),"")</f>
        <v>31.2</v>
      </c>
      <c r="Z341" s="37">
        <f>IFERROR(IF(Y341=0,"",ROUNDUP(Y341/H341,0)*0.01898),"")</f>
        <v>7.5920000000000001E-2</v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25.261538461538464</v>
      </c>
      <c r="BN341" s="64">
        <f>IFERROR(Y341*I341/H341,"0")</f>
        <v>32.840000000000003</v>
      </c>
      <c r="BO341" s="64">
        <f>IFERROR(1/J341*(X341/H341),"0")</f>
        <v>4.807692307692308E-2</v>
      </c>
      <c r="BP341" s="64">
        <f>IFERROR(1/J341*(Y341/H341),"0")</f>
        <v>6.25E-2</v>
      </c>
    </row>
    <row r="342" spans="1:68" x14ac:dyDescent="0.2">
      <c r="A342" s="608"/>
      <c r="B342" s="596"/>
      <c r="C342" s="596"/>
      <c r="D342" s="596"/>
      <c r="E342" s="596"/>
      <c r="F342" s="596"/>
      <c r="G342" s="596"/>
      <c r="H342" s="596"/>
      <c r="I342" s="596"/>
      <c r="J342" s="596"/>
      <c r="K342" s="596"/>
      <c r="L342" s="596"/>
      <c r="M342" s="596"/>
      <c r="N342" s="596"/>
      <c r="O342" s="609"/>
      <c r="P342" s="618" t="s">
        <v>72</v>
      </c>
      <c r="Q342" s="615"/>
      <c r="R342" s="615"/>
      <c r="S342" s="615"/>
      <c r="T342" s="615"/>
      <c r="U342" s="615"/>
      <c r="V342" s="616"/>
      <c r="W342" s="38" t="s">
        <v>73</v>
      </c>
      <c r="X342" s="593">
        <f>IFERROR(X339/H339,"0")+IFERROR(X340/H340,"0")+IFERROR(X341/H341,"0")</f>
        <v>3.0769230769230771</v>
      </c>
      <c r="Y342" s="593">
        <f>IFERROR(Y339/H339,"0")+IFERROR(Y340/H340,"0")+IFERROR(Y341/H341,"0")</f>
        <v>4</v>
      </c>
      <c r="Z342" s="593">
        <f>IFERROR(IF(Z339="",0,Z339),"0")+IFERROR(IF(Z340="",0,Z340),"0")+IFERROR(IF(Z341="",0,Z341),"0")</f>
        <v>7.5920000000000001E-2</v>
      </c>
      <c r="AA342" s="594"/>
      <c r="AB342" s="594"/>
      <c r="AC342" s="594"/>
    </row>
    <row r="343" spans="1:68" x14ac:dyDescent="0.2">
      <c r="A343" s="596"/>
      <c r="B343" s="596"/>
      <c r="C343" s="596"/>
      <c r="D343" s="596"/>
      <c r="E343" s="596"/>
      <c r="F343" s="596"/>
      <c r="G343" s="596"/>
      <c r="H343" s="596"/>
      <c r="I343" s="596"/>
      <c r="J343" s="596"/>
      <c r="K343" s="596"/>
      <c r="L343" s="596"/>
      <c r="M343" s="596"/>
      <c r="N343" s="596"/>
      <c r="O343" s="609"/>
      <c r="P343" s="618" t="s">
        <v>72</v>
      </c>
      <c r="Q343" s="615"/>
      <c r="R343" s="615"/>
      <c r="S343" s="615"/>
      <c r="T343" s="615"/>
      <c r="U343" s="615"/>
      <c r="V343" s="616"/>
      <c r="W343" s="38" t="s">
        <v>67</v>
      </c>
      <c r="X343" s="593">
        <f>IFERROR(SUM(X339:X341),"0")</f>
        <v>24</v>
      </c>
      <c r="Y343" s="593">
        <f>IFERROR(SUM(Y339:Y341),"0")</f>
        <v>31.2</v>
      </c>
      <c r="Z343" s="38"/>
      <c r="AA343" s="594"/>
      <c r="AB343" s="594"/>
      <c r="AC343" s="594"/>
    </row>
    <row r="344" spans="1:68" ht="16.5" hidden="1" customHeight="1" x14ac:dyDescent="0.25">
      <c r="A344" s="601" t="s">
        <v>554</v>
      </c>
      <c r="B344" s="596"/>
      <c r="C344" s="596"/>
      <c r="D344" s="596"/>
      <c r="E344" s="596"/>
      <c r="F344" s="596"/>
      <c r="G344" s="596"/>
      <c r="H344" s="596"/>
      <c r="I344" s="596"/>
      <c r="J344" s="596"/>
      <c r="K344" s="596"/>
      <c r="L344" s="596"/>
      <c r="M344" s="596"/>
      <c r="N344" s="596"/>
      <c r="O344" s="596"/>
      <c r="P344" s="596"/>
      <c r="Q344" s="596"/>
      <c r="R344" s="596"/>
      <c r="S344" s="596"/>
      <c r="T344" s="596"/>
      <c r="U344" s="596"/>
      <c r="V344" s="596"/>
      <c r="W344" s="596"/>
      <c r="X344" s="596"/>
      <c r="Y344" s="596"/>
      <c r="Z344" s="596"/>
      <c r="AA344" s="586"/>
      <c r="AB344" s="586"/>
      <c r="AC344" s="586"/>
    </row>
    <row r="345" spans="1:68" ht="14.25" hidden="1" customHeight="1" x14ac:dyDescent="0.25">
      <c r="A345" s="595" t="s">
        <v>117</v>
      </c>
      <c r="B345" s="596"/>
      <c r="C345" s="596"/>
      <c r="D345" s="596"/>
      <c r="E345" s="596"/>
      <c r="F345" s="596"/>
      <c r="G345" s="596"/>
      <c r="H345" s="596"/>
      <c r="I345" s="596"/>
      <c r="J345" s="596"/>
      <c r="K345" s="596"/>
      <c r="L345" s="596"/>
      <c r="M345" s="596"/>
      <c r="N345" s="596"/>
      <c r="O345" s="596"/>
      <c r="P345" s="596"/>
      <c r="Q345" s="596"/>
      <c r="R345" s="596"/>
      <c r="S345" s="596"/>
      <c r="T345" s="596"/>
      <c r="U345" s="596"/>
      <c r="V345" s="596"/>
      <c r="W345" s="596"/>
      <c r="X345" s="596"/>
      <c r="Y345" s="596"/>
      <c r="Z345" s="596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9">
        <v>4680115887190</v>
      </c>
      <c r="E346" s="600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6"/>
      <c r="R346" s="606"/>
      <c r="S346" s="606"/>
      <c r="T346" s="607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9">
        <v>4680115887138</v>
      </c>
      <c r="E347" s="600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6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6"/>
      <c r="R347" s="606"/>
      <c r="S347" s="606"/>
      <c r="T347" s="607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9">
        <v>4680115885554</v>
      </c>
      <c r="E348" s="600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6"/>
      <c r="R348" s="606"/>
      <c r="S348" s="606"/>
      <c r="T348" s="607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9">
        <v>4680115887220</v>
      </c>
      <c r="E349" s="600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6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6"/>
      <c r="R349" s="606"/>
      <c r="S349" s="606"/>
      <c r="T349" s="607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9">
        <v>4680115885608</v>
      </c>
      <c r="E350" s="600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8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6"/>
      <c r="R350" s="606"/>
      <c r="S350" s="606"/>
      <c r="T350" s="607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8"/>
      <c r="B351" s="596"/>
      <c r="C351" s="596"/>
      <c r="D351" s="596"/>
      <c r="E351" s="596"/>
      <c r="F351" s="596"/>
      <c r="G351" s="596"/>
      <c r="H351" s="596"/>
      <c r="I351" s="596"/>
      <c r="J351" s="596"/>
      <c r="K351" s="596"/>
      <c r="L351" s="596"/>
      <c r="M351" s="596"/>
      <c r="N351" s="596"/>
      <c r="O351" s="609"/>
      <c r="P351" s="618" t="s">
        <v>72</v>
      </c>
      <c r="Q351" s="615"/>
      <c r="R351" s="615"/>
      <c r="S351" s="615"/>
      <c r="T351" s="615"/>
      <c r="U351" s="615"/>
      <c r="V351" s="616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596"/>
      <c r="B352" s="596"/>
      <c r="C352" s="596"/>
      <c r="D352" s="596"/>
      <c r="E352" s="596"/>
      <c r="F352" s="596"/>
      <c r="G352" s="596"/>
      <c r="H352" s="596"/>
      <c r="I352" s="596"/>
      <c r="J352" s="596"/>
      <c r="K352" s="596"/>
      <c r="L352" s="596"/>
      <c r="M352" s="596"/>
      <c r="N352" s="596"/>
      <c r="O352" s="609"/>
      <c r="P352" s="618" t="s">
        <v>72</v>
      </c>
      <c r="Q352" s="615"/>
      <c r="R352" s="615"/>
      <c r="S352" s="615"/>
      <c r="T352" s="615"/>
      <c r="U352" s="615"/>
      <c r="V352" s="616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595" t="s">
        <v>62</v>
      </c>
      <c r="B353" s="596"/>
      <c r="C353" s="596"/>
      <c r="D353" s="596"/>
      <c r="E353" s="596"/>
      <c r="F353" s="596"/>
      <c r="G353" s="596"/>
      <c r="H353" s="596"/>
      <c r="I353" s="596"/>
      <c r="J353" s="596"/>
      <c r="K353" s="596"/>
      <c r="L353" s="596"/>
      <c r="M353" s="596"/>
      <c r="N353" s="596"/>
      <c r="O353" s="596"/>
      <c r="P353" s="596"/>
      <c r="Q353" s="596"/>
      <c r="R353" s="596"/>
      <c r="S353" s="596"/>
      <c r="T353" s="596"/>
      <c r="U353" s="596"/>
      <c r="V353" s="596"/>
      <c r="W353" s="596"/>
      <c r="X353" s="596"/>
      <c r="Y353" s="596"/>
      <c r="Z353" s="596"/>
      <c r="AA353" s="587"/>
      <c r="AB353" s="587"/>
      <c r="AC353" s="587"/>
    </row>
    <row r="354" spans="1:68" ht="27" hidden="1" customHeight="1" x14ac:dyDescent="0.25">
      <c r="A354" s="54" t="s">
        <v>569</v>
      </c>
      <c r="B354" s="54" t="s">
        <v>570</v>
      </c>
      <c r="C354" s="32">
        <v>4301030878</v>
      </c>
      <c r="D354" s="599">
        <v>4607091387193</v>
      </c>
      <c r="E354" s="600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6"/>
      <c r="R354" s="606"/>
      <c r="S354" s="606"/>
      <c r="T354" s="607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9">
        <v>4607091387230</v>
      </c>
      <c r="E355" s="600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6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6"/>
      <c r="R355" s="606"/>
      <c r="S355" s="606"/>
      <c r="T355" s="607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9">
        <v>4607091387292</v>
      </c>
      <c r="E356" s="600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6"/>
      <c r="R356" s="606"/>
      <c r="S356" s="606"/>
      <c r="T356" s="607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9">
        <v>4607091387285</v>
      </c>
      <c r="E357" s="600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6"/>
      <c r="R357" s="606"/>
      <c r="S357" s="606"/>
      <c r="T357" s="607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9">
        <v>4607091389845</v>
      </c>
      <c r="E358" s="600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8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6"/>
      <c r="R358" s="606"/>
      <c r="S358" s="606"/>
      <c r="T358" s="607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9">
        <v>4680115887442</v>
      </c>
      <c r="E359" s="600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6"/>
      <c r="R359" s="606"/>
      <c r="S359" s="606"/>
      <c r="T359" s="607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2">
        <v>4301031066</v>
      </c>
      <c r="D360" s="599">
        <v>4607091383836</v>
      </c>
      <c r="E360" s="600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6"/>
      <c r="R360" s="606"/>
      <c r="S360" s="606"/>
      <c r="T360" s="607"/>
      <c r="U360" s="35"/>
      <c r="V360" s="35"/>
      <c r="W360" s="36" t="s">
        <v>67</v>
      </c>
      <c r="X360" s="591">
        <v>0</v>
      </c>
      <c r="Y360" s="592">
        <f t="shared" si="47"/>
        <v>0</v>
      </c>
      <c r="Z360" s="37" t="str">
        <f>IFERROR(IF(Y360=0,"",ROUNDUP(Y360/H360,0)*0.00651),"")</f>
        <v/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idden="1" x14ac:dyDescent="0.2">
      <c r="A361" s="608"/>
      <c r="B361" s="596"/>
      <c r="C361" s="596"/>
      <c r="D361" s="596"/>
      <c r="E361" s="596"/>
      <c r="F361" s="596"/>
      <c r="G361" s="596"/>
      <c r="H361" s="596"/>
      <c r="I361" s="596"/>
      <c r="J361" s="596"/>
      <c r="K361" s="596"/>
      <c r="L361" s="596"/>
      <c r="M361" s="596"/>
      <c r="N361" s="596"/>
      <c r="O361" s="609"/>
      <c r="P361" s="618" t="s">
        <v>72</v>
      </c>
      <c r="Q361" s="615"/>
      <c r="R361" s="615"/>
      <c r="S361" s="615"/>
      <c r="T361" s="615"/>
      <c r="U361" s="615"/>
      <c r="V361" s="616"/>
      <c r="W361" s="38" t="s">
        <v>73</v>
      </c>
      <c r="X361" s="593">
        <f>IFERROR(X354/H354,"0")+IFERROR(X355/H355,"0")+IFERROR(X356/H356,"0")+IFERROR(X357/H357,"0")+IFERROR(X358/H358,"0")+IFERROR(X359/H359,"0")+IFERROR(X360/H360,"0")</f>
        <v>0</v>
      </c>
      <c r="Y361" s="593">
        <f>IFERROR(Y354/H354,"0")+IFERROR(Y355/H355,"0")+IFERROR(Y356/H356,"0")+IFERROR(Y357/H357,"0")+IFERROR(Y358/H358,"0")+IFERROR(Y359/H359,"0")+IFERROR(Y360/H360,"0")</f>
        <v>0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594"/>
      <c r="AB361" s="594"/>
      <c r="AC361" s="594"/>
    </row>
    <row r="362" spans="1:68" hidden="1" x14ac:dyDescent="0.2">
      <c r="A362" s="596"/>
      <c r="B362" s="596"/>
      <c r="C362" s="596"/>
      <c r="D362" s="596"/>
      <c r="E362" s="596"/>
      <c r="F362" s="596"/>
      <c r="G362" s="596"/>
      <c r="H362" s="596"/>
      <c r="I362" s="596"/>
      <c r="J362" s="596"/>
      <c r="K362" s="596"/>
      <c r="L362" s="596"/>
      <c r="M362" s="596"/>
      <c r="N362" s="596"/>
      <c r="O362" s="609"/>
      <c r="P362" s="618" t="s">
        <v>72</v>
      </c>
      <c r="Q362" s="615"/>
      <c r="R362" s="615"/>
      <c r="S362" s="615"/>
      <c r="T362" s="615"/>
      <c r="U362" s="615"/>
      <c r="V362" s="616"/>
      <c r="W362" s="38" t="s">
        <v>67</v>
      </c>
      <c r="X362" s="593">
        <f>IFERROR(SUM(X354:X360),"0")</f>
        <v>0</v>
      </c>
      <c r="Y362" s="593">
        <f>IFERROR(SUM(Y354:Y360),"0")</f>
        <v>0</v>
      </c>
      <c r="Z362" s="38"/>
      <c r="AA362" s="594"/>
      <c r="AB362" s="594"/>
      <c r="AC362" s="594"/>
    </row>
    <row r="363" spans="1:68" ht="14.25" hidden="1" customHeight="1" x14ac:dyDescent="0.25">
      <c r="A363" s="595" t="s">
        <v>74</v>
      </c>
      <c r="B363" s="596"/>
      <c r="C363" s="596"/>
      <c r="D363" s="596"/>
      <c r="E363" s="596"/>
      <c r="F363" s="596"/>
      <c r="G363" s="596"/>
      <c r="H363" s="596"/>
      <c r="I363" s="596"/>
      <c r="J363" s="596"/>
      <c r="K363" s="596"/>
      <c r="L363" s="596"/>
      <c r="M363" s="596"/>
      <c r="N363" s="596"/>
      <c r="O363" s="596"/>
      <c r="P363" s="596"/>
      <c r="Q363" s="596"/>
      <c r="R363" s="596"/>
      <c r="S363" s="596"/>
      <c r="T363" s="596"/>
      <c r="U363" s="596"/>
      <c r="V363" s="596"/>
      <c r="W363" s="596"/>
      <c r="X363" s="596"/>
      <c r="Y363" s="596"/>
      <c r="Z363" s="596"/>
      <c r="AA363" s="587"/>
      <c r="AB363" s="587"/>
      <c r="AC363" s="587"/>
    </row>
    <row r="364" spans="1:68" ht="27" hidden="1" customHeight="1" x14ac:dyDescent="0.25">
      <c r="A364" s="54" t="s">
        <v>588</v>
      </c>
      <c r="B364" s="54" t="s">
        <v>589</v>
      </c>
      <c r="C364" s="32">
        <v>4301051100</v>
      </c>
      <c r="D364" s="599">
        <v>4607091387766</v>
      </c>
      <c r="E364" s="600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6"/>
      <c r="R364" s="606"/>
      <c r="S364" s="606"/>
      <c r="T364" s="607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9">
        <v>4607091387957</v>
      </c>
      <c r="E365" s="600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6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6"/>
      <c r="R365" s="606"/>
      <c r="S365" s="606"/>
      <c r="T365" s="607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9">
        <v>4607091387964</v>
      </c>
      <c r="E366" s="600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9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6"/>
      <c r="R366" s="606"/>
      <c r="S366" s="606"/>
      <c r="T366" s="607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9">
        <v>4680115884588</v>
      </c>
      <c r="E367" s="600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6"/>
      <c r="R367" s="606"/>
      <c r="S367" s="606"/>
      <c r="T367" s="607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08"/>
      <c r="B368" s="596"/>
      <c r="C368" s="596"/>
      <c r="D368" s="596"/>
      <c r="E368" s="596"/>
      <c r="F368" s="596"/>
      <c r="G368" s="596"/>
      <c r="H368" s="596"/>
      <c r="I368" s="596"/>
      <c r="J368" s="596"/>
      <c r="K368" s="596"/>
      <c r="L368" s="596"/>
      <c r="M368" s="596"/>
      <c r="N368" s="596"/>
      <c r="O368" s="609"/>
      <c r="P368" s="618" t="s">
        <v>72</v>
      </c>
      <c r="Q368" s="615"/>
      <c r="R368" s="615"/>
      <c r="S368" s="615"/>
      <c r="T368" s="615"/>
      <c r="U368" s="615"/>
      <c r="V368" s="616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hidden="1" x14ac:dyDescent="0.2">
      <c r="A369" s="596"/>
      <c r="B369" s="596"/>
      <c r="C369" s="596"/>
      <c r="D369" s="596"/>
      <c r="E369" s="596"/>
      <c r="F369" s="596"/>
      <c r="G369" s="596"/>
      <c r="H369" s="596"/>
      <c r="I369" s="596"/>
      <c r="J369" s="596"/>
      <c r="K369" s="596"/>
      <c r="L369" s="596"/>
      <c r="M369" s="596"/>
      <c r="N369" s="596"/>
      <c r="O369" s="609"/>
      <c r="P369" s="618" t="s">
        <v>72</v>
      </c>
      <c r="Q369" s="615"/>
      <c r="R369" s="615"/>
      <c r="S369" s="615"/>
      <c r="T369" s="615"/>
      <c r="U369" s="615"/>
      <c r="V369" s="616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hidden="1" customHeight="1" x14ac:dyDescent="0.25">
      <c r="A370" s="595" t="s">
        <v>169</v>
      </c>
      <c r="B370" s="596"/>
      <c r="C370" s="596"/>
      <c r="D370" s="596"/>
      <c r="E370" s="596"/>
      <c r="F370" s="596"/>
      <c r="G370" s="596"/>
      <c r="H370" s="596"/>
      <c r="I370" s="596"/>
      <c r="J370" s="596"/>
      <c r="K370" s="596"/>
      <c r="L370" s="596"/>
      <c r="M370" s="596"/>
      <c r="N370" s="596"/>
      <c r="O370" s="596"/>
      <c r="P370" s="596"/>
      <c r="Q370" s="596"/>
      <c r="R370" s="596"/>
      <c r="S370" s="596"/>
      <c r="T370" s="596"/>
      <c r="U370" s="596"/>
      <c r="V370" s="596"/>
      <c r="W370" s="596"/>
      <c r="X370" s="596"/>
      <c r="Y370" s="596"/>
      <c r="Z370" s="596"/>
      <c r="AA370" s="587"/>
      <c r="AB370" s="587"/>
      <c r="AC370" s="587"/>
    </row>
    <row r="371" spans="1:68" ht="27" customHeight="1" x14ac:dyDescent="0.25">
      <c r="A371" s="54" t="s">
        <v>599</v>
      </c>
      <c r="B371" s="54" t="s">
        <v>600</v>
      </c>
      <c r="C371" s="32">
        <v>4301060387</v>
      </c>
      <c r="D371" s="599">
        <v>4607091380880</v>
      </c>
      <c r="E371" s="600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6"/>
      <c r="R371" s="606"/>
      <c r="S371" s="606"/>
      <c r="T371" s="607"/>
      <c r="U371" s="35"/>
      <c r="V371" s="35"/>
      <c r="W371" s="36" t="s">
        <v>67</v>
      </c>
      <c r="X371" s="591">
        <v>148</v>
      </c>
      <c r="Y371" s="592">
        <f>IFERROR(IF(X371="",0,CEILING((X371/$H371),1)*$H371),"")</f>
        <v>151.20000000000002</v>
      </c>
      <c r="Z371" s="37">
        <f>IFERROR(IF(Y371=0,"",ROUNDUP(Y371/H371,0)*0.01898),"")</f>
        <v>0.34164</v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156.70380952380953</v>
      </c>
      <c r="BN371" s="64">
        <f>IFERROR(Y371*I371/H371,"0")</f>
        <v>160.09200000000001</v>
      </c>
      <c r="BO371" s="64">
        <f>IFERROR(1/J371*(X371/H371),"0")</f>
        <v>0.27529761904761901</v>
      </c>
      <c r="BP371" s="64">
        <f>IFERROR(1/J371*(Y371/H371),"0")</f>
        <v>0.28125</v>
      </c>
    </row>
    <row r="372" spans="1:68" ht="27" customHeight="1" x14ac:dyDescent="0.25">
      <c r="A372" s="54" t="s">
        <v>602</v>
      </c>
      <c r="B372" s="54" t="s">
        <v>603</v>
      </c>
      <c r="C372" s="32">
        <v>4301060406</v>
      </c>
      <c r="D372" s="599">
        <v>4607091384482</v>
      </c>
      <c r="E372" s="600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6"/>
      <c r="R372" s="606"/>
      <c r="S372" s="606"/>
      <c r="T372" s="607"/>
      <c r="U372" s="35"/>
      <c r="V372" s="35"/>
      <c r="W372" s="36" t="s">
        <v>67</v>
      </c>
      <c r="X372" s="591">
        <v>1169</v>
      </c>
      <c r="Y372" s="592">
        <f>IFERROR(IF(X372="",0,CEILING((X372/$H372),1)*$H372),"")</f>
        <v>1170</v>
      </c>
      <c r="Z372" s="37">
        <f>IFERROR(IF(Y372=0,"",ROUNDUP(Y372/H372,0)*0.01898),"")</f>
        <v>2.847</v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1243.0366666666666</v>
      </c>
      <c r="BN372" s="64">
        <f>IFERROR(Y372*I372/H372,"0")</f>
        <v>1244.1000000000001</v>
      </c>
      <c r="BO372" s="64">
        <f>IFERROR(1/J372*(X372/H372),"0")</f>
        <v>2.3417467948717947</v>
      </c>
      <c r="BP372" s="64">
        <f>IFERROR(1/J372*(Y372/H372),"0")</f>
        <v>2.34375</v>
      </c>
    </row>
    <row r="373" spans="1:68" ht="16.5" customHeight="1" x14ac:dyDescent="0.25">
      <c r="A373" s="54" t="s">
        <v>605</v>
      </c>
      <c r="B373" s="54" t="s">
        <v>606</v>
      </c>
      <c r="C373" s="32">
        <v>4301060484</v>
      </c>
      <c r="D373" s="599">
        <v>4607091380897</v>
      </c>
      <c r="E373" s="600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6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6"/>
      <c r="R373" s="606"/>
      <c r="S373" s="606"/>
      <c r="T373" s="607"/>
      <c r="U373" s="35"/>
      <c r="V373" s="35"/>
      <c r="W373" s="36" t="s">
        <v>67</v>
      </c>
      <c r="X373" s="591">
        <v>128</v>
      </c>
      <c r="Y373" s="592">
        <f>IFERROR(IF(X373="",0,CEILING((X373/$H373),1)*$H373),"")</f>
        <v>134.4</v>
      </c>
      <c r="Z373" s="37">
        <f>IFERROR(IF(Y373=0,"",ROUNDUP(Y373/H373,0)*0.01898),"")</f>
        <v>0.30368000000000001</v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135.52761904761905</v>
      </c>
      <c r="BN373" s="64">
        <f>IFERROR(Y373*I373/H373,"0")</f>
        <v>142.304</v>
      </c>
      <c r="BO373" s="64">
        <f>IFERROR(1/J373*(X373/H373),"0")</f>
        <v>0.23809523809523808</v>
      </c>
      <c r="BP373" s="64">
        <f>IFERROR(1/J373*(Y373/H373),"0")</f>
        <v>0.25</v>
      </c>
    </row>
    <row r="374" spans="1:68" x14ac:dyDescent="0.2">
      <c r="A374" s="608"/>
      <c r="B374" s="596"/>
      <c r="C374" s="596"/>
      <c r="D374" s="596"/>
      <c r="E374" s="596"/>
      <c r="F374" s="596"/>
      <c r="G374" s="596"/>
      <c r="H374" s="596"/>
      <c r="I374" s="596"/>
      <c r="J374" s="596"/>
      <c r="K374" s="596"/>
      <c r="L374" s="596"/>
      <c r="M374" s="596"/>
      <c r="N374" s="596"/>
      <c r="O374" s="609"/>
      <c r="P374" s="618" t="s">
        <v>72</v>
      </c>
      <c r="Q374" s="615"/>
      <c r="R374" s="615"/>
      <c r="S374" s="615"/>
      <c r="T374" s="615"/>
      <c r="U374" s="615"/>
      <c r="V374" s="616"/>
      <c r="W374" s="38" t="s">
        <v>73</v>
      </c>
      <c r="X374" s="593">
        <f>IFERROR(X371/H371,"0")+IFERROR(X372/H372,"0")+IFERROR(X373/H373,"0")</f>
        <v>182.72893772893772</v>
      </c>
      <c r="Y374" s="593">
        <f>IFERROR(Y371/H371,"0")+IFERROR(Y372/H372,"0")+IFERROR(Y373/H373,"0")</f>
        <v>184</v>
      </c>
      <c r="Z374" s="593">
        <f>IFERROR(IF(Z371="",0,Z371),"0")+IFERROR(IF(Z372="",0,Z372),"0")+IFERROR(IF(Z373="",0,Z373),"0")</f>
        <v>3.4923199999999999</v>
      </c>
      <c r="AA374" s="594"/>
      <c r="AB374" s="594"/>
      <c r="AC374" s="594"/>
    </row>
    <row r="375" spans="1:68" x14ac:dyDescent="0.2">
      <c r="A375" s="596"/>
      <c r="B375" s="596"/>
      <c r="C375" s="596"/>
      <c r="D375" s="596"/>
      <c r="E375" s="596"/>
      <c r="F375" s="596"/>
      <c r="G375" s="596"/>
      <c r="H375" s="596"/>
      <c r="I375" s="596"/>
      <c r="J375" s="596"/>
      <c r="K375" s="596"/>
      <c r="L375" s="596"/>
      <c r="M375" s="596"/>
      <c r="N375" s="596"/>
      <c r="O375" s="609"/>
      <c r="P375" s="618" t="s">
        <v>72</v>
      </c>
      <c r="Q375" s="615"/>
      <c r="R375" s="615"/>
      <c r="S375" s="615"/>
      <c r="T375" s="615"/>
      <c r="U375" s="615"/>
      <c r="V375" s="616"/>
      <c r="W375" s="38" t="s">
        <v>67</v>
      </c>
      <c r="X375" s="593">
        <f>IFERROR(SUM(X371:X373),"0")</f>
        <v>1445</v>
      </c>
      <c r="Y375" s="593">
        <f>IFERROR(SUM(Y371:Y373),"0")</f>
        <v>1455.6000000000001</v>
      </c>
      <c r="Z375" s="38"/>
      <c r="AA375" s="594"/>
      <c r="AB375" s="594"/>
      <c r="AC375" s="594"/>
    </row>
    <row r="376" spans="1:68" ht="14.25" hidden="1" customHeight="1" x14ac:dyDescent="0.25">
      <c r="A376" s="595" t="s">
        <v>95</v>
      </c>
      <c r="B376" s="596"/>
      <c r="C376" s="596"/>
      <c r="D376" s="596"/>
      <c r="E376" s="596"/>
      <c r="F376" s="596"/>
      <c r="G376" s="596"/>
      <c r="H376" s="596"/>
      <c r="I376" s="596"/>
      <c r="J376" s="596"/>
      <c r="K376" s="596"/>
      <c r="L376" s="596"/>
      <c r="M376" s="596"/>
      <c r="N376" s="596"/>
      <c r="O376" s="596"/>
      <c r="P376" s="596"/>
      <c r="Q376" s="596"/>
      <c r="R376" s="596"/>
      <c r="S376" s="596"/>
      <c r="T376" s="596"/>
      <c r="U376" s="596"/>
      <c r="V376" s="596"/>
      <c r="W376" s="596"/>
      <c r="X376" s="596"/>
      <c r="Y376" s="596"/>
      <c r="Z376" s="596"/>
      <c r="AA376" s="587"/>
      <c r="AB376" s="587"/>
      <c r="AC376" s="587"/>
    </row>
    <row r="377" spans="1:68" ht="27" hidden="1" customHeight="1" x14ac:dyDescent="0.25">
      <c r="A377" s="54" t="s">
        <v>608</v>
      </c>
      <c r="B377" s="54" t="s">
        <v>609</v>
      </c>
      <c r="C377" s="32">
        <v>4301030235</v>
      </c>
      <c r="D377" s="599">
        <v>4607091388381</v>
      </c>
      <c r="E377" s="600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6"/>
      <c r="R377" s="606"/>
      <c r="S377" s="606"/>
      <c r="T377" s="607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611</v>
      </c>
      <c r="B378" s="54" t="s">
        <v>612</v>
      </c>
      <c r="C378" s="32">
        <v>4301030232</v>
      </c>
      <c r="D378" s="599">
        <v>4607091388374</v>
      </c>
      <c r="E378" s="600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8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6"/>
      <c r="R378" s="606"/>
      <c r="S378" s="606"/>
      <c r="T378" s="607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613</v>
      </c>
      <c r="B379" s="54" t="s">
        <v>614</v>
      </c>
      <c r="C379" s="32">
        <v>4301032015</v>
      </c>
      <c r="D379" s="599">
        <v>4607091383102</v>
      </c>
      <c r="E379" s="600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6"/>
      <c r="R379" s="606"/>
      <c r="S379" s="606"/>
      <c r="T379" s="607"/>
      <c r="U379" s="35"/>
      <c r="V379" s="35"/>
      <c r="W379" s="36" t="s">
        <v>67</v>
      </c>
      <c r="X379" s="591">
        <v>16</v>
      </c>
      <c r="Y379" s="592">
        <f>IFERROR(IF(X379="",0,CEILING((X379/$H379),1)*$H379),"")</f>
        <v>17.849999999999998</v>
      </c>
      <c r="Z379" s="37">
        <f>IFERROR(IF(Y379=0,"",ROUNDUP(Y379/H379,0)*0.00651),"")</f>
        <v>4.5569999999999999E-2</v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18.541176470588237</v>
      </c>
      <c r="BN379" s="64">
        <f>IFERROR(Y379*I379/H379,"0")</f>
        <v>20.684999999999999</v>
      </c>
      <c r="BO379" s="64">
        <f>IFERROR(1/J379*(X379/H379),"0")</f>
        <v>3.4475328592975661E-2</v>
      </c>
      <c r="BP379" s="64">
        <f>IFERROR(1/J379*(Y379/H379),"0")</f>
        <v>3.8461538461538464E-2</v>
      </c>
    </row>
    <row r="380" spans="1:68" ht="27" customHeight="1" x14ac:dyDescent="0.25">
      <c r="A380" s="54" t="s">
        <v>615</v>
      </c>
      <c r="B380" s="54" t="s">
        <v>616</v>
      </c>
      <c r="C380" s="32">
        <v>4301030233</v>
      </c>
      <c r="D380" s="599">
        <v>4607091388404</v>
      </c>
      <c r="E380" s="600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6"/>
      <c r="R380" s="606"/>
      <c r="S380" s="606"/>
      <c r="T380" s="607"/>
      <c r="U380" s="35"/>
      <c r="V380" s="35"/>
      <c r="W380" s="36" t="s">
        <v>67</v>
      </c>
      <c r="X380" s="591">
        <v>20</v>
      </c>
      <c r="Y380" s="592">
        <f>IFERROR(IF(X380="",0,CEILING((X380/$H380),1)*$H380),"")</f>
        <v>20.399999999999999</v>
      </c>
      <c r="Z380" s="37">
        <f>IFERROR(IF(Y380=0,"",ROUNDUP(Y380/H380,0)*0.00651),"")</f>
        <v>5.2080000000000001E-2</v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22.588235294117645</v>
      </c>
      <c r="BN380" s="64">
        <f>IFERROR(Y380*I380/H380,"0")</f>
        <v>23.04</v>
      </c>
      <c r="BO380" s="64">
        <f>IFERROR(1/J380*(X380/H380),"0")</f>
        <v>4.3094160741219571E-2</v>
      </c>
      <c r="BP380" s="64">
        <f>IFERROR(1/J380*(Y380/H380),"0")</f>
        <v>4.3956043956043959E-2</v>
      </c>
    </row>
    <row r="381" spans="1:68" x14ac:dyDescent="0.2">
      <c r="A381" s="608"/>
      <c r="B381" s="596"/>
      <c r="C381" s="596"/>
      <c r="D381" s="596"/>
      <c r="E381" s="596"/>
      <c r="F381" s="596"/>
      <c r="G381" s="596"/>
      <c r="H381" s="596"/>
      <c r="I381" s="596"/>
      <c r="J381" s="596"/>
      <c r="K381" s="596"/>
      <c r="L381" s="596"/>
      <c r="M381" s="596"/>
      <c r="N381" s="596"/>
      <c r="O381" s="609"/>
      <c r="P381" s="618" t="s">
        <v>72</v>
      </c>
      <c r="Q381" s="615"/>
      <c r="R381" s="615"/>
      <c r="S381" s="615"/>
      <c r="T381" s="615"/>
      <c r="U381" s="615"/>
      <c r="V381" s="616"/>
      <c r="W381" s="38" t="s">
        <v>73</v>
      </c>
      <c r="X381" s="593">
        <f>IFERROR(X377/H377,"0")+IFERROR(X378/H378,"0")+IFERROR(X379/H379,"0")+IFERROR(X380/H380,"0")</f>
        <v>14.117647058823531</v>
      </c>
      <c r="Y381" s="593">
        <f>IFERROR(Y377/H377,"0")+IFERROR(Y378/H378,"0")+IFERROR(Y379/H379,"0")+IFERROR(Y380/H380,"0")</f>
        <v>15</v>
      </c>
      <c r="Z381" s="593">
        <f>IFERROR(IF(Z377="",0,Z377),"0")+IFERROR(IF(Z378="",0,Z378),"0")+IFERROR(IF(Z379="",0,Z379),"0")+IFERROR(IF(Z380="",0,Z380),"0")</f>
        <v>9.7650000000000001E-2</v>
      </c>
      <c r="AA381" s="594"/>
      <c r="AB381" s="594"/>
      <c r="AC381" s="594"/>
    </row>
    <row r="382" spans="1:68" x14ac:dyDescent="0.2">
      <c r="A382" s="596"/>
      <c r="B382" s="596"/>
      <c r="C382" s="596"/>
      <c r="D382" s="596"/>
      <c r="E382" s="596"/>
      <c r="F382" s="596"/>
      <c r="G382" s="596"/>
      <c r="H382" s="596"/>
      <c r="I382" s="596"/>
      <c r="J382" s="596"/>
      <c r="K382" s="596"/>
      <c r="L382" s="596"/>
      <c r="M382" s="596"/>
      <c r="N382" s="596"/>
      <c r="O382" s="609"/>
      <c r="P382" s="618" t="s">
        <v>72</v>
      </c>
      <c r="Q382" s="615"/>
      <c r="R382" s="615"/>
      <c r="S382" s="615"/>
      <c r="T382" s="615"/>
      <c r="U382" s="615"/>
      <c r="V382" s="616"/>
      <c r="W382" s="38" t="s">
        <v>67</v>
      </c>
      <c r="X382" s="593">
        <f>IFERROR(SUM(X377:X380),"0")</f>
        <v>36</v>
      </c>
      <c r="Y382" s="593">
        <f>IFERROR(SUM(Y377:Y380),"0")</f>
        <v>38.25</v>
      </c>
      <c r="Z382" s="38"/>
      <c r="AA382" s="594"/>
      <c r="AB382" s="594"/>
      <c r="AC382" s="594"/>
    </row>
    <row r="383" spans="1:68" ht="14.25" hidden="1" customHeight="1" x14ac:dyDescent="0.25">
      <c r="A383" s="595" t="s">
        <v>617</v>
      </c>
      <c r="B383" s="596"/>
      <c r="C383" s="596"/>
      <c r="D383" s="596"/>
      <c r="E383" s="596"/>
      <c r="F383" s="596"/>
      <c r="G383" s="596"/>
      <c r="H383" s="596"/>
      <c r="I383" s="596"/>
      <c r="J383" s="596"/>
      <c r="K383" s="596"/>
      <c r="L383" s="596"/>
      <c r="M383" s="596"/>
      <c r="N383" s="596"/>
      <c r="O383" s="596"/>
      <c r="P383" s="596"/>
      <c r="Q383" s="596"/>
      <c r="R383" s="596"/>
      <c r="S383" s="596"/>
      <c r="T383" s="596"/>
      <c r="U383" s="596"/>
      <c r="V383" s="596"/>
      <c r="W383" s="596"/>
      <c r="X383" s="596"/>
      <c r="Y383" s="596"/>
      <c r="Z383" s="596"/>
      <c r="AA383" s="587"/>
      <c r="AB383" s="587"/>
      <c r="AC383" s="587"/>
    </row>
    <row r="384" spans="1:68" ht="16.5" hidden="1" customHeight="1" x14ac:dyDescent="0.25">
      <c r="A384" s="54" t="s">
        <v>618</v>
      </c>
      <c r="B384" s="54" t="s">
        <v>619</v>
      </c>
      <c r="C384" s="32">
        <v>4301180007</v>
      </c>
      <c r="D384" s="599">
        <v>4680115881808</v>
      </c>
      <c r="E384" s="600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9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6"/>
      <c r="R384" s="606"/>
      <c r="S384" s="606"/>
      <c r="T384" s="607"/>
      <c r="U384" s="35"/>
      <c r="V384" s="35"/>
      <c r="W384" s="36" t="s">
        <v>67</v>
      </c>
      <c r="X384" s="591">
        <v>0</v>
      </c>
      <c r="Y384" s="592">
        <f>IFERROR(IF(X384="",0,CEILING((X384/$H384),1)*$H384),"")</f>
        <v>0</v>
      </c>
      <c r="Z384" s="37" t="str">
        <f>IFERROR(IF(Y384=0,"",ROUNDUP(Y384/H384,0)*0.00474),"")</f>
        <v/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622</v>
      </c>
      <c r="B385" s="54" t="s">
        <v>623</v>
      </c>
      <c r="C385" s="32">
        <v>4301180006</v>
      </c>
      <c r="D385" s="599">
        <v>4680115881822</v>
      </c>
      <c r="E385" s="600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6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6"/>
      <c r="R385" s="606"/>
      <c r="S385" s="606"/>
      <c r="T385" s="607"/>
      <c r="U385" s="35"/>
      <c r="V385" s="35"/>
      <c r="W385" s="36" t="s">
        <v>67</v>
      </c>
      <c r="X385" s="591">
        <v>0</v>
      </c>
      <c r="Y385" s="592">
        <f>IFERROR(IF(X385="",0,CEILING((X385/$H385),1)*$H385),"")</f>
        <v>0</v>
      </c>
      <c r="Z385" s="37" t="str">
        <f>IFERROR(IF(Y385=0,"",ROUNDUP(Y385/H385,0)*0.00474),"")</f>
        <v/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624</v>
      </c>
      <c r="B386" s="54" t="s">
        <v>625</v>
      </c>
      <c r="C386" s="32">
        <v>4301180001</v>
      </c>
      <c r="D386" s="599">
        <v>4680115880016</v>
      </c>
      <c r="E386" s="600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6"/>
      <c r="R386" s="606"/>
      <c r="S386" s="606"/>
      <c r="T386" s="607"/>
      <c r="U386" s="35"/>
      <c r="V386" s="35"/>
      <c r="W386" s="36" t="s">
        <v>67</v>
      </c>
      <c r="X386" s="591">
        <v>0</v>
      </c>
      <c r="Y386" s="592">
        <f>IFERROR(IF(X386="",0,CEILING((X386/$H386),1)*$H386),"")</f>
        <v>0</v>
      </c>
      <c r="Z386" s="37" t="str">
        <f>IFERROR(IF(Y386=0,"",ROUNDUP(Y386/H386,0)*0.00474),"")</f>
        <v/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08"/>
      <c r="B387" s="596"/>
      <c r="C387" s="596"/>
      <c r="D387" s="596"/>
      <c r="E387" s="596"/>
      <c r="F387" s="596"/>
      <c r="G387" s="596"/>
      <c r="H387" s="596"/>
      <c r="I387" s="596"/>
      <c r="J387" s="596"/>
      <c r="K387" s="596"/>
      <c r="L387" s="596"/>
      <c r="M387" s="596"/>
      <c r="N387" s="596"/>
      <c r="O387" s="609"/>
      <c r="P387" s="618" t="s">
        <v>72</v>
      </c>
      <c r="Q387" s="615"/>
      <c r="R387" s="615"/>
      <c r="S387" s="615"/>
      <c r="T387" s="615"/>
      <c r="U387" s="615"/>
      <c r="V387" s="616"/>
      <c r="W387" s="38" t="s">
        <v>73</v>
      </c>
      <c r="X387" s="593">
        <f>IFERROR(X384/H384,"0")+IFERROR(X385/H385,"0")+IFERROR(X386/H386,"0")</f>
        <v>0</v>
      </c>
      <c r="Y387" s="593">
        <f>IFERROR(Y384/H384,"0")+IFERROR(Y385/H385,"0")+IFERROR(Y386/H386,"0")</f>
        <v>0</v>
      </c>
      <c r="Z387" s="593">
        <f>IFERROR(IF(Z384="",0,Z384),"0")+IFERROR(IF(Z385="",0,Z385),"0")+IFERROR(IF(Z386="",0,Z386),"0")</f>
        <v>0</v>
      </c>
      <c r="AA387" s="594"/>
      <c r="AB387" s="594"/>
      <c r="AC387" s="594"/>
    </row>
    <row r="388" spans="1:68" hidden="1" x14ac:dyDescent="0.2">
      <c r="A388" s="596"/>
      <c r="B388" s="596"/>
      <c r="C388" s="596"/>
      <c r="D388" s="596"/>
      <c r="E388" s="596"/>
      <c r="F388" s="596"/>
      <c r="G388" s="596"/>
      <c r="H388" s="596"/>
      <c r="I388" s="596"/>
      <c r="J388" s="596"/>
      <c r="K388" s="596"/>
      <c r="L388" s="596"/>
      <c r="M388" s="596"/>
      <c r="N388" s="596"/>
      <c r="O388" s="609"/>
      <c r="P388" s="618" t="s">
        <v>72</v>
      </c>
      <c r="Q388" s="615"/>
      <c r="R388" s="615"/>
      <c r="S388" s="615"/>
      <c r="T388" s="615"/>
      <c r="U388" s="615"/>
      <c r="V388" s="616"/>
      <c r="W388" s="38" t="s">
        <v>67</v>
      </c>
      <c r="X388" s="593">
        <f>IFERROR(SUM(X384:X386),"0")</f>
        <v>0</v>
      </c>
      <c r="Y388" s="593">
        <f>IFERROR(SUM(Y384:Y386),"0")</f>
        <v>0</v>
      </c>
      <c r="Z388" s="38"/>
      <c r="AA388" s="594"/>
      <c r="AB388" s="594"/>
      <c r="AC388" s="594"/>
    </row>
    <row r="389" spans="1:68" ht="16.5" hidden="1" customHeight="1" x14ac:dyDescent="0.25">
      <c r="A389" s="601" t="s">
        <v>626</v>
      </c>
      <c r="B389" s="596"/>
      <c r="C389" s="596"/>
      <c r="D389" s="596"/>
      <c r="E389" s="596"/>
      <c r="F389" s="596"/>
      <c r="G389" s="596"/>
      <c r="H389" s="596"/>
      <c r="I389" s="596"/>
      <c r="J389" s="596"/>
      <c r="K389" s="596"/>
      <c r="L389" s="596"/>
      <c r="M389" s="596"/>
      <c r="N389" s="596"/>
      <c r="O389" s="596"/>
      <c r="P389" s="596"/>
      <c r="Q389" s="596"/>
      <c r="R389" s="596"/>
      <c r="S389" s="596"/>
      <c r="T389" s="596"/>
      <c r="U389" s="596"/>
      <c r="V389" s="596"/>
      <c r="W389" s="596"/>
      <c r="X389" s="596"/>
      <c r="Y389" s="596"/>
      <c r="Z389" s="596"/>
      <c r="AA389" s="586"/>
      <c r="AB389" s="586"/>
      <c r="AC389" s="586"/>
    </row>
    <row r="390" spans="1:68" ht="14.25" hidden="1" customHeight="1" x14ac:dyDescent="0.25">
      <c r="A390" s="595" t="s">
        <v>74</v>
      </c>
      <c r="B390" s="596"/>
      <c r="C390" s="596"/>
      <c r="D390" s="596"/>
      <c r="E390" s="596"/>
      <c r="F390" s="596"/>
      <c r="G390" s="596"/>
      <c r="H390" s="596"/>
      <c r="I390" s="596"/>
      <c r="J390" s="596"/>
      <c r="K390" s="596"/>
      <c r="L390" s="596"/>
      <c r="M390" s="596"/>
      <c r="N390" s="596"/>
      <c r="O390" s="596"/>
      <c r="P390" s="596"/>
      <c r="Q390" s="596"/>
      <c r="R390" s="596"/>
      <c r="S390" s="596"/>
      <c r="T390" s="596"/>
      <c r="U390" s="596"/>
      <c r="V390" s="596"/>
      <c r="W390" s="596"/>
      <c r="X390" s="596"/>
      <c r="Y390" s="596"/>
      <c r="Z390" s="596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9">
        <v>4607091387919</v>
      </c>
      <c r="E391" s="600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9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6"/>
      <c r="R391" s="606"/>
      <c r="S391" s="606"/>
      <c r="T391" s="607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hidden="1" customHeight="1" x14ac:dyDescent="0.25">
      <c r="A392" s="54" t="s">
        <v>630</v>
      </c>
      <c r="B392" s="54" t="s">
        <v>631</v>
      </c>
      <c r="C392" s="32">
        <v>4301051461</v>
      </c>
      <c r="D392" s="599">
        <v>4680115883604</v>
      </c>
      <c r="E392" s="600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6"/>
      <c r="R392" s="606"/>
      <c r="S392" s="606"/>
      <c r="T392" s="607"/>
      <c r="U392" s="35"/>
      <c r="V392" s="35"/>
      <c r="W392" s="36" t="s">
        <v>67</v>
      </c>
      <c r="X392" s="591">
        <v>0</v>
      </c>
      <c r="Y392" s="592">
        <f>IFERROR(IF(X392="",0,CEILING((X392/$H392),1)*$H392),"")</f>
        <v>0</v>
      </c>
      <c r="Z392" s="37" t="str">
        <f>IFERROR(IF(Y392=0,"",ROUNDUP(Y392/H392,0)*0.00651),"")</f>
        <v/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9">
        <v>4680115883567</v>
      </c>
      <c r="E393" s="600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8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6"/>
      <c r="R393" s="606"/>
      <c r="S393" s="606"/>
      <c r="T393" s="607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08"/>
      <c r="B394" s="596"/>
      <c r="C394" s="596"/>
      <c r="D394" s="596"/>
      <c r="E394" s="596"/>
      <c r="F394" s="596"/>
      <c r="G394" s="596"/>
      <c r="H394" s="596"/>
      <c r="I394" s="596"/>
      <c r="J394" s="596"/>
      <c r="K394" s="596"/>
      <c r="L394" s="596"/>
      <c r="M394" s="596"/>
      <c r="N394" s="596"/>
      <c r="O394" s="609"/>
      <c r="P394" s="618" t="s">
        <v>72</v>
      </c>
      <c r="Q394" s="615"/>
      <c r="R394" s="615"/>
      <c r="S394" s="615"/>
      <c r="T394" s="615"/>
      <c r="U394" s="615"/>
      <c r="V394" s="616"/>
      <c r="W394" s="38" t="s">
        <v>73</v>
      </c>
      <c r="X394" s="593">
        <f>IFERROR(X391/H391,"0")+IFERROR(X392/H392,"0")+IFERROR(X393/H393,"0")</f>
        <v>0</v>
      </c>
      <c r="Y394" s="593">
        <f>IFERROR(Y391/H391,"0")+IFERROR(Y392/H392,"0")+IFERROR(Y393/H393,"0")</f>
        <v>0</v>
      </c>
      <c r="Z394" s="593">
        <f>IFERROR(IF(Z391="",0,Z391),"0")+IFERROR(IF(Z392="",0,Z392),"0")+IFERROR(IF(Z393="",0,Z393),"0")</f>
        <v>0</v>
      </c>
      <c r="AA394" s="594"/>
      <c r="AB394" s="594"/>
      <c r="AC394" s="594"/>
    </row>
    <row r="395" spans="1:68" hidden="1" x14ac:dyDescent="0.2">
      <c r="A395" s="596"/>
      <c r="B395" s="596"/>
      <c r="C395" s="596"/>
      <c r="D395" s="596"/>
      <c r="E395" s="596"/>
      <c r="F395" s="596"/>
      <c r="G395" s="596"/>
      <c r="H395" s="596"/>
      <c r="I395" s="596"/>
      <c r="J395" s="596"/>
      <c r="K395" s="596"/>
      <c r="L395" s="596"/>
      <c r="M395" s="596"/>
      <c r="N395" s="596"/>
      <c r="O395" s="609"/>
      <c r="P395" s="618" t="s">
        <v>72</v>
      </c>
      <c r="Q395" s="615"/>
      <c r="R395" s="615"/>
      <c r="S395" s="615"/>
      <c r="T395" s="615"/>
      <c r="U395" s="615"/>
      <c r="V395" s="616"/>
      <c r="W395" s="38" t="s">
        <v>67</v>
      </c>
      <c r="X395" s="593">
        <f>IFERROR(SUM(X391:X393),"0")</f>
        <v>0</v>
      </c>
      <c r="Y395" s="593">
        <f>IFERROR(SUM(Y391:Y393),"0")</f>
        <v>0</v>
      </c>
      <c r="Z395" s="38"/>
      <c r="AA395" s="594"/>
      <c r="AB395" s="594"/>
      <c r="AC395" s="594"/>
    </row>
    <row r="396" spans="1:68" ht="27.75" hidden="1" customHeight="1" x14ac:dyDescent="0.2">
      <c r="A396" s="620" t="s">
        <v>636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49"/>
      <c r="AB396" s="49"/>
      <c r="AC396" s="49"/>
    </row>
    <row r="397" spans="1:68" ht="16.5" hidden="1" customHeight="1" x14ac:dyDescent="0.25">
      <c r="A397" s="601" t="s">
        <v>637</v>
      </c>
      <c r="B397" s="596"/>
      <c r="C397" s="596"/>
      <c r="D397" s="596"/>
      <c r="E397" s="596"/>
      <c r="F397" s="596"/>
      <c r="G397" s="596"/>
      <c r="H397" s="596"/>
      <c r="I397" s="596"/>
      <c r="J397" s="596"/>
      <c r="K397" s="596"/>
      <c r="L397" s="596"/>
      <c r="M397" s="596"/>
      <c r="N397" s="596"/>
      <c r="O397" s="596"/>
      <c r="P397" s="596"/>
      <c r="Q397" s="596"/>
      <c r="R397" s="596"/>
      <c r="S397" s="596"/>
      <c r="T397" s="596"/>
      <c r="U397" s="596"/>
      <c r="V397" s="596"/>
      <c r="W397" s="596"/>
      <c r="X397" s="596"/>
      <c r="Y397" s="596"/>
      <c r="Z397" s="596"/>
      <c r="AA397" s="586"/>
      <c r="AB397" s="586"/>
      <c r="AC397" s="586"/>
    </row>
    <row r="398" spans="1:68" ht="14.25" hidden="1" customHeight="1" x14ac:dyDescent="0.25">
      <c r="A398" s="595" t="s">
        <v>117</v>
      </c>
      <c r="B398" s="596"/>
      <c r="C398" s="596"/>
      <c r="D398" s="596"/>
      <c r="E398" s="596"/>
      <c r="F398" s="596"/>
      <c r="G398" s="596"/>
      <c r="H398" s="596"/>
      <c r="I398" s="596"/>
      <c r="J398" s="596"/>
      <c r="K398" s="596"/>
      <c r="L398" s="596"/>
      <c r="M398" s="596"/>
      <c r="N398" s="596"/>
      <c r="O398" s="596"/>
      <c r="P398" s="596"/>
      <c r="Q398" s="596"/>
      <c r="R398" s="596"/>
      <c r="S398" s="596"/>
      <c r="T398" s="596"/>
      <c r="U398" s="596"/>
      <c r="V398" s="596"/>
      <c r="W398" s="596"/>
      <c r="X398" s="596"/>
      <c r="Y398" s="596"/>
      <c r="Z398" s="596"/>
      <c r="AA398" s="587"/>
      <c r="AB398" s="587"/>
      <c r="AC398" s="587"/>
    </row>
    <row r="399" spans="1:68" ht="27" customHeight="1" x14ac:dyDescent="0.25">
      <c r="A399" s="54" t="s">
        <v>638</v>
      </c>
      <c r="B399" s="54" t="s">
        <v>639</v>
      </c>
      <c r="C399" s="32">
        <v>4301012332</v>
      </c>
      <c r="D399" s="599">
        <v>4680115888401</v>
      </c>
      <c r="E399" s="600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72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6"/>
      <c r="R399" s="606"/>
      <c r="S399" s="606"/>
      <c r="T399" s="607"/>
      <c r="U399" s="35"/>
      <c r="V399" s="35"/>
      <c r="W399" s="36" t="s">
        <v>67</v>
      </c>
      <c r="X399" s="591">
        <v>170</v>
      </c>
      <c r="Y399" s="592">
        <f t="shared" ref="Y399:Y406" si="52">IFERROR(IF(X399="",0,CEILING((X399/$H399),1)*$H399),"")</f>
        <v>180</v>
      </c>
      <c r="Z399" s="37">
        <f>IFERROR(IF(Y399=0,"",ROUNDUP(Y399/H399,0)*0.02175),"")</f>
        <v>0.26100000000000001</v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175.32666666666668</v>
      </c>
      <c r="BN399" s="64">
        <f t="shared" ref="BN399:BN406" si="54">IFERROR(Y399*I399/H399,"0")</f>
        <v>185.64</v>
      </c>
      <c r="BO399" s="64">
        <f t="shared" ref="BO399:BO406" si="55">IFERROR(1/J399*(X399/H399),"0")</f>
        <v>0.2361111111111111</v>
      </c>
      <c r="BP399" s="64">
        <f t="shared" ref="BP399:BP406" si="56">IFERROR(1/J399*(Y399/H399),"0")</f>
        <v>0.25</v>
      </c>
    </row>
    <row r="400" spans="1:68" ht="37.5" customHeight="1" x14ac:dyDescent="0.25">
      <c r="A400" s="54" t="s">
        <v>641</v>
      </c>
      <c r="B400" s="54" t="s">
        <v>642</v>
      </c>
      <c r="C400" s="32">
        <v>4301011869</v>
      </c>
      <c r="D400" s="599">
        <v>4680115884847</v>
      </c>
      <c r="E400" s="600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87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6"/>
      <c r="R400" s="606"/>
      <c r="S400" s="606"/>
      <c r="T400" s="607"/>
      <c r="U400" s="35"/>
      <c r="V400" s="35"/>
      <c r="W400" s="36" t="s">
        <v>67</v>
      </c>
      <c r="X400" s="591">
        <v>706</v>
      </c>
      <c r="Y400" s="592">
        <f t="shared" si="52"/>
        <v>720</v>
      </c>
      <c r="Z400" s="37">
        <f>IFERROR(IF(Y400=0,"",ROUNDUP(Y400/H400,0)*0.02175),"")</f>
        <v>1.044</v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728.12133333333327</v>
      </c>
      <c r="BN400" s="64">
        <f t="shared" si="54"/>
        <v>742.56</v>
      </c>
      <c r="BO400" s="64">
        <f t="shared" si="55"/>
        <v>0.98055555555555562</v>
      </c>
      <c r="BP400" s="64">
        <f t="shared" si="56"/>
        <v>1</v>
      </c>
    </row>
    <row r="401" spans="1:68" ht="27" customHeight="1" x14ac:dyDescent="0.25">
      <c r="A401" s="54" t="s">
        <v>644</v>
      </c>
      <c r="B401" s="54" t="s">
        <v>645</v>
      </c>
      <c r="C401" s="32">
        <v>4301012083</v>
      </c>
      <c r="D401" s="599">
        <v>4680115884854</v>
      </c>
      <c r="E401" s="600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86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6"/>
      <c r="R401" s="606"/>
      <c r="S401" s="606"/>
      <c r="T401" s="607"/>
      <c r="U401" s="35"/>
      <c r="V401" s="35"/>
      <c r="W401" s="36" t="s">
        <v>67</v>
      </c>
      <c r="X401" s="591">
        <v>210</v>
      </c>
      <c r="Y401" s="592">
        <f t="shared" si="52"/>
        <v>210</v>
      </c>
      <c r="Z401" s="37">
        <f>IFERROR(IF(Y401=0,"",ROUNDUP(Y401/H401,0)*0.02175),"")</f>
        <v>0.30449999999999999</v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216.58</v>
      </c>
      <c r="BN401" s="64">
        <f t="shared" si="54"/>
        <v>216.58</v>
      </c>
      <c r="BO401" s="64">
        <f t="shared" si="55"/>
        <v>0.29166666666666663</v>
      </c>
      <c r="BP401" s="64">
        <f t="shared" si="56"/>
        <v>0.29166666666666663</v>
      </c>
    </row>
    <row r="402" spans="1:68" ht="27" customHeight="1" x14ac:dyDescent="0.25">
      <c r="A402" s="54" t="s">
        <v>647</v>
      </c>
      <c r="B402" s="54" t="s">
        <v>648</v>
      </c>
      <c r="C402" s="32">
        <v>4301011867</v>
      </c>
      <c r="D402" s="599">
        <v>4680115884830</v>
      </c>
      <c r="E402" s="600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6"/>
      <c r="R402" s="606"/>
      <c r="S402" s="606"/>
      <c r="T402" s="607"/>
      <c r="U402" s="35"/>
      <c r="V402" s="35"/>
      <c r="W402" s="36" t="s">
        <v>67</v>
      </c>
      <c r="X402" s="591">
        <v>1061</v>
      </c>
      <c r="Y402" s="592">
        <f t="shared" si="52"/>
        <v>1065</v>
      </c>
      <c r="Z402" s="37">
        <f>IFERROR(IF(Y402=0,"",ROUNDUP(Y402/H402,0)*0.02175),"")</f>
        <v>1.5442499999999999</v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1094.2446666666667</v>
      </c>
      <c r="BN402" s="64">
        <f t="shared" si="54"/>
        <v>1098.3699999999999</v>
      </c>
      <c r="BO402" s="64">
        <f t="shared" si="55"/>
        <v>1.473611111111111</v>
      </c>
      <c r="BP402" s="64">
        <f t="shared" si="56"/>
        <v>1.4791666666666665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9">
        <v>4680115889231</v>
      </c>
      <c r="E403" s="600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8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6"/>
      <c r="R403" s="606"/>
      <c r="S403" s="606"/>
      <c r="T403" s="607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9">
        <v>4680115882638</v>
      </c>
      <c r="E404" s="600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6"/>
      <c r="R404" s="606"/>
      <c r="S404" s="606"/>
      <c r="T404" s="607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9">
        <v>4680115884922</v>
      </c>
      <c r="E405" s="600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6"/>
      <c r="R405" s="606"/>
      <c r="S405" s="606"/>
      <c r="T405" s="607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9">
        <v>4680115884861</v>
      </c>
      <c r="E406" s="600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6"/>
      <c r="R406" s="606"/>
      <c r="S406" s="606"/>
      <c r="T406" s="607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x14ac:dyDescent="0.2">
      <c r="A407" s="608"/>
      <c r="B407" s="596"/>
      <c r="C407" s="596"/>
      <c r="D407" s="596"/>
      <c r="E407" s="596"/>
      <c r="F407" s="596"/>
      <c r="G407" s="596"/>
      <c r="H407" s="596"/>
      <c r="I407" s="596"/>
      <c r="J407" s="596"/>
      <c r="K407" s="596"/>
      <c r="L407" s="596"/>
      <c r="M407" s="596"/>
      <c r="N407" s="596"/>
      <c r="O407" s="609"/>
      <c r="P407" s="618" t="s">
        <v>72</v>
      </c>
      <c r="Q407" s="615"/>
      <c r="R407" s="615"/>
      <c r="S407" s="615"/>
      <c r="T407" s="615"/>
      <c r="U407" s="615"/>
      <c r="V407" s="616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143.13333333333333</v>
      </c>
      <c r="Y407" s="593">
        <f>IFERROR(Y399/H399,"0")+IFERROR(Y400/H400,"0")+IFERROR(Y401/H401,"0")+IFERROR(Y402/H402,"0")+IFERROR(Y403/H403,"0")+IFERROR(Y404/H404,"0")+IFERROR(Y405/H405,"0")+IFERROR(Y406/H406,"0")</f>
        <v>145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3.1537500000000001</v>
      </c>
      <c r="AA407" s="594"/>
      <c r="AB407" s="594"/>
      <c r="AC407" s="594"/>
    </row>
    <row r="408" spans="1:68" x14ac:dyDescent="0.2">
      <c r="A408" s="596"/>
      <c r="B408" s="596"/>
      <c r="C408" s="596"/>
      <c r="D408" s="596"/>
      <c r="E408" s="596"/>
      <c r="F408" s="596"/>
      <c r="G408" s="596"/>
      <c r="H408" s="596"/>
      <c r="I408" s="596"/>
      <c r="J408" s="596"/>
      <c r="K408" s="596"/>
      <c r="L408" s="596"/>
      <c r="M408" s="596"/>
      <c r="N408" s="596"/>
      <c r="O408" s="609"/>
      <c r="P408" s="618" t="s">
        <v>72</v>
      </c>
      <c r="Q408" s="615"/>
      <c r="R408" s="615"/>
      <c r="S408" s="615"/>
      <c r="T408" s="615"/>
      <c r="U408" s="615"/>
      <c r="V408" s="616"/>
      <c r="W408" s="38" t="s">
        <v>67</v>
      </c>
      <c r="X408" s="593">
        <f>IFERROR(SUM(X399:X406),"0")</f>
        <v>2147</v>
      </c>
      <c r="Y408" s="593">
        <f>IFERROR(SUM(Y399:Y406),"0")</f>
        <v>2175</v>
      </c>
      <c r="Z408" s="38"/>
      <c r="AA408" s="594"/>
      <c r="AB408" s="594"/>
      <c r="AC408" s="594"/>
    </row>
    <row r="409" spans="1:68" ht="14.25" hidden="1" customHeight="1" x14ac:dyDescent="0.25">
      <c r="A409" s="595" t="s">
        <v>152</v>
      </c>
      <c r="B409" s="596"/>
      <c r="C409" s="596"/>
      <c r="D409" s="596"/>
      <c r="E409" s="596"/>
      <c r="F409" s="596"/>
      <c r="G409" s="596"/>
      <c r="H409" s="596"/>
      <c r="I409" s="596"/>
      <c r="J409" s="596"/>
      <c r="K409" s="596"/>
      <c r="L409" s="596"/>
      <c r="M409" s="596"/>
      <c r="N409" s="596"/>
      <c r="O409" s="596"/>
      <c r="P409" s="596"/>
      <c r="Q409" s="596"/>
      <c r="R409" s="596"/>
      <c r="S409" s="596"/>
      <c r="T409" s="596"/>
      <c r="U409" s="596"/>
      <c r="V409" s="596"/>
      <c r="W409" s="596"/>
      <c r="X409" s="596"/>
      <c r="Y409" s="596"/>
      <c r="Z409" s="596"/>
      <c r="AA409" s="587"/>
      <c r="AB409" s="587"/>
      <c r="AC409" s="587"/>
    </row>
    <row r="410" spans="1:68" ht="27" customHeight="1" x14ac:dyDescent="0.25">
      <c r="A410" s="54" t="s">
        <v>662</v>
      </c>
      <c r="B410" s="54" t="s">
        <v>663</v>
      </c>
      <c r="C410" s="32">
        <v>4301020178</v>
      </c>
      <c r="D410" s="599">
        <v>4607091383980</v>
      </c>
      <c r="E410" s="600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6"/>
      <c r="R410" s="606"/>
      <c r="S410" s="606"/>
      <c r="T410" s="607"/>
      <c r="U410" s="35"/>
      <c r="V410" s="35"/>
      <c r="W410" s="36" t="s">
        <v>67</v>
      </c>
      <c r="X410" s="591">
        <v>2599</v>
      </c>
      <c r="Y410" s="592">
        <f>IFERROR(IF(X410="",0,CEILING((X410/$H410),1)*$H410),"")</f>
        <v>2610</v>
      </c>
      <c r="Z410" s="37">
        <f>IFERROR(IF(Y410=0,"",ROUNDUP(Y410/H410,0)*0.02175),"")</f>
        <v>3.7844999999999995</v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2680.4353333333333</v>
      </c>
      <c r="BN410" s="64">
        <f>IFERROR(Y410*I410/H410,"0")</f>
        <v>2691.78</v>
      </c>
      <c r="BO410" s="64">
        <f>IFERROR(1/J410*(X410/H410),"0")</f>
        <v>3.6097222222222225</v>
      </c>
      <c r="BP410" s="64">
        <f>IFERROR(1/J410*(Y410/H410),"0")</f>
        <v>3.625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9">
        <v>4680115888425</v>
      </c>
      <c r="E411" s="600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8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6"/>
      <c r="R411" s="606"/>
      <c r="S411" s="606"/>
      <c r="T411" s="607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9">
        <v>4607091384178</v>
      </c>
      <c r="E412" s="600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6"/>
      <c r="R412" s="606"/>
      <c r="S412" s="606"/>
      <c r="T412" s="607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08"/>
      <c r="B413" s="596"/>
      <c r="C413" s="596"/>
      <c r="D413" s="596"/>
      <c r="E413" s="596"/>
      <c r="F413" s="596"/>
      <c r="G413" s="596"/>
      <c r="H413" s="596"/>
      <c r="I413" s="596"/>
      <c r="J413" s="596"/>
      <c r="K413" s="596"/>
      <c r="L413" s="596"/>
      <c r="M413" s="596"/>
      <c r="N413" s="596"/>
      <c r="O413" s="609"/>
      <c r="P413" s="618" t="s">
        <v>72</v>
      </c>
      <c r="Q413" s="615"/>
      <c r="R413" s="615"/>
      <c r="S413" s="615"/>
      <c r="T413" s="615"/>
      <c r="U413" s="615"/>
      <c r="V413" s="616"/>
      <c r="W413" s="38" t="s">
        <v>73</v>
      </c>
      <c r="X413" s="593">
        <f>IFERROR(X410/H410,"0")+IFERROR(X411/H411,"0")+IFERROR(X412/H412,"0")</f>
        <v>173.26666666666668</v>
      </c>
      <c r="Y413" s="593">
        <f>IFERROR(Y410/H410,"0")+IFERROR(Y411/H411,"0")+IFERROR(Y412/H412,"0")</f>
        <v>174</v>
      </c>
      <c r="Z413" s="593">
        <f>IFERROR(IF(Z410="",0,Z410),"0")+IFERROR(IF(Z411="",0,Z411),"0")+IFERROR(IF(Z412="",0,Z412),"0")</f>
        <v>3.7844999999999995</v>
      </c>
      <c r="AA413" s="594"/>
      <c r="AB413" s="594"/>
      <c r="AC413" s="594"/>
    </row>
    <row r="414" spans="1:68" x14ac:dyDescent="0.2">
      <c r="A414" s="596"/>
      <c r="B414" s="596"/>
      <c r="C414" s="596"/>
      <c r="D414" s="596"/>
      <c r="E414" s="596"/>
      <c r="F414" s="596"/>
      <c r="G414" s="596"/>
      <c r="H414" s="596"/>
      <c r="I414" s="596"/>
      <c r="J414" s="596"/>
      <c r="K414" s="596"/>
      <c r="L414" s="596"/>
      <c r="M414" s="596"/>
      <c r="N414" s="596"/>
      <c r="O414" s="609"/>
      <c r="P414" s="618" t="s">
        <v>72</v>
      </c>
      <c r="Q414" s="615"/>
      <c r="R414" s="615"/>
      <c r="S414" s="615"/>
      <c r="T414" s="615"/>
      <c r="U414" s="615"/>
      <c r="V414" s="616"/>
      <c r="W414" s="38" t="s">
        <v>67</v>
      </c>
      <c r="X414" s="593">
        <f>IFERROR(SUM(X410:X412),"0")</f>
        <v>2599</v>
      </c>
      <c r="Y414" s="593">
        <f>IFERROR(SUM(Y410:Y412),"0")</f>
        <v>2610</v>
      </c>
      <c r="Z414" s="38"/>
      <c r="AA414" s="594"/>
      <c r="AB414" s="594"/>
      <c r="AC414" s="594"/>
    </row>
    <row r="415" spans="1:68" ht="14.25" hidden="1" customHeight="1" x14ac:dyDescent="0.25">
      <c r="A415" s="595" t="s">
        <v>74</v>
      </c>
      <c r="B415" s="596"/>
      <c r="C415" s="596"/>
      <c r="D415" s="596"/>
      <c r="E415" s="596"/>
      <c r="F415" s="596"/>
      <c r="G415" s="596"/>
      <c r="H415" s="596"/>
      <c r="I415" s="596"/>
      <c r="J415" s="596"/>
      <c r="K415" s="596"/>
      <c r="L415" s="596"/>
      <c r="M415" s="596"/>
      <c r="N415" s="596"/>
      <c r="O415" s="596"/>
      <c r="P415" s="596"/>
      <c r="Q415" s="596"/>
      <c r="R415" s="596"/>
      <c r="S415" s="596"/>
      <c r="T415" s="596"/>
      <c r="U415" s="596"/>
      <c r="V415" s="596"/>
      <c r="W415" s="596"/>
      <c r="X415" s="596"/>
      <c r="Y415" s="596"/>
      <c r="Z415" s="596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9">
        <v>4607091383928</v>
      </c>
      <c r="E416" s="600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8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6"/>
      <c r="R416" s="606"/>
      <c r="S416" s="606"/>
      <c r="T416" s="607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2">
        <v>4301051897</v>
      </c>
      <c r="D417" s="599">
        <v>4607091384260</v>
      </c>
      <c r="E417" s="600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6"/>
      <c r="R417" s="606"/>
      <c r="S417" s="606"/>
      <c r="T417" s="607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08"/>
      <c r="B418" s="596"/>
      <c r="C418" s="596"/>
      <c r="D418" s="596"/>
      <c r="E418" s="596"/>
      <c r="F418" s="596"/>
      <c r="G418" s="596"/>
      <c r="H418" s="596"/>
      <c r="I418" s="596"/>
      <c r="J418" s="596"/>
      <c r="K418" s="596"/>
      <c r="L418" s="596"/>
      <c r="M418" s="596"/>
      <c r="N418" s="596"/>
      <c r="O418" s="609"/>
      <c r="P418" s="618" t="s">
        <v>72</v>
      </c>
      <c r="Q418" s="615"/>
      <c r="R418" s="615"/>
      <c r="S418" s="615"/>
      <c r="T418" s="615"/>
      <c r="U418" s="615"/>
      <c r="V418" s="616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hidden="1" x14ac:dyDescent="0.2">
      <c r="A419" s="596"/>
      <c r="B419" s="596"/>
      <c r="C419" s="596"/>
      <c r="D419" s="596"/>
      <c r="E419" s="596"/>
      <c r="F419" s="596"/>
      <c r="G419" s="596"/>
      <c r="H419" s="596"/>
      <c r="I419" s="596"/>
      <c r="J419" s="596"/>
      <c r="K419" s="596"/>
      <c r="L419" s="596"/>
      <c r="M419" s="596"/>
      <c r="N419" s="596"/>
      <c r="O419" s="609"/>
      <c r="P419" s="618" t="s">
        <v>72</v>
      </c>
      <c r="Q419" s="615"/>
      <c r="R419" s="615"/>
      <c r="S419" s="615"/>
      <c r="T419" s="615"/>
      <c r="U419" s="615"/>
      <c r="V419" s="616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hidden="1" customHeight="1" x14ac:dyDescent="0.25">
      <c r="A420" s="595" t="s">
        <v>169</v>
      </c>
      <c r="B420" s="596"/>
      <c r="C420" s="596"/>
      <c r="D420" s="596"/>
      <c r="E420" s="596"/>
      <c r="F420" s="596"/>
      <c r="G420" s="596"/>
      <c r="H420" s="596"/>
      <c r="I420" s="596"/>
      <c r="J420" s="596"/>
      <c r="K420" s="596"/>
      <c r="L420" s="596"/>
      <c r="M420" s="596"/>
      <c r="N420" s="596"/>
      <c r="O420" s="596"/>
      <c r="P420" s="596"/>
      <c r="Q420" s="596"/>
      <c r="R420" s="596"/>
      <c r="S420" s="596"/>
      <c r="T420" s="596"/>
      <c r="U420" s="596"/>
      <c r="V420" s="596"/>
      <c r="W420" s="596"/>
      <c r="X420" s="596"/>
      <c r="Y420" s="596"/>
      <c r="Z420" s="596"/>
      <c r="AA420" s="587"/>
      <c r="AB420" s="587"/>
      <c r="AC420" s="587"/>
    </row>
    <row r="421" spans="1:68" ht="16.5" customHeight="1" x14ac:dyDescent="0.25">
      <c r="A421" s="54" t="s">
        <v>677</v>
      </c>
      <c r="B421" s="54" t="s">
        <v>678</v>
      </c>
      <c r="C421" s="32">
        <v>4301060524</v>
      </c>
      <c r="D421" s="599">
        <v>4607091384673</v>
      </c>
      <c r="E421" s="600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6"/>
      <c r="R421" s="606"/>
      <c r="S421" s="606"/>
      <c r="T421" s="607"/>
      <c r="U421" s="35"/>
      <c r="V421" s="35"/>
      <c r="W421" s="36" t="s">
        <v>67</v>
      </c>
      <c r="X421" s="591">
        <v>90</v>
      </c>
      <c r="Y421" s="592">
        <f>IFERROR(IF(X421="",0,CEILING((X421/$H421),1)*$H421),"")</f>
        <v>90</v>
      </c>
      <c r="Z421" s="37">
        <f>IFERROR(IF(Y421=0,"",ROUNDUP(Y421/H421,0)*0.01898),"")</f>
        <v>0.1898</v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94.94</v>
      </c>
      <c r="BN421" s="64">
        <f>IFERROR(Y421*I421/H421,"0")</f>
        <v>94.94</v>
      </c>
      <c r="BO421" s="64">
        <f>IFERROR(1/J421*(X421/H421),"0")</f>
        <v>0.15625</v>
      </c>
      <c r="BP421" s="64">
        <f>IFERROR(1/J421*(Y421/H421),"0")</f>
        <v>0.15625</v>
      </c>
    </row>
    <row r="422" spans="1:68" x14ac:dyDescent="0.2">
      <c r="A422" s="608"/>
      <c r="B422" s="596"/>
      <c r="C422" s="596"/>
      <c r="D422" s="596"/>
      <c r="E422" s="596"/>
      <c r="F422" s="596"/>
      <c r="G422" s="596"/>
      <c r="H422" s="596"/>
      <c r="I422" s="596"/>
      <c r="J422" s="596"/>
      <c r="K422" s="596"/>
      <c r="L422" s="596"/>
      <c r="M422" s="596"/>
      <c r="N422" s="596"/>
      <c r="O422" s="609"/>
      <c r="P422" s="618" t="s">
        <v>72</v>
      </c>
      <c r="Q422" s="615"/>
      <c r="R422" s="615"/>
      <c r="S422" s="615"/>
      <c r="T422" s="615"/>
      <c r="U422" s="615"/>
      <c r="V422" s="616"/>
      <c r="W422" s="38" t="s">
        <v>73</v>
      </c>
      <c r="X422" s="593">
        <f>IFERROR(X421/H421,"0")</f>
        <v>10</v>
      </c>
      <c r="Y422" s="593">
        <f>IFERROR(Y421/H421,"0")</f>
        <v>10</v>
      </c>
      <c r="Z422" s="593">
        <f>IFERROR(IF(Z421="",0,Z421),"0")</f>
        <v>0.1898</v>
      </c>
      <c r="AA422" s="594"/>
      <c r="AB422" s="594"/>
      <c r="AC422" s="594"/>
    </row>
    <row r="423" spans="1:68" x14ac:dyDescent="0.2">
      <c r="A423" s="596"/>
      <c r="B423" s="596"/>
      <c r="C423" s="596"/>
      <c r="D423" s="596"/>
      <c r="E423" s="596"/>
      <c r="F423" s="596"/>
      <c r="G423" s="596"/>
      <c r="H423" s="596"/>
      <c r="I423" s="596"/>
      <c r="J423" s="596"/>
      <c r="K423" s="596"/>
      <c r="L423" s="596"/>
      <c r="M423" s="596"/>
      <c r="N423" s="596"/>
      <c r="O423" s="609"/>
      <c r="P423" s="618" t="s">
        <v>72</v>
      </c>
      <c r="Q423" s="615"/>
      <c r="R423" s="615"/>
      <c r="S423" s="615"/>
      <c r="T423" s="615"/>
      <c r="U423" s="615"/>
      <c r="V423" s="616"/>
      <c r="W423" s="38" t="s">
        <v>67</v>
      </c>
      <c r="X423" s="593">
        <f>IFERROR(SUM(X421:X421),"0")</f>
        <v>90</v>
      </c>
      <c r="Y423" s="593">
        <f>IFERROR(SUM(Y421:Y421),"0")</f>
        <v>90</v>
      </c>
      <c r="Z423" s="38"/>
      <c r="AA423" s="594"/>
      <c r="AB423" s="594"/>
      <c r="AC423" s="594"/>
    </row>
    <row r="424" spans="1:68" ht="16.5" hidden="1" customHeight="1" x14ac:dyDescent="0.25">
      <c r="A424" s="601" t="s">
        <v>680</v>
      </c>
      <c r="B424" s="596"/>
      <c r="C424" s="596"/>
      <c r="D424" s="596"/>
      <c r="E424" s="596"/>
      <c r="F424" s="596"/>
      <c r="G424" s="596"/>
      <c r="H424" s="596"/>
      <c r="I424" s="596"/>
      <c r="J424" s="596"/>
      <c r="K424" s="596"/>
      <c r="L424" s="596"/>
      <c r="M424" s="596"/>
      <c r="N424" s="596"/>
      <c r="O424" s="596"/>
      <c r="P424" s="596"/>
      <c r="Q424" s="596"/>
      <c r="R424" s="596"/>
      <c r="S424" s="596"/>
      <c r="T424" s="596"/>
      <c r="U424" s="596"/>
      <c r="V424" s="596"/>
      <c r="W424" s="596"/>
      <c r="X424" s="596"/>
      <c r="Y424" s="596"/>
      <c r="Z424" s="596"/>
      <c r="AA424" s="586"/>
      <c r="AB424" s="586"/>
      <c r="AC424" s="586"/>
    </row>
    <row r="425" spans="1:68" ht="14.25" hidden="1" customHeight="1" x14ac:dyDescent="0.25">
      <c r="A425" s="595" t="s">
        <v>117</v>
      </c>
      <c r="B425" s="596"/>
      <c r="C425" s="596"/>
      <c r="D425" s="596"/>
      <c r="E425" s="596"/>
      <c r="F425" s="596"/>
      <c r="G425" s="596"/>
      <c r="H425" s="596"/>
      <c r="I425" s="596"/>
      <c r="J425" s="596"/>
      <c r="K425" s="596"/>
      <c r="L425" s="596"/>
      <c r="M425" s="596"/>
      <c r="N425" s="596"/>
      <c r="O425" s="596"/>
      <c r="P425" s="596"/>
      <c r="Q425" s="596"/>
      <c r="R425" s="596"/>
      <c r="S425" s="596"/>
      <c r="T425" s="596"/>
      <c r="U425" s="596"/>
      <c r="V425" s="596"/>
      <c r="W425" s="596"/>
      <c r="X425" s="596"/>
      <c r="Y425" s="596"/>
      <c r="Z425" s="596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9">
        <v>4680115884885</v>
      </c>
      <c r="E426" s="600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6"/>
      <c r="R426" s="606"/>
      <c r="S426" s="606"/>
      <c r="T426" s="607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9">
        <v>4680115884908</v>
      </c>
      <c r="E427" s="600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8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6"/>
      <c r="R427" s="606"/>
      <c r="S427" s="606"/>
      <c r="T427" s="607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8"/>
      <c r="B428" s="596"/>
      <c r="C428" s="596"/>
      <c r="D428" s="596"/>
      <c r="E428" s="596"/>
      <c r="F428" s="596"/>
      <c r="G428" s="596"/>
      <c r="H428" s="596"/>
      <c r="I428" s="596"/>
      <c r="J428" s="596"/>
      <c r="K428" s="596"/>
      <c r="L428" s="596"/>
      <c r="M428" s="596"/>
      <c r="N428" s="596"/>
      <c r="O428" s="609"/>
      <c r="P428" s="618" t="s">
        <v>72</v>
      </c>
      <c r="Q428" s="615"/>
      <c r="R428" s="615"/>
      <c r="S428" s="615"/>
      <c r="T428" s="615"/>
      <c r="U428" s="615"/>
      <c r="V428" s="616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596"/>
      <c r="B429" s="596"/>
      <c r="C429" s="596"/>
      <c r="D429" s="596"/>
      <c r="E429" s="596"/>
      <c r="F429" s="596"/>
      <c r="G429" s="596"/>
      <c r="H429" s="596"/>
      <c r="I429" s="596"/>
      <c r="J429" s="596"/>
      <c r="K429" s="596"/>
      <c r="L429" s="596"/>
      <c r="M429" s="596"/>
      <c r="N429" s="596"/>
      <c r="O429" s="609"/>
      <c r="P429" s="618" t="s">
        <v>72</v>
      </c>
      <c r="Q429" s="615"/>
      <c r="R429" s="615"/>
      <c r="S429" s="615"/>
      <c r="T429" s="615"/>
      <c r="U429" s="615"/>
      <c r="V429" s="616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595" t="s">
        <v>62</v>
      </c>
      <c r="B430" s="596"/>
      <c r="C430" s="596"/>
      <c r="D430" s="596"/>
      <c r="E430" s="596"/>
      <c r="F430" s="596"/>
      <c r="G430" s="596"/>
      <c r="H430" s="596"/>
      <c r="I430" s="596"/>
      <c r="J430" s="596"/>
      <c r="K430" s="596"/>
      <c r="L430" s="596"/>
      <c r="M430" s="596"/>
      <c r="N430" s="596"/>
      <c r="O430" s="596"/>
      <c r="P430" s="596"/>
      <c r="Q430" s="596"/>
      <c r="R430" s="596"/>
      <c r="S430" s="596"/>
      <c r="T430" s="596"/>
      <c r="U430" s="596"/>
      <c r="V430" s="596"/>
      <c r="W430" s="596"/>
      <c r="X430" s="596"/>
      <c r="Y430" s="596"/>
      <c r="Z430" s="596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9">
        <v>4607091384802</v>
      </c>
      <c r="E431" s="600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6"/>
      <c r="R431" s="606"/>
      <c r="S431" s="606"/>
      <c r="T431" s="607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8"/>
      <c r="B432" s="596"/>
      <c r="C432" s="596"/>
      <c r="D432" s="596"/>
      <c r="E432" s="596"/>
      <c r="F432" s="596"/>
      <c r="G432" s="596"/>
      <c r="H432" s="596"/>
      <c r="I432" s="596"/>
      <c r="J432" s="596"/>
      <c r="K432" s="596"/>
      <c r="L432" s="596"/>
      <c r="M432" s="596"/>
      <c r="N432" s="596"/>
      <c r="O432" s="609"/>
      <c r="P432" s="618" t="s">
        <v>72</v>
      </c>
      <c r="Q432" s="615"/>
      <c r="R432" s="615"/>
      <c r="S432" s="615"/>
      <c r="T432" s="615"/>
      <c r="U432" s="615"/>
      <c r="V432" s="616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596"/>
      <c r="B433" s="596"/>
      <c r="C433" s="596"/>
      <c r="D433" s="596"/>
      <c r="E433" s="596"/>
      <c r="F433" s="596"/>
      <c r="G433" s="596"/>
      <c r="H433" s="596"/>
      <c r="I433" s="596"/>
      <c r="J433" s="596"/>
      <c r="K433" s="596"/>
      <c r="L433" s="596"/>
      <c r="M433" s="596"/>
      <c r="N433" s="596"/>
      <c r="O433" s="609"/>
      <c r="P433" s="618" t="s">
        <v>72</v>
      </c>
      <c r="Q433" s="615"/>
      <c r="R433" s="615"/>
      <c r="S433" s="615"/>
      <c r="T433" s="615"/>
      <c r="U433" s="615"/>
      <c r="V433" s="616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595" t="s">
        <v>74</v>
      </c>
      <c r="B434" s="596"/>
      <c r="C434" s="596"/>
      <c r="D434" s="596"/>
      <c r="E434" s="596"/>
      <c r="F434" s="596"/>
      <c r="G434" s="596"/>
      <c r="H434" s="596"/>
      <c r="I434" s="596"/>
      <c r="J434" s="596"/>
      <c r="K434" s="596"/>
      <c r="L434" s="596"/>
      <c r="M434" s="596"/>
      <c r="N434" s="596"/>
      <c r="O434" s="596"/>
      <c r="P434" s="596"/>
      <c r="Q434" s="596"/>
      <c r="R434" s="596"/>
      <c r="S434" s="596"/>
      <c r="T434" s="596"/>
      <c r="U434" s="596"/>
      <c r="V434" s="596"/>
      <c r="W434" s="596"/>
      <c r="X434" s="596"/>
      <c r="Y434" s="596"/>
      <c r="Z434" s="596"/>
      <c r="AA434" s="587"/>
      <c r="AB434" s="587"/>
      <c r="AC434" s="587"/>
    </row>
    <row r="435" spans="1:68" ht="27" hidden="1" customHeight="1" x14ac:dyDescent="0.25">
      <c r="A435" s="54" t="s">
        <v>689</v>
      </c>
      <c r="B435" s="54" t="s">
        <v>690</v>
      </c>
      <c r="C435" s="32">
        <v>4301051899</v>
      </c>
      <c r="D435" s="599">
        <v>4607091384246</v>
      </c>
      <c r="E435" s="600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6"/>
      <c r="R435" s="606"/>
      <c r="S435" s="606"/>
      <c r="T435" s="607"/>
      <c r="U435" s="35"/>
      <c r="V435" s="35"/>
      <c r="W435" s="36" t="s">
        <v>67</v>
      </c>
      <c r="X435" s="591">
        <v>0</v>
      </c>
      <c r="Y435" s="592">
        <f>IFERROR(IF(X435="",0,CEILING((X435/$H435),1)*$H435),"")</f>
        <v>0</v>
      </c>
      <c r="Z435" s="37" t="str">
        <f>IFERROR(IF(Y435=0,"",ROUNDUP(Y435/H435,0)*0.01898),"")</f>
        <v/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692</v>
      </c>
      <c r="B436" s="54" t="s">
        <v>693</v>
      </c>
      <c r="C436" s="32">
        <v>4301051660</v>
      </c>
      <c r="D436" s="599">
        <v>4607091384253</v>
      </c>
      <c r="E436" s="600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6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6"/>
      <c r="R436" s="606"/>
      <c r="S436" s="606"/>
      <c r="T436" s="607"/>
      <c r="U436" s="35"/>
      <c r="V436" s="35"/>
      <c r="W436" s="36" t="s">
        <v>67</v>
      </c>
      <c r="X436" s="591">
        <v>5</v>
      </c>
      <c r="Y436" s="592">
        <f>IFERROR(IF(X436="",0,CEILING((X436/$H436),1)*$H436),"")</f>
        <v>7.1999999999999993</v>
      </c>
      <c r="Z436" s="37">
        <f>IFERROR(IF(Y436=0,"",ROUNDUP(Y436/H436,0)*0.00651),"")</f>
        <v>1.9529999999999999E-2</v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5.5500000000000007</v>
      </c>
      <c r="BN436" s="64">
        <f>IFERROR(Y436*I436/H436,"0")</f>
        <v>7.9919999999999991</v>
      </c>
      <c r="BO436" s="64">
        <f>IFERROR(1/J436*(X436/H436),"0")</f>
        <v>1.1446886446886448E-2</v>
      </c>
      <c r="BP436" s="64">
        <f>IFERROR(1/J436*(Y436/H436),"0")</f>
        <v>1.6483516483516484E-2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9">
        <v>4607091384253</v>
      </c>
      <c r="E437" s="600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9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6"/>
      <c r="R437" s="606"/>
      <c r="S437" s="606"/>
      <c r="T437" s="607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8"/>
      <c r="B438" s="596"/>
      <c r="C438" s="596"/>
      <c r="D438" s="596"/>
      <c r="E438" s="596"/>
      <c r="F438" s="596"/>
      <c r="G438" s="596"/>
      <c r="H438" s="596"/>
      <c r="I438" s="596"/>
      <c r="J438" s="596"/>
      <c r="K438" s="596"/>
      <c r="L438" s="596"/>
      <c r="M438" s="596"/>
      <c r="N438" s="596"/>
      <c r="O438" s="609"/>
      <c r="P438" s="618" t="s">
        <v>72</v>
      </c>
      <c r="Q438" s="615"/>
      <c r="R438" s="615"/>
      <c r="S438" s="615"/>
      <c r="T438" s="615"/>
      <c r="U438" s="615"/>
      <c r="V438" s="616"/>
      <c r="W438" s="38" t="s">
        <v>73</v>
      </c>
      <c r="X438" s="593">
        <f>IFERROR(X435/H435,"0")+IFERROR(X436/H436,"0")+IFERROR(X437/H437,"0")</f>
        <v>2.0833333333333335</v>
      </c>
      <c r="Y438" s="593">
        <f>IFERROR(Y435/H435,"0")+IFERROR(Y436/H436,"0")+IFERROR(Y437/H437,"0")</f>
        <v>3</v>
      </c>
      <c r="Z438" s="593">
        <f>IFERROR(IF(Z435="",0,Z435),"0")+IFERROR(IF(Z436="",0,Z436),"0")+IFERROR(IF(Z437="",0,Z437),"0")</f>
        <v>1.9529999999999999E-2</v>
      </c>
      <c r="AA438" s="594"/>
      <c r="AB438" s="594"/>
      <c r="AC438" s="594"/>
    </row>
    <row r="439" spans="1:68" x14ac:dyDescent="0.2">
      <c r="A439" s="596"/>
      <c r="B439" s="596"/>
      <c r="C439" s="596"/>
      <c r="D439" s="596"/>
      <c r="E439" s="596"/>
      <c r="F439" s="596"/>
      <c r="G439" s="596"/>
      <c r="H439" s="596"/>
      <c r="I439" s="596"/>
      <c r="J439" s="596"/>
      <c r="K439" s="596"/>
      <c r="L439" s="596"/>
      <c r="M439" s="596"/>
      <c r="N439" s="596"/>
      <c r="O439" s="609"/>
      <c r="P439" s="618" t="s">
        <v>72</v>
      </c>
      <c r="Q439" s="615"/>
      <c r="R439" s="615"/>
      <c r="S439" s="615"/>
      <c r="T439" s="615"/>
      <c r="U439" s="615"/>
      <c r="V439" s="616"/>
      <c r="W439" s="38" t="s">
        <v>67</v>
      </c>
      <c r="X439" s="593">
        <f>IFERROR(SUM(X435:X437),"0")</f>
        <v>5</v>
      </c>
      <c r="Y439" s="593">
        <f>IFERROR(SUM(Y435:Y437),"0")</f>
        <v>7.1999999999999993</v>
      </c>
      <c r="Z439" s="38"/>
      <c r="AA439" s="594"/>
      <c r="AB439" s="594"/>
      <c r="AC439" s="594"/>
    </row>
    <row r="440" spans="1:68" ht="27.75" hidden="1" customHeight="1" x14ac:dyDescent="0.2">
      <c r="A440" s="620" t="s">
        <v>696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49"/>
      <c r="AB440" s="49"/>
      <c r="AC440" s="49"/>
    </row>
    <row r="441" spans="1:68" ht="16.5" hidden="1" customHeight="1" x14ac:dyDescent="0.25">
      <c r="A441" s="601" t="s">
        <v>697</v>
      </c>
      <c r="B441" s="596"/>
      <c r="C441" s="596"/>
      <c r="D441" s="596"/>
      <c r="E441" s="596"/>
      <c r="F441" s="596"/>
      <c r="G441" s="596"/>
      <c r="H441" s="596"/>
      <c r="I441" s="596"/>
      <c r="J441" s="596"/>
      <c r="K441" s="596"/>
      <c r="L441" s="596"/>
      <c r="M441" s="596"/>
      <c r="N441" s="596"/>
      <c r="O441" s="596"/>
      <c r="P441" s="596"/>
      <c r="Q441" s="596"/>
      <c r="R441" s="596"/>
      <c r="S441" s="596"/>
      <c r="T441" s="596"/>
      <c r="U441" s="596"/>
      <c r="V441" s="596"/>
      <c r="W441" s="596"/>
      <c r="X441" s="596"/>
      <c r="Y441" s="596"/>
      <c r="Z441" s="596"/>
      <c r="AA441" s="586"/>
      <c r="AB441" s="586"/>
      <c r="AC441" s="586"/>
    </row>
    <row r="442" spans="1:68" ht="14.25" hidden="1" customHeight="1" x14ac:dyDescent="0.25">
      <c r="A442" s="595" t="s">
        <v>62</v>
      </c>
      <c r="B442" s="596"/>
      <c r="C442" s="596"/>
      <c r="D442" s="596"/>
      <c r="E442" s="596"/>
      <c r="F442" s="596"/>
      <c r="G442" s="596"/>
      <c r="H442" s="596"/>
      <c r="I442" s="596"/>
      <c r="J442" s="596"/>
      <c r="K442" s="596"/>
      <c r="L442" s="596"/>
      <c r="M442" s="596"/>
      <c r="N442" s="596"/>
      <c r="O442" s="596"/>
      <c r="P442" s="596"/>
      <c r="Q442" s="596"/>
      <c r="R442" s="596"/>
      <c r="S442" s="596"/>
      <c r="T442" s="596"/>
      <c r="U442" s="596"/>
      <c r="V442" s="596"/>
      <c r="W442" s="596"/>
      <c r="X442" s="596"/>
      <c r="Y442" s="596"/>
      <c r="Z442" s="596"/>
      <c r="AA442" s="587"/>
      <c r="AB442" s="587"/>
      <c r="AC442" s="587"/>
    </row>
    <row r="443" spans="1:68" ht="27" hidden="1" customHeight="1" x14ac:dyDescent="0.25">
      <c r="A443" s="54" t="s">
        <v>698</v>
      </c>
      <c r="B443" s="54" t="s">
        <v>699</v>
      </c>
      <c r="C443" s="32">
        <v>4301031405</v>
      </c>
      <c r="D443" s="599">
        <v>4680115886100</v>
      </c>
      <c r="E443" s="600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9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6"/>
      <c r="R443" s="606"/>
      <c r="S443" s="606"/>
      <c r="T443" s="607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hidden="1" customHeight="1" x14ac:dyDescent="0.25">
      <c r="A444" s="54" t="s">
        <v>701</v>
      </c>
      <c r="B444" s="54" t="s">
        <v>702</v>
      </c>
      <c r="C444" s="32">
        <v>4301031402</v>
      </c>
      <c r="D444" s="599">
        <v>4680115886124</v>
      </c>
      <c r="E444" s="600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6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6"/>
      <c r="R444" s="606"/>
      <c r="S444" s="606"/>
      <c r="T444" s="607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9">
        <v>4607091384338</v>
      </c>
      <c r="E445" s="600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9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6"/>
      <c r="R445" s="606"/>
      <c r="S445" s="606"/>
      <c r="T445" s="607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9">
        <v>4680115883161</v>
      </c>
      <c r="E446" s="600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6"/>
      <c r="R446" s="606"/>
      <c r="S446" s="606"/>
      <c r="T446" s="607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9">
        <v>4607091389531</v>
      </c>
      <c r="E447" s="600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6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6"/>
      <c r="R447" s="606"/>
      <c r="S447" s="606"/>
      <c r="T447" s="607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9">
        <v>4607091384345</v>
      </c>
      <c r="E448" s="600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6"/>
      <c r="R448" s="606"/>
      <c r="S448" s="606"/>
      <c r="T448" s="607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idden="1" x14ac:dyDescent="0.2">
      <c r="A449" s="608"/>
      <c r="B449" s="596"/>
      <c r="C449" s="596"/>
      <c r="D449" s="596"/>
      <c r="E449" s="596"/>
      <c r="F449" s="596"/>
      <c r="G449" s="596"/>
      <c r="H449" s="596"/>
      <c r="I449" s="596"/>
      <c r="J449" s="596"/>
      <c r="K449" s="596"/>
      <c r="L449" s="596"/>
      <c r="M449" s="596"/>
      <c r="N449" s="596"/>
      <c r="O449" s="609"/>
      <c r="P449" s="618" t="s">
        <v>72</v>
      </c>
      <c r="Q449" s="615"/>
      <c r="R449" s="615"/>
      <c r="S449" s="615"/>
      <c r="T449" s="615"/>
      <c r="U449" s="615"/>
      <c r="V449" s="616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hidden="1" x14ac:dyDescent="0.2">
      <c r="A450" s="596"/>
      <c r="B450" s="596"/>
      <c r="C450" s="596"/>
      <c r="D450" s="596"/>
      <c r="E450" s="596"/>
      <c r="F450" s="596"/>
      <c r="G450" s="596"/>
      <c r="H450" s="596"/>
      <c r="I450" s="596"/>
      <c r="J450" s="596"/>
      <c r="K450" s="596"/>
      <c r="L450" s="596"/>
      <c r="M450" s="596"/>
      <c r="N450" s="596"/>
      <c r="O450" s="609"/>
      <c r="P450" s="618" t="s">
        <v>72</v>
      </c>
      <c r="Q450" s="615"/>
      <c r="R450" s="615"/>
      <c r="S450" s="615"/>
      <c r="T450" s="615"/>
      <c r="U450" s="615"/>
      <c r="V450" s="616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hidden="1" customHeight="1" x14ac:dyDescent="0.25">
      <c r="A451" s="595" t="s">
        <v>74</v>
      </c>
      <c r="B451" s="596"/>
      <c r="C451" s="596"/>
      <c r="D451" s="596"/>
      <c r="E451" s="596"/>
      <c r="F451" s="596"/>
      <c r="G451" s="596"/>
      <c r="H451" s="596"/>
      <c r="I451" s="596"/>
      <c r="J451" s="596"/>
      <c r="K451" s="596"/>
      <c r="L451" s="596"/>
      <c r="M451" s="596"/>
      <c r="N451" s="596"/>
      <c r="O451" s="596"/>
      <c r="P451" s="596"/>
      <c r="Q451" s="596"/>
      <c r="R451" s="596"/>
      <c r="S451" s="596"/>
      <c r="T451" s="596"/>
      <c r="U451" s="596"/>
      <c r="V451" s="596"/>
      <c r="W451" s="596"/>
      <c r="X451" s="596"/>
      <c r="Y451" s="596"/>
      <c r="Z451" s="596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9">
        <v>4607091384352</v>
      </c>
      <c r="E452" s="600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6"/>
      <c r="R452" s="606"/>
      <c r="S452" s="606"/>
      <c r="T452" s="607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9">
        <v>4607091389654</v>
      </c>
      <c r="E453" s="600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8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6"/>
      <c r="R453" s="606"/>
      <c r="S453" s="606"/>
      <c r="T453" s="607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8"/>
      <c r="B454" s="596"/>
      <c r="C454" s="596"/>
      <c r="D454" s="596"/>
      <c r="E454" s="596"/>
      <c r="F454" s="596"/>
      <c r="G454" s="596"/>
      <c r="H454" s="596"/>
      <c r="I454" s="596"/>
      <c r="J454" s="596"/>
      <c r="K454" s="596"/>
      <c r="L454" s="596"/>
      <c r="M454" s="596"/>
      <c r="N454" s="596"/>
      <c r="O454" s="609"/>
      <c r="P454" s="618" t="s">
        <v>72</v>
      </c>
      <c r="Q454" s="615"/>
      <c r="R454" s="615"/>
      <c r="S454" s="615"/>
      <c r="T454" s="615"/>
      <c r="U454" s="615"/>
      <c r="V454" s="616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596"/>
      <c r="B455" s="596"/>
      <c r="C455" s="596"/>
      <c r="D455" s="596"/>
      <c r="E455" s="596"/>
      <c r="F455" s="596"/>
      <c r="G455" s="596"/>
      <c r="H455" s="596"/>
      <c r="I455" s="596"/>
      <c r="J455" s="596"/>
      <c r="K455" s="596"/>
      <c r="L455" s="596"/>
      <c r="M455" s="596"/>
      <c r="N455" s="596"/>
      <c r="O455" s="609"/>
      <c r="P455" s="618" t="s">
        <v>72</v>
      </c>
      <c r="Q455" s="615"/>
      <c r="R455" s="615"/>
      <c r="S455" s="615"/>
      <c r="T455" s="615"/>
      <c r="U455" s="615"/>
      <c r="V455" s="616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1" t="s">
        <v>720</v>
      </c>
      <c r="B456" s="596"/>
      <c r="C456" s="596"/>
      <c r="D456" s="596"/>
      <c r="E456" s="596"/>
      <c r="F456" s="596"/>
      <c r="G456" s="596"/>
      <c r="H456" s="596"/>
      <c r="I456" s="596"/>
      <c r="J456" s="596"/>
      <c r="K456" s="596"/>
      <c r="L456" s="596"/>
      <c r="M456" s="596"/>
      <c r="N456" s="596"/>
      <c r="O456" s="596"/>
      <c r="P456" s="596"/>
      <c r="Q456" s="596"/>
      <c r="R456" s="596"/>
      <c r="S456" s="596"/>
      <c r="T456" s="596"/>
      <c r="U456" s="596"/>
      <c r="V456" s="596"/>
      <c r="W456" s="596"/>
      <c r="X456" s="596"/>
      <c r="Y456" s="596"/>
      <c r="Z456" s="596"/>
      <c r="AA456" s="586"/>
      <c r="AB456" s="586"/>
      <c r="AC456" s="586"/>
    </row>
    <row r="457" spans="1:68" ht="14.25" hidden="1" customHeight="1" x14ac:dyDescent="0.25">
      <c r="A457" s="595" t="s">
        <v>152</v>
      </c>
      <c r="B457" s="596"/>
      <c r="C457" s="596"/>
      <c r="D457" s="596"/>
      <c r="E457" s="596"/>
      <c r="F457" s="596"/>
      <c r="G457" s="596"/>
      <c r="H457" s="596"/>
      <c r="I457" s="596"/>
      <c r="J457" s="596"/>
      <c r="K457" s="596"/>
      <c r="L457" s="596"/>
      <c r="M457" s="596"/>
      <c r="N457" s="596"/>
      <c r="O457" s="596"/>
      <c r="P457" s="596"/>
      <c r="Q457" s="596"/>
      <c r="R457" s="596"/>
      <c r="S457" s="596"/>
      <c r="T457" s="596"/>
      <c r="U457" s="596"/>
      <c r="V457" s="596"/>
      <c r="W457" s="596"/>
      <c r="X457" s="596"/>
      <c r="Y457" s="596"/>
      <c r="Z457" s="596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9">
        <v>4680115885240</v>
      </c>
      <c r="E458" s="600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8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6"/>
      <c r="R458" s="606"/>
      <c r="S458" s="606"/>
      <c r="T458" s="607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8"/>
      <c r="B459" s="596"/>
      <c r="C459" s="596"/>
      <c r="D459" s="596"/>
      <c r="E459" s="596"/>
      <c r="F459" s="596"/>
      <c r="G459" s="596"/>
      <c r="H459" s="596"/>
      <c r="I459" s="596"/>
      <c r="J459" s="596"/>
      <c r="K459" s="596"/>
      <c r="L459" s="596"/>
      <c r="M459" s="596"/>
      <c r="N459" s="596"/>
      <c r="O459" s="609"/>
      <c r="P459" s="618" t="s">
        <v>72</v>
      </c>
      <c r="Q459" s="615"/>
      <c r="R459" s="615"/>
      <c r="S459" s="615"/>
      <c r="T459" s="615"/>
      <c r="U459" s="615"/>
      <c r="V459" s="616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596"/>
      <c r="B460" s="596"/>
      <c r="C460" s="596"/>
      <c r="D460" s="596"/>
      <c r="E460" s="596"/>
      <c r="F460" s="596"/>
      <c r="G460" s="596"/>
      <c r="H460" s="596"/>
      <c r="I460" s="596"/>
      <c r="J460" s="596"/>
      <c r="K460" s="596"/>
      <c r="L460" s="596"/>
      <c r="M460" s="596"/>
      <c r="N460" s="596"/>
      <c r="O460" s="609"/>
      <c r="P460" s="618" t="s">
        <v>72</v>
      </c>
      <c r="Q460" s="615"/>
      <c r="R460" s="615"/>
      <c r="S460" s="615"/>
      <c r="T460" s="615"/>
      <c r="U460" s="615"/>
      <c r="V460" s="616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595" t="s">
        <v>62</v>
      </c>
      <c r="B461" s="596"/>
      <c r="C461" s="596"/>
      <c r="D461" s="596"/>
      <c r="E461" s="596"/>
      <c r="F461" s="596"/>
      <c r="G461" s="596"/>
      <c r="H461" s="596"/>
      <c r="I461" s="596"/>
      <c r="J461" s="596"/>
      <c r="K461" s="596"/>
      <c r="L461" s="596"/>
      <c r="M461" s="596"/>
      <c r="N461" s="596"/>
      <c r="O461" s="596"/>
      <c r="P461" s="596"/>
      <c r="Q461" s="596"/>
      <c r="R461" s="596"/>
      <c r="S461" s="596"/>
      <c r="T461" s="596"/>
      <c r="U461" s="596"/>
      <c r="V461" s="596"/>
      <c r="W461" s="596"/>
      <c r="X461" s="596"/>
      <c r="Y461" s="596"/>
      <c r="Z461" s="596"/>
      <c r="AA461" s="587"/>
      <c r="AB461" s="587"/>
      <c r="AC461" s="587"/>
    </row>
    <row r="462" spans="1:68" ht="27" hidden="1" customHeight="1" x14ac:dyDescent="0.25">
      <c r="A462" s="54" t="s">
        <v>724</v>
      </c>
      <c r="B462" s="54" t="s">
        <v>725</v>
      </c>
      <c r="C462" s="32">
        <v>4301031407</v>
      </c>
      <c r="D462" s="599">
        <v>4680115886094</v>
      </c>
      <c r="E462" s="600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6"/>
      <c r="R462" s="606"/>
      <c r="S462" s="606"/>
      <c r="T462" s="607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9">
        <v>4680115880771</v>
      </c>
      <c r="E463" s="600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7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6"/>
      <c r="R463" s="606"/>
      <c r="S463" s="606"/>
      <c r="T463" s="607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9">
        <v>4607091389500</v>
      </c>
      <c r="E464" s="600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8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6"/>
      <c r="R464" s="606"/>
      <c r="S464" s="606"/>
      <c r="T464" s="607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08"/>
      <c r="B465" s="596"/>
      <c r="C465" s="596"/>
      <c r="D465" s="596"/>
      <c r="E465" s="596"/>
      <c r="F465" s="596"/>
      <c r="G465" s="596"/>
      <c r="H465" s="596"/>
      <c r="I465" s="596"/>
      <c r="J465" s="596"/>
      <c r="K465" s="596"/>
      <c r="L465" s="596"/>
      <c r="M465" s="596"/>
      <c r="N465" s="596"/>
      <c r="O465" s="609"/>
      <c r="P465" s="618" t="s">
        <v>72</v>
      </c>
      <c r="Q465" s="615"/>
      <c r="R465" s="615"/>
      <c r="S465" s="615"/>
      <c r="T465" s="615"/>
      <c r="U465" s="615"/>
      <c r="V465" s="616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hidden="1" x14ac:dyDescent="0.2">
      <c r="A466" s="596"/>
      <c r="B466" s="596"/>
      <c r="C466" s="596"/>
      <c r="D466" s="596"/>
      <c r="E466" s="596"/>
      <c r="F466" s="596"/>
      <c r="G466" s="596"/>
      <c r="H466" s="596"/>
      <c r="I466" s="596"/>
      <c r="J466" s="596"/>
      <c r="K466" s="596"/>
      <c r="L466" s="596"/>
      <c r="M466" s="596"/>
      <c r="N466" s="596"/>
      <c r="O466" s="609"/>
      <c r="P466" s="618" t="s">
        <v>72</v>
      </c>
      <c r="Q466" s="615"/>
      <c r="R466" s="615"/>
      <c r="S466" s="615"/>
      <c r="T466" s="615"/>
      <c r="U466" s="615"/>
      <c r="V466" s="616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hidden="1" customHeight="1" x14ac:dyDescent="0.2">
      <c r="A467" s="620" t="s">
        <v>732</v>
      </c>
      <c r="B467" s="621"/>
      <c r="C467" s="621"/>
      <c r="D467" s="621"/>
      <c r="E467" s="621"/>
      <c r="F467" s="621"/>
      <c r="G467" s="621"/>
      <c r="H467" s="621"/>
      <c r="I467" s="621"/>
      <c r="J467" s="621"/>
      <c r="K467" s="621"/>
      <c r="L467" s="621"/>
      <c r="M467" s="621"/>
      <c r="N467" s="621"/>
      <c r="O467" s="621"/>
      <c r="P467" s="621"/>
      <c r="Q467" s="621"/>
      <c r="R467" s="621"/>
      <c r="S467" s="621"/>
      <c r="T467" s="621"/>
      <c r="U467" s="621"/>
      <c r="V467" s="621"/>
      <c r="W467" s="621"/>
      <c r="X467" s="621"/>
      <c r="Y467" s="621"/>
      <c r="Z467" s="621"/>
      <c r="AA467" s="49"/>
      <c r="AB467" s="49"/>
      <c r="AC467" s="49"/>
    </row>
    <row r="468" spans="1:68" ht="16.5" hidden="1" customHeight="1" x14ac:dyDescent="0.25">
      <c r="A468" s="601" t="s">
        <v>732</v>
      </c>
      <c r="B468" s="596"/>
      <c r="C468" s="596"/>
      <c r="D468" s="596"/>
      <c r="E468" s="596"/>
      <c r="F468" s="596"/>
      <c r="G468" s="596"/>
      <c r="H468" s="596"/>
      <c r="I468" s="596"/>
      <c r="J468" s="596"/>
      <c r="K468" s="596"/>
      <c r="L468" s="596"/>
      <c r="M468" s="596"/>
      <c r="N468" s="596"/>
      <c r="O468" s="596"/>
      <c r="P468" s="596"/>
      <c r="Q468" s="596"/>
      <c r="R468" s="596"/>
      <c r="S468" s="596"/>
      <c r="T468" s="596"/>
      <c r="U468" s="596"/>
      <c r="V468" s="596"/>
      <c r="W468" s="596"/>
      <c r="X468" s="596"/>
      <c r="Y468" s="596"/>
      <c r="Z468" s="596"/>
      <c r="AA468" s="586"/>
      <c r="AB468" s="586"/>
      <c r="AC468" s="586"/>
    </row>
    <row r="469" spans="1:68" ht="14.25" hidden="1" customHeight="1" x14ac:dyDescent="0.25">
      <c r="A469" s="595" t="s">
        <v>117</v>
      </c>
      <c r="B469" s="596"/>
      <c r="C469" s="596"/>
      <c r="D469" s="596"/>
      <c r="E469" s="596"/>
      <c r="F469" s="596"/>
      <c r="G469" s="596"/>
      <c r="H469" s="596"/>
      <c r="I469" s="596"/>
      <c r="J469" s="596"/>
      <c r="K469" s="596"/>
      <c r="L469" s="596"/>
      <c r="M469" s="596"/>
      <c r="N469" s="596"/>
      <c r="O469" s="596"/>
      <c r="P469" s="596"/>
      <c r="Q469" s="596"/>
      <c r="R469" s="596"/>
      <c r="S469" s="596"/>
      <c r="T469" s="596"/>
      <c r="U469" s="596"/>
      <c r="V469" s="596"/>
      <c r="W469" s="596"/>
      <c r="X469" s="596"/>
      <c r="Y469" s="596"/>
      <c r="Z469" s="596"/>
      <c r="AA469" s="587"/>
      <c r="AB469" s="587"/>
      <c r="AC469" s="587"/>
    </row>
    <row r="470" spans="1:68" ht="27" customHeight="1" x14ac:dyDescent="0.25">
      <c r="A470" s="54" t="s">
        <v>733</v>
      </c>
      <c r="B470" s="54" t="s">
        <v>734</v>
      </c>
      <c r="C470" s="32">
        <v>4301011769</v>
      </c>
      <c r="D470" s="599">
        <v>4607091389067</v>
      </c>
      <c r="E470" s="600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6"/>
      <c r="R470" s="606"/>
      <c r="S470" s="606"/>
      <c r="T470" s="607"/>
      <c r="U470" s="35"/>
      <c r="V470" s="35"/>
      <c r="W470" s="36" t="s">
        <v>67</v>
      </c>
      <c r="X470" s="591">
        <v>73</v>
      </c>
      <c r="Y470" s="592">
        <f t="shared" ref="Y470:Y478" si="62">IFERROR(IF(X470="",0,CEILING((X470/$H470),1)*$H470),"")</f>
        <v>73.92</v>
      </c>
      <c r="Z470" s="37">
        <f t="shared" ref="Z470:Z475" si="63">IFERROR(IF(Y470=0,"",ROUNDUP(Y470/H470,0)*0.01196),"")</f>
        <v>0.16744000000000001</v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77.839015151515156</v>
      </c>
      <c r="BN470" s="64">
        <f t="shared" ref="BN470:BN478" si="65">IFERROR(Y470*I470/H470,"0")</f>
        <v>78.819999999999993</v>
      </c>
      <c r="BO470" s="64">
        <f t="shared" ref="BO470:BO478" si="66">IFERROR(1/J470*(X470/H470),"0")</f>
        <v>0.13293997668997667</v>
      </c>
      <c r="BP470" s="64">
        <f t="shared" ref="BP470:BP478" si="67">IFERROR(1/J470*(Y470/H470),"0")</f>
        <v>0.13461538461538464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9">
        <v>4607091383522</v>
      </c>
      <c r="E471" s="600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87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6"/>
      <c r="R471" s="606"/>
      <c r="S471" s="606"/>
      <c r="T471" s="607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customHeight="1" x14ac:dyDescent="0.25">
      <c r="A472" s="54" t="s">
        <v>738</v>
      </c>
      <c r="B472" s="54" t="s">
        <v>739</v>
      </c>
      <c r="C472" s="32">
        <v>4301011961</v>
      </c>
      <c r="D472" s="599">
        <v>4680115885271</v>
      </c>
      <c r="E472" s="600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6"/>
      <c r="R472" s="606"/>
      <c r="S472" s="606"/>
      <c r="T472" s="607"/>
      <c r="U472" s="35"/>
      <c r="V472" s="35"/>
      <c r="W472" s="36" t="s">
        <v>67</v>
      </c>
      <c r="X472" s="591">
        <v>34</v>
      </c>
      <c r="Y472" s="592">
        <f t="shared" si="62"/>
        <v>36.96</v>
      </c>
      <c r="Z472" s="37">
        <f t="shared" si="63"/>
        <v>8.3720000000000003E-2</v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36.253787878787875</v>
      </c>
      <c r="BN472" s="64">
        <f t="shared" si="65"/>
        <v>39.409999999999997</v>
      </c>
      <c r="BO472" s="64">
        <f t="shared" si="66"/>
        <v>6.1917249417249423E-2</v>
      </c>
      <c r="BP472" s="64">
        <f t="shared" si="67"/>
        <v>6.7307692307692318E-2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9">
        <v>4680115885226</v>
      </c>
      <c r="E473" s="600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8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6"/>
      <c r="R473" s="606"/>
      <c r="S473" s="606"/>
      <c r="T473" s="607"/>
      <c r="U473" s="35"/>
      <c r="V473" s="35"/>
      <c r="W473" s="36" t="s">
        <v>67</v>
      </c>
      <c r="X473" s="591">
        <v>708</v>
      </c>
      <c r="Y473" s="592">
        <f t="shared" si="62"/>
        <v>712.80000000000007</v>
      </c>
      <c r="Z473" s="37">
        <f t="shared" si="63"/>
        <v>1.6146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754.93181818181813</v>
      </c>
      <c r="BN473" s="64">
        <f t="shared" si="65"/>
        <v>760.05000000000007</v>
      </c>
      <c r="BO473" s="64">
        <f t="shared" si="66"/>
        <v>1.2893356643356644</v>
      </c>
      <c r="BP473" s="64">
        <f t="shared" si="67"/>
        <v>1.2980769230769231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9">
        <v>4680115884502</v>
      </c>
      <c r="E474" s="600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8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6"/>
      <c r="R474" s="606"/>
      <c r="S474" s="606"/>
      <c r="T474" s="607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747</v>
      </c>
      <c r="B475" s="54" t="s">
        <v>748</v>
      </c>
      <c r="C475" s="32">
        <v>4301011771</v>
      </c>
      <c r="D475" s="599">
        <v>4607091389104</v>
      </c>
      <c r="E475" s="600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6"/>
      <c r="R475" s="606"/>
      <c r="S475" s="606"/>
      <c r="T475" s="607"/>
      <c r="U475" s="35"/>
      <c r="V475" s="35"/>
      <c r="W475" s="36" t="s">
        <v>67</v>
      </c>
      <c r="X475" s="591">
        <v>700</v>
      </c>
      <c r="Y475" s="592">
        <f t="shared" si="62"/>
        <v>702.24</v>
      </c>
      <c r="Z475" s="37">
        <f t="shared" si="63"/>
        <v>1.5906800000000001</v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746.40151515151513</v>
      </c>
      <c r="BN475" s="64">
        <f t="shared" si="65"/>
        <v>748.79</v>
      </c>
      <c r="BO475" s="64">
        <f t="shared" si="66"/>
        <v>1.2747668997668997</v>
      </c>
      <c r="BP475" s="64">
        <f t="shared" si="67"/>
        <v>1.278846153846154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9">
        <v>4680115886391</v>
      </c>
      <c r="E476" s="600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8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6"/>
      <c r="R476" s="606"/>
      <c r="S476" s="606"/>
      <c r="T476" s="607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hidden="1" customHeight="1" x14ac:dyDescent="0.25">
      <c r="A477" s="54" t="s">
        <v>752</v>
      </c>
      <c r="B477" s="54" t="s">
        <v>753</v>
      </c>
      <c r="C477" s="32">
        <v>4301012048</v>
      </c>
      <c r="D477" s="599">
        <v>4680115880603</v>
      </c>
      <c r="E477" s="600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7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6"/>
      <c r="R477" s="606"/>
      <c r="S477" s="606"/>
      <c r="T477" s="607"/>
      <c r="U477" s="35"/>
      <c r="V477" s="35"/>
      <c r="W477" s="36" t="s">
        <v>67</v>
      </c>
      <c r="X477" s="591">
        <v>0</v>
      </c>
      <c r="Y477" s="592">
        <f t="shared" si="62"/>
        <v>0</v>
      </c>
      <c r="Z477" s="37" t="str">
        <f>IFERROR(IF(Y477=0,"",ROUNDUP(Y477/H477,0)*0.00902),"")</f>
        <v/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9">
        <v>4607091389982</v>
      </c>
      <c r="E478" s="600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7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6"/>
      <c r="R478" s="606"/>
      <c r="S478" s="606"/>
      <c r="T478" s="607"/>
      <c r="U478" s="35"/>
      <c r="V478" s="35"/>
      <c r="W478" s="36" t="s">
        <v>67</v>
      </c>
      <c r="X478" s="591">
        <v>4</v>
      </c>
      <c r="Y478" s="592">
        <f t="shared" si="62"/>
        <v>4.8</v>
      </c>
      <c r="Z478" s="37">
        <f>IFERROR(IF(Y478=0,"",ROUNDUP(Y478/H478,0)*0.00902),"")</f>
        <v>9.0200000000000002E-3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5.7583333333333337</v>
      </c>
      <c r="BN478" s="64">
        <f t="shared" si="65"/>
        <v>6.91</v>
      </c>
      <c r="BO478" s="64">
        <f t="shared" si="66"/>
        <v>6.3131313131313139E-3</v>
      </c>
      <c r="BP478" s="64">
        <f t="shared" si="67"/>
        <v>7.575757575757576E-3</v>
      </c>
    </row>
    <row r="479" spans="1:68" x14ac:dyDescent="0.2">
      <c r="A479" s="608"/>
      <c r="B479" s="596"/>
      <c r="C479" s="596"/>
      <c r="D479" s="596"/>
      <c r="E479" s="596"/>
      <c r="F479" s="596"/>
      <c r="G479" s="596"/>
      <c r="H479" s="596"/>
      <c r="I479" s="596"/>
      <c r="J479" s="596"/>
      <c r="K479" s="596"/>
      <c r="L479" s="596"/>
      <c r="M479" s="596"/>
      <c r="N479" s="596"/>
      <c r="O479" s="609"/>
      <c r="P479" s="618" t="s">
        <v>72</v>
      </c>
      <c r="Q479" s="615"/>
      <c r="R479" s="615"/>
      <c r="S479" s="615"/>
      <c r="T479" s="615"/>
      <c r="U479" s="615"/>
      <c r="V479" s="616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287.7651515151515</v>
      </c>
      <c r="Y479" s="593">
        <f>IFERROR(Y470/H470,"0")+IFERROR(Y471/H471,"0")+IFERROR(Y472/H472,"0")+IFERROR(Y473/H473,"0")+IFERROR(Y474/H474,"0")+IFERROR(Y475/H475,"0")+IFERROR(Y476/H476,"0")+IFERROR(Y477/H477,"0")+IFERROR(Y478/H478,"0")</f>
        <v>290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3.4654600000000002</v>
      </c>
      <c r="AA479" s="594"/>
      <c r="AB479" s="594"/>
      <c r="AC479" s="594"/>
    </row>
    <row r="480" spans="1:68" x14ac:dyDescent="0.2">
      <c r="A480" s="596"/>
      <c r="B480" s="596"/>
      <c r="C480" s="596"/>
      <c r="D480" s="596"/>
      <c r="E480" s="596"/>
      <c r="F480" s="596"/>
      <c r="G480" s="596"/>
      <c r="H480" s="596"/>
      <c r="I480" s="596"/>
      <c r="J480" s="596"/>
      <c r="K480" s="596"/>
      <c r="L480" s="596"/>
      <c r="M480" s="596"/>
      <c r="N480" s="596"/>
      <c r="O480" s="609"/>
      <c r="P480" s="618" t="s">
        <v>72</v>
      </c>
      <c r="Q480" s="615"/>
      <c r="R480" s="615"/>
      <c r="S480" s="615"/>
      <c r="T480" s="615"/>
      <c r="U480" s="615"/>
      <c r="V480" s="616"/>
      <c r="W480" s="38" t="s">
        <v>67</v>
      </c>
      <c r="X480" s="593">
        <f>IFERROR(SUM(X470:X478),"0")</f>
        <v>1519</v>
      </c>
      <c r="Y480" s="593">
        <f>IFERROR(SUM(Y470:Y478),"0")</f>
        <v>1530.72</v>
      </c>
      <c r="Z480" s="38"/>
      <c r="AA480" s="594"/>
      <c r="AB480" s="594"/>
      <c r="AC480" s="594"/>
    </row>
    <row r="481" spans="1:68" ht="14.25" hidden="1" customHeight="1" x14ac:dyDescent="0.25">
      <c r="A481" s="595" t="s">
        <v>152</v>
      </c>
      <c r="B481" s="596"/>
      <c r="C481" s="596"/>
      <c r="D481" s="596"/>
      <c r="E481" s="596"/>
      <c r="F481" s="596"/>
      <c r="G481" s="596"/>
      <c r="H481" s="596"/>
      <c r="I481" s="596"/>
      <c r="J481" s="596"/>
      <c r="K481" s="596"/>
      <c r="L481" s="596"/>
      <c r="M481" s="596"/>
      <c r="N481" s="596"/>
      <c r="O481" s="596"/>
      <c r="P481" s="596"/>
      <c r="Q481" s="596"/>
      <c r="R481" s="596"/>
      <c r="S481" s="596"/>
      <c r="T481" s="596"/>
      <c r="U481" s="596"/>
      <c r="V481" s="596"/>
      <c r="W481" s="596"/>
      <c r="X481" s="596"/>
      <c r="Y481" s="596"/>
      <c r="Z481" s="596"/>
      <c r="AA481" s="587"/>
      <c r="AB481" s="587"/>
      <c r="AC481" s="587"/>
    </row>
    <row r="482" spans="1:68" ht="16.5" customHeight="1" x14ac:dyDescent="0.25">
      <c r="A482" s="54" t="s">
        <v>756</v>
      </c>
      <c r="B482" s="54" t="s">
        <v>757</v>
      </c>
      <c r="C482" s="32">
        <v>4301020334</v>
      </c>
      <c r="D482" s="599">
        <v>4607091388930</v>
      </c>
      <c r="E482" s="600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6"/>
      <c r="R482" s="606"/>
      <c r="S482" s="606"/>
      <c r="T482" s="607"/>
      <c r="U482" s="35"/>
      <c r="V482" s="35"/>
      <c r="W482" s="36" t="s">
        <v>67</v>
      </c>
      <c r="X482" s="591">
        <v>506</v>
      </c>
      <c r="Y482" s="592">
        <f>IFERROR(IF(X482="",0,CEILING((X482/$H482),1)*$H482),"")</f>
        <v>506.88</v>
      </c>
      <c r="Z482" s="37">
        <f>IFERROR(IF(Y482=0,"",ROUNDUP(Y482/H482,0)*0.01196),"")</f>
        <v>1.1481600000000001</v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539.54166666666663</v>
      </c>
      <c r="BN482" s="64">
        <f>IFERROR(Y482*I482/H482,"0")</f>
        <v>540.4799999999999</v>
      </c>
      <c r="BO482" s="64">
        <f>IFERROR(1/J482*(X482/H482),"0")</f>
        <v>0.92147435897435903</v>
      </c>
      <c r="BP482" s="64">
        <f>IFERROR(1/J482*(Y482/H482),"0")</f>
        <v>0.92307692307692313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9">
        <v>4680115886407</v>
      </c>
      <c r="E483" s="600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6"/>
      <c r="R483" s="606"/>
      <c r="S483" s="606"/>
      <c r="T483" s="607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hidden="1" customHeight="1" x14ac:dyDescent="0.25">
      <c r="A484" s="54" t="s">
        <v>761</v>
      </c>
      <c r="B484" s="54" t="s">
        <v>762</v>
      </c>
      <c r="C484" s="32">
        <v>4301020385</v>
      </c>
      <c r="D484" s="599">
        <v>4680115880054</v>
      </c>
      <c r="E484" s="600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6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6"/>
      <c r="R484" s="606"/>
      <c r="S484" s="606"/>
      <c r="T484" s="607"/>
      <c r="U484" s="35"/>
      <c r="V484" s="35"/>
      <c r="W484" s="36" t="s">
        <v>67</v>
      </c>
      <c r="X484" s="591">
        <v>0</v>
      </c>
      <c r="Y484" s="592">
        <f>IFERROR(IF(X484="",0,CEILING((X484/$H484),1)*$H484),"")</f>
        <v>0</v>
      </c>
      <c r="Z484" s="37" t="str">
        <f>IFERROR(IF(Y484=0,"",ROUNDUP(Y484/H484,0)*0.00902),"")</f>
        <v/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608"/>
      <c r="B485" s="596"/>
      <c r="C485" s="596"/>
      <c r="D485" s="596"/>
      <c r="E485" s="596"/>
      <c r="F485" s="596"/>
      <c r="G485" s="596"/>
      <c r="H485" s="596"/>
      <c r="I485" s="596"/>
      <c r="J485" s="596"/>
      <c r="K485" s="596"/>
      <c r="L485" s="596"/>
      <c r="M485" s="596"/>
      <c r="N485" s="596"/>
      <c r="O485" s="609"/>
      <c r="P485" s="618" t="s">
        <v>72</v>
      </c>
      <c r="Q485" s="615"/>
      <c r="R485" s="615"/>
      <c r="S485" s="615"/>
      <c r="T485" s="615"/>
      <c r="U485" s="615"/>
      <c r="V485" s="616"/>
      <c r="W485" s="38" t="s">
        <v>73</v>
      </c>
      <c r="X485" s="593">
        <f>IFERROR(X482/H482,"0")+IFERROR(X483/H483,"0")+IFERROR(X484/H484,"0")</f>
        <v>95.833333333333329</v>
      </c>
      <c r="Y485" s="593">
        <f>IFERROR(Y482/H482,"0")+IFERROR(Y483/H483,"0")+IFERROR(Y484/H484,"0")</f>
        <v>96</v>
      </c>
      <c r="Z485" s="593">
        <f>IFERROR(IF(Z482="",0,Z482),"0")+IFERROR(IF(Z483="",0,Z483),"0")+IFERROR(IF(Z484="",0,Z484),"0")</f>
        <v>1.1481600000000001</v>
      </c>
      <c r="AA485" s="594"/>
      <c r="AB485" s="594"/>
      <c r="AC485" s="594"/>
    </row>
    <row r="486" spans="1:68" x14ac:dyDescent="0.2">
      <c r="A486" s="596"/>
      <c r="B486" s="596"/>
      <c r="C486" s="596"/>
      <c r="D486" s="596"/>
      <c r="E486" s="596"/>
      <c r="F486" s="596"/>
      <c r="G486" s="596"/>
      <c r="H486" s="596"/>
      <c r="I486" s="596"/>
      <c r="J486" s="596"/>
      <c r="K486" s="596"/>
      <c r="L486" s="596"/>
      <c r="M486" s="596"/>
      <c r="N486" s="596"/>
      <c r="O486" s="609"/>
      <c r="P486" s="618" t="s">
        <v>72</v>
      </c>
      <c r="Q486" s="615"/>
      <c r="R486" s="615"/>
      <c r="S486" s="615"/>
      <c r="T486" s="615"/>
      <c r="U486" s="615"/>
      <c r="V486" s="616"/>
      <c r="W486" s="38" t="s">
        <v>67</v>
      </c>
      <c r="X486" s="593">
        <f>IFERROR(SUM(X482:X484),"0")</f>
        <v>506</v>
      </c>
      <c r="Y486" s="593">
        <f>IFERROR(SUM(Y482:Y484),"0")</f>
        <v>506.88</v>
      </c>
      <c r="Z486" s="38"/>
      <c r="AA486" s="594"/>
      <c r="AB486" s="594"/>
      <c r="AC486" s="594"/>
    </row>
    <row r="487" spans="1:68" ht="14.25" hidden="1" customHeight="1" x14ac:dyDescent="0.25">
      <c r="A487" s="595" t="s">
        <v>62</v>
      </c>
      <c r="B487" s="596"/>
      <c r="C487" s="596"/>
      <c r="D487" s="596"/>
      <c r="E487" s="596"/>
      <c r="F487" s="596"/>
      <c r="G487" s="596"/>
      <c r="H487" s="596"/>
      <c r="I487" s="596"/>
      <c r="J487" s="596"/>
      <c r="K487" s="596"/>
      <c r="L487" s="596"/>
      <c r="M487" s="596"/>
      <c r="N487" s="596"/>
      <c r="O487" s="596"/>
      <c r="P487" s="596"/>
      <c r="Q487" s="596"/>
      <c r="R487" s="596"/>
      <c r="S487" s="596"/>
      <c r="T487" s="596"/>
      <c r="U487" s="596"/>
      <c r="V487" s="596"/>
      <c r="W487" s="596"/>
      <c r="X487" s="596"/>
      <c r="Y487" s="596"/>
      <c r="Z487" s="596"/>
      <c r="AA487" s="587"/>
      <c r="AB487" s="587"/>
      <c r="AC487" s="587"/>
    </row>
    <row r="488" spans="1:68" ht="27" hidden="1" customHeight="1" x14ac:dyDescent="0.25">
      <c r="A488" s="54" t="s">
        <v>763</v>
      </c>
      <c r="B488" s="54" t="s">
        <v>764</v>
      </c>
      <c r="C488" s="32">
        <v>4301031349</v>
      </c>
      <c r="D488" s="599">
        <v>4680115883116</v>
      </c>
      <c r="E488" s="600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7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6"/>
      <c r="R488" s="606"/>
      <c r="S488" s="606"/>
      <c r="T488" s="607"/>
      <c r="U488" s="35"/>
      <c r="V488" s="35"/>
      <c r="W488" s="36" t="s">
        <v>67</v>
      </c>
      <c r="X488" s="591">
        <v>0</v>
      </c>
      <c r="Y488" s="592">
        <f t="shared" ref="Y488:Y494" si="68">IFERROR(IF(X488="",0,CEILING((X488/$H488),1)*$H488),"")</f>
        <v>0</v>
      </c>
      <c r="Z488" s="37" t="str">
        <f>IFERROR(IF(Y488=0,"",ROUNDUP(Y488/H488,0)*0.01196),"")</f>
        <v/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0</v>
      </c>
      <c r="BN488" s="64">
        <f t="shared" ref="BN488:BN494" si="70">IFERROR(Y488*I488/H488,"0")</f>
        <v>0</v>
      </c>
      <c r="BO488" s="64">
        <f t="shared" ref="BO488:BO494" si="71">IFERROR(1/J488*(X488/H488),"0")</f>
        <v>0</v>
      </c>
      <c r="BP488" s="64">
        <f t="shared" ref="BP488:BP494" si="72">IFERROR(1/J488*(Y488/H488),"0")</f>
        <v>0</v>
      </c>
    </row>
    <row r="489" spans="1:68" ht="27" hidden="1" customHeight="1" x14ac:dyDescent="0.25">
      <c r="A489" s="54" t="s">
        <v>766</v>
      </c>
      <c r="B489" s="54" t="s">
        <v>767</v>
      </c>
      <c r="C489" s="32">
        <v>4301031350</v>
      </c>
      <c r="D489" s="599">
        <v>4680115883093</v>
      </c>
      <c r="E489" s="600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6"/>
      <c r="R489" s="606"/>
      <c r="S489" s="606"/>
      <c r="T489" s="607"/>
      <c r="U489" s="35"/>
      <c r="V489" s="35"/>
      <c r="W489" s="36" t="s">
        <v>67</v>
      </c>
      <c r="X489" s="591">
        <v>0</v>
      </c>
      <c r="Y489" s="592">
        <f t="shared" si="68"/>
        <v>0</v>
      </c>
      <c r="Z489" s="37" t="str">
        <f>IFERROR(IF(Y489=0,"",ROUNDUP(Y489/H489,0)*0.01196),"")</f>
        <v/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769</v>
      </c>
      <c r="B490" s="54" t="s">
        <v>770</v>
      </c>
      <c r="C490" s="32">
        <v>4301031353</v>
      </c>
      <c r="D490" s="599">
        <v>4680115883109</v>
      </c>
      <c r="E490" s="600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6"/>
      <c r="R490" s="606"/>
      <c r="S490" s="606"/>
      <c r="T490" s="607"/>
      <c r="U490" s="35"/>
      <c r="V490" s="35"/>
      <c r="W490" s="36" t="s">
        <v>67</v>
      </c>
      <c r="X490" s="591">
        <v>180</v>
      </c>
      <c r="Y490" s="592">
        <f t="shared" si="68"/>
        <v>184.8</v>
      </c>
      <c r="Z490" s="37">
        <f>IFERROR(IF(Y490=0,"",ROUNDUP(Y490/H490,0)*0.01196),"")</f>
        <v>0.41860000000000003</v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191.93181818181816</v>
      </c>
      <c r="BN490" s="64">
        <f t="shared" si="70"/>
        <v>197.04999999999998</v>
      </c>
      <c r="BO490" s="64">
        <f t="shared" si="71"/>
        <v>0.32779720279720276</v>
      </c>
      <c r="BP490" s="64">
        <f t="shared" si="72"/>
        <v>0.33653846153846156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9">
        <v>4680115882072</v>
      </c>
      <c r="E491" s="600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8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6"/>
      <c r="R491" s="606"/>
      <c r="S491" s="606"/>
      <c r="T491" s="607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9">
        <v>4680115882102</v>
      </c>
      <c r="E492" s="600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8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6"/>
      <c r="R492" s="606"/>
      <c r="S492" s="606"/>
      <c r="T492" s="607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9">
        <v>4680115882102</v>
      </c>
      <c r="E493" s="600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8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6"/>
      <c r="R493" s="606"/>
      <c r="S493" s="606"/>
      <c r="T493" s="607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777</v>
      </c>
      <c r="B494" s="54" t="s">
        <v>778</v>
      </c>
      <c r="C494" s="32">
        <v>4301031417</v>
      </c>
      <c r="D494" s="599">
        <v>4680115882096</v>
      </c>
      <c r="E494" s="600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6"/>
      <c r="R494" s="606"/>
      <c r="S494" s="606"/>
      <c r="T494" s="607"/>
      <c r="U494" s="35"/>
      <c r="V494" s="35"/>
      <c r="W494" s="36" t="s">
        <v>67</v>
      </c>
      <c r="X494" s="591">
        <v>4</v>
      </c>
      <c r="Y494" s="592">
        <f t="shared" si="68"/>
        <v>4.8</v>
      </c>
      <c r="Z494" s="37">
        <f>IFERROR(IF(Y494=0,"",ROUNDUP(Y494/H494,0)*0.00902),"")</f>
        <v>9.0200000000000002E-3</v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5.5583333333333336</v>
      </c>
      <c r="BN494" s="64">
        <f t="shared" si="70"/>
        <v>6.67</v>
      </c>
      <c r="BO494" s="64">
        <f t="shared" si="71"/>
        <v>6.3131313131313139E-3</v>
      </c>
      <c r="BP494" s="64">
        <f t="shared" si="72"/>
        <v>7.575757575757576E-3</v>
      </c>
    </row>
    <row r="495" spans="1:68" x14ac:dyDescent="0.2">
      <c r="A495" s="608"/>
      <c r="B495" s="596"/>
      <c r="C495" s="596"/>
      <c r="D495" s="596"/>
      <c r="E495" s="596"/>
      <c r="F495" s="596"/>
      <c r="G495" s="596"/>
      <c r="H495" s="596"/>
      <c r="I495" s="596"/>
      <c r="J495" s="596"/>
      <c r="K495" s="596"/>
      <c r="L495" s="596"/>
      <c r="M495" s="596"/>
      <c r="N495" s="596"/>
      <c r="O495" s="609"/>
      <c r="P495" s="618" t="s">
        <v>72</v>
      </c>
      <c r="Q495" s="615"/>
      <c r="R495" s="615"/>
      <c r="S495" s="615"/>
      <c r="T495" s="615"/>
      <c r="U495" s="615"/>
      <c r="V495" s="616"/>
      <c r="W495" s="38" t="s">
        <v>73</v>
      </c>
      <c r="X495" s="593">
        <f>IFERROR(X488/H488,"0")+IFERROR(X489/H489,"0")+IFERROR(X490/H490,"0")+IFERROR(X491/H491,"0")+IFERROR(X492/H492,"0")+IFERROR(X493/H493,"0")+IFERROR(X494/H494,"0")</f>
        <v>34.924242424242422</v>
      </c>
      <c r="Y495" s="593">
        <f>IFERROR(Y488/H488,"0")+IFERROR(Y489/H489,"0")+IFERROR(Y490/H490,"0")+IFERROR(Y491/H491,"0")+IFERROR(Y492/H492,"0")+IFERROR(Y493/H493,"0")+IFERROR(Y494/H494,"0")</f>
        <v>36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0.42762</v>
      </c>
      <c r="AA495" s="594"/>
      <c r="AB495" s="594"/>
      <c r="AC495" s="594"/>
    </row>
    <row r="496" spans="1:68" x14ac:dyDescent="0.2">
      <c r="A496" s="596"/>
      <c r="B496" s="596"/>
      <c r="C496" s="596"/>
      <c r="D496" s="596"/>
      <c r="E496" s="596"/>
      <c r="F496" s="596"/>
      <c r="G496" s="596"/>
      <c r="H496" s="596"/>
      <c r="I496" s="596"/>
      <c r="J496" s="596"/>
      <c r="K496" s="596"/>
      <c r="L496" s="596"/>
      <c r="M496" s="596"/>
      <c r="N496" s="596"/>
      <c r="O496" s="609"/>
      <c r="P496" s="618" t="s">
        <v>72</v>
      </c>
      <c r="Q496" s="615"/>
      <c r="R496" s="615"/>
      <c r="S496" s="615"/>
      <c r="T496" s="615"/>
      <c r="U496" s="615"/>
      <c r="V496" s="616"/>
      <c r="W496" s="38" t="s">
        <v>67</v>
      </c>
      <c r="X496" s="593">
        <f>IFERROR(SUM(X488:X494),"0")</f>
        <v>184</v>
      </c>
      <c r="Y496" s="593">
        <f>IFERROR(SUM(Y488:Y494),"0")</f>
        <v>189.60000000000002</v>
      </c>
      <c r="Z496" s="38"/>
      <c r="AA496" s="594"/>
      <c r="AB496" s="594"/>
      <c r="AC496" s="594"/>
    </row>
    <row r="497" spans="1:68" ht="27.75" hidden="1" customHeight="1" x14ac:dyDescent="0.2">
      <c r="A497" s="620" t="s">
        <v>779</v>
      </c>
      <c r="B497" s="621"/>
      <c r="C497" s="621"/>
      <c r="D497" s="621"/>
      <c r="E497" s="621"/>
      <c r="F497" s="621"/>
      <c r="G497" s="621"/>
      <c r="H497" s="621"/>
      <c r="I497" s="621"/>
      <c r="J497" s="621"/>
      <c r="K497" s="621"/>
      <c r="L497" s="621"/>
      <c r="M497" s="621"/>
      <c r="N497" s="621"/>
      <c r="O497" s="621"/>
      <c r="P497" s="621"/>
      <c r="Q497" s="621"/>
      <c r="R497" s="621"/>
      <c r="S497" s="621"/>
      <c r="T497" s="621"/>
      <c r="U497" s="621"/>
      <c r="V497" s="621"/>
      <c r="W497" s="621"/>
      <c r="X497" s="621"/>
      <c r="Y497" s="621"/>
      <c r="Z497" s="621"/>
      <c r="AA497" s="49"/>
      <c r="AB497" s="49"/>
      <c r="AC497" s="49"/>
    </row>
    <row r="498" spans="1:68" ht="16.5" hidden="1" customHeight="1" x14ac:dyDescent="0.25">
      <c r="A498" s="601" t="s">
        <v>779</v>
      </c>
      <c r="B498" s="596"/>
      <c r="C498" s="596"/>
      <c r="D498" s="596"/>
      <c r="E498" s="596"/>
      <c r="F498" s="596"/>
      <c r="G498" s="596"/>
      <c r="H498" s="596"/>
      <c r="I498" s="596"/>
      <c r="J498" s="596"/>
      <c r="K498" s="596"/>
      <c r="L498" s="596"/>
      <c r="M498" s="596"/>
      <c r="N498" s="596"/>
      <c r="O498" s="596"/>
      <c r="P498" s="596"/>
      <c r="Q498" s="596"/>
      <c r="R498" s="596"/>
      <c r="S498" s="596"/>
      <c r="T498" s="596"/>
      <c r="U498" s="596"/>
      <c r="V498" s="596"/>
      <c r="W498" s="596"/>
      <c r="X498" s="596"/>
      <c r="Y498" s="596"/>
      <c r="Z498" s="596"/>
      <c r="AA498" s="586"/>
      <c r="AB498" s="586"/>
      <c r="AC498" s="586"/>
    </row>
    <row r="499" spans="1:68" ht="14.25" hidden="1" customHeight="1" x14ac:dyDescent="0.25">
      <c r="A499" s="595" t="s">
        <v>117</v>
      </c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96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9">
        <v>4640242180564</v>
      </c>
      <c r="E500" s="600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6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6"/>
      <c r="R500" s="606"/>
      <c r="S500" s="606"/>
      <c r="T500" s="607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8"/>
      <c r="B501" s="596"/>
      <c r="C501" s="596"/>
      <c r="D501" s="596"/>
      <c r="E501" s="596"/>
      <c r="F501" s="596"/>
      <c r="G501" s="596"/>
      <c r="H501" s="596"/>
      <c r="I501" s="596"/>
      <c r="J501" s="596"/>
      <c r="K501" s="596"/>
      <c r="L501" s="596"/>
      <c r="M501" s="596"/>
      <c r="N501" s="596"/>
      <c r="O501" s="609"/>
      <c r="P501" s="618" t="s">
        <v>72</v>
      </c>
      <c r="Q501" s="615"/>
      <c r="R501" s="615"/>
      <c r="S501" s="615"/>
      <c r="T501" s="615"/>
      <c r="U501" s="615"/>
      <c r="V501" s="616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596"/>
      <c r="B502" s="596"/>
      <c r="C502" s="596"/>
      <c r="D502" s="596"/>
      <c r="E502" s="596"/>
      <c r="F502" s="596"/>
      <c r="G502" s="596"/>
      <c r="H502" s="596"/>
      <c r="I502" s="596"/>
      <c r="J502" s="596"/>
      <c r="K502" s="596"/>
      <c r="L502" s="596"/>
      <c r="M502" s="596"/>
      <c r="N502" s="596"/>
      <c r="O502" s="609"/>
      <c r="P502" s="618" t="s">
        <v>72</v>
      </c>
      <c r="Q502" s="615"/>
      <c r="R502" s="615"/>
      <c r="S502" s="615"/>
      <c r="T502" s="615"/>
      <c r="U502" s="615"/>
      <c r="V502" s="616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595" t="s">
        <v>152</v>
      </c>
      <c r="B503" s="596"/>
      <c r="C503" s="596"/>
      <c r="D503" s="596"/>
      <c r="E503" s="596"/>
      <c r="F503" s="596"/>
      <c r="G503" s="596"/>
      <c r="H503" s="596"/>
      <c r="I503" s="596"/>
      <c r="J503" s="596"/>
      <c r="K503" s="596"/>
      <c r="L503" s="596"/>
      <c r="M503" s="596"/>
      <c r="N503" s="596"/>
      <c r="O503" s="596"/>
      <c r="P503" s="596"/>
      <c r="Q503" s="596"/>
      <c r="R503" s="596"/>
      <c r="S503" s="596"/>
      <c r="T503" s="596"/>
      <c r="U503" s="596"/>
      <c r="V503" s="596"/>
      <c r="W503" s="596"/>
      <c r="X503" s="596"/>
      <c r="Y503" s="596"/>
      <c r="Z503" s="596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9">
        <v>4640242180519</v>
      </c>
      <c r="E504" s="600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6"/>
      <c r="R504" s="606"/>
      <c r="S504" s="606"/>
      <c r="T504" s="607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8"/>
      <c r="B505" s="596"/>
      <c r="C505" s="596"/>
      <c r="D505" s="596"/>
      <c r="E505" s="596"/>
      <c r="F505" s="596"/>
      <c r="G505" s="596"/>
      <c r="H505" s="596"/>
      <c r="I505" s="596"/>
      <c r="J505" s="596"/>
      <c r="K505" s="596"/>
      <c r="L505" s="596"/>
      <c r="M505" s="596"/>
      <c r="N505" s="596"/>
      <c r="O505" s="609"/>
      <c r="P505" s="618" t="s">
        <v>72</v>
      </c>
      <c r="Q505" s="615"/>
      <c r="R505" s="615"/>
      <c r="S505" s="615"/>
      <c r="T505" s="615"/>
      <c r="U505" s="615"/>
      <c r="V505" s="616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596"/>
      <c r="B506" s="596"/>
      <c r="C506" s="596"/>
      <c r="D506" s="596"/>
      <c r="E506" s="596"/>
      <c r="F506" s="596"/>
      <c r="G506" s="596"/>
      <c r="H506" s="596"/>
      <c r="I506" s="596"/>
      <c r="J506" s="596"/>
      <c r="K506" s="596"/>
      <c r="L506" s="596"/>
      <c r="M506" s="596"/>
      <c r="N506" s="596"/>
      <c r="O506" s="609"/>
      <c r="P506" s="618" t="s">
        <v>72</v>
      </c>
      <c r="Q506" s="615"/>
      <c r="R506" s="615"/>
      <c r="S506" s="615"/>
      <c r="T506" s="615"/>
      <c r="U506" s="615"/>
      <c r="V506" s="616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595" t="s">
        <v>62</v>
      </c>
      <c r="B507" s="596"/>
      <c r="C507" s="596"/>
      <c r="D507" s="596"/>
      <c r="E507" s="596"/>
      <c r="F507" s="596"/>
      <c r="G507" s="596"/>
      <c r="H507" s="596"/>
      <c r="I507" s="596"/>
      <c r="J507" s="596"/>
      <c r="K507" s="596"/>
      <c r="L507" s="596"/>
      <c r="M507" s="596"/>
      <c r="N507" s="596"/>
      <c r="O507" s="596"/>
      <c r="P507" s="596"/>
      <c r="Q507" s="596"/>
      <c r="R507" s="596"/>
      <c r="S507" s="596"/>
      <c r="T507" s="596"/>
      <c r="U507" s="596"/>
      <c r="V507" s="596"/>
      <c r="W507" s="596"/>
      <c r="X507" s="596"/>
      <c r="Y507" s="596"/>
      <c r="Z507" s="596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9">
        <v>4640242180595</v>
      </c>
      <c r="E508" s="600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87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6"/>
      <c r="R508" s="606"/>
      <c r="S508" s="606"/>
      <c r="T508" s="607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9">
        <v>4640242180595</v>
      </c>
      <c r="E509" s="600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6"/>
      <c r="R509" s="606"/>
      <c r="S509" s="606"/>
      <c r="T509" s="607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8"/>
      <c r="B510" s="596"/>
      <c r="C510" s="596"/>
      <c r="D510" s="596"/>
      <c r="E510" s="596"/>
      <c r="F510" s="596"/>
      <c r="G510" s="596"/>
      <c r="H510" s="596"/>
      <c r="I510" s="596"/>
      <c r="J510" s="596"/>
      <c r="K510" s="596"/>
      <c r="L510" s="596"/>
      <c r="M510" s="596"/>
      <c r="N510" s="596"/>
      <c r="O510" s="609"/>
      <c r="P510" s="618" t="s">
        <v>72</v>
      </c>
      <c r="Q510" s="615"/>
      <c r="R510" s="615"/>
      <c r="S510" s="615"/>
      <c r="T510" s="615"/>
      <c r="U510" s="615"/>
      <c r="V510" s="616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596"/>
      <c r="B511" s="596"/>
      <c r="C511" s="596"/>
      <c r="D511" s="596"/>
      <c r="E511" s="596"/>
      <c r="F511" s="596"/>
      <c r="G511" s="596"/>
      <c r="H511" s="596"/>
      <c r="I511" s="596"/>
      <c r="J511" s="596"/>
      <c r="K511" s="596"/>
      <c r="L511" s="596"/>
      <c r="M511" s="596"/>
      <c r="N511" s="596"/>
      <c r="O511" s="609"/>
      <c r="P511" s="618" t="s">
        <v>72</v>
      </c>
      <c r="Q511" s="615"/>
      <c r="R511" s="615"/>
      <c r="S511" s="615"/>
      <c r="T511" s="615"/>
      <c r="U511" s="615"/>
      <c r="V511" s="616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595" t="s">
        <v>74</v>
      </c>
      <c r="B512" s="596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9">
        <v>4640242180533</v>
      </c>
      <c r="E513" s="600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6"/>
      <c r="R513" s="606"/>
      <c r="S513" s="606"/>
      <c r="T513" s="607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8"/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609"/>
      <c r="P514" s="618" t="s">
        <v>72</v>
      </c>
      <c r="Q514" s="615"/>
      <c r="R514" s="615"/>
      <c r="S514" s="615"/>
      <c r="T514" s="615"/>
      <c r="U514" s="615"/>
      <c r="V514" s="616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596"/>
      <c r="B515" s="596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609"/>
      <c r="P515" s="618" t="s">
        <v>72</v>
      </c>
      <c r="Q515" s="615"/>
      <c r="R515" s="615"/>
      <c r="S515" s="615"/>
      <c r="T515" s="615"/>
      <c r="U515" s="615"/>
      <c r="V515" s="616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595" t="s">
        <v>169</v>
      </c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9">
        <v>4640242180120</v>
      </c>
      <c r="E517" s="600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7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6"/>
      <c r="R517" s="606"/>
      <c r="S517" s="606"/>
      <c r="T517" s="607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9">
        <v>4640242180137</v>
      </c>
      <c r="E518" s="600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93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6"/>
      <c r="R518" s="606"/>
      <c r="S518" s="606"/>
      <c r="T518" s="607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8"/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609"/>
      <c r="P519" s="618" t="s">
        <v>72</v>
      </c>
      <c r="Q519" s="615"/>
      <c r="R519" s="615"/>
      <c r="S519" s="615"/>
      <c r="T519" s="615"/>
      <c r="U519" s="615"/>
      <c r="V519" s="616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596"/>
      <c r="B520" s="596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609"/>
      <c r="P520" s="618" t="s">
        <v>72</v>
      </c>
      <c r="Q520" s="615"/>
      <c r="R520" s="615"/>
      <c r="S520" s="615"/>
      <c r="T520" s="615"/>
      <c r="U520" s="615"/>
      <c r="V520" s="616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1" t="s">
        <v>800</v>
      </c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86"/>
      <c r="AB521" s="586"/>
      <c r="AC521" s="586"/>
    </row>
    <row r="522" spans="1:68" ht="14.25" hidden="1" customHeight="1" x14ac:dyDescent="0.25">
      <c r="A522" s="595" t="s">
        <v>152</v>
      </c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9">
        <v>4640242180090</v>
      </c>
      <c r="E523" s="600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8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6"/>
      <c r="R523" s="606"/>
      <c r="S523" s="606"/>
      <c r="T523" s="607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8"/>
      <c r="B524" s="596"/>
      <c r="C524" s="596"/>
      <c r="D524" s="596"/>
      <c r="E524" s="596"/>
      <c r="F524" s="596"/>
      <c r="G524" s="596"/>
      <c r="H524" s="596"/>
      <c r="I524" s="596"/>
      <c r="J524" s="596"/>
      <c r="K524" s="596"/>
      <c r="L524" s="596"/>
      <c r="M524" s="596"/>
      <c r="N524" s="596"/>
      <c r="O524" s="609"/>
      <c r="P524" s="618" t="s">
        <v>72</v>
      </c>
      <c r="Q524" s="615"/>
      <c r="R524" s="615"/>
      <c r="S524" s="615"/>
      <c r="T524" s="615"/>
      <c r="U524" s="615"/>
      <c r="V524" s="616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596"/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609"/>
      <c r="P525" s="618" t="s">
        <v>72</v>
      </c>
      <c r="Q525" s="615"/>
      <c r="R525" s="615"/>
      <c r="S525" s="615"/>
      <c r="T525" s="615"/>
      <c r="U525" s="615"/>
      <c r="V525" s="616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886"/>
      <c r="B526" s="596"/>
      <c r="C526" s="596"/>
      <c r="D526" s="596"/>
      <c r="E526" s="596"/>
      <c r="F526" s="596"/>
      <c r="G526" s="596"/>
      <c r="H526" s="596"/>
      <c r="I526" s="596"/>
      <c r="J526" s="596"/>
      <c r="K526" s="596"/>
      <c r="L526" s="596"/>
      <c r="M526" s="596"/>
      <c r="N526" s="596"/>
      <c r="O526" s="785"/>
      <c r="P526" s="602" t="s">
        <v>804</v>
      </c>
      <c r="Q526" s="603"/>
      <c r="R526" s="603"/>
      <c r="S526" s="603"/>
      <c r="T526" s="603"/>
      <c r="U526" s="603"/>
      <c r="V526" s="604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17257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17435.47</v>
      </c>
      <c r="Z526" s="38"/>
      <c r="AA526" s="594"/>
      <c r="AB526" s="594"/>
      <c r="AC526" s="594"/>
    </row>
    <row r="527" spans="1:68" x14ac:dyDescent="0.2">
      <c r="A527" s="596"/>
      <c r="B527" s="596"/>
      <c r="C527" s="596"/>
      <c r="D527" s="596"/>
      <c r="E527" s="596"/>
      <c r="F527" s="596"/>
      <c r="G527" s="596"/>
      <c r="H527" s="596"/>
      <c r="I527" s="596"/>
      <c r="J527" s="596"/>
      <c r="K527" s="596"/>
      <c r="L527" s="596"/>
      <c r="M527" s="596"/>
      <c r="N527" s="596"/>
      <c r="O527" s="785"/>
      <c r="P527" s="602" t="s">
        <v>805</v>
      </c>
      <c r="Q527" s="603"/>
      <c r="R527" s="603"/>
      <c r="S527" s="603"/>
      <c r="T527" s="603"/>
      <c r="U527" s="603"/>
      <c r="V527" s="604"/>
      <c r="W527" s="38" t="s">
        <v>67</v>
      </c>
      <c r="X527" s="593">
        <f>IFERROR(SUM(BM22:BM523),"0")</f>
        <v>18154.361652685442</v>
      </c>
      <c r="Y527" s="593">
        <f>IFERROR(SUM(BN22:BN523),"0")</f>
        <v>18343.021000000001</v>
      </c>
      <c r="Z527" s="38"/>
      <c r="AA527" s="594"/>
      <c r="AB527" s="594"/>
      <c r="AC527" s="594"/>
    </row>
    <row r="528" spans="1:68" x14ac:dyDescent="0.2">
      <c r="A528" s="596"/>
      <c r="B528" s="596"/>
      <c r="C528" s="596"/>
      <c r="D528" s="596"/>
      <c r="E528" s="596"/>
      <c r="F528" s="596"/>
      <c r="G528" s="596"/>
      <c r="H528" s="596"/>
      <c r="I528" s="596"/>
      <c r="J528" s="596"/>
      <c r="K528" s="596"/>
      <c r="L528" s="596"/>
      <c r="M528" s="596"/>
      <c r="N528" s="596"/>
      <c r="O528" s="785"/>
      <c r="P528" s="602" t="s">
        <v>806</v>
      </c>
      <c r="Q528" s="603"/>
      <c r="R528" s="603"/>
      <c r="S528" s="603"/>
      <c r="T528" s="603"/>
      <c r="U528" s="603"/>
      <c r="V528" s="604"/>
      <c r="W528" s="38" t="s">
        <v>807</v>
      </c>
      <c r="X528" s="39">
        <f>ROUNDUP(SUM(BO22:BO523),0)</f>
        <v>30</v>
      </c>
      <c r="Y528" s="39">
        <f>ROUNDUP(SUM(BP22:BP523),0)</f>
        <v>30</v>
      </c>
      <c r="Z528" s="38"/>
      <c r="AA528" s="594"/>
      <c r="AB528" s="594"/>
      <c r="AC528" s="594"/>
    </row>
    <row r="529" spans="1:32" x14ac:dyDescent="0.2">
      <c r="A529" s="596"/>
      <c r="B529" s="596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785"/>
      <c r="P529" s="602" t="s">
        <v>808</v>
      </c>
      <c r="Q529" s="603"/>
      <c r="R529" s="603"/>
      <c r="S529" s="603"/>
      <c r="T529" s="603"/>
      <c r="U529" s="603"/>
      <c r="V529" s="604"/>
      <c r="W529" s="38" t="s">
        <v>67</v>
      </c>
      <c r="X529" s="593">
        <f>GrossWeightTotal+PalletQtyTotal*25</f>
        <v>18904.361652685442</v>
      </c>
      <c r="Y529" s="593">
        <f>GrossWeightTotalR+PalletQtyTotalR*25</f>
        <v>19093.021000000001</v>
      </c>
      <c r="Z529" s="38"/>
      <c r="AA529" s="594"/>
      <c r="AB529" s="594"/>
      <c r="AC529" s="594"/>
    </row>
    <row r="530" spans="1:32" x14ac:dyDescent="0.2">
      <c r="A530" s="596"/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785"/>
      <c r="P530" s="602" t="s">
        <v>809</v>
      </c>
      <c r="Q530" s="603"/>
      <c r="R530" s="603"/>
      <c r="S530" s="603"/>
      <c r="T530" s="603"/>
      <c r="U530" s="603"/>
      <c r="V530" s="604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2845.8908670683691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2879</v>
      </c>
      <c r="Z530" s="38"/>
      <c r="AA530" s="594"/>
      <c r="AB530" s="594"/>
      <c r="AC530" s="594"/>
    </row>
    <row r="531" spans="1:32" ht="14.25" hidden="1" customHeight="1" x14ac:dyDescent="0.2">
      <c r="A531" s="596"/>
      <c r="B531" s="596"/>
      <c r="C531" s="596"/>
      <c r="D531" s="596"/>
      <c r="E531" s="596"/>
      <c r="F531" s="596"/>
      <c r="G531" s="596"/>
      <c r="H531" s="596"/>
      <c r="I531" s="596"/>
      <c r="J531" s="596"/>
      <c r="K531" s="596"/>
      <c r="L531" s="596"/>
      <c r="M531" s="596"/>
      <c r="N531" s="596"/>
      <c r="O531" s="785"/>
      <c r="P531" s="602" t="s">
        <v>810</v>
      </c>
      <c r="Q531" s="603"/>
      <c r="R531" s="603"/>
      <c r="S531" s="603"/>
      <c r="T531" s="603"/>
      <c r="U531" s="603"/>
      <c r="V531" s="604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34.641649999999991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597" t="s">
        <v>115</v>
      </c>
      <c r="E533" s="814"/>
      <c r="F533" s="814"/>
      <c r="G533" s="814"/>
      <c r="H533" s="814"/>
      <c r="I533" s="814"/>
      <c r="J533" s="630"/>
      <c r="K533" s="597" t="s">
        <v>322</v>
      </c>
      <c r="L533" s="814"/>
      <c r="M533" s="814"/>
      <c r="N533" s="814"/>
      <c r="O533" s="814"/>
      <c r="P533" s="814"/>
      <c r="Q533" s="814"/>
      <c r="R533" s="814"/>
      <c r="S533" s="814"/>
      <c r="T533" s="814"/>
      <c r="U533" s="630"/>
      <c r="V533" s="597" t="s">
        <v>636</v>
      </c>
      <c r="W533" s="630"/>
      <c r="X533" s="597" t="s">
        <v>696</v>
      </c>
      <c r="Y533" s="630"/>
      <c r="Z533" s="588" t="s">
        <v>732</v>
      </c>
      <c r="AA533" s="597" t="s">
        <v>779</v>
      </c>
      <c r="AB533" s="630"/>
      <c r="AC533" s="8"/>
      <c r="AF533" s="589"/>
    </row>
    <row r="534" spans="1:32" ht="14.25" customHeight="1" thickTop="1" x14ac:dyDescent="0.2">
      <c r="A534" s="820" t="s">
        <v>813</v>
      </c>
      <c r="B534" s="597" t="s">
        <v>61</v>
      </c>
      <c r="C534" s="597" t="s">
        <v>102</v>
      </c>
      <c r="D534" s="597" t="s">
        <v>116</v>
      </c>
      <c r="E534" s="597" t="s">
        <v>132</v>
      </c>
      <c r="F534" s="597" t="s">
        <v>176</v>
      </c>
      <c r="G534" s="597" t="s">
        <v>197</v>
      </c>
      <c r="H534" s="597" t="s">
        <v>240</v>
      </c>
      <c r="I534" s="597" t="s">
        <v>252</v>
      </c>
      <c r="J534" s="597" t="s">
        <v>115</v>
      </c>
      <c r="K534" s="597" t="s">
        <v>323</v>
      </c>
      <c r="L534" s="597" t="s">
        <v>335</v>
      </c>
      <c r="M534" s="597" t="s">
        <v>394</v>
      </c>
      <c r="N534" s="589"/>
      <c r="O534" s="597" t="s">
        <v>462</v>
      </c>
      <c r="P534" s="597" t="s">
        <v>498</v>
      </c>
      <c r="Q534" s="597" t="s">
        <v>514</v>
      </c>
      <c r="R534" s="597" t="s">
        <v>523</v>
      </c>
      <c r="S534" s="597" t="s">
        <v>544</v>
      </c>
      <c r="T534" s="597" t="s">
        <v>554</v>
      </c>
      <c r="U534" s="597" t="s">
        <v>626</v>
      </c>
      <c r="V534" s="597" t="s">
        <v>637</v>
      </c>
      <c r="W534" s="597" t="s">
        <v>680</v>
      </c>
      <c r="X534" s="597" t="s">
        <v>697</v>
      </c>
      <c r="Y534" s="597" t="s">
        <v>720</v>
      </c>
      <c r="Z534" s="597" t="s">
        <v>732</v>
      </c>
      <c r="AA534" s="597" t="s">
        <v>779</v>
      </c>
      <c r="AB534" s="597" t="s">
        <v>800</v>
      </c>
      <c r="AC534" s="8"/>
      <c r="AF534" s="589"/>
    </row>
    <row r="535" spans="1:32" ht="13.5" customHeight="1" thickBot="1" x14ac:dyDescent="0.25">
      <c r="A535" s="821"/>
      <c r="B535" s="598"/>
      <c r="C535" s="598"/>
      <c r="D535" s="598"/>
      <c r="E535" s="598"/>
      <c r="F535" s="598"/>
      <c r="G535" s="598"/>
      <c r="H535" s="598"/>
      <c r="I535" s="598"/>
      <c r="J535" s="598"/>
      <c r="K535" s="598"/>
      <c r="L535" s="598"/>
      <c r="M535" s="598"/>
      <c r="N535" s="589"/>
      <c r="O535" s="598"/>
      <c r="P535" s="598"/>
      <c r="Q535" s="598"/>
      <c r="R535" s="598"/>
      <c r="S535" s="598"/>
      <c r="T535" s="598"/>
      <c r="U535" s="598"/>
      <c r="V535" s="598"/>
      <c r="W535" s="598"/>
      <c r="X535" s="598"/>
      <c r="Y535" s="598"/>
      <c r="Z535" s="598"/>
      <c r="AA535" s="598"/>
      <c r="AB535" s="598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2384.3000000000002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695.10000000000014</v>
      </c>
      <c r="F536" s="47">
        <f>IFERROR(Y87*1,"0")+IFERROR(Y88*1,"0")+IFERROR(Y89*1,"0")+IFERROR(Y90*1,"0")+IFERROR(Y94*1,"0")+IFERROR(Y95*1,"0")+IFERROR(Y96*1,"0")+IFERROR(Y97*1,"0")</f>
        <v>888.1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746.49999999999989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393.82000000000005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508.82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3089.9999999999995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5.58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88.8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31.2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1493.8500000000001</v>
      </c>
      <c r="U536" s="47">
        <f>IFERROR(Y391*1,"0")+IFERROR(Y392*1,"0")+IFERROR(Y393*1,"0")</f>
        <v>0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4875</v>
      </c>
      <c r="W536" s="47">
        <f>IFERROR(Y426*1,"0")+IFERROR(Y427*1,"0")+IFERROR(Y431*1,"0")+IFERROR(Y435*1,"0")+IFERROR(Y436*1,"0")+IFERROR(Y437*1,"0")</f>
        <v>7.1999999999999993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2227.2000000000003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1,00"/>
        <filter val="1 169,00"/>
        <filter val="1 394,00"/>
        <filter val="1 445,00"/>
        <filter val="1 519,00"/>
        <filter val="1 595,00"/>
        <filter val="1,00"/>
        <filter val="1,59"/>
        <filter val="10,00"/>
        <filter val="100,00"/>
        <filter val="103,83"/>
        <filter val="11,00"/>
        <filter val="110,00"/>
        <filter val="114,00"/>
        <filter val="121,98"/>
        <filter val="128,00"/>
        <filter val="135,90"/>
        <filter val="14,00"/>
        <filter val="14,12"/>
        <filter val="143,13"/>
        <filter val="148,00"/>
        <filter val="15,00"/>
        <filter val="153,00"/>
        <filter val="16,00"/>
        <filter val="16,19"/>
        <filter val="17 257,00"/>
        <filter val="17,00"/>
        <filter val="170,00"/>
        <filter val="173,27"/>
        <filter val="175,00"/>
        <filter val="18 154,36"/>
        <filter val="18 904,36"/>
        <filter val="180,00"/>
        <filter val="182,73"/>
        <filter val="184,00"/>
        <filter val="194,00"/>
        <filter val="2 147,00"/>
        <filter val="2 341,00"/>
        <filter val="2 380,00"/>
        <filter val="2 599,00"/>
        <filter val="2 845,89"/>
        <filter val="2,00"/>
        <filter val="2,08"/>
        <filter val="20,00"/>
        <filter val="210,00"/>
        <filter val="213,00"/>
        <filter val="217,00"/>
        <filter val="222,50"/>
        <filter val="227,30"/>
        <filter val="24,00"/>
        <filter val="284,00"/>
        <filter val="287,77"/>
        <filter val="29,00"/>
        <filter val="3,00"/>
        <filter val="3,08"/>
        <filter val="30"/>
        <filter val="304,07"/>
        <filter val="31,33"/>
        <filter val="32,00"/>
        <filter val="32,13"/>
        <filter val="324,00"/>
        <filter val="329,00"/>
        <filter val="33,75"/>
        <filter val="34,00"/>
        <filter val="34,92"/>
        <filter val="347,00"/>
        <filter val="35,00"/>
        <filter val="36,00"/>
        <filter val="36,25"/>
        <filter val="38,00"/>
        <filter val="389,00"/>
        <filter val="39,00"/>
        <filter val="4,00"/>
        <filter val="4,34"/>
        <filter val="42,00"/>
        <filter val="46,00"/>
        <filter val="49,00"/>
        <filter val="5,00"/>
        <filter val="500,00"/>
        <filter val="506,00"/>
        <filter val="51,00"/>
        <filter val="55,00"/>
        <filter val="6,00"/>
        <filter val="618,42"/>
        <filter val="628,00"/>
        <filter val="63,00"/>
        <filter val="65,00"/>
        <filter val="658,00"/>
        <filter val="699,00"/>
        <filter val="700,00"/>
        <filter val="706,00"/>
        <filter val="708,00"/>
        <filter val="71,00"/>
        <filter val="73,00"/>
        <filter val="768,00"/>
        <filter val="81,00"/>
        <filter val="87,00"/>
        <filter val="9,38"/>
        <filter val="90,00"/>
        <filter val="901,00"/>
        <filter val="92,00"/>
        <filter val="93,00"/>
        <filter val="95,83"/>
        <filter val="973,00"/>
      </filters>
    </filterColumn>
    <filterColumn colId="29" showButton="0"/>
    <filterColumn colId="30" showButton="0"/>
  </autoFilter>
  <mergeCells count="941"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A176:O177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P519:V519"/>
    <mergeCell ref="V533:W53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