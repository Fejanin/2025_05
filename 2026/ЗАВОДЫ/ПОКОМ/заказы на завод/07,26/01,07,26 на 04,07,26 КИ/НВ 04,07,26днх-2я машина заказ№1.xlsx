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09A533-E026-4C2B-8700-FB467C51F28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P523" i="1"/>
  <c r="X520" i="1"/>
  <c r="X519" i="1"/>
  <c r="BO518" i="1"/>
  <c r="BM518" i="1"/>
  <c r="Y518" i="1"/>
  <c r="P518" i="1"/>
  <c r="BO517" i="1"/>
  <c r="BM517" i="1"/>
  <c r="Y517" i="1"/>
  <c r="BN517" i="1" s="1"/>
  <c r="P517" i="1"/>
  <c r="X515" i="1"/>
  <c r="X514" i="1"/>
  <c r="BO513" i="1"/>
  <c r="BM513" i="1"/>
  <c r="Y513" i="1"/>
  <c r="Y515" i="1" s="1"/>
  <c r="P513" i="1"/>
  <c r="X511" i="1"/>
  <c r="X510" i="1"/>
  <c r="BO509" i="1"/>
  <c r="BM509" i="1"/>
  <c r="Y509" i="1"/>
  <c r="P509" i="1"/>
  <c r="BO508" i="1"/>
  <c r="BM508" i="1"/>
  <c r="Y508" i="1"/>
  <c r="P508" i="1"/>
  <c r="X506" i="1"/>
  <c r="X505" i="1"/>
  <c r="BO504" i="1"/>
  <c r="BM504" i="1"/>
  <c r="Y504" i="1"/>
  <c r="P504" i="1"/>
  <c r="X502" i="1"/>
  <c r="X501" i="1"/>
  <c r="BO500" i="1"/>
  <c r="BM500" i="1"/>
  <c r="Y500" i="1"/>
  <c r="P500" i="1"/>
  <c r="X496" i="1"/>
  <c r="X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P492" i="1"/>
  <c r="BP491" i="1"/>
  <c r="BO491" i="1"/>
  <c r="BM491" i="1"/>
  <c r="Y491" i="1"/>
  <c r="BN491" i="1" s="1"/>
  <c r="P491" i="1"/>
  <c r="BO490" i="1"/>
  <c r="BM490" i="1"/>
  <c r="Y490" i="1"/>
  <c r="P490" i="1"/>
  <c r="BP489" i="1"/>
  <c r="BO489" i="1"/>
  <c r="BN489" i="1"/>
  <c r="BM489" i="1"/>
  <c r="Y489" i="1"/>
  <c r="Z489" i="1" s="1"/>
  <c r="P489" i="1"/>
  <c r="BO488" i="1"/>
  <c r="BM488" i="1"/>
  <c r="Y488" i="1"/>
  <c r="P488" i="1"/>
  <c r="X486" i="1"/>
  <c r="X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Z477" i="1" s="1"/>
  <c r="P477" i="1"/>
  <c r="BO476" i="1"/>
  <c r="BM476" i="1"/>
  <c r="Y476" i="1"/>
  <c r="P476" i="1"/>
  <c r="BO475" i="1"/>
  <c r="BM475" i="1"/>
  <c r="Z475" i="1"/>
  <c r="Y475" i="1"/>
  <c r="BP475" i="1" s="1"/>
  <c r="P475" i="1"/>
  <c r="BO474" i="1"/>
  <c r="BM474" i="1"/>
  <c r="Y474" i="1"/>
  <c r="P474" i="1"/>
  <c r="BP473" i="1"/>
  <c r="BO473" i="1"/>
  <c r="BM473" i="1"/>
  <c r="Z473" i="1"/>
  <c r="Y473" i="1"/>
  <c r="BN473" i="1" s="1"/>
  <c r="P473" i="1"/>
  <c r="BO472" i="1"/>
  <c r="BM472" i="1"/>
  <c r="Y472" i="1"/>
  <c r="P472" i="1"/>
  <c r="BO471" i="1"/>
  <c r="BM471" i="1"/>
  <c r="Y471" i="1"/>
  <c r="BP471" i="1" s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BP452" i="1" s="1"/>
  <c r="P452" i="1"/>
  <c r="X450" i="1"/>
  <c r="X449" i="1"/>
  <c r="BO448" i="1"/>
  <c r="BM448" i="1"/>
  <c r="Y448" i="1"/>
  <c r="BN448" i="1" s="1"/>
  <c r="P448" i="1"/>
  <c r="BO447" i="1"/>
  <c r="BM447" i="1"/>
  <c r="Y447" i="1"/>
  <c r="P447" i="1"/>
  <c r="BO446" i="1"/>
  <c r="BN446" i="1"/>
  <c r="BM446" i="1"/>
  <c r="Y446" i="1"/>
  <c r="BP446" i="1" s="1"/>
  <c r="P446" i="1"/>
  <c r="BO445" i="1"/>
  <c r="BM445" i="1"/>
  <c r="Y445" i="1"/>
  <c r="P445" i="1"/>
  <c r="BO444" i="1"/>
  <c r="BN444" i="1"/>
  <c r="BM444" i="1"/>
  <c r="Z444" i="1"/>
  <c r="Y444" i="1"/>
  <c r="BP444" i="1" s="1"/>
  <c r="P444" i="1"/>
  <c r="BO443" i="1"/>
  <c r="BM443" i="1"/>
  <c r="Y443" i="1"/>
  <c r="P443" i="1"/>
  <c r="X439" i="1"/>
  <c r="X438" i="1"/>
  <c r="BO437" i="1"/>
  <c r="BM437" i="1"/>
  <c r="Y437" i="1"/>
  <c r="P437" i="1"/>
  <c r="BO436" i="1"/>
  <c r="BM436" i="1"/>
  <c r="Y436" i="1"/>
  <c r="BN436" i="1" s="1"/>
  <c r="P436" i="1"/>
  <c r="BO435" i="1"/>
  <c r="BM435" i="1"/>
  <c r="Y435" i="1"/>
  <c r="P435" i="1"/>
  <c r="X433" i="1"/>
  <c r="X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P426" i="1" s="1"/>
  <c r="P426" i="1"/>
  <c r="X423" i="1"/>
  <c r="X422" i="1"/>
  <c r="BO421" i="1"/>
  <c r="BM421" i="1"/>
  <c r="Y421" i="1"/>
  <c r="Y423" i="1" s="1"/>
  <c r="P421" i="1"/>
  <c r="X419" i="1"/>
  <c r="X418" i="1"/>
  <c r="BO417" i="1"/>
  <c r="BN417" i="1"/>
  <c r="BM417" i="1"/>
  <c r="Z417" i="1"/>
  <c r="Y417" i="1"/>
  <c r="BP417" i="1" s="1"/>
  <c r="P417" i="1"/>
  <c r="BO416" i="1"/>
  <c r="BM416" i="1"/>
  <c r="Y416" i="1"/>
  <c r="Y418" i="1" s="1"/>
  <c r="P416" i="1"/>
  <c r="X414" i="1"/>
  <c r="X413" i="1"/>
  <c r="BO412" i="1"/>
  <c r="BM412" i="1"/>
  <c r="Y412" i="1"/>
  <c r="P412" i="1"/>
  <c r="BO411" i="1"/>
  <c r="BM411" i="1"/>
  <c r="Y411" i="1"/>
  <c r="BN411" i="1" s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BP403" i="1" s="1"/>
  <c r="P403" i="1"/>
  <c r="BO402" i="1"/>
  <c r="BM402" i="1"/>
  <c r="Y402" i="1"/>
  <c r="P402" i="1"/>
  <c r="BO401" i="1"/>
  <c r="BN401" i="1"/>
  <c r="BM401" i="1"/>
  <c r="Y401" i="1"/>
  <c r="Z401" i="1" s="1"/>
  <c r="P401" i="1"/>
  <c r="BO400" i="1"/>
  <c r="BM400" i="1"/>
  <c r="Y400" i="1"/>
  <c r="P400" i="1"/>
  <c r="BO399" i="1"/>
  <c r="BM399" i="1"/>
  <c r="Z399" i="1"/>
  <c r="Y399" i="1"/>
  <c r="BP399" i="1" s="1"/>
  <c r="P399" i="1"/>
  <c r="X395" i="1"/>
  <c r="X394" i="1"/>
  <c r="BO393" i="1"/>
  <c r="BM393" i="1"/>
  <c r="Y393" i="1"/>
  <c r="P393" i="1"/>
  <c r="BO392" i="1"/>
  <c r="BN392" i="1"/>
  <c r="BM392" i="1"/>
  <c r="Z392" i="1"/>
  <c r="Y392" i="1"/>
  <c r="BP392" i="1" s="1"/>
  <c r="P392" i="1"/>
  <c r="BO391" i="1"/>
  <c r="BM391" i="1"/>
  <c r="Y391" i="1"/>
  <c r="P391" i="1"/>
  <c r="X388" i="1"/>
  <c r="X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M379" i="1"/>
  <c r="Y379" i="1"/>
  <c r="BN379" i="1" s="1"/>
  <c r="P379" i="1"/>
  <c r="BO378" i="1"/>
  <c r="BM378" i="1"/>
  <c r="Y378" i="1"/>
  <c r="P378" i="1"/>
  <c r="BO377" i="1"/>
  <c r="BM377" i="1"/>
  <c r="Y377" i="1"/>
  <c r="Y381" i="1" s="1"/>
  <c r="P377" i="1"/>
  <c r="X375" i="1"/>
  <c r="X374" i="1"/>
  <c r="BO373" i="1"/>
  <c r="BN373" i="1"/>
  <c r="BM373" i="1"/>
  <c r="Z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P367" i="1"/>
  <c r="BO367" i="1"/>
  <c r="BN367" i="1"/>
  <c r="BM367" i="1"/>
  <c r="Y367" i="1"/>
  <c r="Z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BO355" i="1"/>
  <c r="BN355" i="1"/>
  <c r="BM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Z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N340" i="1"/>
  <c r="BM340" i="1"/>
  <c r="Y340" i="1"/>
  <c r="BP340" i="1" s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P333" i="1" s="1"/>
  <c r="P333" i="1"/>
  <c r="X331" i="1"/>
  <c r="X330" i="1"/>
  <c r="BP329" i="1"/>
  <c r="BO329" i="1"/>
  <c r="BM329" i="1"/>
  <c r="Y329" i="1"/>
  <c r="Z329" i="1" s="1"/>
  <c r="P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P326" i="1"/>
  <c r="BO325" i="1"/>
  <c r="BM325" i="1"/>
  <c r="Z325" i="1"/>
  <c r="Y325" i="1"/>
  <c r="BN325" i="1" s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BN318" i="1" s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O311" i="1"/>
  <c r="BM311" i="1"/>
  <c r="Y311" i="1"/>
  <c r="BN311" i="1" s="1"/>
  <c r="P311" i="1"/>
  <c r="BO310" i="1"/>
  <c r="BM310" i="1"/>
  <c r="Y310" i="1"/>
  <c r="P310" i="1"/>
  <c r="BO309" i="1"/>
  <c r="BN309" i="1"/>
  <c r="BM309" i="1"/>
  <c r="Y309" i="1"/>
  <c r="BP309" i="1" s="1"/>
  <c r="P309" i="1"/>
  <c r="X306" i="1"/>
  <c r="X305" i="1"/>
  <c r="BO304" i="1"/>
  <c r="BM304" i="1"/>
  <c r="Y304" i="1"/>
  <c r="BN304" i="1" s="1"/>
  <c r="P304" i="1"/>
  <c r="BO303" i="1"/>
  <c r="BM303" i="1"/>
  <c r="Y303" i="1"/>
  <c r="P303" i="1"/>
  <c r="BO302" i="1"/>
  <c r="BN302" i="1"/>
  <c r="BM302" i="1"/>
  <c r="Y302" i="1"/>
  <c r="BP302" i="1" s="1"/>
  <c r="P302" i="1"/>
  <c r="BO301" i="1"/>
  <c r="BM301" i="1"/>
  <c r="Y301" i="1"/>
  <c r="P301" i="1"/>
  <c r="X299" i="1"/>
  <c r="X298" i="1"/>
  <c r="BO297" i="1"/>
  <c r="BM297" i="1"/>
  <c r="Y297" i="1"/>
  <c r="P297" i="1"/>
  <c r="X295" i="1"/>
  <c r="X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BN288" i="1" s="1"/>
  <c r="P288" i="1"/>
  <c r="BO287" i="1"/>
  <c r="BM287" i="1"/>
  <c r="Y287" i="1"/>
  <c r="P287" i="1"/>
  <c r="BO286" i="1"/>
  <c r="BN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Z277" i="1"/>
  <c r="Y277" i="1"/>
  <c r="BN277" i="1" s="1"/>
  <c r="P277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N263" i="1"/>
  <c r="BM263" i="1"/>
  <c r="Z263" i="1"/>
  <c r="Y263" i="1"/>
  <c r="BP263" i="1" s="1"/>
  <c r="P263" i="1"/>
  <c r="BO262" i="1"/>
  <c r="BM262" i="1"/>
  <c r="Y262" i="1"/>
  <c r="P262" i="1"/>
  <c r="X260" i="1"/>
  <c r="X259" i="1"/>
  <c r="BO258" i="1"/>
  <c r="BM258" i="1"/>
  <c r="Y258" i="1"/>
  <c r="P258" i="1"/>
  <c r="BO257" i="1"/>
  <c r="BM257" i="1"/>
  <c r="Y257" i="1"/>
  <c r="BN257" i="1" s="1"/>
  <c r="P257" i="1"/>
  <c r="BO256" i="1"/>
  <c r="BM256" i="1"/>
  <c r="Y256" i="1"/>
  <c r="P256" i="1"/>
  <c r="BO255" i="1"/>
  <c r="BN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BP251" i="1"/>
  <c r="BO251" i="1"/>
  <c r="BM251" i="1"/>
  <c r="Z251" i="1"/>
  <c r="Y251" i="1"/>
  <c r="BN251" i="1" s="1"/>
  <c r="P251" i="1"/>
  <c r="X249" i="1"/>
  <c r="X248" i="1"/>
  <c r="BO247" i="1"/>
  <c r="BM247" i="1"/>
  <c r="Z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M241" i="1"/>
  <c r="Z241" i="1"/>
  <c r="Y241" i="1"/>
  <c r="BN241" i="1" s="1"/>
  <c r="P241" i="1"/>
  <c r="X238" i="1"/>
  <c r="X237" i="1"/>
  <c r="BO236" i="1"/>
  <c r="BM236" i="1"/>
  <c r="Y236" i="1"/>
  <c r="Y238" i="1" s="1"/>
  <c r="P236" i="1"/>
  <c r="X234" i="1"/>
  <c r="X233" i="1"/>
  <c r="BO232" i="1"/>
  <c r="BM232" i="1"/>
  <c r="Y232" i="1"/>
  <c r="BN232" i="1" s="1"/>
  <c r="P232" i="1"/>
  <c r="BO231" i="1"/>
  <c r="BM231" i="1"/>
  <c r="Y231" i="1"/>
  <c r="Y233" i="1" s="1"/>
  <c r="P231" i="1"/>
  <c r="BO230" i="1"/>
  <c r="BN230" i="1"/>
  <c r="BM230" i="1"/>
  <c r="Z230" i="1"/>
  <c r="Y230" i="1"/>
  <c r="P230" i="1"/>
  <c r="X228" i="1"/>
  <c r="X227" i="1"/>
  <c r="BO226" i="1"/>
  <c r="BM226" i="1"/>
  <c r="Z226" i="1"/>
  <c r="Y226" i="1"/>
  <c r="BN226" i="1" s="1"/>
  <c r="P226" i="1"/>
  <c r="BO225" i="1"/>
  <c r="BM225" i="1"/>
  <c r="Y225" i="1"/>
  <c r="P225" i="1"/>
  <c r="X223" i="1"/>
  <c r="X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Z216" i="1" s="1"/>
  <c r="P216" i="1"/>
  <c r="BO215" i="1"/>
  <c r="BM215" i="1"/>
  <c r="Y215" i="1"/>
  <c r="P215" i="1"/>
  <c r="BO214" i="1"/>
  <c r="BM214" i="1"/>
  <c r="Z214" i="1"/>
  <c r="Y214" i="1"/>
  <c r="BP214" i="1" s="1"/>
  <c r="P214" i="1"/>
  <c r="BO213" i="1"/>
  <c r="BM213" i="1"/>
  <c r="Y213" i="1"/>
  <c r="P213" i="1"/>
  <c r="BP212" i="1"/>
  <c r="BO212" i="1"/>
  <c r="BM212" i="1"/>
  <c r="Y212" i="1"/>
  <c r="BN212" i="1" s="1"/>
  <c r="P212" i="1"/>
  <c r="BO211" i="1"/>
  <c r="BM211" i="1"/>
  <c r="Y211" i="1"/>
  <c r="P211" i="1"/>
  <c r="BO210" i="1"/>
  <c r="BN210" i="1"/>
  <c r="BM210" i="1"/>
  <c r="Y210" i="1"/>
  <c r="BP210" i="1" s="1"/>
  <c r="P210" i="1"/>
  <c r="BO209" i="1"/>
  <c r="BM209" i="1"/>
  <c r="Y209" i="1"/>
  <c r="P209" i="1"/>
  <c r="BO208" i="1"/>
  <c r="BM208" i="1"/>
  <c r="Z208" i="1"/>
  <c r="Y208" i="1"/>
  <c r="BP208" i="1" s="1"/>
  <c r="P208" i="1"/>
  <c r="X206" i="1"/>
  <c r="X205" i="1"/>
  <c r="BO204" i="1"/>
  <c r="BM204" i="1"/>
  <c r="Y204" i="1"/>
  <c r="Y205" i="1" s="1"/>
  <c r="P204" i="1"/>
  <c r="X201" i="1"/>
  <c r="X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N185" i="1" s="1"/>
  <c r="P185" i="1"/>
  <c r="X183" i="1"/>
  <c r="X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BP179" i="1" s="1"/>
  <c r="P179" i="1"/>
  <c r="X177" i="1"/>
  <c r="X176" i="1"/>
  <c r="BO175" i="1"/>
  <c r="BM175" i="1"/>
  <c r="Y175" i="1"/>
  <c r="BN175" i="1" s="1"/>
  <c r="P175" i="1"/>
  <c r="BO174" i="1"/>
  <c r="BM174" i="1"/>
  <c r="Y174" i="1"/>
  <c r="P174" i="1"/>
  <c r="BP173" i="1"/>
  <c r="BO173" i="1"/>
  <c r="BM173" i="1"/>
  <c r="Y173" i="1"/>
  <c r="BN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N169" i="1"/>
  <c r="BM169" i="1"/>
  <c r="Y169" i="1"/>
  <c r="Z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X160" i="1"/>
  <c r="X159" i="1"/>
  <c r="BO158" i="1"/>
  <c r="BM158" i="1"/>
  <c r="Y158" i="1"/>
  <c r="P158" i="1"/>
  <c r="BO157" i="1"/>
  <c r="BM157" i="1"/>
  <c r="Y157" i="1"/>
  <c r="BP157" i="1" s="1"/>
  <c r="P157" i="1"/>
  <c r="X154" i="1"/>
  <c r="X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X141" i="1"/>
  <c r="Y140" i="1"/>
  <c r="X140" i="1"/>
  <c r="BO139" i="1"/>
  <c r="BM139" i="1"/>
  <c r="Z139" i="1"/>
  <c r="Y139" i="1"/>
  <c r="BN139" i="1" s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M133" i="1"/>
  <c r="Y133" i="1"/>
  <c r="BN133" i="1" s="1"/>
  <c r="P133" i="1"/>
  <c r="X130" i="1"/>
  <c r="X129" i="1"/>
  <c r="BO128" i="1"/>
  <c r="BM128" i="1"/>
  <c r="Y128" i="1"/>
  <c r="Y130" i="1" s="1"/>
  <c r="P128" i="1"/>
  <c r="X126" i="1"/>
  <c r="X125" i="1"/>
  <c r="BO124" i="1"/>
  <c r="BM124" i="1"/>
  <c r="Y124" i="1"/>
  <c r="BN124" i="1" s="1"/>
  <c r="P124" i="1"/>
  <c r="BO123" i="1"/>
  <c r="BM123" i="1"/>
  <c r="Y123" i="1"/>
  <c r="P123" i="1"/>
  <c r="BP122" i="1"/>
  <c r="BO122" i="1"/>
  <c r="BM122" i="1"/>
  <c r="Z122" i="1"/>
  <c r="Y122" i="1"/>
  <c r="BN122" i="1" s="1"/>
  <c r="P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Y116" i="1"/>
  <c r="Z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Y91" i="1" s="1"/>
  <c r="P87" i="1"/>
  <c r="X84" i="1"/>
  <c r="X83" i="1"/>
  <c r="BO82" i="1"/>
  <c r="BM82" i="1"/>
  <c r="Z82" i="1"/>
  <c r="Y82" i="1"/>
  <c r="BP82" i="1" s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O76" i="1"/>
  <c r="BM76" i="1"/>
  <c r="Y76" i="1"/>
  <c r="P76" i="1"/>
  <c r="X74" i="1"/>
  <c r="X73" i="1"/>
  <c r="BO72" i="1"/>
  <c r="BN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P69" i="1"/>
  <c r="X67" i="1"/>
  <c r="X66" i="1"/>
  <c r="BO65" i="1"/>
  <c r="BM65" i="1"/>
  <c r="Y65" i="1"/>
  <c r="BP65" i="1" s="1"/>
  <c r="P65" i="1"/>
  <c r="BO64" i="1"/>
  <c r="BM64" i="1"/>
  <c r="Y64" i="1"/>
  <c r="Z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Z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P45" i="1"/>
  <c r="BO45" i="1"/>
  <c r="BM45" i="1"/>
  <c r="Y45" i="1"/>
  <c r="Z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C536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Z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143" i="1" l="1"/>
  <c r="Z232" i="1"/>
  <c r="BP349" i="1"/>
  <c r="BN64" i="1"/>
  <c r="BP311" i="1"/>
  <c r="Z448" i="1"/>
  <c r="Z493" i="1"/>
  <c r="X526" i="1"/>
  <c r="Z104" i="1"/>
  <c r="Z108" i="1"/>
  <c r="BP232" i="1"/>
  <c r="BN493" i="1"/>
  <c r="BN104" i="1"/>
  <c r="BN108" i="1"/>
  <c r="Z128" i="1"/>
  <c r="Z129" i="1" s="1"/>
  <c r="Z220" i="1"/>
  <c r="BP226" i="1"/>
  <c r="Z320" i="1"/>
  <c r="BP448" i="1"/>
  <c r="Z27" i="1"/>
  <c r="BN82" i="1"/>
  <c r="Z97" i="1"/>
  <c r="BP181" i="1"/>
  <c r="BP304" i="1"/>
  <c r="Z347" i="1"/>
  <c r="BP401" i="1"/>
  <c r="BN471" i="1"/>
  <c r="BP517" i="1"/>
  <c r="BN128" i="1"/>
  <c r="BN220" i="1"/>
  <c r="Z426" i="1"/>
  <c r="BN97" i="1"/>
  <c r="BP175" i="1"/>
  <c r="Y182" i="1"/>
  <c r="BN347" i="1"/>
  <c r="BP53" i="1"/>
  <c r="Y78" i="1"/>
  <c r="BP128" i="1"/>
  <c r="Z167" i="1"/>
  <c r="BN216" i="1"/>
  <c r="Y234" i="1"/>
  <c r="Z236" i="1"/>
  <c r="Z237" i="1" s="1"/>
  <c r="Z253" i="1"/>
  <c r="BP257" i="1"/>
  <c r="Z269" i="1"/>
  <c r="Z284" i="1"/>
  <c r="Z313" i="1"/>
  <c r="BN426" i="1"/>
  <c r="Y510" i="1"/>
  <c r="BP288" i="1"/>
  <c r="BN329" i="1"/>
  <c r="Z62" i="1"/>
  <c r="Y129" i="1"/>
  <c r="BN269" i="1"/>
  <c r="BN284" i="1"/>
  <c r="Z379" i="1"/>
  <c r="BN452" i="1"/>
  <c r="Z491" i="1"/>
  <c r="BP509" i="1"/>
  <c r="Y99" i="1"/>
  <c r="Z179" i="1"/>
  <c r="Z355" i="1"/>
  <c r="BN477" i="1"/>
  <c r="Z133" i="1"/>
  <c r="Z173" i="1"/>
  <c r="BN179" i="1"/>
  <c r="Z29" i="1"/>
  <c r="BP318" i="1"/>
  <c r="BN349" i="1"/>
  <c r="BN513" i="1"/>
  <c r="BN45" i="1"/>
  <c r="BN53" i="1"/>
  <c r="Z87" i="1"/>
  <c r="Z124" i="1"/>
  <c r="BP139" i="1"/>
  <c r="Z185" i="1"/>
  <c r="BP271" i="1"/>
  <c r="BP277" i="1"/>
  <c r="BP325" i="1"/>
  <c r="Z357" i="1"/>
  <c r="BP385" i="1"/>
  <c r="BP411" i="1"/>
  <c r="BP436" i="1"/>
  <c r="Y33" i="1"/>
  <c r="BP64" i="1"/>
  <c r="BP169" i="1"/>
  <c r="BP216" i="1"/>
  <c r="BP477" i="1"/>
  <c r="BN357" i="1"/>
  <c r="Z509" i="1"/>
  <c r="Z517" i="1"/>
  <c r="Z150" i="1"/>
  <c r="Z157" i="1"/>
  <c r="Z197" i="1"/>
  <c r="Z204" i="1"/>
  <c r="Z205" i="1" s="1"/>
  <c r="Z265" i="1"/>
  <c r="Z421" i="1"/>
  <c r="Z422" i="1" s="1"/>
  <c r="BN27" i="1"/>
  <c r="Z31" i="1"/>
  <c r="BP87" i="1"/>
  <c r="BP124" i="1"/>
  <c r="BP185" i="1"/>
  <c r="Z210" i="1"/>
  <c r="Z255" i="1"/>
  <c r="Z286" i="1"/>
  <c r="Z302" i="1"/>
  <c r="Z309" i="1"/>
  <c r="Z340" i="1"/>
  <c r="Z446" i="1"/>
  <c r="Z452" i="1"/>
  <c r="Z471" i="1"/>
  <c r="BN509" i="1"/>
  <c r="Z72" i="1"/>
  <c r="BN150" i="1"/>
  <c r="BN157" i="1"/>
  <c r="BN197" i="1"/>
  <c r="BN204" i="1"/>
  <c r="BN265" i="1"/>
  <c r="BN421" i="1"/>
  <c r="BN87" i="1"/>
  <c r="Z51" i="1"/>
  <c r="BP204" i="1"/>
  <c r="Z273" i="1"/>
  <c r="Z327" i="1"/>
  <c r="Z333" i="1"/>
  <c r="BP421" i="1"/>
  <c r="Z463" i="1"/>
  <c r="B536" i="1"/>
  <c r="BP31" i="1"/>
  <c r="BN62" i="1"/>
  <c r="Z95" i="1"/>
  <c r="Z102" i="1"/>
  <c r="BN143" i="1"/>
  <c r="BN167" i="1"/>
  <c r="Z171" i="1"/>
  <c r="BN214" i="1"/>
  <c r="Z218" i="1"/>
  <c r="BN236" i="1"/>
  <c r="BN313" i="1"/>
  <c r="BN320" i="1"/>
  <c r="Z365" i="1"/>
  <c r="Z371" i="1"/>
  <c r="Z377" i="1"/>
  <c r="BN399" i="1"/>
  <c r="Z403" i="1"/>
  <c r="BN475" i="1"/>
  <c r="X527" i="1"/>
  <c r="BN43" i="1"/>
  <c r="Y74" i="1"/>
  <c r="Y118" i="1"/>
  <c r="BP230" i="1"/>
  <c r="BN273" i="1"/>
  <c r="BN327" i="1"/>
  <c r="BN333" i="1"/>
  <c r="Y422" i="1"/>
  <c r="BN463" i="1"/>
  <c r="Z43" i="1"/>
  <c r="BN51" i="1"/>
  <c r="X528" i="1"/>
  <c r="E536" i="1"/>
  <c r="BN95" i="1"/>
  <c r="BN102" i="1"/>
  <c r="Z106" i="1"/>
  <c r="Z112" i="1"/>
  <c r="BN171" i="1"/>
  <c r="Z175" i="1"/>
  <c r="Z181" i="1"/>
  <c r="BN218" i="1"/>
  <c r="BP236" i="1"/>
  <c r="BN365" i="1"/>
  <c r="BN371" i="1"/>
  <c r="BN377" i="1"/>
  <c r="BN403" i="1"/>
  <c r="BN112" i="1"/>
  <c r="Y237" i="1"/>
  <c r="Y321" i="1"/>
  <c r="BP377" i="1"/>
  <c r="Z513" i="1"/>
  <c r="Z514" i="1" s="1"/>
  <c r="Z70" i="1"/>
  <c r="Z152" i="1"/>
  <c r="Z199" i="1"/>
  <c r="Z267" i="1"/>
  <c r="Z483" i="1"/>
  <c r="Z76" i="1"/>
  <c r="BN23" i="1"/>
  <c r="BN29" i="1"/>
  <c r="Z60" i="1"/>
  <c r="BN208" i="1"/>
  <c r="Z212" i="1"/>
  <c r="BN247" i="1"/>
  <c r="BN253" i="1"/>
  <c r="Z257" i="1"/>
  <c r="Z288" i="1"/>
  <c r="Z304" i="1"/>
  <c r="Z311" i="1"/>
  <c r="Z318" i="1"/>
  <c r="BN199" i="1"/>
  <c r="BN267" i="1"/>
  <c r="Z385" i="1"/>
  <c r="Z411" i="1"/>
  <c r="Z436" i="1"/>
  <c r="BN483" i="1"/>
  <c r="BP513" i="1"/>
  <c r="BN70" i="1"/>
  <c r="BN152" i="1"/>
  <c r="BN76" i="1"/>
  <c r="BP76" i="1"/>
  <c r="Y183" i="1"/>
  <c r="Y514" i="1"/>
  <c r="H9" i="1"/>
  <c r="A10" i="1"/>
  <c r="Y24" i="1"/>
  <c r="Y34" i="1"/>
  <c r="Y38" i="1"/>
  <c r="Y46" i="1"/>
  <c r="Y56" i="1"/>
  <c r="Y67" i="1"/>
  <c r="Y73" i="1"/>
  <c r="Y79" i="1"/>
  <c r="Y83" i="1"/>
  <c r="Y92" i="1"/>
  <c r="Y98" i="1"/>
  <c r="BP115" i="1"/>
  <c r="BN115" i="1"/>
  <c r="Z115" i="1"/>
  <c r="BP123" i="1"/>
  <c r="BN123" i="1"/>
  <c r="Z123" i="1"/>
  <c r="BP144" i="1"/>
  <c r="BN144" i="1"/>
  <c r="Z144" i="1"/>
  <c r="Z145" i="1" s="1"/>
  <c r="Y146" i="1"/>
  <c r="I536" i="1"/>
  <c r="Y154" i="1"/>
  <c r="BP149" i="1"/>
  <c r="BN149" i="1"/>
  <c r="Z149" i="1"/>
  <c r="Y153" i="1"/>
  <c r="BP158" i="1"/>
  <c r="BN158" i="1"/>
  <c r="Z158" i="1"/>
  <c r="Y160" i="1"/>
  <c r="Y163" i="1"/>
  <c r="BP162" i="1"/>
  <c r="BN162" i="1"/>
  <c r="Z162" i="1"/>
  <c r="Z163" i="1" s="1"/>
  <c r="Y164" i="1"/>
  <c r="Y177" i="1"/>
  <c r="BP166" i="1"/>
  <c r="BN166" i="1"/>
  <c r="Z166" i="1"/>
  <c r="BP170" i="1"/>
  <c r="BN170" i="1"/>
  <c r="Z170" i="1"/>
  <c r="BP174" i="1"/>
  <c r="BN174" i="1"/>
  <c r="Z174" i="1"/>
  <c r="BP186" i="1"/>
  <c r="BN186" i="1"/>
  <c r="Z186" i="1"/>
  <c r="Z187" i="1" s="1"/>
  <c r="Y188" i="1"/>
  <c r="Y191" i="1"/>
  <c r="BP190" i="1"/>
  <c r="BN190" i="1"/>
  <c r="Z190" i="1"/>
  <c r="Z191" i="1" s="1"/>
  <c r="Y192" i="1"/>
  <c r="K536" i="1"/>
  <c r="Y201" i="1"/>
  <c r="BP196" i="1"/>
  <c r="BN196" i="1"/>
  <c r="Z196" i="1"/>
  <c r="Y200" i="1"/>
  <c r="BP209" i="1"/>
  <c r="BN209" i="1"/>
  <c r="Z209" i="1"/>
  <c r="BP213" i="1"/>
  <c r="BN213" i="1"/>
  <c r="Z213" i="1"/>
  <c r="BP217" i="1"/>
  <c r="BN217" i="1"/>
  <c r="Z217" i="1"/>
  <c r="BP221" i="1"/>
  <c r="BN221" i="1"/>
  <c r="Z221" i="1"/>
  <c r="Y223" i="1"/>
  <c r="Y228" i="1"/>
  <c r="BP225" i="1"/>
  <c r="BN225" i="1"/>
  <c r="Z225" i="1"/>
  <c r="Z227" i="1" s="1"/>
  <c r="BP242" i="1"/>
  <c r="BN242" i="1"/>
  <c r="Z242" i="1"/>
  <c r="Z243" i="1" s="1"/>
  <c r="Y244" i="1"/>
  <c r="Y249" i="1"/>
  <c r="BP246" i="1"/>
  <c r="BN246" i="1"/>
  <c r="Z246" i="1"/>
  <c r="Z248" i="1" s="1"/>
  <c r="BP254" i="1"/>
  <c r="BN254" i="1"/>
  <c r="Z254" i="1"/>
  <c r="BP258" i="1"/>
  <c r="BN258" i="1"/>
  <c r="Z258" i="1"/>
  <c r="Y260" i="1"/>
  <c r="Y275" i="1"/>
  <c r="BP262" i="1"/>
  <c r="BN262" i="1"/>
  <c r="Z262" i="1"/>
  <c r="BP266" i="1"/>
  <c r="BN266" i="1"/>
  <c r="Z266" i="1"/>
  <c r="BP270" i="1"/>
  <c r="BN270" i="1"/>
  <c r="Z270" i="1"/>
  <c r="Y274" i="1"/>
  <c r="BP278" i="1"/>
  <c r="BN278" i="1"/>
  <c r="Z278" i="1"/>
  <c r="Z279" i="1" s="1"/>
  <c r="Y280" i="1"/>
  <c r="Y290" i="1"/>
  <c r="BP283" i="1"/>
  <c r="BN283" i="1"/>
  <c r="Z283" i="1"/>
  <c r="O536" i="1"/>
  <c r="Y291" i="1"/>
  <c r="BP287" i="1"/>
  <c r="BN287" i="1"/>
  <c r="Z287" i="1"/>
  <c r="BP303" i="1"/>
  <c r="BN303" i="1"/>
  <c r="Z303" i="1"/>
  <c r="BP326" i="1"/>
  <c r="BN326" i="1"/>
  <c r="Z326" i="1"/>
  <c r="Y330" i="1"/>
  <c r="BP334" i="1"/>
  <c r="BN334" i="1"/>
  <c r="Z334" i="1"/>
  <c r="Z335" i="1" s="1"/>
  <c r="Y336" i="1"/>
  <c r="S536" i="1"/>
  <c r="Y342" i="1"/>
  <c r="BP339" i="1"/>
  <c r="BN339" i="1"/>
  <c r="Z339" i="1"/>
  <c r="Y343" i="1"/>
  <c r="BP348" i="1"/>
  <c r="BN348" i="1"/>
  <c r="Z348" i="1"/>
  <c r="BP356" i="1"/>
  <c r="BN356" i="1"/>
  <c r="Z356" i="1"/>
  <c r="BP360" i="1"/>
  <c r="BN360" i="1"/>
  <c r="Z360" i="1"/>
  <c r="Y362" i="1"/>
  <c r="Y369" i="1"/>
  <c r="BP364" i="1"/>
  <c r="BN364" i="1"/>
  <c r="Z364" i="1"/>
  <c r="Y368" i="1"/>
  <c r="BP372" i="1"/>
  <c r="BN372" i="1"/>
  <c r="Z372" i="1"/>
  <c r="Z374" i="1" s="1"/>
  <c r="Y374" i="1"/>
  <c r="F536" i="1"/>
  <c r="F9" i="1"/>
  <c r="J9" i="1"/>
  <c r="Z22" i="1"/>
  <c r="Z24" i="1" s="1"/>
  <c r="BN22" i="1"/>
  <c r="BP22" i="1"/>
  <c r="X530" i="1"/>
  <c r="Y25" i="1"/>
  <c r="Z28" i="1"/>
  <c r="BN28" i="1"/>
  <c r="Z30" i="1"/>
  <c r="BN30" i="1"/>
  <c r="Z32" i="1"/>
  <c r="BN32" i="1"/>
  <c r="Z36" i="1"/>
  <c r="Z37" i="1" s="1"/>
  <c r="BN36" i="1"/>
  <c r="BP36" i="1"/>
  <c r="Z42" i="1"/>
  <c r="BN42" i="1"/>
  <c r="BP42" i="1"/>
  <c r="Z44" i="1"/>
  <c r="BN44" i="1"/>
  <c r="Y47" i="1"/>
  <c r="D536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6" i="1"/>
  <c r="Z69" i="1"/>
  <c r="BN69" i="1"/>
  <c r="BP69" i="1"/>
  <c r="Z71" i="1"/>
  <c r="BN71" i="1"/>
  <c r="Z77" i="1"/>
  <c r="Z78" i="1" s="1"/>
  <c r="BN77" i="1"/>
  <c r="Z81" i="1"/>
  <c r="Z83" i="1" s="1"/>
  <c r="BN81" i="1"/>
  <c r="BP81" i="1"/>
  <c r="Z88" i="1"/>
  <c r="BN88" i="1"/>
  <c r="Z90" i="1"/>
  <c r="BN90" i="1"/>
  <c r="Z94" i="1"/>
  <c r="BN94" i="1"/>
  <c r="BP94" i="1"/>
  <c r="Z96" i="1"/>
  <c r="BN96" i="1"/>
  <c r="G536" i="1"/>
  <c r="Y110" i="1"/>
  <c r="Z103" i="1"/>
  <c r="BN103" i="1"/>
  <c r="Z105" i="1"/>
  <c r="BN105" i="1"/>
  <c r="Z107" i="1"/>
  <c r="BN107" i="1"/>
  <c r="Y109" i="1"/>
  <c r="BP113" i="1"/>
  <c r="BN113" i="1"/>
  <c r="Z113" i="1"/>
  <c r="BP117" i="1"/>
  <c r="BN117" i="1"/>
  <c r="Z117" i="1"/>
  <c r="Y119" i="1"/>
  <c r="Y126" i="1"/>
  <c r="BP121" i="1"/>
  <c r="BN121" i="1"/>
  <c r="Z121" i="1"/>
  <c r="Y125" i="1"/>
  <c r="BP134" i="1"/>
  <c r="BN134" i="1"/>
  <c r="Z134" i="1"/>
  <c r="Z135" i="1" s="1"/>
  <c r="Y136" i="1"/>
  <c r="Y141" i="1"/>
  <c r="BP138" i="1"/>
  <c r="BN138" i="1"/>
  <c r="Z138" i="1"/>
  <c r="Z140" i="1" s="1"/>
  <c r="Y145" i="1"/>
  <c r="BP151" i="1"/>
  <c r="BN151" i="1"/>
  <c r="Z151" i="1"/>
  <c r="BP168" i="1"/>
  <c r="BN168" i="1"/>
  <c r="Z168" i="1"/>
  <c r="BP172" i="1"/>
  <c r="BN172" i="1"/>
  <c r="Z172" i="1"/>
  <c r="Y176" i="1"/>
  <c r="BP180" i="1"/>
  <c r="BN180" i="1"/>
  <c r="Z180" i="1"/>
  <c r="Y187" i="1"/>
  <c r="BP198" i="1"/>
  <c r="BN198" i="1"/>
  <c r="Z198" i="1"/>
  <c r="Y222" i="1"/>
  <c r="BP211" i="1"/>
  <c r="BN211" i="1"/>
  <c r="Z211" i="1"/>
  <c r="BP215" i="1"/>
  <c r="BN215" i="1"/>
  <c r="Z215" i="1"/>
  <c r="BP219" i="1"/>
  <c r="BN219" i="1"/>
  <c r="Z219" i="1"/>
  <c r="Y227" i="1"/>
  <c r="BP231" i="1"/>
  <c r="BN231" i="1"/>
  <c r="Z231" i="1"/>
  <c r="Z233" i="1" s="1"/>
  <c r="Y248" i="1"/>
  <c r="BP252" i="1"/>
  <c r="BN252" i="1"/>
  <c r="Z252" i="1"/>
  <c r="BP312" i="1"/>
  <c r="BN312" i="1"/>
  <c r="Z312" i="1"/>
  <c r="BP380" i="1"/>
  <c r="BN380" i="1"/>
  <c r="Z380" i="1"/>
  <c r="Y382" i="1"/>
  <c r="Y387" i="1"/>
  <c r="BP384" i="1"/>
  <c r="BN384" i="1"/>
  <c r="Z384" i="1"/>
  <c r="Y388" i="1"/>
  <c r="BP393" i="1"/>
  <c r="BN393" i="1"/>
  <c r="Z393" i="1"/>
  <c r="Y395" i="1"/>
  <c r="BP402" i="1"/>
  <c r="BN402" i="1"/>
  <c r="Z402" i="1"/>
  <c r="BP406" i="1"/>
  <c r="BN406" i="1"/>
  <c r="Z406" i="1"/>
  <c r="Y408" i="1"/>
  <c r="Y413" i="1"/>
  <c r="BP410" i="1"/>
  <c r="BN410" i="1"/>
  <c r="Z410" i="1"/>
  <c r="Y414" i="1"/>
  <c r="BP427" i="1"/>
  <c r="BN427" i="1"/>
  <c r="Z427" i="1"/>
  <c r="Z428" i="1" s="1"/>
  <c r="Y429" i="1"/>
  <c r="Y432" i="1"/>
  <c r="BP431" i="1"/>
  <c r="BN431" i="1"/>
  <c r="Z431" i="1"/>
  <c r="Z432" i="1" s="1"/>
  <c r="Y433" i="1"/>
  <c r="Y438" i="1"/>
  <c r="BP435" i="1"/>
  <c r="BN435" i="1"/>
  <c r="Z435" i="1"/>
  <c r="Y439" i="1"/>
  <c r="BP445" i="1"/>
  <c r="BN445" i="1"/>
  <c r="Z445" i="1"/>
  <c r="Y449" i="1"/>
  <c r="BP453" i="1"/>
  <c r="BN453" i="1"/>
  <c r="Z453" i="1"/>
  <c r="Y455" i="1"/>
  <c r="Y53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BP476" i="1"/>
  <c r="BN476" i="1"/>
  <c r="Z476" i="1"/>
  <c r="BP484" i="1"/>
  <c r="BN484" i="1"/>
  <c r="Z484" i="1"/>
  <c r="Y486" i="1"/>
  <c r="Y495" i="1"/>
  <c r="BP488" i="1"/>
  <c r="BN488" i="1"/>
  <c r="Z488" i="1"/>
  <c r="Y496" i="1"/>
  <c r="BP492" i="1"/>
  <c r="BN492" i="1"/>
  <c r="Z492" i="1"/>
  <c r="BP518" i="1"/>
  <c r="BN518" i="1"/>
  <c r="Z518" i="1"/>
  <c r="Z519" i="1" s="1"/>
  <c r="AA536" i="1"/>
  <c r="Y520" i="1"/>
  <c r="AB536" i="1"/>
  <c r="Y524" i="1"/>
  <c r="BP523" i="1"/>
  <c r="BN523" i="1"/>
  <c r="Z523" i="1"/>
  <c r="Z524" i="1" s="1"/>
  <c r="Y525" i="1"/>
  <c r="W536" i="1"/>
  <c r="H536" i="1"/>
  <c r="Y135" i="1"/>
  <c r="J536" i="1"/>
  <c r="Y159" i="1"/>
  <c r="L536" i="1"/>
  <c r="Y206" i="1"/>
  <c r="M536" i="1"/>
  <c r="Y243" i="1"/>
  <c r="Y259" i="1"/>
  <c r="BP256" i="1"/>
  <c r="BN256" i="1"/>
  <c r="Z256" i="1"/>
  <c r="BP264" i="1"/>
  <c r="BN264" i="1"/>
  <c r="Z264" i="1"/>
  <c r="BP268" i="1"/>
  <c r="BN268" i="1"/>
  <c r="Z268" i="1"/>
  <c r="BP272" i="1"/>
  <c r="BN272" i="1"/>
  <c r="Z272" i="1"/>
  <c r="Y279" i="1"/>
  <c r="BP285" i="1"/>
  <c r="BN285" i="1"/>
  <c r="Z285" i="1"/>
  <c r="BP289" i="1"/>
  <c r="BN289" i="1"/>
  <c r="Z289" i="1"/>
  <c r="Y294" i="1"/>
  <c r="BP293" i="1"/>
  <c r="BN293" i="1"/>
  <c r="Z293" i="1"/>
  <c r="Z294" i="1" s="1"/>
  <c r="Y295" i="1"/>
  <c r="Y298" i="1"/>
  <c r="BP297" i="1"/>
  <c r="BN297" i="1"/>
  <c r="Z297" i="1"/>
  <c r="Z298" i="1" s="1"/>
  <c r="Y299" i="1"/>
  <c r="Y306" i="1"/>
  <c r="BP301" i="1"/>
  <c r="BN301" i="1"/>
  <c r="Z301" i="1"/>
  <c r="Z305" i="1" s="1"/>
  <c r="Y305" i="1"/>
  <c r="BP310" i="1"/>
  <c r="BN310" i="1"/>
  <c r="Z310" i="1"/>
  <c r="Y314" i="1"/>
  <c r="BP319" i="1"/>
  <c r="BN319" i="1"/>
  <c r="Z319" i="1"/>
  <c r="BP328" i="1"/>
  <c r="BN328" i="1"/>
  <c r="Z328" i="1"/>
  <c r="Z330" i="1" s="1"/>
  <c r="Y335" i="1"/>
  <c r="BP341" i="1"/>
  <c r="BN341" i="1"/>
  <c r="Z341" i="1"/>
  <c r="T536" i="1"/>
  <c r="Y351" i="1"/>
  <c r="BP346" i="1"/>
  <c r="BN346" i="1"/>
  <c r="Z346" i="1"/>
  <c r="BP350" i="1"/>
  <c r="BN350" i="1"/>
  <c r="Z350" i="1"/>
  <c r="Y352" i="1"/>
  <c r="Y361" i="1"/>
  <c r="BP354" i="1"/>
  <c r="BN354" i="1"/>
  <c r="Z354" i="1"/>
  <c r="BP358" i="1"/>
  <c r="BN358" i="1"/>
  <c r="Z358" i="1"/>
  <c r="BP366" i="1"/>
  <c r="BN366" i="1"/>
  <c r="Z366" i="1"/>
  <c r="Y375" i="1"/>
  <c r="BP378" i="1"/>
  <c r="BN378" i="1"/>
  <c r="Z378" i="1"/>
  <c r="Z381" i="1" s="1"/>
  <c r="BP386" i="1"/>
  <c r="BN386" i="1"/>
  <c r="Z386" i="1"/>
  <c r="U536" i="1"/>
  <c r="Y394" i="1"/>
  <c r="BP391" i="1"/>
  <c r="BN391" i="1"/>
  <c r="Z391" i="1"/>
  <c r="Z394" i="1" s="1"/>
  <c r="P536" i="1"/>
  <c r="Y315" i="1"/>
  <c r="Q536" i="1"/>
  <c r="Y322" i="1"/>
  <c r="R536" i="1"/>
  <c r="Y331" i="1"/>
  <c r="BP400" i="1"/>
  <c r="BN400" i="1"/>
  <c r="Z400" i="1"/>
  <c r="BP404" i="1"/>
  <c r="BN404" i="1"/>
  <c r="Z404" i="1"/>
  <c r="BP412" i="1"/>
  <c r="BN412" i="1"/>
  <c r="Z412" i="1"/>
  <c r="Y419" i="1"/>
  <c r="BP416" i="1"/>
  <c r="BN416" i="1"/>
  <c r="Z416" i="1"/>
  <c r="Z418" i="1" s="1"/>
  <c r="Y428" i="1"/>
  <c r="BP437" i="1"/>
  <c r="BN437" i="1"/>
  <c r="Z437" i="1"/>
  <c r="X536" i="1"/>
  <c r="Y450" i="1"/>
  <c r="BP443" i="1"/>
  <c r="BN443" i="1"/>
  <c r="Z443" i="1"/>
  <c r="BP447" i="1"/>
  <c r="BN447" i="1"/>
  <c r="Z447" i="1"/>
  <c r="Y454" i="1"/>
  <c r="V536" i="1"/>
  <c r="Y407" i="1"/>
  <c r="BP464" i="1"/>
  <c r="BN464" i="1"/>
  <c r="Z464" i="1"/>
  <c r="Z536" i="1"/>
  <c r="Y479" i="1"/>
  <c r="BP470" i="1"/>
  <c r="BN470" i="1"/>
  <c r="Z470" i="1"/>
  <c r="BP474" i="1"/>
  <c r="BN474" i="1"/>
  <c r="Z474" i="1"/>
  <c r="BP478" i="1"/>
  <c r="BN478" i="1"/>
  <c r="Z478" i="1"/>
  <c r="Y480" i="1"/>
  <c r="Y485" i="1"/>
  <c r="BP482" i="1"/>
  <c r="BN482" i="1"/>
  <c r="Z482" i="1"/>
  <c r="Z485" i="1" s="1"/>
  <c r="BP490" i="1"/>
  <c r="BN490" i="1"/>
  <c r="Z490" i="1"/>
  <c r="BP494" i="1"/>
  <c r="BN494" i="1"/>
  <c r="Z494" i="1"/>
  <c r="Y501" i="1"/>
  <c r="BP500" i="1"/>
  <c r="BN500" i="1"/>
  <c r="Z500" i="1"/>
  <c r="Z501" i="1" s="1"/>
  <c r="Y502" i="1"/>
  <c r="Y505" i="1"/>
  <c r="BP504" i="1"/>
  <c r="BN504" i="1"/>
  <c r="Z504" i="1"/>
  <c r="Z505" i="1" s="1"/>
  <c r="Y506" i="1"/>
  <c r="Y511" i="1"/>
  <c r="BP508" i="1"/>
  <c r="BN508" i="1"/>
  <c r="Z508" i="1"/>
  <c r="Y519" i="1"/>
  <c r="Z55" i="1" l="1"/>
  <c r="Z321" i="1"/>
  <c r="X529" i="1"/>
  <c r="Z182" i="1"/>
  <c r="Z125" i="1"/>
  <c r="Z159" i="1"/>
  <c r="Z314" i="1"/>
  <c r="Z109" i="1"/>
  <c r="Z407" i="1"/>
  <c r="Z454" i="1"/>
  <c r="Z222" i="1"/>
  <c r="Z118" i="1"/>
  <c r="Z91" i="1"/>
  <c r="Z510" i="1"/>
  <c r="Z33" i="1"/>
  <c r="Z479" i="1"/>
  <c r="Z449" i="1"/>
  <c r="Z361" i="1"/>
  <c r="Z351" i="1"/>
  <c r="Z495" i="1"/>
  <c r="Z438" i="1"/>
  <c r="Z413" i="1"/>
  <c r="Z387" i="1"/>
  <c r="Z98" i="1"/>
  <c r="Z73" i="1"/>
  <c r="Z66" i="1"/>
  <c r="Z46" i="1"/>
  <c r="Y526" i="1"/>
  <c r="Y528" i="1"/>
  <c r="Z368" i="1"/>
  <c r="Z274" i="1"/>
  <c r="Z465" i="1"/>
  <c r="Z259" i="1"/>
  <c r="Y527" i="1"/>
  <c r="Y529" i="1" s="1"/>
  <c r="Z342" i="1"/>
  <c r="Z290" i="1"/>
  <c r="Z200" i="1"/>
  <c r="Z176" i="1"/>
  <c r="Z153" i="1"/>
  <c r="Y530" i="1"/>
  <c r="Z531" i="1" l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<sst xmlns="http://schemas.openxmlformats.org/spreadsheetml/2006/main" count="2355" uniqueCount="857">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</sst>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677" t="s">
        <v>0</v>
      </c>
      <c r="E1" s="626"/>
      <c r="F1" s="626"/>
      <c r="G1" s="13" t="s">
        <v>1</v>
      </c>
      <c r="H1" s="677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602"/>
      <c r="Q3" s="602"/>
      <c r="R3" s="602"/>
      <c r="S3" s="602"/>
      <c r="T3" s="602"/>
      <c r="U3" s="602"/>
      <c r="V3" s="602"/>
      <c r="W3" s="602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714" t="s">
        <v>8</v>
      </c>
      <c r="B5" s="674"/>
      <c r="C5" s="675"/>
      <c r="D5" s="682"/>
      <c r="E5" s="683"/>
      <c r="F5" s="897" t="s">
        <v>9</v>
      </c>
      <c r="G5" s="675"/>
      <c r="H5" s="682" t="s">
        <v>856</v>
      </c>
      <c r="I5" s="841"/>
      <c r="J5" s="841"/>
      <c r="K5" s="841"/>
      <c r="L5" s="841"/>
      <c r="M5" s="683"/>
      <c r="N5" s="58"/>
      <c r="P5" s="24" t="s">
        <v>10</v>
      </c>
      <c r="Q5" s="901">
        <v>46207</v>
      </c>
      <c r="R5" s="713"/>
      <c r="T5" s="783" t="s">
        <v>11</v>
      </c>
      <c r="U5" s="681"/>
      <c r="V5" s="785" t="s">
        <v>12</v>
      </c>
      <c r="W5" s="713"/>
      <c r="AB5" s="52"/>
      <c r="AC5" s="52"/>
      <c r="AD5" s="52"/>
      <c r="AE5" s="52"/>
    </row>
    <row r="6" spans="1:32" s="585" customFormat="1" ht="24" customHeight="1" x14ac:dyDescent="0.2">
      <c r="A6" s="714" t="s">
        <v>13</v>
      </c>
      <c r="B6" s="674"/>
      <c r="C6" s="675"/>
      <c r="D6" s="849" t="s">
        <v>829</v>
      </c>
      <c r="E6" s="850"/>
      <c r="F6" s="850"/>
      <c r="G6" s="850"/>
      <c r="H6" s="850"/>
      <c r="I6" s="850"/>
      <c r="J6" s="850"/>
      <c r="K6" s="850"/>
      <c r="L6" s="850"/>
      <c r="M6" s="713"/>
      <c r="N6" s="59"/>
      <c r="P6" s="24" t="s">
        <v>14</v>
      </c>
      <c r="Q6" s="910" t="str">
        <f>IF(Q5=0," ",CHOOSE(WEEKDAY(Q5,2),"Понедельник","Вторник","Среда","Четверг","Пятница","Суббота","Воскресенье"))</f>
        <v>Суббота</v>
      </c>
      <c r="R6" s="596"/>
      <c r="T6" s="789" t="s">
        <v>15</v>
      </c>
      <c r="U6" s="681"/>
      <c r="V6" s="830" t="s">
        <v>16</v>
      </c>
      <c r="W6" s="648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640" t="str">
        <f>IFERROR(VLOOKUP(DeliveryAddress,Table,3,0),1)</f>
        <v>5</v>
      </c>
      <c r="E7" s="641"/>
      <c r="F7" s="641"/>
      <c r="G7" s="641"/>
      <c r="H7" s="641"/>
      <c r="I7" s="641"/>
      <c r="J7" s="641"/>
      <c r="K7" s="641"/>
      <c r="L7" s="641"/>
      <c r="M7" s="642"/>
      <c r="N7" s="60"/>
      <c r="P7" s="24"/>
      <c r="Q7" s="43"/>
      <c r="R7" s="43"/>
      <c r="T7" s="602"/>
      <c r="U7" s="681"/>
      <c r="V7" s="831"/>
      <c r="W7" s="832"/>
      <c r="AB7" s="52"/>
      <c r="AC7" s="52"/>
      <c r="AD7" s="52"/>
      <c r="AE7" s="52"/>
    </row>
    <row r="8" spans="1:32" s="585" customFormat="1" ht="25.5" customHeight="1" x14ac:dyDescent="0.2">
      <c r="A8" s="934" t="s">
        <v>17</v>
      </c>
      <c r="B8" s="612"/>
      <c r="C8" s="613"/>
      <c r="D8" s="660"/>
      <c r="E8" s="661"/>
      <c r="F8" s="661"/>
      <c r="G8" s="661"/>
      <c r="H8" s="661"/>
      <c r="I8" s="661"/>
      <c r="J8" s="661"/>
      <c r="K8" s="661"/>
      <c r="L8" s="661"/>
      <c r="M8" s="662"/>
      <c r="N8" s="61"/>
      <c r="P8" s="24" t="s">
        <v>18</v>
      </c>
      <c r="Q8" s="736">
        <v>0.41666666666666669</v>
      </c>
      <c r="R8" s="642"/>
      <c r="T8" s="602"/>
      <c r="U8" s="681"/>
      <c r="V8" s="831"/>
      <c r="W8" s="832"/>
      <c r="AB8" s="52"/>
      <c r="AC8" s="52"/>
      <c r="AD8" s="52"/>
      <c r="AE8" s="52"/>
    </row>
    <row r="9" spans="1:32" s="585" customFormat="1" ht="39.950000000000003" customHeight="1" x14ac:dyDescent="0.2">
      <c r="A9" s="7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2"/>
      <c r="C9" s="602"/>
      <c r="D9" s="750"/>
      <c r="E9" s="615"/>
      <c r="F9" s="7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2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583"/>
      <c r="P9" s="27" t="s">
        <v>19</v>
      </c>
      <c r="Q9" s="710"/>
      <c r="R9" s="711"/>
      <c r="T9" s="602"/>
      <c r="U9" s="681"/>
      <c r="V9" s="833"/>
      <c r="W9" s="834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7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2"/>
      <c r="C10" s="602"/>
      <c r="D10" s="750"/>
      <c r="E10" s="615"/>
      <c r="F10" s="7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2"/>
      <c r="H10" s="817" t="str">
        <f>IFERROR(VLOOKUP($D$10,Proxy,2,FALSE),"")</f>
        <v/>
      </c>
      <c r="I10" s="602"/>
      <c r="J10" s="602"/>
      <c r="K10" s="602"/>
      <c r="L10" s="602"/>
      <c r="M10" s="602"/>
      <c r="N10" s="584"/>
      <c r="P10" s="27" t="s">
        <v>20</v>
      </c>
      <c r="Q10" s="790"/>
      <c r="R10" s="791"/>
      <c r="U10" s="24" t="s">
        <v>21</v>
      </c>
      <c r="V10" s="647" t="s">
        <v>22</v>
      </c>
      <c r="W10" s="648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712"/>
      <c r="R11" s="713"/>
      <c r="U11" s="24" t="s">
        <v>25</v>
      </c>
      <c r="V11" s="845" t="s">
        <v>26</v>
      </c>
      <c r="W11" s="711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76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36"/>
      <c r="R12" s="642"/>
      <c r="S12" s="25"/>
      <c r="U12" s="24"/>
      <c r="V12" s="626"/>
      <c r="W12" s="602"/>
      <c r="AB12" s="52"/>
      <c r="AC12" s="52"/>
      <c r="AD12" s="52"/>
      <c r="AE12" s="52"/>
    </row>
    <row r="13" spans="1:32" s="585" customFormat="1" ht="23.25" customHeight="1" x14ac:dyDescent="0.2">
      <c r="A13" s="776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7"/>
      <c r="P13" s="27" t="s">
        <v>30</v>
      </c>
      <c r="Q13" s="845"/>
      <c r="R13" s="711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76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97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765" t="s">
        <v>33</v>
      </c>
      <c r="Q15" s="626"/>
      <c r="R15" s="626"/>
      <c r="S15" s="626"/>
      <c r="T15" s="62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35" t="s">
        <v>34</v>
      </c>
      <c r="B17" s="635" t="s">
        <v>35</v>
      </c>
      <c r="C17" s="745" t="s">
        <v>36</v>
      </c>
      <c r="D17" s="635" t="s">
        <v>37</v>
      </c>
      <c r="E17" s="718"/>
      <c r="F17" s="635" t="s">
        <v>38</v>
      </c>
      <c r="G17" s="635" t="s">
        <v>39</v>
      </c>
      <c r="H17" s="635" t="s">
        <v>40</v>
      </c>
      <c r="I17" s="635" t="s">
        <v>41</v>
      </c>
      <c r="J17" s="635" t="s">
        <v>42</v>
      </c>
      <c r="K17" s="635" t="s">
        <v>43</v>
      </c>
      <c r="L17" s="635" t="s">
        <v>44</v>
      </c>
      <c r="M17" s="635" t="s">
        <v>45</v>
      </c>
      <c r="N17" s="635" t="s">
        <v>46</v>
      </c>
      <c r="O17" s="635" t="s">
        <v>47</v>
      </c>
      <c r="P17" s="635" t="s">
        <v>48</v>
      </c>
      <c r="Q17" s="717"/>
      <c r="R17" s="717"/>
      <c r="S17" s="717"/>
      <c r="T17" s="718"/>
      <c r="U17" s="938" t="s">
        <v>49</v>
      </c>
      <c r="V17" s="675"/>
      <c r="W17" s="635" t="s">
        <v>50</v>
      </c>
      <c r="X17" s="635" t="s">
        <v>51</v>
      </c>
      <c r="Y17" s="915" t="s">
        <v>52</v>
      </c>
      <c r="Z17" s="825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1"/>
      <c r="AF17" s="892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719"/>
      <c r="E18" s="721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719"/>
      <c r="Q18" s="720"/>
      <c r="R18" s="720"/>
      <c r="S18" s="720"/>
      <c r="T18" s="721"/>
      <c r="U18" s="67" t="s">
        <v>59</v>
      </c>
      <c r="V18" s="67" t="s">
        <v>60</v>
      </c>
      <c r="W18" s="636"/>
      <c r="X18" s="636"/>
      <c r="Y18" s="916"/>
      <c r="Z18" s="826"/>
      <c r="AA18" s="816"/>
      <c r="AB18" s="816"/>
      <c r="AC18" s="816"/>
      <c r="AD18" s="893"/>
      <c r="AE18" s="894"/>
      <c r="AF18" s="895"/>
      <c r="AG18" s="66"/>
      <c r="BD18" s="65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49"/>
      <c r="AB19" s="49"/>
      <c r="AC19" s="49"/>
    </row>
    <row r="20" spans="1:68" ht="16.5" hidden="1" customHeight="1" x14ac:dyDescent="0.25">
      <c r="A20" s="607" t="s">
        <v>61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586"/>
      <c r="AB20" s="586"/>
      <c r="AC20" s="586"/>
    </row>
    <row r="21" spans="1:68" ht="14.25" hidden="1" customHeight="1" x14ac:dyDescent="0.25">
      <c r="A21" s="606" t="s">
        <v>62</v>
      </c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587"/>
      <c r="AB21" s="587"/>
      <c r="AC21" s="587"/>
    </row>
    <row r="22" spans="1:68" ht="27" hidden="1" customHeight="1" x14ac:dyDescent="0.25">
      <c r="A22" s="54" t="s">
        <v>63</v>
      </c>
      <c r="B22" s="54" t="s">
        <v>64</v>
      </c>
      <c r="C22" s="32">
        <v>4301031278</v>
      </c>
      <c r="D22" s="595">
        <v>4680115886643</v>
      </c>
      <c r="E22" s="596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8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2">
        <v>4301031508</v>
      </c>
      <c r="D23" s="595">
        <v>4680115889071</v>
      </c>
      <c r="E23" s="596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76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1"/>
      <c r="B24" s="602"/>
      <c r="C24" s="602"/>
      <c r="D24" s="602"/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3"/>
      <c r="P24" s="611" t="s">
        <v>72</v>
      </c>
      <c r="Q24" s="612"/>
      <c r="R24" s="612"/>
      <c r="S24" s="612"/>
      <c r="T24" s="612"/>
      <c r="U24" s="612"/>
      <c r="V24" s="613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hidden="1" x14ac:dyDescent="0.2">
      <c r="A25" s="602"/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3"/>
      <c r="P25" s="611" t="s">
        <v>72</v>
      </c>
      <c r="Q25" s="612"/>
      <c r="R25" s="612"/>
      <c r="S25" s="612"/>
      <c r="T25" s="612"/>
      <c r="U25" s="612"/>
      <c r="V25" s="613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hidden="1" customHeight="1" x14ac:dyDescent="0.25">
      <c r="A26" s="606" t="s">
        <v>74</v>
      </c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  <c r="S26" s="602"/>
      <c r="T26" s="602"/>
      <c r="U26" s="602"/>
      <c r="V26" s="602"/>
      <c r="W26" s="602"/>
      <c r="X26" s="602"/>
      <c r="Y26" s="602"/>
      <c r="Z26" s="602"/>
      <c r="AA26" s="587"/>
      <c r="AB26" s="587"/>
      <c r="AC26" s="587"/>
    </row>
    <row r="27" spans="1:68" ht="27" hidden="1" customHeight="1" x14ac:dyDescent="0.25">
      <c r="A27" s="54" t="s">
        <v>75</v>
      </c>
      <c r="B27" s="54" t="s">
        <v>76</v>
      </c>
      <c r="C27" s="32">
        <v>4301051866</v>
      </c>
      <c r="D27" s="595">
        <v>4680115885912</v>
      </c>
      <c r="E27" s="596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2">
        <v>4301051776</v>
      </c>
      <c r="D28" s="595">
        <v>4607091388237</v>
      </c>
      <c r="E28" s="596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2">
        <v>4301052063</v>
      </c>
      <c r="D29" s="595">
        <v>4680115887350</v>
      </c>
      <c r="E29" s="596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5"/>
      <c r="V29" s="35"/>
      <c r="W29" s="36" t="s">
        <v>67</v>
      </c>
      <c r="X29" s="591">
        <v>0</v>
      </c>
      <c r="Y29" s="592">
        <f t="shared" si="0"/>
        <v>0</v>
      </c>
      <c r="Z29" s="37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2">
        <v>4301051863</v>
      </c>
      <c r="D30" s="595">
        <v>4680115885905</v>
      </c>
      <c r="E30" s="596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2">
        <v>4301052078</v>
      </c>
      <c r="D31" s="595">
        <v>4680115887657</v>
      </c>
      <c r="E31" s="596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66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2">
        <v>4301052071</v>
      </c>
      <c r="D32" s="595">
        <v>4680115887619</v>
      </c>
      <c r="E32" s="596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9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1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3"/>
      <c r="P33" s="611" t="s">
        <v>72</v>
      </c>
      <c r="Q33" s="612"/>
      <c r="R33" s="612"/>
      <c r="S33" s="612"/>
      <c r="T33" s="612"/>
      <c r="U33" s="612"/>
      <c r="V33" s="613"/>
      <c r="W33" s="38" t="s">
        <v>73</v>
      </c>
      <c r="X33" s="593">
        <f>IFERROR(X27/H27,"0")+IFERROR(X28/H28,"0")+IFERROR(X29/H29,"0")+IFERROR(X30/H30,"0")+IFERROR(X31/H31,"0")+IFERROR(X32/H32,"0")</f>
        <v>0</v>
      </c>
      <c r="Y33" s="593">
        <f>IFERROR(Y27/H27,"0")+IFERROR(Y28/H28,"0")+IFERROR(Y29/H29,"0")+IFERROR(Y30/H30,"0")+IFERROR(Y31/H31,"0")+IFERROR(Y32/H32,"0")</f>
        <v>0</v>
      </c>
      <c r="Z33" s="593">
        <f>IFERROR(IF(Z27="",0,Z27),"0")+IFERROR(IF(Z28="",0,Z28),"0")+IFERROR(IF(Z29="",0,Z29),"0")+IFERROR(IF(Z30="",0,Z30),"0")+IFERROR(IF(Z31="",0,Z31),"0")+IFERROR(IF(Z32="",0,Z32),"0")</f>
        <v>0</v>
      </c>
      <c r="AA33" s="594"/>
      <c r="AB33" s="594"/>
      <c r="AC33" s="594"/>
    </row>
    <row r="34" spans="1:68" hidden="1" x14ac:dyDescent="0.2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3"/>
      <c r="P34" s="611" t="s">
        <v>72</v>
      </c>
      <c r="Q34" s="612"/>
      <c r="R34" s="612"/>
      <c r="S34" s="612"/>
      <c r="T34" s="612"/>
      <c r="U34" s="612"/>
      <c r="V34" s="613"/>
      <c r="W34" s="38" t="s">
        <v>67</v>
      </c>
      <c r="X34" s="593">
        <f>IFERROR(SUM(X27:X32),"0")</f>
        <v>0</v>
      </c>
      <c r="Y34" s="593">
        <f>IFERROR(SUM(Y27:Y32),"0")</f>
        <v>0</v>
      </c>
      <c r="Z34" s="38"/>
      <c r="AA34" s="594"/>
      <c r="AB34" s="594"/>
      <c r="AC34" s="594"/>
    </row>
    <row r="35" spans="1:68" ht="14.25" hidden="1" customHeight="1" x14ac:dyDescent="0.25">
      <c r="A35" s="606" t="s">
        <v>95</v>
      </c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587"/>
      <c r="AB35" s="587"/>
      <c r="AC35" s="587"/>
    </row>
    <row r="36" spans="1:68" ht="27" hidden="1" customHeight="1" x14ac:dyDescent="0.25">
      <c r="A36" s="54" t="s">
        <v>96</v>
      </c>
      <c r="B36" s="54" t="s">
        <v>97</v>
      </c>
      <c r="C36" s="32">
        <v>4301032013</v>
      </c>
      <c r="D36" s="595">
        <v>4607091388503</v>
      </c>
      <c r="E36" s="596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8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1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3"/>
      <c r="P37" s="611" t="s">
        <v>72</v>
      </c>
      <c r="Q37" s="612"/>
      <c r="R37" s="612"/>
      <c r="S37" s="612"/>
      <c r="T37" s="612"/>
      <c r="U37" s="612"/>
      <c r="V37" s="613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hidden="1" x14ac:dyDescent="0.2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3"/>
      <c r="P38" s="611" t="s">
        <v>72</v>
      </c>
      <c r="Q38" s="612"/>
      <c r="R38" s="612"/>
      <c r="S38" s="612"/>
      <c r="T38" s="612"/>
      <c r="U38" s="612"/>
      <c r="V38" s="613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hidden="1" customHeight="1" x14ac:dyDescent="0.2">
      <c r="A39" s="759" t="s">
        <v>101</v>
      </c>
      <c r="B39" s="760"/>
      <c r="C39" s="760"/>
      <c r="D39" s="760"/>
      <c r="E39" s="760"/>
      <c r="F39" s="760"/>
      <c r="G39" s="760"/>
      <c r="H39" s="760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49"/>
      <c r="AB39" s="49"/>
      <c r="AC39" s="49"/>
    </row>
    <row r="40" spans="1:68" ht="16.5" hidden="1" customHeight="1" x14ac:dyDescent="0.25">
      <c r="A40" s="607" t="s">
        <v>102</v>
      </c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602"/>
      <c r="Z40" s="602"/>
      <c r="AA40" s="586"/>
      <c r="AB40" s="586"/>
      <c r="AC40" s="586"/>
    </row>
    <row r="41" spans="1:68" ht="14.25" hidden="1" customHeight="1" x14ac:dyDescent="0.25">
      <c r="A41" s="606" t="s">
        <v>74</v>
      </c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587"/>
      <c r="AB41" s="587"/>
      <c r="AC41" s="587"/>
    </row>
    <row r="42" spans="1:68" ht="27" hidden="1" customHeight="1" x14ac:dyDescent="0.25">
      <c r="A42" s="54" t="s">
        <v>103</v>
      </c>
      <c r="B42" s="54" t="s">
        <v>104</v>
      </c>
      <c r="C42" s="32">
        <v>4301052198</v>
      </c>
      <c r="D42" s="595">
        <v>4680115888463</v>
      </c>
      <c r="E42" s="596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2">
        <v>4301052202</v>
      </c>
      <c r="D43" s="595">
        <v>4680115888494</v>
      </c>
      <c r="E43" s="596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76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2">
        <v>4301052184</v>
      </c>
      <c r="D44" s="595">
        <v>4680115888272</v>
      </c>
      <c r="E44" s="596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66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2">
        <v>4301052188</v>
      </c>
      <c r="D45" s="595">
        <v>4680115888364</v>
      </c>
      <c r="E45" s="596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3"/>
      <c r="P46" s="611" t="s">
        <v>72</v>
      </c>
      <c r="Q46" s="612"/>
      <c r="R46" s="612"/>
      <c r="S46" s="612"/>
      <c r="T46" s="612"/>
      <c r="U46" s="612"/>
      <c r="V46" s="613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hidden="1" x14ac:dyDescent="0.2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3"/>
      <c r="P47" s="611" t="s">
        <v>72</v>
      </c>
      <c r="Q47" s="612"/>
      <c r="R47" s="612"/>
      <c r="S47" s="612"/>
      <c r="T47" s="612"/>
      <c r="U47" s="612"/>
      <c r="V47" s="613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hidden="1" customHeight="1" x14ac:dyDescent="0.2">
      <c r="A48" s="759" t="s">
        <v>115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49"/>
      <c r="AB48" s="49"/>
      <c r="AC48" s="49"/>
    </row>
    <row r="49" spans="1:68" ht="16.5" hidden="1" customHeight="1" x14ac:dyDescent="0.25">
      <c r="A49" s="607" t="s">
        <v>116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2"/>
      <c r="AA49" s="586"/>
      <c r="AB49" s="586"/>
      <c r="AC49" s="586"/>
    </row>
    <row r="50" spans="1:68" ht="14.25" hidden="1" customHeight="1" x14ac:dyDescent="0.25">
      <c r="A50" s="606" t="s">
        <v>117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587"/>
      <c r="AB50" s="587"/>
      <c r="AC50" s="587"/>
    </row>
    <row r="51" spans="1:68" ht="16.5" customHeight="1" x14ac:dyDescent="0.25">
      <c r="A51" s="54" t="s">
        <v>118</v>
      </c>
      <c r="B51" s="54" t="s">
        <v>119</v>
      </c>
      <c r="C51" s="32">
        <v>4301011380</v>
      </c>
      <c r="D51" s="595">
        <v>4607091385670</v>
      </c>
      <c r="E51" s="596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5"/>
      <c r="V51" s="35"/>
      <c r="W51" s="36" t="s">
        <v>67</v>
      </c>
      <c r="X51" s="591">
        <v>701</v>
      </c>
      <c r="Y51" s="592">
        <f>IFERROR(IF(X51="",0,CEILING((X51/$H51),1)*$H51),"")</f>
        <v>702</v>
      </c>
      <c r="Z51" s="37">
        <f>IFERROR(IF(Y51=0,"",ROUNDUP(Y51/H51,0)*0.01898),"")</f>
        <v>1.2337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727.61203703703711</v>
      </c>
      <c r="BN51" s="64">
        <f>IFERROR(Y51*I51/H51,"0")</f>
        <v>728.65000000000009</v>
      </c>
      <c r="BO51" s="64">
        <f>IFERROR(1/J51*(X51/H51),"0")</f>
        <v>1.0141782407407407</v>
      </c>
      <c r="BP51" s="64">
        <f>IFERROR(1/J51*(Y51/H51),"0")</f>
        <v>1.015625</v>
      </c>
    </row>
    <row r="52" spans="1:68" ht="27" hidden="1" customHeight="1" x14ac:dyDescent="0.25">
      <c r="A52" s="54" t="s">
        <v>123</v>
      </c>
      <c r="B52" s="54" t="s">
        <v>124</v>
      </c>
      <c r="C52" s="32">
        <v>4301012053</v>
      </c>
      <c r="D52" s="595">
        <v>4680115887725</v>
      </c>
      <c r="E52" s="596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7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2">
        <v>4301011382</v>
      </c>
      <c r="D53" s="595">
        <v>4607091385687</v>
      </c>
      <c r="E53" s="596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2">
        <v>4301011565</v>
      </c>
      <c r="D54" s="595">
        <v>4680115882539</v>
      </c>
      <c r="E54" s="596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8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5"/>
      <c r="V54" s="35"/>
      <c r="W54" s="36" t="s">
        <v>67</v>
      </c>
      <c r="X54" s="591">
        <v>0</v>
      </c>
      <c r="Y54" s="592">
        <f>IFERROR(IF(X54="",0,CEILING((X54/$H54),1)*$H54),"")</f>
        <v>0</v>
      </c>
      <c r="Z54" s="37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1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3"/>
      <c r="P55" s="611" t="s">
        <v>72</v>
      </c>
      <c r="Q55" s="612"/>
      <c r="R55" s="612"/>
      <c r="S55" s="612"/>
      <c r="T55" s="612"/>
      <c r="U55" s="612"/>
      <c r="V55" s="613"/>
      <c r="W55" s="38" t="s">
        <v>73</v>
      </c>
      <c r="X55" s="593">
        <f>IFERROR(X51/H51,"0")+IFERROR(X52/H52,"0")+IFERROR(X53/H53,"0")+IFERROR(X54/H54,"0")</f>
        <v>64.907407407407405</v>
      </c>
      <c r="Y55" s="593">
        <f>IFERROR(Y51/H51,"0")+IFERROR(Y52/H52,"0")+IFERROR(Y53/H53,"0")+IFERROR(Y54/H54,"0")</f>
        <v>65</v>
      </c>
      <c r="Z55" s="593">
        <f>IFERROR(IF(Z51="",0,Z51),"0")+IFERROR(IF(Z52="",0,Z52),"0")+IFERROR(IF(Z53="",0,Z53),"0")+IFERROR(IF(Z54="",0,Z54),"0")</f>
        <v>1.2337</v>
      </c>
      <c r="AA55" s="594"/>
      <c r="AB55" s="594"/>
      <c r="AC55" s="594"/>
    </row>
    <row r="56" spans="1:68" x14ac:dyDescent="0.2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3"/>
      <c r="P56" s="611" t="s">
        <v>72</v>
      </c>
      <c r="Q56" s="612"/>
      <c r="R56" s="612"/>
      <c r="S56" s="612"/>
      <c r="T56" s="612"/>
      <c r="U56" s="612"/>
      <c r="V56" s="613"/>
      <c r="W56" s="38" t="s">
        <v>67</v>
      </c>
      <c r="X56" s="593">
        <f>IFERROR(SUM(X51:X54),"0")</f>
        <v>701</v>
      </c>
      <c r="Y56" s="593">
        <f>IFERROR(SUM(Y51:Y54),"0")</f>
        <v>702</v>
      </c>
      <c r="Z56" s="38"/>
      <c r="AA56" s="594"/>
      <c r="AB56" s="594"/>
      <c r="AC56" s="594"/>
    </row>
    <row r="57" spans="1:68" ht="16.5" hidden="1" customHeight="1" x14ac:dyDescent="0.25">
      <c r="A57" s="607" t="s">
        <v>132</v>
      </c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586"/>
      <c r="AB57" s="586"/>
      <c r="AC57" s="586"/>
    </row>
    <row r="58" spans="1:68" ht="14.25" hidden="1" customHeight="1" x14ac:dyDescent="0.25">
      <c r="A58" s="606" t="s">
        <v>117</v>
      </c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587"/>
      <c r="AB58" s="587"/>
      <c r="AC58" s="587"/>
    </row>
    <row r="59" spans="1:68" ht="27" customHeight="1" x14ac:dyDescent="0.25">
      <c r="A59" s="54" t="s">
        <v>133</v>
      </c>
      <c r="B59" s="54" t="s">
        <v>134</v>
      </c>
      <c r="C59" s="32">
        <v>4301012030</v>
      </c>
      <c r="D59" s="595">
        <v>4680115885882</v>
      </c>
      <c r="E59" s="596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8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5"/>
      <c r="V59" s="35"/>
      <c r="W59" s="36" t="s">
        <v>67</v>
      </c>
      <c r="X59" s="591">
        <v>16</v>
      </c>
      <c r="Y59" s="592">
        <f t="shared" ref="Y59:Y65" si="6">IFERROR(IF(X59="",0,CEILING((X59/$H59),1)*$H59),"")</f>
        <v>22.4</v>
      </c>
      <c r="Z59" s="37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16.585714285714285</v>
      </c>
      <c r="BN59" s="64">
        <f t="shared" ref="BN59:BN65" si="8">IFERROR(Y59*I59/H59,"0")</f>
        <v>23.22</v>
      </c>
      <c r="BO59" s="64">
        <f t="shared" ref="BO59:BO65" si="9">IFERROR(1/J59*(X59/H59),"0")</f>
        <v>2.2321428571428572E-2</v>
      </c>
      <c r="BP59" s="64">
        <f t="shared" ref="BP59:BP65" si="10">IFERROR(1/J59*(Y59/H59),"0")</f>
        <v>3.125E-2</v>
      </c>
    </row>
    <row r="60" spans="1:68" ht="27" hidden="1" customHeight="1" x14ac:dyDescent="0.25">
      <c r="A60" s="54" t="s">
        <v>133</v>
      </c>
      <c r="B60" s="54" t="s">
        <v>136</v>
      </c>
      <c r="C60" s="32">
        <v>4301012161</v>
      </c>
      <c r="D60" s="595">
        <v>4680115885882</v>
      </c>
      <c r="E60" s="596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2">
        <v>4301011816</v>
      </c>
      <c r="D61" s="595">
        <v>4680115881426</v>
      </c>
      <c r="E61" s="596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5"/>
      <c r="V61" s="35"/>
      <c r="W61" s="36" t="s">
        <v>67</v>
      </c>
      <c r="X61" s="591">
        <v>173</v>
      </c>
      <c r="Y61" s="592">
        <f t="shared" si="6"/>
        <v>183.60000000000002</v>
      </c>
      <c r="Z61" s="37">
        <f>IFERROR(IF(Y61=0,"",ROUNDUP(Y61/H61,0)*0.01898),"")</f>
        <v>0.32266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179.5675925925926</v>
      </c>
      <c r="BN61" s="64">
        <f t="shared" si="8"/>
        <v>190.57000000000002</v>
      </c>
      <c r="BO61" s="64">
        <f t="shared" si="9"/>
        <v>0.25028935185185186</v>
      </c>
      <c r="BP61" s="64">
        <f t="shared" si="10"/>
        <v>0.265625</v>
      </c>
    </row>
    <row r="62" spans="1:68" ht="27" hidden="1" customHeight="1" x14ac:dyDescent="0.25">
      <c r="A62" s="54" t="s">
        <v>141</v>
      </c>
      <c r="B62" s="54" t="s">
        <v>142</v>
      </c>
      <c r="C62" s="32">
        <v>4301011386</v>
      </c>
      <c r="D62" s="595">
        <v>4680115880283</v>
      </c>
      <c r="E62" s="596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2">
        <v>4301011806</v>
      </c>
      <c r="D63" s="595">
        <v>4680115881525</v>
      </c>
      <c r="E63" s="596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7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5"/>
      <c r="V63" s="35"/>
      <c r="W63" s="36" t="s">
        <v>67</v>
      </c>
      <c r="X63" s="591">
        <v>3</v>
      </c>
      <c r="Y63" s="592">
        <f t="shared" si="6"/>
        <v>4</v>
      </c>
      <c r="Z63" s="37">
        <f>IFERROR(IF(Y63=0,"",ROUNDUP(Y63/H63,0)*0.00902),"")</f>
        <v>9.0200000000000002E-3</v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3.1425000000000001</v>
      </c>
      <c r="BN63" s="64">
        <f t="shared" si="8"/>
        <v>4.1900000000000004</v>
      </c>
      <c r="BO63" s="64">
        <f t="shared" si="9"/>
        <v>5.681818181818182E-3</v>
      </c>
      <c r="BP63" s="64">
        <f t="shared" si="10"/>
        <v>7.575757575757576E-3</v>
      </c>
    </row>
    <row r="64" spans="1:68" ht="27" hidden="1" customHeight="1" x14ac:dyDescent="0.25">
      <c r="A64" s="54" t="s">
        <v>147</v>
      </c>
      <c r="B64" s="54" t="s">
        <v>148</v>
      </c>
      <c r="C64" s="32">
        <v>4301012165</v>
      </c>
      <c r="D64" s="595">
        <v>4680115885899</v>
      </c>
      <c r="E64" s="596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8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2">
        <v>4301011801</v>
      </c>
      <c r="D65" s="595">
        <v>4680115881419</v>
      </c>
      <c r="E65" s="596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5"/>
      <c r="V65" s="35"/>
      <c r="W65" s="36" t="s">
        <v>67</v>
      </c>
      <c r="X65" s="591">
        <v>127</v>
      </c>
      <c r="Y65" s="592">
        <f t="shared" si="6"/>
        <v>130.5</v>
      </c>
      <c r="Z65" s="37">
        <f>IFERROR(IF(Y65=0,"",ROUNDUP(Y65/H65,0)*0.00902),"")</f>
        <v>0.26158000000000003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132.36222222222221</v>
      </c>
      <c r="BN65" s="64">
        <f t="shared" si="8"/>
        <v>136.01000000000002</v>
      </c>
      <c r="BO65" s="64">
        <f t="shared" si="9"/>
        <v>0.2138047138047138</v>
      </c>
      <c r="BP65" s="64">
        <f t="shared" si="10"/>
        <v>0.2196969696969697</v>
      </c>
    </row>
    <row r="66" spans="1:68" x14ac:dyDescent="0.2">
      <c r="A66" s="601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3"/>
      <c r="P66" s="611" t="s">
        <v>72</v>
      </c>
      <c r="Q66" s="612"/>
      <c r="R66" s="612"/>
      <c r="S66" s="612"/>
      <c r="T66" s="612"/>
      <c r="U66" s="612"/>
      <c r="V66" s="613"/>
      <c r="W66" s="38" t="s">
        <v>73</v>
      </c>
      <c r="X66" s="593">
        <f>IFERROR(X59/H59,"0")+IFERROR(X60/H60,"0")+IFERROR(X61/H61,"0")+IFERROR(X62/H62,"0")+IFERROR(X63/H63,"0")+IFERROR(X64/H64,"0")+IFERROR(X65/H65,"0")</f>
        <v>46.419312169312164</v>
      </c>
      <c r="Y66" s="593">
        <f>IFERROR(Y59/H59,"0")+IFERROR(Y60/H60,"0")+IFERROR(Y61/H61,"0")+IFERROR(Y62/H62,"0")+IFERROR(Y63/H63,"0")+IFERROR(Y64/H64,"0")+IFERROR(Y65/H65,"0")</f>
        <v>49</v>
      </c>
      <c r="Z66" s="593">
        <f>IFERROR(IF(Z59="",0,Z59),"0")+IFERROR(IF(Z60="",0,Z60),"0")+IFERROR(IF(Z61="",0,Z61),"0")+IFERROR(IF(Z62="",0,Z62),"0")+IFERROR(IF(Z63="",0,Z63),"0")+IFERROR(IF(Z64="",0,Z64),"0")+IFERROR(IF(Z65="",0,Z65),"0")</f>
        <v>0.63122</v>
      </c>
      <c r="AA66" s="594"/>
      <c r="AB66" s="594"/>
      <c r="AC66" s="594"/>
    </row>
    <row r="67" spans="1:68" x14ac:dyDescent="0.2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3"/>
      <c r="P67" s="611" t="s">
        <v>72</v>
      </c>
      <c r="Q67" s="612"/>
      <c r="R67" s="612"/>
      <c r="S67" s="612"/>
      <c r="T67" s="612"/>
      <c r="U67" s="612"/>
      <c r="V67" s="613"/>
      <c r="W67" s="38" t="s">
        <v>67</v>
      </c>
      <c r="X67" s="593">
        <f>IFERROR(SUM(X59:X65),"0")</f>
        <v>319</v>
      </c>
      <c r="Y67" s="593">
        <f>IFERROR(SUM(Y59:Y65),"0")</f>
        <v>340.5</v>
      </c>
      <c r="Z67" s="38"/>
      <c r="AA67" s="594"/>
      <c r="AB67" s="594"/>
      <c r="AC67" s="594"/>
    </row>
    <row r="68" spans="1:68" ht="14.25" hidden="1" customHeight="1" x14ac:dyDescent="0.25">
      <c r="A68" s="606" t="s">
        <v>152</v>
      </c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587"/>
      <c r="AB68" s="587"/>
      <c r="AC68" s="587"/>
    </row>
    <row r="69" spans="1:68" ht="16.5" customHeight="1" x14ac:dyDescent="0.25">
      <c r="A69" s="54" t="s">
        <v>153</v>
      </c>
      <c r="B69" s="54" t="s">
        <v>154</v>
      </c>
      <c r="C69" s="32">
        <v>4301020298</v>
      </c>
      <c r="D69" s="595">
        <v>4680115881440</v>
      </c>
      <c r="E69" s="596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5"/>
      <c r="V69" s="35"/>
      <c r="W69" s="36" t="s">
        <v>67</v>
      </c>
      <c r="X69" s="591">
        <v>33</v>
      </c>
      <c r="Y69" s="592">
        <f>IFERROR(IF(X69="",0,CEILING((X69/$H69),1)*$H69),"")</f>
        <v>43.2</v>
      </c>
      <c r="Z69" s="37">
        <f>IFERROR(IF(Y69=0,"",ROUNDUP(Y69/H69,0)*0.01898),"")</f>
        <v>7.5920000000000001E-2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34.252777777777773</v>
      </c>
      <c r="BN69" s="64">
        <f>IFERROR(Y69*I69/H69,"0")</f>
        <v>44.84</v>
      </c>
      <c r="BO69" s="64">
        <f>IFERROR(1/J69*(X69/H69),"0")</f>
        <v>4.7743055555555552E-2</v>
      </c>
      <c r="BP69" s="64">
        <f>IFERROR(1/J69*(Y69/H69),"0")</f>
        <v>6.25E-2</v>
      </c>
    </row>
    <row r="70" spans="1:68" ht="16.5" hidden="1" customHeight="1" x14ac:dyDescent="0.25">
      <c r="A70" s="54" t="s">
        <v>156</v>
      </c>
      <c r="B70" s="54" t="s">
        <v>157</v>
      </c>
      <c r="C70" s="32">
        <v>4301020358</v>
      </c>
      <c r="D70" s="595">
        <v>4680115885950</v>
      </c>
      <c r="E70" s="596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2">
        <v>4301020371</v>
      </c>
      <c r="D71" s="595">
        <v>4680115887688</v>
      </c>
      <c r="E71" s="596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2">
        <v>4301020296</v>
      </c>
      <c r="D72" s="595">
        <v>4680115881433</v>
      </c>
      <c r="E72" s="596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9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1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3"/>
      <c r="P73" s="611" t="s">
        <v>72</v>
      </c>
      <c r="Q73" s="612"/>
      <c r="R73" s="612"/>
      <c r="S73" s="612"/>
      <c r="T73" s="612"/>
      <c r="U73" s="612"/>
      <c r="V73" s="613"/>
      <c r="W73" s="38" t="s">
        <v>73</v>
      </c>
      <c r="X73" s="593">
        <f>IFERROR(X69/H69,"0")+IFERROR(X70/H70,"0")+IFERROR(X71/H71,"0")+IFERROR(X72/H72,"0")</f>
        <v>3.0555555555555554</v>
      </c>
      <c r="Y73" s="593">
        <f>IFERROR(Y69/H69,"0")+IFERROR(Y70/H70,"0")+IFERROR(Y71/H71,"0")+IFERROR(Y72/H72,"0")</f>
        <v>4</v>
      </c>
      <c r="Z73" s="593">
        <f>IFERROR(IF(Z69="",0,Z69),"0")+IFERROR(IF(Z70="",0,Z70),"0")+IFERROR(IF(Z71="",0,Z71),"0")+IFERROR(IF(Z72="",0,Z72),"0")</f>
        <v>7.5920000000000001E-2</v>
      </c>
      <c r="AA73" s="594"/>
      <c r="AB73" s="594"/>
      <c r="AC73" s="594"/>
    </row>
    <row r="74" spans="1:68" x14ac:dyDescent="0.2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3"/>
      <c r="P74" s="611" t="s">
        <v>72</v>
      </c>
      <c r="Q74" s="612"/>
      <c r="R74" s="612"/>
      <c r="S74" s="612"/>
      <c r="T74" s="612"/>
      <c r="U74" s="612"/>
      <c r="V74" s="613"/>
      <c r="W74" s="38" t="s">
        <v>67</v>
      </c>
      <c r="X74" s="593">
        <f>IFERROR(SUM(X69:X72),"0")</f>
        <v>33</v>
      </c>
      <c r="Y74" s="593">
        <f>IFERROR(SUM(Y69:Y72),"0")</f>
        <v>43.2</v>
      </c>
      <c r="Z74" s="38"/>
      <c r="AA74" s="594"/>
      <c r="AB74" s="594"/>
      <c r="AC74" s="594"/>
    </row>
    <row r="75" spans="1:68" ht="14.25" hidden="1" customHeight="1" x14ac:dyDescent="0.25">
      <c r="A75" s="606" t="s">
        <v>74</v>
      </c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587"/>
      <c r="AB75" s="587"/>
      <c r="AC75" s="587"/>
    </row>
    <row r="76" spans="1:68" ht="16.5" hidden="1" customHeight="1" x14ac:dyDescent="0.25">
      <c r="A76" s="54" t="s">
        <v>163</v>
      </c>
      <c r="B76" s="54" t="s">
        <v>164</v>
      </c>
      <c r="C76" s="32">
        <v>4301051837</v>
      </c>
      <c r="D76" s="595">
        <v>4680115884311</v>
      </c>
      <c r="E76" s="596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2">
        <v>4301051929</v>
      </c>
      <c r="D77" s="595">
        <v>4680115884403</v>
      </c>
      <c r="E77" s="596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9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1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3"/>
      <c r="P78" s="611" t="s">
        <v>72</v>
      </c>
      <c r="Q78" s="612"/>
      <c r="R78" s="612"/>
      <c r="S78" s="612"/>
      <c r="T78" s="612"/>
      <c r="U78" s="612"/>
      <c r="V78" s="613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hidden="1" x14ac:dyDescent="0.2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3"/>
      <c r="P79" s="611" t="s">
        <v>72</v>
      </c>
      <c r="Q79" s="612"/>
      <c r="R79" s="612"/>
      <c r="S79" s="612"/>
      <c r="T79" s="612"/>
      <c r="U79" s="612"/>
      <c r="V79" s="613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hidden="1" customHeight="1" x14ac:dyDescent="0.25">
      <c r="A80" s="606" t="s">
        <v>169</v>
      </c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587"/>
      <c r="AB80" s="587"/>
      <c r="AC80" s="587"/>
    </row>
    <row r="81" spans="1:68" ht="27" hidden="1" customHeight="1" x14ac:dyDescent="0.25">
      <c r="A81" s="54" t="s">
        <v>170</v>
      </c>
      <c r="B81" s="54" t="s">
        <v>171</v>
      </c>
      <c r="C81" s="32">
        <v>4301060455</v>
      </c>
      <c r="D81" s="595">
        <v>4680115881532</v>
      </c>
      <c r="E81" s="596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6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2">
        <v>4301060351</v>
      </c>
      <c r="D82" s="595">
        <v>4680115881464</v>
      </c>
      <c r="E82" s="596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1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3"/>
      <c r="P83" s="611" t="s">
        <v>72</v>
      </c>
      <c r="Q83" s="612"/>
      <c r="R83" s="612"/>
      <c r="S83" s="612"/>
      <c r="T83" s="612"/>
      <c r="U83" s="612"/>
      <c r="V83" s="613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hidden="1" x14ac:dyDescent="0.2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3"/>
      <c r="P84" s="611" t="s">
        <v>72</v>
      </c>
      <c r="Q84" s="612"/>
      <c r="R84" s="612"/>
      <c r="S84" s="612"/>
      <c r="T84" s="612"/>
      <c r="U84" s="612"/>
      <c r="V84" s="613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hidden="1" customHeight="1" x14ac:dyDescent="0.25">
      <c r="A85" s="607" t="s">
        <v>176</v>
      </c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586"/>
      <c r="AB85" s="586"/>
      <c r="AC85" s="586"/>
    </row>
    <row r="86" spans="1:68" ht="14.25" hidden="1" customHeight="1" x14ac:dyDescent="0.25">
      <c r="A86" s="606" t="s">
        <v>117</v>
      </c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587"/>
      <c r="AB86" s="587"/>
      <c r="AC86" s="587"/>
    </row>
    <row r="87" spans="1:68" ht="27" customHeight="1" x14ac:dyDescent="0.25">
      <c r="A87" s="54" t="s">
        <v>177</v>
      </c>
      <c r="B87" s="54" t="s">
        <v>178</v>
      </c>
      <c r="C87" s="32">
        <v>4301011468</v>
      </c>
      <c r="D87" s="595">
        <v>4680115881327</v>
      </c>
      <c r="E87" s="596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7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5"/>
      <c r="V87" s="35"/>
      <c r="W87" s="36" t="s">
        <v>67</v>
      </c>
      <c r="X87" s="591">
        <v>410</v>
      </c>
      <c r="Y87" s="592">
        <f>IFERROR(IF(X87="",0,CEILING((X87/$H87),1)*$H87),"")</f>
        <v>410.40000000000003</v>
      </c>
      <c r="Z87" s="37">
        <f>IFERROR(IF(Y87=0,"",ROUNDUP(Y87/H87,0)*0.01898),"")</f>
        <v>0.72123999999999999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425.56481481481484</v>
      </c>
      <c r="BN87" s="64">
        <f>IFERROR(Y87*I87/H87,"0")</f>
        <v>425.98</v>
      </c>
      <c r="BO87" s="64">
        <f>IFERROR(1/J87*(X87/H87),"0")</f>
        <v>0.59317129629629628</v>
      </c>
      <c r="BP87" s="64">
        <f>IFERROR(1/J87*(Y87/H87),"0")</f>
        <v>0.59375</v>
      </c>
    </row>
    <row r="88" spans="1:68" ht="27" customHeight="1" x14ac:dyDescent="0.25">
      <c r="A88" s="54" t="s">
        <v>180</v>
      </c>
      <c r="B88" s="54" t="s">
        <v>181</v>
      </c>
      <c r="C88" s="32">
        <v>4301011261</v>
      </c>
      <c r="D88" s="595">
        <v>4680115887732</v>
      </c>
      <c r="E88" s="596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5"/>
      <c r="V88" s="35"/>
      <c r="W88" s="36" t="s">
        <v>67</v>
      </c>
      <c r="X88" s="591">
        <v>4</v>
      </c>
      <c r="Y88" s="592">
        <f>IFERROR(IF(X88="",0,CEILING((X88/$H88),1)*$H88),"")</f>
        <v>5.0999999999999996</v>
      </c>
      <c r="Z88" s="37">
        <f>IFERROR(IF(Y88=0,"",ROUNDUP(Y88/H88,0)*0.00726),"")</f>
        <v>2.1780000000000001E-2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4.2352941176470589</v>
      </c>
      <c r="BN88" s="64">
        <f>IFERROR(Y88*I88/H88,"0")</f>
        <v>5.4</v>
      </c>
      <c r="BO88" s="64">
        <f>IFERROR(1/J88*(X88/H88),"0")</f>
        <v>1.2254901960784314E-2</v>
      </c>
      <c r="BP88" s="64">
        <f>IFERROR(1/J88*(Y88/H88),"0")</f>
        <v>1.5625E-2</v>
      </c>
    </row>
    <row r="89" spans="1:68" ht="27" hidden="1" customHeight="1" x14ac:dyDescent="0.25">
      <c r="A89" s="54" t="s">
        <v>183</v>
      </c>
      <c r="B89" s="54" t="s">
        <v>184</v>
      </c>
      <c r="C89" s="32">
        <v>4301011476</v>
      </c>
      <c r="D89" s="595">
        <v>4680115881518</v>
      </c>
      <c r="E89" s="596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2">
        <v>4301011443</v>
      </c>
      <c r="D90" s="595">
        <v>4680115881303</v>
      </c>
      <c r="E90" s="596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8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5"/>
      <c r="V90" s="35"/>
      <c r="W90" s="36" t="s">
        <v>67</v>
      </c>
      <c r="X90" s="591">
        <v>68</v>
      </c>
      <c r="Y90" s="592">
        <f>IFERROR(IF(X90="",0,CEILING((X90/$H90),1)*$H90),"")</f>
        <v>72</v>
      </c>
      <c r="Z90" s="37">
        <f>IFERROR(IF(Y90=0,"",ROUNDUP(Y90/H90,0)*0.00902),"")</f>
        <v>0.14432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70.871111111111119</v>
      </c>
      <c r="BN90" s="64">
        <f>IFERROR(Y90*I90/H90,"0")</f>
        <v>75.040000000000006</v>
      </c>
      <c r="BO90" s="64">
        <f>IFERROR(1/J90*(X90/H90),"0")</f>
        <v>0.11447811447811448</v>
      </c>
      <c r="BP90" s="64">
        <f>IFERROR(1/J90*(Y90/H90),"0")</f>
        <v>0.12121212121212122</v>
      </c>
    </row>
    <row r="91" spans="1:68" x14ac:dyDescent="0.2">
      <c r="A91" s="601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3"/>
      <c r="P91" s="611" t="s">
        <v>72</v>
      </c>
      <c r="Q91" s="612"/>
      <c r="R91" s="612"/>
      <c r="S91" s="612"/>
      <c r="T91" s="612"/>
      <c r="U91" s="612"/>
      <c r="V91" s="613"/>
      <c r="W91" s="38" t="s">
        <v>73</v>
      </c>
      <c r="X91" s="593">
        <f>IFERROR(X87/H87,"0")+IFERROR(X88/H88,"0")+IFERROR(X89/H89,"0")+IFERROR(X90/H90,"0")</f>
        <v>55.427015250544656</v>
      </c>
      <c r="Y91" s="593">
        <f>IFERROR(Y87/H87,"0")+IFERROR(Y88/H88,"0")+IFERROR(Y89/H89,"0")+IFERROR(Y90/H90,"0")</f>
        <v>57</v>
      </c>
      <c r="Z91" s="593">
        <f>IFERROR(IF(Z87="",0,Z87),"0")+IFERROR(IF(Z88="",0,Z88),"0")+IFERROR(IF(Z89="",0,Z89),"0")+IFERROR(IF(Z90="",0,Z90),"0")</f>
        <v>0.88734000000000002</v>
      </c>
      <c r="AA91" s="594"/>
      <c r="AB91" s="594"/>
      <c r="AC91" s="594"/>
    </row>
    <row r="92" spans="1:68" x14ac:dyDescent="0.2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3"/>
      <c r="P92" s="611" t="s">
        <v>72</v>
      </c>
      <c r="Q92" s="612"/>
      <c r="R92" s="612"/>
      <c r="S92" s="612"/>
      <c r="T92" s="612"/>
      <c r="U92" s="612"/>
      <c r="V92" s="613"/>
      <c r="W92" s="38" t="s">
        <v>67</v>
      </c>
      <c r="X92" s="593">
        <f>IFERROR(SUM(X87:X90),"0")</f>
        <v>482</v>
      </c>
      <c r="Y92" s="593">
        <f>IFERROR(SUM(Y87:Y90),"0")</f>
        <v>487.50000000000006</v>
      </c>
      <c r="Z92" s="38"/>
      <c r="AA92" s="594"/>
      <c r="AB92" s="594"/>
      <c r="AC92" s="594"/>
    </row>
    <row r="93" spans="1:68" ht="14.25" hidden="1" customHeight="1" x14ac:dyDescent="0.25">
      <c r="A93" s="606" t="s">
        <v>74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587"/>
      <c r="AB93" s="587"/>
      <c r="AC93" s="587"/>
    </row>
    <row r="94" spans="1:68" ht="27" customHeight="1" x14ac:dyDescent="0.25">
      <c r="A94" s="54" t="s">
        <v>187</v>
      </c>
      <c r="B94" s="54" t="s">
        <v>188</v>
      </c>
      <c r="C94" s="32">
        <v>4301051712</v>
      </c>
      <c r="D94" s="595">
        <v>4607091386967</v>
      </c>
      <c r="E94" s="596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5"/>
      <c r="V94" s="35"/>
      <c r="W94" s="36" t="s">
        <v>67</v>
      </c>
      <c r="X94" s="591">
        <v>143</v>
      </c>
      <c r="Y94" s="592">
        <f>IFERROR(IF(X94="",0,CEILING((X94/$H94),1)*$H94),"")</f>
        <v>145.79999999999998</v>
      </c>
      <c r="Z94" s="37">
        <f>IFERROR(IF(Y94=0,"",ROUNDUP(Y94/H94,0)*0.01898),"")</f>
        <v>0.34164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151.72123456790123</v>
      </c>
      <c r="BN94" s="64">
        <f>IFERROR(Y94*I94/H94,"0")</f>
        <v>154.69199999999998</v>
      </c>
      <c r="BO94" s="64">
        <f>IFERROR(1/J94*(X94/H94),"0")</f>
        <v>0.2758487654320988</v>
      </c>
      <c r="BP94" s="64">
        <f>IFERROR(1/J94*(Y94/H94),"0")</f>
        <v>0.28125</v>
      </c>
    </row>
    <row r="95" spans="1:68" ht="27" hidden="1" customHeight="1" x14ac:dyDescent="0.25">
      <c r="A95" s="54" t="s">
        <v>190</v>
      </c>
      <c r="B95" s="54" t="s">
        <v>191</v>
      </c>
      <c r="C95" s="32">
        <v>4301051788</v>
      </c>
      <c r="D95" s="595">
        <v>4680115884953</v>
      </c>
      <c r="E95" s="596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192</v>
      </c>
      <c r="B96" s="54" t="s">
        <v>193</v>
      </c>
      <c r="C96" s="32">
        <v>4301051718</v>
      </c>
      <c r="D96" s="595">
        <v>4607091385731</v>
      </c>
      <c r="E96" s="596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5"/>
      <c r="V96" s="35"/>
      <c r="W96" s="36" t="s">
        <v>67</v>
      </c>
      <c r="X96" s="591">
        <v>0</v>
      </c>
      <c r="Y96" s="592">
        <f>IFERROR(IF(X96="",0,CEILING((X96/$H96),1)*$H96),"")</f>
        <v>0</v>
      </c>
      <c r="Z96" s="37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194</v>
      </c>
      <c r="B97" s="54" t="s">
        <v>195</v>
      </c>
      <c r="C97" s="32">
        <v>4301052092</v>
      </c>
      <c r="D97" s="595">
        <v>4680115880894</v>
      </c>
      <c r="E97" s="596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6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1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3"/>
      <c r="P98" s="611" t="s">
        <v>72</v>
      </c>
      <c r="Q98" s="612"/>
      <c r="R98" s="612"/>
      <c r="S98" s="612"/>
      <c r="T98" s="612"/>
      <c r="U98" s="612"/>
      <c r="V98" s="613"/>
      <c r="W98" s="38" t="s">
        <v>73</v>
      </c>
      <c r="X98" s="593">
        <f>IFERROR(X94/H94,"0")+IFERROR(X95/H95,"0")+IFERROR(X96/H96,"0")+IFERROR(X97/H97,"0")</f>
        <v>17.654320987654323</v>
      </c>
      <c r="Y98" s="593">
        <f>IFERROR(Y94/H94,"0")+IFERROR(Y95/H95,"0")+IFERROR(Y96/H96,"0")+IFERROR(Y97/H97,"0")</f>
        <v>18</v>
      </c>
      <c r="Z98" s="593">
        <f>IFERROR(IF(Z94="",0,Z94),"0")+IFERROR(IF(Z95="",0,Z95),"0")+IFERROR(IF(Z96="",0,Z96),"0")+IFERROR(IF(Z97="",0,Z97),"0")</f>
        <v>0.34164</v>
      </c>
      <c r="AA98" s="594"/>
      <c r="AB98" s="594"/>
      <c r="AC98" s="594"/>
    </row>
    <row r="99" spans="1:68" x14ac:dyDescent="0.2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3"/>
      <c r="P99" s="611" t="s">
        <v>72</v>
      </c>
      <c r="Q99" s="612"/>
      <c r="R99" s="612"/>
      <c r="S99" s="612"/>
      <c r="T99" s="612"/>
      <c r="U99" s="612"/>
      <c r="V99" s="613"/>
      <c r="W99" s="38" t="s">
        <v>67</v>
      </c>
      <c r="X99" s="593">
        <f>IFERROR(SUM(X94:X97),"0")</f>
        <v>143</v>
      </c>
      <c r="Y99" s="593">
        <f>IFERROR(SUM(Y94:Y97),"0")</f>
        <v>145.79999999999998</v>
      </c>
      <c r="Z99" s="38"/>
      <c r="AA99" s="594"/>
      <c r="AB99" s="594"/>
      <c r="AC99" s="594"/>
    </row>
    <row r="100" spans="1:68" ht="16.5" hidden="1" customHeight="1" x14ac:dyDescent="0.25">
      <c r="A100" s="607" t="s">
        <v>197</v>
      </c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586"/>
      <c r="AB100" s="586"/>
      <c r="AC100" s="586"/>
    </row>
    <row r="101" spans="1:68" ht="14.25" hidden="1" customHeight="1" x14ac:dyDescent="0.25">
      <c r="A101" s="606" t="s">
        <v>117</v>
      </c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587"/>
      <c r="AB101" s="587"/>
      <c r="AC101" s="587"/>
    </row>
    <row r="102" spans="1:68" ht="37.5" customHeight="1" x14ac:dyDescent="0.25">
      <c r="A102" s="54" t="s">
        <v>198</v>
      </c>
      <c r="B102" s="54" t="s">
        <v>199</v>
      </c>
      <c r="C102" s="32">
        <v>4301011514</v>
      </c>
      <c r="D102" s="595">
        <v>4680115882133</v>
      </c>
      <c r="E102" s="596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8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5"/>
      <c r="V102" s="35"/>
      <c r="W102" s="36" t="s">
        <v>67</v>
      </c>
      <c r="X102" s="591">
        <v>240</v>
      </c>
      <c r="Y102" s="592">
        <f t="shared" ref="Y102:Y108" si="11">IFERROR(IF(X102="",0,CEILING((X102/$H102),1)*$H102),"")</f>
        <v>248.4</v>
      </c>
      <c r="Z102" s="37">
        <f>IFERROR(IF(Y102=0,"",ROUNDUP(Y102/H102,0)*0.01898),"")</f>
        <v>0.43653999999999998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249.11111111111111</v>
      </c>
      <c r="BN102" s="64">
        <f t="shared" ref="BN102:BN108" si="13">IFERROR(Y102*I102/H102,"0")</f>
        <v>257.83</v>
      </c>
      <c r="BO102" s="64">
        <f t="shared" ref="BO102:BO108" si="14">IFERROR(1/J102*(X102/H102),"0")</f>
        <v>0.34722222222222221</v>
      </c>
      <c r="BP102" s="64">
        <f t="shared" ref="BP102:BP108" si="15">IFERROR(1/J102*(Y102/H102),"0")</f>
        <v>0.359375</v>
      </c>
    </row>
    <row r="103" spans="1:68" ht="27" customHeight="1" x14ac:dyDescent="0.25">
      <c r="A103" s="54" t="s">
        <v>201</v>
      </c>
      <c r="B103" s="54" t="s">
        <v>202</v>
      </c>
      <c r="C103" s="32">
        <v>4301012051</v>
      </c>
      <c r="D103" s="595">
        <v>4680115887718</v>
      </c>
      <c r="E103" s="596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5"/>
      <c r="V103" s="35"/>
      <c r="W103" s="36" t="s">
        <v>67</v>
      </c>
      <c r="X103" s="591">
        <v>5</v>
      </c>
      <c r="Y103" s="592">
        <f t="shared" si="11"/>
        <v>5.5</v>
      </c>
      <c r="Z103" s="37">
        <f>IFERROR(IF(Y103=0,"",ROUNDUP(Y103/H103,0)*0.00726),"")</f>
        <v>3.6299999999999999E-2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5.954545454545455</v>
      </c>
      <c r="BN103" s="64">
        <f t="shared" si="13"/>
        <v>6.55</v>
      </c>
      <c r="BO103" s="64">
        <f t="shared" si="14"/>
        <v>2.3674242424242421E-2</v>
      </c>
      <c r="BP103" s="64">
        <f t="shared" si="15"/>
        <v>2.6041666666666664E-2</v>
      </c>
    </row>
    <row r="104" spans="1:68" ht="27" hidden="1" customHeight="1" x14ac:dyDescent="0.25">
      <c r="A104" s="54" t="s">
        <v>201</v>
      </c>
      <c r="B104" s="54" t="s">
        <v>204</v>
      </c>
      <c r="C104" s="32">
        <v>4301012334</v>
      </c>
      <c r="D104" s="595">
        <v>4680115887718</v>
      </c>
      <c r="E104" s="596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2">
        <v>4301012226</v>
      </c>
      <c r="D105" s="595">
        <v>4680115887749</v>
      </c>
      <c r="E105" s="596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86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2">
        <v>4301011417</v>
      </c>
      <c r="D106" s="595">
        <v>4680115880269</v>
      </c>
      <c r="E106" s="596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2">
        <v>4301011415</v>
      </c>
      <c r="D107" s="595">
        <v>4680115880429</v>
      </c>
      <c r="E107" s="596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8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5"/>
      <c r="V107" s="35"/>
      <c r="W107" s="36" t="s">
        <v>67</v>
      </c>
      <c r="X107" s="591">
        <v>0</v>
      </c>
      <c r="Y107" s="592">
        <f t="shared" si="11"/>
        <v>0</v>
      </c>
      <c r="Z107" s="37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211</v>
      </c>
      <c r="B108" s="54" t="s">
        <v>212</v>
      </c>
      <c r="C108" s="32">
        <v>4301011462</v>
      </c>
      <c r="D108" s="595">
        <v>4680115881457</v>
      </c>
      <c r="E108" s="596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1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3"/>
      <c r="P109" s="611" t="s">
        <v>72</v>
      </c>
      <c r="Q109" s="612"/>
      <c r="R109" s="612"/>
      <c r="S109" s="612"/>
      <c r="T109" s="612"/>
      <c r="U109" s="612"/>
      <c r="V109" s="613"/>
      <c r="W109" s="38" t="s">
        <v>73</v>
      </c>
      <c r="X109" s="593">
        <f>IFERROR(X102/H102,"0")+IFERROR(X103/H103,"0")+IFERROR(X104/H104,"0")+IFERROR(X105/H105,"0")+IFERROR(X106/H106,"0")+IFERROR(X107/H107,"0")+IFERROR(X108/H108,"0")</f>
        <v>26.767676767676768</v>
      </c>
      <c r="Y109" s="593">
        <f>IFERROR(Y102/H102,"0")+IFERROR(Y103/H103,"0")+IFERROR(Y104/H104,"0")+IFERROR(Y105/H105,"0")+IFERROR(Y106/H106,"0")+IFERROR(Y107/H107,"0")+IFERROR(Y108/H108,"0")</f>
        <v>28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0.47283999999999998</v>
      </c>
      <c r="AA109" s="594"/>
      <c r="AB109" s="594"/>
      <c r="AC109" s="594"/>
    </row>
    <row r="110" spans="1:68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3"/>
      <c r="P110" s="611" t="s">
        <v>72</v>
      </c>
      <c r="Q110" s="612"/>
      <c r="R110" s="612"/>
      <c r="S110" s="612"/>
      <c r="T110" s="612"/>
      <c r="U110" s="612"/>
      <c r="V110" s="613"/>
      <c r="W110" s="38" t="s">
        <v>67</v>
      </c>
      <c r="X110" s="593">
        <f>IFERROR(SUM(X102:X108),"0")</f>
        <v>245</v>
      </c>
      <c r="Y110" s="593">
        <f>IFERROR(SUM(Y102:Y108),"0")</f>
        <v>253.9</v>
      </c>
      <c r="Z110" s="38"/>
      <c r="AA110" s="594"/>
      <c r="AB110" s="594"/>
      <c r="AC110" s="594"/>
    </row>
    <row r="111" spans="1:68" ht="14.25" hidden="1" customHeight="1" x14ac:dyDescent="0.25">
      <c r="A111" s="606" t="s">
        <v>152</v>
      </c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587"/>
      <c r="AB111" s="587"/>
      <c r="AC111" s="587"/>
    </row>
    <row r="112" spans="1:68" ht="16.5" customHeight="1" x14ac:dyDescent="0.25">
      <c r="A112" s="54" t="s">
        <v>213</v>
      </c>
      <c r="B112" s="54" t="s">
        <v>214</v>
      </c>
      <c r="C112" s="32">
        <v>4301020345</v>
      </c>
      <c r="D112" s="595">
        <v>4680115881488</v>
      </c>
      <c r="E112" s="596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8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5"/>
      <c r="V112" s="35"/>
      <c r="W112" s="36" t="s">
        <v>67</v>
      </c>
      <c r="X112" s="591">
        <v>27</v>
      </c>
      <c r="Y112" s="592">
        <f t="shared" ref="Y112:Y117" si="16">IFERROR(IF(X112="",0,CEILING((X112/$H112),1)*$H112),"")</f>
        <v>32.400000000000006</v>
      </c>
      <c r="Z112" s="37">
        <f>IFERROR(IF(Y112=0,"",ROUNDUP(Y112/H112,0)*0.01898),"")</f>
        <v>5.6940000000000004E-2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28.024999999999999</v>
      </c>
      <c r="BN112" s="64">
        <f t="shared" ref="BN112:BN117" si="18">IFERROR(Y112*I112/H112,"0")</f>
        <v>33.630000000000003</v>
      </c>
      <c r="BO112" s="64">
        <f t="shared" ref="BO112:BO117" si="19">IFERROR(1/J112*(X112/H112),"0")</f>
        <v>3.90625E-2</v>
      </c>
      <c r="BP112" s="64">
        <f t="shared" ref="BP112:BP117" si="20">IFERROR(1/J112*(Y112/H112),"0")</f>
        <v>4.6875000000000007E-2</v>
      </c>
    </row>
    <row r="113" spans="1:68" ht="27" hidden="1" customHeight="1" x14ac:dyDescent="0.25">
      <c r="A113" s="54" t="s">
        <v>213</v>
      </c>
      <c r="B113" s="54" t="s">
        <v>216</v>
      </c>
      <c r="C113" s="32">
        <v>4301020391</v>
      </c>
      <c r="D113" s="595">
        <v>4680115881488</v>
      </c>
      <c r="E113" s="596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2">
        <v>4301020186</v>
      </c>
      <c r="D114" s="595">
        <v>4680115887664</v>
      </c>
      <c r="E114" s="596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8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5"/>
      <c r="V114" s="35"/>
      <c r="W114" s="36" t="s">
        <v>67</v>
      </c>
      <c r="X114" s="591">
        <v>0</v>
      </c>
      <c r="Y114" s="592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2">
        <v>4301020430</v>
      </c>
      <c r="D115" s="595">
        <v>4680115887664</v>
      </c>
      <c r="E115" s="596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2">
        <v>4301020393</v>
      </c>
      <c r="D116" s="595">
        <v>4680115882775</v>
      </c>
      <c r="E116" s="596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6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2">
        <v>4301020344</v>
      </c>
      <c r="D117" s="595">
        <v>4680115880658</v>
      </c>
      <c r="E117" s="596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5"/>
      <c r="V117" s="35"/>
      <c r="W117" s="36" t="s">
        <v>67</v>
      </c>
      <c r="X117" s="591">
        <v>24</v>
      </c>
      <c r="Y117" s="592">
        <f t="shared" si="16"/>
        <v>24</v>
      </c>
      <c r="Z117" s="37">
        <f>IFERROR(IF(Y117=0,"",ROUNDUP(Y117/H117,0)*0.00651),"")</f>
        <v>6.5100000000000005E-2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25.8</v>
      </c>
      <c r="BN117" s="64">
        <f t="shared" si="18"/>
        <v>25.8</v>
      </c>
      <c r="BO117" s="64">
        <f t="shared" si="19"/>
        <v>5.4945054945054951E-2</v>
      </c>
      <c r="BP117" s="64">
        <f t="shared" si="20"/>
        <v>5.4945054945054951E-2</v>
      </c>
    </row>
    <row r="118" spans="1:68" x14ac:dyDescent="0.2">
      <c r="A118" s="601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3"/>
      <c r="P118" s="611" t="s">
        <v>72</v>
      </c>
      <c r="Q118" s="612"/>
      <c r="R118" s="612"/>
      <c r="S118" s="612"/>
      <c r="T118" s="612"/>
      <c r="U118" s="612"/>
      <c r="V118" s="613"/>
      <c r="W118" s="38" t="s">
        <v>73</v>
      </c>
      <c r="X118" s="593">
        <f>IFERROR(X112/H112,"0")+IFERROR(X113/H113,"0")+IFERROR(X114/H114,"0")+IFERROR(X115/H115,"0")+IFERROR(X116/H116,"0")+IFERROR(X117/H117,"0")</f>
        <v>12.5</v>
      </c>
      <c r="Y118" s="593">
        <f>IFERROR(Y112/H112,"0")+IFERROR(Y113/H113,"0")+IFERROR(Y114/H114,"0")+IFERROR(Y115/H115,"0")+IFERROR(Y116/H116,"0")+IFERROR(Y117/H117,"0")</f>
        <v>13</v>
      </c>
      <c r="Z118" s="593">
        <f>IFERROR(IF(Z112="",0,Z112),"0")+IFERROR(IF(Z113="",0,Z113),"0")+IFERROR(IF(Z114="",0,Z114),"0")+IFERROR(IF(Z115="",0,Z115),"0")+IFERROR(IF(Z116="",0,Z116),"0")+IFERROR(IF(Z117="",0,Z117),"0")</f>
        <v>0.12204000000000001</v>
      </c>
      <c r="AA118" s="594"/>
      <c r="AB118" s="594"/>
      <c r="AC118" s="594"/>
    </row>
    <row r="119" spans="1:68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3"/>
      <c r="P119" s="611" t="s">
        <v>72</v>
      </c>
      <c r="Q119" s="612"/>
      <c r="R119" s="612"/>
      <c r="S119" s="612"/>
      <c r="T119" s="612"/>
      <c r="U119" s="612"/>
      <c r="V119" s="613"/>
      <c r="W119" s="38" t="s">
        <v>67</v>
      </c>
      <c r="X119" s="593">
        <f>IFERROR(SUM(X112:X117),"0")</f>
        <v>51</v>
      </c>
      <c r="Y119" s="593">
        <f>IFERROR(SUM(Y112:Y117),"0")</f>
        <v>56.400000000000006</v>
      </c>
      <c r="Z119" s="38"/>
      <c r="AA119" s="594"/>
      <c r="AB119" s="594"/>
      <c r="AC119" s="594"/>
    </row>
    <row r="120" spans="1:68" ht="14.25" hidden="1" customHeight="1" x14ac:dyDescent="0.25">
      <c r="A120" s="606" t="s">
        <v>74</v>
      </c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587"/>
      <c r="AB120" s="587"/>
      <c r="AC120" s="587"/>
    </row>
    <row r="121" spans="1:68" ht="27" customHeight="1" x14ac:dyDescent="0.25">
      <c r="A121" s="54" t="s">
        <v>227</v>
      </c>
      <c r="B121" s="54" t="s">
        <v>228</v>
      </c>
      <c r="C121" s="32">
        <v>4301051724</v>
      </c>
      <c r="D121" s="595">
        <v>4607091385168</v>
      </c>
      <c r="E121" s="596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9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8"/>
      <c r="R121" s="598"/>
      <c r="S121" s="598"/>
      <c r="T121" s="599"/>
      <c r="U121" s="35"/>
      <c r="V121" s="35"/>
      <c r="W121" s="36" t="s">
        <v>67</v>
      </c>
      <c r="X121" s="591">
        <v>79</v>
      </c>
      <c r="Y121" s="592">
        <f>IFERROR(IF(X121="",0,CEILING((X121/$H121),1)*$H121),"")</f>
        <v>81</v>
      </c>
      <c r="Z121" s="37">
        <f>IFERROR(IF(Y121=0,"",ROUNDUP(Y121/H121,0)*0.01898),"")</f>
        <v>0.1898</v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83.759506172839494</v>
      </c>
      <c r="BN121" s="64">
        <f>IFERROR(Y121*I121/H121,"0")</f>
        <v>85.88</v>
      </c>
      <c r="BO121" s="64">
        <f>IFERROR(1/J121*(X121/H121),"0")</f>
        <v>0.15239197530864199</v>
      </c>
      <c r="BP121" s="64">
        <f>IFERROR(1/J121*(Y121/H121),"0")</f>
        <v>0.15625</v>
      </c>
    </row>
    <row r="122" spans="1:68" ht="27" hidden="1" customHeight="1" x14ac:dyDescent="0.25">
      <c r="A122" s="54" t="s">
        <v>230</v>
      </c>
      <c r="B122" s="54" t="s">
        <v>231</v>
      </c>
      <c r="C122" s="32">
        <v>4301051730</v>
      </c>
      <c r="D122" s="595">
        <v>4607091383256</v>
      </c>
      <c r="E122" s="596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8"/>
      <c r="R122" s="598"/>
      <c r="S122" s="598"/>
      <c r="T122" s="599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232</v>
      </c>
      <c r="B123" s="54" t="s">
        <v>233</v>
      </c>
      <c r="C123" s="32">
        <v>4301051721</v>
      </c>
      <c r="D123" s="595">
        <v>4607091385748</v>
      </c>
      <c r="E123" s="596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9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8"/>
      <c r="R123" s="598"/>
      <c r="S123" s="598"/>
      <c r="T123" s="599"/>
      <c r="U123" s="35"/>
      <c r="V123" s="35"/>
      <c r="W123" s="36" t="s">
        <v>67</v>
      </c>
      <c r="X123" s="591">
        <v>199</v>
      </c>
      <c r="Y123" s="592">
        <f>IFERROR(IF(X123="",0,CEILING((X123/$H123),1)*$H123),"")</f>
        <v>199.8</v>
      </c>
      <c r="Z123" s="37">
        <f>IFERROR(IF(Y123=0,"",ROUNDUP(Y123/H123,0)*0.00651),"")</f>
        <v>0.48174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217.57333333333332</v>
      </c>
      <c r="BN123" s="64">
        <f>IFERROR(Y123*I123/H123,"0")</f>
        <v>218.44800000000001</v>
      </c>
      <c r="BO123" s="64">
        <f>IFERROR(1/J123*(X123/H123),"0")</f>
        <v>0.40496540496540495</v>
      </c>
      <c r="BP123" s="64">
        <f>IFERROR(1/J123*(Y123/H123),"0")</f>
        <v>0.40659340659340665</v>
      </c>
    </row>
    <row r="124" spans="1:68" ht="16.5" hidden="1" customHeight="1" x14ac:dyDescent="0.25">
      <c r="A124" s="54" t="s">
        <v>234</v>
      </c>
      <c r="B124" s="54" t="s">
        <v>235</v>
      </c>
      <c r="C124" s="32">
        <v>4301051740</v>
      </c>
      <c r="D124" s="595">
        <v>4680115884533</v>
      </c>
      <c r="E124" s="596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8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8"/>
      <c r="R124" s="598"/>
      <c r="S124" s="598"/>
      <c r="T124" s="599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1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3"/>
      <c r="P125" s="611" t="s">
        <v>72</v>
      </c>
      <c r="Q125" s="612"/>
      <c r="R125" s="612"/>
      <c r="S125" s="612"/>
      <c r="T125" s="612"/>
      <c r="U125" s="612"/>
      <c r="V125" s="613"/>
      <c r="W125" s="38" t="s">
        <v>73</v>
      </c>
      <c r="X125" s="593">
        <f>IFERROR(X121/H121,"0")+IFERROR(X122/H122,"0")+IFERROR(X123/H123,"0")+IFERROR(X124/H124,"0")</f>
        <v>83.456790123456784</v>
      </c>
      <c r="Y125" s="593">
        <f>IFERROR(Y121/H121,"0")+IFERROR(Y122/H122,"0")+IFERROR(Y123/H123,"0")+IFERROR(Y124/H124,"0")</f>
        <v>84</v>
      </c>
      <c r="Z125" s="593">
        <f>IFERROR(IF(Z121="",0,Z121),"0")+IFERROR(IF(Z122="",0,Z122),"0")+IFERROR(IF(Z123="",0,Z123),"0")+IFERROR(IF(Z124="",0,Z124),"0")</f>
        <v>0.67154000000000003</v>
      </c>
      <c r="AA125" s="594"/>
      <c r="AB125" s="594"/>
      <c r="AC125" s="594"/>
    </row>
    <row r="126" spans="1:68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3"/>
      <c r="P126" s="611" t="s">
        <v>72</v>
      </c>
      <c r="Q126" s="612"/>
      <c r="R126" s="612"/>
      <c r="S126" s="612"/>
      <c r="T126" s="612"/>
      <c r="U126" s="612"/>
      <c r="V126" s="613"/>
      <c r="W126" s="38" t="s">
        <v>67</v>
      </c>
      <c r="X126" s="593">
        <f>IFERROR(SUM(X121:X124),"0")</f>
        <v>278</v>
      </c>
      <c r="Y126" s="593">
        <f>IFERROR(SUM(Y121:Y124),"0")</f>
        <v>280.8</v>
      </c>
      <c r="Z126" s="38"/>
      <c r="AA126" s="594"/>
      <c r="AB126" s="594"/>
      <c r="AC126" s="594"/>
    </row>
    <row r="127" spans="1:68" ht="14.25" hidden="1" customHeight="1" x14ac:dyDescent="0.25">
      <c r="A127" s="606" t="s">
        <v>169</v>
      </c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587"/>
      <c r="AB127" s="587"/>
      <c r="AC127" s="587"/>
    </row>
    <row r="128" spans="1:68" ht="16.5" customHeight="1" x14ac:dyDescent="0.25">
      <c r="A128" s="54" t="s">
        <v>237</v>
      </c>
      <c r="B128" s="54" t="s">
        <v>238</v>
      </c>
      <c r="C128" s="32">
        <v>4301060317</v>
      </c>
      <c r="D128" s="595">
        <v>4680115880238</v>
      </c>
      <c r="E128" s="596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8"/>
      <c r="R128" s="598"/>
      <c r="S128" s="598"/>
      <c r="T128" s="599"/>
      <c r="U128" s="35"/>
      <c r="V128" s="35"/>
      <c r="W128" s="36" t="s">
        <v>67</v>
      </c>
      <c r="X128" s="591">
        <v>9</v>
      </c>
      <c r="Y128" s="592">
        <f>IFERROR(IF(X128="",0,CEILING((X128/$H128),1)*$H128),"")</f>
        <v>9.9</v>
      </c>
      <c r="Z128" s="37">
        <f>IFERROR(IF(Y128=0,"",ROUNDUP(Y128/H128,0)*0.00651),"")</f>
        <v>3.2550000000000003E-2</v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10.172727272727272</v>
      </c>
      <c r="BN128" s="64">
        <f>IFERROR(Y128*I128/H128,"0")</f>
        <v>11.190000000000001</v>
      </c>
      <c r="BO128" s="64">
        <f>IFERROR(1/J128*(X128/H128),"0")</f>
        <v>2.4975024975024979E-2</v>
      </c>
      <c r="BP128" s="64">
        <f>IFERROR(1/J128*(Y128/H128),"0")</f>
        <v>2.7472527472527476E-2</v>
      </c>
    </row>
    <row r="129" spans="1:68" x14ac:dyDescent="0.2">
      <c r="A129" s="601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3"/>
      <c r="P129" s="611" t="s">
        <v>72</v>
      </c>
      <c r="Q129" s="612"/>
      <c r="R129" s="612"/>
      <c r="S129" s="612"/>
      <c r="T129" s="612"/>
      <c r="U129" s="612"/>
      <c r="V129" s="613"/>
      <c r="W129" s="38" t="s">
        <v>73</v>
      </c>
      <c r="X129" s="593">
        <f>IFERROR(X128/H128,"0")</f>
        <v>4.5454545454545459</v>
      </c>
      <c r="Y129" s="593">
        <f>IFERROR(Y128/H128,"0")</f>
        <v>5</v>
      </c>
      <c r="Z129" s="593">
        <f>IFERROR(IF(Z128="",0,Z128),"0")</f>
        <v>3.2550000000000003E-2</v>
      </c>
      <c r="AA129" s="594"/>
      <c r="AB129" s="594"/>
      <c r="AC129" s="594"/>
    </row>
    <row r="130" spans="1:68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3"/>
      <c r="P130" s="611" t="s">
        <v>72</v>
      </c>
      <c r="Q130" s="612"/>
      <c r="R130" s="612"/>
      <c r="S130" s="612"/>
      <c r="T130" s="612"/>
      <c r="U130" s="612"/>
      <c r="V130" s="613"/>
      <c r="W130" s="38" t="s">
        <v>67</v>
      </c>
      <c r="X130" s="593">
        <f>IFERROR(SUM(X128:X128),"0")</f>
        <v>9</v>
      </c>
      <c r="Y130" s="593">
        <f>IFERROR(SUM(Y128:Y128),"0")</f>
        <v>9.9</v>
      </c>
      <c r="Z130" s="38"/>
      <c r="AA130" s="594"/>
      <c r="AB130" s="594"/>
      <c r="AC130" s="594"/>
    </row>
    <row r="131" spans="1:68" ht="16.5" hidden="1" customHeight="1" x14ac:dyDescent="0.25">
      <c r="A131" s="607" t="s">
        <v>240</v>
      </c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586"/>
      <c r="AB131" s="586"/>
      <c r="AC131" s="586"/>
    </row>
    <row r="132" spans="1:68" ht="14.25" hidden="1" customHeight="1" x14ac:dyDescent="0.25">
      <c r="A132" s="606" t="s">
        <v>117</v>
      </c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587"/>
      <c r="AB132" s="587"/>
      <c r="AC132" s="587"/>
    </row>
    <row r="133" spans="1:68" ht="27" hidden="1" customHeight="1" x14ac:dyDescent="0.25">
      <c r="A133" s="54" t="s">
        <v>241</v>
      </c>
      <c r="B133" s="54" t="s">
        <v>242</v>
      </c>
      <c r="C133" s="32">
        <v>4301011562</v>
      </c>
      <c r="D133" s="595">
        <v>4680115882577</v>
      </c>
      <c r="E133" s="596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8"/>
      <c r="R133" s="598"/>
      <c r="S133" s="598"/>
      <c r="T133" s="599"/>
      <c r="U133" s="35"/>
      <c r="V133" s="35"/>
      <c r="W133" s="36" t="s">
        <v>67</v>
      </c>
      <c r="X133" s="591">
        <v>0</v>
      </c>
      <c r="Y133" s="592">
        <f>IFERROR(IF(X133="",0,CEILING((X133/$H133),1)*$H133),"")</f>
        <v>0</v>
      </c>
      <c r="Z133" s="37" t="str">
        <f>IFERROR(IF(Y133=0,"",ROUNDUP(Y133/H133,0)*0.00651),"")</f>
        <v/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241</v>
      </c>
      <c r="B134" s="54" t="s">
        <v>244</v>
      </c>
      <c r="C134" s="32">
        <v>4301011564</v>
      </c>
      <c r="D134" s="595">
        <v>4680115882577</v>
      </c>
      <c r="E134" s="596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9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8"/>
      <c r="R134" s="598"/>
      <c r="S134" s="598"/>
      <c r="T134" s="599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601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3"/>
      <c r="P135" s="611" t="s">
        <v>72</v>
      </c>
      <c r="Q135" s="612"/>
      <c r="R135" s="612"/>
      <c r="S135" s="612"/>
      <c r="T135" s="612"/>
      <c r="U135" s="612"/>
      <c r="V135" s="613"/>
      <c r="W135" s="38" t="s">
        <v>73</v>
      </c>
      <c r="X135" s="593">
        <f>IFERROR(X133/H133,"0")+IFERROR(X134/H134,"0")</f>
        <v>0</v>
      </c>
      <c r="Y135" s="593">
        <f>IFERROR(Y133/H133,"0")+IFERROR(Y134/H134,"0")</f>
        <v>0</v>
      </c>
      <c r="Z135" s="593">
        <f>IFERROR(IF(Z133="",0,Z133),"0")+IFERROR(IF(Z134="",0,Z134),"0")</f>
        <v>0</v>
      </c>
      <c r="AA135" s="594"/>
      <c r="AB135" s="594"/>
      <c r="AC135" s="594"/>
    </row>
    <row r="136" spans="1:68" hidden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3"/>
      <c r="P136" s="611" t="s">
        <v>72</v>
      </c>
      <c r="Q136" s="612"/>
      <c r="R136" s="612"/>
      <c r="S136" s="612"/>
      <c r="T136" s="612"/>
      <c r="U136" s="612"/>
      <c r="V136" s="613"/>
      <c r="W136" s="38" t="s">
        <v>67</v>
      </c>
      <c r="X136" s="593">
        <f>IFERROR(SUM(X133:X134),"0")</f>
        <v>0</v>
      </c>
      <c r="Y136" s="593">
        <f>IFERROR(SUM(Y133:Y134),"0")</f>
        <v>0</v>
      </c>
      <c r="Z136" s="38"/>
      <c r="AA136" s="594"/>
      <c r="AB136" s="594"/>
      <c r="AC136" s="594"/>
    </row>
    <row r="137" spans="1:68" ht="14.25" hidden="1" customHeight="1" x14ac:dyDescent="0.25">
      <c r="A137" s="606" t="s">
        <v>62</v>
      </c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587"/>
      <c r="AB137" s="587"/>
      <c r="AC137" s="587"/>
    </row>
    <row r="138" spans="1:68" ht="27" hidden="1" customHeight="1" x14ac:dyDescent="0.25">
      <c r="A138" s="54" t="s">
        <v>245</v>
      </c>
      <c r="B138" s="54" t="s">
        <v>246</v>
      </c>
      <c r="C138" s="32">
        <v>4301031234</v>
      </c>
      <c r="D138" s="595">
        <v>4680115883444</v>
      </c>
      <c r="E138" s="596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8"/>
      <c r="R138" s="598"/>
      <c r="S138" s="598"/>
      <c r="T138" s="599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245</v>
      </c>
      <c r="B139" s="54" t="s">
        <v>248</v>
      </c>
      <c r="C139" s="32">
        <v>4301031235</v>
      </c>
      <c r="D139" s="595">
        <v>4680115883444</v>
      </c>
      <c r="E139" s="596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8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8"/>
      <c r="R139" s="598"/>
      <c r="S139" s="598"/>
      <c r="T139" s="599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01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3"/>
      <c r="P140" s="611" t="s">
        <v>72</v>
      </c>
      <c r="Q140" s="612"/>
      <c r="R140" s="612"/>
      <c r="S140" s="612"/>
      <c r="T140" s="612"/>
      <c r="U140" s="612"/>
      <c r="V140" s="613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hidden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3"/>
      <c r="P141" s="611" t="s">
        <v>72</v>
      </c>
      <c r="Q141" s="612"/>
      <c r="R141" s="612"/>
      <c r="S141" s="612"/>
      <c r="T141" s="612"/>
      <c r="U141" s="612"/>
      <c r="V141" s="613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hidden="1" customHeight="1" x14ac:dyDescent="0.25">
      <c r="A142" s="606" t="s">
        <v>74</v>
      </c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587"/>
      <c r="AB142" s="587"/>
      <c r="AC142" s="587"/>
    </row>
    <row r="143" spans="1:68" ht="16.5" hidden="1" customHeight="1" x14ac:dyDescent="0.25">
      <c r="A143" s="54" t="s">
        <v>249</v>
      </c>
      <c r="B143" s="54" t="s">
        <v>250</v>
      </c>
      <c r="C143" s="32">
        <v>4301051476</v>
      </c>
      <c r="D143" s="595">
        <v>4680115882584</v>
      </c>
      <c r="E143" s="596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8"/>
      <c r="R143" s="598"/>
      <c r="S143" s="598"/>
      <c r="T143" s="599"/>
      <c r="U143" s="35"/>
      <c r="V143" s="35"/>
      <c r="W143" s="36" t="s">
        <v>67</v>
      </c>
      <c r="X143" s="591">
        <v>0</v>
      </c>
      <c r="Y143" s="592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249</v>
      </c>
      <c r="B144" s="54" t="s">
        <v>251</v>
      </c>
      <c r="C144" s="32">
        <v>4301051477</v>
      </c>
      <c r="D144" s="595">
        <v>4680115882584</v>
      </c>
      <c r="E144" s="596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8"/>
      <c r="R144" s="598"/>
      <c r="S144" s="598"/>
      <c r="T144" s="599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01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3"/>
      <c r="P145" s="611" t="s">
        <v>72</v>
      </c>
      <c r="Q145" s="612"/>
      <c r="R145" s="612"/>
      <c r="S145" s="612"/>
      <c r="T145" s="612"/>
      <c r="U145" s="612"/>
      <c r="V145" s="613"/>
      <c r="W145" s="38" t="s">
        <v>73</v>
      </c>
      <c r="X145" s="593">
        <f>IFERROR(X143/H143,"0")+IFERROR(X144/H144,"0")</f>
        <v>0</v>
      </c>
      <c r="Y145" s="593">
        <f>IFERROR(Y143/H143,"0")+IFERROR(Y144/H144,"0")</f>
        <v>0</v>
      </c>
      <c r="Z145" s="593">
        <f>IFERROR(IF(Z143="",0,Z143),"0")+IFERROR(IF(Z144="",0,Z144),"0")</f>
        <v>0</v>
      </c>
      <c r="AA145" s="594"/>
      <c r="AB145" s="594"/>
      <c r="AC145" s="594"/>
    </row>
    <row r="146" spans="1:68" hidden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3"/>
      <c r="P146" s="611" t="s">
        <v>72</v>
      </c>
      <c r="Q146" s="612"/>
      <c r="R146" s="612"/>
      <c r="S146" s="612"/>
      <c r="T146" s="612"/>
      <c r="U146" s="612"/>
      <c r="V146" s="613"/>
      <c r="W146" s="38" t="s">
        <v>67</v>
      </c>
      <c r="X146" s="593">
        <f>IFERROR(SUM(X143:X144),"0")</f>
        <v>0</v>
      </c>
      <c r="Y146" s="593">
        <f>IFERROR(SUM(Y143:Y144),"0")</f>
        <v>0</v>
      </c>
      <c r="Z146" s="38"/>
      <c r="AA146" s="594"/>
      <c r="AB146" s="594"/>
      <c r="AC146" s="594"/>
    </row>
    <row r="147" spans="1:68" ht="16.5" hidden="1" customHeight="1" x14ac:dyDescent="0.25">
      <c r="A147" s="607" t="s">
        <v>252</v>
      </c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586"/>
      <c r="AB147" s="586"/>
      <c r="AC147" s="586"/>
    </row>
    <row r="148" spans="1:68" ht="14.25" hidden="1" customHeight="1" x14ac:dyDescent="0.25">
      <c r="A148" s="606" t="s">
        <v>74</v>
      </c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587"/>
      <c r="AB148" s="587"/>
      <c r="AC148" s="587"/>
    </row>
    <row r="149" spans="1:68" ht="27" hidden="1" customHeight="1" x14ac:dyDescent="0.25">
      <c r="A149" s="54" t="s">
        <v>253</v>
      </c>
      <c r="B149" s="54" t="s">
        <v>254</v>
      </c>
      <c r="C149" s="32">
        <v>4301052174</v>
      </c>
      <c r="D149" s="595">
        <v>4680115888203</v>
      </c>
      <c r="E149" s="596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9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8"/>
      <c r="R149" s="598"/>
      <c r="S149" s="598"/>
      <c r="T149" s="599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2">
        <v>4301052172</v>
      </c>
      <c r="D150" s="595">
        <v>4680115888180</v>
      </c>
      <c r="E150" s="596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8"/>
      <c r="R150" s="598"/>
      <c r="S150" s="598"/>
      <c r="T150" s="599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2">
        <v>4301052173</v>
      </c>
      <c r="D151" s="595">
        <v>4680115888197</v>
      </c>
      <c r="E151" s="596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93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8"/>
      <c r="R151" s="598"/>
      <c r="S151" s="598"/>
      <c r="T151" s="599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262</v>
      </c>
      <c r="B152" s="54" t="s">
        <v>263</v>
      </c>
      <c r="C152" s="32">
        <v>4301052175</v>
      </c>
      <c r="D152" s="595">
        <v>4680115888210</v>
      </c>
      <c r="E152" s="596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8"/>
      <c r="R152" s="598"/>
      <c r="S152" s="598"/>
      <c r="T152" s="599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1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3"/>
      <c r="P153" s="611" t="s">
        <v>72</v>
      </c>
      <c r="Q153" s="612"/>
      <c r="R153" s="612"/>
      <c r="S153" s="612"/>
      <c r="T153" s="612"/>
      <c r="U153" s="612"/>
      <c r="V153" s="613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hidden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3"/>
      <c r="P154" s="611" t="s">
        <v>72</v>
      </c>
      <c r="Q154" s="612"/>
      <c r="R154" s="612"/>
      <c r="S154" s="612"/>
      <c r="T154" s="612"/>
      <c r="U154" s="612"/>
      <c r="V154" s="613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hidden="1" customHeight="1" x14ac:dyDescent="0.25">
      <c r="A155" s="607" t="s">
        <v>115</v>
      </c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586"/>
      <c r="AB155" s="586"/>
      <c r="AC155" s="586"/>
    </row>
    <row r="156" spans="1:68" ht="14.25" hidden="1" customHeight="1" x14ac:dyDescent="0.25">
      <c r="A156" s="606" t="s">
        <v>117</v>
      </c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587"/>
      <c r="AB156" s="587"/>
      <c r="AC156" s="587"/>
    </row>
    <row r="157" spans="1:68" ht="27" customHeight="1" x14ac:dyDescent="0.25">
      <c r="A157" s="54" t="s">
        <v>265</v>
      </c>
      <c r="B157" s="54" t="s">
        <v>266</v>
      </c>
      <c r="C157" s="32">
        <v>4301012244</v>
      </c>
      <c r="D157" s="595">
        <v>4680115887374</v>
      </c>
      <c r="E157" s="596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6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8"/>
      <c r="R157" s="598"/>
      <c r="S157" s="598"/>
      <c r="T157" s="599"/>
      <c r="U157" s="35"/>
      <c r="V157" s="35"/>
      <c r="W157" s="36" t="s">
        <v>67</v>
      </c>
      <c r="X157" s="591">
        <v>6</v>
      </c>
      <c r="Y157" s="592">
        <f>IFERROR(IF(X157="",0,CEILING((X157/$H157),1)*$H157),"")</f>
        <v>12.8</v>
      </c>
      <c r="Z157" s="37">
        <f>IFERROR(IF(Y157=0,"",ROUNDUP(Y157/H157,0)*0.01898),"")</f>
        <v>1.898E-2</v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6.1921875000000002</v>
      </c>
      <c r="BN157" s="64">
        <f>IFERROR(Y157*I157/H157,"0")</f>
        <v>13.21</v>
      </c>
      <c r="BO157" s="64">
        <f>IFERROR(1/J157*(X157/H157),"0")</f>
        <v>7.32421875E-3</v>
      </c>
      <c r="BP157" s="64">
        <f>IFERROR(1/J157*(Y157/H157),"0")</f>
        <v>1.5625E-2</v>
      </c>
    </row>
    <row r="158" spans="1:68" ht="27" hidden="1" customHeight="1" x14ac:dyDescent="0.25">
      <c r="A158" s="54" t="s">
        <v>268</v>
      </c>
      <c r="B158" s="54" t="s">
        <v>269</v>
      </c>
      <c r="C158" s="32">
        <v>4301011705</v>
      </c>
      <c r="D158" s="595">
        <v>4607091384604</v>
      </c>
      <c r="E158" s="596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66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8"/>
      <c r="R158" s="598"/>
      <c r="S158" s="598"/>
      <c r="T158" s="599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01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3"/>
      <c r="P159" s="611" t="s">
        <v>72</v>
      </c>
      <c r="Q159" s="612"/>
      <c r="R159" s="612"/>
      <c r="S159" s="612"/>
      <c r="T159" s="612"/>
      <c r="U159" s="612"/>
      <c r="V159" s="613"/>
      <c r="W159" s="38" t="s">
        <v>73</v>
      </c>
      <c r="X159" s="593">
        <f>IFERROR(X157/H157,"0")+IFERROR(X158/H158,"0")</f>
        <v>0.46875</v>
      </c>
      <c r="Y159" s="593">
        <f>IFERROR(Y157/H157,"0")+IFERROR(Y158/H158,"0")</f>
        <v>1</v>
      </c>
      <c r="Z159" s="593">
        <f>IFERROR(IF(Z157="",0,Z157),"0")+IFERROR(IF(Z158="",0,Z158),"0")</f>
        <v>1.898E-2</v>
      </c>
      <c r="AA159" s="594"/>
      <c r="AB159" s="594"/>
      <c r="AC159" s="594"/>
    </row>
    <row r="160" spans="1:68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3"/>
      <c r="P160" s="611" t="s">
        <v>72</v>
      </c>
      <c r="Q160" s="612"/>
      <c r="R160" s="612"/>
      <c r="S160" s="612"/>
      <c r="T160" s="612"/>
      <c r="U160" s="612"/>
      <c r="V160" s="613"/>
      <c r="W160" s="38" t="s">
        <v>67</v>
      </c>
      <c r="X160" s="593">
        <f>IFERROR(SUM(X157:X158),"0")</f>
        <v>6</v>
      </c>
      <c r="Y160" s="593">
        <f>IFERROR(SUM(Y157:Y158),"0")</f>
        <v>12.8</v>
      </c>
      <c r="Z160" s="38"/>
      <c r="AA160" s="594"/>
      <c r="AB160" s="594"/>
      <c r="AC160" s="594"/>
    </row>
    <row r="161" spans="1:68" ht="14.25" hidden="1" customHeight="1" x14ac:dyDescent="0.25">
      <c r="A161" s="606" t="s">
        <v>152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587"/>
      <c r="AB161" s="587"/>
      <c r="AC161" s="587"/>
    </row>
    <row r="162" spans="1:68" ht="16.5" hidden="1" customHeight="1" x14ac:dyDescent="0.25">
      <c r="A162" s="54" t="s">
        <v>271</v>
      </c>
      <c r="B162" s="54" t="s">
        <v>272</v>
      </c>
      <c r="C162" s="32">
        <v>4301020410</v>
      </c>
      <c r="D162" s="595">
        <v>4680115887695</v>
      </c>
      <c r="E162" s="596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8"/>
      <c r="R162" s="598"/>
      <c r="S162" s="598"/>
      <c r="T162" s="599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1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3"/>
      <c r="P163" s="611" t="s">
        <v>72</v>
      </c>
      <c r="Q163" s="612"/>
      <c r="R163" s="612"/>
      <c r="S163" s="612"/>
      <c r="T163" s="612"/>
      <c r="U163" s="612"/>
      <c r="V163" s="613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hidden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3"/>
      <c r="P164" s="611" t="s">
        <v>72</v>
      </c>
      <c r="Q164" s="612"/>
      <c r="R164" s="612"/>
      <c r="S164" s="612"/>
      <c r="T164" s="612"/>
      <c r="U164" s="612"/>
      <c r="V164" s="613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hidden="1" customHeight="1" x14ac:dyDescent="0.25">
      <c r="A165" s="606" t="s">
        <v>62</v>
      </c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587"/>
      <c r="AB165" s="587"/>
      <c r="AC165" s="587"/>
    </row>
    <row r="166" spans="1:68" ht="27" hidden="1" customHeight="1" x14ac:dyDescent="0.25">
      <c r="A166" s="54" t="s">
        <v>274</v>
      </c>
      <c r="B166" s="54" t="s">
        <v>275</v>
      </c>
      <c r="C166" s="32">
        <v>4301031496</v>
      </c>
      <c r="D166" s="595">
        <v>4680115887428</v>
      </c>
      <c r="E166" s="596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8"/>
      <c r="R166" s="598"/>
      <c r="S166" s="598"/>
      <c r="T166" s="599"/>
      <c r="U166" s="35"/>
      <c r="V166" s="35"/>
      <c r="W166" s="36" t="s">
        <v>67</v>
      </c>
      <c r="X166" s="591">
        <v>0</v>
      </c>
      <c r="Y166" s="592">
        <f t="shared" ref="Y166:Y175" si="21">IFERROR(IF(X166="",0,CEILING((X166/$H166),1)*$H166),"")</f>
        <v>0</v>
      </c>
      <c r="Z166" s="37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0</v>
      </c>
      <c r="BN166" s="64">
        <f t="shared" ref="BN166:BN175" si="23">IFERROR(Y166*I166/H166,"0")</f>
        <v>0</v>
      </c>
      <c r="BO166" s="64">
        <f t="shared" ref="BO166:BO175" si="24">IFERROR(1/J166*(X166/H166),"0")</f>
        <v>0</v>
      </c>
      <c r="BP166" s="64">
        <f t="shared" ref="BP166:BP175" si="25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2">
        <v>4301030963</v>
      </c>
      <c r="D167" s="595">
        <v>4607091382426</v>
      </c>
      <c r="E167" s="596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7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8"/>
      <c r="R167" s="598"/>
      <c r="S167" s="598"/>
      <c r="T167" s="599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hidden="1" customHeight="1" x14ac:dyDescent="0.25">
      <c r="A168" s="54" t="s">
        <v>280</v>
      </c>
      <c r="B168" s="54" t="s">
        <v>281</v>
      </c>
      <c r="C168" s="32">
        <v>4301031498</v>
      </c>
      <c r="D168" s="595">
        <v>4680115887398</v>
      </c>
      <c r="E168" s="596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8"/>
      <c r="R168" s="598"/>
      <c r="S168" s="598"/>
      <c r="T168" s="599"/>
      <c r="U168" s="35"/>
      <c r="V168" s="35"/>
      <c r="W168" s="36" t="s">
        <v>67</v>
      </c>
      <c r="X168" s="591">
        <v>0</v>
      </c>
      <c r="Y168" s="592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283</v>
      </c>
      <c r="B169" s="54" t="s">
        <v>284</v>
      </c>
      <c r="C169" s="32">
        <v>4301031497</v>
      </c>
      <c r="D169" s="595">
        <v>4680115887336</v>
      </c>
      <c r="E169" s="596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8"/>
      <c r="R169" s="598"/>
      <c r="S169" s="598"/>
      <c r="T169" s="599"/>
      <c r="U169" s="35"/>
      <c r="V169" s="35"/>
      <c r="W169" s="36" t="s">
        <v>67</v>
      </c>
      <c r="X169" s="591">
        <v>0</v>
      </c>
      <c r="Y169" s="592">
        <f t="shared" si="21"/>
        <v>0</v>
      </c>
      <c r="Z169" s="37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16.5" hidden="1" customHeight="1" x14ac:dyDescent="0.25">
      <c r="A170" s="54" t="s">
        <v>286</v>
      </c>
      <c r="B170" s="54" t="s">
        <v>287</v>
      </c>
      <c r="C170" s="32">
        <v>4301032049</v>
      </c>
      <c r="D170" s="595">
        <v>4680115887787</v>
      </c>
      <c r="E170" s="596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6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8"/>
      <c r="R170" s="598"/>
      <c r="S170" s="598"/>
      <c r="T170" s="599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289</v>
      </c>
      <c r="B171" s="54" t="s">
        <v>290</v>
      </c>
      <c r="C171" s="32">
        <v>4301031448</v>
      </c>
      <c r="D171" s="595">
        <v>4680115887503</v>
      </c>
      <c r="E171" s="596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6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8"/>
      <c r="R171" s="598"/>
      <c r="S171" s="598"/>
      <c r="T171" s="599"/>
      <c r="U171" s="35"/>
      <c r="V171" s="35"/>
      <c r="W171" s="36" t="s">
        <v>67</v>
      </c>
      <c r="X171" s="591">
        <v>4</v>
      </c>
      <c r="Y171" s="592">
        <f t="shared" si="21"/>
        <v>5.04</v>
      </c>
      <c r="Z171" s="37">
        <f>IFERROR(IF(Y171=0,"",ROUNDUP(Y171/H171,0)*0.00502),"")</f>
        <v>1.506E-2</v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4.2380952380952381</v>
      </c>
      <c r="BN171" s="64">
        <f t="shared" si="23"/>
        <v>5.34</v>
      </c>
      <c r="BO171" s="64">
        <f t="shared" si="24"/>
        <v>1.0175010175010176E-2</v>
      </c>
      <c r="BP171" s="64">
        <f t="shared" si="25"/>
        <v>1.2820512820512822E-2</v>
      </c>
    </row>
    <row r="172" spans="1:68" ht="27" hidden="1" customHeight="1" x14ac:dyDescent="0.25">
      <c r="A172" s="54" t="s">
        <v>291</v>
      </c>
      <c r="B172" s="54" t="s">
        <v>292</v>
      </c>
      <c r="C172" s="32">
        <v>4301031389</v>
      </c>
      <c r="D172" s="595">
        <v>4680115887763</v>
      </c>
      <c r="E172" s="596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6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8"/>
      <c r="R172" s="598"/>
      <c r="S172" s="598"/>
      <c r="T172" s="599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2">
        <v>4301031454</v>
      </c>
      <c r="D173" s="595">
        <v>4680115887480</v>
      </c>
      <c r="E173" s="596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7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8"/>
      <c r="R173" s="598"/>
      <c r="S173" s="598"/>
      <c r="T173" s="599"/>
      <c r="U173" s="35"/>
      <c r="V173" s="35"/>
      <c r="W173" s="36" t="s">
        <v>67</v>
      </c>
      <c r="X173" s="591">
        <v>54</v>
      </c>
      <c r="Y173" s="592">
        <f t="shared" si="21"/>
        <v>55.44</v>
      </c>
      <c r="Z173" s="37">
        <f>IFERROR(IF(Y173=0,"",ROUNDUP(Y173/H173,0)*0.00502),"")</f>
        <v>0.16566</v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57.214285714285722</v>
      </c>
      <c r="BN173" s="64">
        <f t="shared" si="23"/>
        <v>58.74</v>
      </c>
      <c r="BO173" s="64">
        <f t="shared" si="24"/>
        <v>0.1373626373626374</v>
      </c>
      <c r="BP173" s="64">
        <f t="shared" si="25"/>
        <v>0.14102564102564105</v>
      </c>
    </row>
    <row r="174" spans="1:68" ht="27" hidden="1" customHeight="1" x14ac:dyDescent="0.25">
      <c r="A174" s="54" t="s">
        <v>296</v>
      </c>
      <c r="B174" s="54" t="s">
        <v>297</v>
      </c>
      <c r="C174" s="32">
        <v>4301031434</v>
      </c>
      <c r="D174" s="595">
        <v>4680115888067</v>
      </c>
      <c r="E174" s="596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9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8"/>
      <c r="R174" s="598"/>
      <c r="S174" s="598"/>
      <c r="T174" s="599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299</v>
      </c>
      <c r="B175" s="54" t="s">
        <v>300</v>
      </c>
      <c r="C175" s="32">
        <v>4301031451</v>
      </c>
      <c r="D175" s="595">
        <v>4680115887435</v>
      </c>
      <c r="E175" s="596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8"/>
      <c r="R175" s="598"/>
      <c r="S175" s="598"/>
      <c r="T175" s="599"/>
      <c r="U175" s="35"/>
      <c r="V175" s="35"/>
      <c r="W175" s="36" t="s">
        <v>67</v>
      </c>
      <c r="X175" s="591">
        <v>48</v>
      </c>
      <c r="Y175" s="592">
        <f t="shared" si="21"/>
        <v>48.72</v>
      </c>
      <c r="Z175" s="37">
        <f>IFERROR(IF(Y175=0,"",ROUNDUP(Y175/H175,0)*0.00502),"")</f>
        <v>0.14558000000000001</v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50.857142857142861</v>
      </c>
      <c r="BN175" s="64">
        <f t="shared" si="23"/>
        <v>51.62</v>
      </c>
      <c r="BO175" s="64">
        <f t="shared" si="24"/>
        <v>0.12210012210012212</v>
      </c>
      <c r="BP175" s="64">
        <f t="shared" si="25"/>
        <v>0.12393162393162395</v>
      </c>
    </row>
    <row r="176" spans="1:68" x14ac:dyDescent="0.2">
      <c r="A176" s="601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3"/>
      <c r="P176" s="611" t="s">
        <v>72</v>
      </c>
      <c r="Q176" s="612"/>
      <c r="R176" s="612"/>
      <c r="S176" s="612"/>
      <c r="T176" s="612"/>
      <c r="U176" s="612"/>
      <c r="V176" s="613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63.095238095238102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65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0.32630000000000003</v>
      </c>
      <c r="AA176" s="594"/>
      <c r="AB176" s="594"/>
      <c r="AC176" s="594"/>
    </row>
    <row r="177" spans="1:68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3"/>
      <c r="P177" s="611" t="s">
        <v>72</v>
      </c>
      <c r="Q177" s="612"/>
      <c r="R177" s="612"/>
      <c r="S177" s="612"/>
      <c r="T177" s="612"/>
      <c r="U177" s="612"/>
      <c r="V177" s="613"/>
      <c r="W177" s="38" t="s">
        <v>67</v>
      </c>
      <c r="X177" s="593">
        <f>IFERROR(SUM(X166:X175),"0")</f>
        <v>106</v>
      </c>
      <c r="Y177" s="593">
        <f>IFERROR(SUM(Y166:Y175),"0")</f>
        <v>109.19999999999999</v>
      </c>
      <c r="Z177" s="38"/>
      <c r="AA177" s="594"/>
      <c r="AB177" s="594"/>
      <c r="AC177" s="594"/>
    </row>
    <row r="178" spans="1:68" ht="14.25" hidden="1" customHeight="1" x14ac:dyDescent="0.25">
      <c r="A178" s="606" t="s">
        <v>74</v>
      </c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587"/>
      <c r="AB178" s="587"/>
      <c r="AC178" s="587"/>
    </row>
    <row r="179" spans="1:68" ht="16.5" hidden="1" customHeight="1" x14ac:dyDescent="0.25">
      <c r="A179" s="54" t="s">
        <v>301</v>
      </c>
      <c r="B179" s="54" t="s">
        <v>302</v>
      </c>
      <c r="C179" s="32">
        <v>4301052193</v>
      </c>
      <c r="D179" s="595">
        <v>4680115888395</v>
      </c>
      <c r="E179" s="596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8"/>
      <c r="R179" s="598"/>
      <c r="S179" s="598"/>
      <c r="T179" s="599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304</v>
      </c>
      <c r="B180" s="54" t="s">
        <v>305</v>
      </c>
      <c r="C180" s="32">
        <v>4301052191</v>
      </c>
      <c r="D180" s="595">
        <v>4680115888371</v>
      </c>
      <c r="E180" s="596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8"/>
      <c r="R180" s="598"/>
      <c r="S180" s="598"/>
      <c r="T180" s="599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307</v>
      </c>
      <c r="B181" s="54" t="s">
        <v>308</v>
      </c>
      <c r="C181" s="32">
        <v>4301052064</v>
      </c>
      <c r="D181" s="595">
        <v>4680115887459</v>
      </c>
      <c r="E181" s="596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8"/>
      <c r="R181" s="598"/>
      <c r="S181" s="598"/>
      <c r="T181" s="599"/>
      <c r="U181" s="35"/>
      <c r="V181" s="35"/>
      <c r="W181" s="36" t="s">
        <v>67</v>
      </c>
      <c r="X181" s="591">
        <v>5</v>
      </c>
      <c r="Y181" s="592">
        <f>IFERROR(IF(X181="",0,CEILING((X181/$H181),1)*$H181),"")</f>
        <v>5.4</v>
      </c>
      <c r="Z181" s="37">
        <f>IFERROR(IF(Y181=0,"",ROUNDUP(Y181/H181,0)*0.00651),"")</f>
        <v>1.9529999999999999E-2</v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5.7166666666666659</v>
      </c>
      <c r="BN181" s="64">
        <f>IFERROR(Y181*I181/H181,"0")</f>
        <v>6.1739999999999995</v>
      </c>
      <c r="BO181" s="64">
        <f>IFERROR(1/J181*(X181/H181),"0")</f>
        <v>1.5262515262515264E-2</v>
      </c>
      <c r="BP181" s="64">
        <f>IFERROR(1/J181*(Y181/H181),"0")</f>
        <v>1.6483516483516484E-2</v>
      </c>
    </row>
    <row r="182" spans="1:68" x14ac:dyDescent="0.2">
      <c r="A182" s="601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3"/>
      <c r="P182" s="611" t="s">
        <v>72</v>
      </c>
      <c r="Q182" s="612"/>
      <c r="R182" s="612"/>
      <c r="S182" s="612"/>
      <c r="T182" s="612"/>
      <c r="U182" s="612"/>
      <c r="V182" s="613"/>
      <c r="W182" s="38" t="s">
        <v>73</v>
      </c>
      <c r="X182" s="593">
        <f>IFERROR(X179/H179,"0")+IFERROR(X180/H180,"0")+IFERROR(X181/H181,"0")</f>
        <v>2.7777777777777777</v>
      </c>
      <c r="Y182" s="593">
        <f>IFERROR(Y179/H179,"0")+IFERROR(Y180/H180,"0")+IFERROR(Y181/H181,"0")</f>
        <v>3</v>
      </c>
      <c r="Z182" s="593">
        <f>IFERROR(IF(Z179="",0,Z179),"0")+IFERROR(IF(Z180="",0,Z180),"0")+IFERROR(IF(Z181="",0,Z181),"0")</f>
        <v>1.9529999999999999E-2</v>
      </c>
      <c r="AA182" s="594"/>
      <c r="AB182" s="594"/>
      <c r="AC182" s="594"/>
    </row>
    <row r="183" spans="1:68" x14ac:dyDescent="0.2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3"/>
      <c r="P183" s="611" t="s">
        <v>72</v>
      </c>
      <c r="Q183" s="612"/>
      <c r="R183" s="612"/>
      <c r="S183" s="612"/>
      <c r="T183" s="612"/>
      <c r="U183" s="612"/>
      <c r="V183" s="613"/>
      <c r="W183" s="38" t="s">
        <v>67</v>
      </c>
      <c r="X183" s="593">
        <f>IFERROR(SUM(X179:X181),"0")</f>
        <v>5</v>
      </c>
      <c r="Y183" s="593">
        <f>IFERROR(SUM(Y179:Y181),"0")</f>
        <v>5.4</v>
      </c>
      <c r="Z183" s="38"/>
      <c r="AA183" s="594"/>
      <c r="AB183" s="594"/>
      <c r="AC183" s="594"/>
    </row>
    <row r="184" spans="1:68" ht="14.25" hidden="1" customHeight="1" x14ac:dyDescent="0.25">
      <c r="A184" s="606" t="s">
        <v>95</v>
      </c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587"/>
      <c r="AB184" s="587"/>
      <c r="AC184" s="587"/>
    </row>
    <row r="185" spans="1:68" ht="16.5" hidden="1" customHeight="1" x14ac:dyDescent="0.25">
      <c r="A185" s="54" t="s">
        <v>310</v>
      </c>
      <c r="B185" s="54" t="s">
        <v>311</v>
      </c>
      <c r="C185" s="32">
        <v>4301032058</v>
      </c>
      <c r="D185" s="595">
        <v>4680115889026</v>
      </c>
      <c r="E185" s="596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8"/>
      <c r="R185" s="598"/>
      <c r="S185" s="598"/>
      <c r="T185" s="599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315</v>
      </c>
      <c r="B186" s="54" t="s">
        <v>316</v>
      </c>
      <c r="C186" s="32">
        <v>4301032057</v>
      </c>
      <c r="D186" s="595">
        <v>4680115889088</v>
      </c>
      <c r="E186" s="596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89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8"/>
      <c r="R186" s="598"/>
      <c r="S186" s="598"/>
      <c r="T186" s="599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1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3"/>
      <c r="P187" s="611" t="s">
        <v>72</v>
      </c>
      <c r="Q187" s="612"/>
      <c r="R187" s="612"/>
      <c r="S187" s="612"/>
      <c r="T187" s="612"/>
      <c r="U187" s="612"/>
      <c r="V187" s="613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hidden="1" x14ac:dyDescent="0.2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3"/>
      <c r="P188" s="611" t="s">
        <v>72</v>
      </c>
      <c r="Q188" s="612"/>
      <c r="R188" s="612"/>
      <c r="S188" s="612"/>
      <c r="T188" s="612"/>
      <c r="U188" s="612"/>
      <c r="V188" s="613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hidden="1" customHeight="1" x14ac:dyDescent="0.25">
      <c r="A189" s="606" t="s">
        <v>318</v>
      </c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587"/>
      <c r="AB189" s="587"/>
      <c r="AC189" s="587"/>
    </row>
    <row r="190" spans="1:68" ht="27" hidden="1" customHeight="1" x14ac:dyDescent="0.25">
      <c r="A190" s="54" t="s">
        <v>319</v>
      </c>
      <c r="B190" s="54" t="s">
        <v>320</v>
      </c>
      <c r="C190" s="32">
        <v>4301041009</v>
      </c>
      <c r="D190" s="595">
        <v>4680115889033</v>
      </c>
      <c r="E190" s="596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8"/>
      <c r="R190" s="598"/>
      <c r="S190" s="598"/>
      <c r="T190" s="599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1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3"/>
      <c r="P191" s="611" t="s">
        <v>72</v>
      </c>
      <c r="Q191" s="612"/>
      <c r="R191" s="612"/>
      <c r="S191" s="612"/>
      <c r="T191" s="612"/>
      <c r="U191" s="612"/>
      <c r="V191" s="613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hidden="1" x14ac:dyDescent="0.2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3"/>
      <c r="P192" s="611" t="s">
        <v>72</v>
      </c>
      <c r="Q192" s="612"/>
      <c r="R192" s="612"/>
      <c r="S192" s="612"/>
      <c r="T192" s="612"/>
      <c r="U192" s="612"/>
      <c r="V192" s="613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hidden="1" customHeight="1" x14ac:dyDescent="0.2">
      <c r="A193" s="759" t="s">
        <v>322</v>
      </c>
      <c r="B193" s="760"/>
      <c r="C193" s="760"/>
      <c r="D193" s="760"/>
      <c r="E193" s="760"/>
      <c r="F193" s="760"/>
      <c r="G193" s="760"/>
      <c r="H193" s="760"/>
      <c r="I193" s="760"/>
      <c r="J193" s="760"/>
      <c r="K193" s="760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49"/>
      <c r="AB193" s="49"/>
      <c r="AC193" s="49"/>
    </row>
    <row r="194" spans="1:68" ht="16.5" hidden="1" customHeight="1" x14ac:dyDescent="0.25">
      <c r="A194" s="607" t="s">
        <v>323</v>
      </c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586"/>
      <c r="AB194" s="586"/>
      <c r="AC194" s="586"/>
    </row>
    <row r="195" spans="1:68" ht="14.25" hidden="1" customHeight="1" x14ac:dyDescent="0.25">
      <c r="A195" s="606" t="s">
        <v>117</v>
      </c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587"/>
      <c r="AB195" s="587"/>
      <c r="AC195" s="587"/>
    </row>
    <row r="196" spans="1:68" ht="27" hidden="1" customHeight="1" x14ac:dyDescent="0.25">
      <c r="A196" s="54" t="s">
        <v>324</v>
      </c>
      <c r="B196" s="54" t="s">
        <v>325</v>
      </c>
      <c r="C196" s="32">
        <v>4301011223</v>
      </c>
      <c r="D196" s="595">
        <v>4607091383423</v>
      </c>
      <c r="E196" s="596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8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8"/>
      <c r="R196" s="598"/>
      <c r="S196" s="598"/>
      <c r="T196" s="599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326</v>
      </c>
      <c r="B197" s="54" t="s">
        <v>327</v>
      </c>
      <c r="C197" s="32">
        <v>4301012199</v>
      </c>
      <c r="D197" s="595">
        <v>4680115886957</v>
      </c>
      <c r="E197" s="596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75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8"/>
      <c r="R197" s="598"/>
      <c r="S197" s="598"/>
      <c r="T197" s="599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329</v>
      </c>
      <c r="B198" s="54" t="s">
        <v>330</v>
      </c>
      <c r="C198" s="32">
        <v>4301012098</v>
      </c>
      <c r="D198" s="595">
        <v>4680115885660</v>
      </c>
      <c r="E198" s="596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8"/>
      <c r="R198" s="598"/>
      <c r="S198" s="598"/>
      <c r="T198" s="599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332</v>
      </c>
      <c r="B199" s="54" t="s">
        <v>333</v>
      </c>
      <c r="C199" s="32">
        <v>4301012176</v>
      </c>
      <c r="D199" s="595">
        <v>4680115886773</v>
      </c>
      <c r="E199" s="596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90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8"/>
      <c r="R199" s="598"/>
      <c r="S199" s="598"/>
      <c r="T199" s="599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1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3"/>
      <c r="P200" s="611" t="s">
        <v>72</v>
      </c>
      <c r="Q200" s="612"/>
      <c r="R200" s="612"/>
      <c r="S200" s="612"/>
      <c r="T200" s="612"/>
      <c r="U200" s="612"/>
      <c r="V200" s="613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hidden="1" x14ac:dyDescent="0.2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3"/>
      <c r="P201" s="611" t="s">
        <v>72</v>
      </c>
      <c r="Q201" s="612"/>
      <c r="R201" s="612"/>
      <c r="S201" s="612"/>
      <c r="T201" s="612"/>
      <c r="U201" s="612"/>
      <c r="V201" s="613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hidden="1" customHeight="1" x14ac:dyDescent="0.25">
      <c r="A202" s="607" t="s">
        <v>335</v>
      </c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586"/>
      <c r="AB202" s="586"/>
      <c r="AC202" s="586"/>
    </row>
    <row r="203" spans="1:68" ht="14.25" hidden="1" customHeight="1" x14ac:dyDescent="0.25">
      <c r="A203" s="606" t="s">
        <v>152</v>
      </c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587"/>
      <c r="AB203" s="587"/>
      <c r="AC203" s="587"/>
    </row>
    <row r="204" spans="1:68" ht="27" hidden="1" customHeight="1" x14ac:dyDescent="0.25">
      <c r="A204" s="54" t="s">
        <v>336</v>
      </c>
      <c r="B204" s="54" t="s">
        <v>337</v>
      </c>
      <c r="C204" s="32">
        <v>4301020323</v>
      </c>
      <c r="D204" s="595">
        <v>4680115886223</v>
      </c>
      <c r="E204" s="596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8"/>
      <c r="R204" s="598"/>
      <c r="S204" s="598"/>
      <c r="T204" s="599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1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3"/>
      <c r="P205" s="611" t="s">
        <v>72</v>
      </c>
      <c r="Q205" s="612"/>
      <c r="R205" s="612"/>
      <c r="S205" s="612"/>
      <c r="T205" s="612"/>
      <c r="U205" s="612"/>
      <c r="V205" s="613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hidden="1" x14ac:dyDescent="0.2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3"/>
      <c r="P206" s="611" t="s">
        <v>72</v>
      </c>
      <c r="Q206" s="612"/>
      <c r="R206" s="612"/>
      <c r="S206" s="612"/>
      <c r="T206" s="612"/>
      <c r="U206" s="612"/>
      <c r="V206" s="613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hidden="1" customHeight="1" x14ac:dyDescent="0.25">
      <c r="A207" s="606" t="s">
        <v>62</v>
      </c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587"/>
      <c r="AB207" s="587"/>
      <c r="AC207" s="587"/>
    </row>
    <row r="208" spans="1:68" ht="27" hidden="1" customHeight="1" x14ac:dyDescent="0.25">
      <c r="A208" s="54" t="s">
        <v>339</v>
      </c>
      <c r="B208" s="54" t="s">
        <v>340</v>
      </c>
      <c r="C208" s="32">
        <v>4301031191</v>
      </c>
      <c r="D208" s="595">
        <v>4680115880993</v>
      </c>
      <c r="E208" s="596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76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8"/>
      <c r="R208" s="598"/>
      <c r="S208" s="598"/>
      <c r="T208" s="599"/>
      <c r="U208" s="35"/>
      <c r="V208" s="35"/>
      <c r="W208" s="36" t="s">
        <v>67</v>
      </c>
      <c r="X208" s="591">
        <v>0</v>
      </c>
      <c r="Y208" s="592">
        <f t="shared" ref="Y208:Y221" si="26">IFERROR(IF(X208="",0,CEILING((X208/$H208),1)*$H208),"")</f>
        <v>0</v>
      </c>
      <c r="Z208" s="37" t="str">
        <f>IFERROR(IF(Y208=0,"",ROUNDUP(Y208/H208,0)*0.00902),"")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0</v>
      </c>
      <c r="BN208" s="64">
        <f t="shared" ref="BN208:BN221" si="28">IFERROR(Y208*I208/H208,"0")</f>
        <v>0</v>
      </c>
      <c r="BO208" s="64">
        <f t="shared" ref="BO208:BO221" si="29">IFERROR(1/J208*(X208/H208),"0")</f>
        <v>0</v>
      </c>
      <c r="BP208" s="64">
        <f t="shared" ref="BP208:BP221" si="30">IFERROR(1/J208*(Y208/H208),"0")</f>
        <v>0</v>
      </c>
    </row>
    <row r="209" spans="1:68" ht="27" hidden="1" customHeight="1" x14ac:dyDescent="0.25">
      <c r="A209" s="54" t="s">
        <v>342</v>
      </c>
      <c r="B209" s="54" t="s">
        <v>343</v>
      </c>
      <c r="C209" s="32">
        <v>4301031204</v>
      </c>
      <c r="D209" s="595">
        <v>4680115881761</v>
      </c>
      <c r="E209" s="596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6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8"/>
      <c r="R209" s="598"/>
      <c r="S209" s="598"/>
      <c r="T209" s="599"/>
      <c r="U209" s="35"/>
      <c r="V209" s="35"/>
      <c r="W209" s="36" t="s">
        <v>67</v>
      </c>
      <c r="X209" s="591">
        <v>0</v>
      </c>
      <c r="Y209" s="592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customHeight="1" x14ac:dyDescent="0.25">
      <c r="A210" s="54" t="s">
        <v>345</v>
      </c>
      <c r="B210" s="54" t="s">
        <v>346</v>
      </c>
      <c r="C210" s="32">
        <v>4301031201</v>
      </c>
      <c r="D210" s="595">
        <v>4680115881563</v>
      </c>
      <c r="E210" s="596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8"/>
      <c r="R210" s="598"/>
      <c r="S210" s="598"/>
      <c r="T210" s="599"/>
      <c r="U210" s="35"/>
      <c r="V210" s="35"/>
      <c r="W210" s="36" t="s">
        <v>67</v>
      </c>
      <c r="X210" s="591">
        <v>8</v>
      </c>
      <c r="Y210" s="592">
        <f t="shared" si="26"/>
        <v>8.4</v>
      </c>
      <c r="Z210" s="37">
        <f>IFERROR(IF(Y210=0,"",ROUNDUP(Y210/H210,0)*0.00902),"")</f>
        <v>1.804E-2</v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8.3619047619047606</v>
      </c>
      <c r="BN210" s="64">
        <f t="shared" si="28"/>
        <v>8.7799999999999994</v>
      </c>
      <c r="BO210" s="64">
        <f t="shared" si="29"/>
        <v>1.443001443001443E-2</v>
      </c>
      <c r="BP210" s="64">
        <f t="shared" si="30"/>
        <v>1.5151515151515152E-2</v>
      </c>
    </row>
    <row r="211" spans="1:68" ht="37.5" customHeight="1" x14ac:dyDescent="0.25">
      <c r="A211" s="54" t="s">
        <v>348</v>
      </c>
      <c r="B211" s="54" t="s">
        <v>349</v>
      </c>
      <c r="C211" s="32">
        <v>4301031447</v>
      </c>
      <c r="D211" s="595">
        <v>4680115887565</v>
      </c>
      <c r="E211" s="596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7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8"/>
      <c r="R211" s="598"/>
      <c r="S211" s="598"/>
      <c r="T211" s="599"/>
      <c r="U211" s="35"/>
      <c r="V211" s="35"/>
      <c r="W211" s="36" t="s">
        <v>67</v>
      </c>
      <c r="X211" s="591">
        <v>11</v>
      </c>
      <c r="Y211" s="592">
        <f t="shared" si="26"/>
        <v>11.200000000000001</v>
      </c>
      <c r="Z211" s="37">
        <f>IFERROR(IF(Y211=0,"",ROUNDUP(Y211/H211,0)*0.00556),"")</f>
        <v>7.7839999999999993E-2</v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12.7875</v>
      </c>
      <c r="BN211" s="64">
        <f t="shared" si="28"/>
        <v>13.020000000000001</v>
      </c>
      <c r="BO211" s="64">
        <f t="shared" si="29"/>
        <v>5.4563492063492064E-2</v>
      </c>
      <c r="BP211" s="64">
        <f t="shared" si="30"/>
        <v>5.5555555555555552E-2</v>
      </c>
    </row>
    <row r="212" spans="1:68" ht="27" hidden="1" customHeight="1" x14ac:dyDescent="0.25">
      <c r="A212" s="54" t="s">
        <v>351</v>
      </c>
      <c r="B212" s="54" t="s">
        <v>352</v>
      </c>
      <c r="C212" s="32">
        <v>4301031199</v>
      </c>
      <c r="D212" s="595">
        <v>4680115880986</v>
      </c>
      <c r="E212" s="596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8"/>
      <c r="R212" s="598"/>
      <c r="S212" s="598"/>
      <c r="T212" s="599"/>
      <c r="U212" s="35"/>
      <c r="V212" s="35"/>
      <c r="W212" s="36" t="s">
        <v>67</v>
      </c>
      <c r="X212" s="591">
        <v>0</v>
      </c>
      <c r="Y212" s="592">
        <f t="shared" si="26"/>
        <v>0</v>
      </c>
      <c r="Z212" s="37" t="str">
        <f t="shared" ref="Z212:Z217" si="31">IFERROR(IF(Y212=0,"",ROUNDUP(Y212/H212,0)*0.00502),"")</f>
        <v/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27" hidden="1" customHeight="1" x14ac:dyDescent="0.25">
      <c r="A213" s="54" t="s">
        <v>353</v>
      </c>
      <c r="B213" s="54" t="s">
        <v>354</v>
      </c>
      <c r="C213" s="32">
        <v>4301031443</v>
      </c>
      <c r="D213" s="595">
        <v>4680115887213</v>
      </c>
      <c r="E213" s="596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6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8"/>
      <c r="R213" s="598"/>
      <c r="S213" s="598"/>
      <c r="T213" s="599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356</v>
      </c>
      <c r="B214" s="54" t="s">
        <v>357</v>
      </c>
      <c r="C214" s="32">
        <v>4301031205</v>
      </c>
      <c r="D214" s="595">
        <v>4680115881785</v>
      </c>
      <c r="E214" s="596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8"/>
      <c r="R214" s="598"/>
      <c r="S214" s="598"/>
      <c r="T214" s="599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358</v>
      </c>
      <c r="B215" s="54" t="s">
        <v>359</v>
      </c>
      <c r="C215" s="32">
        <v>4301031499</v>
      </c>
      <c r="D215" s="595">
        <v>4680115888432</v>
      </c>
      <c r="E215" s="596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8"/>
      <c r="R215" s="598"/>
      <c r="S215" s="598"/>
      <c r="T215" s="599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2">
        <v>4301031427</v>
      </c>
      <c r="D216" s="595">
        <v>4680115888104</v>
      </c>
      <c r="E216" s="596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8"/>
      <c r="R216" s="598"/>
      <c r="S216" s="598"/>
      <c r="T216" s="599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364</v>
      </c>
      <c r="B217" s="54" t="s">
        <v>365</v>
      </c>
      <c r="C217" s="32">
        <v>4301031399</v>
      </c>
      <c r="D217" s="595">
        <v>4680115886537</v>
      </c>
      <c r="E217" s="596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8"/>
      <c r="R217" s="598"/>
      <c r="S217" s="598"/>
      <c r="T217" s="599"/>
      <c r="U217" s="35"/>
      <c r="V217" s="35"/>
      <c r="W217" s="36" t="s">
        <v>67</v>
      </c>
      <c r="X217" s="591">
        <v>0</v>
      </c>
      <c r="Y217" s="592">
        <f t="shared" si="26"/>
        <v>0</v>
      </c>
      <c r="Z217" s="37" t="str">
        <f t="shared" si="31"/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2">
        <v>4301031279</v>
      </c>
      <c r="D218" s="595">
        <v>4680115887596</v>
      </c>
      <c r="E218" s="596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9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8"/>
      <c r="R218" s="598"/>
      <c r="S218" s="598"/>
      <c r="T218" s="599"/>
      <c r="U218" s="35"/>
      <c r="V218" s="35"/>
      <c r="W218" s="36" t="s">
        <v>67</v>
      </c>
      <c r="X218" s="591">
        <v>0</v>
      </c>
      <c r="Y218" s="592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hidden="1" customHeight="1" x14ac:dyDescent="0.25">
      <c r="A219" s="54" t="s">
        <v>370</v>
      </c>
      <c r="B219" s="54" t="s">
        <v>371</v>
      </c>
      <c r="C219" s="32">
        <v>4301031202</v>
      </c>
      <c r="D219" s="595">
        <v>4680115881679</v>
      </c>
      <c r="E219" s="596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8"/>
      <c r="R219" s="598"/>
      <c r="S219" s="598"/>
      <c r="T219" s="599"/>
      <c r="U219" s="35"/>
      <c r="V219" s="35"/>
      <c r="W219" s="36" t="s">
        <v>67</v>
      </c>
      <c r="X219" s="591">
        <v>0</v>
      </c>
      <c r="Y219" s="592">
        <f t="shared" si="26"/>
        <v>0</v>
      </c>
      <c r="Z219" s="37" t="str">
        <f>IFERROR(IF(Y219=0,"",ROUNDUP(Y219/H219,0)*0.00502),"")</f>
        <v/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2">
        <v>4301031158</v>
      </c>
      <c r="D220" s="595">
        <v>4680115880191</v>
      </c>
      <c r="E220" s="596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6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8"/>
      <c r="R220" s="598"/>
      <c r="S220" s="598"/>
      <c r="T220" s="599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2">
        <v>4301031245</v>
      </c>
      <c r="D221" s="595">
        <v>4680115883963</v>
      </c>
      <c r="E221" s="596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8"/>
      <c r="R221" s="598"/>
      <c r="S221" s="598"/>
      <c r="T221" s="599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1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3"/>
      <c r="P222" s="611" t="s">
        <v>72</v>
      </c>
      <c r="Q222" s="612"/>
      <c r="R222" s="612"/>
      <c r="S222" s="612"/>
      <c r="T222" s="612"/>
      <c r="U222" s="612"/>
      <c r="V222" s="613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15.654761904761905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16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9.5879999999999993E-2</v>
      </c>
      <c r="AA222" s="594"/>
      <c r="AB222" s="594"/>
      <c r="AC222" s="594"/>
    </row>
    <row r="223" spans="1:68" x14ac:dyDescent="0.2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3"/>
      <c r="P223" s="611" t="s">
        <v>72</v>
      </c>
      <c r="Q223" s="612"/>
      <c r="R223" s="612"/>
      <c r="S223" s="612"/>
      <c r="T223" s="612"/>
      <c r="U223" s="612"/>
      <c r="V223" s="613"/>
      <c r="W223" s="38" t="s">
        <v>67</v>
      </c>
      <c r="X223" s="593">
        <f>IFERROR(SUM(X208:X221),"0")</f>
        <v>19</v>
      </c>
      <c r="Y223" s="593">
        <f>IFERROR(SUM(Y208:Y221),"0")</f>
        <v>19.600000000000001</v>
      </c>
      <c r="Z223" s="38"/>
      <c r="AA223" s="594"/>
      <c r="AB223" s="594"/>
      <c r="AC223" s="594"/>
    </row>
    <row r="224" spans="1:68" ht="14.25" hidden="1" customHeight="1" x14ac:dyDescent="0.25">
      <c r="A224" s="606" t="s">
        <v>74</v>
      </c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587"/>
      <c r="AB224" s="587"/>
      <c r="AC224" s="587"/>
    </row>
    <row r="225" spans="1:68" ht="27" hidden="1" customHeight="1" x14ac:dyDescent="0.25">
      <c r="A225" s="54" t="s">
        <v>377</v>
      </c>
      <c r="B225" s="54" t="s">
        <v>378</v>
      </c>
      <c r="C225" s="32">
        <v>4301052177</v>
      </c>
      <c r="D225" s="595">
        <v>4680115888951</v>
      </c>
      <c r="E225" s="596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8"/>
      <c r="R225" s="598"/>
      <c r="S225" s="598"/>
      <c r="T225" s="599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380</v>
      </c>
      <c r="B226" s="54" t="s">
        <v>381</v>
      </c>
      <c r="C226" s="32">
        <v>4301052176</v>
      </c>
      <c r="D226" s="595">
        <v>4680115888982</v>
      </c>
      <c r="E226" s="596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8"/>
      <c r="R226" s="598"/>
      <c r="S226" s="598"/>
      <c r="T226" s="599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1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3"/>
      <c r="P227" s="611" t="s">
        <v>72</v>
      </c>
      <c r="Q227" s="612"/>
      <c r="R227" s="612"/>
      <c r="S227" s="612"/>
      <c r="T227" s="612"/>
      <c r="U227" s="612"/>
      <c r="V227" s="613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hidden="1" x14ac:dyDescent="0.2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3"/>
      <c r="P228" s="611" t="s">
        <v>72</v>
      </c>
      <c r="Q228" s="612"/>
      <c r="R228" s="612"/>
      <c r="S228" s="612"/>
      <c r="T228" s="612"/>
      <c r="U228" s="612"/>
      <c r="V228" s="613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hidden="1" customHeight="1" x14ac:dyDescent="0.25">
      <c r="A229" s="606" t="s">
        <v>95</v>
      </c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587"/>
      <c r="AB229" s="587"/>
      <c r="AC229" s="587"/>
    </row>
    <row r="230" spans="1:68" ht="27" hidden="1" customHeight="1" x14ac:dyDescent="0.25">
      <c r="A230" s="54" t="s">
        <v>383</v>
      </c>
      <c r="B230" s="54" t="s">
        <v>384</v>
      </c>
      <c r="C230" s="32">
        <v>4301032053</v>
      </c>
      <c r="D230" s="595">
        <v>4680115886780</v>
      </c>
      <c r="E230" s="596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8"/>
      <c r="R230" s="598"/>
      <c r="S230" s="598"/>
      <c r="T230" s="599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customHeight="1" x14ac:dyDescent="0.25">
      <c r="A231" s="54" t="s">
        <v>386</v>
      </c>
      <c r="B231" s="54" t="s">
        <v>387</v>
      </c>
      <c r="C231" s="32">
        <v>4301032051</v>
      </c>
      <c r="D231" s="595">
        <v>4680115886742</v>
      </c>
      <c r="E231" s="596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6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8"/>
      <c r="R231" s="598"/>
      <c r="S231" s="598"/>
      <c r="T231" s="599"/>
      <c r="U231" s="35"/>
      <c r="V231" s="35"/>
      <c r="W231" s="36" t="s">
        <v>67</v>
      </c>
      <c r="X231" s="591">
        <v>2</v>
      </c>
      <c r="Y231" s="592">
        <f>IFERROR(IF(X231="",0,CEILING((X231/$H231),1)*$H231),"")</f>
        <v>2.52</v>
      </c>
      <c r="Z231" s="37">
        <f>IFERROR(IF(Y231=0,"",ROUNDUP(Y231/H231,0)*0.0059),"")</f>
        <v>1.18E-2</v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2.3015873015873014</v>
      </c>
      <c r="BN231" s="64">
        <f>IFERROR(Y231*I231/H231,"0")</f>
        <v>2.9</v>
      </c>
      <c r="BO231" s="64">
        <f>IFERROR(1/J231*(X231/H231),"0")</f>
        <v>7.3486184597295699E-3</v>
      </c>
      <c r="BP231" s="64">
        <f>IFERROR(1/J231*(Y231/H231),"0")</f>
        <v>9.2592592592592587E-3</v>
      </c>
    </row>
    <row r="232" spans="1:68" ht="27" hidden="1" customHeight="1" x14ac:dyDescent="0.25">
      <c r="A232" s="54" t="s">
        <v>389</v>
      </c>
      <c r="B232" s="54" t="s">
        <v>390</v>
      </c>
      <c r="C232" s="32">
        <v>4301032052</v>
      </c>
      <c r="D232" s="595">
        <v>4680115886766</v>
      </c>
      <c r="E232" s="596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8"/>
      <c r="R232" s="598"/>
      <c r="S232" s="598"/>
      <c r="T232" s="599"/>
      <c r="U232" s="35"/>
      <c r="V232" s="35"/>
      <c r="W232" s="36" t="s">
        <v>67</v>
      </c>
      <c r="X232" s="591">
        <v>0</v>
      </c>
      <c r="Y232" s="592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x14ac:dyDescent="0.2">
      <c r="A233" s="601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3"/>
      <c r="P233" s="611" t="s">
        <v>72</v>
      </c>
      <c r="Q233" s="612"/>
      <c r="R233" s="612"/>
      <c r="S233" s="612"/>
      <c r="T233" s="612"/>
      <c r="U233" s="612"/>
      <c r="V233" s="613"/>
      <c r="W233" s="38" t="s">
        <v>73</v>
      </c>
      <c r="X233" s="593">
        <f>IFERROR(X230/H230,"0")+IFERROR(X231/H231,"0")+IFERROR(X232/H232,"0")</f>
        <v>1.5873015873015872</v>
      </c>
      <c r="Y233" s="593">
        <f>IFERROR(Y230/H230,"0")+IFERROR(Y231/H231,"0")+IFERROR(Y232/H232,"0")</f>
        <v>2</v>
      </c>
      <c r="Z233" s="593">
        <f>IFERROR(IF(Z230="",0,Z230),"0")+IFERROR(IF(Z231="",0,Z231),"0")+IFERROR(IF(Z232="",0,Z232),"0")</f>
        <v>1.18E-2</v>
      </c>
      <c r="AA233" s="594"/>
      <c r="AB233" s="594"/>
      <c r="AC233" s="594"/>
    </row>
    <row r="234" spans="1:68" x14ac:dyDescent="0.2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3"/>
      <c r="P234" s="611" t="s">
        <v>72</v>
      </c>
      <c r="Q234" s="612"/>
      <c r="R234" s="612"/>
      <c r="S234" s="612"/>
      <c r="T234" s="612"/>
      <c r="U234" s="612"/>
      <c r="V234" s="613"/>
      <c r="W234" s="38" t="s">
        <v>67</v>
      </c>
      <c r="X234" s="593">
        <f>IFERROR(SUM(X230:X232),"0")</f>
        <v>2</v>
      </c>
      <c r="Y234" s="593">
        <f>IFERROR(SUM(Y230:Y232),"0")</f>
        <v>2.52</v>
      </c>
      <c r="Z234" s="38"/>
      <c r="AA234" s="594"/>
      <c r="AB234" s="594"/>
      <c r="AC234" s="594"/>
    </row>
    <row r="235" spans="1:68" ht="14.25" hidden="1" customHeight="1" x14ac:dyDescent="0.25">
      <c r="A235" s="606" t="s">
        <v>391</v>
      </c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587"/>
      <c r="AB235" s="587"/>
      <c r="AC235" s="587"/>
    </row>
    <row r="236" spans="1:68" ht="27" hidden="1" customHeight="1" x14ac:dyDescent="0.25">
      <c r="A236" s="54" t="s">
        <v>392</v>
      </c>
      <c r="B236" s="54" t="s">
        <v>393</v>
      </c>
      <c r="C236" s="32">
        <v>4301170013</v>
      </c>
      <c r="D236" s="595">
        <v>4680115886797</v>
      </c>
      <c r="E236" s="596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8"/>
      <c r="R236" s="598"/>
      <c r="S236" s="598"/>
      <c r="T236" s="599"/>
      <c r="U236" s="35"/>
      <c r="V236" s="35"/>
      <c r="W236" s="36" t="s">
        <v>67</v>
      </c>
      <c r="X236" s="591">
        <v>0</v>
      </c>
      <c r="Y236" s="592">
        <f>IFERROR(IF(X236="",0,CEILING((X236/$H236),1)*$H236),"")</f>
        <v>0</v>
      </c>
      <c r="Z236" s="37" t="str">
        <f>IFERROR(IF(Y236=0,"",ROUNDUP(Y236/H236,0)*0.0059),"")</f>
        <v/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1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3"/>
      <c r="P237" s="611" t="s">
        <v>72</v>
      </c>
      <c r="Q237" s="612"/>
      <c r="R237" s="612"/>
      <c r="S237" s="612"/>
      <c r="T237" s="612"/>
      <c r="U237" s="612"/>
      <c r="V237" s="613"/>
      <c r="W237" s="38" t="s">
        <v>73</v>
      </c>
      <c r="X237" s="593">
        <f>IFERROR(X236/H236,"0")</f>
        <v>0</v>
      </c>
      <c r="Y237" s="593">
        <f>IFERROR(Y236/H236,"0")</f>
        <v>0</v>
      </c>
      <c r="Z237" s="593">
        <f>IFERROR(IF(Z236="",0,Z236),"0")</f>
        <v>0</v>
      </c>
      <c r="AA237" s="594"/>
      <c r="AB237" s="594"/>
      <c r="AC237" s="594"/>
    </row>
    <row r="238" spans="1:68" hidden="1" x14ac:dyDescent="0.2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3"/>
      <c r="P238" s="611" t="s">
        <v>72</v>
      </c>
      <c r="Q238" s="612"/>
      <c r="R238" s="612"/>
      <c r="S238" s="612"/>
      <c r="T238" s="612"/>
      <c r="U238" s="612"/>
      <c r="V238" s="613"/>
      <c r="W238" s="38" t="s">
        <v>67</v>
      </c>
      <c r="X238" s="593">
        <f>IFERROR(SUM(X236:X236),"0")</f>
        <v>0</v>
      </c>
      <c r="Y238" s="593">
        <f>IFERROR(SUM(Y236:Y236),"0")</f>
        <v>0</v>
      </c>
      <c r="Z238" s="38"/>
      <c r="AA238" s="594"/>
      <c r="AB238" s="594"/>
      <c r="AC238" s="594"/>
    </row>
    <row r="239" spans="1:68" ht="16.5" hidden="1" customHeight="1" x14ac:dyDescent="0.25">
      <c r="A239" s="607" t="s">
        <v>394</v>
      </c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586"/>
      <c r="AB239" s="586"/>
      <c r="AC239" s="586"/>
    </row>
    <row r="240" spans="1:68" ht="14.25" hidden="1" customHeight="1" x14ac:dyDescent="0.25">
      <c r="A240" s="606" t="s">
        <v>117</v>
      </c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587"/>
      <c r="AB240" s="587"/>
      <c r="AC240" s="587"/>
    </row>
    <row r="241" spans="1:68" ht="27" hidden="1" customHeight="1" x14ac:dyDescent="0.25">
      <c r="A241" s="54" t="s">
        <v>395</v>
      </c>
      <c r="B241" s="54" t="s">
        <v>396</v>
      </c>
      <c r="C241" s="32">
        <v>4301011450</v>
      </c>
      <c r="D241" s="595">
        <v>4680115881402</v>
      </c>
      <c r="E241" s="596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8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8"/>
      <c r="R241" s="598"/>
      <c r="S241" s="598"/>
      <c r="T241" s="599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399</v>
      </c>
      <c r="C242" s="32">
        <v>4301011768</v>
      </c>
      <c r="D242" s="595">
        <v>4680115881396</v>
      </c>
      <c r="E242" s="596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6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8"/>
      <c r="R242" s="598"/>
      <c r="S242" s="598"/>
      <c r="T242" s="599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1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3"/>
      <c r="P243" s="611" t="s">
        <v>72</v>
      </c>
      <c r="Q243" s="612"/>
      <c r="R243" s="612"/>
      <c r="S243" s="612"/>
      <c r="T243" s="612"/>
      <c r="U243" s="612"/>
      <c r="V243" s="613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hidden="1" x14ac:dyDescent="0.2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3"/>
      <c r="P244" s="611" t="s">
        <v>72</v>
      </c>
      <c r="Q244" s="612"/>
      <c r="R244" s="612"/>
      <c r="S244" s="612"/>
      <c r="T244" s="612"/>
      <c r="U244" s="612"/>
      <c r="V244" s="613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hidden="1" customHeight="1" x14ac:dyDescent="0.25">
      <c r="A245" s="606" t="s">
        <v>152</v>
      </c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587"/>
      <c r="AB245" s="587"/>
      <c r="AC245" s="587"/>
    </row>
    <row r="246" spans="1:68" ht="16.5" hidden="1" customHeight="1" x14ac:dyDescent="0.25">
      <c r="A246" s="54" t="s">
        <v>400</v>
      </c>
      <c r="B246" s="54" t="s">
        <v>401</v>
      </c>
      <c r="C246" s="32">
        <v>4301020261</v>
      </c>
      <c r="D246" s="595">
        <v>4680115882935</v>
      </c>
      <c r="E246" s="596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8"/>
      <c r="R246" s="598"/>
      <c r="S246" s="598"/>
      <c r="T246" s="599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403</v>
      </c>
      <c r="B247" s="54" t="s">
        <v>404</v>
      </c>
      <c r="C247" s="32">
        <v>4301020220</v>
      </c>
      <c r="D247" s="595">
        <v>4680115880764</v>
      </c>
      <c r="E247" s="596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8"/>
      <c r="R247" s="598"/>
      <c r="S247" s="598"/>
      <c r="T247" s="599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1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3"/>
      <c r="P248" s="611" t="s">
        <v>72</v>
      </c>
      <c r="Q248" s="612"/>
      <c r="R248" s="612"/>
      <c r="S248" s="612"/>
      <c r="T248" s="612"/>
      <c r="U248" s="612"/>
      <c r="V248" s="613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hidden="1" x14ac:dyDescent="0.2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3"/>
      <c r="P249" s="611" t="s">
        <v>72</v>
      </c>
      <c r="Q249" s="612"/>
      <c r="R249" s="612"/>
      <c r="S249" s="612"/>
      <c r="T249" s="612"/>
      <c r="U249" s="612"/>
      <c r="V249" s="613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hidden="1" customHeight="1" x14ac:dyDescent="0.25">
      <c r="A250" s="606" t="s">
        <v>62</v>
      </c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587"/>
      <c r="AB250" s="587"/>
      <c r="AC250" s="587"/>
    </row>
    <row r="251" spans="1:68" ht="27" hidden="1" customHeight="1" x14ac:dyDescent="0.25">
      <c r="A251" s="54" t="s">
        <v>405</v>
      </c>
      <c r="B251" s="54" t="s">
        <v>406</v>
      </c>
      <c r="C251" s="32">
        <v>4301031224</v>
      </c>
      <c r="D251" s="595">
        <v>4680115882683</v>
      </c>
      <c r="E251" s="596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8"/>
      <c r="R251" s="598"/>
      <c r="S251" s="598"/>
      <c r="T251" s="599"/>
      <c r="U251" s="35"/>
      <c r="V251" s="35"/>
      <c r="W251" s="36" t="s">
        <v>67</v>
      </c>
      <c r="X251" s="591">
        <v>0</v>
      </c>
      <c r="Y251" s="592">
        <f t="shared" ref="Y251:Y258" si="32">IFERROR(IF(X251="",0,CEILING((X251/$H251),1)*$H251),"")</f>
        <v>0</v>
      </c>
      <c r="Z251" s="37" t="str">
        <f>IFERROR(IF(Y251=0,"",ROUNDUP(Y251/H251,0)*0.00902),"")</f>
        <v/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0</v>
      </c>
      <c r="BN251" s="64">
        <f t="shared" ref="BN251:BN258" si="34">IFERROR(Y251*I251/H251,"0")</f>
        <v>0</v>
      </c>
      <c r="BO251" s="64">
        <f t="shared" ref="BO251:BO258" si="35">IFERROR(1/J251*(X251/H251),"0")</f>
        <v>0</v>
      </c>
      <c r="BP251" s="64">
        <f t="shared" ref="BP251:BP258" si="36">IFERROR(1/J251*(Y251/H251),"0")</f>
        <v>0</v>
      </c>
    </row>
    <row r="252" spans="1:68" ht="27" hidden="1" customHeight="1" x14ac:dyDescent="0.25">
      <c r="A252" s="54" t="s">
        <v>408</v>
      </c>
      <c r="B252" s="54" t="s">
        <v>409</v>
      </c>
      <c r="C252" s="32">
        <v>4301031230</v>
      </c>
      <c r="D252" s="595">
        <v>4680115882690</v>
      </c>
      <c r="E252" s="596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63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8"/>
      <c r="R252" s="598"/>
      <c r="S252" s="598"/>
      <c r="T252" s="599"/>
      <c r="U252" s="35"/>
      <c r="V252" s="35"/>
      <c r="W252" s="36" t="s">
        <v>67</v>
      </c>
      <c r="X252" s="591">
        <v>0</v>
      </c>
      <c r="Y252" s="592">
        <f t="shared" si="32"/>
        <v>0</v>
      </c>
      <c r="Z252" s="37" t="str">
        <f>IFERROR(IF(Y252=0,"",ROUNDUP(Y252/H252,0)*0.00902),"")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0</v>
      </c>
      <c r="BN252" s="64">
        <f t="shared" si="34"/>
        <v>0</v>
      </c>
      <c r="BO252" s="64">
        <f t="shared" si="35"/>
        <v>0</v>
      </c>
      <c r="BP252" s="64">
        <f t="shared" si="36"/>
        <v>0</v>
      </c>
    </row>
    <row r="253" spans="1:68" ht="27" hidden="1" customHeight="1" x14ac:dyDescent="0.25">
      <c r="A253" s="54" t="s">
        <v>411</v>
      </c>
      <c r="B253" s="54" t="s">
        <v>412</v>
      </c>
      <c r="C253" s="32">
        <v>4301031220</v>
      </c>
      <c r="D253" s="595">
        <v>4680115882669</v>
      </c>
      <c r="E253" s="596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8"/>
      <c r="R253" s="598"/>
      <c r="S253" s="598"/>
      <c r="T253" s="599"/>
      <c r="U253" s="35"/>
      <c r="V253" s="35"/>
      <c r="W253" s="36" t="s">
        <v>67</v>
      </c>
      <c r="X253" s="591">
        <v>0</v>
      </c>
      <c r="Y253" s="592">
        <f t="shared" si="32"/>
        <v>0</v>
      </c>
      <c r="Z253" s="37" t="str">
        <f>IFERROR(IF(Y253=0,"",ROUNDUP(Y253/H253,0)*0.00902),"")</f>
        <v/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0</v>
      </c>
      <c r="BN253" s="64">
        <f t="shared" si="34"/>
        <v>0</v>
      </c>
      <c r="BO253" s="64">
        <f t="shared" si="35"/>
        <v>0</v>
      </c>
      <c r="BP253" s="64">
        <f t="shared" si="36"/>
        <v>0</v>
      </c>
    </row>
    <row r="254" spans="1:68" ht="27" customHeight="1" x14ac:dyDescent="0.25">
      <c r="A254" s="54" t="s">
        <v>414</v>
      </c>
      <c r="B254" s="54" t="s">
        <v>415</v>
      </c>
      <c r="C254" s="32">
        <v>4301031221</v>
      </c>
      <c r="D254" s="595">
        <v>4680115882676</v>
      </c>
      <c r="E254" s="596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8"/>
      <c r="R254" s="598"/>
      <c r="S254" s="598"/>
      <c r="T254" s="599"/>
      <c r="U254" s="35"/>
      <c r="V254" s="35"/>
      <c r="W254" s="36" t="s">
        <v>67</v>
      </c>
      <c r="X254" s="591">
        <v>35</v>
      </c>
      <c r="Y254" s="592">
        <f t="shared" si="32"/>
        <v>37.800000000000004</v>
      </c>
      <c r="Z254" s="37">
        <f>IFERROR(IF(Y254=0,"",ROUNDUP(Y254/H254,0)*0.00902),"")</f>
        <v>6.3140000000000002E-2</v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36.231481481481481</v>
      </c>
      <c r="BN254" s="64">
        <f t="shared" si="34"/>
        <v>39.130000000000003</v>
      </c>
      <c r="BO254" s="64">
        <f t="shared" si="35"/>
        <v>4.9102132435465767E-2</v>
      </c>
      <c r="BP254" s="64">
        <f t="shared" si="36"/>
        <v>5.3030303030303032E-2</v>
      </c>
    </row>
    <row r="255" spans="1:68" ht="27" hidden="1" customHeight="1" x14ac:dyDescent="0.25">
      <c r="A255" s="54" t="s">
        <v>417</v>
      </c>
      <c r="B255" s="54" t="s">
        <v>418</v>
      </c>
      <c r="C255" s="32">
        <v>4301031223</v>
      </c>
      <c r="D255" s="595">
        <v>4680115884014</v>
      </c>
      <c r="E255" s="596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7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8"/>
      <c r="R255" s="598"/>
      <c r="S255" s="598"/>
      <c r="T255" s="599"/>
      <c r="U255" s="35"/>
      <c r="V255" s="35"/>
      <c r="W255" s="36" t="s">
        <v>67</v>
      </c>
      <c r="X255" s="591">
        <v>0</v>
      </c>
      <c r="Y255" s="592">
        <f t="shared" si="32"/>
        <v>0</v>
      </c>
      <c r="Z255" s="37" t="str">
        <f>IFERROR(IF(Y255=0,"",ROUNDUP(Y255/H255,0)*0.00502),"")</f>
        <v/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0</v>
      </c>
      <c r="BN255" s="64">
        <f t="shared" si="34"/>
        <v>0</v>
      </c>
      <c r="BO255" s="64">
        <f t="shared" si="35"/>
        <v>0</v>
      </c>
      <c r="BP255" s="64">
        <f t="shared" si="36"/>
        <v>0</v>
      </c>
    </row>
    <row r="256" spans="1:68" ht="27" customHeight="1" x14ac:dyDescent="0.25">
      <c r="A256" s="54" t="s">
        <v>419</v>
      </c>
      <c r="B256" s="54" t="s">
        <v>420</v>
      </c>
      <c r="C256" s="32">
        <v>4301031222</v>
      </c>
      <c r="D256" s="595">
        <v>4680115884007</v>
      </c>
      <c r="E256" s="596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8"/>
      <c r="R256" s="598"/>
      <c r="S256" s="598"/>
      <c r="T256" s="599"/>
      <c r="U256" s="35"/>
      <c r="V256" s="35"/>
      <c r="W256" s="36" t="s">
        <v>67</v>
      </c>
      <c r="X256" s="591">
        <v>23</v>
      </c>
      <c r="Y256" s="592">
        <f t="shared" si="32"/>
        <v>23.400000000000002</v>
      </c>
      <c r="Z256" s="37">
        <f>IFERROR(IF(Y256=0,"",ROUNDUP(Y256/H256,0)*0.00502),"")</f>
        <v>6.5259999999999999E-2</v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24.277777777777775</v>
      </c>
      <c r="BN256" s="64">
        <f t="shared" si="34"/>
        <v>24.7</v>
      </c>
      <c r="BO256" s="64">
        <f t="shared" si="35"/>
        <v>5.4605887939221276E-2</v>
      </c>
      <c r="BP256" s="64">
        <f t="shared" si="36"/>
        <v>5.5555555555555559E-2</v>
      </c>
    </row>
    <row r="257" spans="1:68" ht="27" hidden="1" customHeight="1" x14ac:dyDescent="0.25">
      <c r="A257" s="54" t="s">
        <v>421</v>
      </c>
      <c r="B257" s="54" t="s">
        <v>422</v>
      </c>
      <c r="C257" s="32">
        <v>4301031229</v>
      </c>
      <c r="D257" s="595">
        <v>4680115884038</v>
      </c>
      <c r="E257" s="596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8"/>
      <c r="R257" s="598"/>
      <c r="S257" s="598"/>
      <c r="T257" s="599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hidden="1" customHeight="1" x14ac:dyDescent="0.25">
      <c r="A258" s="54" t="s">
        <v>423</v>
      </c>
      <c r="B258" s="54" t="s">
        <v>424</v>
      </c>
      <c r="C258" s="32">
        <v>4301031225</v>
      </c>
      <c r="D258" s="595">
        <v>4680115884021</v>
      </c>
      <c r="E258" s="596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8"/>
      <c r="R258" s="598"/>
      <c r="S258" s="598"/>
      <c r="T258" s="599"/>
      <c r="U258" s="35"/>
      <c r="V258" s="35"/>
      <c r="W258" s="36" t="s">
        <v>67</v>
      </c>
      <c r="X258" s="591">
        <v>0</v>
      </c>
      <c r="Y258" s="592">
        <f t="shared" si="32"/>
        <v>0</v>
      </c>
      <c r="Z258" s="37" t="str">
        <f>IFERROR(IF(Y258=0,"",ROUNDUP(Y258/H258,0)*0.00502),"")</f>
        <v/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x14ac:dyDescent="0.2">
      <c r="A259" s="601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3"/>
      <c r="P259" s="611" t="s">
        <v>72</v>
      </c>
      <c r="Q259" s="612"/>
      <c r="R259" s="612"/>
      <c r="S259" s="612"/>
      <c r="T259" s="612"/>
      <c r="U259" s="612"/>
      <c r="V259" s="613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19.25925925925926</v>
      </c>
      <c r="Y259" s="593">
        <f>IFERROR(Y251/H251,"0")+IFERROR(Y252/H252,"0")+IFERROR(Y253/H253,"0")+IFERROR(Y254/H254,"0")+IFERROR(Y255/H255,"0")+IFERROR(Y256/H256,"0")+IFERROR(Y257/H257,"0")+IFERROR(Y258/H258,"0")</f>
        <v>20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0.12840000000000001</v>
      </c>
      <c r="AA259" s="594"/>
      <c r="AB259" s="594"/>
      <c r="AC259" s="594"/>
    </row>
    <row r="260" spans="1:68" x14ac:dyDescent="0.2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3"/>
      <c r="P260" s="611" t="s">
        <v>72</v>
      </c>
      <c r="Q260" s="612"/>
      <c r="R260" s="612"/>
      <c r="S260" s="612"/>
      <c r="T260" s="612"/>
      <c r="U260" s="612"/>
      <c r="V260" s="613"/>
      <c r="W260" s="38" t="s">
        <v>67</v>
      </c>
      <c r="X260" s="593">
        <f>IFERROR(SUM(X251:X258),"0")</f>
        <v>58</v>
      </c>
      <c r="Y260" s="593">
        <f>IFERROR(SUM(Y251:Y258),"0")</f>
        <v>61.2</v>
      </c>
      <c r="Z260" s="38"/>
      <c r="AA260" s="594"/>
      <c r="AB260" s="594"/>
      <c r="AC260" s="594"/>
    </row>
    <row r="261" spans="1:68" ht="14.25" hidden="1" customHeight="1" x14ac:dyDescent="0.25">
      <c r="A261" s="606" t="s">
        <v>74</v>
      </c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587"/>
      <c r="AB261" s="587"/>
      <c r="AC261" s="587"/>
    </row>
    <row r="262" spans="1:68" ht="37.5" hidden="1" customHeight="1" x14ac:dyDescent="0.25">
      <c r="A262" s="54" t="s">
        <v>425</v>
      </c>
      <c r="B262" s="54" t="s">
        <v>426</v>
      </c>
      <c r="C262" s="32">
        <v>4301051408</v>
      </c>
      <c r="D262" s="595">
        <v>4680115881594</v>
      </c>
      <c r="E262" s="596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9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8"/>
      <c r="R262" s="598"/>
      <c r="S262" s="598"/>
      <c r="T262" s="599"/>
      <c r="U262" s="35"/>
      <c r="V262" s="35"/>
      <c r="W262" s="36" t="s">
        <v>67</v>
      </c>
      <c r="X262" s="591">
        <v>0</v>
      </c>
      <c r="Y262" s="592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hidden="1" customHeight="1" x14ac:dyDescent="0.25">
      <c r="A263" s="54" t="s">
        <v>428</v>
      </c>
      <c r="B263" s="54" t="s">
        <v>429</v>
      </c>
      <c r="C263" s="32">
        <v>4301051411</v>
      </c>
      <c r="D263" s="595">
        <v>4680115881617</v>
      </c>
      <c r="E263" s="596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9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8"/>
      <c r="R263" s="598"/>
      <c r="S263" s="598"/>
      <c r="T263" s="599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hidden="1" customHeight="1" x14ac:dyDescent="0.25">
      <c r="A264" s="54" t="s">
        <v>431</v>
      </c>
      <c r="B264" s="54" t="s">
        <v>432</v>
      </c>
      <c r="C264" s="32">
        <v>4301051656</v>
      </c>
      <c r="D264" s="595">
        <v>4680115880573</v>
      </c>
      <c r="E264" s="596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7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8"/>
      <c r="R264" s="598"/>
      <c r="S264" s="598"/>
      <c r="T264" s="599"/>
      <c r="U264" s="35"/>
      <c r="V264" s="35"/>
      <c r="W264" s="36" t="s">
        <v>67</v>
      </c>
      <c r="X264" s="591">
        <v>0</v>
      </c>
      <c r="Y264" s="592">
        <f t="shared" si="37"/>
        <v>0</v>
      </c>
      <c r="Z264" s="37" t="str">
        <f>IFERROR(IF(Y264=0,"",ROUNDUP(Y264/H264,0)*0.01898),"")</f>
        <v/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0</v>
      </c>
      <c r="BN264" s="64">
        <f t="shared" si="39"/>
        <v>0</v>
      </c>
      <c r="BO264" s="64">
        <f t="shared" si="40"/>
        <v>0</v>
      </c>
      <c r="BP264" s="64">
        <f t="shared" si="41"/>
        <v>0</v>
      </c>
    </row>
    <row r="265" spans="1:68" ht="37.5" customHeight="1" x14ac:dyDescent="0.25">
      <c r="A265" s="54" t="s">
        <v>434</v>
      </c>
      <c r="B265" s="54" t="s">
        <v>435</v>
      </c>
      <c r="C265" s="32">
        <v>4301051407</v>
      </c>
      <c r="D265" s="595">
        <v>4680115882195</v>
      </c>
      <c r="E265" s="596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65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8"/>
      <c r="R265" s="598"/>
      <c r="S265" s="598"/>
      <c r="T265" s="599"/>
      <c r="U265" s="35"/>
      <c r="V265" s="35"/>
      <c r="W265" s="36" t="s">
        <v>67</v>
      </c>
      <c r="X265" s="591">
        <v>112</v>
      </c>
      <c r="Y265" s="592">
        <f t="shared" si="37"/>
        <v>112.8</v>
      </c>
      <c r="Z265" s="37">
        <f>IFERROR(IF(Y265=0,"",ROUNDUP(Y265/H265,0)*0.00651),"")</f>
        <v>0.30597000000000002</v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124.6</v>
      </c>
      <c r="BN265" s="64">
        <f t="shared" si="39"/>
        <v>125.49</v>
      </c>
      <c r="BO265" s="64">
        <f t="shared" si="40"/>
        <v>0.25641025641025644</v>
      </c>
      <c r="BP265" s="64">
        <f t="shared" si="41"/>
        <v>0.25824175824175827</v>
      </c>
    </row>
    <row r="266" spans="1:68" ht="27" hidden="1" customHeight="1" x14ac:dyDescent="0.25">
      <c r="A266" s="54" t="s">
        <v>436</v>
      </c>
      <c r="B266" s="54" t="s">
        <v>437</v>
      </c>
      <c r="C266" s="32">
        <v>4301051752</v>
      </c>
      <c r="D266" s="595">
        <v>4680115882607</v>
      </c>
      <c r="E266" s="596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6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8"/>
      <c r="R266" s="598"/>
      <c r="S266" s="598"/>
      <c r="T266" s="599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438</v>
      </c>
      <c r="B267" s="54" t="s">
        <v>439</v>
      </c>
      <c r="C267" s="32">
        <v>4301052143</v>
      </c>
      <c r="D267" s="595">
        <v>4680115882607</v>
      </c>
      <c r="E267" s="596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8"/>
      <c r="R267" s="598"/>
      <c r="S267" s="598"/>
      <c r="T267" s="599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2">
        <v>4301051666</v>
      </c>
      <c r="D268" s="595">
        <v>4680115880092</v>
      </c>
      <c r="E268" s="596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8"/>
      <c r="R268" s="598"/>
      <c r="S268" s="598"/>
      <c r="T268" s="599"/>
      <c r="U268" s="35"/>
      <c r="V268" s="35"/>
      <c r="W268" s="36" t="s">
        <v>67</v>
      </c>
      <c r="X268" s="591">
        <v>227</v>
      </c>
      <c r="Y268" s="592">
        <f t="shared" si="37"/>
        <v>228</v>
      </c>
      <c r="Z268" s="37">
        <f>IFERROR(IF(Y268=0,"",ROUNDUP(Y268/H268,0)*0.00651),"")</f>
        <v>0.61845000000000006</v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250.83500000000001</v>
      </c>
      <c r="BN268" s="64">
        <f t="shared" si="39"/>
        <v>251.94000000000003</v>
      </c>
      <c r="BO268" s="64">
        <f t="shared" si="40"/>
        <v>0.51968864468864473</v>
      </c>
      <c r="BP268" s="64">
        <f t="shared" si="41"/>
        <v>0.52197802197802201</v>
      </c>
    </row>
    <row r="269" spans="1:68" ht="27" hidden="1" customHeight="1" x14ac:dyDescent="0.25">
      <c r="A269" s="54" t="s">
        <v>443</v>
      </c>
      <c r="B269" s="54" t="s">
        <v>444</v>
      </c>
      <c r="C269" s="32">
        <v>4301052214</v>
      </c>
      <c r="D269" s="595">
        <v>4680115889064</v>
      </c>
      <c r="E269" s="596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8"/>
      <c r="R269" s="598"/>
      <c r="S269" s="598"/>
      <c r="T269" s="599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445</v>
      </c>
      <c r="B270" s="54" t="s">
        <v>446</v>
      </c>
      <c r="C270" s="32">
        <v>4301051668</v>
      </c>
      <c r="D270" s="595">
        <v>4680115880221</v>
      </c>
      <c r="E270" s="596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8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8"/>
      <c r="R270" s="598"/>
      <c r="S270" s="598"/>
      <c r="T270" s="599"/>
      <c r="U270" s="35"/>
      <c r="V270" s="35"/>
      <c r="W270" s="36" t="s">
        <v>67</v>
      </c>
      <c r="X270" s="591">
        <v>108</v>
      </c>
      <c r="Y270" s="592">
        <f t="shared" si="37"/>
        <v>108</v>
      </c>
      <c r="Z270" s="37">
        <f>IFERROR(IF(Y270=0,"",ROUNDUP(Y270/H270,0)*0.00651),"")</f>
        <v>0.29294999999999999</v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119.34</v>
      </c>
      <c r="BN270" s="64">
        <f t="shared" si="39"/>
        <v>119.34</v>
      </c>
      <c r="BO270" s="64">
        <f t="shared" si="40"/>
        <v>0.24725274725274726</v>
      </c>
      <c r="BP270" s="64">
        <f t="shared" si="41"/>
        <v>0.24725274725274726</v>
      </c>
    </row>
    <row r="271" spans="1:68" ht="27" customHeight="1" x14ac:dyDescent="0.25">
      <c r="A271" s="54" t="s">
        <v>447</v>
      </c>
      <c r="B271" s="54" t="s">
        <v>448</v>
      </c>
      <c r="C271" s="32">
        <v>4301051945</v>
      </c>
      <c r="D271" s="595">
        <v>4680115880504</v>
      </c>
      <c r="E271" s="596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6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8"/>
      <c r="R271" s="598"/>
      <c r="S271" s="598"/>
      <c r="T271" s="599"/>
      <c r="U271" s="35"/>
      <c r="V271" s="35"/>
      <c r="W271" s="36" t="s">
        <v>67</v>
      </c>
      <c r="X271" s="591">
        <v>36</v>
      </c>
      <c r="Y271" s="592">
        <f t="shared" si="37"/>
        <v>36</v>
      </c>
      <c r="Z271" s="37">
        <f>IFERROR(IF(Y271=0,"",ROUNDUP(Y271/H271,0)*0.00651),"")</f>
        <v>9.7650000000000001E-2</v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39.780000000000008</v>
      </c>
      <c r="BN271" s="64">
        <f t="shared" si="39"/>
        <v>39.780000000000008</v>
      </c>
      <c r="BO271" s="64">
        <f t="shared" si="40"/>
        <v>8.241758241758243E-2</v>
      </c>
      <c r="BP271" s="64">
        <f t="shared" si="41"/>
        <v>8.241758241758243E-2</v>
      </c>
    </row>
    <row r="272" spans="1:68" ht="27" customHeight="1" x14ac:dyDescent="0.25">
      <c r="A272" s="54" t="s">
        <v>450</v>
      </c>
      <c r="B272" s="54" t="s">
        <v>451</v>
      </c>
      <c r="C272" s="32">
        <v>4301051410</v>
      </c>
      <c r="D272" s="595">
        <v>4680115882164</v>
      </c>
      <c r="E272" s="596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8"/>
      <c r="R272" s="598"/>
      <c r="S272" s="598"/>
      <c r="T272" s="599"/>
      <c r="U272" s="35"/>
      <c r="V272" s="35"/>
      <c r="W272" s="36" t="s">
        <v>67</v>
      </c>
      <c r="X272" s="591">
        <v>67</v>
      </c>
      <c r="Y272" s="592">
        <f t="shared" si="37"/>
        <v>67.2</v>
      </c>
      <c r="Z272" s="37">
        <f>IFERROR(IF(Y272=0,"",ROUNDUP(Y272/H272,0)*0.00651),"")</f>
        <v>0.18228</v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74.202500000000001</v>
      </c>
      <c r="BN272" s="64">
        <f t="shared" si="39"/>
        <v>74.424000000000007</v>
      </c>
      <c r="BO272" s="64">
        <f t="shared" si="40"/>
        <v>0.1533882783882784</v>
      </c>
      <c r="BP272" s="64">
        <f t="shared" si="41"/>
        <v>0.15384615384615388</v>
      </c>
    </row>
    <row r="273" spans="1:68" ht="27" hidden="1" customHeight="1" x14ac:dyDescent="0.25">
      <c r="A273" s="54" t="s">
        <v>453</v>
      </c>
      <c r="B273" s="54" t="s">
        <v>454</v>
      </c>
      <c r="C273" s="32">
        <v>4301052180</v>
      </c>
      <c r="D273" s="595">
        <v>4680115888340</v>
      </c>
      <c r="E273" s="596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6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8"/>
      <c r="R273" s="598"/>
      <c r="S273" s="598"/>
      <c r="T273" s="599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1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3"/>
      <c r="P274" s="611" t="s">
        <v>72</v>
      </c>
      <c r="Q274" s="612"/>
      <c r="R274" s="612"/>
      <c r="S274" s="612"/>
      <c r="T274" s="612"/>
      <c r="U274" s="612"/>
      <c r="V274" s="613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229.16666666666666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230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1.4973000000000001</v>
      </c>
      <c r="AA274" s="594"/>
      <c r="AB274" s="594"/>
      <c r="AC274" s="594"/>
    </row>
    <row r="275" spans="1:68" x14ac:dyDescent="0.2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3"/>
      <c r="P275" s="611" t="s">
        <v>72</v>
      </c>
      <c r="Q275" s="612"/>
      <c r="R275" s="612"/>
      <c r="S275" s="612"/>
      <c r="T275" s="612"/>
      <c r="U275" s="612"/>
      <c r="V275" s="613"/>
      <c r="W275" s="38" t="s">
        <v>67</v>
      </c>
      <c r="X275" s="593">
        <f>IFERROR(SUM(X262:X273),"0")</f>
        <v>550</v>
      </c>
      <c r="Y275" s="593">
        <f>IFERROR(SUM(Y262:Y273),"0")</f>
        <v>552</v>
      </c>
      <c r="Z275" s="38"/>
      <c r="AA275" s="594"/>
      <c r="AB275" s="594"/>
      <c r="AC275" s="594"/>
    </row>
    <row r="276" spans="1:68" ht="14.25" hidden="1" customHeight="1" x14ac:dyDescent="0.25">
      <c r="A276" s="606" t="s">
        <v>169</v>
      </c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587"/>
      <c r="AB276" s="587"/>
      <c r="AC276" s="587"/>
    </row>
    <row r="277" spans="1:68" ht="27" hidden="1" customHeight="1" x14ac:dyDescent="0.25">
      <c r="A277" s="54" t="s">
        <v>456</v>
      </c>
      <c r="B277" s="54" t="s">
        <v>457</v>
      </c>
      <c r="C277" s="32">
        <v>4301060463</v>
      </c>
      <c r="D277" s="595">
        <v>4680115880818</v>
      </c>
      <c r="E277" s="596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7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8"/>
      <c r="R277" s="598"/>
      <c r="S277" s="598"/>
      <c r="T277" s="599"/>
      <c r="U277" s="35"/>
      <c r="V277" s="35"/>
      <c r="W277" s="36" t="s">
        <v>67</v>
      </c>
      <c r="X277" s="591">
        <v>0</v>
      </c>
      <c r="Y277" s="592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2">
        <v>4301060389</v>
      </c>
      <c r="D278" s="595">
        <v>4680115880801</v>
      </c>
      <c r="E278" s="596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8"/>
      <c r="R278" s="598"/>
      <c r="S278" s="598"/>
      <c r="T278" s="599"/>
      <c r="U278" s="35"/>
      <c r="V278" s="35"/>
      <c r="W278" s="36" t="s">
        <v>67</v>
      </c>
      <c r="X278" s="591">
        <v>0</v>
      </c>
      <c r="Y278" s="592">
        <f>IFERROR(IF(X278="",0,CEILING((X278/$H278),1)*$H278),"")</f>
        <v>0</v>
      </c>
      <c r="Z278" s="37" t="str">
        <f>IFERROR(IF(Y278=0,"",ROUNDUP(Y278/H278,0)*0.00651),"")</f>
        <v/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601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3"/>
      <c r="P279" s="611" t="s">
        <v>72</v>
      </c>
      <c r="Q279" s="612"/>
      <c r="R279" s="612"/>
      <c r="S279" s="612"/>
      <c r="T279" s="612"/>
      <c r="U279" s="612"/>
      <c r="V279" s="613"/>
      <c r="W279" s="38" t="s">
        <v>73</v>
      </c>
      <c r="X279" s="593">
        <f>IFERROR(X277/H277,"0")+IFERROR(X278/H278,"0")</f>
        <v>0</v>
      </c>
      <c r="Y279" s="593">
        <f>IFERROR(Y277/H277,"0")+IFERROR(Y278/H278,"0")</f>
        <v>0</v>
      </c>
      <c r="Z279" s="593">
        <f>IFERROR(IF(Z277="",0,Z277),"0")+IFERROR(IF(Z278="",0,Z278),"0")</f>
        <v>0</v>
      </c>
      <c r="AA279" s="594"/>
      <c r="AB279" s="594"/>
      <c r="AC279" s="594"/>
    </row>
    <row r="280" spans="1:68" hidden="1" x14ac:dyDescent="0.2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3"/>
      <c r="P280" s="611" t="s">
        <v>72</v>
      </c>
      <c r="Q280" s="612"/>
      <c r="R280" s="612"/>
      <c r="S280" s="612"/>
      <c r="T280" s="612"/>
      <c r="U280" s="612"/>
      <c r="V280" s="613"/>
      <c r="W280" s="38" t="s">
        <v>67</v>
      </c>
      <c r="X280" s="593">
        <f>IFERROR(SUM(X277:X278),"0")</f>
        <v>0</v>
      </c>
      <c r="Y280" s="593">
        <f>IFERROR(SUM(Y277:Y278),"0")</f>
        <v>0</v>
      </c>
      <c r="Z280" s="38"/>
      <c r="AA280" s="594"/>
      <c r="AB280" s="594"/>
      <c r="AC280" s="594"/>
    </row>
    <row r="281" spans="1:68" ht="16.5" hidden="1" customHeight="1" x14ac:dyDescent="0.25">
      <c r="A281" s="607" t="s">
        <v>462</v>
      </c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586"/>
      <c r="AB281" s="586"/>
      <c r="AC281" s="586"/>
    </row>
    <row r="282" spans="1:68" ht="14.25" hidden="1" customHeight="1" x14ac:dyDescent="0.25">
      <c r="A282" s="606" t="s">
        <v>117</v>
      </c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587"/>
      <c r="AB282" s="587"/>
      <c r="AC282" s="587"/>
    </row>
    <row r="283" spans="1:68" ht="27" hidden="1" customHeight="1" x14ac:dyDescent="0.25">
      <c r="A283" s="54" t="s">
        <v>463</v>
      </c>
      <c r="B283" s="54" t="s">
        <v>464</v>
      </c>
      <c r="C283" s="32">
        <v>4301011826</v>
      </c>
      <c r="D283" s="595">
        <v>4680115884137</v>
      </c>
      <c r="E283" s="596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8"/>
      <c r="R283" s="598"/>
      <c r="S283" s="598"/>
      <c r="T283" s="599"/>
      <c r="U283" s="35"/>
      <c r="V283" s="35"/>
      <c r="W283" s="36" t="s">
        <v>67</v>
      </c>
      <c r="X283" s="591">
        <v>0</v>
      </c>
      <c r="Y283" s="592">
        <f t="shared" ref="Y283:Y289" si="42">IFERROR(IF(X283="",0,CEILING((X283/$H283),1)*$H283),"")</f>
        <v>0</v>
      </c>
      <c r="Z283" s="37" t="str">
        <f>IFERROR(IF(Y283=0,"",ROUNDUP(Y283/H283,0)*0.01898),"")</f>
        <v/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0</v>
      </c>
      <c r="BN283" s="64">
        <f t="shared" ref="BN283:BN289" si="44">IFERROR(Y283*I283/H283,"0")</f>
        <v>0</v>
      </c>
      <c r="BO283" s="64">
        <f t="shared" ref="BO283:BO289" si="45">IFERROR(1/J283*(X283/H283),"0")</f>
        <v>0</v>
      </c>
      <c r="BP283" s="64">
        <f t="shared" ref="BP283:BP289" si="46">IFERROR(1/J283*(Y283/H283),"0")</f>
        <v>0</v>
      </c>
    </row>
    <row r="284" spans="1:68" ht="27" hidden="1" customHeight="1" x14ac:dyDescent="0.25">
      <c r="A284" s="54" t="s">
        <v>466</v>
      </c>
      <c r="B284" s="54" t="s">
        <v>467</v>
      </c>
      <c r="C284" s="32">
        <v>4301011724</v>
      </c>
      <c r="D284" s="595">
        <v>4680115884236</v>
      </c>
      <c r="E284" s="596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8"/>
      <c r="R284" s="598"/>
      <c r="S284" s="598"/>
      <c r="T284" s="599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469</v>
      </c>
      <c r="B285" s="54" t="s">
        <v>470</v>
      </c>
      <c r="C285" s="32">
        <v>4301011721</v>
      </c>
      <c r="D285" s="595">
        <v>4680115884175</v>
      </c>
      <c r="E285" s="596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7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8"/>
      <c r="R285" s="598"/>
      <c r="S285" s="598"/>
      <c r="T285" s="599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471</v>
      </c>
      <c r="B286" s="54" t="s">
        <v>472</v>
      </c>
      <c r="C286" s="32">
        <v>4301011824</v>
      </c>
      <c r="D286" s="595">
        <v>4680115884144</v>
      </c>
      <c r="E286" s="596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8"/>
      <c r="R286" s="598"/>
      <c r="S286" s="598"/>
      <c r="T286" s="599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473</v>
      </c>
      <c r="B287" s="54" t="s">
        <v>474</v>
      </c>
      <c r="C287" s="32">
        <v>4301012149</v>
      </c>
      <c r="D287" s="595">
        <v>4680115886551</v>
      </c>
      <c r="E287" s="596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8"/>
      <c r="R287" s="598"/>
      <c r="S287" s="598"/>
      <c r="T287" s="599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476</v>
      </c>
      <c r="B288" s="54" t="s">
        <v>477</v>
      </c>
      <c r="C288" s="32">
        <v>4301012228</v>
      </c>
      <c r="D288" s="595">
        <v>4680115887282</v>
      </c>
      <c r="E288" s="596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8"/>
      <c r="R288" s="598"/>
      <c r="S288" s="598"/>
      <c r="T288" s="599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2">
        <v>4301011722</v>
      </c>
      <c r="D289" s="595">
        <v>4680115884205</v>
      </c>
      <c r="E289" s="596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7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8"/>
      <c r="R289" s="598"/>
      <c r="S289" s="598"/>
      <c r="T289" s="599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idden="1" x14ac:dyDescent="0.2">
      <c r="A290" s="601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3"/>
      <c r="P290" s="611" t="s">
        <v>72</v>
      </c>
      <c r="Q290" s="612"/>
      <c r="R290" s="612"/>
      <c r="S290" s="612"/>
      <c r="T290" s="612"/>
      <c r="U290" s="612"/>
      <c r="V290" s="613"/>
      <c r="W290" s="38" t="s">
        <v>73</v>
      </c>
      <c r="X290" s="593">
        <f>IFERROR(X283/H283,"0")+IFERROR(X284/H284,"0")+IFERROR(X285/H285,"0")+IFERROR(X286/H286,"0")+IFERROR(X287/H287,"0")+IFERROR(X288/H288,"0")+IFERROR(X289/H289,"0")</f>
        <v>0</v>
      </c>
      <c r="Y290" s="593">
        <f>IFERROR(Y283/H283,"0")+IFERROR(Y284/H284,"0")+IFERROR(Y285/H285,"0")+IFERROR(Y286/H286,"0")+IFERROR(Y287/H287,"0")+IFERROR(Y288/H288,"0")+IFERROR(Y289/H289,"0")</f>
        <v>0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4"/>
      <c r="AB290" s="594"/>
      <c r="AC290" s="594"/>
    </row>
    <row r="291" spans="1:68" hidden="1" x14ac:dyDescent="0.2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3"/>
      <c r="P291" s="611" t="s">
        <v>72</v>
      </c>
      <c r="Q291" s="612"/>
      <c r="R291" s="612"/>
      <c r="S291" s="612"/>
      <c r="T291" s="612"/>
      <c r="U291" s="612"/>
      <c r="V291" s="613"/>
      <c r="W291" s="38" t="s">
        <v>67</v>
      </c>
      <c r="X291" s="593">
        <f>IFERROR(SUM(X283:X289),"0")</f>
        <v>0</v>
      </c>
      <c r="Y291" s="593">
        <f>IFERROR(SUM(Y283:Y289),"0")</f>
        <v>0</v>
      </c>
      <c r="Z291" s="38"/>
      <c r="AA291" s="594"/>
      <c r="AB291" s="594"/>
      <c r="AC291" s="594"/>
    </row>
    <row r="292" spans="1:68" ht="14.25" hidden="1" customHeight="1" x14ac:dyDescent="0.25">
      <c r="A292" s="606" t="s">
        <v>152</v>
      </c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587"/>
      <c r="AB292" s="587"/>
      <c r="AC292" s="587"/>
    </row>
    <row r="293" spans="1:68" ht="27" hidden="1" customHeight="1" x14ac:dyDescent="0.25">
      <c r="A293" s="54" t="s">
        <v>481</v>
      </c>
      <c r="B293" s="54" t="s">
        <v>482</v>
      </c>
      <c r="C293" s="32">
        <v>4301020377</v>
      </c>
      <c r="D293" s="595">
        <v>4680115885981</v>
      </c>
      <c r="E293" s="596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9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8"/>
      <c r="R293" s="598"/>
      <c r="S293" s="598"/>
      <c r="T293" s="599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1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3"/>
      <c r="P294" s="611" t="s">
        <v>72</v>
      </c>
      <c r="Q294" s="612"/>
      <c r="R294" s="612"/>
      <c r="S294" s="612"/>
      <c r="T294" s="612"/>
      <c r="U294" s="612"/>
      <c r="V294" s="613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hidden="1" x14ac:dyDescent="0.2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3"/>
      <c r="P295" s="611" t="s">
        <v>72</v>
      </c>
      <c r="Q295" s="612"/>
      <c r="R295" s="612"/>
      <c r="S295" s="612"/>
      <c r="T295" s="612"/>
      <c r="U295" s="612"/>
      <c r="V295" s="613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hidden="1" customHeight="1" x14ac:dyDescent="0.25">
      <c r="A296" s="606" t="s">
        <v>484</v>
      </c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587"/>
      <c r="AB296" s="587"/>
      <c r="AC296" s="587"/>
    </row>
    <row r="297" spans="1:68" ht="27" customHeight="1" x14ac:dyDescent="0.25">
      <c r="A297" s="54" t="s">
        <v>485</v>
      </c>
      <c r="B297" s="54" t="s">
        <v>486</v>
      </c>
      <c r="C297" s="32">
        <v>4301040362</v>
      </c>
      <c r="D297" s="595">
        <v>4680115886803</v>
      </c>
      <c r="E297" s="596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8"/>
      <c r="R297" s="598"/>
      <c r="S297" s="598"/>
      <c r="T297" s="599"/>
      <c r="U297" s="35"/>
      <c r="V297" s="35"/>
      <c r="W297" s="36" t="s">
        <v>67</v>
      </c>
      <c r="X297" s="591">
        <v>6</v>
      </c>
      <c r="Y297" s="592">
        <f>IFERROR(IF(X297="",0,CEILING((X297/$H297),1)*$H297),"")</f>
        <v>7.2</v>
      </c>
      <c r="Z297" s="37">
        <f>IFERROR(IF(Y297=0,"",ROUNDUP(Y297/H297,0)*0.0059),"")</f>
        <v>2.3599999999999999E-2</v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6.5833333333333339</v>
      </c>
      <c r="BN297" s="64">
        <f>IFERROR(Y297*I297/H297,"0")</f>
        <v>7.9</v>
      </c>
      <c r="BO297" s="64">
        <f>IFERROR(1/J297*(X297/H297),"0")</f>
        <v>1.5432098765432096E-2</v>
      </c>
      <c r="BP297" s="64">
        <f>IFERROR(1/J297*(Y297/H297),"0")</f>
        <v>1.8518518518518517E-2</v>
      </c>
    </row>
    <row r="298" spans="1:68" x14ac:dyDescent="0.2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3"/>
      <c r="P298" s="611" t="s">
        <v>72</v>
      </c>
      <c r="Q298" s="612"/>
      <c r="R298" s="612"/>
      <c r="S298" s="612"/>
      <c r="T298" s="612"/>
      <c r="U298" s="612"/>
      <c r="V298" s="613"/>
      <c r="W298" s="38" t="s">
        <v>73</v>
      </c>
      <c r="X298" s="593">
        <f>IFERROR(X297/H297,"0")</f>
        <v>3.333333333333333</v>
      </c>
      <c r="Y298" s="593">
        <f>IFERROR(Y297/H297,"0")</f>
        <v>4</v>
      </c>
      <c r="Z298" s="593">
        <f>IFERROR(IF(Z297="",0,Z297),"0")</f>
        <v>2.3599999999999999E-2</v>
      </c>
      <c r="AA298" s="594"/>
      <c r="AB298" s="594"/>
      <c r="AC298" s="594"/>
    </row>
    <row r="299" spans="1:68" x14ac:dyDescent="0.2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3"/>
      <c r="P299" s="611" t="s">
        <v>72</v>
      </c>
      <c r="Q299" s="612"/>
      <c r="R299" s="612"/>
      <c r="S299" s="612"/>
      <c r="T299" s="612"/>
      <c r="U299" s="612"/>
      <c r="V299" s="613"/>
      <c r="W299" s="38" t="s">
        <v>67</v>
      </c>
      <c r="X299" s="593">
        <f>IFERROR(SUM(X297:X297),"0")</f>
        <v>6</v>
      </c>
      <c r="Y299" s="593">
        <f>IFERROR(SUM(Y297:Y297),"0")</f>
        <v>7.2</v>
      </c>
      <c r="Z299" s="38"/>
      <c r="AA299" s="594"/>
      <c r="AB299" s="594"/>
      <c r="AC299" s="594"/>
    </row>
    <row r="300" spans="1:68" ht="14.25" hidden="1" customHeight="1" x14ac:dyDescent="0.25">
      <c r="A300" s="606" t="s">
        <v>318</v>
      </c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587"/>
      <c r="AB300" s="587"/>
      <c r="AC300" s="587"/>
    </row>
    <row r="301" spans="1:68" ht="27" hidden="1" customHeight="1" x14ac:dyDescent="0.25">
      <c r="A301" s="54" t="s">
        <v>488</v>
      </c>
      <c r="B301" s="54" t="s">
        <v>489</v>
      </c>
      <c r="C301" s="32">
        <v>4301041004</v>
      </c>
      <c r="D301" s="595">
        <v>4680115886704</v>
      </c>
      <c r="E301" s="596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8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8"/>
      <c r="R301" s="598"/>
      <c r="S301" s="598"/>
      <c r="T301" s="599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491</v>
      </c>
      <c r="B302" s="54" t="s">
        <v>492</v>
      </c>
      <c r="C302" s="32">
        <v>4301041008</v>
      </c>
      <c r="D302" s="595">
        <v>4680115886681</v>
      </c>
      <c r="E302" s="596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6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8"/>
      <c r="R302" s="598"/>
      <c r="S302" s="598"/>
      <c r="T302" s="599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493</v>
      </c>
      <c r="B303" s="54" t="s">
        <v>494</v>
      </c>
      <c r="C303" s="32">
        <v>4301041007</v>
      </c>
      <c r="D303" s="595">
        <v>4680115886735</v>
      </c>
      <c r="E303" s="596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8"/>
      <c r="R303" s="598"/>
      <c r="S303" s="598"/>
      <c r="T303" s="599"/>
      <c r="U303" s="35"/>
      <c r="V303" s="35"/>
      <c r="W303" s="36" t="s">
        <v>67</v>
      </c>
      <c r="X303" s="591">
        <v>3</v>
      </c>
      <c r="Y303" s="592">
        <f>IFERROR(IF(X303="",0,CEILING((X303/$H303),1)*$H303),"")</f>
        <v>3.6</v>
      </c>
      <c r="Z303" s="37">
        <f>IFERROR(IF(Y303=0,"",ROUNDUP(Y303/H303,0)*0.0059),"")</f>
        <v>2.3599999999999999E-2</v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3.6333333333333337</v>
      </c>
      <c r="BN303" s="64">
        <f>IFERROR(Y303*I303/H303,"0")</f>
        <v>4.3600000000000003</v>
      </c>
      <c r="BO303" s="64">
        <f>IFERROR(1/J303*(X303/H303),"0")</f>
        <v>1.5432098765432096E-2</v>
      </c>
      <c r="BP303" s="64">
        <f>IFERROR(1/J303*(Y303/H303),"0")</f>
        <v>1.8518518518518517E-2</v>
      </c>
    </row>
    <row r="304" spans="1:68" ht="27" customHeight="1" x14ac:dyDescent="0.25">
      <c r="A304" s="54" t="s">
        <v>495</v>
      </c>
      <c r="B304" s="54" t="s">
        <v>496</v>
      </c>
      <c r="C304" s="32">
        <v>4301041005</v>
      </c>
      <c r="D304" s="595">
        <v>4680115886711</v>
      </c>
      <c r="E304" s="596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8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8"/>
      <c r="R304" s="598"/>
      <c r="S304" s="598"/>
      <c r="T304" s="599"/>
      <c r="U304" s="35"/>
      <c r="V304" s="35" t="s">
        <v>497</v>
      </c>
      <c r="W304" s="36" t="s">
        <v>67</v>
      </c>
      <c r="X304" s="591">
        <v>4</v>
      </c>
      <c r="Y304" s="592">
        <f>IFERROR(IF(X304="",0,CEILING((X304/$H304),1)*$H304),"")</f>
        <v>4.95</v>
      </c>
      <c r="Z304" s="37">
        <f>IFERROR(IF(Y304=0,"",ROUNDUP(Y304/H304,0)*0.0059),"")</f>
        <v>2.9499999999999998E-2</v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4.7676767676767673</v>
      </c>
      <c r="BN304" s="64">
        <f>IFERROR(Y304*I304/H304,"0")</f>
        <v>5.9</v>
      </c>
      <c r="BO304" s="64">
        <f>IFERROR(1/J304*(X304/H304),"0")</f>
        <v>1.8705574261129818E-2</v>
      </c>
      <c r="BP304" s="64">
        <f>IFERROR(1/J304*(Y304/H304),"0")</f>
        <v>2.3148148148148147E-2</v>
      </c>
    </row>
    <row r="305" spans="1:68" x14ac:dyDescent="0.2">
      <c r="A305" s="601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3"/>
      <c r="P305" s="611" t="s">
        <v>72</v>
      </c>
      <c r="Q305" s="612"/>
      <c r="R305" s="612"/>
      <c r="S305" s="612"/>
      <c r="T305" s="612"/>
      <c r="U305" s="612"/>
      <c r="V305" s="613"/>
      <c r="W305" s="38" t="s">
        <v>73</v>
      </c>
      <c r="X305" s="593">
        <f>IFERROR(X301/H301,"0")+IFERROR(X302/H302,"0")+IFERROR(X303/H303,"0")+IFERROR(X304/H304,"0")</f>
        <v>7.3737373737373737</v>
      </c>
      <c r="Y305" s="593">
        <f>IFERROR(Y301/H301,"0")+IFERROR(Y302/H302,"0")+IFERROR(Y303/H303,"0")+IFERROR(Y304/H304,"0")</f>
        <v>9</v>
      </c>
      <c r="Z305" s="593">
        <f>IFERROR(IF(Z301="",0,Z301),"0")+IFERROR(IF(Z302="",0,Z302),"0")+IFERROR(IF(Z303="",0,Z303),"0")+IFERROR(IF(Z304="",0,Z304),"0")</f>
        <v>5.3099999999999994E-2</v>
      </c>
      <c r="AA305" s="594"/>
      <c r="AB305" s="594"/>
      <c r="AC305" s="594"/>
    </row>
    <row r="306" spans="1:68" x14ac:dyDescent="0.2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3"/>
      <c r="P306" s="611" t="s">
        <v>72</v>
      </c>
      <c r="Q306" s="612"/>
      <c r="R306" s="612"/>
      <c r="S306" s="612"/>
      <c r="T306" s="612"/>
      <c r="U306" s="612"/>
      <c r="V306" s="613"/>
      <c r="W306" s="38" t="s">
        <v>67</v>
      </c>
      <c r="X306" s="593">
        <f>IFERROR(SUM(X301:X304),"0")</f>
        <v>7</v>
      </c>
      <c r="Y306" s="593">
        <f>IFERROR(SUM(Y301:Y304),"0")</f>
        <v>8.5500000000000007</v>
      </c>
      <c r="Z306" s="38"/>
      <c r="AA306" s="594"/>
      <c r="AB306" s="594"/>
      <c r="AC306" s="594"/>
    </row>
    <row r="307" spans="1:68" ht="16.5" hidden="1" customHeight="1" x14ac:dyDescent="0.25">
      <c r="A307" s="607" t="s">
        <v>498</v>
      </c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586"/>
      <c r="AB307" s="586"/>
      <c r="AC307" s="586"/>
    </row>
    <row r="308" spans="1:68" ht="14.25" hidden="1" customHeight="1" x14ac:dyDescent="0.25">
      <c r="A308" s="606" t="s">
        <v>117</v>
      </c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587"/>
      <c r="AB308" s="587"/>
      <c r="AC308" s="587"/>
    </row>
    <row r="309" spans="1:68" ht="27" hidden="1" customHeight="1" x14ac:dyDescent="0.25">
      <c r="A309" s="54" t="s">
        <v>499</v>
      </c>
      <c r="B309" s="54" t="s">
        <v>500</v>
      </c>
      <c r="C309" s="32">
        <v>4301011855</v>
      </c>
      <c r="D309" s="595">
        <v>4680115885837</v>
      </c>
      <c r="E309" s="596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8"/>
      <c r="R309" s="598"/>
      <c r="S309" s="598"/>
      <c r="T309" s="599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hidden="1" customHeight="1" x14ac:dyDescent="0.25">
      <c r="A310" s="54" t="s">
        <v>502</v>
      </c>
      <c r="B310" s="54" t="s">
        <v>503</v>
      </c>
      <c r="C310" s="32">
        <v>4301012234</v>
      </c>
      <c r="D310" s="595">
        <v>4680115887237</v>
      </c>
      <c r="E310" s="596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8"/>
      <c r="R310" s="598"/>
      <c r="S310" s="598"/>
      <c r="T310" s="599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505</v>
      </c>
      <c r="B311" s="54" t="s">
        <v>506</v>
      </c>
      <c r="C311" s="32">
        <v>4301011850</v>
      </c>
      <c r="D311" s="595">
        <v>4680115885806</v>
      </c>
      <c r="E311" s="596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8"/>
      <c r="R311" s="598"/>
      <c r="S311" s="598"/>
      <c r="T311" s="599"/>
      <c r="U311" s="35"/>
      <c r="V311" s="35"/>
      <c r="W311" s="36" t="s">
        <v>67</v>
      </c>
      <c r="X311" s="591">
        <v>0</v>
      </c>
      <c r="Y311" s="592">
        <f>IFERROR(IF(X311="",0,CEILING((X311/$H311),1)*$H311),"")</f>
        <v>0</v>
      </c>
      <c r="Z311" s="37" t="str">
        <f>IFERROR(IF(Y311=0,"",ROUNDUP(Y311/H311,0)*0.01898),"")</f>
        <v/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508</v>
      </c>
      <c r="B312" s="54" t="s">
        <v>509</v>
      </c>
      <c r="C312" s="32">
        <v>4301011852</v>
      </c>
      <c r="D312" s="595">
        <v>4680115885844</v>
      </c>
      <c r="E312" s="596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8"/>
      <c r="R312" s="598"/>
      <c r="S312" s="598"/>
      <c r="T312" s="599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511</v>
      </c>
      <c r="B313" s="54" t="s">
        <v>512</v>
      </c>
      <c r="C313" s="32">
        <v>4301011851</v>
      </c>
      <c r="D313" s="595">
        <v>4680115885820</v>
      </c>
      <c r="E313" s="596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8"/>
      <c r="R313" s="598"/>
      <c r="S313" s="598"/>
      <c r="T313" s="599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01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3"/>
      <c r="P314" s="611" t="s">
        <v>72</v>
      </c>
      <c r="Q314" s="612"/>
      <c r="R314" s="612"/>
      <c r="S314" s="612"/>
      <c r="T314" s="612"/>
      <c r="U314" s="612"/>
      <c r="V314" s="613"/>
      <c r="W314" s="38" t="s">
        <v>73</v>
      </c>
      <c r="X314" s="593">
        <f>IFERROR(X309/H309,"0")+IFERROR(X310/H310,"0")+IFERROR(X311/H311,"0")+IFERROR(X312/H312,"0")+IFERROR(X313/H313,"0")</f>
        <v>0</v>
      </c>
      <c r="Y314" s="593">
        <f>IFERROR(Y309/H309,"0")+IFERROR(Y310/H310,"0")+IFERROR(Y311/H311,"0")+IFERROR(Y312/H312,"0")+IFERROR(Y313/H313,"0")</f>
        <v>0</v>
      </c>
      <c r="Z314" s="593">
        <f>IFERROR(IF(Z309="",0,Z309),"0")+IFERROR(IF(Z310="",0,Z310),"0")+IFERROR(IF(Z311="",0,Z311),"0")+IFERROR(IF(Z312="",0,Z312),"0")+IFERROR(IF(Z313="",0,Z313),"0")</f>
        <v>0</v>
      </c>
      <c r="AA314" s="594"/>
      <c r="AB314" s="594"/>
      <c r="AC314" s="594"/>
    </row>
    <row r="315" spans="1:68" hidden="1" x14ac:dyDescent="0.2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3"/>
      <c r="P315" s="611" t="s">
        <v>72</v>
      </c>
      <c r="Q315" s="612"/>
      <c r="R315" s="612"/>
      <c r="S315" s="612"/>
      <c r="T315" s="612"/>
      <c r="U315" s="612"/>
      <c r="V315" s="613"/>
      <c r="W315" s="38" t="s">
        <v>67</v>
      </c>
      <c r="X315" s="593">
        <f>IFERROR(SUM(X309:X313),"0")</f>
        <v>0</v>
      </c>
      <c r="Y315" s="593">
        <f>IFERROR(SUM(Y309:Y313),"0")</f>
        <v>0</v>
      </c>
      <c r="Z315" s="38"/>
      <c r="AA315" s="594"/>
      <c r="AB315" s="594"/>
      <c r="AC315" s="594"/>
    </row>
    <row r="316" spans="1:68" ht="16.5" hidden="1" customHeight="1" x14ac:dyDescent="0.25">
      <c r="A316" s="607" t="s">
        <v>514</v>
      </c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586"/>
      <c r="AB316" s="586"/>
      <c r="AC316" s="586"/>
    </row>
    <row r="317" spans="1:68" ht="14.25" hidden="1" customHeight="1" x14ac:dyDescent="0.25">
      <c r="A317" s="606" t="s">
        <v>74</v>
      </c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587"/>
      <c r="AB317" s="587"/>
      <c r="AC317" s="587"/>
    </row>
    <row r="318" spans="1:68" ht="27" hidden="1" customHeight="1" x14ac:dyDescent="0.25">
      <c r="A318" s="54" t="s">
        <v>515</v>
      </c>
      <c r="B318" s="54" t="s">
        <v>516</v>
      </c>
      <c r="C318" s="32">
        <v>4301051893</v>
      </c>
      <c r="D318" s="595">
        <v>4680115886186</v>
      </c>
      <c r="E318" s="596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8"/>
      <c r="R318" s="598"/>
      <c r="S318" s="598"/>
      <c r="T318" s="599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518</v>
      </c>
      <c r="B319" s="54" t="s">
        <v>519</v>
      </c>
      <c r="C319" s="32">
        <v>4301051795</v>
      </c>
      <c r="D319" s="595">
        <v>4680115881228</v>
      </c>
      <c r="E319" s="596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9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8"/>
      <c r="R319" s="598"/>
      <c r="S319" s="598"/>
      <c r="T319" s="599"/>
      <c r="U319" s="35"/>
      <c r="V319" s="35"/>
      <c r="W319" s="36" t="s">
        <v>67</v>
      </c>
      <c r="X319" s="591">
        <v>70</v>
      </c>
      <c r="Y319" s="592">
        <f>IFERROR(IF(X319="",0,CEILING((X319/$H319),1)*$H319),"")</f>
        <v>72</v>
      </c>
      <c r="Z319" s="37">
        <f>IFERROR(IF(Y319=0,"",ROUNDUP(Y319/H319,0)*0.00651),"")</f>
        <v>0.1953</v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77.350000000000009</v>
      </c>
      <c r="BN319" s="64">
        <f>IFERROR(Y319*I319/H319,"0")</f>
        <v>79.560000000000016</v>
      </c>
      <c r="BO319" s="64">
        <f>IFERROR(1/J319*(X319/H319),"0")</f>
        <v>0.16025641025641027</v>
      </c>
      <c r="BP319" s="64">
        <f>IFERROR(1/J319*(Y319/H319),"0")</f>
        <v>0.16483516483516486</v>
      </c>
    </row>
    <row r="320" spans="1:68" ht="27" hidden="1" customHeight="1" x14ac:dyDescent="0.25">
      <c r="A320" s="54" t="s">
        <v>521</v>
      </c>
      <c r="B320" s="54" t="s">
        <v>522</v>
      </c>
      <c r="C320" s="32">
        <v>4301051388</v>
      </c>
      <c r="D320" s="595">
        <v>4680115881211</v>
      </c>
      <c r="E320" s="596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8"/>
      <c r="R320" s="598"/>
      <c r="S320" s="598"/>
      <c r="T320" s="599"/>
      <c r="U320" s="35"/>
      <c r="V320" s="35"/>
      <c r="W320" s="36" t="s">
        <v>67</v>
      </c>
      <c r="X320" s="591">
        <v>0</v>
      </c>
      <c r="Y320" s="592">
        <f>IFERROR(IF(X320="",0,CEILING((X320/$H320),1)*$H320),"")</f>
        <v>0</v>
      </c>
      <c r="Z320" s="37" t="str">
        <f>IFERROR(IF(Y320=0,"",ROUNDUP(Y320/H320,0)*0.00651),"")</f>
        <v/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01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3"/>
      <c r="P321" s="611" t="s">
        <v>72</v>
      </c>
      <c r="Q321" s="612"/>
      <c r="R321" s="612"/>
      <c r="S321" s="612"/>
      <c r="T321" s="612"/>
      <c r="U321" s="612"/>
      <c r="V321" s="613"/>
      <c r="W321" s="38" t="s">
        <v>73</v>
      </c>
      <c r="X321" s="593">
        <f>IFERROR(X318/H318,"0")+IFERROR(X319/H319,"0")+IFERROR(X320/H320,"0")</f>
        <v>29.166666666666668</v>
      </c>
      <c r="Y321" s="593">
        <f>IFERROR(Y318/H318,"0")+IFERROR(Y319/H319,"0")+IFERROR(Y320/H320,"0")</f>
        <v>30</v>
      </c>
      <c r="Z321" s="593">
        <f>IFERROR(IF(Z318="",0,Z318),"0")+IFERROR(IF(Z319="",0,Z319),"0")+IFERROR(IF(Z320="",0,Z320),"0")</f>
        <v>0.1953</v>
      </c>
      <c r="AA321" s="594"/>
      <c r="AB321" s="594"/>
      <c r="AC321" s="594"/>
    </row>
    <row r="322" spans="1:68" x14ac:dyDescent="0.2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3"/>
      <c r="P322" s="611" t="s">
        <v>72</v>
      </c>
      <c r="Q322" s="612"/>
      <c r="R322" s="612"/>
      <c r="S322" s="612"/>
      <c r="T322" s="612"/>
      <c r="U322" s="612"/>
      <c r="V322" s="613"/>
      <c r="W322" s="38" t="s">
        <v>67</v>
      </c>
      <c r="X322" s="593">
        <f>IFERROR(SUM(X318:X320),"0")</f>
        <v>70</v>
      </c>
      <c r="Y322" s="593">
        <f>IFERROR(SUM(Y318:Y320),"0")</f>
        <v>72</v>
      </c>
      <c r="Z322" s="38"/>
      <c r="AA322" s="594"/>
      <c r="AB322" s="594"/>
      <c r="AC322" s="594"/>
    </row>
    <row r="323" spans="1:68" ht="16.5" hidden="1" customHeight="1" x14ac:dyDescent="0.25">
      <c r="A323" s="607" t="s">
        <v>523</v>
      </c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586"/>
      <c r="AB323" s="586"/>
      <c r="AC323" s="586"/>
    </row>
    <row r="324" spans="1:68" ht="14.25" hidden="1" customHeight="1" x14ac:dyDescent="0.25">
      <c r="A324" s="606" t="s">
        <v>62</v>
      </c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587"/>
      <c r="AB324" s="587"/>
      <c r="AC324" s="587"/>
    </row>
    <row r="325" spans="1:68" ht="27" hidden="1" customHeight="1" x14ac:dyDescent="0.25">
      <c r="A325" s="54" t="s">
        <v>524</v>
      </c>
      <c r="B325" s="54" t="s">
        <v>525</v>
      </c>
      <c r="C325" s="32">
        <v>4301031445</v>
      </c>
      <c r="D325" s="595">
        <v>4680115888319</v>
      </c>
      <c r="E325" s="596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8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8"/>
      <c r="R325" s="598"/>
      <c r="S325" s="598"/>
      <c r="T325" s="599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2">
        <v>4301031502</v>
      </c>
      <c r="D326" s="595">
        <v>4680115884700</v>
      </c>
      <c r="E326" s="596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8"/>
      <c r="R326" s="598"/>
      <c r="S326" s="598"/>
      <c r="T326" s="599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529</v>
      </c>
      <c r="B327" s="54" t="s">
        <v>530</v>
      </c>
      <c r="C327" s="32">
        <v>4301031307</v>
      </c>
      <c r="D327" s="595">
        <v>4680115880344</v>
      </c>
      <c r="E327" s="596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8"/>
      <c r="R327" s="598"/>
      <c r="S327" s="598"/>
      <c r="T327" s="599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532</v>
      </c>
      <c r="B328" s="54" t="s">
        <v>533</v>
      </c>
      <c r="C328" s="32">
        <v>4301031501</v>
      </c>
      <c r="D328" s="595">
        <v>4680115886919</v>
      </c>
      <c r="E328" s="596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6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8"/>
      <c r="R328" s="598"/>
      <c r="S328" s="598"/>
      <c r="T328" s="599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535</v>
      </c>
      <c r="B329" s="54" t="s">
        <v>536</v>
      </c>
      <c r="C329" s="32">
        <v>4301031246</v>
      </c>
      <c r="D329" s="595">
        <v>4680115883970</v>
      </c>
      <c r="E329" s="596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6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8"/>
      <c r="R329" s="598"/>
      <c r="S329" s="598"/>
      <c r="T329" s="599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1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3"/>
      <c r="P330" s="611" t="s">
        <v>72</v>
      </c>
      <c r="Q330" s="612"/>
      <c r="R330" s="612"/>
      <c r="S330" s="612"/>
      <c r="T330" s="612"/>
      <c r="U330" s="612"/>
      <c r="V330" s="613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hidden="1" x14ac:dyDescent="0.2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3"/>
      <c r="P331" s="611" t="s">
        <v>72</v>
      </c>
      <c r="Q331" s="612"/>
      <c r="R331" s="612"/>
      <c r="S331" s="612"/>
      <c r="T331" s="612"/>
      <c r="U331" s="612"/>
      <c r="V331" s="613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hidden="1" customHeight="1" x14ac:dyDescent="0.25">
      <c r="A332" s="606" t="s">
        <v>74</v>
      </c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587"/>
      <c r="AB332" s="587"/>
      <c r="AC332" s="587"/>
    </row>
    <row r="333" spans="1:68" ht="37.5" hidden="1" customHeight="1" x14ac:dyDescent="0.25">
      <c r="A333" s="54" t="s">
        <v>538</v>
      </c>
      <c r="B333" s="54" t="s">
        <v>539</v>
      </c>
      <c r="C333" s="32">
        <v>4301051782</v>
      </c>
      <c r="D333" s="595">
        <v>4680115884618</v>
      </c>
      <c r="E333" s="596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8"/>
      <c r="R333" s="598"/>
      <c r="S333" s="598"/>
      <c r="T333" s="599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541</v>
      </c>
      <c r="B334" s="54" t="s">
        <v>542</v>
      </c>
      <c r="C334" s="32">
        <v>4301052057</v>
      </c>
      <c r="D334" s="595">
        <v>4680115887114</v>
      </c>
      <c r="E334" s="596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8"/>
      <c r="R334" s="598"/>
      <c r="S334" s="598"/>
      <c r="T334" s="599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1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3"/>
      <c r="P335" s="611" t="s">
        <v>72</v>
      </c>
      <c r="Q335" s="612"/>
      <c r="R335" s="612"/>
      <c r="S335" s="612"/>
      <c r="T335" s="612"/>
      <c r="U335" s="612"/>
      <c r="V335" s="613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hidden="1" x14ac:dyDescent="0.2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3"/>
      <c r="P336" s="611" t="s">
        <v>72</v>
      </c>
      <c r="Q336" s="612"/>
      <c r="R336" s="612"/>
      <c r="S336" s="612"/>
      <c r="T336" s="612"/>
      <c r="U336" s="612"/>
      <c r="V336" s="613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hidden="1" customHeight="1" x14ac:dyDescent="0.25">
      <c r="A337" s="607" t="s">
        <v>544</v>
      </c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586"/>
      <c r="AB337" s="586"/>
      <c r="AC337" s="586"/>
    </row>
    <row r="338" spans="1:68" ht="14.25" hidden="1" customHeight="1" x14ac:dyDescent="0.25">
      <c r="A338" s="606" t="s">
        <v>117</v>
      </c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587"/>
      <c r="AB338" s="587"/>
      <c r="AC338" s="587"/>
    </row>
    <row r="339" spans="1:68" ht="27" hidden="1" customHeight="1" x14ac:dyDescent="0.25">
      <c r="A339" s="54" t="s">
        <v>545</v>
      </c>
      <c r="B339" s="54" t="s">
        <v>546</v>
      </c>
      <c r="C339" s="32">
        <v>4301012324</v>
      </c>
      <c r="D339" s="595">
        <v>4680115887947</v>
      </c>
      <c r="E339" s="596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8"/>
      <c r="R339" s="598"/>
      <c r="S339" s="598"/>
      <c r="T339" s="599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2">
        <v>4301012325</v>
      </c>
      <c r="D340" s="595">
        <v>4680115887978</v>
      </c>
      <c r="E340" s="596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8"/>
      <c r="R340" s="598"/>
      <c r="S340" s="598"/>
      <c r="T340" s="599"/>
      <c r="U340" s="35"/>
      <c r="V340" s="35"/>
      <c r="W340" s="36" t="s">
        <v>67</v>
      </c>
      <c r="X340" s="591">
        <v>206</v>
      </c>
      <c r="Y340" s="592">
        <f>IFERROR(IF(X340="",0,CEILING((X340/$H340),1)*$H340),"")</f>
        <v>210.6</v>
      </c>
      <c r="Z340" s="37">
        <f>IFERROR(IF(Y340=0,"",ROUNDUP(Y340/H340,0)*0.01898),"")</f>
        <v>0.51246000000000003</v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216.82820512820516</v>
      </c>
      <c r="BN340" s="64">
        <f>IFERROR(Y340*I340/H340,"0")</f>
        <v>221.67000000000002</v>
      </c>
      <c r="BO340" s="64">
        <f>IFERROR(1/J340*(X340/H340),"0")</f>
        <v>0.41266025641025644</v>
      </c>
      <c r="BP340" s="64">
        <f>IFERROR(1/J340*(Y340/H340),"0")</f>
        <v>0.421875</v>
      </c>
    </row>
    <row r="341" spans="1:68" ht="27" hidden="1" customHeight="1" x14ac:dyDescent="0.25">
      <c r="A341" s="54" t="s">
        <v>551</v>
      </c>
      <c r="B341" s="54" t="s">
        <v>552</v>
      </c>
      <c r="C341" s="32">
        <v>4301012327</v>
      </c>
      <c r="D341" s="595">
        <v>4680115887992</v>
      </c>
      <c r="E341" s="596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8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8"/>
      <c r="R341" s="598"/>
      <c r="S341" s="598"/>
      <c r="T341" s="599"/>
      <c r="U341" s="35"/>
      <c r="V341" s="35"/>
      <c r="W341" s="36" t="s">
        <v>67</v>
      </c>
      <c r="X341" s="591">
        <v>0</v>
      </c>
      <c r="Y341" s="592">
        <f>IFERROR(IF(X341="",0,CEILING((X341/$H341),1)*$H341),"")</f>
        <v>0</v>
      </c>
      <c r="Z341" s="37" t="str">
        <f>IFERROR(IF(Y341=0,"",ROUNDUP(Y341/H341,0)*0.01898),"")</f>
        <v/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01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3"/>
      <c r="P342" s="611" t="s">
        <v>72</v>
      </c>
      <c r="Q342" s="612"/>
      <c r="R342" s="612"/>
      <c r="S342" s="612"/>
      <c r="T342" s="612"/>
      <c r="U342" s="612"/>
      <c r="V342" s="613"/>
      <c r="W342" s="38" t="s">
        <v>73</v>
      </c>
      <c r="X342" s="593">
        <f>IFERROR(X339/H339,"0")+IFERROR(X340/H340,"0")+IFERROR(X341/H341,"0")</f>
        <v>26.410256410256412</v>
      </c>
      <c r="Y342" s="593">
        <f>IFERROR(Y339/H339,"0")+IFERROR(Y340/H340,"0")+IFERROR(Y341/H341,"0")</f>
        <v>27</v>
      </c>
      <c r="Z342" s="593">
        <f>IFERROR(IF(Z339="",0,Z339),"0")+IFERROR(IF(Z340="",0,Z340),"0")+IFERROR(IF(Z341="",0,Z341),"0")</f>
        <v>0.51246000000000003</v>
      </c>
      <c r="AA342" s="594"/>
      <c r="AB342" s="594"/>
      <c r="AC342" s="594"/>
    </row>
    <row r="343" spans="1:68" x14ac:dyDescent="0.2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3"/>
      <c r="P343" s="611" t="s">
        <v>72</v>
      </c>
      <c r="Q343" s="612"/>
      <c r="R343" s="612"/>
      <c r="S343" s="612"/>
      <c r="T343" s="612"/>
      <c r="U343" s="612"/>
      <c r="V343" s="613"/>
      <c r="W343" s="38" t="s">
        <v>67</v>
      </c>
      <c r="X343" s="593">
        <f>IFERROR(SUM(X339:X341),"0")</f>
        <v>206</v>
      </c>
      <c r="Y343" s="593">
        <f>IFERROR(SUM(Y339:Y341),"0")</f>
        <v>210.6</v>
      </c>
      <c r="Z343" s="38"/>
      <c r="AA343" s="594"/>
      <c r="AB343" s="594"/>
      <c r="AC343" s="594"/>
    </row>
    <row r="344" spans="1:68" ht="16.5" hidden="1" customHeight="1" x14ac:dyDescent="0.25">
      <c r="A344" s="607" t="s">
        <v>554</v>
      </c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586"/>
      <c r="AB344" s="586"/>
      <c r="AC344" s="586"/>
    </row>
    <row r="345" spans="1:68" ht="14.25" hidden="1" customHeight="1" x14ac:dyDescent="0.25">
      <c r="A345" s="606" t="s">
        <v>117</v>
      </c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587"/>
      <c r="AB345" s="587"/>
      <c r="AC345" s="587"/>
    </row>
    <row r="346" spans="1:68" ht="27" hidden="1" customHeight="1" x14ac:dyDescent="0.25">
      <c r="A346" s="54" t="s">
        <v>555</v>
      </c>
      <c r="B346" s="54" t="s">
        <v>556</v>
      </c>
      <c r="C346" s="32">
        <v>4301012235</v>
      </c>
      <c r="D346" s="595">
        <v>4680115887190</v>
      </c>
      <c r="E346" s="596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8"/>
      <c r="R346" s="598"/>
      <c r="S346" s="598"/>
      <c r="T346" s="599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hidden="1" customHeight="1" x14ac:dyDescent="0.25">
      <c r="A347" s="54" t="s">
        <v>558</v>
      </c>
      <c r="B347" s="54" t="s">
        <v>559</v>
      </c>
      <c r="C347" s="32">
        <v>4301012233</v>
      </c>
      <c r="D347" s="595">
        <v>4680115887138</v>
      </c>
      <c r="E347" s="596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8"/>
      <c r="R347" s="598"/>
      <c r="S347" s="598"/>
      <c r="T347" s="599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561</v>
      </c>
      <c r="B348" s="54" t="s">
        <v>562</v>
      </c>
      <c r="C348" s="32">
        <v>4301012016</v>
      </c>
      <c r="D348" s="595">
        <v>4680115885554</v>
      </c>
      <c r="E348" s="596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8"/>
      <c r="R348" s="598"/>
      <c r="S348" s="598"/>
      <c r="T348" s="599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564</v>
      </c>
      <c r="B349" s="54" t="s">
        <v>565</v>
      </c>
      <c r="C349" s="32">
        <v>4301012236</v>
      </c>
      <c r="D349" s="595">
        <v>4680115887220</v>
      </c>
      <c r="E349" s="596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8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8"/>
      <c r="R349" s="598"/>
      <c r="S349" s="598"/>
      <c r="T349" s="599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566</v>
      </c>
      <c r="B350" s="54" t="s">
        <v>567</v>
      </c>
      <c r="C350" s="32">
        <v>4301011859</v>
      </c>
      <c r="D350" s="595">
        <v>4680115885608</v>
      </c>
      <c r="E350" s="596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8"/>
      <c r="R350" s="598"/>
      <c r="S350" s="598"/>
      <c r="T350" s="599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3"/>
      <c r="P351" s="611" t="s">
        <v>72</v>
      </c>
      <c r="Q351" s="612"/>
      <c r="R351" s="612"/>
      <c r="S351" s="612"/>
      <c r="T351" s="612"/>
      <c r="U351" s="612"/>
      <c r="V351" s="613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hidden="1" x14ac:dyDescent="0.2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3"/>
      <c r="P352" s="611" t="s">
        <v>72</v>
      </c>
      <c r="Q352" s="612"/>
      <c r="R352" s="612"/>
      <c r="S352" s="612"/>
      <c r="T352" s="612"/>
      <c r="U352" s="612"/>
      <c r="V352" s="613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hidden="1" customHeight="1" x14ac:dyDescent="0.25">
      <c r="A353" s="606" t="s">
        <v>62</v>
      </c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587"/>
      <c r="AB353" s="587"/>
      <c r="AC353" s="587"/>
    </row>
    <row r="354" spans="1:68" ht="27" hidden="1" customHeight="1" x14ac:dyDescent="0.25">
      <c r="A354" s="54" t="s">
        <v>569</v>
      </c>
      <c r="B354" s="54" t="s">
        <v>570</v>
      </c>
      <c r="C354" s="32">
        <v>4301030878</v>
      </c>
      <c r="D354" s="595">
        <v>4607091387193</v>
      </c>
      <c r="E354" s="596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8"/>
      <c r="R354" s="598"/>
      <c r="S354" s="598"/>
      <c r="T354" s="599"/>
      <c r="U354" s="35"/>
      <c r="V354" s="35"/>
      <c r="W354" s="36" t="s">
        <v>67</v>
      </c>
      <c r="X354" s="591">
        <v>0</v>
      </c>
      <c r="Y354" s="592">
        <f t="shared" ref="Y354:Y360" si="47">IFERROR(IF(X354="",0,CEILING((X354/$H354),1)*$H354),"")</f>
        <v>0</v>
      </c>
      <c r="Z354" s="37" t="str">
        <f>IFERROR(IF(Y354=0,"",ROUNDUP(Y354/H354,0)*0.00902),"")</f>
        <v/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0</v>
      </c>
      <c r="BN354" s="64">
        <f t="shared" ref="BN354:BN360" si="49">IFERROR(Y354*I354/H354,"0")</f>
        <v>0</v>
      </c>
      <c r="BO354" s="64">
        <f t="shared" ref="BO354:BO360" si="50">IFERROR(1/J354*(X354/H354),"0")</f>
        <v>0</v>
      </c>
      <c r="BP354" s="64">
        <f t="shared" ref="BP354:BP360" si="51">IFERROR(1/J354*(Y354/H354),"0")</f>
        <v>0</v>
      </c>
    </row>
    <row r="355" spans="1:68" ht="27" hidden="1" customHeight="1" x14ac:dyDescent="0.25">
      <c r="A355" s="54" t="s">
        <v>572</v>
      </c>
      <c r="B355" s="54" t="s">
        <v>573</v>
      </c>
      <c r="C355" s="32">
        <v>4301031153</v>
      </c>
      <c r="D355" s="595">
        <v>4607091387230</v>
      </c>
      <c r="E355" s="596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8"/>
      <c r="R355" s="598"/>
      <c r="S355" s="598"/>
      <c r="T355" s="599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hidden="1" customHeight="1" x14ac:dyDescent="0.25">
      <c r="A356" s="54" t="s">
        <v>575</v>
      </c>
      <c r="B356" s="54" t="s">
        <v>576</v>
      </c>
      <c r="C356" s="32">
        <v>4301031154</v>
      </c>
      <c r="D356" s="595">
        <v>4607091387292</v>
      </c>
      <c r="E356" s="596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8"/>
      <c r="R356" s="598"/>
      <c r="S356" s="598"/>
      <c r="T356" s="599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hidden="1" customHeight="1" x14ac:dyDescent="0.25">
      <c r="A357" s="54" t="s">
        <v>578</v>
      </c>
      <c r="B357" s="54" t="s">
        <v>579</v>
      </c>
      <c r="C357" s="32">
        <v>4301031152</v>
      </c>
      <c r="D357" s="595">
        <v>4607091387285</v>
      </c>
      <c r="E357" s="596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9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8"/>
      <c r="R357" s="598"/>
      <c r="S357" s="598"/>
      <c r="T357" s="599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hidden="1" customHeight="1" x14ac:dyDescent="0.25">
      <c r="A358" s="54" t="s">
        <v>580</v>
      </c>
      <c r="B358" s="54" t="s">
        <v>581</v>
      </c>
      <c r="C358" s="32">
        <v>4301031305</v>
      </c>
      <c r="D358" s="595">
        <v>4607091389845</v>
      </c>
      <c r="E358" s="596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8"/>
      <c r="R358" s="598"/>
      <c r="S358" s="598"/>
      <c r="T358" s="599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583</v>
      </c>
      <c r="B359" s="54" t="s">
        <v>584</v>
      </c>
      <c r="C359" s="32">
        <v>4301031460</v>
      </c>
      <c r="D359" s="595">
        <v>4680115887442</v>
      </c>
      <c r="E359" s="596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8"/>
      <c r="R359" s="598"/>
      <c r="S359" s="598"/>
      <c r="T359" s="599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2">
        <v>4301031066</v>
      </c>
      <c r="D360" s="595">
        <v>4607091383836</v>
      </c>
      <c r="E360" s="596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8"/>
      <c r="R360" s="598"/>
      <c r="S360" s="598"/>
      <c r="T360" s="599"/>
      <c r="U360" s="35"/>
      <c r="V360" s="35"/>
      <c r="W360" s="36" t="s">
        <v>67</v>
      </c>
      <c r="X360" s="591">
        <v>15</v>
      </c>
      <c r="Y360" s="592">
        <f t="shared" si="47"/>
        <v>16.2</v>
      </c>
      <c r="Z360" s="37">
        <f>IFERROR(IF(Y360=0,"",ROUNDUP(Y360/H360,0)*0.00651),"")</f>
        <v>5.8590000000000003E-2</v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16.900000000000002</v>
      </c>
      <c r="BN360" s="64">
        <f t="shared" si="49"/>
        <v>18.251999999999999</v>
      </c>
      <c r="BO360" s="64">
        <f t="shared" si="50"/>
        <v>4.5787545787545791E-2</v>
      </c>
      <c r="BP360" s="64">
        <f t="shared" si="51"/>
        <v>4.9450549450549455E-2</v>
      </c>
    </row>
    <row r="361" spans="1:68" x14ac:dyDescent="0.2">
      <c r="A361" s="601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3"/>
      <c r="P361" s="611" t="s">
        <v>72</v>
      </c>
      <c r="Q361" s="612"/>
      <c r="R361" s="612"/>
      <c r="S361" s="612"/>
      <c r="T361" s="612"/>
      <c r="U361" s="612"/>
      <c r="V361" s="613"/>
      <c r="W361" s="38" t="s">
        <v>73</v>
      </c>
      <c r="X361" s="593">
        <f>IFERROR(X354/H354,"0")+IFERROR(X355/H355,"0")+IFERROR(X356/H356,"0")+IFERROR(X357/H357,"0")+IFERROR(X358/H358,"0")+IFERROR(X359/H359,"0")+IFERROR(X360/H360,"0")</f>
        <v>8.3333333333333339</v>
      </c>
      <c r="Y361" s="593">
        <f>IFERROR(Y354/H354,"0")+IFERROR(Y355/H355,"0")+IFERROR(Y356/H356,"0")+IFERROR(Y357/H357,"0")+IFERROR(Y358/H358,"0")+IFERROR(Y359/H359,"0")+IFERROR(Y360/H360,"0")</f>
        <v>9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5.8590000000000003E-2</v>
      </c>
      <c r="AA361" s="594"/>
      <c r="AB361" s="594"/>
      <c r="AC361" s="594"/>
    </row>
    <row r="362" spans="1:68" x14ac:dyDescent="0.2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3"/>
      <c r="P362" s="611" t="s">
        <v>72</v>
      </c>
      <c r="Q362" s="612"/>
      <c r="R362" s="612"/>
      <c r="S362" s="612"/>
      <c r="T362" s="612"/>
      <c r="U362" s="612"/>
      <c r="V362" s="613"/>
      <c r="W362" s="38" t="s">
        <v>67</v>
      </c>
      <c r="X362" s="593">
        <f>IFERROR(SUM(X354:X360),"0")</f>
        <v>15</v>
      </c>
      <c r="Y362" s="593">
        <f>IFERROR(SUM(Y354:Y360),"0")</f>
        <v>16.2</v>
      </c>
      <c r="Z362" s="38"/>
      <c r="AA362" s="594"/>
      <c r="AB362" s="594"/>
      <c r="AC362" s="594"/>
    </row>
    <row r="363" spans="1:68" ht="14.25" hidden="1" customHeight="1" x14ac:dyDescent="0.25">
      <c r="A363" s="606" t="s">
        <v>74</v>
      </c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587"/>
      <c r="AB363" s="587"/>
      <c r="AC363" s="587"/>
    </row>
    <row r="364" spans="1:68" ht="27" hidden="1" customHeight="1" x14ac:dyDescent="0.25">
      <c r="A364" s="54" t="s">
        <v>588</v>
      </c>
      <c r="B364" s="54" t="s">
        <v>589</v>
      </c>
      <c r="C364" s="32">
        <v>4301051100</v>
      </c>
      <c r="D364" s="595">
        <v>4607091387766</v>
      </c>
      <c r="E364" s="596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8"/>
      <c r="R364" s="598"/>
      <c r="S364" s="598"/>
      <c r="T364" s="599"/>
      <c r="U364" s="35"/>
      <c r="V364" s="35"/>
      <c r="W364" s="36" t="s">
        <v>67</v>
      </c>
      <c r="X364" s="591">
        <v>0</v>
      </c>
      <c r="Y364" s="592">
        <f>IFERROR(IF(X364="",0,CEILING((X364/$H364),1)*$H364),"")</f>
        <v>0</v>
      </c>
      <c r="Z364" s="37" t="str">
        <f>IFERROR(IF(Y364=0,"",ROUNDUP(Y364/H364,0)*0.01898),"")</f>
        <v/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591</v>
      </c>
      <c r="B365" s="54" t="s">
        <v>592</v>
      </c>
      <c r="C365" s="32">
        <v>4301051818</v>
      </c>
      <c r="D365" s="595">
        <v>4607091387957</v>
      </c>
      <c r="E365" s="596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8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8"/>
      <c r="R365" s="598"/>
      <c r="S365" s="598"/>
      <c r="T365" s="599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hidden="1" customHeight="1" x14ac:dyDescent="0.25">
      <c r="A366" s="54" t="s">
        <v>594</v>
      </c>
      <c r="B366" s="54" t="s">
        <v>595</v>
      </c>
      <c r="C366" s="32">
        <v>4301051819</v>
      </c>
      <c r="D366" s="595">
        <v>4607091387964</v>
      </c>
      <c r="E366" s="596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8"/>
      <c r="R366" s="598"/>
      <c r="S366" s="598"/>
      <c r="T366" s="599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597</v>
      </c>
      <c r="B367" s="54" t="s">
        <v>598</v>
      </c>
      <c r="C367" s="32">
        <v>4301051734</v>
      </c>
      <c r="D367" s="595">
        <v>4680115884588</v>
      </c>
      <c r="E367" s="596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8"/>
      <c r="R367" s="598"/>
      <c r="S367" s="598"/>
      <c r="T367" s="599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01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3"/>
      <c r="P368" s="611" t="s">
        <v>72</v>
      </c>
      <c r="Q368" s="612"/>
      <c r="R368" s="612"/>
      <c r="S368" s="612"/>
      <c r="T368" s="612"/>
      <c r="U368" s="612"/>
      <c r="V368" s="613"/>
      <c r="W368" s="38" t="s">
        <v>73</v>
      </c>
      <c r="X368" s="593">
        <f>IFERROR(X364/H364,"0")+IFERROR(X365/H365,"0")+IFERROR(X366/H366,"0")+IFERROR(X367/H367,"0")</f>
        <v>0</v>
      </c>
      <c r="Y368" s="593">
        <f>IFERROR(Y364/H364,"0")+IFERROR(Y365/H365,"0")+IFERROR(Y366/H366,"0")+IFERROR(Y367/H367,"0")</f>
        <v>0</v>
      </c>
      <c r="Z368" s="593">
        <f>IFERROR(IF(Z364="",0,Z364),"0")+IFERROR(IF(Z365="",0,Z365),"0")+IFERROR(IF(Z366="",0,Z366),"0")+IFERROR(IF(Z367="",0,Z367),"0")</f>
        <v>0</v>
      </c>
      <c r="AA368" s="594"/>
      <c r="AB368" s="594"/>
      <c r="AC368" s="594"/>
    </row>
    <row r="369" spans="1:68" hidden="1" x14ac:dyDescent="0.2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3"/>
      <c r="P369" s="611" t="s">
        <v>72</v>
      </c>
      <c r="Q369" s="612"/>
      <c r="R369" s="612"/>
      <c r="S369" s="612"/>
      <c r="T369" s="612"/>
      <c r="U369" s="612"/>
      <c r="V369" s="613"/>
      <c r="W369" s="38" t="s">
        <v>67</v>
      </c>
      <c r="X369" s="593">
        <f>IFERROR(SUM(X364:X367),"0")</f>
        <v>0</v>
      </c>
      <c r="Y369" s="593">
        <f>IFERROR(SUM(Y364:Y367),"0")</f>
        <v>0</v>
      </c>
      <c r="Z369" s="38"/>
      <c r="AA369" s="594"/>
      <c r="AB369" s="594"/>
      <c r="AC369" s="594"/>
    </row>
    <row r="370" spans="1:68" ht="14.25" hidden="1" customHeight="1" x14ac:dyDescent="0.25">
      <c r="A370" s="606" t="s">
        <v>169</v>
      </c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587"/>
      <c r="AB370" s="587"/>
      <c r="AC370" s="587"/>
    </row>
    <row r="371" spans="1:68" ht="27" hidden="1" customHeight="1" x14ac:dyDescent="0.25">
      <c r="A371" s="54" t="s">
        <v>599</v>
      </c>
      <c r="B371" s="54" t="s">
        <v>600</v>
      </c>
      <c r="C371" s="32">
        <v>4301060387</v>
      </c>
      <c r="D371" s="595">
        <v>4607091380880</v>
      </c>
      <c r="E371" s="596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74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8"/>
      <c r="R371" s="598"/>
      <c r="S371" s="598"/>
      <c r="T371" s="599"/>
      <c r="U371" s="35"/>
      <c r="V371" s="35"/>
      <c r="W371" s="36" t="s">
        <v>67</v>
      </c>
      <c r="X371" s="591">
        <v>0</v>
      </c>
      <c r="Y371" s="592">
        <f>IFERROR(IF(X371="",0,CEILING((X371/$H371),1)*$H371),"")</f>
        <v>0</v>
      </c>
      <c r="Z371" s="37" t="str">
        <f>IFERROR(IF(Y371=0,"",ROUNDUP(Y371/H371,0)*0.01898),"")</f>
        <v/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602</v>
      </c>
      <c r="B372" s="54" t="s">
        <v>603</v>
      </c>
      <c r="C372" s="32">
        <v>4301060406</v>
      </c>
      <c r="D372" s="595">
        <v>4607091384482</v>
      </c>
      <c r="E372" s="596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8"/>
      <c r="R372" s="598"/>
      <c r="S372" s="598"/>
      <c r="T372" s="599"/>
      <c r="U372" s="35"/>
      <c r="V372" s="35"/>
      <c r="W372" s="36" t="s">
        <v>67</v>
      </c>
      <c r="X372" s="591">
        <v>0</v>
      </c>
      <c r="Y372" s="592">
        <f>IFERROR(IF(X372="",0,CEILING((X372/$H372),1)*$H372),"")</f>
        <v>0</v>
      </c>
      <c r="Z372" s="37" t="str">
        <f>IFERROR(IF(Y372=0,"",ROUNDUP(Y372/H372,0)*0.01898),"")</f>
        <v/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16.5" hidden="1" customHeight="1" x14ac:dyDescent="0.25">
      <c r="A373" s="54" t="s">
        <v>605</v>
      </c>
      <c r="B373" s="54" t="s">
        <v>606</v>
      </c>
      <c r="C373" s="32">
        <v>4301060484</v>
      </c>
      <c r="D373" s="595">
        <v>4607091380897</v>
      </c>
      <c r="E373" s="596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8"/>
      <c r="R373" s="598"/>
      <c r="S373" s="598"/>
      <c r="T373" s="599"/>
      <c r="U373" s="35"/>
      <c r="V373" s="35"/>
      <c r="W373" s="36" t="s">
        <v>67</v>
      </c>
      <c r="X373" s="591">
        <v>0</v>
      </c>
      <c r="Y373" s="592">
        <f>IFERROR(IF(X373="",0,CEILING((X373/$H373),1)*$H373),"")</f>
        <v>0</v>
      </c>
      <c r="Z373" s="37" t="str">
        <f>IFERROR(IF(Y373=0,"",ROUNDUP(Y373/H373,0)*0.01898),"")</f>
        <v/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601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3"/>
      <c r="P374" s="611" t="s">
        <v>72</v>
      </c>
      <c r="Q374" s="612"/>
      <c r="R374" s="612"/>
      <c r="S374" s="612"/>
      <c r="T374" s="612"/>
      <c r="U374" s="612"/>
      <c r="V374" s="613"/>
      <c r="W374" s="38" t="s">
        <v>73</v>
      </c>
      <c r="X374" s="593">
        <f>IFERROR(X371/H371,"0")+IFERROR(X372/H372,"0")+IFERROR(X373/H373,"0")</f>
        <v>0</v>
      </c>
      <c r="Y374" s="593">
        <f>IFERROR(Y371/H371,"0")+IFERROR(Y372/H372,"0")+IFERROR(Y373/H373,"0")</f>
        <v>0</v>
      </c>
      <c r="Z374" s="593">
        <f>IFERROR(IF(Z371="",0,Z371),"0")+IFERROR(IF(Z372="",0,Z372),"0")+IFERROR(IF(Z373="",0,Z373),"0")</f>
        <v>0</v>
      </c>
      <c r="AA374" s="594"/>
      <c r="AB374" s="594"/>
      <c r="AC374" s="594"/>
    </row>
    <row r="375" spans="1:68" hidden="1" x14ac:dyDescent="0.2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3"/>
      <c r="P375" s="611" t="s">
        <v>72</v>
      </c>
      <c r="Q375" s="612"/>
      <c r="R375" s="612"/>
      <c r="S375" s="612"/>
      <c r="T375" s="612"/>
      <c r="U375" s="612"/>
      <c r="V375" s="613"/>
      <c r="W375" s="38" t="s">
        <v>67</v>
      </c>
      <c r="X375" s="593">
        <f>IFERROR(SUM(X371:X373),"0")</f>
        <v>0</v>
      </c>
      <c r="Y375" s="593">
        <f>IFERROR(SUM(Y371:Y373),"0")</f>
        <v>0</v>
      </c>
      <c r="Z375" s="38"/>
      <c r="AA375" s="594"/>
      <c r="AB375" s="594"/>
      <c r="AC375" s="594"/>
    </row>
    <row r="376" spans="1:68" ht="14.25" hidden="1" customHeight="1" x14ac:dyDescent="0.25">
      <c r="A376" s="606" t="s">
        <v>95</v>
      </c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587"/>
      <c r="AB376" s="587"/>
      <c r="AC376" s="587"/>
    </row>
    <row r="377" spans="1:68" ht="27" hidden="1" customHeight="1" x14ac:dyDescent="0.25">
      <c r="A377" s="54" t="s">
        <v>608</v>
      </c>
      <c r="B377" s="54" t="s">
        <v>609</v>
      </c>
      <c r="C377" s="32">
        <v>4301030235</v>
      </c>
      <c r="D377" s="595">
        <v>4607091388381</v>
      </c>
      <c r="E377" s="596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8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8"/>
      <c r="R377" s="598"/>
      <c r="S377" s="598"/>
      <c r="T377" s="599"/>
      <c r="U377" s="35"/>
      <c r="V377" s="35"/>
      <c r="W377" s="36" t="s">
        <v>67</v>
      </c>
      <c r="X377" s="591">
        <v>0</v>
      </c>
      <c r="Y377" s="592">
        <f>IFERROR(IF(X377="",0,CEILING((X377/$H377),1)*$H377),"")</f>
        <v>0</v>
      </c>
      <c r="Z377" s="37" t="str">
        <f>IFERROR(IF(Y377=0,"",ROUNDUP(Y377/H377,0)*0.00902),"")</f>
        <v/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611</v>
      </c>
      <c r="B378" s="54" t="s">
        <v>612</v>
      </c>
      <c r="C378" s="32">
        <v>4301030232</v>
      </c>
      <c r="D378" s="595">
        <v>4607091388374</v>
      </c>
      <c r="E378" s="596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71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8"/>
      <c r="R378" s="598"/>
      <c r="S378" s="598"/>
      <c r="T378" s="599"/>
      <c r="U378" s="35"/>
      <c r="V378" s="35"/>
      <c r="W378" s="36" t="s">
        <v>67</v>
      </c>
      <c r="X378" s="591">
        <v>0</v>
      </c>
      <c r="Y378" s="592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613</v>
      </c>
      <c r="B379" s="54" t="s">
        <v>614</v>
      </c>
      <c r="C379" s="32">
        <v>4301032015</v>
      </c>
      <c r="D379" s="595">
        <v>4607091383102</v>
      </c>
      <c r="E379" s="596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8"/>
      <c r="R379" s="598"/>
      <c r="S379" s="598"/>
      <c r="T379" s="599"/>
      <c r="U379" s="35"/>
      <c r="V379" s="35"/>
      <c r="W379" s="36" t="s">
        <v>67</v>
      </c>
      <c r="X379" s="591">
        <v>0</v>
      </c>
      <c r="Y379" s="592">
        <f>IFERROR(IF(X379="",0,CEILING((X379/$H379),1)*$H379),"")</f>
        <v>0</v>
      </c>
      <c r="Z379" s="37" t="str">
        <f>IFERROR(IF(Y379=0,"",ROUNDUP(Y379/H379,0)*0.00651),"")</f>
        <v/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615</v>
      </c>
      <c r="B380" s="54" t="s">
        <v>616</v>
      </c>
      <c r="C380" s="32">
        <v>4301030233</v>
      </c>
      <c r="D380" s="595">
        <v>4607091388404</v>
      </c>
      <c r="E380" s="596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8"/>
      <c r="R380" s="598"/>
      <c r="S380" s="598"/>
      <c r="T380" s="599"/>
      <c r="U380" s="35"/>
      <c r="V380" s="35"/>
      <c r="W380" s="36" t="s">
        <v>67</v>
      </c>
      <c r="X380" s="591">
        <v>6</v>
      </c>
      <c r="Y380" s="592">
        <f>IFERROR(IF(X380="",0,CEILING((X380/$H380),1)*$H380),"")</f>
        <v>7.6499999999999995</v>
      </c>
      <c r="Z380" s="37">
        <f>IFERROR(IF(Y380=0,"",ROUNDUP(Y380/H380,0)*0.00651),"")</f>
        <v>1.9529999999999999E-2</v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6.7764705882352949</v>
      </c>
      <c r="BN380" s="64">
        <f>IFERROR(Y380*I380/H380,"0")</f>
        <v>8.6399999999999988</v>
      </c>
      <c r="BO380" s="64">
        <f>IFERROR(1/J380*(X380/H380),"0")</f>
        <v>1.292824822236587E-2</v>
      </c>
      <c r="BP380" s="64">
        <f>IFERROR(1/J380*(Y380/H380),"0")</f>
        <v>1.6483516483516484E-2</v>
      </c>
    </row>
    <row r="381" spans="1:68" x14ac:dyDescent="0.2">
      <c r="A381" s="601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3"/>
      <c r="P381" s="611" t="s">
        <v>72</v>
      </c>
      <c r="Q381" s="612"/>
      <c r="R381" s="612"/>
      <c r="S381" s="612"/>
      <c r="T381" s="612"/>
      <c r="U381" s="612"/>
      <c r="V381" s="613"/>
      <c r="W381" s="38" t="s">
        <v>73</v>
      </c>
      <c r="X381" s="593">
        <f>IFERROR(X377/H377,"0")+IFERROR(X378/H378,"0")+IFERROR(X379/H379,"0")+IFERROR(X380/H380,"0")</f>
        <v>2.3529411764705883</v>
      </c>
      <c r="Y381" s="593">
        <f>IFERROR(Y377/H377,"0")+IFERROR(Y378/H378,"0")+IFERROR(Y379/H379,"0")+IFERROR(Y380/H380,"0")</f>
        <v>3</v>
      </c>
      <c r="Z381" s="593">
        <f>IFERROR(IF(Z377="",0,Z377),"0")+IFERROR(IF(Z378="",0,Z378),"0")+IFERROR(IF(Z379="",0,Z379),"0")+IFERROR(IF(Z380="",0,Z380),"0")</f>
        <v>1.9529999999999999E-2</v>
      </c>
      <c r="AA381" s="594"/>
      <c r="AB381" s="594"/>
      <c r="AC381" s="594"/>
    </row>
    <row r="382" spans="1:68" x14ac:dyDescent="0.2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3"/>
      <c r="P382" s="611" t="s">
        <v>72</v>
      </c>
      <c r="Q382" s="612"/>
      <c r="R382" s="612"/>
      <c r="S382" s="612"/>
      <c r="T382" s="612"/>
      <c r="U382" s="612"/>
      <c r="V382" s="613"/>
      <c r="W382" s="38" t="s">
        <v>67</v>
      </c>
      <c r="X382" s="593">
        <f>IFERROR(SUM(X377:X380),"0")</f>
        <v>6</v>
      </c>
      <c r="Y382" s="593">
        <f>IFERROR(SUM(Y377:Y380),"0")</f>
        <v>7.6499999999999995</v>
      </c>
      <c r="Z382" s="38"/>
      <c r="AA382" s="594"/>
      <c r="AB382" s="594"/>
      <c r="AC382" s="594"/>
    </row>
    <row r="383" spans="1:68" ht="14.25" hidden="1" customHeight="1" x14ac:dyDescent="0.25">
      <c r="A383" s="606" t="s">
        <v>617</v>
      </c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587"/>
      <c r="AB383" s="587"/>
      <c r="AC383" s="587"/>
    </row>
    <row r="384" spans="1:68" ht="16.5" customHeight="1" x14ac:dyDescent="0.25">
      <c r="A384" s="54" t="s">
        <v>618</v>
      </c>
      <c r="B384" s="54" t="s">
        <v>619</v>
      </c>
      <c r="C384" s="32">
        <v>4301180007</v>
      </c>
      <c r="D384" s="595">
        <v>4680115881808</v>
      </c>
      <c r="E384" s="596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6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8"/>
      <c r="R384" s="598"/>
      <c r="S384" s="598"/>
      <c r="T384" s="599"/>
      <c r="U384" s="35"/>
      <c r="V384" s="35"/>
      <c r="W384" s="36" t="s">
        <v>67</v>
      </c>
      <c r="X384" s="591">
        <v>19</v>
      </c>
      <c r="Y384" s="592">
        <f>IFERROR(IF(X384="",0,CEILING((X384/$H384),1)*$H384),"")</f>
        <v>20</v>
      </c>
      <c r="Z384" s="37">
        <f>IFERROR(IF(Y384=0,"",ROUNDUP(Y384/H384,0)*0.00474),"")</f>
        <v>4.7400000000000005E-2</v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21.28</v>
      </c>
      <c r="BN384" s="64">
        <f>IFERROR(Y384*I384/H384,"0")</f>
        <v>22.400000000000002</v>
      </c>
      <c r="BO384" s="64">
        <f>IFERROR(1/J384*(X384/H384),"0")</f>
        <v>3.9915966386554619E-2</v>
      </c>
      <c r="BP384" s="64">
        <f>IFERROR(1/J384*(Y384/H384),"0")</f>
        <v>4.2016806722689072E-2</v>
      </c>
    </row>
    <row r="385" spans="1:68" ht="27" customHeight="1" x14ac:dyDescent="0.25">
      <c r="A385" s="54" t="s">
        <v>622</v>
      </c>
      <c r="B385" s="54" t="s">
        <v>623</v>
      </c>
      <c r="C385" s="32">
        <v>4301180006</v>
      </c>
      <c r="D385" s="595">
        <v>4680115881822</v>
      </c>
      <c r="E385" s="596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9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8"/>
      <c r="R385" s="598"/>
      <c r="S385" s="598"/>
      <c r="T385" s="599"/>
      <c r="U385" s="35"/>
      <c r="V385" s="35"/>
      <c r="W385" s="36" t="s">
        <v>67</v>
      </c>
      <c r="X385" s="591">
        <v>19</v>
      </c>
      <c r="Y385" s="592">
        <f>IFERROR(IF(X385="",0,CEILING((X385/$H385),1)*$H385),"")</f>
        <v>20</v>
      </c>
      <c r="Z385" s="37">
        <f>IFERROR(IF(Y385=0,"",ROUNDUP(Y385/H385,0)*0.00474),"")</f>
        <v>4.7400000000000005E-2</v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21.28</v>
      </c>
      <c r="BN385" s="64">
        <f>IFERROR(Y385*I385/H385,"0")</f>
        <v>22.400000000000002</v>
      </c>
      <c r="BO385" s="64">
        <f>IFERROR(1/J385*(X385/H385),"0")</f>
        <v>3.9915966386554619E-2</v>
      </c>
      <c r="BP385" s="64">
        <f>IFERROR(1/J385*(Y385/H385),"0")</f>
        <v>4.2016806722689072E-2</v>
      </c>
    </row>
    <row r="386" spans="1:68" ht="27" customHeight="1" x14ac:dyDescent="0.25">
      <c r="A386" s="54" t="s">
        <v>624</v>
      </c>
      <c r="B386" s="54" t="s">
        <v>625</v>
      </c>
      <c r="C386" s="32">
        <v>4301180001</v>
      </c>
      <c r="D386" s="595">
        <v>4680115880016</v>
      </c>
      <c r="E386" s="596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8"/>
      <c r="R386" s="598"/>
      <c r="S386" s="598"/>
      <c r="T386" s="599"/>
      <c r="U386" s="35"/>
      <c r="V386" s="35"/>
      <c r="W386" s="36" t="s">
        <v>67</v>
      </c>
      <c r="X386" s="591">
        <v>16</v>
      </c>
      <c r="Y386" s="592">
        <f>IFERROR(IF(X386="",0,CEILING((X386/$H386),1)*$H386),"")</f>
        <v>16</v>
      </c>
      <c r="Z386" s="37">
        <f>IFERROR(IF(Y386=0,"",ROUNDUP(Y386/H386,0)*0.00474),"")</f>
        <v>3.7920000000000002E-2</v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17.920000000000002</v>
      </c>
      <c r="BN386" s="64">
        <f>IFERROR(Y386*I386/H386,"0")</f>
        <v>17.920000000000002</v>
      </c>
      <c r="BO386" s="64">
        <f>IFERROR(1/J386*(X386/H386),"0")</f>
        <v>3.3613445378151259E-2</v>
      </c>
      <c r="BP386" s="64">
        <f>IFERROR(1/J386*(Y386/H386),"0")</f>
        <v>3.3613445378151259E-2</v>
      </c>
    </row>
    <row r="387" spans="1:68" x14ac:dyDescent="0.2">
      <c r="A387" s="601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3"/>
      <c r="P387" s="611" t="s">
        <v>72</v>
      </c>
      <c r="Q387" s="612"/>
      <c r="R387" s="612"/>
      <c r="S387" s="612"/>
      <c r="T387" s="612"/>
      <c r="U387" s="612"/>
      <c r="V387" s="613"/>
      <c r="W387" s="38" t="s">
        <v>73</v>
      </c>
      <c r="X387" s="593">
        <f>IFERROR(X384/H384,"0")+IFERROR(X385/H385,"0")+IFERROR(X386/H386,"0")</f>
        <v>27</v>
      </c>
      <c r="Y387" s="593">
        <f>IFERROR(Y384/H384,"0")+IFERROR(Y385/H385,"0")+IFERROR(Y386/H386,"0")</f>
        <v>28</v>
      </c>
      <c r="Z387" s="593">
        <f>IFERROR(IF(Z384="",0,Z384),"0")+IFERROR(IF(Z385="",0,Z385),"0")+IFERROR(IF(Z386="",0,Z386),"0")</f>
        <v>0.13272</v>
      </c>
      <c r="AA387" s="594"/>
      <c r="AB387" s="594"/>
      <c r="AC387" s="594"/>
    </row>
    <row r="388" spans="1:68" x14ac:dyDescent="0.2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3"/>
      <c r="P388" s="611" t="s">
        <v>72</v>
      </c>
      <c r="Q388" s="612"/>
      <c r="R388" s="612"/>
      <c r="S388" s="612"/>
      <c r="T388" s="612"/>
      <c r="U388" s="612"/>
      <c r="V388" s="613"/>
      <c r="W388" s="38" t="s">
        <v>67</v>
      </c>
      <c r="X388" s="593">
        <f>IFERROR(SUM(X384:X386),"0")</f>
        <v>54</v>
      </c>
      <c r="Y388" s="593">
        <f>IFERROR(SUM(Y384:Y386),"0")</f>
        <v>56</v>
      </c>
      <c r="Z388" s="38"/>
      <c r="AA388" s="594"/>
      <c r="AB388" s="594"/>
      <c r="AC388" s="594"/>
    </row>
    <row r="389" spans="1:68" ht="16.5" hidden="1" customHeight="1" x14ac:dyDescent="0.25">
      <c r="A389" s="607" t="s">
        <v>626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586"/>
      <c r="AB389" s="586"/>
      <c r="AC389" s="586"/>
    </row>
    <row r="390" spans="1:68" ht="14.25" hidden="1" customHeight="1" x14ac:dyDescent="0.25">
      <c r="A390" s="606" t="s">
        <v>74</v>
      </c>
      <c r="B390" s="602"/>
      <c r="C390" s="602"/>
      <c r="D390" s="602"/>
      <c r="E390" s="602"/>
      <c r="F390" s="602"/>
      <c r="G390" s="602"/>
      <c r="H390" s="602"/>
      <c r="I390" s="602"/>
      <c r="J390" s="602"/>
      <c r="K390" s="602"/>
      <c r="L390" s="602"/>
      <c r="M390" s="602"/>
      <c r="N390" s="602"/>
      <c r="O390" s="602"/>
      <c r="P390" s="602"/>
      <c r="Q390" s="602"/>
      <c r="R390" s="602"/>
      <c r="S390" s="602"/>
      <c r="T390" s="602"/>
      <c r="U390" s="602"/>
      <c r="V390" s="602"/>
      <c r="W390" s="602"/>
      <c r="X390" s="602"/>
      <c r="Y390" s="602"/>
      <c r="Z390" s="602"/>
      <c r="AA390" s="587"/>
      <c r="AB390" s="587"/>
      <c r="AC390" s="587"/>
    </row>
    <row r="391" spans="1:68" ht="37.5" hidden="1" customHeight="1" x14ac:dyDescent="0.25">
      <c r="A391" s="54" t="s">
        <v>627</v>
      </c>
      <c r="B391" s="54" t="s">
        <v>628</v>
      </c>
      <c r="C391" s="32">
        <v>4301051489</v>
      </c>
      <c r="D391" s="595">
        <v>4607091387919</v>
      </c>
      <c r="E391" s="596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6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8"/>
      <c r="R391" s="598"/>
      <c r="S391" s="598"/>
      <c r="T391" s="599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customHeight="1" x14ac:dyDescent="0.25">
      <c r="A392" s="54" t="s">
        <v>630</v>
      </c>
      <c r="B392" s="54" t="s">
        <v>631</v>
      </c>
      <c r="C392" s="32">
        <v>4301051461</v>
      </c>
      <c r="D392" s="595">
        <v>4680115883604</v>
      </c>
      <c r="E392" s="596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8"/>
      <c r="R392" s="598"/>
      <c r="S392" s="598"/>
      <c r="T392" s="599"/>
      <c r="U392" s="35"/>
      <c r="V392" s="35"/>
      <c r="W392" s="36" t="s">
        <v>67</v>
      </c>
      <c r="X392" s="591">
        <v>57</v>
      </c>
      <c r="Y392" s="592">
        <f>IFERROR(IF(X392="",0,CEILING((X392/$H392),1)*$H392),"")</f>
        <v>58.800000000000004</v>
      </c>
      <c r="Z392" s="37">
        <f>IFERROR(IF(Y392=0,"",ROUNDUP(Y392/H392,0)*0.00651),"")</f>
        <v>0.18228</v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63.839999999999996</v>
      </c>
      <c r="BN392" s="64">
        <f>IFERROR(Y392*I392/H392,"0")</f>
        <v>65.855999999999995</v>
      </c>
      <c r="BO392" s="64">
        <f>IFERROR(1/J392*(X392/H392),"0")</f>
        <v>0.14913657770800628</v>
      </c>
      <c r="BP392" s="64">
        <f>IFERROR(1/J392*(Y392/H392),"0")</f>
        <v>0.15384615384615385</v>
      </c>
    </row>
    <row r="393" spans="1:68" ht="27" hidden="1" customHeight="1" x14ac:dyDescent="0.25">
      <c r="A393" s="54" t="s">
        <v>633</v>
      </c>
      <c r="B393" s="54" t="s">
        <v>634</v>
      </c>
      <c r="C393" s="32">
        <v>4301051864</v>
      </c>
      <c r="D393" s="595">
        <v>4680115883567</v>
      </c>
      <c r="E393" s="596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8"/>
      <c r="R393" s="598"/>
      <c r="S393" s="598"/>
      <c r="T393" s="599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01"/>
      <c r="B394" s="602"/>
      <c r="C394" s="602"/>
      <c r="D394" s="602"/>
      <c r="E394" s="602"/>
      <c r="F394" s="602"/>
      <c r="G394" s="602"/>
      <c r="H394" s="602"/>
      <c r="I394" s="602"/>
      <c r="J394" s="602"/>
      <c r="K394" s="602"/>
      <c r="L394" s="602"/>
      <c r="M394" s="602"/>
      <c r="N394" s="602"/>
      <c r="O394" s="603"/>
      <c r="P394" s="611" t="s">
        <v>72</v>
      </c>
      <c r="Q394" s="612"/>
      <c r="R394" s="612"/>
      <c r="S394" s="612"/>
      <c r="T394" s="612"/>
      <c r="U394" s="612"/>
      <c r="V394" s="613"/>
      <c r="W394" s="38" t="s">
        <v>73</v>
      </c>
      <c r="X394" s="593">
        <f>IFERROR(X391/H391,"0")+IFERROR(X392/H392,"0")+IFERROR(X393/H393,"0")</f>
        <v>27.142857142857142</v>
      </c>
      <c r="Y394" s="593">
        <f>IFERROR(Y391/H391,"0")+IFERROR(Y392/H392,"0")+IFERROR(Y393/H393,"0")</f>
        <v>28</v>
      </c>
      <c r="Z394" s="593">
        <f>IFERROR(IF(Z391="",0,Z391),"0")+IFERROR(IF(Z392="",0,Z392),"0")+IFERROR(IF(Z393="",0,Z393),"0")</f>
        <v>0.18228</v>
      </c>
      <c r="AA394" s="594"/>
      <c r="AB394" s="594"/>
      <c r="AC394" s="594"/>
    </row>
    <row r="395" spans="1:68" x14ac:dyDescent="0.2">
      <c r="A395" s="602"/>
      <c r="B395" s="602"/>
      <c r="C395" s="602"/>
      <c r="D395" s="602"/>
      <c r="E395" s="602"/>
      <c r="F395" s="602"/>
      <c r="G395" s="602"/>
      <c r="H395" s="602"/>
      <c r="I395" s="602"/>
      <c r="J395" s="602"/>
      <c r="K395" s="602"/>
      <c r="L395" s="602"/>
      <c r="M395" s="602"/>
      <c r="N395" s="602"/>
      <c r="O395" s="603"/>
      <c r="P395" s="611" t="s">
        <v>72</v>
      </c>
      <c r="Q395" s="612"/>
      <c r="R395" s="612"/>
      <c r="S395" s="612"/>
      <c r="T395" s="612"/>
      <c r="U395" s="612"/>
      <c r="V395" s="613"/>
      <c r="W395" s="38" t="s">
        <v>67</v>
      </c>
      <c r="X395" s="593">
        <f>IFERROR(SUM(X391:X393),"0")</f>
        <v>57</v>
      </c>
      <c r="Y395" s="593">
        <f>IFERROR(SUM(Y391:Y393),"0")</f>
        <v>58.800000000000004</v>
      </c>
      <c r="Z395" s="38"/>
      <c r="AA395" s="594"/>
      <c r="AB395" s="594"/>
      <c r="AC395" s="594"/>
    </row>
    <row r="396" spans="1:68" ht="27.75" hidden="1" customHeight="1" x14ac:dyDescent="0.2">
      <c r="A396" s="759" t="s">
        <v>636</v>
      </c>
      <c r="B396" s="760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49"/>
      <c r="AB396" s="49"/>
      <c r="AC396" s="49"/>
    </row>
    <row r="397" spans="1:68" ht="16.5" hidden="1" customHeight="1" x14ac:dyDescent="0.25">
      <c r="A397" s="607" t="s">
        <v>637</v>
      </c>
      <c r="B397" s="602"/>
      <c r="C397" s="602"/>
      <c r="D397" s="602"/>
      <c r="E397" s="602"/>
      <c r="F397" s="602"/>
      <c r="G397" s="602"/>
      <c r="H397" s="602"/>
      <c r="I397" s="602"/>
      <c r="J397" s="602"/>
      <c r="K397" s="602"/>
      <c r="L397" s="602"/>
      <c r="M397" s="602"/>
      <c r="N397" s="602"/>
      <c r="O397" s="602"/>
      <c r="P397" s="602"/>
      <c r="Q397" s="602"/>
      <c r="R397" s="602"/>
      <c r="S397" s="602"/>
      <c r="T397" s="602"/>
      <c r="U397" s="602"/>
      <c r="V397" s="602"/>
      <c r="W397" s="602"/>
      <c r="X397" s="602"/>
      <c r="Y397" s="602"/>
      <c r="Z397" s="602"/>
      <c r="AA397" s="586"/>
      <c r="AB397" s="586"/>
      <c r="AC397" s="586"/>
    </row>
    <row r="398" spans="1:68" ht="14.25" hidden="1" customHeight="1" x14ac:dyDescent="0.25">
      <c r="A398" s="606" t="s">
        <v>117</v>
      </c>
      <c r="B398" s="602"/>
      <c r="C398" s="602"/>
      <c r="D398" s="602"/>
      <c r="E398" s="602"/>
      <c r="F398" s="602"/>
      <c r="G398" s="602"/>
      <c r="H398" s="602"/>
      <c r="I398" s="602"/>
      <c r="J398" s="602"/>
      <c r="K398" s="602"/>
      <c r="L398" s="602"/>
      <c r="M398" s="602"/>
      <c r="N398" s="602"/>
      <c r="O398" s="602"/>
      <c r="P398" s="602"/>
      <c r="Q398" s="602"/>
      <c r="R398" s="602"/>
      <c r="S398" s="602"/>
      <c r="T398" s="602"/>
      <c r="U398" s="602"/>
      <c r="V398" s="602"/>
      <c r="W398" s="602"/>
      <c r="X398" s="602"/>
      <c r="Y398" s="602"/>
      <c r="Z398" s="602"/>
      <c r="AA398" s="587"/>
      <c r="AB398" s="587"/>
      <c r="AC398" s="587"/>
    </row>
    <row r="399" spans="1:68" ht="27" hidden="1" customHeight="1" x14ac:dyDescent="0.25">
      <c r="A399" s="54" t="s">
        <v>638</v>
      </c>
      <c r="B399" s="54" t="s">
        <v>639</v>
      </c>
      <c r="C399" s="32">
        <v>4301012332</v>
      </c>
      <c r="D399" s="595">
        <v>4680115888401</v>
      </c>
      <c r="E399" s="596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8"/>
      <c r="R399" s="598"/>
      <c r="S399" s="598"/>
      <c r="T399" s="599"/>
      <c r="U399" s="35"/>
      <c r="V399" s="35"/>
      <c r="W399" s="36" t="s">
        <v>67</v>
      </c>
      <c r="X399" s="591">
        <v>0</v>
      </c>
      <c r="Y399" s="592">
        <f t="shared" ref="Y399:Y406" si="52">IFERROR(IF(X399="",0,CEILING((X399/$H399),1)*$H399),"")</f>
        <v>0</v>
      </c>
      <c r="Z399" s="37" t="str">
        <f>IFERROR(IF(Y399=0,"",ROUNDUP(Y399/H399,0)*0.02175),"")</f>
        <v/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0</v>
      </c>
      <c r="BN399" s="64">
        <f t="shared" ref="BN399:BN406" si="54">IFERROR(Y399*I399/H399,"0")</f>
        <v>0</v>
      </c>
      <c r="BO399" s="64">
        <f t="shared" ref="BO399:BO406" si="55">IFERROR(1/J399*(X399/H399),"0")</f>
        <v>0</v>
      </c>
      <c r="BP399" s="64">
        <f t="shared" ref="BP399:BP406" si="56">IFERROR(1/J399*(Y399/H399),"0")</f>
        <v>0</v>
      </c>
    </row>
    <row r="400" spans="1:68" ht="37.5" customHeight="1" x14ac:dyDescent="0.25">
      <c r="A400" s="54" t="s">
        <v>641</v>
      </c>
      <c r="B400" s="54" t="s">
        <v>642</v>
      </c>
      <c r="C400" s="32">
        <v>4301011869</v>
      </c>
      <c r="D400" s="595">
        <v>4680115884847</v>
      </c>
      <c r="E400" s="596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8"/>
      <c r="R400" s="598"/>
      <c r="S400" s="598"/>
      <c r="T400" s="599"/>
      <c r="U400" s="35"/>
      <c r="V400" s="35"/>
      <c r="W400" s="36" t="s">
        <v>67</v>
      </c>
      <c r="X400" s="591">
        <v>1252</v>
      </c>
      <c r="Y400" s="592">
        <f t="shared" si="52"/>
        <v>1260</v>
      </c>
      <c r="Z400" s="37">
        <f>IFERROR(IF(Y400=0,"",ROUNDUP(Y400/H400,0)*0.02175),"")</f>
        <v>1.827</v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1291.2293333333334</v>
      </c>
      <c r="BN400" s="64">
        <f t="shared" si="54"/>
        <v>1299.48</v>
      </c>
      <c r="BO400" s="64">
        <f t="shared" si="55"/>
        <v>1.7388888888888889</v>
      </c>
      <c r="BP400" s="64">
        <f t="shared" si="56"/>
        <v>1.75</v>
      </c>
    </row>
    <row r="401" spans="1:68" ht="27" customHeight="1" x14ac:dyDescent="0.25">
      <c r="A401" s="54" t="s">
        <v>644</v>
      </c>
      <c r="B401" s="54" t="s">
        <v>645</v>
      </c>
      <c r="C401" s="32">
        <v>4301012083</v>
      </c>
      <c r="D401" s="595">
        <v>4680115884854</v>
      </c>
      <c r="E401" s="596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8"/>
      <c r="R401" s="598"/>
      <c r="S401" s="598"/>
      <c r="T401" s="599"/>
      <c r="U401" s="35"/>
      <c r="V401" s="35"/>
      <c r="W401" s="36" t="s">
        <v>67</v>
      </c>
      <c r="X401" s="591">
        <v>718</v>
      </c>
      <c r="Y401" s="592">
        <f t="shared" si="52"/>
        <v>720</v>
      </c>
      <c r="Z401" s="37">
        <f>IFERROR(IF(Y401=0,"",ROUNDUP(Y401/H401,0)*0.02175),"")</f>
        <v>1.044</v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740.49733333333336</v>
      </c>
      <c r="BN401" s="64">
        <f t="shared" si="54"/>
        <v>742.56</v>
      </c>
      <c r="BO401" s="64">
        <f t="shared" si="55"/>
        <v>0.99722222222222223</v>
      </c>
      <c r="BP401" s="64">
        <f t="shared" si="56"/>
        <v>1</v>
      </c>
    </row>
    <row r="402" spans="1:68" ht="27" customHeight="1" x14ac:dyDescent="0.25">
      <c r="A402" s="54" t="s">
        <v>647</v>
      </c>
      <c r="B402" s="54" t="s">
        <v>648</v>
      </c>
      <c r="C402" s="32">
        <v>4301011867</v>
      </c>
      <c r="D402" s="595">
        <v>4680115884830</v>
      </c>
      <c r="E402" s="596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8"/>
      <c r="R402" s="598"/>
      <c r="S402" s="598"/>
      <c r="T402" s="599"/>
      <c r="U402" s="35"/>
      <c r="V402" s="35"/>
      <c r="W402" s="36" t="s">
        <v>67</v>
      </c>
      <c r="X402" s="591">
        <v>2047</v>
      </c>
      <c r="Y402" s="592">
        <f t="shared" si="52"/>
        <v>2055</v>
      </c>
      <c r="Z402" s="37">
        <f>IFERROR(IF(Y402=0,"",ROUNDUP(Y402/H402,0)*0.02175),"")</f>
        <v>2.9797499999999997</v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2111.1393333333335</v>
      </c>
      <c r="BN402" s="64">
        <f t="shared" si="54"/>
        <v>2119.3900000000003</v>
      </c>
      <c r="BO402" s="64">
        <f t="shared" si="55"/>
        <v>2.8430555555555554</v>
      </c>
      <c r="BP402" s="64">
        <f t="shared" si="56"/>
        <v>2.8541666666666665</v>
      </c>
    </row>
    <row r="403" spans="1:68" ht="27" hidden="1" customHeight="1" x14ac:dyDescent="0.25">
      <c r="A403" s="54" t="s">
        <v>650</v>
      </c>
      <c r="B403" s="54" t="s">
        <v>651</v>
      </c>
      <c r="C403" s="32">
        <v>4301012356</v>
      </c>
      <c r="D403" s="595">
        <v>4680115889231</v>
      </c>
      <c r="E403" s="596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8"/>
      <c r="R403" s="598"/>
      <c r="S403" s="598"/>
      <c r="T403" s="599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653</v>
      </c>
      <c r="B404" s="54" t="s">
        <v>654</v>
      </c>
      <c r="C404" s="32">
        <v>4301011433</v>
      </c>
      <c r="D404" s="595">
        <v>4680115882638</v>
      </c>
      <c r="E404" s="596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6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8"/>
      <c r="R404" s="598"/>
      <c r="S404" s="598"/>
      <c r="T404" s="599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656</v>
      </c>
      <c r="B405" s="54" t="s">
        <v>657</v>
      </c>
      <c r="C405" s="32">
        <v>4301011952</v>
      </c>
      <c r="D405" s="595">
        <v>4680115884922</v>
      </c>
      <c r="E405" s="596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6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8"/>
      <c r="R405" s="598"/>
      <c r="S405" s="598"/>
      <c r="T405" s="599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hidden="1" customHeight="1" x14ac:dyDescent="0.25">
      <c r="A406" s="54" t="s">
        <v>659</v>
      </c>
      <c r="B406" s="54" t="s">
        <v>660</v>
      </c>
      <c r="C406" s="32">
        <v>4301011868</v>
      </c>
      <c r="D406" s="595">
        <v>4680115884861</v>
      </c>
      <c r="E406" s="596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8"/>
      <c r="R406" s="598"/>
      <c r="S406" s="598"/>
      <c r="T406" s="599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x14ac:dyDescent="0.2">
      <c r="A407" s="601"/>
      <c r="B407" s="602"/>
      <c r="C407" s="602"/>
      <c r="D407" s="602"/>
      <c r="E407" s="602"/>
      <c r="F407" s="602"/>
      <c r="G407" s="602"/>
      <c r="H407" s="602"/>
      <c r="I407" s="602"/>
      <c r="J407" s="602"/>
      <c r="K407" s="602"/>
      <c r="L407" s="602"/>
      <c r="M407" s="602"/>
      <c r="N407" s="602"/>
      <c r="O407" s="603"/>
      <c r="P407" s="611" t="s">
        <v>72</v>
      </c>
      <c r="Q407" s="612"/>
      <c r="R407" s="612"/>
      <c r="S407" s="612"/>
      <c r="T407" s="612"/>
      <c r="U407" s="612"/>
      <c r="V407" s="613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267.8</v>
      </c>
      <c r="Y407" s="593">
        <f>IFERROR(Y399/H399,"0")+IFERROR(Y400/H400,"0")+IFERROR(Y401/H401,"0")+IFERROR(Y402/H402,"0")+IFERROR(Y403/H403,"0")+IFERROR(Y404/H404,"0")+IFERROR(Y405/H405,"0")+IFERROR(Y406/H406,"0")</f>
        <v>269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5.8507499999999997</v>
      </c>
      <c r="AA407" s="594"/>
      <c r="AB407" s="594"/>
      <c r="AC407" s="594"/>
    </row>
    <row r="408" spans="1:68" x14ac:dyDescent="0.2">
      <c r="A408" s="602"/>
      <c r="B408" s="602"/>
      <c r="C408" s="602"/>
      <c r="D408" s="602"/>
      <c r="E408" s="602"/>
      <c r="F408" s="602"/>
      <c r="G408" s="602"/>
      <c r="H408" s="602"/>
      <c r="I408" s="602"/>
      <c r="J408" s="602"/>
      <c r="K408" s="602"/>
      <c r="L408" s="602"/>
      <c r="M408" s="602"/>
      <c r="N408" s="602"/>
      <c r="O408" s="603"/>
      <c r="P408" s="611" t="s">
        <v>72</v>
      </c>
      <c r="Q408" s="612"/>
      <c r="R408" s="612"/>
      <c r="S408" s="612"/>
      <c r="T408" s="612"/>
      <c r="U408" s="612"/>
      <c r="V408" s="613"/>
      <c r="W408" s="38" t="s">
        <v>67</v>
      </c>
      <c r="X408" s="593">
        <f>IFERROR(SUM(X399:X406),"0")</f>
        <v>4017</v>
      </c>
      <c r="Y408" s="593">
        <f>IFERROR(SUM(Y399:Y406),"0")</f>
        <v>4035</v>
      </c>
      <c r="Z408" s="38"/>
      <c r="AA408" s="594"/>
      <c r="AB408" s="594"/>
      <c r="AC408" s="594"/>
    </row>
    <row r="409" spans="1:68" ht="14.25" hidden="1" customHeight="1" x14ac:dyDescent="0.25">
      <c r="A409" s="606" t="s">
        <v>152</v>
      </c>
      <c r="B409" s="602"/>
      <c r="C409" s="602"/>
      <c r="D409" s="602"/>
      <c r="E409" s="602"/>
      <c r="F409" s="602"/>
      <c r="G409" s="602"/>
      <c r="H409" s="602"/>
      <c r="I409" s="602"/>
      <c r="J409" s="602"/>
      <c r="K409" s="602"/>
      <c r="L409" s="602"/>
      <c r="M409" s="602"/>
      <c r="N409" s="602"/>
      <c r="O409" s="602"/>
      <c r="P409" s="602"/>
      <c r="Q409" s="602"/>
      <c r="R409" s="602"/>
      <c r="S409" s="602"/>
      <c r="T409" s="602"/>
      <c r="U409" s="602"/>
      <c r="V409" s="602"/>
      <c r="W409" s="602"/>
      <c r="X409" s="602"/>
      <c r="Y409" s="602"/>
      <c r="Z409" s="602"/>
      <c r="AA409" s="587"/>
      <c r="AB409" s="587"/>
      <c r="AC409" s="587"/>
    </row>
    <row r="410" spans="1:68" ht="27" customHeight="1" x14ac:dyDescent="0.25">
      <c r="A410" s="54" t="s">
        <v>662</v>
      </c>
      <c r="B410" s="54" t="s">
        <v>663</v>
      </c>
      <c r="C410" s="32">
        <v>4301020178</v>
      </c>
      <c r="D410" s="595">
        <v>4607091383980</v>
      </c>
      <c r="E410" s="596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9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8"/>
      <c r="R410" s="598"/>
      <c r="S410" s="598"/>
      <c r="T410" s="599"/>
      <c r="U410" s="35"/>
      <c r="V410" s="35"/>
      <c r="W410" s="36" t="s">
        <v>67</v>
      </c>
      <c r="X410" s="591">
        <v>1706</v>
      </c>
      <c r="Y410" s="592">
        <f>IFERROR(IF(X410="",0,CEILING((X410/$H410),1)*$H410),"")</f>
        <v>1710</v>
      </c>
      <c r="Z410" s="37">
        <f>IFERROR(IF(Y410=0,"",ROUNDUP(Y410/H410,0)*0.02175),"")</f>
        <v>2.4794999999999998</v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1759.4546666666668</v>
      </c>
      <c r="BN410" s="64">
        <f>IFERROR(Y410*I410/H410,"0")</f>
        <v>1763.5800000000002</v>
      </c>
      <c r="BO410" s="64">
        <f>IFERROR(1/J410*(X410/H410),"0")</f>
        <v>2.3694444444444445</v>
      </c>
      <c r="BP410" s="64">
        <f>IFERROR(1/J410*(Y410/H410),"0")</f>
        <v>2.375</v>
      </c>
    </row>
    <row r="411" spans="1:68" ht="27" hidden="1" customHeight="1" x14ac:dyDescent="0.25">
      <c r="A411" s="54" t="s">
        <v>665</v>
      </c>
      <c r="B411" s="54" t="s">
        <v>666</v>
      </c>
      <c r="C411" s="32">
        <v>4301020355</v>
      </c>
      <c r="D411" s="595">
        <v>4680115888425</v>
      </c>
      <c r="E411" s="596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73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8"/>
      <c r="R411" s="598"/>
      <c r="S411" s="598"/>
      <c r="T411" s="599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2">
        <v>4301020179</v>
      </c>
      <c r="D412" s="595">
        <v>4607091384178</v>
      </c>
      <c r="E412" s="596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8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8"/>
      <c r="R412" s="598"/>
      <c r="S412" s="598"/>
      <c r="T412" s="599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01"/>
      <c r="B413" s="602"/>
      <c r="C413" s="602"/>
      <c r="D413" s="602"/>
      <c r="E413" s="602"/>
      <c r="F413" s="602"/>
      <c r="G413" s="602"/>
      <c r="H413" s="602"/>
      <c r="I413" s="602"/>
      <c r="J413" s="602"/>
      <c r="K413" s="602"/>
      <c r="L413" s="602"/>
      <c r="M413" s="602"/>
      <c r="N413" s="602"/>
      <c r="O413" s="603"/>
      <c r="P413" s="611" t="s">
        <v>72</v>
      </c>
      <c r="Q413" s="612"/>
      <c r="R413" s="612"/>
      <c r="S413" s="612"/>
      <c r="T413" s="612"/>
      <c r="U413" s="612"/>
      <c r="V413" s="613"/>
      <c r="W413" s="38" t="s">
        <v>73</v>
      </c>
      <c r="X413" s="593">
        <f>IFERROR(X410/H410,"0")+IFERROR(X411/H411,"0")+IFERROR(X412/H412,"0")</f>
        <v>113.73333333333333</v>
      </c>
      <c r="Y413" s="593">
        <f>IFERROR(Y410/H410,"0")+IFERROR(Y411/H411,"0")+IFERROR(Y412/H412,"0")</f>
        <v>114</v>
      </c>
      <c r="Z413" s="593">
        <f>IFERROR(IF(Z410="",0,Z410),"0")+IFERROR(IF(Z411="",0,Z411),"0")+IFERROR(IF(Z412="",0,Z412),"0")</f>
        <v>2.4794999999999998</v>
      </c>
      <c r="AA413" s="594"/>
      <c r="AB413" s="594"/>
      <c r="AC413" s="594"/>
    </row>
    <row r="414" spans="1:68" x14ac:dyDescent="0.2">
      <c r="A414" s="602"/>
      <c r="B414" s="602"/>
      <c r="C414" s="602"/>
      <c r="D414" s="602"/>
      <c r="E414" s="602"/>
      <c r="F414" s="602"/>
      <c r="G414" s="602"/>
      <c r="H414" s="602"/>
      <c r="I414" s="602"/>
      <c r="J414" s="602"/>
      <c r="K414" s="602"/>
      <c r="L414" s="602"/>
      <c r="M414" s="602"/>
      <c r="N414" s="602"/>
      <c r="O414" s="603"/>
      <c r="P414" s="611" t="s">
        <v>72</v>
      </c>
      <c r="Q414" s="612"/>
      <c r="R414" s="612"/>
      <c r="S414" s="612"/>
      <c r="T414" s="612"/>
      <c r="U414" s="612"/>
      <c r="V414" s="613"/>
      <c r="W414" s="38" t="s">
        <v>67</v>
      </c>
      <c r="X414" s="593">
        <f>IFERROR(SUM(X410:X412),"0")</f>
        <v>1706</v>
      </c>
      <c r="Y414" s="593">
        <f>IFERROR(SUM(Y410:Y412),"0")</f>
        <v>1710</v>
      </c>
      <c r="Z414" s="38"/>
      <c r="AA414" s="594"/>
      <c r="AB414" s="594"/>
      <c r="AC414" s="594"/>
    </row>
    <row r="415" spans="1:68" ht="14.25" hidden="1" customHeight="1" x14ac:dyDescent="0.25">
      <c r="A415" s="606" t="s">
        <v>74</v>
      </c>
      <c r="B415" s="602"/>
      <c r="C415" s="602"/>
      <c r="D415" s="602"/>
      <c r="E415" s="602"/>
      <c r="F415" s="602"/>
      <c r="G415" s="602"/>
      <c r="H415" s="602"/>
      <c r="I415" s="602"/>
      <c r="J415" s="602"/>
      <c r="K415" s="602"/>
      <c r="L415" s="602"/>
      <c r="M415" s="602"/>
      <c r="N415" s="602"/>
      <c r="O415" s="602"/>
      <c r="P415" s="602"/>
      <c r="Q415" s="602"/>
      <c r="R415" s="602"/>
      <c r="S415" s="602"/>
      <c r="T415" s="602"/>
      <c r="U415" s="602"/>
      <c r="V415" s="602"/>
      <c r="W415" s="602"/>
      <c r="X415" s="602"/>
      <c r="Y415" s="602"/>
      <c r="Z415" s="602"/>
      <c r="AA415" s="587"/>
      <c r="AB415" s="587"/>
      <c r="AC415" s="587"/>
    </row>
    <row r="416" spans="1:68" ht="27" hidden="1" customHeight="1" x14ac:dyDescent="0.25">
      <c r="A416" s="54" t="s">
        <v>671</v>
      </c>
      <c r="B416" s="54" t="s">
        <v>672</v>
      </c>
      <c r="C416" s="32">
        <v>4301051903</v>
      </c>
      <c r="D416" s="595">
        <v>4607091383928</v>
      </c>
      <c r="E416" s="596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7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8"/>
      <c r="R416" s="598"/>
      <c r="S416" s="598"/>
      <c r="T416" s="599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674</v>
      </c>
      <c r="B417" s="54" t="s">
        <v>675</v>
      </c>
      <c r="C417" s="32">
        <v>4301051897</v>
      </c>
      <c r="D417" s="595">
        <v>4607091384260</v>
      </c>
      <c r="E417" s="596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8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8"/>
      <c r="R417" s="598"/>
      <c r="S417" s="598"/>
      <c r="T417" s="599"/>
      <c r="U417" s="35"/>
      <c r="V417" s="35"/>
      <c r="W417" s="36" t="s">
        <v>67</v>
      </c>
      <c r="X417" s="591">
        <v>0</v>
      </c>
      <c r="Y417" s="592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01"/>
      <c r="B418" s="602"/>
      <c r="C418" s="602"/>
      <c r="D418" s="602"/>
      <c r="E418" s="602"/>
      <c r="F418" s="602"/>
      <c r="G418" s="602"/>
      <c r="H418" s="602"/>
      <c r="I418" s="602"/>
      <c r="J418" s="602"/>
      <c r="K418" s="602"/>
      <c r="L418" s="602"/>
      <c r="M418" s="602"/>
      <c r="N418" s="602"/>
      <c r="O418" s="603"/>
      <c r="P418" s="611" t="s">
        <v>72</v>
      </c>
      <c r="Q418" s="612"/>
      <c r="R418" s="612"/>
      <c r="S418" s="612"/>
      <c r="T418" s="612"/>
      <c r="U418" s="612"/>
      <c r="V418" s="613"/>
      <c r="W418" s="38" t="s">
        <v>73</v>
      </c>
      <c r="X418" s="593">
        <f>IFERROR(X416/H416,"0")+IFERROR(X417/H417,"0")</f>
        <v>0</v>
      </c>
      <c r="Y418" s="593">
        <f>IFERROR(Y416/H416,"0")+IFERROR(Y417/H417,"0")</f>
        <v>0</v>
      </c>
      <c r="Z418" s="593">
        <f>IFERROR(IF(Z416="",0,Z416),"0")+IFERROR(IF(Z417="",0,Z417),"0")</f>
        <v>0</v>
      </c>
      <c r="AA418" s="594"/>
      <c r="AB418" s="594"/>
      <c r="AC418" s="594"/>
    </row>
    <row r="419" spans="1:68" hidden="1" x14ac:dyDescent="0.2">
      <c r="A419" s="602"/>
      <c r="B419" s="602"/>
      <c r="C419" s="602"/>
      <c r="D419" s="602"/>
      <c r="E419" s="602"/>
      <c r="F419" s="602"/>
      <c r="G419" s="602"/>
      <c r="H419" s="602"/>
      <c r="I419" s="602"/>
      <c r="J419" s="602"/>
      <c r="K419" s="602"/>
      <c r="L419" s="602"/>
      <c r="M419" s="602"/>
      <c r="N419" s="602"/>
      <c r="O419" s="603"/>
      <c r="P419" s="611" t="s">
        <v>72</v>
      </c>
      <c r="Q419" s="612"/>
      <c r="R419" s="612"/>
      <c r="S419" s="612"/>
      <c r="T419" s="612"/>
      <c r="U419" s="612"/>
      <c r="V419" s="613"/>
      <c r="W419" s="38" t="s">
        <v>67</v>
      </c>
      <c r="X419" s="593">
        <f>IFERROR(SUM(X416:X417),"0")</f>
        <v>0</v>
      </c>
      <c r="Y419" s="593">
        <f>IFERROR(SUM(Y416:Y417),"0")</f>
        <v>0</v>
      </c>
      <c r="Z419" s="38"/>
      <c r="AA419" s="594"/>
      <c r="AB419" s="594"/>
      <c r="AC419" s="594"/>
    </row>
    <row r="420" spans="1:68" ht="14.25" hidden="1" customHeight="1" x14ac:dyDescent="0.25">
      <c r="A420" s="606" t="s">
        <v>169</v>
      </c>
      <c r="B420" s="602"/>
      <c r="C420" s="602"/>
      <c r="D420" s="602"/>
      <c r="E420" s="602"/>
      <c r="F420" s="602"/>
      <c r="G420" s="602"/>
      <c r="H420" s="602"/>
      <c r="I420" s="602"/>
      <c r="J420" s="602"/>
      <c r="K420" s="602"/>
      <c r="L420" s="602"/>
      <c r="M420" s="602"/>
      <c r="N420" s="602"/>
      <c r="O420" s="602"/>
      <c r="P420" s="602"/>
      <c r="Q420" s="602"/>
      <c r="R420" s="602"/>
      <c r="S420" s="602"/>
      <c r="T420" s="602"/>
      <c r="U420" s="602"/>
      <c r="V420" s="602"/>
      <c r="W420" s="602"/>
      <c r="X420" s="602"/>
      <c r="Y420" s="602"/>
      <c r="Z420" s="602"/>
      <c r="AA420" s="587"/>
      <c r="AB420" s="587"/>
      <c r="AC420" s="587"/>
    </row>
    <row r="421" spans="1:68" ht="16.5" hidden="1" customHeight="1" x14ac:dyDescent="0.25">
      <c r="A421" s="54" t="s">
        <v>677</v>
      </c>
      <c r="B421" s="54" t="s">
        <v>678</v>
      </c>
      <c r="C421" s="32">
        <v>4301060524</v>
      </c>
      <c r="D421" s="595">
        <v>4607091384673</v>
      </c>
      <c r="E421" s="596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8"/>
      <c r="R421" s="598"/>
      <c r="S421" s="598"/>
      <c r="T421" s="599"/>
      <c r="U421" s="35"/>
      <c r="V421" s="35"/>
      <c r="W421" s="36" t="s">
        <v>67</v>
      </c>
      <c r="X421" s="591">
        <v>0</v>
      </c>
      <c r="Y421" s="592">
        <f>IFERROR(IF(X421="",0,CEILING((X421/$H421),1)*$H421),"")</f>
        <v>0</v>
      </c>
      <c r="Z421" s="37" t="str">
        <f>IFERROR(IF(Y421=0,"",ROUNDUP(Y421/H421,0)*0.01898),"")</f>
        <v/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01"/>
      <c r="B422" s="602"/>
      <c r="C422" s="602"/>
      <c r="D422" s="602"/>
      <c r="E422" s="602"/>
      <c r="F422" s="602"/>
      <c r="G422" s="602"/>
      <c r="H422" s="602"/>
      <c r="I422" s="602"/>
      <c r="J422" s="602"/>
      <c r="K422" s="602"/>
      <c r="L422" s="602"/>
      <c r="M422" s="602"/>
      <c r="N422" s="602"/>
      <c r="O422" s="603"/>
      <c r="P422" s="611" t="s">
        <v>72</v>
      </c>
      <c r="Q422" s="612"/>
      <c r="R422" s="612"/>
      <c r="S422" s="612"/>
      <c r="T422" s="612"/>
      <c r="U422" s="612"/>
      <c r="V422" s="613"/>
      <c r="W422" s="38" t="s">
        <v>73</v>
      </c>
      <c r="X422" s="593">
        <f>IFERROR(X421/H421,"0")</f>
        <v>0</v>
      </c>
      <c r="Y422" s="593">
        <f>IFERROR(Y421/H421,"0")</f>
        <v>0</v>
      </c>
      <c r="Z422" s="593">
        <f>IFERROR(IF(Z421="",0,Z421),"0")</f>
        <v>0</v>
      </c>
      <c r="AA422" s="594"/>
      <c r="AB422" s="594"/>
      <c r="AC422" s="594"/>
    </row>
    <row r="423" spans="1:68" hidden="1" x14ac:dyDescent="0.2">
      <c r="A423" s="602"/>
      <c r="B423" s="602"/>
      <c r="C423" s="602"/>
      <c r="D423" s="602"/>
      <c r="E423" s="602"/>
      <c r="F423" s="602"/>
      <c r="G423" s="602"/>
      <c r="H423" s="602"/>
      <c r="I423" s="602"/>
      <c r="J423" s="602"/>
      <c r="K423" s="602"/>
      <c r="L423" s="602"/>
      <c r="M423" s="602"/>
      <c r="N423" s="602"/>
      <c r="O423" s="603"/>
      <c r="P423" s="611" t="s">
        <v>72</v>
      </c>
      <c r="Q423" s="612"/>
      <c r="R423" s="612"/>
      <c r="S423" s="612"/>
      <c r="T423" s="612"/>
      <c r="U423" s="612"/>
      <c r="V423" s="613"/>
      <c r="W423" s="38" t="s">
        <v>67</v>
      </c>
      <c r="X423" s="593">
        <f>IFERROR(SUM(X421:X421),"0")</f>
        <v>0</v>
      </c>
      <c r="Y423" s="593">
        <f>IFERROR(SUM(Y421:Y421),"0")</f>
        <v>0</v>
      </c>
      <c r="Z423" s="38"/>
      <c r="AA423" s="594"/>
      <c r="AB423" s="594"/>
      <c r="AC423" s="594"/>
    </row>
    <row r="424" spans="1:68" ht="16.5" hidden="1" customHeight="1" x14ac:dyDescent="0.25">
      <c r="A424" s="607" t="s">
        <v>680</v>
      </c>
      <c r="B424" s="602"/>
      <c r="C424" s="602"/>
      <c r="D424" s="602"/>
      <c r="E424" s="602"/>
      <c r="F424" s="602"/>
      <c r="G424" s="602"/>
      <c r="H424" s="602"/>
      <c r="I424" s="602"/>
      <c r="J424" s="602"/>
      <c r="K424" s="602"/>
      <c r="L424" s="602"/>
      <c r="M424" s="602"/>
      <c r="N424" s="602"/>
      <c r="O424" s="602"/>
      <c r="P424" s="602"/>
      <c r="Q424" s="602"/>
      <c r="R424" s="602"/>
      <c r="S424" s="602"/>
      <c r="T424" s="602"/>
      <c r="U424" s="602"/>
      <c r="V424" s="602"/>
      <c r="W424" s="602"/>
      <c r="X424" s="602"/>
      <c r="Y424" s="602"/>
      <c r="Z424" s="602"/>
      <c r="AA424" s="586"/>
      <c r="AB424" s="586"/>
      <c r="AC424" s="586"/>
    </row>
    <row r="425" spans="1:68" ht="14.25" hidden="1" customHeight="1" x14ac:dyDescent="0.25">
      <c r="A425" s="606" t="s">
        <v>117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587"/>
      <c r="AB425" s="587"/>
      <c r="AC425" s="587"/>
    </row>
    <row r="426" spans="1:68" ht="27" hidden="1" customHeight="1" x14ac:dyDescent="0.25">
      <c r="A426" s="54" t="s">
        <v>681</v>
      </c>
      <c r="B426" s="54" t="s">
        <v>682</v>
      </c>
      <c r="C426" s="32">
        <v>4301011875</v>
      </c>
      <c r="D426" s="595">
        <v>4680115884885</v>
      </c>
      <c r="E426" s="596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8"/>
      <c r="R426" s="598"/>
      <c r="S426" s="598"/>
      <c r="T426" s="599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hidden="1" customHeight="1" x14ac:dyDescent="0.25">
      <c r="A427" s="54" t="s">
        <v>684</v>
      </c>
      <c r="B427" s="54" t="s">
        <v>685</v>
      </c>
      <c r="C427" s="32">
        <v>4301011871</v>
      </c>
      <c r="D427" s="595">
        <v>4680115884908</v>
      </c>
      <c r="E427" s="596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8"/>
      <c r="R427" s="598"/>
      <c r="S427" s="598"/>
      <c r="T427" s="599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01"/>
      <c r="B428" s="602"/>
      <c r="C428" s="602"/>
      <c r="D428" s="602"/>
      <c r="E428" s="602"/>
      <c r="F428" s="602"/>
      <c r="G428" s="602"/>
      <c r="H428" s="602"/>
      <c r="I428" s="602"/>
      <c r="J428" s="602"/>
      <c r="K428" s="602"/>
      <c r="L428" s="602"/>
      <c r="M428" s="602"/>
      <c r="N428" s="602"/>
      <c r="O428" s="603"/>
      <c r="P428" s="611" t="s">
        <v>72</v>
      </c>
      <c r="Q428" s="612"/>
      <c r="R428" s="612"/>
      <c r="S428" s="612"/>
      <c r="T428" s="612"/>
      <c r="U428" s="612"/>
      <c r="V428" s="613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hidden="1" x14ac:dyDescent="0.2">
      <c r="A429" s="602"/>
      <c r="B429" s="602"/>
      <c r="C429" s="602"/>
      <c r="D429" s="602"/>
      <c r="E429" s="602"/>
      <c r="F429" s="602"/>
      <c r="G429" s="602"/>
      <c r="H429" s="602"/>
      <c r="I429" s="602"/>
      <c r="J429" s="602"/>
      <c r="K429" s="602"/>
      <c r="L429" s="602"/>
      <c r="M429" s="602"/>
      <c r="N429" s="602"/>
      <c r="O429" s="603"/>
      <c r="P429" s="611" t="s">
        <v>72</v>
      </c>
      <c r="Q429" s="612"/>
      <c r="R429" s="612"/>
      <c r="S429" s="612"/>
      <c r="T429" s="612"/>
      <c r="U429" s="612"/>
      <c r="V429" s="613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hidden="1" customHeight="1" x14ac:dyDescent="0.25">
      <c r="A430" s="606" t="s">
        <v>62</v>
      </c>
      <c r="B430" s="602"/>
      <c r="C430" s="602"/>
      <c r="D430" s="602"/>
      <c r="E430" s="602"/>
      <c r="F430" s="602"/>
      <c r="G430" s="602"/>
      <c r="H430" s="602"/>
      <c r="I430" s="602"/>
      <c r="J430" s="602"/>
      <c r="K430" s="602"/>
      <c r="L430" s="602"/>
      <c r="M430" s="602"/>
      <c r="N430" s="602"/>
      <c r="O430" s="602"/>
      <c r="P430" s="602"/>
      <c r="Q430" s="602"/>
      <c r="R430" s="602"/>
      <c r="S430" s="602"/>
      <c r="T430" s="602"/>
      <c r="U430" s="602"/>
      <c r="V430" s="602"/>
      <c r="W430" s="602"/>
      <c r="X430" s="602"/>
      <c r="Y430" s="602"/>
      <c r="Z430" s="602"/>
      <c r="AA430" s="587"/>
      <c r="AB430" s="587"/>
      <c r="AC430" s="587"/>
    </row>
    <row r="431" spans="1:68" ht="27" hidden="1" customHeight="1" x14ac:dyDescent="0.25">
      <c r="A431" s="54" t="s">
        <v>686</v>
      </c>
      <c r="B431" s="54" t="s">
        <v>687</v>
      </c>
      <c r="C431" s="32">
        <v>4301031457</v>
      </c>
      <c r="D431" s="595">
        <v>4607091384802</v>
      </c>
      <c r="E431" s="596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7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8"/>
      <c r="R431" s="598"/>
      <c r="S431" s="598"/>
      <c r="T431" s="599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01"/>
      <c r="B432" s="602"/>
      <c r="C432" s="602"/>
      <c r="D432" s="602"/>
      <c r="E432" s="602"/>
      <c r="F432" s="602"/>
      <c r="G432" s="602"/>
      <c r="H432" s="602"/>
      <c r="I432" s="602"/>
      <c r="J432" s="602"/>
      <c r="K432" s="602"/>
      <c r="L432" s="602"/>
      <c r="M432" s="602"/>
      <c r="N432" s="602"/>
      <c r="O432" s="603"/>
      <c r="P432" s="611" t="s">
        <v>72</v>
      </c>
      <c r="Q432" s="612"/>
      <c r="R432" s="612"/>
      <c r="S432" s="612"/>
      <c r="T432" s="612"/>
      <c r="U432" s="612"/>
      <c r="V432" s="613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hidden="1" x14ac:dyDescent="0.2">
      <c r="A433" s="602"/>
      <c r="B433" s="602"/>
      <c r="C433" s="602"/>
      <c r="D433" s="602"/>
      <c r="E433" s="602"/>
      <c r="F433" s="602"/>
      <c r="G433" s="602"/>
      <c r="H433" s="602"/>
      <c r="I433" s="602"/>
      <c r="J433" s="602"/>
      <c r="K433" s="602"/>
      <c r="L433" s="602"/>
      <c r="M433" s="602"/>
      <c r="N433" s="602"/>
      <c r="O433" s="603"/>
      <c r="P433" s="611" t="s">
        <v>72</v>
      </c>
      <c r="Q433" s="612"/>
      <c r="R433" s="612"/>
      <c r="S433" s="612"/>
      <c r="T433" s="612"/>
      <c r="U433" s="612"/>
      <c r="V433" s="613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hidden="1" customHeight="1" x14ac:dyDescent="0.25">
      <c r="A434" s="606" t="s">
        <v>74</v>
      </c>
      <c r="B434" s="602"/>
      <c r="C434" s="602"/>
      <c r="D434" s="602"/>
      <c r="E434" s="602"/>
      <c r="F434" s="602"/>
      <c r="G434" s="602"/>
      <c r="H434" s="602"/>
      <c r="I434" s="602"/>
      <c r="J434" s="602"/>
      <c r="K434" s="602"/>
      <c r="L434" s="602"/>
      <c r="M434" s="602"/>
      <c r="N434" s="602"/>
      <c r="O434" s="602"/>
      <c r="P434" s="602"/>
      <c r="Q434" s="602"/>
      <c r="R434" s="602"/>
      <c r="S434" s="602"/>
      <c r="T434" s="602"/>
      <c r="U434" s="602"/>
      <c r="V434" s="602"/>
      <c r="W434" s="602"/>
      <c r="X434" s="602"/>
      <c r="Y434" s="602"/>
      <c r="Z434" s="602"/>
      <c r="AA434" s="587"/>
      <c r="AB434" s="587"/>
      <c r="AC434" s="587"/>
    </row>
    <row r="435" spans="1:68" ht="27" customHeight="1" x14ac:dyDescent="0.25">
      <c r="A435" s="54" t="s">
        <v>689</v>
      </c>
      <c r="B435" s="54" t="s">
        <v>690</v>
      </c>
      <c r="C435" s="32">
        <v>4301051899</v>
      </c>
      <c r="D435" s="595">
        <v>4607091384246</v>
      </c>
      <c r="E435" s="596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8"/>
      <c r="R435" s="598"/>
      <c r="S435" s="598"/>
      <c r="T435" s="599"/>
      <c r="U435" s="35"/>
      <c r="V435" s="35"/>
      <c r="W435" s="36" t="s">
        <v>67</v>
      </c>
      <c r="X435" s="591">
        <v>4001</v>
      </c>
      <c r="Y435" s="592">
        <f>IFERROR(IF(X435="",0,CEILING((X435/$H435),1)*$H435),"")</f>
        <v>4005</v>
      </c>
      <c r="Z435" s="37">
        <f>IFERROR(IF(Y435=0,"",ROUNDUP(Y435/H435,0)*0.01898),"")</f>
        <v>8.4460999999999995</v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4220.6104444444445</v>
      </c>
      <c r="BN435" s="64">
        <f>IFERROR(Y435*I435/H435,"0")</f>
        <v>4224.83</v>
      </c>
      <c r="BO435" s="64">
        <f>IFERROR(1/J435*(X435/H435),"0")</f>
        <v>6.9461805555555554</v>
      </c>
      <c r="BP435" s="64">
        <f>IFERROR(1/J435*(Y435/H435),"0")</f>
        <v>6.953125</v>
      </c>
    </row>
    <row r="436" spans="1:68" ht="27" customHeight="1" x14ac:dyDescent="0.25">
      <c r="A436" s="54" t="s">
        <v>692</v>
      </c>
      <c r="B436" s="54" t="s">
        <v>693</v>
      </c>
      <c r="C436" s="32">
        <v>4301051660</v>
      </c>
      <c r="D436" s="595">
        <v>4607091384253</v>
      </c>
      <c r="E436" s="596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9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8"/>
      <c r="R436" s="598"/>
      <c r="S436" s="598"/>
      <c r="T436" s="599"/>
      <c r="U436" s="35"/>
      <c r="V436" s="35"/>
      <c r="W436" s="36" t="s">
        <v>67</v>
      </c>
      <c r="X436" s="591">
        <v>23</v>
      </c>
      <c r="Y436" s="592">
        <f>IFERROR(IF(X436="",0,CEILING((X436/$H436),1)*$H436),"")</f>
        <v>24</v>
      </c>
      <c r="Z436" s="37">
        <f>IFERROR(IF(Y436=0,"",ROUNDUP(Y436/H436,0)*0.00651),"")</f>
        <v>6.5100000000000005E-2</v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25.530000000000005</v>
      </c>
      <c r="BN436" s="64">
        <f>IFERROR(Y436*I436/H436,"0")</f>
        <v>26.640000000000004</v>
      </c>
      <c r="BO436" s="64">
        <f>IFERROR(1/J436*(X436/H436),"0")</f>
        <v>5.2655677655677663E-2</v>
      </c>
      <c r="BP436" s="64">
        <f>IFERROR(1/J436*(Y436/H436),"0")</f>
        <v>5.4945054945054951E-2</v>
      </c>
    </row>
    <row r="437" spans="1:68" ht="27" hidden="1" customHeight="1" x14ac:dyDescent="0.25">
      <c r="A437" s="54" t="s">
        <v>692</v>
      </c>
      <c r="B437" s="54" t="s">
        <v>694</v>
      </c>
      <c r="C437" s="32">
        <v>4301052069</v>
      </c>
      <c r="D437" s="595">
        <v>4607091384253</v>
      </c>
      <c r="E437" s="596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5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8"/>
      <c r="R437" s="598"/>
      <c r="S437" s="598"/>
      <c r="T437" s="599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01"/>
      <c r="B438" s="602"/>
      <c r="C438" s="602"/>
      <c r="D438" s="602"/>
      <c r="E438" s="602"/>
      <c r="F438" s="602"/>
      <c r="G438" s="602"/>
      <c r="H438" s="602"/>
      <c r="I438" s="602"/>
      <c r="J438" s="602"/>
      <c r="K438" s="602"/>
      <c r="L438" s="602"/>
      <c r="M438" s="602"/>
      <c r="N438" s="602"/>
      <c r="O438" s="603"/>
      <c r="P438" s="611" t="s">
        <v>72</v>
      </c>
      <c r="Q438" s="612"/>
      <c r="R438" s="612"/>
      <c r="S438" s="612"/>
      <c r="T438" s="612"/>
      <c r="U438" s="612"/>
      <c r="V438" s="613"/>
      <c r="W438" s="38" t="s">
        <v>73</v>
      </c>
      <c r="X438" s="593">
        <f>IFERROR(X435/H435,"0")+IFERROR(X436/H436,"0")+IFERROR(X437/H437,"0")</f>
        <v>454.13888888888886</v>
      </c>
      <c r="Y438" s="593">
        <f>IFERROR(Y435/H435,"0")+IFERROR(Y436/H436,"0")+IFERROR(Y437/H437,"0")</f>
        <v>455</v>
      </c>
      <c r="Z438" s="593">
        <f>IFERROR(IF(Z435="",0,Z435),"0")+IFERROR(IF(Z436="",0,Z436),"0")+IFERROR(IF(Z437="",0,Z437),"0")</f>
        <v>8.5111999999999988</v>
      </c>
      <c r="AA438" s="594"/>
      <c r="AB438" s="594"/>
      <c r="AC438" s="594"/>
    </row>
    <row r="439" spans="1:68" x14ac:dyDescent="0.2">
      <c r="A439" s="602"/>
      <c r="B439" s="602"/>
      <c r="C439" s="602"/>
      <c r="D439" s="602"/>
      <c r="E439" s="602"/>
      <c r="F439" s="602"/>
      <c r="G439" s="602"/>
      <c r="H439" s="602"/>
      <c r="I439" s="602"/>
      <c r="J439" s="602"/>
      <c r="K439" s="602"/>
      <c r="L439" s="602"/>
      <c r="M439" s="602"/>
      <c r="N439" s="602"/>
      <c r="O439" s="603"/>
      <c r="P439" s="611" t="s">
        <v>72</v>
      </c>
      <c r="Q439" s="612"/>
      <c r="R439" s="612"/>
      <c r="S439" s="612"/>
      <c r="T439" s="612"/>
      <c r="U439" s="612"/>
      <c r="V439" s="613"/>
      <c r="W439" s="38" t="s">
        <v>67</v>
      </c>
      <c r="X439" s="593">
        <f>IFERROR(SUM(X435:X437),"0")</f>
        <v>4024</v>
      </c>
      <c r="Y439" s="593">
        <f>IFERROR(SUM(Y435:Y437),"0")</f>
        <v>4029</v>
      </c>
      <c r="Z439" s="38"/>
      <c r="AA439" s="594"/>
      <c r="AB439" s="594"/>
      <c r="AC439" s="594"/>
    </row>
    <row r="440" spans="1:68" ht="27.75" hidden="1" customHeight="1" x14ac:dyDescent="0.2">
      <c r="A440" s="759" t="s">
        <v>696</v>
      </c>
      <c r="B440" s="760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49"/>
      <c r="AB440" s="49"/>
      <c r="AC440" s="49"/>
    </row>
    <row r="441" spans="1:68" ht="16.5" hidden="1" customHeight="1" x14ac:dyDescent="0.25">
      <c r="A441" s="607" t="s">
        <v>697</v>
      </c>
      <c r="B441" s="602"/>
      <c r="C441" s="602"/>
      <c r="D441" s="602"/>
      <c r="E441" s="602"/>
      <c r="F441" s="602"/>
      <c r="G441" s="602"/>
      <c r="H441" s="602"/>
      <c r="I441" s="602"/>
      <c r="J441" s="602"/>
      <c r="K441" s="602"/>
      <c r="L441" s="602"/>
      <c r="M441" s="602"/>
      <c r="N441" s="602"/>
      <c r="O441" s="602"/>
      <c r="P441" s="602"/>
      <c r="Q441" s="602"/>
      <c r="R441" s="602"/>
      <c r="S441" s="602"/>
      <c r="T441" s="602"/>
      <c r="U441" s="602"/>
      <c r="V441" s="602"/>
      <c r="W441" s="602"/>
      <c r="X441" s="602"/>
      <c r="Y441" s="602"/>
      <c r="Z441" s="602"/>
      <c r="AA441" s="586"/>
      <c r="AB441" s="586"/>
      <c r="AC441" s="586"/>
    </row>
    <row r="442" spans="1:68" ht="14.25" hidden="1" customHeight="1" x14ac:dyDescent="0.25">
      <c r="A442" s="606" t="s">
        <v>62</v>
      </c>
      <c r="B442" s="602"/>
      <c r="C442" s="602"/>
      <c r="D442" s="602"/>
      <c r="E442" s="602"/>
      <c r="F442" s="602"/>
      <c r="G442" s="602"/>
      <c r="H442" s="602"/>
      <c r="I442" s="602"/>
      <c r="J442" s="602"/>
      <c r="K442" s="602"/>
      <c r="L442" s="602"/>
      <c r="M442" s="602"/>
      <c r="N442" s="602"/>
      <c r="O442" s="602"/>
      <c r="P442" s="602"/>
      <c r="Q442" s="602"/>
      <c r="R442" s="602"/>
      <c r="S442" s="602"/>
      <c r="T442" s="602"/>
      <c r="U442" s="602"/>
      <c r="V442" s="602"/>
      <c r="W442" s="602"/>
      <c r="X442" s="602"/>
      <c r="Y442" s="602"/>
      <c r="Z442" s="602"/>
      <c r="AA442" s="587"/>
      <c r="AB442" s="587"/>
      <c r="AC442" s="587"/>
    </row>
    <row r="443" spans="1:68" ht="27" hidden="1" customHeight="1" x14ac:dyDescent="0.25">
      <c r="A443" s="54" t="s">
        <v>698</v>
      </c>
      <c r="B443" s="54" t="s">
        <v>699</v>
      </c>
      <c r="C443" s="32">
        <v>4301031405</v>
      </c>
      <c r="D443" s="595">
        <v>4680115886100</v>
      </c>
      <c r="E443" s="596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6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8"/>
      <c r="R443" s="598"/>
      <c r="S443" s="598"/>
      <c r="T443" s="599"/>
      <c r="U443" s="35"/>
      <c r="V443" s="35"/>
      <c r="W443" s="36" t="s">
        <v>67</v>
      </c>
      <c r="X443" s="591">
        <v>0</v>
      </c>
      <c r="Y443" s="592">
        <f t="shared" ref="Y443:Y448" si="57">IFERROR(IF(X443="",0,CEILING((X443/$H443),1)*$H443),"")</f>
        <v>0</v>
      </c>
      <c r="Z443" s="37" t="str">
        <f>IFERROR(IF(Y443=0,"",ROUNDUP(Y443/H443,0)*0.00902),"")</f>
        <v/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0</v>
      </c>
      <c r="BN443" s="64">
        <f t="shared" ref="BN443:BN448" si="59">IFERROR(Y443*I443/H443,"0")</f>
        <v>0</v>
      </c>
      <c r="BO443" s="64">
        <f t="shared" ref="BO443:BO448" si="60">IFERROR(1/J443*(X443/H443),"0")</f>
        <v>0</v>
      </c>
      <c r="BP443" s="64">
        <f t="shared" ref="BP443:BP448" si="61">IFERROR(1/J443*(Y443/H443),"0")</f>
        <v>0</v>
      </c>
    </row>
    <row r="444" spans="1:68" ht="27" hidden="1" customHeight="1" x14ac:dyDescent="0.25">
      <c r="A444" s="54" t="s">
        <v>701</v>
      </c>
      <c r="B444" s="54" t="s">
        <v>702</v>
      </c>
      <c r="C444" s="32">
        <v>4301031402</v>
      </c>
      <c r="D444" s="595">
        <v>4680115886124</v>
      </c>
      <c r="E444" s="596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8"/>
      <c r="R444" s="598"/>
      <c r="S444" s="598"/>
      <c r="T444" s="599"/>
      <c r="U444" s="35"/>
      <c r="V444" s="35"/>
      <c r="W444" s="36" t="s">
        <v>67</v>
      </c>
      <c r="X444" s="591">
        <v>0</v>
      </c>
      <c r="Y444" s="592">
        <f t="shared" si="57"/>
        <v>0</v>
      </c>
      <c r="Z444" s="37" t="str">
        <f>IFERROR(IF(Y444=0,"",ROUNDUP(Y444/H444,0)*0.00902),"")</f>
        <v/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0</v>
      </c>
      <c r="BN444" s="64">
        <f t="shared" si="59"/>
        <v>0</v>
      </c>
      <c r="BO444" s="64">
        <f t="shared" si="60"/>
        <v>0</v>
      </c>
      <c r="BP444" s="64">
        <f t="shared" si="61"/>
        <v>0</v>
      </c>
    </row>
    <row r="445" spans="1:68" ht="27" hidden="1" customHeight="1" x14ac:dyDescent="0.25">
      <c r="A445" s="54" t="s">
        <v>704</v>
      </c>
      <c r="B445" s="54" t="s">
        <v>705</v>
      </c>
      <c r="C445" s="32">
        <v>4301031362</v>
      </c>
      <c r="D445" s="595">
        <v>4607091384338</v>
      </c>
      <c r="E445" s="596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6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8"/>
      <c r="R445" s="598"/>
      <c r="S445" s="598"/>
      <c r="T445" s="599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hidden="1" customHeight="1" x14ac:dyDescent="0.25">
      <c r="A446" s="54" t="s">
        <v>706</v>
      </c>
      <c r="B446" s="54" t="s">
        <v>707</v>
      </c>
      <c r="C446" s="32">
        <v>4301031364</v>
      </c>
      <c r="D446" s="595">
        <v>4680115883161</v>
      </c>
      <c r="E446" s="596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8"/>
      <c r="R446" s="598"/>
      <c r="S446" s="598"/>
      <c r="T446" s="599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hidden="1" customHeight="1" x14ac:dyDescent="0.25">
      <c r="A447" s="54" t="s">
        <v>709</v>
      </c>
      <c r="B447" s="54" t="s">
        <v>710</v>
      </c>
      <c r="C447" s="32">
        <v>4301031358</v>
      </c>
      <c r="D447" s="595">
        <v>4607091389531</v>
      </c>
      <c r="E447" s="596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9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8"/>
      <c r="R447" s="598"/>
      <c r="S447" s="598"/>
      <c r="T447" s="599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hidden="1" customHeight="1" x14ac:dyDescent="0.25">
      <c r="A448" s="54" t="s">
        <v>712</v>
      </c>
      <c r="B448" s="54" t="s">
        <v>713</v>
      </c>
      <c r="C448" s="32">
        <v>4301031360</v>
      </c>
      <c r="D448" s="595">
        <v>4607091384345</v>
      </c>
      <c r="E448" s="596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8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8"/>
      <c r="R448" s="598"/>
      <c r="S448" s="598"/>
      <c r="T448" s="599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idden="1" x14ac:dyDescent="0.2">
      <c r="A449" s="601"/>
      <c r="B449" s="602"/>
      <c r="C449" s="602"/>
      <c r="D449" s="602"/>
      <c r="E449" s="602"/>
      <c r="F449" s="602"/>
      <c r="G449" s="602"/>
      <c r="H449" s="602"/>
      <c r="I449" s="602"/>
      <c r="J449" s="602"/>
      <c r="K449" s="602"/>
      <c r="L449" s="602"/>
      <c r="M449" s="602"/>
      <c r="N449" s="602"/>
      <c r="O449" s="603"/>
      <c r="P449" s="611" t="s">
        <v>72</v>
      </c>
      <c r="Q449" s="612"/>
      <c r="R449" s="612"/>
      <c r="S449" s="612"/>
      <c r="T449" s="612"/>
      <c r="U449" s="612"/>
      <c r="V449" s="613"/>
      <c r="W449" s="38" t="s">
        <v>73</v>
      </c>
      <c r="X449" s="593">
        <f>IFERROR(X443/H443,"0")+IFERROR(X444/H444,"0")+IFERROR(X445/H445,"0")+IFERROR(X446/H446,"0")+IFERROR(X447/H447,"0")+IFERROR(X448/H448,"0")</f>
        <v>0</v>
      </c>
      <c r="Y449" s="593">
        <f>IFERROR(Y443/H443,"0")+IFERROR(Y444/H444,"0")+IFERROR(Y445/H445,"0")+IFERROR(Y446/H446,"0")+IFERROR(Y447/H447,"0")+IFERROR(Y448/H448,"0")</f>
        <v>0</v>
      </c>
      <c r="Z449" s="593">
        <f>IFERROR(IF(Z443="",0,Z443),"0")+IFERROR(IF(Z444="",0,Z444),"0")+IFERROR(IF(Z445="",0,Z445),"0")+IFERROR(IF(Z446="",0,Z446),"0")+IFERROR(IF(Z447="",0,Z447),"0")+IFERROR(IF(Z448="",0,Z448),"0")</f>
        <v>0</v>
      </c>
      <c r="AA449" s="594"/>
      <c r="AB449" s="594"/>
      <c r="AC449" s="594"/>
    </row>
    <row r="450" spans="1:68" hidden="1" x14ac:dyDescent="0.2">
      <c r="A450" s="602"/>
      <c r="B450" s="602"/>
      <c r="C450" s="602"/>
      <c r="D450" s="602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3"/>
      <c r="P450" s="611" t="s">
        <v>72</v>
      </c>
      <c r="Q450" s="612"/>
      <c r="R450" s="612"/>
      <c r="S450" s="612"/>
      <c r="T450" s="612"/>
      <c r="U450" s="612"/>
      <c r="V450" s="613"/>
      <c r="W450" s="38" t="s">
        <v>67</v>
      </c>
      <c r="X450" s="593">
        <f>IFERROR(SUM(X443:X448),"0")</f>
        <v>0</v>
      </c>
      <c r="Y450" s="593">
        <f>IFERROR(SUM(Y443:Y448),"0")</f>
        <v>0</v>
      </c>
      <c r="Z450" s="38"/>
      <c r="AA450" s="594"/>
      <c r="AB450" s="594"/>
      <c r="AC450" s="594"/>
    </row>
    <row r="451" spans="1:68" ht="14.25" hidden="1" customHeight="1" x14ac:dyDescent="0.25">
      <c r="A451" s="606" t="s">
        <v>74</v>
      </c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587"/>
      <c r="AB451" s="587"/>
      <c r="AC451" s="587"/>
    </row>
    <row r="452" spans="1:68" ht="27" hidden="1" customHeight="1" x14ac:dyDescent="0.25">
      <c r="A452" s="54" t="s">
        <v>714</v>
      </c>
      <c r="B452" s="54" t="s">
        <v>715</v>
      </c>
      <c r="C452" s="32">
        <v>4301051284</v>
      </c>
      <c r="D452" s="595">
        <v>4607091384352</v>
      </c>
      <c r="E452" s="596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6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8"/>
      <c r="R452" s="598"/>
      <c r="S452" s="598"/>
      <c r="T452" s="599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717</v>
      </c>
      <c r="B453" s="54" t="s">
        <v>718</v>
      </c>
      <c r="C453" s="32">
        <v>4301051431</v>
      </c>
      <c r="D453" s="595">
        <v>4607091389654</v>
      </c>
      <c r="E453" s="596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8"/>
      <c r="R453" s="598"/>
      <c r="S453" s="598"/>
      <c r="T453" s="599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01"/>
      <c r="B454" s="602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3"/>
      <c r="P454" s="611" t="s">
        <v>72</v>
      </c>
      <c r="Q454" s="612"/>
      <c r="R454" s="612"/>
      <c r="S454" s="612"/>
      <c r="T454" s="612"/>
      <c r="U454" s="612"/>
      <c r="V454" s="613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hidden="1" x14ac:dyDescent="0.2">
      <c r="A455" s="602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3"/>
      <c r="P455" s="611" t="s">
        <v>72</v>
      </c>
      <c r="Q455" s="612"/>
      <c r="R455" s="612"/>
      <c r="S455" s="612"/>
      <c r="T455" s="612"/>
      <c r="U455" s="612"/>
      <c r="V455" s="613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hidden="1" customHeight="1" x14ac:dyDescent="0.25">
      <c r="A456" s="607" t="s">
        <v>720</v>
      </c>
      <c r="B456" s="602"/>
      <c r="C456" s="602"/>
      <c r="D456" s="602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  <c r="S456" s="602"/>
      <c r="T456" s="602"/>
      <c r="U456" s="602"/>
      <c r="V456" s="602"/>
      <c r="W456" s="602"/>
      <c r="X456" s="602"/>
      <c r="Y456" s="602"/>
      <c r="Z456" s="602"/>
      <c r="AA456" s="586"/>
      <c r="AB456" s="586"/>
      <c r="AC456" s="586"/>
    </row>
    <row r="457" spans="1:68" ht="14.25" hidden="1" customHeight="1" x14ac:dyDescent="0.25">
      <c r="A457" s="606" t="s">
        <v>152</v>
      </c>
      <c r="B457" s="602"/>
      <c r="C457" s="602"/>
      <c r="D457" s="602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  <c r="S457" s="602"/>
      <c r="T457" s="602"/>
      <c r="U457" s="602"/>
      <c r="V457" s="602"/>
      <c r="W457" s="602"/>
      <c r="X457" s="602"/>
      <c r="Y457" s="602"/>
      <c r="Z457" s="602"/>
      <c r="AA457" s="587"/>
      <c r="AB457" s="587"/>
      <c r="AC457" s="587"/>
    </row>
    <row r="458" spans="1:68" ht="27" hidden="1" customHeight="1" x14ac:dyDescent="0.25">
      <c r="A458" s="54" t="s">
        <v>721</v>
      </c>
      <c r="B458" s="54" t="s">
        <v>722</v>
      </c>
      <c r="C458" s="32">
        <v>4301020416</v>
      </c>
      <c r="D458" s="595">
        <v>4680115885240</v>
      </c>
      <c r="E458" s="596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8"/>
      <c r="R458" s="598"/>
      <c r="S458" s="598"/>
      <c r="T458" s="599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01"/>
      <c r="B459" s="602"/>
      <c r="C459" s="602"/>
      <c r="D459" s="602"/>
      <c r="E459" s="602"/>
      <c r="F459" s="602"/>
      <c r="G459" s="602"/>
      <c r="H459" s="602"/>
      <c r="I459" s="602"/>
      <c r="J459" s="602"/>
      <c r="K459" s="602"/>
      <c r="L459" s="602"/>
      <c r="M459" s="602"/>
      <c r="N459" s="602"/>
      <c r="O459" s="603"/>
      <c r="P459" s="611" t="s">
        <v>72</v>
      </c>
      <c r="Q459" s="612"/>
      <c r="R459" s="612"/>
      <c r="S459" s="612"/>
      <c r="T459" s="612"/>
      <c r="U459" s="612"/>
      <c r="V459" s="613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hidden="1" x14ac:dyDescent="0.2">
      <c r="A460" s="602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3"/>
      <c r="P460" s="611" t="s">
        <v>72</v>
      </c>
      <c r="Q460" s="612"/>
      <c r="R460" s="612"/>
      <c r="S460" s="612"/>
      <c r="T460" s="612"/>
      <c r="U460" s="612"/>
      <c r="V460" s="613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hidden="1" customHeight="1" x14ac:dyDescent="0.25">
      <c r="A461" s="606" t="s">
        <v>62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587"/>
      <c r="AB461" s="587"/>
      <c r="AC461" s="587"/>
    </row>
    <row r="462" spans="1:68" ht="27" hidden="1" customHeight="1" x14ac:dyDescent="0.25">
      <c r="A462" s="54" t="s">
        <v>724</v>
      </c>
      <c r="B462" s="54" t="s">
        <v>725</v>
      </c>
      <c r="C462" s="32">
        <v>4301031407</v>
      </c>
      <c r="D462" s="595">
        <v>4680115886094</v>
      </c>
      <c r="E462" s="596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8"/>
      <c r="R462" s="598"/>
      <c r="S462" s="598"/>
      <c r="T462" s="599"/>
      <c r="U462" s="35"/>
      <c r="V462" s="35"/>
      <c r="W462" s="36" t="s">
        <v>67</v>
      </c>
      <c r="X462" s="591">
        <v>0</v>
      </c>
      <c r="Y462" s="592">
        <f>IFERROR(IF(X462="",0,CEILING((X462/$H462),1)*$H462),"")</f>
        <v>0</v>
      </c>
      <c r="Z462" s="37" t="str">
        <f>IFERROR(IF(Y462=0,"",ROUNDUP(Y462/H462,0)*0.00902),"")</f>
        <v/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727</v>
      </c>
      <c r="B463" s="54" t="s">
        <v>728</v>
      </c>
      <c r="C463" s="32">
        <v>4301031373</v>
      </c>
      <c r="D463" s="595">
        <v>4680115880771</v>
      </c>
      <c r="E463" s="596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8"/>
      <c r="R463" s="598"/>
      <c r="S463" s="598"/>
      <c r="T463" s="599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730</v>
      </c>
      <c r="B464" s="54" t="s">
        <v>731</v>
      </c>
      <c r="C464" s="32">
        <v>4301031359</v>
      </c>
      <c r="D464" s="595">
        <v>4607091389500</v>
      </c>
      <c r="E464" s="596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8"/>
      <c r="R464" s="598"/>
      <c r="S464" s="598"/>
      <c r="T464" s="599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01"/>
      <c r="B465" s="602"/>
      <c r="C465" s="602"/>
      <c r="D465" s="602"/>
      <c r="E465" s="602"/>
      <c r="F465" s="602"/>
      <c r="G465" s="602"/>
      <c r="H465" s="602"/>
      <c r="I465" s="602"/>
      <c r="J465" s="602"/>
      <c r="K465" s="602"/>
      <c r="L465" s="602"/>
      <c r="M465" s="602"/>
      <c r="N465" s="602"/>
      <c r="O465" s="603"/>
      <c r="P465" s="611" t="s">
        <v>72</v>
      </c>
      <c r="Q465" s="612"/>
      <c r="R465" s="612"/>
      <c r="S465" s="612"/>
      <c r="T465" s="612"/>
      <c r="U465" s="612"/>
      <c r="V465" s="613"/>
      <c r="W465" s="38" t="s">
        <v>73</v>
      </c>
      <c r="X465" s="593">
        <f>IFERROR(X462/H462,"0")+IFERROR(X463/H463,"0")+IFERROR(X464/H464,"0")</f>
        <v>0</v>
      </c>
      <c r="Y465" s="593">
        <f>IFERROR(Y462/H462,"0")+IFERROR(Y463/H463,"0")+IFERROR(Y464/H464,"0")</f>
        <v>0</v>
      </c>
      <c r="Z465" s="593">
        <f>IFERROR(IF(Z462="",0,Z462),"0")+IFERROR(IF(Z463="",0,Z463),"0")+IFERROR(IF(Z464="",0,Z464),"0")</f>
        <v>0</v>
      </c>
      <c r="AA465" s="594"/>
      <c r="AB465" s="594"/>
      <c r="AC465" s="594"/>
    </row>
    <row r="466" spans="1:68" hidden="1" x14ac:dyDescent="0.2">
      <c r="A466" s="602"/>
      <c r="B466" s="602"/>
      <c r="C466" s="602"/>
      <c r="D466" s="602"/>
      <c r="E466" s="602"/>
      <c r="F466" s="602"/>
      <c r="G466" s="602"/>
      <c r="H466" s="602"/>
      <c r="I466" s="602"/>
      <c r="J466" s="602"/>
      <c r="K466" s="602"/>
      <c r="L466" s="602"/>
      <c r="M466" s="602"/>
      <c r="N466" s="602"/>
      <c r="O466" s="603"/>
      <c r="P466" s="611" t="s">
        <v>72</v>
      </c>
      <c r="Q466" s="612"/>
      <c r="R466" s="612"/>
      <c r="S466" s="612"/>
      <c r="T466" s="612"/>
      <c r="U466" s="612"/>
      <c r="V466" s="613"/>
      <c r="W466" s="38" t="s">
        <v>67</v>
      </c>
      <c r="X466" s="593">
        <f>IFERROR(SUM(X462:X464),"0")</f>
        <v>0</v>
      </c>
      <c r="Y466" s="593">
        <f>IFERROR(SUM(Y462:Y464),"0")</f>
        <v>0</v>
      </c>
      <c r="Z466" s="38"/>
      <c r="AA466" s="594"/>
      <c r="AB466" s="594"/>
      <c r="AC466" s="594"/>
    </row>
    <row r="467" spans="1:68" ht="27.75" hidden="1" customHeight="1" x14ac:dyDescent="0.2">
      <c r="A467" s="759" t="s">
        <v>732</v>
      </c>
      <c r="B467" s="760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49"/>
      <c r="AB467" s="49"/>
      <c r="AC467" s="49"/>
    </row>
    <row r="468" spans="1:68" ht="16.5" hidden="1" customHeight="1" x14ac:dyDescent="0.25">
      <c r="A468" s="607" t="s">
        <v>732</v>
      </c>
      <c r="B468" s="602"/>
      <c r="C468" s="602"/>
      <c r="D468" s="602"/>
      <c r="E468" s="602"/>
      <c r="F468" s="602"/>
      <c r="G468" s="602"/>
      <c r="H468" s="602"/>
      <c r="I468" s="602"/>
      <c r="J468" s="602"/>
      <c r="K468" s="602"/>
      <c r="L468" s="602"/>
      <c r="M468" s="602"/>
      <c r="N468" s="602"/>
      <c r="O468" s="602"/>
      <c r="P468" s="602"/>
      <c r="Q468" s="602"/>
      <c r="R468" s="602"/>
      <c r="S468" s="602"/>
      <c r="T468" s="602"/>
      <c r="U468" s="602"/>
      <c r="V468" s="602"/>
      <c r="W468" s="602"/>
      <c r="X468" s="602"/>
      <c r="Y468" s="602"/>
      <c r="Z468" s="602"/>
      <c r="AA468" s="586"/>
      <c r="AB468" s="586"/>
      <c r="AC468" s="586"/>
    </row>
    <row r="469" spans="1:68" ht="14.25" hidden="1" customHeight="1" x14ac:dyDescent="0.25">
      <c r="A469" s="606" t="s">
        <v>117</v>
      </c>
      <c r="B469" s="602"/>
      <c r="C469" s="602"/>
      <c r="D469" s="602"/>
      <c r="E469" s="602"/>
      <c r="F469" s="602"/>
      <c r="G469" s="602"/>
      <c r="H469" s="602"/>
      <c r="I469" s="602"/>
      <c r="J469" s="602"/>
      <c r="K469" s="602"/>
      <c r="L469" s="602"/>
      <c r="M469" s="602"/>
      <c r="N469" s="602"/>
      <c r="O469" s="602"/>
      <c r="P469" s="602"/>
      <c r="Q469" s="602"/>
      <c r="R469" s="602"/>
      <c r="S469" s="602"/>
      <c r="T469" s="602"/>
      <c r="U469" s="602"/>
      <c r="V469" s="602"/>
      <c r="W469" s="602"/>
      <c r="X469" s="602"/>
      <c r="Y469" s="602"/>
      <c r="Z469" s="602"/>
      <c r="AA469" s="587"/>
      <c r="AB469" s="587"/>
      <c r="AC469" s="587"/>
    </row>
    <row r="470" spans="1:68" ht="27" customHeight="1" x14ac:dyDescent="0.25">
      <c r="A470" s="54" t="s">
        <v>733</v>
      </c>
      <c r="B470" s="54" t="s">
        <v>734</v>
      </c>
      <c r="C470" s="32">
        <v>4301011769</v>
      </c>
      <c r="D470" s="595">
        <v>4607091389067</v>
      </c>
      <c r="E470" s="596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8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8"/>
      <c r="R470" s="598"/>
      <c r="S470" s="598"/>
      <c r="T470" s="599"/>
      <c r="U470" s="35"/>
      <c r="V470" s="35"/>
      <c r="W470" s="36" t="s">
        <v>67</v>
      </c>
      <c r="X470" s="591">
        <v>180</v>
      </c>
      <c r="Y470" s="592">
        <f t="shared" ref="Y470:Y478" si="62">IFERROR(IF(X470="",0,CEILING((X470/$H470),1)*$H470),"")</f>
        <v>184.8</v>
      </c>
      <c r="Z470" s="37">
        <f t="shared" ref="Z470:Z475" si="63">IFERROR(IF(Y470=0,"",ROUNDUP(Y470/H470,0)*0.01196),"")</f>
        <v>0.41860000000000003</v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191.93181818181816</v>
      </c>
      <c r="BN470" s="64">
        <f t="shared" ref="BN470:BN478" si="65">IFERROR(Y470*I470/H470,"0")</f>
        <v>197.04999999999998</v>
      </c>
      <c r="BO470" s="64">
        <f t="shared" ref="BO470:BO478" si="66">IFERROR(1/J470*(X470/H470),"0")</f>
        <v>0.32779720279720276</v>
      </c>
      <c r="BP470" s="64">
        <f t="shared" ref="BP470:BP478" si="67">IFERROR(1/J470*(Y470/H470),"0")</f>
        <v>0.33653846153846156</v>
      </c>
    </row>
    <row r="471" spans="1:68" ht="27" hidden="1" customHeight="1" x14ac:dyDescent="0.25">
      <c r="A471" s="54" t="s">
        <v>735</v>
      </c>
      <c r="B471" s="54" t="s">
        <v>736</v>
      </c>
      <c r="C471" s="32">
        <v>4301012210</v>
      </c>
      <c r="D471" s="595">
        <v>4607091383522</v>
      </c>
      <c r="E471" s="596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8"/>
      <c r="R471" s="598"/>
      <c r="S471" s="598"/>
      <c r="T471" s="599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hidden="1" customHeight="1" x14ac:dyDescent="0.25">
      <c r="A472" s="54" t="s">
        <v>738</v>
      </c>
      <c r="B472" s="54" t="s">
        <v>739</v>
      </c>
      <c r="C472" s="32">
        <v>4301011961</v>
      </c>
      <c r="D472" s="595">
        <v>4680115885271</v>
      </c>
      <c r="E472" s="596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8"/>
      <c r="R472" s="598"/>
      <c r="S472" s="598"/>
      <c r="T472" s="599"/>
      <c r="U472" s="35"/>
      <c r="V472" s="35"/>
      <c r="W472" s="36" t="s">
        <v>67</v>
      </c>
      <c r="X472" s="591">
        <v>0</v>
      </c>
      <c r="Y472" s="592">
        <f t="shared" si="62"/>
        <v>0</v>
      </c>
      <c r="Z472" s="37" t="str">
        <f t="shared" si="63"/>
        <v/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0</v>
      </c>
      <c r="BN472" s="64">
        <f t="shared" si="65"/>
        <v>0</v>
      </c>
      <c r="BO472" s="64">
        <f t="shared" si="66"/>
        <v>0</v>
      </c>
      <c r="BP472" s="64">
        <f t="shared" si="67"/>
        <v>0</v>
      </c>
    </row>
    <row r="473" spans="1:68" ht="27" customHeight="1" x14ac:dyDescent="0.25">
      <c r="A473" s="54" t="s">
        <v>741</v>
      </c>
      <c r="B473" s="54" t="s">
        <v>742</v>
      </c>
      <c r="C473" s="32">
        <v>4301011369</v>
      </c>
      <c r="D473" s="595">
        <v>4680115885226</v>
      </c>
      <c r="E473" s="596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6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8"/>
      <c r="R473" s="598"/>
      <c r="S473" s="598"/>
      <c r="T473" s="599"/>
      <c r="U473" s="35"/>
      <c r="V473" s="35"/>
      <c r="W473" s="36" t="s">
        <v>67</v>
      </c>
      <c r="X473" s="591">
        <v>656</v>
      </c>
      <c r="Y473" s="592">
        <f t="shared" si="62"/>
        <v>660</v>
      </c>
      <c r="Z473" s="37">
        <f t="shared" si="63"/>
        <v>1.4950000000000001</v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699.48484848484838</v>
      </c>
      <c r="BN473" s="64">
        <f t="shared" si="65"/>
        <v>703.74999999999989</v>
      </c>
      <c r="BO473" s="64">
        <f t="shared" si="66"/>
        <v>1.1946386946386947</v>
      </c>
      <c r="BP473" s="64">
        <f t="shared" si="67"/>
        <v>1.2019230769230771</v>
      </c>
    </row>
    <row r="474" spans="1:68" ht="16.5" hidden="1" customHeight="1" x14ac:dyDescent="0.25">
      <c r="A474" s="54" t="s">
        <v>744</v>
      </c>
      <c r="B474" s="54" t="s">
        <v>745</v>
      </c>
      <c r="C474" s="32">
        <v>4301011797</v>
      </c>
      <c r="D474" s="595">
        <v>4680115884502</v>
      </c>
      <c r="E474" s="596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8"/>
      <c r="R474" s="598"/>
      <c r="S474" s="598"/>
      <c r="T474" s="599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747</v>
      </c>
      <c r="B475" s="54" t="s">
        <v>748</v>
      </c>
      <c r="C475" s="32">
        <v>4301011771</v>
      </c>
      <c r="D475" s="595">
        <v>4607091389104</v>
      </c>
      <c r="E475" s="596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8"/>
      <c r="R475" s="598"/>
      <c r="S475" s="598"/>
      <c r="T475" s="599"/>
      <c r="U475" s="35"/>
      <c r="V475" s="35"/>
      <c r="W475" s="36" t="s">
        <v>67</v>
      </c>
      <c r="X475" s="591">
        <v>1516</v>
      </c>
      <c r="Y475" s="592">
        <f t="shared" si="62"/>
        <v>1520.64</v>
      </c>
      <c r="Z475" s="37">
        <f t="shared" si="63"/>
        <v>3.44448</v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1616.4924242424242</v>
      </c>
      <c r="BN475" s="64">
        <f t="shared" si="65"/>
        <v>1621.4399999999998</v>
      </c>
      <c r="BO475" s="64">
        <f t="shared" si="66"/>
        <v>2.760780885780886</v>
      </c>
      <c r="BP475" s="64">
        <f t="shared" si="67"/>
        <v>2.7692307692307692</v>
      </c>
    </row>
    <row r="476" spans="1:68" ht="27" hidden="1" customHeight="1" x14ac:dyDescent="0.25">
      <c r="A476" s="54" t="s">
        <v>750</v>
      </c>
      <c r="B476" s="54" t="s">
        <v>751</v>
      </c>
      <c r="C476" s="32">
        <v>4301012125</v>
      </c>
      <c r="D476" s="595">
        <v>4680115886391</v>
      </c>
      <c r="E476" s="596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6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8"/>
      <c r="R476" s="598"/>
      <c r="S476" s="598"/>
      <c r="T476" s="599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customHeight="1" x14ac:dyDescent="0.25">
      <c r="A477" s="54" t="s">
        <v>752</v>
      </c>
      <c r="B477" s="54" t="s">
        <v>753</v>
      </c>
      <c r="C477" s="32">
        <v>4301012048</v>
      </c>
      <c r="D477" s="595">
        <v>4680115880603</v>
      </c>
      <c r="E477" s="596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8"/>
      <c r="R477" s="598"/>
      <c r="S477" s="598"/>
      <c r="T477" s="599"/>
      <c r="U477" s="35"/>
      <c r="V477" s="35"/>
      <c r="W477" s="36" t="s">
        <v>67</v>
      </c>
      <c r="X477" s="591">
        <v>56</v>
      </c>
      <c r="Y477" s="592">
        <f t="shared" si="62"/>
        <v>57.599999999999994</v>
      </c>
      <c r="Z477" s="37">
        <f>IFERROR(IF(Y477=0,"",ROUNDUP(Y477/H477,0)*0.00902),"")</f>
        <v>0.10824</v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80.616666666666674</v>
      </c>
      <c r="BN477" s="64">
        <f t="shared" si="65"/>
        <v>82.92</v>
      </c>
      <c r="BO477" s="64">
        <f t="shared" si="66"/>
        <v>8.8383838383838398E-2</v>
      </c>
      <c r="BP477" s="64">
        <f t="shared" si="67"/>
        <v>9.0909090909090912E-2</v>
      </c>
    </row>
    <row r="478" spans="1:68" ht="27" customHeight="1" x14ac:dyDescent="0.25">
      <c r="A478" s="54" t="s">
        <v>754</v>
      </c>
      <c r="B478" s="54" t="s">
        <v>755</v>
      </c>
      <c r="C478" s="32">
        <v>4301012034</v>
      </c>
      <c r="D478" s="595">
        <v>4607091389982</v>
      </c>
      <c r="E478" s="596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8"/>
      <c r="R478" s="598"/>
      <c r="S478" s="598"/>
      <c r="T478" s="599"/>
      <c r="U478" s="35"/>
      <c r="V478" s="35"/>
      <c r="W478" s="36" t="s">
        <v>67</v>
      </c>
      <c r="X478" s="591">
        <v>158</v>
      </c>
      <c r="Y478" s="592">
        <f t="shared" si="62"/>
        <v>158.4</v>
      </c>
      <c r="Z478" s="37">
        <f>IFERROR(IF(Y478=0,"",ROUNDUP(Y478/H478,0)*0.00902),"")</f>
        <v>0.29766000000000004</v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227.45416666666668</v>
      </c>
      <c r="BN478" s="64">
        <f t="shared" si="65"/>
        <v>228.03000000000003</v>
      </c>
      <c r="BO478" s="64">
        <f t="shared" si="66"/>
        <v>0.24936868686868691</v>
      </c>
      <c r="BP478" s="64">
        <f t="shared" si="67"/>
        <v>0.25</v>
      </c>
    </row>
    <row r="479" spans="1:68" x14ac:dyDescent="0.2">
      <c r="A479" s="601"/>
      <c r="B479" s="602"/>
      <c r="C479" s="602"/>
      <c r="D479" s="602"/>
      <c r="E479" s="602"/>
      <c r="F479" s="602"/>
      <c r="G479" s="602"/>
      <c r="H479" s="602"/>
      <c r="I479" s="602"/>
      <c r="J479" s="602"/>
      <c r="K479" s="602"/>
      <c r="L479" s="602"/>
      <c r="M479" s="602"/>
      <c r="N479" s="602"/>
      <c r="O479" s="603"/>
      <c r="P479" s="611" t="s">
        <v>72</v>
      </c>
      <c r="Q479" s="612"/>
      <c r="R479" s="612"/>
      <c r="S479" s="612"/>
      <c r="T479" s="612"/>
      <c r="U479" s="612"/>
      <c r="V479" s="613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490.03787878787881</v>
      </c>
      <c r="Y479" s="593">
        <f>IFERROR(Y470/H470,"0")+IFERROR(Y471/H471,"0")+IFERROR(Y472/H472,"0")+IFERROR(Y473/H473,"0")+IFERROR(Y474/H474,"0")+IFERROR(Y475/H475,"0")+IFERROR(Y476/H476,"0")+IFERROR(Y477/H477,"0")+IFERROR(Y478/H478,"0")</f>
        <v>493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5.7639800000000001</v>
      </c>
      <c r="AA479" s="594"/>
      <c r="AB479" s="594"/>
      <c r="AC479" s="594"/>
    </row>
    <row r="480" spans="1:68" x14ac:dyDescent="0.2">
      <c r="A480" s="602"/>
      <c r="B480" s="602"/>
      <c r="C480" s="602"/>
      <c r="D480" s="602"/>
      <c r="E480" s="602"/>
      <c r="F480" s="602"/>
      <c r="G480" s="602"/>
      <c r="H480" s="602"/>
      <c r="I480" s="602"/>
      <c r="J480" s="602"/>
      <c r="K480" s="602"/>
      <c r="L480" s="602"/>
      <c r="M480" s="602"/>
      <c r="N480" s="602"/>
      <c r="O480" s="603"/>
      <c r="P480" s="611" t="s">
        <v>72</v>
      </c>
      <c r="Q480" s="612"/>
      <c r="R480" s="612"/>
      <c r="S480" s="612"/>
      <c r="T480" s="612"/>
      <c r="U480" s="612"/>
      <c r="V480" s="613"/>
      <c r="W480" s="38" t="s">
        <v>67</v>
      </c>
      <c r="X480" s="593">
        <f>IFERROR(SUM(X470:X478),"0")</f>
        <v>2566</v>
      </c>
      <c r="Y480" s="593">
        <f>IFERROR(SUM(Y470:Y478),"0")</f>
        <v>2581.44</v>
      </c>
      <c r="Z480" s="38"/>
      <c r="AA480" s="594"/>
      <c r="AB480" s="594"/>
      <c r="AC480" s="594"/>
    </row>
    <row r="481" spans="1:68" ht="14.25" hidden="1" customHeight="1" x14ac:dyDescent="0.25">
      <c r="A481" s="606" t="s">
        <v>152</v>
      </c>
      <c r="B481" s="602"/>
      <c r="C481" s="602"/>
      <c r="D481" s="602"/>
      <c r="E481" s="602"/>
      <c r="F481" s="602"/>
      <c r="G481" s="602"/>
      <c r="H481" s="602"/>
      <c r="I481" s="602"/>
      <c r="J481" s="602"/>
      <c r="K481" s="602"/>
      <c r="L481" s="602"/>
      <c r="M481" s="602"/>
      <c r="N481" s="602"/>
      <c r="O481" s="602"/>
      <c r="P481" s="602"/>
      <c r="Q481" s="602"/>
      <c r="R481" s="602"/>
      <c r="S481" s="602"/>
      <c r="T481" s="602"/>
      <c r="U481" s="602"/>
      <c r="V481" s="602"/>
      <c r="W481" s="602"/>
      <c r="X481" s="602"/>
      <c r="Y481" s="602"/>
      <c r="Z481" s="602"/>
      <c r="AA481" s="587"/>
      <c r="AB481" s="587"/>
      <c r="AC481" s="587"/>
    </row>
    <row r="482" spans="1:68" ht="16.5" customHeight="1" x14ac:dyDescent="0.25">
      <c r="A482" s="54" t="s">
        <v>756</v>
      </c>
      <c r="B482" s="54" t="s">
        <v>757</v>
      </c>
      <c r="C482" s="32">
        <v>4301020334</v>
      </c>
      <c r="D482" s="595">
        <v>4607091388930</v>
      </c>
      <c r="E482" s="596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6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8"/>
      <c r="R482" s="598"/>
      <c r="S482" s="598"/>
      <c r="T482" s="599"/>
      <c r="U482" s="35"/>
      <c r="V482" s="35"/>
      <c r="W482" s="36" t="s">
        <v>67</v>
      </c>
      <c r="X482" s="591">
        <v>659</v>
      </c>
      <c r="Y482" s="592">
        <f>IFERROR(IF(X482="",0,CEILING((X482/$H482),1)*$H482),"")</f>
        <v>660</v>
      </c>
      <c r="Z482" s="37">
        <f>IFERROR(IF(Y482=0,"",ROUNDUP(Y482/H482,0)*0.01196),"")</f>
        <v>1.4950000000000001</v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702.68371212121212</v>
      </c>
      <c r="BN482" s="64">
        <f>IFERROR(Y482*I482/H482,"0")</f>
        <v>703.74999999999989</v>
      </c>
      <c r="BO482" s="64">
        <f>IFERROR(1/J482*(X482/H482),"0")</f>
        <v>1.2001019813519813</v>
      </c>
      <c r="BP482" s="64">
        <f>IFERROR(1/J482*(Y482/H482),"0")</f>
        <v>1.2019230769230771</v>
      </c>
    </row>
    <row r="483" spans="1:68" ht="16.5" hidden="1" customHeight="1" x14ac:dyDescent="0.25">
      <c r="A483" s="54" t="s">
        <v>759</v>
      </c>
      <c r="B483" s="54" t="s">
        <v>760</v>
      </c>
      <c r="C483" s="32">
        <v>4301020374</v>
      </c>
      <c r="D483" s="595">
        <v>4680115886407</v>
      </c>
      <c r="E483" s="596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8"/>
      <c r="R483" s="598"/>
      <c r="S483" s="598"/>
      <c r="T483" s="599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customHeight="1" x14ac:dyDescent="0.25">
      <c r="A484" s="54" t="s">
        <v>761</v>
      </c>
      <c r="B484" s="54" t="s">
        <v>762</v>
      </c>
      <c r="C484" s="32">
        <v>4301020385</v>
      </c>
      <c r="D484" s="595">
        <v>4680115880054</v>
      </c>
      <c r="E484" s="596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92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8"/>
      <c r="R484" s="598"/>
      <c r="S484" s="598"/>
      <c r="T484" s="599"/>
      <c r="U484" s="35"/>
      <c r="V484" s="35"/>
      <c r="W484" s="36" t="s">
        <v>67</v>
      </c>
      <c r="X484" s="591">
        <v>74</v>
      </c>
      <c r="Y484" s="592">
        <f>IFERROR(IF(X484="",0,CEILING((X484/$H484),1)*$H484),"")</f>
        <v>76.8</v>
      </c>
      <c r="Z484" s="37">
        <f>IFERROR(IF(Y484=0,"",ROUNDUP(Y484/H484,0)*0.00902),"")</f>
        <v>0.14432</v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106.52916666666668</v>
      </c>
      <c r="BN484" s="64">
        <f>IFERROR(Y484*I484/H484,"0")</f>
        <v>110.56</v>
      </c>
      <c r="BO484" s="64">
        <f>IFERROR(1/J484*(X484/H484),"0")</f>
        <v>0.11679292929292931</v>
      </c>
      <c r="BP484" s="64">
        <f>IFERROR(1/J484*(Y484/H484),"0")</f>
        <v>0.12121212121212122</v>
      </c>
    </row>
    <row r="485" spans="1:68" x14ac:dyDescent="0.2">
      <c r="A485" s="601"/>
      <c r="B485" s="602"/>
      <c r="C485" s="602"/>
      <c r="D485" s="602"/>
      <c r="E485" s="602"/>
      <c r="F485" s="602"/>
      <c r="G485" s="602"/>
      <c r="H485" s="602"/>
      <c r="I485" s="602"/>
      <c r="J485" s="602"/>
      <c r="K485" s="602"/>
      <c r="L485" s="602"/>
      <c r="M485" s="602"/>
      <c r="N485" s="602"/>
      <c r="O485" s="603"/>
      <c r="P485" s="611" t="s">
        <v>72</v>
      </c>
      <c r="Q485" s="612"/>
      <c r="R485" s="612"/>
      <c r="S485" s="612"/>
      <c r="T485" s="612"/>
      <c r="U485" s="612"/>
      <c r="V485" s="613"/>
      <c r="W485" s="38" t="s">
        <v>73</v>
      </c>
      <c r="X485" s="593">
        <f>IFERROR(X482/H482,"0")+IFERROR(X483/H483,"0")+IFERROR(X484/H484,"0")</f>
        <v>140.22727272727272</v>
      </c>
      <c r="Y485" s="593">
        <f>IFERROR(Y482/H482,"0")+IFERROR(Y483/H483,"0")+IFERROR(Y484/H484,"0")</f>
        <v>141</v>
      </c>
      <c r="Z485" s="593">
        <f>IFERROR(IF(Z482="",0,Z482),"0")+IFERROR(IF(Z483="",0,Z483),"0")+IFERROR(IF(Z484="",0,Z484),"0")</f>
        <v>1.6393200000000001</v>
      </c>
      <c r="AA485" s="594"/>
      <c r="AB485" s="594"/>
      <c r="AC485" s="594"/>
    </row>
    <row r="486" spans="1:68" x14ac:dyDescent="0.2">
      <c r="A486" s="602"/>
      <c r="B486" s="602"/>
      <c r="C486" s="602"/>
      <c r="D486" s="602"/>
      <c r="E486" s="602"/>
      <c r="F486" s="602"/>
      <c r="G486" s="602"/>
      <c r="H486" s="602"/>
      <c r="I486" s="602"/>
      <c r="J486" s="602"/>
      <c r="K486" s="602"/>
      <c r="L486" s="602"/>
      <c r="M486" s="602"/>
      <c r="N486" s="602"/>
      <c r="O486" s="603"/>
      <c r="P486" s="611" t="s">
        <v>72</v>
      </c>
      <c r="Q486" s="612"/>
      <c r="R486" s="612"/>
      <c r="S486" s="612"/>
      <c r="T486" s="612"/>
      <c r="U486" s="612"/>
      <c r="V486" s="613"/>
      <c r="W486" s="38" t="s">
        <v>67</v>
      </c>
      <c r="X486" s="593">
        <f>IFERROR(SUM(X482:X484),"0")</f>
        <v>733</v>
      </c>
      <c r="Y486" s="593">
        <f>IFERROR(SUM(Y482:Y484),"0")</f>
        <v>736.8</v>
      </c>
      <c r="Z486" s="38"/>
      <c r="AA486" s="594"/>
      <c r="AB486" s="594"/>
      <c r="AC486" s="594"/>
    </row>
    <row r="487" spans="1:68" ht="14.25" hidden="1" customHeight="1" x14ac:dyDescent="0.25">
      <c r="A487" s="606" t="s">
        <v>62</v>
      </c>
      <c r="B487" s="602"/>
      <c r="C487" s="602"/>
      <c r="D487" s="602"/>
      <c r="E487" s="602"/>
      <c r="F487" s="602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02"/>
      <c r="S487" s="602"/>
      <c r="T487" s="602"/>
      <c r="U487" s="602"/>
      <c r="V487" s="602"/>
      <c r="W487" s="602"/>
      <c r="X487" s="602"/>
      <c r="Y487" s="602"/>
      <c r="Z487" s="602"/>
      <c r="AA487" s="587"/>
      <c r="AB487" s="587"/>
      <c r="AC487" s="587"/>
    </row>
    <row r="488" spans="1:68" ht="27" customHeight="1" x14ac:dyDescent="0.25">
      <c r="A488" s="54" t="s">
        <v>763</v>
      </c>
      <c r="B488" s="54" t="s">
        <v>764</v>
      </c>
      <c r="C488" s="32">
        <v>4301031349</v>
      </c>
      <c r="D488" s="595">
        <v>4680115883116</v>
      </c>
      <c r="E488" s="596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86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8"/>
      <c r="R488" s="598"/>
      <c r="S488" s="598"/>
      <c r="T488" s="599"/>
      <c r="U488" s="35"/>
      <c r="V488" s="35"/>
      <c r="W488" s="36" t="s">
        <v>67</v>
      </c>
      <c r="X488" s="591">
        <v>236</v>
      </c>
      <c r="Y488" s="592">
        <f t="shared" ref="Y488:Y494" si="68">IFERROR(IF(X488="",0,CEILING((X488/$H488),1)*$H488),"")</f>
        <v>237.60000000000002</v>
      </c>
      <c r="Z488" s="37">
        <f>IFERROR(IF(Y488=0,"",ROUNDUP(Y488/H488,0)*0.01196),"")</f>
        <v>0.53820000000000001</v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251.64393939393941</v>
      </c>
      <c r="BN488" s="64">
        <f t="shared" ref="BN488:BN494" si="70">IFERROR(Y488*I488/H488,"0")</f>
        <v>253.35</v>
      </c>
      <c r="BO488" s="64">
        <f t="shared" ref="BO488:BO494" si="71">IFERROR(1/J488*(X488/H488),"0")</f>
        <v>0.42977855477855481</v>
      </c>
      <c r="BP488" s="64">
        <f t="shared" ref="BP488:BP494" si="72">IFERROR(1/J488*(Y488/H488),"0")</f>
        <v>0.43269230769230771</v>
      </c>
    </row>
    <row r="489" spans="1:68" ht="27" customHeight="1" x14ac:dyDescent="0.25">
      <c r="A489" s="54" t="s">
        <v>766</v>
      </c>
      <c r="B489" s="54" t="s">
        <v>767</v>
      </c>
      <c r="C489" s="32">
        <v>4301031350</v>
      </c>
      <c r="D489" s="595">
        <v>4680115883093</v>
      </c>
      <c r="E489" s="596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7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8"/>
      <c r="R489" s="598"/>
      <c r="S489" s="598"/>
      <c r="T489" s="599"/>
      <c r="U489" s="35"/>
      <c r="V489" s="35"/>
      <c r="W489" s="36" t="s">
        <v>67</v>
      </c>
      <c r="X489" s="591">
        <v>624</v>
      </c>
      <c r="Y489" s="592">
        <f t="shared" si="68"/>
        <v>628.32000000000005</v>
      </c>
      <c r="Z489" s="37">
        <f>IFERROR(IF(Y489=0,"",ROUNDUP(Y489/H489,0)*0.01196),"")</f>
        <v>1.4232400000000001</v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665.36363636363626</v>
      </c>
      <c r="BN489" s="64">
        <f t="shared" si="70"/>
        <v>669.97</v>
      </c>
      <c r="BO489" s="64">
        <f t="shared" si="71"/>
        <v>1.1363636363636362</v>
      </c>
      <c r="BP489" s="64">
        <f t="shared" si="72"/>
        <v>1.1442307692307694</v>
      </c>
    </row>
    <row r="490" spans="1:68" ht="27" customHeight="1" x14ac:dyDescent="0.25">
      <c r="A490" s="54" t="s">
        <v>769</v>
      </c>
      <c r="B490" s="54" t="s">
        <v>770</v>
      </c>
      <c r="C490" s="32">
        <v>4301031353</v>
      </c>
      <c r="D490" s="595">
        <v>4680115883109</v>
      </c>
      <c r="E490" s="596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8"/>
      <c r="R490" s="598"/>
      <c r="S490" s="598"/>
      <c r="T490" s="599"/>
      <c r="U490" s="35"/>
      <c r="V490" s="35"/>
      <c r="W490" s="36" t="s">
        <v>67</v>
      </c>
      <c r="X490" s="591">
        <v>146</v>
      </c>
      <c r="Y490" s="592">
        <f t="shared" si="68"/>
        <v>147.84</v>
      </c>
      <c r="Z490" s="37">
        <f>IFERROR(IF(Y490=0,"",ROUNDUP(Y490/H490,0)*0.01196),"")</f>
        <v>0.33488000000000001</v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155.67803030303031</v>
      </c>
      <c r="BN490" s="64">
        <f t="shared" si="70"/>
        <v>157.63999999999999</v>
      </c>
      <c r="BO490" s="64">
        <f t="shared" si="71"/>
        <v>0.26587995337995335</v>
      </c>
      <c r="BP490" s="64">
        <f t="shared" si="72"/>
        <v>0.26923076923076927</v>
      </c>
    </row>
    <row r="491" spans="1:68" ht="27" hidden="1" customHeight="1" x14ac:dyDescent="0.25">
      <c r="A491" s="54" t="s">
        <v>772</v>
      </c>
      <c r="B491" s="54" t="s">
        <v>773</v>
      </c>
      <c r="C491" s="32">
        <v>4301031419</v>
      </c>
      <c r="D491" s="595">
        <v>4680115882072</v>
      </c>
      <c r="E491" s="596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8"/>
      <c r="R491" s="598"/>
      <c r="S491" s="598"/>
      <c r="T491" s="599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774</v>
      </c>
      <c r="B492" s="54" t="s">
        <v>775</v>
      </c>
      <c r="C492" s="32">
        <v>4301031352</v>
      </c>
      <c r="D492" s="595">
        <v>4680115882102</v>
      </c>
      <c r="E492" s="596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72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8"/>
      <c r="R492" s="598"/>
      <c r="S492" s="598"/>
      <c r="T492" s="599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774</v>
      </c>
      <c r="B493" s="54" t="s">
        <v>776</v>
      </c>
      <c r="C493" s="32">
        <v>4301031418</v>
      </c>
      <c r="D493" s="595">
        <v>4680115882102</v>
      </c>
      <c r="E493" s="596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7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8"/>
      <c r="R493" s="598"/>
      <c r="S493" s="598"/>
      <c r="T493" s="599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777</v>
      </c>
      <c r="B494" s="54" t="s">
        <v>778</v>
      </c>
      <c r="C494" s="32">
        <v>4301031417</v>
      </c>
      <c r="D494" s="595">
        <v>4680115882096</v>
      </c>
      <c r="E494" s="596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7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8"/>
      <c r="R494" s="598"/>
      <c r="S494" s="598"/>
      <c r="T494" s="599"/>
      <c r="U494" s="35"/>
      <c r="V494" s="35"/>
      <c r="W494" s="36" t="s">
        <v>67</v>
      </c>
      <c r="X494" s="591">
        <v>0</v>
      </c>
      <c r="Y494" s="592">
        <f t="shared" si="68"/>
        <v>0</v>
      </c>
      <c r="Z494" s="37" t="str">
        <f>IFERROR(IF(Y494=0,"",ROUNDUP(Y494/H494,0)*0.00902),"")</f>
        <v/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x14ac:dyDescent="0.2">
      <c r="A495" s="601"/>
      <c r="B495" s="602"/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3"/>
      <c r="P495" s="611" t="s">
        <v>72</v>
      </c>
      <c r="Q495" s="612"/>
      <c r="R495" s="612"/>
      <c r="S495" s="612"/>
      <c r="T495" s="612"/>
      <c r="U495" s="612"/>
      <c r="V495" s="613"/>
      <c r="W495" s="38" t="s">
        <v>73</v>
      </c>
      <c r="X495" s="593">
        <f>IFERROR(X488/H488,"0")+IFERROR(X489/H489,"0")+IFERROR(X490/H490,"0")+IFERROR(X491/H491,"0")+IFERROR(X492/H492,"0")+IFERROR(X493/H493,"0")+IFERROR(X494/H494,"0")</f>
        <v>190.53030303030303</v>
      </c>
      <c r="Y495" s="593">
        <f>IFERROR(Y488/H488,"0")+IFERROR(Y489/H489,"0")+IFERROR(Y490/H490,"0")+IFERROR(Y491/H491,"0")+IFERROR(Y492/H492,"0")+IFERROR(Y493/H493,"0")+IFERROR(Y494/H494,"0")</f>
        <v>192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2.2963200000000001</v>
      </c>
      <c r="AA495" s="594"/>
      <c r="AB495" s="594"/>
      <c r="AC495" s="594"/>
    </row>
    <row r="496" spans="1:68" x14ac:dyDescent="0.2">
      <c r="A496" s="602"/>
      <c r="B496" s="602"/>
      <c r="C496" s="602"/>
      <c r="D496" s="602"/>
      <c r="E496" s="602"/>
      <c r="F496" s="602"/>
      <c r="G496" s="602"/>
      <c r="H496" s="602"/>
      <c r="I496" s="602"/>
      <c r="J496" s="602"/>
      <c r="K496" s="602"/>
      <c r="L496" s="602"/>
      <c r="M496" s="602"/>
      <c r="N496" s="602"/>
      <c r="O496" s="603"/>
      <c r="P496" s="611" t="s">
        <v>72</v>
      </c>
      <c r="Q496" s="612"/>
      <c r="R496" s="612"/>
      <c r="S496" s="612"/>
      <c r="T496" s="612"/>
      <c r="U496" s="612"/>
      <c r="V496" s="613"/>
      <c r="W496" s="38" t="s">
        <v>67</v>
      </c>
      <c r="X496" s="593">
        <f>IFERROR(SUM(X488:X494),"0")</f>
        <v>1006</v>
      </c>
      <c r="Y496" s="593">
        <f>IFERROR(SUM(Y488:Y494),"0")</f>
        <v>1013.7600000000001</v>
      </c>
      <c r="Z496" s="38"/>
      <c r="AA496" s="594"/>
      <c r="AB496" s="594"/>
      <c r="AC496" s="594"/>
    </row>
    <row r="497" spans="1:68" ht="27.75" hidden="1" customHeight="1" x14ac:dyDescent="0.2">
      <c r="A497" s="759" t="s">
        <v>779</v>
      </c>
      <c r="B497" s="760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49"/>
      <c r="AB497" s="49"/>
      <c r="AC497" s="49"/>
    </row>
    <row r="498" spans="1:68" ht="16.5" hidden="1" customHeight="1" x14ac:dyDescent="0.25">
      <c r="A498" s="607" t="s">
        <v>779</v>
      </c>
      <c r="B498" s="602"/>
      <c r="C498" s="602"/>
      <c r="D498" s="602"/>
      <c r="E498" s="602"/>
      <c r="F498" s="602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02"/>
      <c r="S498" s="602"/>
      <c r="T498" s="602"/>
      <c r="U498" s="602"/>
      <c r="V498" s="602"/>
      <c r="W498" s="602"/>
      <c r="X498" s="602"/>
      <c r="Y498" s="602"/>
      <c r="Z498" s="602"/>
      <c r="AA498" s="586"/>
      <c r="AB498" s="586"/>
      <c r="AC498" s="586"/>
    </row>
    <row r="499" spans="1:68" ht="14.25" hidden="1" customHeight="1" x14ac:dyDescent="0.25">
      <c r="A499" s="606" t="s">
        <v>117</v>
      </c>
      <c r="B499" s="602"/>
      <c r="C499" s="602"/>
      <c r="D499" s="602"/>
      <c r="E499" s="602"/>
      <c r="F499" s="602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02"/>
      <c r="S499" s="602"/>
      <c r="T499" s="602"/>
      <c r="U499" s="602"/>
      <c r="V499" s="602"/>
      <c r="W499" s="602"/>
      <c r="X499" s="602"/>
      <c r="Y499" s="602"/>
      <c r="Z499" s="602"/>
      <c r="AA499" s="587"/>
      <c r="AB499" s="587"/>
      <c r="AC499" s="587"/>
    </row>
    <row r="500" spans="1:68" ht="27" hidden="1" customHeight="1" x14ac:dyDescent="0.25">
      <c r="A500" s="54" t="s">
        <v>780</v>
      </c>
      <c r="B500" s="54" t="s">
        <v>781</v>
      </c>
      <c r="C500" s="32">
        <v>4301011584</v>
      </c>
      <c r="D500" s="595">
        <v>4640242180564</v>
      </c>
      <c r="E500" s="596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8"/>
      <c r="R500" s="598"/>
      <c r="S500" s="598"/>
      <c r="T500" s="599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3"/>
      <c r="P501" s="611" t="s">
        <v>72</v>
      </c>
      <c r="Q501" s="612"/>
      <c r="R501" s="612"/>
      <c r="S501" s="612"/>
      <c r="T501" s="612"/>
      <c r="U501" s="612"/>
      <c r="V501" s="613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hidden="1" x14ac:dyDescent="0.2">
      <c r="A502" s="602"/>
      <c r="B502" s="602"/>
      <c r="C502" s="602"/>
      <c r="D502" s="602"/>
      <c r="E502" s="602"/>
      <c r="F502" s="602"/>
      <c r="G502" s="602"/>
      <c r="H502" s="602"/>
      <c r="I502" s="602"/>
      <c r="J502" s="602"/>
      <c r="K502" s="602"/>
      <c r="L502" s="602"/>
      <c r="M502" s="602"/>
      <c r="N502" s="602"/>
      <c r="O502" s="603"/>
      <c r="P502" s="611" t="s">
        <v>72</v>
      </c>
      <c r="Q502" s="612"/>
      <c r="R502" s="612"/>
      <c r="S502" s="612"/>
      <c r="T502" s="612"/>
      <c r="U502" s="612"/>
      <c r="V502" s="613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hidden="1" customHeight="1" x14ac:dyDescent="0.25">
      <c r="A503" s="606" t="s">
        <v>152</v>
      </c>
      <c r="B503" s="602"/>
      <c r="C503" s="602"/>
      <c r="D503" s="602"/>
      <c r="E503" s="602"/>
      <c r="F503" s="602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02"/>
      <c r="S503" s="602"/>
      <c r="T503" s="602"/>
      <c r="U503" s="602"/>
      <c r="V503" s="602"/>
      <c r="W503" s="602"/>
      <c r="X503" s="602"/>
      <c r="Y503" s="602"/>
      <c r="Z503" s="602"/>
      <c r="AA503" s="587"/>
      <c r="AB503" s="587"/>
      <c r="AC503" s="587"/>
    </row>
    <row r="504" spans="1:68" ht="27" hidden="1" customHeight="1" x14ac:dyDescent="0.25">
      <c r="A504" s="54" t="s">
        <v>783</v>
      </c>
      <c r="B504" s="54" t="s">
        <v>784</v>
      </c>
      <c r="C504" s="32">
        <v>4301020400</v>
      </c>
      <c r="D504" s="595">
        <v>4640242180519</v>
      </c>
      <c r="E504" s="596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8"/>
      <c r="R504" s="598"/>
      <c r="S504" s="598"/>
      <c r="T504" s="599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01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3"/>
      <c r="P505" s="611" t="s">
        <v>72</v>
      </c>
      <c r="Q505" s="612"/>
      <c r="R505" s="612"/>
      <c r="S505" s="612"/>
      <c r="T505" s="612"/>
      <c r="U505" s="612"/>
      <c r="V505" s="613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hidden="1" x14ac:dyDescent="0.2">
      <c r="A506" s="602"/>
      <c r="B506" s="602"/>
      <c r="C506" s="602"/>
      <c r="D506" s="602"/>
      <c r="E506" s="602"/>
      <c r="F506" s="602"/>
      <c r="G506" s="602"/>
      <c r="H506" s="602"/>
      <c r="I506" s="602"/>
      <c r="J506" s="602"/>
      <c r="K506" s="602"/>
      <c r="L506" s="602"/>
      <c r="M506" s="602"/>
      <c r="N506" s="602"/>
      <c r="O506" s="603"/>
      <c r="P506" s="611" t="s">
        <v>72</v>
      </c>
      <c r="Q506" s="612"/>
      <c r="R506" s="612"/>
      <c r="S506" s="612"/>
      <c r="T506" s="612"/>
      <c r="U506" s="612"/>
      <c r="V506" s="613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hidden="1" customHeight="1" x14ac:dyDescent="0.25">
      <c r="A507" s="606" t="s">
        <v>62</v>
      </c>
      <c r="B507" s="602"/>
      <c r="C507" s="602"/>
      <c r="D507" s="602"/>
      <c r="E507" s="602"/>
      <c r="F507" s="602"/>
      <c r="G507" s="602"/>
      <c r="H507" s="602"/>
      <c r="I507" s="602"/>
      <c r="J507" s="602"/>
      <c r="K507" s="602"/>
      <c r="L507" s="602"/>
      <c r="M507" s="602"/>
      <c r="N507" s="602"/>
      <c r="O507" s="602"/>
      <c r="P507" s="602"/>
      <c r="Q507" s="602"/>
      <c r="R507" s="602"/>
      <c r="S507" s="602"/>
      <c r="T507" s="602"/>
      <c r="U507" s="602"/>
      <c r="V507" s="602"/>
      <c r="W507" s="602"/>
      <c r="X507" s="602"/>
      <c r="Y507" s="602"/>
      <c r="Z507" s="602"/>
      <c r="AA507" s="587"/>
      <c r="AB507" s="587"/>
      <c r="AC507" s="587"/>
    </row>
    <row r="508" spans="1:68" ht="27" hidden="1" customHeight="1" x14ac:dyDescent="0.25">
      <c r="A508" s="54" t="s">
        <v>786</v>
      </c>
      <c r="B508" s="54" t="s">
        <v>787</v>
      </c>
      <c r="C508" s="32">
        <v>4301031467</v>
      </c>
      <c r="D508" s="595">
        <v>4640242180595</v>
      </c>
      <c r="E508" s="596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69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8"/>
      <c r="R508" s="598"/>
      <c r="S508" s="598"/>
      <c r="T508" s="599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hidden="1" customHeight="1" x14ac:dyDescent="0.25">
      <c r="A509" s="54" t="s">
        <v>786</v>
      </c>
      <c r="B509" s="54" t="s">
        <v>789</v>
      </c>
      <c r="C509" s="32">
        <v>4301031500</v>
      </c>
      <c r="D509" s="595">
        <v>4640242180595</v>
      </c>
      <c r="E509" s="596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8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8"/>
      <c r="R509" s="598"/>
      <c r="S509" s="598"/>
      <c r="T509" s="599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3"/>
      <c r="P510" s="611" t="s">
        <v>72</v>
      </c>
      <c r="Q510" s="612"/>
      <c r="R510" s="612"/>
      <c r="S510" s="612"/>
      <c r="T510" s="612"/>
      <c r="U510" s="612"/>
      <c r="V510" s="613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hidden="1" x14ac:dyDescent="0.2">
      <c r="A511" s="602"/>
      <c r="B511" s="602"/>
      <c r="C511" s="602"/>
      <c r="D511" s="602"/>
      <c r="E511" s="602"/>
      <c r="F511" s="602"/>
      <c r="G511" s="602"/>
      <c r="H511" s="602"/>
      <c r="I511" s="602"/>
      <c r="J511" s="602"/>
      <c r="K511" s="602"/>
      <c r="L511" s="602"/>
      <c r="M511" s="602"/>
      <c r="N511" s="602"/>
      <c r="O511" s="603"/>
      <c r="P511" s="611" t="s">
        <v>72</v>
      </c>
      <c r="Q511" s="612"/>
      <c r="R511" s="612"/>
      <c r="S511" s="612"/>
      <c r="T511" s="612"/>
      <c r="U511" s="612"/>
      <c r="V511" s="613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hidden="1" customHeight="1" x14ac:dyDescent="0.25">
      <c r="A512" s="606" t="s">
        <v>74</v>
      </c>
      <c r="B512" s="602"/>
      <c r="C512" s="602"/>
      <c r="D512" s="602"/>
      <c r="E512" s="602"/>
      <c r="F512" s="602"/>
      <c r="G512" s="602"/>
      <c r="H512" s="602"/>
      <c r="I512" s="602"/>
      <c r="J512" s="602"/>
      <c r="K512" s="602"/>
      <c r="L512" s="602"/>
      <c r="M512" s="602"/>
      <c r="N512" s="602"/>
      <c r="O512" s="602"/>
      <c r="P512" s="602"/>
      <c r="Q512" s="602"/>
      <c r="R512" s="602"/>
      <c r="S512" s="602"/>
      <c r="T512" s="602"/>
      <c r="U512" s="602"/>
      <c r="V512" s="602"/>
      <c r="W512" s="602"/>
      <c r="X512" s="602"/>
      <c r="Y512" s="602"/>
      <c r="Z512" s="602"/>
      <c r="AA512" s="587"/>
      <c r="AB512" s="587"/>
      <c r="AC512" s="587"/>
    </row>
    <row r="513" spans="1:68" ht="27" hidden="1" customHeight="1" x14ac:dyDescent="0.25">
      <c r="A513" s="54" t="s">
        <v>791</v>
      </c>
      <c r="B513" s="54" t="s">
        <v>792</v>
      </c>
      <c r="C513" s="32">
        <v>4301052046</v>
      </c>
      <c r="D513" s="595">
        <v>4640242180533</v>
      </c>
      <c r="E513" s="596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8"/>
      <c r="R513" s="598"/>
      <c r="S513" s="598"/>
      <c r="T513" s="599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01"/>
      <c r="B514" s="602"/>
      <c r="C514" s="602"/>
      <c r="D514" s="602"/>
      <c r="E514" s="602"/>
      <c r="F514" s="602"/>
      <c r="G514" s="602"/>
      <c r="H514" s="602"/>
      <c r="I514" s="602"/>
      <c r="J514" s="602"/>
      <c r="K514" s="602"/>
      <c r="L514" s="602"/>
      <c r="M514" s="602"/>
      <c r="N514" s="602"/>
      <c r="O514" s="603"/>
      <c r="P514" s="611" t="s">
        <v>72</v>
      </c>
      <c r="Q514" s="612"/>
      <c r="R514" s="612"/>
      <c r="S514" s="612"/>
      <c r="T514" s="612"/>
      <c r="U514" s="612"/>
      <c r="V514" s="613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hidden="1" x14ac:dyDescent="0.2">
      <c r="A515" s="602"/>
      <c r="B515" s="602"/>
      <c r="C515" s="602"/>
      <c r="D515" s="602"/>
      <c r="E515" s="602"/>
      <c r="F515" s="602"/>
      <c r="G515" s="602"/>
      <c r="H515" s="602"/>
      <c r="I515" s="602"/>
      <c r="J515" s="602"/>
      <c r="K515" s="602"/>
      <c r="L515" s="602"/>
      <c r="M515" s="602"/>
      <c r="N515" s="602"/>
      <c r="O515" s="603"/>
      <c r="P515" s="611" t="s">
        <v>72</v>
      </c>
      <c r="Q515" s="612"/>
      <c r="R515" s="612"/>
      <c r="S515" s="612"/>
      <c r="T515" s="612"/>
      <c r="U515" s="612"/>
      <c r="V515" s="613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hidden="1" customHeight="1" x14ac:dyDescent="0.25">
      <c r="A516" s="606" t="s">
        <v>169</v>
      </c>
      <c r="B516" s="602"/>
      <c r="C516" s="602"/>
      <c r="D516" s="602"/>
      <c r="E516" s="602"/>
      <c r="F516" s="602"/>
      <c r="G516" s="602"/>
      <c r="H516" s="602"/>
      <c r="I516" s="602"/>
      <c r="J516" s="602"/>
      <c r="K516" s="602"/>
      <c r="L516" s="602"/>
      <c r="M516" s="602"/>
      <c r="N516" s="602"/>
      <c r="O516" s="602"/>
      <c r="P516" s="602"/>
      <c r="Q516" s="602"/>
      <c r="R516" s="602"/>
      <c r="S516" s="602"/>
      <c r="T516" s="602"/>
      <c r="U516" s="602"/>
      <c r="V516" s="602"/>
      <c r="W516" s="602"/>
      <c r="X516" s="602"/>
      <c r="Y516" s="602"/>
      <c r="Z516" s="602"/>
      <c r="AA516" s="587"/>
      <c r="AB516" s="587"/>
      <c r="AC516" s="587"/>
    </row>
    <row r="517" spans="1:68" ht="27" hidden="1" customHeight="1" x14ac:dyDescent="0.25">
      <c r="A517" s="54" t="s">
        <v>794</v>
      </c>
      <c r="B517" s="54" t="s">
        <v>795</v>
      </c>
      <c r="C517" s="32">
        <v>4301060535</v>
      </c>
      <c r="D517" s="595">
        <v>4640242180120</v>
      </c>
      <c r="E517" s="596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81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8"/>
      <c r="R517" s="598"/>
      <c r="S517" s="598"/>
      <c r="T517" s="599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hidden="1" customHeight="1" x14ac:dyDescent="0.25">
      <c r="A518" s="54" t="s">
        <v>797</v>
      </c>
      <c r="B518" s="54" t="s">
        <v>798</v>
      </c>
      <c r="C518" s="32">
        <v>4301060536</v>
      </c>
      <c r="D518" s="595">
        <v>4640242180137</v>
      </c>
      <c r="E518" s="596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8"/>
      <c r="R518" s="598"/>
      <c r="S518" s="598"/>
      <c r="T518" s="599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01"/>
      <c r="B519" s="602"/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3"/>
      <c r="P519" s="611" t="s">
        <v>72</v>
      </c>
      <c r="Q519" s="612"/>
      <c r="R519" s="612"/>
      <c r="S519" s="612"/>
      <c r="T519" s="612"/>
      <c r="U519" s="612"/>
      <c r="V519" s="613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hidden="1" x14ac:dyDescent="0.2">
      <c r="A520" s="602"/>
      <c r="B520" s="602"/>
      <c r="C520" s="602"/>
      <c r="D520" s="602"/>
      <c r="E520" s="602"/>
      <c r="F520" s="602"/>
      <c r="G520" s="602"/>
      <c r="H520" s="602"/>
      <c r="I520" s="602"/>
      <c r="J520" s="602"/>
      <c r="K520" s="602"/>
      <c r="L520" s="602"/>
      <c r="M520" s="602"/>
      <c r="N520" s="602"/>
      <c r="O520" s="603"/>
      <c r="P520" s="611" t="s">
        <v>72</v>
      </c>
      <c r="Q520" s="612"/>
      <c r="R520" s="612"/>
      <c r="S520" s="612"/>
      <c r="T520" s="612"/>
      <c r="U520" s="612"/>
      <c r="V520" s="613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hidden="1" customHeight="1" x14ac:dyDescent="0.25">
      <c r="A521" s="607" t="s">
        <v>800</v>
      </c>
      <c r="B521" s="602"/>
      <c r="C521" s="602"/>
      <c r="D521" s="602"/>
      <c r="E521" s="602"/>
      <c r="F521" s="602"/>
      <c r="G521" s="602"/>
      <c r="H521" s="602"/>
      <c r="I521" s="602"/>
      <c r="J521" s="602"/>
      <c r="K521" s="602"/>
      <c r="L521" s="602"/>
      <c r="M521" s="602"/>
      <c r="N521" s="602"/>
      <c r="O521" s="602"/>
      <c r="P521" s="602"/>
      <c r="Q521" s="602"/>
      <c r="R521" s="602"/>
      <c r="S521" s="602"/>
      <c r="T521" s="602"/>
      <c r="U521" s="602"/>
      <c r="V521" s="602"/>
      <c r="W521" s="602"/>
      <c r="X521" s="602"/>
      <c r="Y521" s="602"/>
      <c r="Z521" s="602"/>
      <c r="AA521" s="586"/>
      <c r="AB521" s="586"/>
      <c r="AC521" s="586"/>
    </row>
    <row r="522" spans="1:68" ht="14.25" hidden="1" customHeight="1" x14ac:dyDescent="0.25">
      <c r="A522" s="606" t="s">
        <v>152</v>
      </c>
      <c r="B522" s="602"/>
      <c r="C522" s="602"/>
      <c r="D522" s="602"/>
      <c r="E522" s="602"/>
      <c r="F522" s="602"/>
      <c r="G522" s="602"/>
      <c r="H522" s="602"/>
      <c r="I522" s="602"/>
      <c r="J522" s="602"/>
      <c r="K522" s="602"/>
      <c r="L522" s="602"/>
      <c r="M522" s="602"/>
      <c r="N522" s="602"/>
      <c r="O522" s="602"/>
      <c r="P522" s="602"/>
      <c r="Q522" s="602"/>
      <c r="R522" s="602"/>
      <c r="S522" s="602"/>
      <c r="T522" s="602"/>
      <c r="U522" s="602"/>
      <c r="V522" s="602"/>
      <c r="W522" s="602"/>
      <c r="X522" s="602"/>
      <c r="Y522" s="602"/>
      <c r="Z522" s="602"/>
      <c r="AA522" s="587"/>
      <c r="AB522" s="587"/>
      <c r="AC522" s="587"/>
    </row>
    <row r="523" spans="1:68" ht="27" hidden="1" customHeight="1" x14ac:dyDescent="0.25">
      <c r="A523" s="54" t="s">
        <v>801</v>
      </c>
      <c r="B523" s="54" t="s">
        <v>802</v>
      </c>
      <c r="C523" s="32">
        <v>4301020428</v>
      </c>
      <c r="D523" s="595">
        <v>4640242180090</v>
      </c>
      <c r="E523" s="596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7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8"/>
      <c r="R523" s="598"/>
      <c r="S523" s="598"/>
      <c r="T523" s="599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01"/>
      <c r="B524" s="602"/>
      <c r="C524" s="602"/>
      <c r="D524" s="602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3"/>
      <c r="P524" s="611" t="s">
        <v>72</v>
      </c>
      <c r="Q524" s="612"/>
      <c r="R524" s="612"/>
      <c r="S524" s="612"/>
      <c r="T524" s="612"/>
      <c r="U524" s="612"/>
      <c r="V524" s="613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hidden="1" x14ac:dyDescent="0.2">
      <c r="A525" s="602"/>
      <c r="B525" s="602"/>
      <c r="C525" s="602"/>
      <c r="D525" s="602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3"/>
      <c r="P525" s="611" t="s">
        <v>72</v>
      </c>
      <c r="Q525" s="612"/>
      <c r="R525" s="612"/>
      <c r="S525" s="612"/>
      <c r="T525" s="612"/>
      <c r="U525" s="612"/>
      <c r="V525" s="613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680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81"/>
      <c r="P526" s="673" t="s">
        <v>804</v>
      </c>
      <c r="Q526" s="674"/>
      <c r="R526" s="674"/>
      <c r="S526" s="674"/>
      <c r="T526" s="674"/>
      <c r="U526" s="674"/>
      <c r="V526" s="675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17480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17625.72</v>
      </c>
      <c r="Z526" s="38"/>
      <c r="AA526" s="594"/>
      <c r="AB526" s="594"/>
      <c r="AC526" s="594"/>
    </row>
    <row r="527" spans="1:68" x14ac:dyDescent="0.2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81"/>
      <c r="P527" s="673" t="s">
        <v>805</v>
      </c>
      <c r="Q527" s="674"/>
      <c r="R527" s="674"/>
      <c r="S527" s="674"/>
      <c r="T527" s="674"/>
      <c r="U527" s="674"/>
      <c r="V527" s="675"/>
      <c r="W527" s="38" t="s">
        <v>67</v>
      </c>
      <c r="X527" s="593">
        <f>IFERROR(SUM(BM22:BM523),"0")</f>
        <v>18486.746190523125</v>
      </c>
      <c r="Y527" s="593">
        <f>IFERROR(SUM(BN22:BN523),"0")</f>
        <v>18642.305999999997</v>
      </c>
      <c r="Z527" s="38"/>
      <c r="AA527" s="594"/>
      <c r="AB527" s="594"/>
      <c r="AC527" s="594"/>
    </row>
    <row r="528" spans="1:68" x14ac:dyDescent="0.2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81"/>
      <c r="P528" s="673" t="s">
        <v>806</v>
      </c>
      <c r="Q528" s="674"/>
      <c r="R528" s="674"/>
      <c r="S528" s="674"/>
      <c r="T528" s="674"/>
      <c r="U528" s="674"/>
      <c r="V528" s="675"/>
      <c r="W528" s="38" t="s">
        <v>807</v>
      </c>
      <c r="X528" s="39">
        <f>ROUNDUP(SUM(BO22:BO523),0)</f>
        <v>29</v>
      </c>
      <c r="Y528" s="39">
        <f>ROUNDUP(SUM(BP22:BP523),0)</f>
        <v>30</v>
      </c>
      <c r="Z528" s="38"/>
      <c r="AA528" s="594"/>
      <c r="AB528" s="594"/>
      <c r="AC528" s="594"/>
    </row>
    <row r="529" spans="1:32" x14ac:dyDescent="0.2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81"/>
      <c r="P529" s="673" t="s">
        <v>808</v>
      </c>
      <c r="Q529" s="674"/>
      <c r="R529" s="674"/>
      <c r="S529" s="674"/>
      <c r="T529" s="674"/>
      <c r="U529" s="674"/>
      <c r="V529" s="675"/>
      <c r="W529" s="38" t="s">
        <v>67</v>
      </c>
      <c r="X529" s="593">
        <f>GrossWeightTotal+PalletQtyTotal*25</f>
        <v>19211.746190523125</v>
      </c>
      <c r="Y529" s="593">
        <f>GrossWeightTotalR+PalletQtyTotalR*25</f>
        <v>19392.305999999997</v>
      </c>
      <c r="Z529" s="38"/>
      <c r="AA529" s="594"/>
      <c r="AB529" s="594"/>
      <c r="AC529" s="594"/>
    </row>
    <row r="530" spans="1:32" x14ac:dyDescent="0.2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81"/>
      <c r="P530" s="673" t="s">
        <v>809</v>
      </c>
      <c r="Q530" s="674"/>
      <c r="R530" s="674"/>
      <c r="S530" s="674"/>
      <c r="T530" s="674"/>
      <c r="U530" s="674"/>
      <c r="V530" s="675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2434.3240903023993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2462</v>
      </c>
      <c r="Z530" s="38"/>
      <c r="AA530" s="594"/>
      <c r="AB530" s="594"/>
      <c r="AC530" s="594"/>
    </row>
    <row r="531" spans="1:32" ht="14.25" hidden="1" customHeight="1" x14ac:dyDescent="0.2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81"/>
      <c r="P531" s="673" t="s">
        <v>810</v>
      </c>
      <c r="Q531" s="674"/>
      <c r="R531" s="674"/>
      <c r="S531" s="674"/>
      <c r="T531" s="674"/>
      <c r="U531" s="674"/>
      <c r="V531" s="675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34.285629999999998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616" t="s">
        <v>115</v>
      </c>
      <c r="E533" s="617"/>
      <c r="F533" s="617"/>
      <c r="G533" s="617"/>
      <c r="H533" s="617"/>
      <c r="I533" s="617"/>
      <c r="J533" s="618"/>
      <c r="K533" s="616" t="s">
        <v>322</v>
      </c>
      <c r="L533" s="617"/>
      <c r="M533" s="617"/>
      <c r="N533" s="617"/>
      <c r="O533" s="617"/>
      <c r="P533" s="617"/>
      <c r="Q533" s="617"/>
      <c r="R533" s="617"/>
      <c r="S533" s="617"/>
      <c r="T533" s="617"/>
      <c r="U533" s="618"/>
      <c r="V533" s="616" t="s">
        <v>636</v>
      </c>
      <c r="W533" s="618"/>
      <c r="X533" s="616" t="s">
        <v>696</v>
      </c>
      <c r="Y533" s="618"/>
      <c r="Z533" s="588" t="s">
        <v>732</v>
      </c>
      <c r="AA533" s="616" t="s">
        <v>779</v>
      </c>
      <c r="AB533" s="618"/>
      <c r="AC533" s="8"/>
      <c r="AF533" s="589"/>
    </row>
    <row r="534" spans="1:32" ht="14.25" customHeight="1" thickTop="1" x14ac:dyDescent="0.2">
      <c r="A534" s="755" t="s">
        <v>813</v>
      </c>
      <c r="B534" s="616" t="s">
        <v>61</v>
      </c>
      <c r="C534" s="616" t="s">
        <v>102</v>
      </c>
      <c r="D534" s="616" t="s">
        <v>116</v>
      </c>
      <c r="E534" s="616" t="s">
        <v>132</v>
      </c>
      <c r="F534" s="616" t="s">
        <v>176</v>
      </c>
      <c r="G534" s="616" t="s">
        <v>197</v>
      </c>
      <c r="H534" s="616" t="s">
        <v>240</v>
      </c>
      <c r="I534" s="616" t="s">
        <v>252</v>
      </c>
      <c r="J534" s="616" t="s">
        <v>115</v>
      </c>
      <c r="K534" s="616" t="s">
        <v>323</v>
      </c>
      <c r="L534" s="616" t="s">
        <v>335</v>
      </c>
      <c r="M534" s="616" t="s">
        <v>394</v>
      </c>
      <c r="N534" s="589"/>
      <c r="O534" s="616" t="s">
        <v>462</v>
      </c>
      <c r="P534" s="616" t="s">
        <v>498</v>
      </c>
      <c r="Q534" s="616" t="s">
        <v>514</v>
      </c>
      <c r="R534" s="616" t="s">
        <v>523</v>
      </c>
      <c r="S534" s="616" t="s">
        <v>544</v>
      </c>
      <c r="T534" s="616" t="s">
        <v>554</v>
      </c>
      <c r="U534" s="616" t="s">
        <v>626</v>
      </c>
      <c r="V534" s="616" t="s">
        <v>637</v>
      </c>
      <c r="W534" s="616" t="s">
        <v>680</v>
      </c>
      <c r="X534" s="616" t="s">
        <v>697</v>
      </c>
      <c r="Y534" s="616" t="s">
        <v>720</v>
      </c>
      <c r="Z534" s="616" t="s">
        <v>732</v>
      </c>
      <c r="AA534" s="616" t="s">
        <v>779</v>
      </c>
      <c r="AB534" s="616" t="s">
        <v>800</v>
      </c>
      <c r="AC534" s="8"/>
      <c r="AF534" s="589"/>
    </row>
    <row r="535" spans="1:32" ht="13.5" customHeight="1" thickBot="1" x14ac:dyDescent="0.25">
      <c r="A535" s="756"/>
      <c r="B535" s="619"/>
      <c r="C535" s="619"/>
      <c r="D535" s="619"/>
      <c r="E535" s="619"/>
      <c r="F535" s="619"/>
      <c r="G535" s="619"/>
      <c r="H535" s="619"/>
      <c r="I535" s="619"/>
      <c r="J535" s="619"/>
      <c r="K535" s="619"/>
      <c r="L535" s="619"/>
      <c r="M535" s="619"/>
      <c r="N535" s="589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  <c r="AA535" s="619"/>
      <c r="AB535" s="619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0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702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383.7</v>
      </c>
      <c r="F536" s="47">
        <f>IFERROR(Y87*1,"0")+IFERROR(Y88*1,"0")+IFERROR(Y89*1,"0")+IFERROR(Y90*1,"0")+IFERROR(Y94*1,"0")+IFERROR(Y95*1,"0")+IFERROR(Y96*1,"0")+IFERROR(Y97*1,"0")</f>
        <v>633.30000000000007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601</v>
      </c>
      <c r="H536" s="47">
        <f>IFERROR(Y133*1,"0")+IFERROR(Y134*1,"0")+IFERROR(Y138*1,"0")+IFERROR(Y139*1,"0")+IFERROR(Y143*1,"0")+IFERROR(Y144*1,"0")</f>
        <v>0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127.4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22.12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613.20000000000005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15.75</v>
      </c>
      <c r="P536" s="47">
        <f>IFERROR(Y309*1,"0")+IFERROR(Y310*1,"0")+IFERROR(Y311*1,"0")+IFERROR(Y312*1,"0")+IFERROR(Y313*1,"0")</f>
        <v>0</v>
      </c>
      <c r="Q536" s="47">
        <f>IFERROR(Y318*1,"0")+IFERROR(Y319*1,"0")+IFERROR(Y320*1,"0")</f>
        <v>72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210.6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79.849999999999994</v>
      </c>
      <c r="U536" s="47">
        <f>IFERROR(Y391*1,"0")+IFERROR(Y392*1,"0")+IFERROR(Y393*1,"0")</f>
        <v>58.800000000000004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5745</v>
      </c>
      <c r="W536" s="47">
        <f>IFERROR(Y426*1,"0")+IFERROR(Y427*1,"0")+IFERROR(Y431*1,"0")+IFERROR(Y435*1,"0")+IFERROR(Y436*1,"0")+IFERROR(Y437*1,"0")</f>
        <v>4029</v>
      </c>
      <c r="X536" s="47">
        <f>IFERROR(Y443*1,"0")+IFERROR(Y444*1,"0")+IFERROR(Y445*1,"0")+IFERROR(Y446*1,"0")+IFERROR(Y447*1,"0")+IFERROR(Y448*1,"0")+IFERROR(Y452*1,"0")+IFERROR(Y453*1,"0")</f>
        <v>0</v>
      </c>
      <c r="Y536" s="47">
        <f>IFERROR(Y458*1,"0")+IFERROR(Y462*1,"0")+IFERROR(Y463*1,"0")+IFERROR(Y464*1,"0")</f>
        <v>0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4332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7"/>
        <filter val="1 006,00"/>
        <filter val="1 252,00"/>
        <filter val="1 516,00"/>
        <filter val="1 706,00"/>
        <filter val="1,59"/>
        <filter val="106,00"/>
        <filter val="108,00"/>
        <filter val="11,00"/>
        <filter val="112,00"/>
        <filter val="113,73"/>
        <filter val="12,50"/>
        <filter val="127,00"/>
        <filter val="140,23"/>
        <filter val="143,00"/>
        <filter val="146,00"/>
        <filter val="15,00"/>
        <filter val="15,65"/>
        <filter val="158,00"/>
        <filter val="16,00"/>
        <filter val="17 480,00"/>
        <filter val="17,65"/>
        <filter val="173,00"/>
        <filter val="18 486,75"/>
        <filter val="180,00"/>
        <filter val="19 211,75"/>
        <filter val="19,00"/>
        <filter val="19,26"/>
        <filter val="190,53"/>
        <filter val="199,00"/>
        <filter val="2 047,00"/>
        <filter val="2 434,32"/>
        <filter val="2 566,00"/>
        <filter val="2,00"/>
        <filter val="2,35"/>
        <filter val="2,78"/>
        <filter val="206,00"/>
        <filter val="227,00"/>
        <filter val="229,17"/>
        <filter val="23,00"/>
        <filter val="236,00"/>
        <filter val="24,00"/>
        <filter val="240,00"/>
        <filter val="245,00"/>
        <filter val="26,41"/>
        <filter val="26,77"/>
        <filter val="267,80"/>
        <filter val="27,00"/>
        <filter val="27,14"/>
        <filter val="278,00"/>
        <filter val="29"/>
        <filter val="29,17"/>
        <filter val="3,00"/>
        <filter val="3,06"/>
        <filter val="3,33"/>
        <filter val="319,00"/>
        <filter val="33,00"/>
        <filter val="35,00"/>
        <filter val="36,00"/>
        <filter val="4 001,00"/>
        <filter val="4 017,00"/>
        <filter val="4 024,00"/>
        <filter val="4,00"/>
        <filter val="4,55"/>
        <filter val="410,00"/>
        <filter val="454,14"/>
        <filter val="46,42"/>
        <filter val="48,00"/>
        <filter val="482,00"/>
        <filter val="490,04"/>
        <filter val="5,00"/>
        <filter val="51,00"/>
        <filter val="54,00"/>
        <filter val="55,43"/>
        <filter val="550,00"/>
        <filter val="56,00"/>
        <filter val="57,00"/>
        <filter val="58,00"/>
        <filter val="6,00"/>
        <filter val="624,00"/>
        <filter val="63,10"/>
        <filter val="64,91"/>
        <filter val="656,00"/>
        <filter val="659,00"/>
        <filter val="67,00"/>
        <filter val="68,00"/>
        <filter val="7,00"/>
        <filter val="7,37"/>
        <filter val="70,00"/>
        <filter val="701,00"/>
        <filter val="718,00"/>
        <filter val="733,00"/>
        <filter val="74,00"/>
        <filter val="79,00"/>
        <filter val="8,00"/>
        <filter val="8,33"/>
        <filter val="83,46"/>
        <filter val="9,00"/>
      </filters>
    </filterColumn>
    <filterColumn colId="29" showButton="0"/>
    <filterColumn colId="30" showButton="0"/>
  </autoFilter>
  <mergeCells count="941"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