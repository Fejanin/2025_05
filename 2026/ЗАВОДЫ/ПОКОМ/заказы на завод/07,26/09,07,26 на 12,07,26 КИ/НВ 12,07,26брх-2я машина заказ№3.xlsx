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7F905B-CC80-4C1D-B036-46F07F38E94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N524" i="1" s="1"/>
  <c r="P524" i="1"/>
  <c r="X522" i="1"/>
  <c r="X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Y466" i="1"/>
  <c r="X466" i="1"/>
  <c r="BO465" i="1"/>
  <c r="BM465" i="1"/>
  <c r="Y465" i="1"/>
  <c r="Y467" i="1" s="1"/>
  <c r="P465" i="1"/>
  <c r="X462" i="1"/>
  <c r="X461" i="1"/>
  <c r="BO460" i="1"/>
  <c r="BM460" i="1"/>
  <c r="Y460" i="1"/>
  <c r="BP460" i="1" s="1"/>
  <c r="P460" i="1"/>
  <c r="BO459" i="1"/>
  <c r="BM459" i="1"/>
  <c r="Y459" i="1"/>
  <c r="Y462" i="1" s="1"/>
  <c r="P459" i="1"/>
  <c r="X457" i="1"/>
  <c r="X456" i="1"/>
  <c r="BO455" i="1"/>
  <c r="BM455" i="1"/>
  <c r="Y455" i="1"/>
  <c r="BP455" i="1" s="1"/>
  <c r="P455" i="1"/>
  <c r="BO454" i="1"/>
  <c r="BM454" i="1"/>
  <c r="Y454" i="1"/>
  <c r="P454" i="1"/>
  <c r="BO453" i="1"/>
  <c r="BM453" i="1"/>
  <c r="Y453" i="1"/>
  <c r="BP453" i="1" s="1"/>
  <c r="P453" i="1"/>
  <c r="BO452" i="1"/>
  <c r="BM452" i="1"/>
  <c r="Y452" i="1"/>
  <c r="BP452" i="1" s="1"/>
  <c r="P452" i="1"/>
  <c r="BO451" i="1"/>
  <c r="BM451" i="1"/>
  <c r="Y451" i="1"/>
  <c r="BP451" i="1" s="1"/>
  <c r="P451" i="1"/>
  <c r="BO450" i="1"/>
  <c r="BM450" i="1"/>
  <c r="Y450" i="1"/>
  <c r="BP450" i="1" s="1"/>
  <c r="P450" i="1"/>
  <c r="X446" i="1"/>
  <c r="X445" i="1"/>
  <c r="BO444" i="1"/>
  <c r="BM444" i="1"/>
  <c r="Y444" i="1"/>
  <c r="BP444" i="1" s="1"/>
  <c r="P444" i="1"/>
  <c r="BO443" i="1"/>
  <c r="BM443" i="1"/>
  <c r="Y443" i="1"/>
  <c r="BP443" i="1" s="1"/>
  <c r="P443" i="1"/>
  <c r="BO442" i="1"/>
  <c r="BM442" i="1"/>
  <c r="Y442" i="1"/>
  <c r="BN442" i="1" s="1"/>
  <c r="P442" i="1"/>
  <c r="X440" i="1"/>
  <c r="X439" i="1"/>
  <c r="BO438" i="1"/>
  <c r="BM438" i="1"/>
  <c r="Y438" i="1"/>
  <c r="P438" i="1"/>
  <c r="X436" i="1"/>
  <c r="X435" i="1"/>
  <c r="BP434" i="1"/>
  <c r="BO434" i="1"/>
  <c r="BN434" i="1"/>
  <c r="BM434" i="1"/>
  <c r="Z434" i="1"/>
  <c r="Y434" i="1"/>
  <c r="P434" i="1"/>
  <c r="BO433" i="1"/>
  <c r="BM433" i="1"/>
  <c r="Y433" i="1"/>
  <c r="P433" i="1"/>
  <c r="X430" i="1"/>
  <c r="X429" i="1"/>
  <c r="BO428" i="1"/>
  <c r="BM428" i="1"/>
  <c r="Y428" i="1"/>
  <c r="Y429" i="1" s="1"/>
  <c r="P428" i="1"/>
  <c r="X426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BP419" i="1" s="1"/>
  <c r="P419" i="1"/>
  <c r="BO418" i="1"/>
  <c r="BM418" i="1"/>
  <c r="Y418" i="1"/>
  <c r="BP418" i="1" s="1"/>
  <c r="P418" i="1"/>
  <c r="BO417" i="1"/>
  <c r="BM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BP407" i="1" s="1"/>
  <c r="P407" i="1"/>
  <c r="BO406" i="1"/>
  <c r="BM406" i="1"/>
  <c r="Y406" i="1"/>
  <c r="P406" i="1"/>
  <c r="X402" i="1"/>
  <c r="X401" i="1"/>
  <c r="BO400" i="1"/>
  <c r="BM400" i="1"/>
  <c r="Y400" i="1"/>
  <c r="BP400" i="1" s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Z327" i="1"/>
  <c r="Y327" i="1"/>
  <c r="BN327" i="1" s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Z320" i="1"/>
  <c r="Y320" i="1"/>
  <c r="BN320" i="1" s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BP316" i="1" s="1"/>
  <c r="P316" i="1"/>
  <c r="X313" i="1"/>
  <c r="X312" i="1"/>
  <c r="BO311" i="1"/>
  <c r="BM311" i="1"/>
  <c r="Y311" i="1"/>
  <c r="P311" i="1"/>
  <c r="BO310" i="1"/>
  <c r="BM310" i="1"/>
  <c r="Y310" i="1"/>
  <c r="Z310" i="1" s="1"/>
  <c r="P310" i="1"/>
  <c r="BO309" i="1"/>
  <c r="BM309" i="1"/>
  <c r="Y309" i="1"/>
  <c r="BP309" i="1" s="1"/>
  <c r="P309" i="1"/>
  <c r="X307" i="1"/>
  <c r="X306" i="1"/>
  <c r="BO305" i="1"/>
  <c r="BM305" i="1"/>
  <c r="Z305" i="1"/>
  <c r="Z306" i="1" s="1"/>
  <c r="Y305" i="1"/>
  <c r="Y307" i="1" s="1"/>
  <c r="P305" i="1"/>
  <c r="X303" i="1"/>
  <c r="Y302" i="1"/>
  <c r="X302" i="1"/>
  <c r="BO301" i="1"/>
  <c r="BM301" i="1"/>
  <c r="Y301" i="1"/>
  <c r="Y303" i="1" s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BP295" i="1" s="1"/>
  <c r="P295" i="1"/>
  <c r="BO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O276" i="1"/>
  <c r="BM276" i="1"/>
  <c r="Z276" i="1"/>
  <c r="Y276" i="1"/>
  <c r="BN276" i="1" s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Z262" i="1"/>
  <c r="Y262" i="1"/>
  <c r="BN262" i="1" s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Z254" i="1"/>
  <c r="Y254" i="1"/>
  <c r="Y256" i="1" s="1"/>
  <c r="P254" i="1"/>
  <c r="X252" i="1"/>
  <c r="X251" i="1"/>
  <c r="BO250" i="1"/>
  <c r="BM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Z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Y235" i="1" s="1"/>
  <c r="P231" i="1"/>
  <c r="X229" i="1"/>
  <c r="X228" i="1"/>
  <c r="BO227" i="1"/>
  <c r="BM227" i="1"/>
  <c r="Y227" i="1"/>
  <c r="BP227" i="1" s="1"/>
  <c r="P227" i="1"/>
  <c r="BO226" i="1"/>
  <c r="BM226" i="1"/>
  <c r="Z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Z218" i="1"/>
  <c r="Y218" i="1"/>
  <c r="BN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N214" i="1" s="1"/>
  <c r="P214" i="1"/>
  <c r="X212" i="1"/>
  <c r="X211" i="1"/>
  <c r="BO210" i="1"/>
  <c r="BM210" i="1"/>
  <c r="Y210" i="1"/>
  <c r="P210" i="1"/>
  <c r="X207" i="1"/>
  <c r="X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Z203" i="1"/>
  <c r="Y203" i="1"/>
  <c r="BN203" i="1" s="1"/>
  <c r="P203" i="1"/>
  <c r="BO202" i="1"/>
  <c r="BM202" i="1"/>
  <c r="Y202" i="1"/>
  <c r="BP202" i="1" s="1"/>
  <c r="P202" i="1"/>
  <c r="BO201" i="1"/>
  <c r="BM201" i="1"/>
  <c r="Y201" i="1"/>
  <c r="BN201" i="1" s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Z193" i="1"/>
  <c r="Z194" i="1" s="1"/>
  <c r="Y193" i="1"/>
  <c r="Y195" i="1" s="1"/>
  <c r="P193" i="1"/>
  <c r="X191" i="1"/>
  <c r="X190" i="1"/>
  <c r="BO189" i="1"/>
  <c r="BM189" i="1"/>
  <c r="Y189" i="1"/>
  <c r="P189" i="1"/>
  <c r="BO188" i="1"/>
  <c r="BM188" i="1"/>
  <c r="Y188" i="1"/>
  <c r="Y191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O177" i="1"/>
  <c r="BM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Z171" i="1"/>
  <c r="Y171" i="1"/>
  <c r="BN171" i="1" s="1"/>
  <c r="P171" i="1"/>
  <c r="BO170" i="1"/>
  <c r="BM170" i="1"/>
  <c r="Y170" i="1"/>
  <c r="BP170" i="1" s="1"/>
  <c r="P170" i="1"/>
  <c r="BO169" i="1"/>
  <c r="BM169" i="1"/>
  <c r="Y169" i="1"/>
  <c r="BN169" i="1" s="1"/>
  <c r="P169" i="1"/>
  <c r="BO168" i="1"/>
  <c r="BM168" i="1"/>
  <c r="Y168" i="1"/>
  <c r="P168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BN159" i="1" s="1"/>
  <c r="P159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Z145" i="1" s="1"/>
  <c r="P145" i="1"/>
  <c r="X143" i="1"/>
  <c r="X142" i="1"/>
  <c r="BO141" i="1"/>
  <c r="BM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Z130" i="1" s="1"/>
  <c r="Z131" i="1" s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BO124" i="1"/>
  <c r="BM124" i="1"/>
  <c r="Z124" i="1"/>
  <c r="Y124" i="1"/>
  <c r="BN124" i="1" s="1"/>
  <c r="P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Z118" i="1"/>
  <c r="Y118" i="1"/>
  <c r="BN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20" i="1" s="1"/>
  <c r="P113" i="1"/>
  <c r="X111" i="1"/>
  <c r="X110" i="1"/>
  <c r="BO109" i="1"/>
  <c r="BM109" i="1"/>
  <c r="Y109" i="1"/>
  <c r="BP109" i="1" s="1"/>
  <c r="P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N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BN91" i="1" s="1"/>
  <c r="P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N82" i="1" s="1"/>
  <c r="P82" i="1"/>
  <c r="X80" i="1"/>
  <c r="X79" i="1"/>
  <c r="BO78" i="1"/>
  <c r="BM78" i="1"/>
  <c r="Y78" i="1"/>
  <c r="BN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Z66" i="1"/>
  <c r="Y66" i="1"/>
  <c r="BN66" i="1" s="1"/>
  <c r="P66" i="1"/>
  <c r="BO65" i="1"/>
  <c r="BM65" i="1"/>
  <c r="Y65" i="1"/>
  <c r="BP65" i="1" s="1"/>
  <c r="P65" i="1"/>
  <c r="BO64" i="1"/>
  <c r="BM64" i="1"/>
  <c r="Z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7" i="1"/>
  <c r="X56" i="1"/>
  <c r="BO55" i="1"/>
  <c r="BM55" i="1"/>
  <c r="Y55" i="1"/>
  <c r="BN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8" i="1"/>
  <c r="X47" i="1"/>
  <c r="BO46" i="1"/>
  <c r="BM46" i="1"/>
  <c r="Y46" i="1"/>
  <c r="BP46" i="1" s="1"/>
  <c r="P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P43" i="1"/>
  <c r="BO42" i="1"/>
  <c r="BM42" i="1"/>
  <c r="Y42" i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P31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N29" i="1" l="1"/>
  <c r="Z29" i="1"/>
  <c r="BP43" i="1"/>
  <c r="BN43" i="1"/>
  <c r="Z43" i="1"/>
  <c r="BN116" i="1"/>
  <c r="Z116" i="1"/>
  <c r="BN126" i="1"/>
  <c r="Z126" i="1"/>
  <c r="BN141" i="1"/>
  <c r="Z141" i="1"/>
  <c r="Y211" i="1"/>
  <c r="Z210" i="1"/>
  <c r="Z211" i="1" s="1"/>
  <c r="BN222" i="1"/>
  <c r="BP250" i="1"/>
  <c r="BN250" i="1"/>
  <c r="Z250" i="1"/>
  <c r="BN280" i="1"/>
  <c r="BN316" i="1"/>
  <c r="BN336" i="1"/>
  <c r="BP354" i="1"/>
  <c r="BN354" i="1"/>
  <c r="BN23" i="1"/>
  <c r="Z23" i="1"/>
  <c r="BP29" i="1"/>
  <c r="BN31" i="1"/>
  <c r="Z31" i="1"/>
  <c r="BP60" i="1"/>
  <c r="BN60" i="1"/>
  <c r="Z60" i="1"/>
  <c r="BP70" i="1"/>
  <c r="BN70" i="1"/>
  <c r="Z70" i="1"/>
  <c r="BP89" i="1"/>
  <c r="BN89" i="1"/>
  <c r="Z89" i="1"/>
  <c r="BP126" i="1"/>
  <c r="BP141" i="1"/>
  <c r="BN154" i="1"/>
  <c r="Z154" i="1"/>
  <c r="BP189" i="1"/>
  <c r="BN189" i="1"/>
  <c r="Z189" i="1"/>
  <c r="BP210" i="1"/>
  <c r="Y242" i="1"/>
  <c r="BN239" i="1"/>
  <c r="Z239" i="1"/>
  <c r="BN266" i="1"/>
  <c r="BN272" i="1"/>
  <c r="BP291" i="1"/>
  <c r="BN291" i="1"/>
  <c r="Z291" i="1"/>
  <c r="BN295" i="1"/>
  <c r="BN399" i="1"/>
  <c r="BN409" i="1"/>
  <c r="BN450" i="1"/>
  <c r="BN460" i="1"/>
  <c r="BN500" i="1"/>
  <c r="X534" i="1"/>
  <c r="BP64" i="1"/>
  <c r="BP118" i="1"/>
  <c r="Y128" i="1"/>
  <c r="Y179" i="1"/>
  <c r="BP171" i="1"/>
  <c r="BP193" i="1"/>
  <c r="BP203" i="1"/>
  <c r="BP218" i="1"/>
  <c r="BP226" i="1"/>
  <c r="BP254" i="1"/>
  <c r="Y267" i="1"/>
  <c r="BP262" i="1"/>
  <c r="BP276" i="1"/>
  <c r="BN286" i="1"/>
  <c r="BN293" i="1"/>
  <c r="BN301" i="1"/>
  <c r="BP305" i="1"/>
  <c r="BN309" i="1"/>
  <c r="BP320" i="1"/>
  <c r="BP327" i="1"/>
  <c r="BN362" i="1"/>
  <c r="Z366" i="1"/>
  <c r="BN366" i="1"/>
  <c r="Z380" i="1"/>
  <c r="BN380" i="1"/>
  <c r="BN407" i="1"/>
  <c r="Z419" i="1"/>
  <c r="BN419" i="1"/>
  <c r="BN444" i="1"/>
  <c r="BN452" i="1"/>
  <c r="BN465" i="1"/>
  <c r="BN478" i="1"/>
  <c r="Z482" i="1"/>
  <c r="BN482" i="1"/>
  <c r="BN484" i="1"/>
  <c r="Z490" i="1"/>
  <c r="BN490" i="1"/>
  <c r="BP72" i="1"/>
  <c r="BP108" i="1"/>
  <c r="BP114" i="1"/>
  <c r="Z114" i="1"/>
  <c r="BP169" i="1"/>
  <c r="BP177" i="1"/>
  <c r="BP183" i="1"/>
  <c r="Z183" i="1"/>
  <c r="Y206" i="1"/>
  <c r="BP199" i="1"/>
  <c r="Z199" i="1"/>
  <c r="BN347" i="1"/>
  <c r="BP347" i="1"/>
  <c r="Z347" i="1"/>
  <c r="Y382" i="1"/>
  <c r="BN378" i="1"/>
  <c r="BP378" i="1"/>
  <c r="Z378" i="1"/>
  <c r="Y440" i="1"/>
  <c r="Y439" i="1"/>
  <c r="BN438" i="1"/>
  <c r="BP438" i="1"/>
  <c r="Z438" i="1"/>
  <c r="Z439" i="1" s="1"/>
  <c r="BN454" i="1"/>
  <c r="BP454" i="1"/>
  <c r="Z454" i="1"/>
  <c r="BN480" i="1"/>
  <c r="BP480" i="1"/>
  <c r="Z480" i="1"/>
  <c r="X535" i="1"/>
  <c r="X536" i="1" s="1"/>
  <c r="Z27" i="1"/>
  <c r="BP27" i="1"/>
  <c r="C543" i="1"/>
  <c r="Z45" i="1"/>
  <c r="BP45" i="1"/>
  <c r="D543" i="1"/>
  <c r="Z55" i="1"/>
  <c r="BP55" i="1"/>
  <c r="Z62" i="1"/>
  <c r="BP66" i="1"/>
  <c r="Y74" i="1"/>
  <c r="Z72" i="1"/>
  <c r="Z78" i="1"/>
  <c r="BP78" i="1"/>
  <c r="Y84" i="1"/>
  <c r="BP82" i="1"/>
  <c r="Z82" i="1"/>
  <c r="BP97" i="1"/>
  <c r="Z97" i="1"/>
  <c r="Z108" i="1"/>
  <c r="BP116" i="1"/>
  <c r="Y132" i="1"/>
  <c r="Y131" i="1"/>
  <c r="BN130" i="1"/>
  <c r="BP130" i="1"/>
  <c r="Z169" i="1"/>
  <c r="Z177" i="1"/>
  <c r="BP201" i="1"/>
  <c r="BN224" i="1"/>
  <c r="BP224" i="1"/>
  <c r="Z224" i="1"/>
  <c r="BN232" i="1"/>
  <c r="BP232" i="1"/>
  <c r="Z232" i="1"/>
  <c r="BN318" i="1"/>
  <c r="BP318" i="1"/>
  <c r="Z318" i="1"/>
  <c r="BN325" i="1"/>
  <c r="BP325" i="1"/>
  <c r="Z325" i="1"/>
  <c r="BN332" i="1"/>
  <c r="BP332" i="1"/>
  <c r="Z332" i="1"/>
  <c r="Y388" i="1"/>
  <c r="BN384" i="1"/>
  <c r="BP384" i="1"/>
  <c r="Z384" i="1"/>
  <c r="BN411" i="1"/>
  <c r="BP411" i="1"/>
  <c r="Z411" i="1"/>
  <c r="BN470" i="1"/>
  <c r="BP470" i="1"/>
  <c r="Z470" i="1"/>
  <c r="X533" i="1"/>
  <c r="BN114" i="1"/>
  <c r="Y147" i="1"/>
  <c r="BN145" i="1"/>
  <c r="BP145" i="1"/>
  <c r="I543" i="1"/>
  <c r="BP152" i="1"/>
  <c r="Z152" i="1"/>
  <c r="BN183" i="1"/>
  <c r="BN199" i="1"/>
  <c r="Z201" i="1"/>
  <c r="BN311" i="1"/>
  <c r="BP311" i="1"/>
  <c r="Z311" i="1"/>
  <c r="BN364" i="1"/>
  <c r="BP364" i="1"/>
  <c r="Z364" i="1"/>
  <c r="BN392" i="1"/>
  <c r="BP392" i="1"/>
  <c r="Z392" i="1"/>
  <c r="Y421" i="1"/>
  <c r="BN417" i="1"/>
  <c r="BP417" i="1"/>
  <c r="Z417" i="1"/>
  <c r="Y522" i="1"/>
  <c r="Y521" i="1"/>
  <c r="BN520" i="1"/>
  <c r="BP520" i="1"/>
  <c r="Z520" i="1"/>
  <c r="Z521" i="1" s="1"/>
  <c r="B543" i="1"/>
  <c r="BN27" i="1"/>
  <c r="BN62" i="1"/>
  <c r="BP91" i="1"/>
  <c r="Z91" i="1"/>
  <c r="BP106" i="1"/>
  <c r="Z106" i="1"/>
  <c r="BP124" i="1"/>
  <c r="BP154" i="1"/>
  <c r="BP159" i="1"/>
  <c r="Z159" i="1"/>
  <c r="BP175" i="1"/>
  <c r="Z175" i="1"/>
  <c r="BN216" i="1"/>
  <c r="BP216" i="1"/>
  <c r="Z216" i="1"/>
  <c r="BN260" i="1"/>
  <c r="BP260" i="1"/>
  <c r="Z260" i="1"/>
  <c r="BN274" i="1"/>
  <c r="BP274" i="1"/>
  <c r="Z274" i="1"/>
  <c r="BN297" i="1"/>
  <c r="BP297" i="1"/>
  <c r="Z297" i="1"/>
  <c r="BN356" i="1"/>
  <c r="BP356" i="1"/>
  <c r="Z356" i="1"/>
  <c r="BN372" i="1"/>
  <c r="BP372" i="1"/>
  <c r="Z372" i="1"/>
  <c r="Y425" i="1"/>
  <c r="BN423" i="1"/>
  <c r="BP423" i="1"/>
  <c r="Z423" i="1"/>
  <c r="BN496" i="1"/>
  <c r="BP496" i="1"/>
  <c r="Z496" i="1"/>
  <c r="Y228" i="1"/>
  <c r="T543" i="1"/>
  <c r="Y368" i="1"/>
  <c r="Y401" i="1"/>
  <c r="F543" i="1"/>
  <c r="Y99" i="1"/>
  <c r="G543" i="1"/>
  <c r="BN193" i="1"/>
  <c r="Y194" i="1"/>
  <c r="BN210" i="1"/>
  <c r="Z214" i="1"/>
  <c r="BP214" i="1"/>
  <c r="Z222" i="1"/>
  <c r="BN234" i="1"/>
  <c r="BN254" i="1"/>
  <c r="Y257" i="1"/>
  <c r="Z266" i="1"/>
  <c r="Y283" i="1"/>
  <c r="Z272" i="1"/>
  <c r="Z280" i="1"/>
  <c r="Z295" i="1"/>
  <c r="Z301" i="1"/>
  <c r="Z302" i="1" s="1"/>
  <c r="BP301" i="1"/>
  <c r="BN305" i="1"/>
  <c r="Y306" i="1"/>
  <c r="Z309" i="1"/>
  <c r="Z316" i="1"/>
  <c r="Z354" i="1"/>
  <c r="Z362" i="1"/>
  <c r="Z399" i="1"/>
  <c r="V543" i="1"/>
  <c r="Z409" i="1"/>
  <c r="Y446" i="1"/>
  <c r="Z444" i="1"/>
  <c r="Z452" i="1"/>
  <c r="Z460" i="1"/>
  <c r="Z478" i="1"/>
  <c r="Y526" i="1"/>
  <c r="Z286" i="1"/>
  <c r="Z293" i="1"/>
  <c r="Y328" i="1"/>
  <c r="Z336" i="1"/>
  <c r="Y342" i="1"/>
  <c r="Z407" i="1"/>
  <c r="W543" i="1"/>
  <c r="Z442" i="1"/>
  <c r="BP442" i="1"/>
  <c r="Z450" i="1"/>
  <c r="Z465" i="1"/>
  <c r="Z466" i="1" s="1"/>
  <c r="BP465" i="1"/>
  <c r="Z484" i="1"/>
  <c r="Z500" i="1"/>
  <c r="Z524" i="1"/>
  <c r="BP524" i="1"/>
  <c r="H9" i="1"/>
  <c r="A10" i="1"/>
  <c r="Y24" i="1"/>
  <c r="Y34" i="1"/>
  <c r="Y38" i="1"/>
  <c r="Y48" i="1"/>
  <c r="Y56" i="1"/>
  <c r="Y67" i="1"/>
  <c r="Y75" i="1"/>
  <c r="Y79" i="1"/>
  <c r="Y85" i="1"/>
  <c r="Y92" i="1"/>
  <c r="Y100" i="1"/>
  <c r="Y111" i="1"/>
  <c r="Y121" i="1"/>
  <c r="Y127" i="1"/>
  <c r="Y138" i="1"/>
  <c r="Y142" i="1"/>
  <c r="Y148" i="1"/>
  <c r="Y155" i="1"/>
  <c r="Y162" i="1"/>
  <c r="Y166" i="1"/>
  <c r="Y180" i="1"/>
  <c r="Y186" i="1"/>
  <c r="Y190" i="1"/>
  <c r="Y229" i="1"/>
  <c r="BP240" i="1"/>
  <c r="BN240" i="1"/>
  <c r="Z240" i="1"/>
  <c r="Y245" i="1"/>
  <c r="BP244" i="1"/>
  <c r="BN244" i="1"/>
  <c r="Z244" i="1"/>
  <c r="Z245" i="1" s="1"/>
  <c r="Y246" i="1"/>
  <c r="M543" i="1"/>
  <c r="Y251" i="1"/>
  <c r="Y252" i="1"/>
  <c r="BP249" i="1"/>
  <c r="BN249" i="1"/>
  <c r="Z249" i="1"/>
  <c r="Z251" i="1" s="1"/>
  <c r="F9" i="1"/>
  <c r="J9" i="1"/>
  <c r="Z22" i="1"/>
  <c r="BN22" i="1"/>
  <c r="BP22" i="1"/>
  <c r="X537" i="1"/>
  <c r="Y25" i="1"/>
  <c r="Z28" i="1"/>
  <c r="BN28" i="1"/>
  <c r="Z30" i="1"/>
  <c r="BN30" i="1"/>
  <c r="Z32" i="1"/>
  <c r="BN32" i="1"/>
  <c r="Z36" i="1"/>
  <c r="Z37" i="1" s="1"/>
  <c r="BN36" i="1"/>
  <c r="BP36" i="1"/>
  <c r="Z42" i="1"/>
  <c r="BN42" i="1"/>
  <c r="BP42" i="1"/>
  <c r="Z44" i="1"/>
  <c r="BN44" i="1"/>
  <c r="Z46" i="1"/>
  <c r="BN46" i="1"/>
  <c r="Y47" i="1"/>
  <c r="Z52" i="1"/>
  <c r="BN52" i="1"/>
  <c r="BP52" i="1"/>
  <c r="Z54" i="1"/>
  <c r="BN54" i="1"/>
  <c r="Y57" i="1"/>
  <c r="E543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BN96" i="1"/>
  <c r="Z98" i="1"/>
  <c r="BN98" i="1"/>
  <c r="Z103" i="1"/>
  <c r="Z110" i="1" s="1"/>
  <c r="BN103" i="1"/>
  <c r="BP103" i="1"/>
  <c r="Z105" i="1"/>
  <c r="BN105" i="1"/>
  <c r="Z107" i="1"/>
  <c r="BN107" i="1"/>
  <c r="Z109" i="1"/>
  <c r="BN109" i="1"/>
  <c r="Y110" i="1"/>
  <c r="Z113" i="1"/>
  <c r="Z120" i="1" s="1"/>
  <c r="BN113" i="1"/>
  <c r="BP113" i="1"/>
  <c r="Z115" i="1"/>
  <c r="BN115" i="1"/>
  <c r="Z117" i="1"/>
  <c r="BN117" i="1"/>
  <c r="Z119" i="1"/>
  <c r="BN119" i="1"/>
  <c r="Z123" i="1"/>
  <c r="BN123" i="1"/>
  <c r="BP123" i="1"/>
  <c r="Z125" i="1"/>
  <c r="BN125" i="1"/>
  <c r="H543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BN151" i="1"/>
  <c r="BP151" i="1"/>
  <c r="Z153" i="1"/>
  <c r="BN153" i="1"/>
  <c r="Y156" i="1"/>
  <c r="J543" i="1"/>
  <c r="Z160" i="1"/>
  <c r="Z161" i="1" s="1"/>
  <c r="BN160" i="1"/>
  <c r="Y161" i="1"/>
  <c r="Z164" i="1"/>
  <c r="Z165" i="1" s="1"/>
  <c r="BN164" i="1"/>
  <c r="BP164" i="1"/>
  <c r="Z168" i="1"/>
  <c r="Z179" i="1" s="1"/>
  <c r="BN168" i="1"/>
  <c r="BP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90" i="1" s="1"/>
  <c r="BN188" i="1"/>
  <c r="BP188" i="1"/>
  <c r="K543" i="1"/>
  <c r="Z200" i="1"/>
  <c r="BN200" i="1"/>
  <c r="Z202" i="1"/>
  <c r="BN202" i="1"/>
  <c r="Z204" i="1"/>
  <c r="BN204" i="1"/>
  <c r="Y207" i="1"/>
  <c r="L543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27" i="1"/>
  <c r="BN227" i="1"/>
  <c r="Z231" i="1"/>
  <c r="BN231" i="1"/>
  <c r="BP231" i="1"/>
  <c r="Z233" i="1"/>
  <c r="BN233" i="1"/>
  <c r="Y236" i="1"/>
  <c r="Y241" i="1"/>
  <c r="BP238" i="1"/>
  <c r="BN238" i="1"/>
  <c r="Z238" i="1"/>
  <c r="Z241" i="1" s="1"/>
  <c r="Z255" i="1"/>
  <c r="Z256" i="1" s="1"/>
  <c r="BN255" i="1"/>
  <c r="BP255" i="1"/>
  <c r="Z259" i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43" i="1"/>
  <c r="Z292" i="1"/>
  <c r="BN292" i="1"/>
  <c r="Z294" i="1"/>
  <c r="BN294" i="1"/>
  <c r="Z296" i="1"/>
  <c r="BN296" i="1"/>
  <c r="Y299" i="1"/>
  <c r="Y313" i="1"/>
  <c r="BP319" i="1"/>
  <c r="BN319" i="1"/>
  <c r="Z319" i="1"/>
  <c r="Y329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298" i="1"/>
  <c r="Z312" i="1"/>
  <c r="BP310" i="1"/>
  <c r="BN310" i="1"/>
  <c r="Y312" i="1"/>
  <c r="Z321" i="1"/>
  <c r="BP317" i="1"/>
  <c r="BN317" i="1"/>
  <c r="Z317" i="1"/>
  <c r="Y321" i="1"/>
  <c r="BP326" i="1"/>
  <c r="BN326" i="1"/>
  <c r="Z326" i="1"/>
  <c r="BP335" i="1"/>
  <c r="BN335" i="1"/>
  <c r="Z335" i="1"/>
  <c r="BP348" i="1"/>
  <c r="BN348" i="1"/>
  <c r="Z348" i="1"/>
  <c r="Y350" i="1"/>
  <c r="Y359" i="1"/>
  <c r="Y369" i="1"/>
  <c r="Y375" i="1"/>
  <c r="Y381" i="1"/>
  <c r="Y389" i="1"/>
  <c r="Y395" i="1"/>
  <c r="Y402" i="1"/>
  <c r="Y414" i="1"/>
  <c r="Y420" i="1"/>
  <c r="Y426" i="1"/>
  <c r="Y430" i="1"/>
  <c r="Y435" i="1"/>
  <c r="Y445" i="1"/>
  <c r="Y457" i="1"/>
  <c r="Y461" i="1"/>
  <c r="BP471" i="1"/>
  <c r="BN471" i="1"/>
  <c r="Z471" i="1"/>
  <c r="Y473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3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Q543" i="1"/>
  <c r="U543" i="1"/>
  <c r="Y543" i="1"/>
  <c r="P543" i="1"/>
  <c r="Y322" i="1"/>
  <c r="R543" i="1"/>
  <c r="Y338" i="1"/>
  <c r="Z353" i="1"/>
  <c r="Z358" i="1" s="1"/>
  <c r="BN353" i="1"/>
  <c r="BP353" i="1"/>
  <c r="Z355" i="1"/>
  <c r="BN355" i="1"/>
  <c r="Z357" i="1"/>
  <c r="BN357" i="1"/>
  <c r="Y358" i="1"/>
  <c r="Z361" i="1"/>
  <c r="Z368" i="1" s="1"/>
  <c r="BN361" i="1"/>
  <c r="BP361" i="1"/>
  <c r="Z363" i="1"/>
  <c r="BN363" i="1"/>
  <c r="Z365" i="1"/>
  <c r="BN365" i="1"/>
  <c r="Z367" i="1"/>
  <c r="BN367" i="1"/>
  <c r="Z371" i="1"/>
  <c r="BN371" i="1"/>
  <c r="BP371" i="1"/>
  <c r="Z373" i="1"/>
  <c r="BN373" i="1"/>
  <c r="Z379" i="1"/>
  <c r="Z381" i="1" s="1"/>
  <c r="BN379" i="1"/>
  <c r="Z385" i="1"/>
  <c r="BN385" i="1"/>
  <c r="Z387" i="1"/>
  <c r="BN387" i="1"/>
  <c r="Z391" i="1"/>
  <c r="Z394" i="1" s="1"/>
  <c r="BN391" i="1"/>
  <c r="BP391" i="1"/>
  <c r="Z393" i="1"/>
  <c r="BN393" i="1"/>
  <c r="Z398" i="1"/>
  <c r="BN398" i="1"/>
  <c r="BP398" i="1"/>
  <c r="Z400" i="1"/>
  <c r="BN400" i="1"/>
  <c r="Z406" i="1"/>
  <c r="Z414" i="1" s="1"/>
  <c r="BN406" i="1"/>
  <c r="BP406" i="1"/>
  <c r="Z408" i="1"/>
  <c r="BN408" i="1"/>
  <c r="Z410" i="1"/>
  <c r="BN410" i="1"/>
  <c r="Z412" i="1"/>
  <c r="BN412" i="1"/>
  <c r="Y415" i="1"/>
  <c r="Z418" i="1"/>
  <c r="Z420" i="1" s="1"/>
  <c r="BN418" i="1"/>
  <c r="Z424" i="1"/>
  <c r="Z425" i="1" s="1"/>
  <c r="BN424" i="1"/>
  <c r="Z428" i="1"/>
  <c r="Z429" i="1" s="1"/>
  <c r="BN428" i="1"/>
  <c r="BP428" i="1"/>
  <c r="Z433" i="1"/>
  <c r="Z435" i="1" s="1"/>
  <c r="BN433" i="1"/>
  <c r="BP433" i="1"/>
  <c r="Y436" i="1"/>
  <c r="Z443" i="1"/>
  <c r="BN443" i="1"/>
  <c r="X543" i="1"/>
  <c r="Z451" i="1"/>
  <c r="BN451" i="1"/>
  <c r="Z453" i="1"/>
  <c r="BN453" i="1"/>
  <c r="Z455" i="1"/>
  <c r="BN455" i="1"/>
  <c r="Y456" i="1"/>
  <c r="Z459" i="1"/>
  <c r="BN459" i="1"/>
  <c r="BP459" i="1"/>
  <c r="Y472" i="1"/>
  <c r="BP469" i="1"/>
  <c r="BN469" i="1"/>
  <c r="Z469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BP499" i="1"/>
  <c r="BN499" i="1"/>
  <c r="Z499" i="1"/>
  <c r="Y517" i="1"/>
  <c r="BP525" i="1"/>
  <c r="BN525" i="1"/>
  <c r="Z525" i="1"/>
  <c r="Z526" i="1" s="1"/>
  <c r="Y527" i="1"/>
  <c r="AB543" i="1"/>
  <c r="Y531" i="1"/>
  <c r="BP530" i="1"/>
  <c r="BN530" i="1"/>
  <c r="Z530" i="1"/>
  <c r="Z531" i="1" s="1"/>
  <c r="Y532" i="1"/>
  <c r="AA543" i="1"/>
  <c r="Z388" i="1" l="1"/>
  <c r="Z99" i="1"/>
  <c r="Z472" i="1"/>
  <c r="Z461" i="1"/>
  <c r="Z445" i="1"/>
  <c r="Z328" i="1"/>
  <c r="Z24" i="1"/>
  <c r="Z456" i="1"/>
  <c r="Z228" i="1"/>
  <c r="Z74" i="1"/>
  <c r="Z298" i="1"/>
  <c r="Z206" i="1"/>
  <c r="Z337" i="1"/>
  <c r="Z282" i="1"/>
  <c r="Z67" i="1"/>
  <c r="Z33" i="1"/>
  <c r="Z502" i="1"/>
  <c r="Z401" i="1"/>
  <c r="Z375" i="1"/>
  <c r="Z492" i="1"/>
  <c r="Z267" i="1"/>
  <c r="Z235" i="1"/>
  <c r="Z185" i="1"/>
  <c r="Z155" i="1"/>
  <c r="Z127" i="1"/>
  <c r="Z56" i="1"/>
  <c r="Z47" i="1"/>
  <c r="Y533" i="1"/>
  <c r="Y535" i="1"/>
  <c r="Z486" i="1"/>
  <c r="Z349" i="1"/>
  <c r="Y534" i="1"/>
  <c r="Y536" i="1" s="1"/>
  <c r="Y537" i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<sst xmlns="http://schemas.openxmlformats.org/spreadsheetml/2006/main" count="2409" uniqueCount="873">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</sst>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90" t="s">
        <v>0</v>
      </c>
      <c r="E1" s="638"/>
      <c r="F1" s="638"/>
      <c r="G1" s="12" t="s">
        <v>1</v>
      </c>
      <c r="H1" s="690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31" t="s">
        <v>8</v>
      </c>
      <c r="B5" s="662"/>
      <c r="C5" s="663"/>
      <c r="D5" s="694"/>
      <c r="E5" s="695"/>
      <c r="F5" s="920" t="s">
        <v>9</v>
      </c>
      <c r="G5" s="663"/>
      <c r="H5" s="694" t="s">
        <v>872</v>
      </c>
      <c r="I5" s="847"/>
      <c r="J5" s="847"/>
      <c r="K5" s="847"/>
      <c r="L5" s="847"/>
      <c r="M5" s="695"/>
      <c r="N5" s="58"/>
      <c r="P5" s="24" t="s">
        <v>10</v>
      </c>
      <c r="Q5" s="903">
        <v>46215</v>
      </c>
      <c r="R5" s="726"/>
      <c r="T5" s="773" t="s">
        <v>11</v>
      </c>
      <c r="U5" s="774"/>
      <c r="V5" s="775" t="s">
        <v>12</v>
      </c>
      <c r="W5" s="726"/>
      <c r="AB5" s="51"/>
      <c r="AC5" s="51"/>
      <c r="AD5" s="51"/>
      <c r="AE5" s="51"/>
    </row>
    <row r="6" spans="1:32" s="599" customFormat="1" ht="24" customHeight="1" x14ac:dyDescent="0.2">
      <c r="A6" s="731" t="s">
        <v>13</v>
      </c>
      <c r="B6" s="662"/>
      <c r="C6" s="663"/>
      <c r="D6" s="850" t="s">
        <v>833</v>
      </c>
      <c r="E6" s="851"/>
      <c r="F6" s="851"/>
      <c r="G6" s="851"/>
      <c r="H6" s="851"/>
      <c r="I6" s="851"/>
      <c r="J6" s="851"/>
      <c r="K6" s="851"/>
      <c r="L6" s="851"/>
      <c r="M6" s="726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Воскресенье</v>
      </c>
      <c r="R6" s="620"/>
      <c r="T6" s="783" t="s">
        <v>15</v>
      </c>
      <c r="U6" s="774"/>
      <c r="V6" s="834" t="s">
        <v>16</v>
      </c>
      <c r="W6" s="666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77" t="str">
        <f>IFERROR(VLOOKUP(DeliveryAddress,Table,3,0),1)</f>
        <v>1</v>
      </c>
      <c r="E7" s="678"/>
      <c r="F7" s="678"/>
      <c r="G7" s="678"/>
      <c r="H7" s="678"/>
      <c r="I7" s="678"/>
      <c r="J7" s="678"/>
      <c r="K7" s="678"/>
      <c r="L7" s="678"/>
      <c r="M7" s="679"/>
      <c r="N7" s="60"/>
      <c r="P7" s="24"/>
      <c r="Q7" s="42"/>
      <c r="R7" s="42"/>
      <c r="T7" s="610"/>
      <c r="U7" s="774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37" t="s">
        <v>17</v>
      </c>
      <c r="B8" s="622"/>
      <c r="C8" s="623"/>
      <c r="D8" s="685"/>
      <c r="E8" s="686"/>
      <c r="F8" s="686"/>
      <c r="G8" s="686"/>
      <c r="H8" s="686"/>
      <c r="I8" s="686"/>
      <c r="J8" s="686"/>
      <c r="K8" s="686"/>
      <c r="L8" s="686"/>
      <c r="M8" s="687"/>
      <c r="N8" s="61"/>
      <c r="P8" s="24" t="s">
        <v>18</v>
      </c>
      <c r="Q8" s="738">
        <v>0.41666666666666669</v>
      </c>
      <c r="R8" s="679"/>
      <c r="T8" s="610"/>
      <c r="U8" s="774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47"/>
      <c r="E9" s="629"/>
      <c r="F9" s="7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97"/>
      <c r="P9" s="26" t="s">
        <v>19</v>
      </c>
      <c r="Q9" s="722"/>
      <c r="R9" s="723"/>
      <c r="T9" s="610"/>
      <c r="U9" s="774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47"/>
      <c r="E10" s="629"/>
      <c r="F10" s="7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6" t="str">
        <f>IFERROR(VLOOKUP($D$10,Proxy,2,FALSE),"")</f>
        <v/>
      </c>
      <c r="I10" s="610"/>
      <c r="J10" s="610"/>
      <c r="K10" s="610"/>
      <c r="L10" s="610"/>
      <c r="M10" s="610"/>
      <c r="N10" s="598"/>
      <c r="P10" s="26" t="s">
        <v>20</v>
      </c>
      <c r="Q10" s="784"/>
      <c r="R10" s="785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5"/>
      <c r="R11" s="726"/>
      <c r="U11" s="24" t="s">
        <v>25</v>
      </c>
      <c r="V11" s="922" t="s">
        <v>26</v>
      </c>
      <c r="W11" s="723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6" t="s">
        <v>27</v>
      </c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63"/>
      <c r="N12" s="62"/>
      <c r="P12" s="24" t="s">
        <v>28</v>
      </c>
      <c r="Q12" s="738"/>
      <c r="R12" s="679"/>
      <c r="S12" s="23"/>
      <c r="U12" s="24"/>
      <c r="V12" s="638"/>
      <c r="W12" s="610"/>
      <c r="AB12" s="51"/>
      <c r="AC12" s="51"/>
      <c r="AD12" s="51"/>
      <c r="AE12" s="51"/>
    </row>
    <row r="13" spans="1:32" s="599" customFormat="1" ht="23.25" customHeight="1" x14ac:dyDescent="0.2">
      <c r="A13" s="766" t="s">
        <v>29</v>
      </c>
      <c r="B13" s="662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63"/>
      <c r="N13" s="62"/>
      <c r="O13" s="26"/>
      <c r="P13" s="26" t="s">
        <v>30</v>
      </c>
      <c r="Q13" s="922"/>
      <c r="R13" s="7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6" t="s">
        <v>31</v>
      </c>
      <c r="B14" s="662"/>
      <c r="C14" s="662"/>
      <c r="D14" s="662"/>
      <c r="E14" s="662"/>
      <c r="F14" s="662"/>
      <c r="G14" s="662"/>
      <c r="H14" s="662"/>
      <c r="I14" s="662"/>
      <c r="J14" s="662"/>
      <c r="K14" s="662"/>
      <c r="L14" s="662"/>
      <c r="M14" s="66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793" t="s">
        <v>32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3"/>
      <c r="N15" s="63"/>
      <c r="P15" s="799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0" t="s">
        <v>34</v>
      </c>
      <c r="B17" s="650" t="s">
        <v>35</v>
      </c>
      <c r="C17" s="745" t="s">
        <v>36</v>
      </c>
      <c r="D17" s="650" t="s">
        <v>37</v>
      </c>
      <c r="E17" s="655"/>
      <c r="F17" s="650" t="s">
        <v>38</v>
      </c>
      <c r="G17" s="650" t="s">
        <v>39</v>
      </c>
      <c r="H17" s="650" t="s">
        <v>40</v>
      </c>
      <c r="I17" s="650" t="s">
        <v>41</v>
      </c>
      <c r="J17" s="650" t="s">
        <v>42</v>
      </c>
      <c r="K17" s="650" t="s">
        <v>43</v>
      </c>
      <c r="L17" s="650" t="s">
        <v>44</v>
      </c>
      <c r="M17" s="650" t="s">
        <v>45</v>
      </c>
      <c r="N17" s="650" t="s">
        <v>46</v>
      </c>
      <c r="O17" s="650" t="s">
        <v>47</v>
      </c>
      <c r="P17" s="650" t="s">
        <v>48</v>
      </c>
      <c r="Q17" s="654"/>
      <c r="R17" s="654"/>
      <c r="S17" s="654"/>
      <c r="T17" s="655"/>
      <c r="U17" s="940" t="s">
        <v>49</v>
      </c>
      <c r="V17" s="663"/>
      <c r="W17" s="650" t="s">
        <v>50</v>
      </c>
      <c r="X17" s="650" t="s">
        <v>51</v>
      </c>
      <c r="Y17" s="955" t="s">
        <v>52</v>
      </c>
      <c r="Z17" s="845" t="s">
        <v>53</v>
      </c>
      <c r="AA17" s="824" t="s">
        <v>54</v>
      </c>
      <c r="AB17" s="824" t="s">
        <v>55</v>
      </c>
      <c r="AC17" s="824" t="s">
        <v>56</v>
      </c>
      <c r="AD17" s="824" t="s">
        <v>57</v>
      </c>
      <c r="AE17" s="915"/>
      <c r="AF17" s="916"/>
      <c r="AG17" s="66"/>
      <c r="BD17" s="65" t="s">
        <v>58</v>
      </c>
    </row>
    <row r="18" spans="1:68" ht="14.25" customHeight="1" x14ac:dyDescent="0.2">
      <c r="A18" s="651"/>
      <c r="B18" s="651"/>
      <c r="C18" s="651"/>
      <c r="D18" s="656"/>
      <c r="E18" s="658"/>
      <c r="F18" s="651"/>
      <c r="G18" s="651"/>
      <c r="H18" s="651"/>
      <c r="I18" s="651"/>
      <c r="J18" s="651"/>
      <c r="K18" s="651"/>
      <c r="L18" s="651"/>
      <c r="M18" s="651"/>
      <c r="N18" s="651"/>
      <c r="O18" s="651"/>
      <c r="P18" s="656"/>
      <c r="Q18" s="657"/>
      <c r="R18" s="657"/>
      <c r="S18" s="657"/>
      <c r="T18" s="658"/>
      <c r="U18" s="67" t="s">
        <v>59</v>
      </c>
      <c r="V18" s="67" t="s">
        <v>60</v>
      </c>
      <c r="W18" s="651"/>
      <c r="X18" s="651"/>
      <c r="Y18" s="956"/>
      <c r="Z18" s="846"/>
      <c r="AA18" s="825"/>
      <c r="AB18" s="825"/>
      <c r="AC18" s="825"/>
      <c r="AD18" s="917"/>
      <c r="AE18" s="918"/>
      <c r="AF18" s="919"/>
      <c r="AG18" s="66"/>
      <c r="BD18" s="65"/>
    </row>
    <row r="19" spans="1:68" ht="27.75" hidden="1" customHeight="1" x14ac:dyDescent="0.2">
      <c r="A19" s="630" t="s">
        <v>61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hidden="1" customHeight="1" x14ac:dyDescent="0.25">
      <c r="A20" s="647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601"/>
      <c r="AB21" s="601"/>
      <c r="AC21" s="60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6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7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7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601"/>
      <c r="AB26" s="601"/>
      <c r="AC26" s="60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19">
        <v>4680115887657</v>
      </c>
      <c r="E31" s="62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8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19">
        <v>4680115887619</v>
      </c>
      <c r="E32" s="62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5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16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7"/>
      <c r="P33" s="621" t="s">
        <v>72</v>
      </c>
      <c r="Q33" s="622"/>
      <c r="R33" s="622"/>
      <c r="S33" s="622"/>
      <c r="T33" s="622"/>
      <c r="U33" s="622"/>
      <c r="V33" s="623"/>
      <c r="W33" s="37" t="s">
        <v>73</v>
      </c>
      <c r="X33" s="607">
        <f>IFERROR(X27/H27,"0")+IFERROR(X28/H28,"0")+IFERROR(X29/H29,"0")+IFERROR(X30/H30,"0")+IFERROR(X31/H31,"0")+IFERROR(X32/H32,"0")</f>
        <v>0</v>
      </c>
      <c r="Y33" s="607">
        <f>IFERROR(Y27/H27,"0")+IFERROR(Y28/H28,"0")+IFERROR(Y29/H29,"0")+IFERROR(Y30/H30,"0")+IFERROR(Y31/H31,"0")+IFERROR(Y32/H32,"0")</f>
        <v>0</v>
      </c>
      <c r="Z33" s="607">
        <f>IFERROR(IF(Z27="",0,Z27),"0")+IFERROR(IF(Z28="",0,Z28),"0")+IFERROR(IF(Z29="",0,Z29),"0")+IFERROR(IF(Z30="",0,Z30),"0")+IFERROR(IF(Z31="",0,Z31),"0")+IFERROR(IF(Z32="",0,Z32),"0")</f>
        <v>0</v>
      </c>
      <c r="AA33" s="608"/>
      <c r="AB33" s="608"/>
      <c r="AC33" s="608"/>
    </row>
    <row r="34" spans="1:68" hidden="1" x14ac:dyDescent="0.2">
      <c r="A34" s="610"/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7"/>
      <c r="P34" s="621" t="s">
        <v>72</v>
      </c>
      <c r="Q34" s="622"/>
      <c r="R34" s="622"/>
      <c r="S34" s="622"/>
      <c r="T34" s="622"/>
      <c r="U34" s="622"/>
      <c r="V34" s="623"/>
      <c r="W34" s="37" t="s">
        <v>67</v>
      </c>
      <c r="X34" s="607">
        <f>IFERROR(SUM(X27:X32),"0")</f>
        <v>0</v>
      </c>
      <c r="Y34" s="607">
        <f>IFERROR(SUM(Y27:Y32),"0")</f>
        <v>0</v>
      </c>
      <c r="Z34" s="37"/>
      <c r="AA34" s="608"/>
      <c r="AB34" s="608"/>
      <c r="AC34" s="608"/>
    </row>
    <row r="35" spans="1:68" ht="14.25" hidden="1" customHeight="1" x14ac:dyDescent="0.25">
      <c r="A35" s="609" t="s">
        <v>95</v>
      </c>
      <c r="B35" s="610"/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  <c r="P35" s="610"/>
      <c r="Q35" s="610"/>
      <c r="R35" s="610"/>
      <c r="S35" s="610"/>
      <c r="T35" s="610"/>
      <c r="U35" s="610"/>
      <c r="V35" s="610"/>
      <c r="W35" s="610"/>
      <c r="X35" s="610"/>
      <c r="Y35" s="610"/>
      <c r="Z35" s="610"/>
      <c r="AA35" s="601"/>
      <c r="AB35" s="601"/>
      <c r="AC35" s="601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19">
        <v>4607091388503</v>
      </c>
      <c r="E36" s="62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9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16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7"/>
      <c r="P37" s="621" t="s">
        <v>72</v>
      </c>
      <c r="Q37" s="622"/>
      <c r="R37" s="622"/>
      <c r="S37" s="622"/>
      <c r="T37" s="622"/>
      <c r="U37" s="622"/>
      <c r="V37" s="623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hidden="1" x14ac:dyDescent="0.2">
      <c r="A38" s="610"/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7"/>
      <c r="P38" s="621" t="s">
        <v>72</v>
      </c>
      <c r="Q38" s="622"/>
      <c r="R38" s="622"/>
      <c r="S38" s="622"/>
      <c r="T38" s="622"/>
      <c r="U38" s="622"/>
      <c r="V38" s="623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hidden="1" customHeight="1" x14ac:dyDescent="0.2">
      <c r="A39" s="630" t="s">
        <v>101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48"/>
      <c r="AB39" s="48"/>
      <c r="AC39" s="48"/>
    </row>
    <row r="40" spans="1:68" ht="16.5" hidden="1" customHeight="1" x14ac:dyDescent="0.25">
      <c r="A40" s="647" t="s">
        <v>102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600"/>
      <c r="AB40" s="600"/>
      <c r="AC40" s="600"/>
    </row>
    <row r="41" spans="1:68" ht="14.25" hidden="1" customHeight="1" x14ac:dyDescent="0.25">
      <c r="A41" s="609" t="s">
        <v>74</v>
      </c>
      <c r="B41" s="610"/>
      <c r="C41" s="610"/>
      <c r="D41" s="610"/>
      <c r="E41" s="610"/>
      <c r="F41" s="610"/>
      <c r="G41" s="610"/>
      <c r="H41" s="610"/>
      <c r="I41" s="610"/>
      <c r="J41" s="610"/>
      <c r="K41" s="610"/>
      <c r="L41" s="610"/>
      <c r="M41" s="610"/>
      <c r="N41" s="610"/>
      <c r="O41" s="610"/>
      <c r="P41" s="610"/>
      <c r="Q41" s="610"/>
      <c r="R41" s="610"/>
      <c r="S41" s="610"/>
      <c r="T41" s="610"/>
      <c r="U41" s="610"/>
      <c r="V41" s="610"/>
      <c r="W41" s="610"/>
      <c r="X41" s="610"/>
      <c r="Y41" s="610"/>
      <c r="Z41" s="610"/>
      <c r="AA41" s="601"/>
      <c r="AB41" s="601"/>
      <c r="AC41" s="601"/>
    </row>
    <row r="42" spans="1:68" ht="27" hidden="1" customHeight="1" x14ac:dyDescent="0.25">
      <c r="A42" s="54" t="s">
        <v>103</v>
      </c>
      <c r="B42" s="54" t="s">
        <v>104</v>
      </c>
      <c r="C42" s="31">
        <v>4301052187</v>
      </c>
      <c r="D42" s="619">
        <v>4680115889354</v>
      </c>
      <c r="E42" s="62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4301052198</v>
      </c>
      <c r="D43" s="619">
        <v>4680115888463</v>
      </c>
      <c r="E43" s="62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4301052202</v>
      </c>
      <c r="D44" s="619">
        <v>4680115888494</v>
      </c>
      <c r="E44" s="62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4301052184</v>
      </c>
      <c r="D45" s="619">
        <v>4680115888272</v>
      </c>
      <c r="E45" s="62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hidden="1" customHeight="1" x14ac:dyDescent="0.25">
      <c r="A46" s="54" t="s">
        <v>116</v>
      </c>
      <c r="B46" s="54" t="s">
        <v>117</v>
      </c>
      <c r="C46" s="31">
        <v>4301052188</v>
      </c>
      <c r="D46" s="619">
        <v>4680115888364</v>
      </c>
      <c r="E46" s="62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616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7"/>
      <c r="P47" s="621" t="s">
        <v>72</v>
      </c>
      <c r="Q47" s="622"/>
      <c r="R47" s="622"/>
      <c r="S47" s="622"/>
      <c r="T47" s="622"/>
      <c r="U47" s="622"/>
      <c r="V47" s="623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hidden="1" x14ac:dyDescent="0.2">
      <c r="A48" s="610"/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7"/>
      <c r="P48" s="621" t="s">
        <v>72</v>
      </c>
      <c r="Q48" s="622"/>
      <c r="R48" s="622"/>
      <c r="S48" s="622"/>
      <c r="T48" s="622"/>
      <c r="U48" s="622"/>
      <c r="V48" s="623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hidden="1" customHeight="1" x14ac:dyDescent="0.2">
      <c r="A49" s="630" t="s">
        <v>119</v>
      </c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48"/>
      <c r="AB49" s="48"/>
      <c r="AC49" s="48"/>
    </row>
    <row r="50" spans="1:68" ht="16.5" hidden="1" customHeight="1" x14ac:dyDescent="0.25">
      <c r="A50" s="647" t="s">
        <v>120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00"/>
      <c r="AB50" s="600"/>
      <c r="AC50" s="600"/>
    </row>
    <row r="51" spans="1:68" ht="14.25" hidden="1" customHeight="1" x14ac:dyDescent="0.25">
      <c r="A51" s="609" t="s">
        <v>121</v>
      </c>
      <c r="B51" s="610"/>
      <c r="C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  <c r="P51" s="610"/>
      <c r="Q51" s="610"/>
      <c r="R51" s="610"/>
      <c r="S51" s="610"/>
      <c r="T51" s="610"/>
      <c r="U51" s="610"/>
      <c r="V51" s="610"/>
      <c r="W51" s="610"/>
      <c r="X51" s="610"/>
      <c r="Y51" s="610"/>
      <c r="Z51" s="610"/>
      <c r="AA51" s="601"/>
      <c r="AB51" s="601"/>
      <c r="AC51" s="601"/>
    </row>
    <row r="52" spans="1:68" ht="16.5" hidden="1" customHeight="1" x14ac:dyDescent="0.25">
      <c r="A52" s="54" t="s">
        <v>122</v>
      </c>
      <c r="B52" s="54" t="s">
        <v>123</v>
      </c>
      <c r="C52" s="31">
        <v>4301011380</v>
      </c>
      <c r="D52" s="619">
        <v>4607091385670</v>
      </c>
      <c r="E52" s="62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4301012053</v>
      </c>
      <c r="D53" s="619">
        <v>4680115887725</v>
      </c>
      <c r="E53" s="62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4301011382</v>
      </c>
      <c r="D54" s="619">
        <v>4607091385687</v>
      </c>
      <c r="E54" s="62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8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hidden="1" customHeight="1" x14ac:dyDescent="0.25">
      <c r="A55" s="54" t="s">
        <v>134</v>
      </c>
      <c r="B55" s="54" t="s">
        <v>135</v>
      </c>
      <c r="C55" s="31">
        <v>4301011565</v>
      </c>
      <c r="D55" s="619">
        <v>4680115882539</v>
      </c>
      <c r="E55" s="62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0</v>
      </c>
      <c r="Y55" s="606">
        <f>IFERROR(IF(X55="",0,CEILING((X55/$H55),1)*$H55),"")</f>
        <v>0</v>
      </c>
      <c r="Z55" s="36" t="str">
        <f>IFERROR(IF(Y55=0,"",ROUNDUP(Y55/H55,0)*0.00902),"")</f>
        <v/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0</v>
      </c>
      <c r="BN55" s="64">
        <f>IFERROR(Y55*I55/H55,"0")</f>
        <v>0</v>
      </c>
      <c r="BO55" s="64">
        <f>IFERROR(1/J55*(X55/H55),"0")</f>
        <v>0</v>
      </c>
      <c r="BP55" s="64">
        <f>IFERROR(1/J55*(Y55/H55),"0")</f>
        <v>0</v>
      </c>
    </row>
    <row r="56" spans="1:68" hidden="1" x14ac:dyDescent="0.2">
      <c r="A56" s="616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7"/>
      <c r="P56" s="621" t="s">
        <v>72</v>
      </c>
      <c r="Q56" s="622"/>
      <c r="R56" s="622"/>
      <c r="S56" s="622"/>
      <c r="T56" s="622"/>
      <c r="U56" s="622"/>
      <c r="V56" s="623"/>
      <c r="W56" s="37" t="s">
        <v>73</v>
      </c>
      <c r="X56" s="607">
        <f>IFERROR(X52/H52,"0")+IFERROR(X53/H53,"0")+IFERROR(X54/H54,"0")+IFERROR(X55/H55,"0")</f>
        <v>0</v>
      </c>
      <c r="Y56" s="607">
        <f>IFERROR(Y52/H52,"0")+IFERROR(Y53/H53,"0")+IFERROR(Y54/H54,"0")+IFERROR(Y55/H55,"0")</f>
        <v>0</v>
      </c>
      <c r="Z56" s="607">
        <f>IFERROR(IF(Z52="",0,Z52),"0")+IFERROR(IF(Z53="",0,Z53),"0")+IFERROR(IF(Z54="",0,Z54),"0")+IFERROR(IF(Z55="",0,Z55),"0")</f>
        <v>0</v>
      </c>
      <c r="AA56" s="608"/>
      <c r="AB56" s="608"/>
      <c r="AC56" s="608"/>
    </row>
    <row r="57" spans="1:68" hidden="1" x14ac:dyDescent="0.2">
      <c r="A57" s="610"/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7"/>
      <c r="P57" s="621" t="s">
        <v>72</v>
      </c>
      <c r="Q57" s="622"/>
      <c r="R57" s="622"/>
      <c r="S57" s="622"/>
      <c r="T57" s="622"/>
      <c r="U57" s="622"/>
      <c r="V57" s="623"/>
      <c r="W57" s="37" t="s">
        <v>67</v>
      </c>
      <c r="X57" s="607">
        <f>IFERROR(SUM(X52:X55),"0")</f>
        <v>0</v>
      </c>
      <c r="Y57" s="607">
        <f>IFERROR(SUM(Y52:Y55),"0")</f>
        <v>0</v>
      </c>
      <c r="Z57" s="37"/>
      <c r="AA57" s="608"/>
      <c r="AB57" s="608"/>
      <c r="AC57" s="608"/>
    </row>
    <row r="58" spans="1:68" ht="16.5" hidden="1" customHeight="1" x14ac:dyDescent="0.25">
      <c r="A58" s="647" t="s">
        <v>136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600"/>
      <c r="AB58" s="600"/>
      <c r="AC58" s="600"/>
    </row>
    <row r="59" spans="1:68" ht="14.25" hidden="1" customHeight="1" x14ac:dyDescent="0.25">
      <c r="A59" s="609" t="s">
        <v>121</v>
      </c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  <c r="S59" s="610"/>
      <c r="T59" s="610"/>
      <c r="U59" s="610"/>
      <c r="V59" s="610"/>
      <c r="W59" s="610"/>
      <c r="X59" s="610"/>
      <c r="Y59" s="610"/>
      <c r="Z59" s="610"/>
      <c r="AA59" s="601"/>
      <c r="AB59" s="601"/>
      <c r="AC59" s="601"/>
    </row>
    <row r="60" spans="1:68" ht="27" hidden="1" customHeight="1" x14ac:dyDescent="0.25">
      <c r="A60" s="54" t="s">
        <v>137</v>
      </c>
      <c r="B60" s="54" t="s">
        <v>138</v>
      </c>
      <c r="C60" s="31">
        <v>4301012030</v>
      </c>
      <c r="D60" s="619">
        <v>4680115885882</v>
      </c>
      <c r="E60" s="62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5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hidden="1" customHeight="1" x14ac:dyDescent="0.25">
      <c r="A61" s="54" t="s">
        <v>137</v>
      </c>
      <c r="B61" s="54" t="s">
        <v>140</v>
      </c>
      <c r="C61" s="31">
        <v>4301012161</v>
      </c>
      <c r="D61" s="619">
        <v>4680115885882</v>
      </c>
      <c r="E61" s="62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4301011816</v>
      </c>
      <c r="D62" s="619">
        <v>4680115881426</v>
      </c>
      <c r="E62" s="62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4301011386</v>
      </c>
      <c r="D63" s="619">
        <v>4680115880283</v>
      </c>
      <c r="E63" s="62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148</v>
      </c>
      <c r="B64" s="54" t="s">
        <v>149</v>
      </c>
      <c r="C64" s="31">
        <v>4301011806</v>
      </c>
      <c r="D64" s="619">
        <v>4680115881525</v>
      </c>
      <c r="E64" s="62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19">
        <v>4680115885899</v>
      </c>
      <c r="E65" s="62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0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19">
        <v>4680115881419</v>
      </c>
      <c r="E66" s="62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16</v>
      </c>
      <c r="Y66" s="606">
        <f t="shared" si="6"/>
        <v>18</v>
      </c>
      <c r="Z66" s="36">
        <f>IFERROR(IF(Y66=0,"",ROUNDUP(Y66/H66,0)*0.00902),"")</f>
        <v>3.6080000000000001E-2</v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16.675555555555558</v>
      </c>
      <c r="BN66" s="64">
        <f t="shared" si="8"/>
        <v>18.760000000000002</v>
      </c>
      <c r="BO66" s="64">
        <f t="shared" si="9"/>
        <v>2.6936026936026935E-2</v>
      </c>
      <c r="BP66" s="64">
        <f t="shared" si="10"/>
        <v>3.0303030303030304E-2</v>
      </c>
    </row>
    <row r="67" spans="1:68" x14ac:dyDescent="0.2">
      <c r="A67" s="616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7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IFERROR(X60/H60,"0")+IFERROR(X61/H61,"0")+IFERROR(X62/H62,"0")+IFERROR(X63/H63,"0")+IFERROR(X64/H64,"0")+IFERROR(X65/H65,"0")+IFERROR(X66/H66,"0")</f>
        <v>3.5555555555555554</v>
      </c>
      <c r="Y67" s="607">
        <f>IFERROR(Y60/H60,"0")+IFERROR(Y61/H61,"0")+IFERROR(Y62/H62,"0")+IFERROR(Y63/H63,"0")+IFERROR(Y64/H64,"0")+IFERROR(Y65/H65,"0")+IFERROR(Y66/H66,"0")</f>
        <v>4</v>
      </c>
      <c r="Z67" s="607">
        <f>IFERROR(IF(Z60="",0,Z60),"0")+IFERROR(IF(Z61="",0,Z61),"0")+IFERROR(IF(Z62="",0,Z62),"0")+IFERROR(IF(Z63="",0,Z63),"0")+IFERROR(IF(Z64="",0,Z64),"0")+IFERROR(IF(Z65="",0,Z65),"0")+IFERROR(IF(Z66="",0,Z66),"0")</f>
        <v>3.6080000000000001E-2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7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IFERROR(SUM(X60:X66),"0")</f>
        <v>16</v>
      </c>
      <c r="Y68" s="607">
        <f>IFERROR(SUM(Y60:Y66),"0")</f>
        <v>18</v>
      </c>
      <c r="Z68" s="37"/>
      <c r="AA68" s="608"/>
      <c r="AB68" s="608"/>
      <c r="AC68" s="608"/>
    </row>
    <row r="69" spans="1:68" ht="14.25" hidden="1" customHeight="1" x14ac:dyDescent="0.25">
      <c r="A69" s="609" t="s">
        <v>156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601"/>
      <c r="AB69" s="601"/>
      <c r="AC69" s="601"/>
    </row>
    <row r="70" spans="1:68" ht="16.5" hidden="1" customHeight="1" x14ac:dyDescent="0.25">
      <c r="A70" s="54" t="s">
        <v>157</v>
      </c>
      <c r="B70" s="54" t="s">
        <v>158</v>
      </c>
      <c r="C70" s="31">
        <v>4301020298</v>
      </c>
      <c r="D70" s="619">
        <v>4680115881440</v>
      </c>
      <c r="E70" s="62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0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160</v>
      </c>
      <c r="B71" s="54" t="s">
        <v>161</v>
      </c>
      <c r="C71" s="31">
        <v>4301020358</v>
      </c>
      <c r="D71" s="619">
        <v>4680115885950</v>
      </c>
      <c r="E71" s="62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19">
        <v>4680115887688</v>
      </c>
      <c r="E72" s="62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4301020296</v>
      </c>
      <c r="D73" s="619">
        <v>4680115881433</v>
      </c>
      <c r="E73" s="62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6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7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7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601"/>
      <c r="AB76" s="601"/>
      <c r="AC76" s="60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19">
        <v>4680115884311</v>
      </c>
      <c r="E77" s="62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4301051929</v>
      </c>
      <c r="D78" s="619">
        <v>4680115884403</v>
      </c>
      <c r="E78" s="62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6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7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7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173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601"/>
      <c r="AB81" s="601"/>
      <c r="AC81" s="60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19">
        <v>4680115881532</v>
      </c>
      <c r="E82" s="62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177</v>
      </c>
      <c r="B83" s="54" t="s">
        <v>178</v>
      </c>
      <c r="C83" s="31">
        <v>4301060351</v>
      </c>
      <c r="D83" s="619">
        <v>4680115881464</v>
      </c>
      <c r="E83" s="62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6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7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7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47" t="s">
        <v>180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121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601"/>
      <c r="AB87" s="601"/>
      <c r="AC87" s="601"/>
    </row>
    <row r="88" spans="1:68" ht="27" hidden="1" customHeight="1" x14ac:dyDescent="0.25">
      <c r="A88" s="54" t="s">
        <v>181</v>
      </c>
      <c r="B88" s="54" t="s">
        <v>182</v>
      </c>
      <c r="C88" s="31">
        <v>4301011468</v>
      </c>
      <c r="D88" s="619">
        <v>4680115881327</v>
      </c>
      <c r="E88" s="62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4301011261</v>
      </c>
      <c r="D89" s="619">
        <v>4680115887732</v>
      </c>
      <c r="E89" s="62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4301011476</v>
      </c>
      <c r="D90" s="619">
        <v>4680115881518</v>
      </c>
      <c r="E90" s="62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189</v>
      </c>
      <c r="B91" s="54" t="s">
        <v>190</v>
      </c>
      <c r="C91" s="31">
        <v>4301011443</v>
      </c>
      <c r="D91" s="619">
        <v>4680115881303</v>
      </c>
      <c r="E91" s="62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1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16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7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hidden="1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7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601"/>
      <c r="AB94" s="601"/>
      <c r="AC94" s="601"/>
    </row>
    <row r="95" spans="1:68" ht="27" hidden="1" customHeight="1" x14ac:dyDescent="0.25">
      <c r="A95" s="54" t="s">
        <v>191</v>
      </c>
      <c r="B95" s="54" t="s">
        <v>192</v>
      </c>
      <c r="C95" s="31">
        <v>4301051712</v>
      </c>
      <c r="D95" s="619">
        <v>4607091386967</v>
      </c>
      <c r="E95" s="62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0</v>
      </c>
      <c r="Y95" s="60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19">
        <v>4680115884953</v>
      </c>
      <c r="E96" s="62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19">
        <v>4607091385731</v>
      </c>
      <c r="E97" s="62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246</v>
      </c>
      <c r="Y97" s="606">
        <f>IFERROR(IF(X97="",0,CEILING((X97/$H97),1)*$H97),"")</f>
        <v>248.4</v>
      </c>
      <c r="Z97" s="36">
        <f>IFERROR(IF(Y97=0,"",ROUNDUP(Y97/H97,0)*0.00651),"")</f>
        <v>0.59892000000000001</v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268.95999999999998</v>
      </c>
      <c r="BN97" s="64">
        <f>IFERROR(Y97*I97/H97,"0")</f>
        <v>271.584</v>
      </c>
      <c r="BO97" s="64">
        <f>IFERROR(1/J97*(X97/H97),"0")</f>
        <v>0.50061050061050061</v>
      </c>
      <c r="BP97" s="64">
        <f>IFERROR(1/J97*(Y97/H97),"0")</f>
        <v>0.50549450549450559</v>
      </c>
    </row>
    <row r="98" spans="1:68" ht="16.5" hidden="1" customHeight="1" x14ac:dyDescent="0.25">
      <c r="A98" s="54" t="s">
        <v>198</v>
      </c>
      <c r="B98" s="54" t="s">
        <v>199</v>
      </c>
      <c r="C98" s="31">
        <v>4301052092</v>
      </c>
      <c r="D98" s="619">
        <v>4680115880894</v>
      </c>
      <c r="E98" s="62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6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7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91.1111111111111</v>
      </c>
      <c r="Y99" s="607">
        <f>IFERROR(Y95/H95,"0")+IFERROR(Y96/H96,"0")+IFERROR(Y97/H97,"0")+IFERROR(Y98/H98,"0")</f>
        <v>92</v>
      </c>
      <c r="Z99" s="607">
        <f>IFERROR(IF(Z95="",0,Z95),"0")+IFERROR(IF(Z96="",0,Z96),"0")+IFERROR(IF(Z97="",0,Z97),"0")+IFERROR(IF(Z98="",0,Z98),"0")</f>
        <v>0.59892000000000001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7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246</v>
      </c>
      <c r="Y100" s="607">
        <f>IFERROR(SUM(Y95:Y98),"0")</f>
        <v>248.4</v>
      </c>
      <c r="Z100" s="37"/>
      <c r="AA100" s="608"/>
      <c r="AB100" s="608"/>
      <c r="AC100" s="608"/>
    </row>
    <row r="101" spans="1:68" ht="16.5" hidden="1" customHeight="1" x14ac:dyDescent="0.25">
      <c r="A101" s="647" t="s">
        <v>201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121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601"/>
      <c r="AB102" s="601"/>
      <c r="AC102" s="601"/>
    </row>
    <row r="103" spans="1:68" ht="37.5" hidden="1" customHeight="1" x14ac:dyDescent="0.25">
      <c r="A103" s="54" t="s">
        <v>202</v>
      </c>
      <c r="B103" s="54" t="s">
        <v>203</v>
      </c>
      <c r="C103" s="31">
        <v>4301011514</v>
      </c>
      <c r="D103" s="619">
        <v>4680115882133</v>
      </c>
      <c r="E103" s="62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9" si="11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0</v>
      </c>
      <c r="BN103" s="64">
        <f t="shared" ref="BN103:BN109" si="13">IFERROR(Y103*I103/H103,"0")</f>
        <v>0</v>
      </c>
      <c r="BO103" s="64">
        <f t="shared" ref="BO103:BO109" si="14">IFERROR(1/J103*(X103/H103),"0")</f>
        <v>0</v>
      </c>
      <c r="BP103" s="64">
        <f t="shared" ref="BP103:BP109" si="15">IFERROR(1/J103*(Y103/H103),"0")</f>
        <v>0</v>
      </c>
    </row>
    <row r="104" spans="1:68" ht="27" hidden="1" customHeight="1" x14ac:dyDescent="0.25">
      <c r="A104" s="54" t="s">
        <v>205</v>
      </c>
      <c r="B104" s="54" t="s">
        <v>206</v>
      </c>
      <c r="C104" s="31">
        <v>4301012051</v>
      </c>
      <c r="D104" s="619">
        <v>4680115887718</v>
      </c>
      <c r="E104" s="62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4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208</v>
      </c>
      <c r="C105" s="31">
        <v>4301012334</v>
      </c>
      <c r="D105" s="619">
        <v>4680115887718</v>
      </c>
      <c r="E105" s="62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hidden="1" customHeight="1" x14ac:dyDescent="0.25">
      <c r="A106" s="54" t="s">
        <v>209</v>
      </c>
      <c r="B106" s="54" t="s">
        <v>210</v>
      </c>
      <c r="C106" s="31">
        <v>4301012226</v>
      </c>
      <c r="D106" s="619">
        <v>4680115887749</v>
      </c>
      <c r="E106" s="62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211</v>
      </c>
      <c r="B107" s="54" t="s">
        <v>212</v>
      </c>
      <c r="C107" s="31">
        <v>4301011417</v>
      </c>
      <c r="D107" s="619">
        <v>4680115880269</v>
      </c>
      <c r="E107" s="62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19">
        <v>4680115880429</v>
      </c>
      <c r="E108" s="62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99</v>
      </c>
      <c r="Y108" s="606">
        <f t="shared" si="11"/>
        <v>99</v>
      </c>
      <c r="Z108" s="36">
        <f>IFERROR(IF(Y108=0,"",ROUNDUP(Y108/H108,0)*0.00902),"")</f>
        <v>0.19844000000000001</v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103.18</v>
      </c>
      <c r="BN108" s="64">
        <f t="shared" si="13"/>
        <v>103.18</v>
      </c>
      <c r="BO108" s="64">
        <f t="shared" si="14"/>
        <v>0.16666666666666669</v>
      </c>
      <c r="BP108" s="64">
        <f t="shared" si="15"/>
        <v>0.16666666666666669</v>
      </c>
    </row>
    <row r="109" spans="1:68" ht="37.5" hidden="1" customHeight="1" x14ac:dyDescent="0.25">
      <c r="A109" s="54" t="s">
        <v>215</v>
      </c>
      <c r="B109" s="54" t="s">
        <v>216</v>
      </c>
      <c r="C109" s="31">
        <v>4301011462</v>
      </c>
      <c r="D109" s="619">
        <v>4680115881457</v>
      </c>
      <c r="E109" s="62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6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7"/>
      <c r="P110" s="621" t="s">
        <v>72</v>
      </c>
      <c r="Q110" s="622"/>
      <c r="R110" s="622"/>
      <c r="S110" s="622"/>
      <c r="T110" s="622"/>
      <c r="U110" s="622"/>
      <c r="V110" s="623"/>
      <c r="W110" s="37" t="s">
        <v>73</v>
      </c>
      <c r="X110" s="607">
        <f>IFERROR(X103/H103,"0")+IFERROR(X104/H104,"0")+IFERROR(X105/H105,"0")+IFERROR(X106/H106,"0")+IFERROR(X107/H107,"0")+IFERROR(X108/H108,"0")+IFERROR(X109/H109,"0")</f>
        <v>22</v>
      </c>
      <c r="Y110" s="607">
        <f>IFERROR(Y103/H103,"0")+IFERROR(Y104/H104,"0")+IFERROR(Y105/H105,"0")+IFERROR(Y106/H106,"0")+IFERROR(Y107/H107,"0")+IFERROR(Y108/H108,"0")+IFERROR(Y109/H109,"0")</f>
        <v>22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0.19844000000000001</v>
      </c>
      <c r="AA110" s="608"/>
      <c r="AB110" s="608"/>
      <c r="AC110" s="608"/>
    </row>
    <row r="111" spans="1:68" x14ac:dyDescent="0.2">
      <c r="A111" s="610"/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7"/>
      <c r="P111" s="621" t="s">
        <v>72</v>
      </c>
      <c r="Q111" s="622"/>
      <c r="R111" s="622"/>
      <c r="S111" s="622"/>
      <c r="T111" s="622"/>
      <c r="U111" s="622"/>
      <c r="V111" s="623"/>
      <c r="W111" s="37" t="s">
        <v>67</v>
      </c>
      <c r="X111" s="607">
        <f>IFERROR(SUM(X103:X109),"0")</f>
        <v>99</v>
      </c>
      <c r="Y111" s="607">
        <f>IFERROR(SUM(Y103:Y109),"0")</f>
        <v>99</v>
      </c>
      <c r="Z111" s="37"/>
      <c r="AA111" s="608"/>
      <c r="AB111" s="608"/>
      <c r="AC111" s="608"/>
    </row>
    <row r="112" spans="1:68" ht="14.25" hidden="1" customHeight="1" x14ac:dyDescent="0.25">
      <c r="A112" s="609" t="s">
        <v>156</v>
      </c>
      <c r="B112" s="610"/>
      <c r="C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610"/>
      <c r="P112" s="610"/>
      <c r="Q112" s="610"/>
      <c r="R112" s="610"/>
      <c r="S112" s="610"/>
      <c r="T112" s="610"/>
      <c r="U112" s="610"/>
      <c r="V112" s="610"/>
      <c r="W112" s="610"/>
      <c r="X112" s="610"/>
      <c r="Y112" s="610"/>
      <c r="Z112" s="610"/>
      <c r="AA112" s="601"/>
      <c r="AB112" s="601"/>
      <c r="AC112" s="601"/>
    </row>
    <row r="113" spans="1:68" ht="16.5" customHeight="1" x14ac:dyDescent="0.25">
      <c r="A113" s="54" t="s">
        <v>217</v>
      </c>
      <c r="B113" s="54" t="s">
        <v>218</v>
      </c>
      <c r="C113" s="31">
        <v>4301020345</v>
      </c>
      <c r="D113" s="619">
        <v>4680115881488</v>
      </c>
      <c r="E113" s="62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23</v>
      </c>
      <c r="Y113" s="606">
        <f t="shared" ref="Y113:Y119" si="16">IFERROR(IF(X113="",0,CEILING((X113/$H113),1)*$H113),"")</f>
        <v>32.400000000000006</v>
      </c>
      <c r="Z113" s="36">
        <f>IFERROR(IF(Y113=0,"",ROUNDUP(Y113/H113,0)*0.01898),"")</f>
        <v>5.6940000000000004E-2</v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23.87314814814815</v>
      </c>
      <c r="BN113" s="64">
        <f t="shared" ref="BN113:BN119" si="18">IFERROR(Y113*I113/H113,"0")</f>
        <v>33.630000000000003</v>
      </c>
      <c r="BO113" s="64">
        <f t="shared" ref="BO113:BO119" si="19">IFERROR(1/J113*(X113/H113),"0")</f>
        <v>3.3275462962962958E-2</v>
      </c>
      <c r="BP113" s="64">
        <f t="shared" ref="BP113:BP119" si="20">IFERROR(1/J113*(Y113/H113),"0")</f>
        <v>4.6875000000000007E-2</v>
      </c>
    </row>
    <row r="114" spans="1:68" ht="27" hidden="1" customHeight="1" x14ac:dyDescent="0.25">
      <c r="A114" s="54" t="s">
        <v>217</v>
      </c>
      <c r="B114" s="54" t="s">
        <v>220</v>
      </c>
      <c r="C114" s="31">
        <v>4301020391</v>
      </c>
      <c r="D114" s="619">
        <v>4680115881488</v>
      </c>
      <c r="E114" s="62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4301020186</v>
      </c>
      <c r="D115" s="619">
        <v>4680115887664</v>
      </c>
      <c r="E115" s="62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222</v>
      </c>
      <c r="B116" s="54" t="s">
        <v>226</v>
      </c>
      <c r="C116" s="31">
        <v>4301020430</v>
      </c>
      <c r="D116" s="619">
        <v>4680115887664</v>
      </c>
      <c r="E116" s="62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4301020393</v>
      </c>
      <c r="D117" s="619">
        <v>4680115882775</v>
      </c>
      <c r="E117" s="62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hidden="1" customHeight="1" x14ac:dyDescent="0.25">
      <c r="A118" s="54" t="s">
        <v>229</v>
      </c>
      <c r="B118" s="54" t="s">
        <v>230</v>
      </c>
      <c r="C118" s="31">
        <v>4301020344</v>
      </c>
      <c r="D118" s="619">
        <v>4680115880658</v>
      </c>
      <c r="E118" s="62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ht="27" hidden="1" customHeight="1" x14ac:dyDescent="0.25">
      <c r="A119" s="54" t="s">
        <v>229</v>
      </c>
      <c r="B119" s="54" t="s">
        <v>231</v>
      </c>
      <c r="C119" s="31">
        <v>4301020392</v>
      </c>
      <c r="D119" s="619">
        <v>4680115880658</v>
      </c>
      <c r="E119" s="62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4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6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7"/>
      <c r="P120" s="621" t="s">
        <v>72</v>
      </c>
      <c r="Q120" s="622"/>
      <c r="R120" s="622"/>
      <c r="S120" s="622"/>
      <c r="T120" s="622"/>
      <c r="U120" s="622"/>
      <c r="V120" s="623"/>
      <c r="W120" s="37" t="s">
        <v>73</v>
      </c>
      <c r="X120" s="607">
        <f>IFERROR(X113/H113,"0")+IFERROR(X114/H114,"0")+IFERROR(X115/H115,"0")+IFERROR(X116/H116,"0")+IFERROR(X117/H117,"0")+IFERROR(X118/H118,"0")+IFERROR(X119/H119,"0")</f>
        <v>2.1296296296296293</v>
      </c>
      <c r="Y120" s="607">
        <f>IFERROR(Y113/H113,"0")+IFERROR(Y114/H114,"0")+IFERROR(Y115/H115,"0")+IFERROR(Y116/H116,"0")+IFERROR(Y117/H117,"0")+IFERROR(Y118/H118,"0")+IFERROR(Y119/H119,"0")</f>
        <v>3.0000000000000004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5.6940000000000004E-2</v>
      </c>
      <c r="AA120" s="608"/>
      <c r="AB120" s="608"/>
      <c r="AC120" s="608"/>
    </row>
    <row r="121" spans="1:68" x14ac:dyDescent="0.2">
      <c r="A121" s="610"/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7"/>
      <c r="P121" s="621" t="s">
        <v>72</v>
      </c>
      <c r="Q121" s="622"/>
      <c r="R121" s="622"/>
      <c r="S121" s="622"/>
      <c r="T121" s="622"/>
      <c r="U121" s="622"/>
      <c r="V121" s="623"/>
      <c r="W121" s="37" t="s">
        <v>67</v>
      </c>
      <c r="X121" s="607">
        <f>IFERROR(SUM(X113:X119),"0")</f>
        <v>23</v>
      </c>
      <c r="Y121" s="607">
        <f>IFERROR(SUM(Y113:Y119),"0")</f>
        <v>32.400000000000006</v>
      </c>
      <c r="Z121" s="37"/>
      <c r="AA121" s="608"/>
      <c r="AB121" s="608"/>
      <c r="AC121" s="608"/>
    </row>
    <row r="122" spans="1:68" ht="14.25" hidden="1" customHeight="1" x14ac:dyDescent="0.25">
      <c r="A122" s="609" t="s">
        <v>74</v>
      </c>
      <c r="B122" s="610"/>
      <c r="C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  <c r="O122" s="610"/>
      <c r="P122" s="610"/>
      <c r="Q122" s="610"/>
      <c r="R122" s="610"/>
      <c r="S122" s="610"/>
      <c r="T122" s="610"/>
      <c r="U122" s="610"/>
      <c r="V122" s="610"/>
      <c r="W122" s="610"/>
      <c r="X122" s="610"/>
      <c r="Y122" s="610"/>
      <c r="Z122" s="610"/>
      <c r="AA122" s="601"/>
      <c r="AB122" s="601"/>
      <c r="AC122" s="601"/>
    </row>
    <row r="123" spans="1:68" ht="27" hidden="1" customHeight="1" x14ac:dyDescent="0.25">
      <c r="A123" s="54" t="s">
        <v>232</v>
      </c>
      <c r="B123" s="54" t="s">
        <v>233</v>
      </c>
      <c r="C123" s="31">
        <v>4301051724</v>
      </c>
      <c r="D123" s="619">
        <v>4607091385168</v>
      </c>
      <c r="E123" s="62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235</v>
      </c>
      <c r="B124" s="54" t="s">
        <v>236</v>
      </c>
      <c r="C124" s="31">
        <v>4301051730</v>
      </c>
      <c r="D124" s="619">
        <v>4607091383256</v>
      </c>
      <c r="E124" s="62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19">
        <v>4607091385748</v>
      </c>
      <c r="E125" s="62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77</v>
      </c>
      <c r="Y125" s="606">
        <f>IFERROR(IF(X125="",0,CEILING((X125/$H125),1)*$H125),"")</f>
        <v>78.300000000000011</v>
      </c>
      <c r="Z125" s="36">
        <f>IFERROR(IF(Y125=0,"",ROUNDUP(Y125/H125,0)*0.00651),"")</f>
        <v>0.18879000000000001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84.186666666666667</v>
      </c>
      <c r="BN125" s="64">
        <f>IFERROR(Y125*I125/H125,"0")</f>
        <v>85.608000000000004</v>
      </c>
      <c r="BO125" s="64">
        <f>IFERROR(1/J125*(X125/H125),"0")</f>
        <v>0.15669515669515668</v>
      </c>
      <c r="BP125" s="64">
        <f>IFERROR(1/J125*(Y125/H125),"0")</f>
        <v>0.15934065934065939</v>
      </c>
    </row>
    <row r="126" spans="1:68" ht="16.5" hidden="1" customHeight="1" x14ac:dyDescent="0.25">
      <c r="A126" s="54" t="s">
        <v>239</v>
      </c>
      <c r="B126" s="54" t="s">
        <v>240</v>
      </c>
      <c r="C126" s="31">
        <v>4301051740</v>
      </c>
      <c r="D126" s="619">
        <v>4680115884533</v>
      </c>
      <c r="E126" s="62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6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7"/>
      <c r="P127" s="621" t="s">
        <v>72</v>
      </c>
      <c r="Q127" s="622"/>
      <c r="R127" s="622"/>
      <c r="S127" s="622"/>
      <c r="T127" s="622"/>
      <c r="U127" s="622"/>
      <c r="V127" s="623"/>
      <c r="W127" s="37" t="s">
        <v>73</v>
      </c>
      <c r="X127" s="607">
        <f>IFERROR(X123/H123,"0")+IFERROR(X124/H124,"0")+IFERROR(X125/H125,"0")+IFERROR(X126/H126,"0")</f>
        <v>28.518518518518515</v>
      </c>
      <c r="Y127" s="607">
        <f>IFERROR(Y123/H123,"0")+IFERROR(Y124/H124,"0")+IFERROR(Y125/H125,"0")+IFERROR(Y126/H126,"0")</f>
        <v>29.000000000000004</v>
      </c>
      <c r="Z127" s="607">
        <f>IFERROR(IF(Z123="",0,Z123),"0")+IFERROR(IF(Z124="",0,Z124),"0")+IFERROR(IF(Z125="",0,Z125),"0")+IFERROR(IF(Z126="",0,Z126),"0")</f>
        <v>0.18879000000000001</v>
      </c>
      <c r="AA127" s="608"/>
      <c r="AB127" s="608"/>
      <c r="AC127" s="608"/>
    </row>
    <row r="128" spans="1:68" x14ac:dyDescent="0.2">
      <c r="A128" s="610"/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7"/>
      <c r="P128" s="621" t="s">
        <v>72</v>
      </c>
      <c r="Q128" s="622"/>
      <c r="R128" s="622"/>
      <c r="S128" s="622"/>
      <c r="T128" s="622"/>
      <c r="U128" s="622"/>
      <c r="V128" s="623"/>
      <c r="W128" s="37" t="s">
        <v>67</v>
      </c>
      <c r="X128" s="607">
        <f>IFERROR(SUM(X123:X126),"0")</f>
        <v>77</v>
      </c>
      <c r="Y128" s="607">
        <f>IFERROR(SUM(Y123:Y126),"0")</f>
        <v>78.300000000000011</v>
      </c>
      <c r="Z128" s="37"/>
      <c r="AA128" s="608"/>
      <c r="AB128" s="608"/>
      <c r="AC128" s="608"/>
    </row>
    <row r="129" spans="1:68" ht="14.25" hidden="1" customHeight="1" x14ac:dyDescent="0.25">
      <c r="A129" s="609" t="s">
        <v>173</v>
      </c>
      <c r="B129" s="610"/>
      <c r="C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  <c r="Q129" s="610"/>
      <c r="R129" s="610"/>
      <c r="S129" s="610"/>
      <c r="T129" s="610"/>
      <c r="U129" s="610"/>
      <c r="V129" s="610"/>
      <c r="W129" s="610"/>
      <c r="X129" s="610"/>
      <c r="Y129" s="610"/>
      <c r="Z129" s="610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19">
        <v>4680115880238</v>
      </c>
      <c r="E130" s="62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11</v>
      </c>
      <c r="Y130" s="606">
        <f>IFERROR(IF(X130="",0,CEILING((X130/$H130),1)*$H130),"")</f>
        <v>11.879999999999999</v>
      </c>
      <c r="Z130" s="36">
        <f>IFERROR(IF(Y130=0,"",ROUNDUP(Y130/H130,0)*0.00651),"")</f>
        <v>3.9059999999999997E-2</v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12.433333333333334</v>
      </c>
      <c r="BN130" s="64">
        <f>IFERROR(Y130*I130/H130,"0")</f>
        <v>13.427999999999999</v>
      </c>
      <c r="BO130" s="64">
        <f>IFERROR(1/J130*(X130/H130),"0")</f>
        <v>3.0525030525030528E-2</v>
      </c>
      <c r="BP130" s="64">
        <f>IFERROR(1/J130*(Y130/H130),"0")</f>
        <v>3.2967032967032968E-2</v>
      </c>
    </row>
    <row r="131" spans="1:68" x14ac:dyDescent="0.2">
      <c r="A131" s="616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7"/>
      <c r="P131" s="621" t="s">
        <v>72</v>
      </c>
      <c r="Q131" s="622"/>
      <c r="R131" s="622"/>
      <c r="S131" s="622"/>
      <c r="T131" s="622"/>
      <c r="U131" s="622"/>
      <c r="V131" s="623"/>
      <c r="W131" s="37" t="s">
        <v>73</v>
      </c>
      <c r="X131" s="607">
        <f>IFERROR(X130/H130,"0")</f>
        <v>5.5555555555555554</v>
      </c>
      <c r="Y131" s="607">
        <f>IFERROR(Y130/H130,"0")</f>
        <v>5.9999999999999991</v>
      </c>
      <c r="Z131" s="607">
        <f>IFERROR(IF(Z130="",0,Z130),"0")</f>
        <v>3.9059999999999997E-2</v>
      </c>
      <c r="AA131" s="608"/>
      <c r="AB131" s="608"/>
      <c r="AC131" s="608"/>
    </row>
    <row r="132" spans="1:68" x14ac:dyDescent="0.2">
      <c r="A132" s="610"/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7"/>
      <c r="P132" s="621" t="s">
        <v>72</v>
      </c>
      <c r="Q132" s="622"/>
      <c r="R132" s="622"/>
      <c r="S132" s="622"/>
      <c r="T132" s="622"/>
      <c r="U132" s="622"/>
      <c r="V132" s="623"/>
      <c r="W132" s="37" t="s">
        <v>67</v>
      </c>
      <c r="X132" s="607">
        <f>IFERROR(SUM(X130:X130),"0")</f>
        <v>11</v>
      </c>
      <c r="Y132" s="607">
        <f>IFERROR(SUM(Y130:Y130),"0")</f>
        <v>11.879999999999999</v>
      </c>
      <c r="Z132" s="37"/>
      <c r="AA132" s="608"/>
      <c r="AB132" s="608"/>
      <c r="AC132" s="608"/>
    </row>
    <row r="133" spans="1:68" ht="16.5" hidden="1" customHeight="1" x14ac:dyDescent="0.25">
      <c r="A133" s="647" t="s">
        <v>245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600"/>
      <c r="AB133" s="600"/>
      <c r="AC133" s="600"/>
    </row>
    <row r="134" spans="1:68" ht="14.25" hidden="1" customHeight="1" x14ac:dyDescent="0.25">
      <c r="A134" s="609" t="s">
        <v>121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01"/>
      <c r="AB134" s="601"/>
      <c r="AC134" s="601"/>
    </row>
    <row r="135" spans="1:68" ht="27" customHeight="1" x14ac:dyDescent="0.25">
      <c r="A135" s="54" t="s">
        <v>246</v>
      </c>
      <c r="B135" s="54" t="s">
        <v>247</v>
      </c>
      <c r="C135" s="31">
        <v>4301011562</v>
      </c>
      <c r="D135" s="619">
        <v>4680115882577</v>
      </c>
      <c r="E135" s="62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14</v>
      </c>
      <c r="Y135" s="606">
        <f>IFERROR(IF(X135="",0,CEILING((X135/$H135),1)*$H135),"")</f>
        <v>16</v>
      </c>
      <c r="Z135" s="36">
        <f>IFERROR(IF(Y135=0,"",ROUNDUP(Y135/H135,0)*0.00651),"")</f>
        <v>3.2550000000000003E-2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14.7875</v>
      </c>
      <c r="BN135" s="64">
        <f>IFERROR(Y135*I135/H135,"0")</f>
        <v>16.899999999999999</v>
      </c>
      <c r="BO135" s="64">
        <f>IFERROR(1/J135*(X135/H135),"0")</f>
        <v>2.403846153846154E-2</v>
      </c>
      <c r="BP135" s="64">
        <f>IFERROR(1/J135*(Y135/H135),"0")</f>
        <v>2.7472527472527476E-2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4301011564</v>
      </c>
      <c r="D136" s="619">
        <v>4680115882577</v>
      </c>
      <c r="E136" s="62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16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7"/>
      <c r="P137" s="621" t="s">
        <v>72</v>
      </c>
      <c r="Q137" s="622"/>
      <c r="R137" s="622"/>
      <c r="S137" s="622"/>
      <c r="T137" s="622"/>
      <c r="U137" s="622"/>
      <c r="V137" s="623"/>
      <c r="W137" s="37" t="s">
        <v>73</v>
      </c>
      <c r="X137" s="607">
        <f>IFERROR(X135/H135,"0")+IFERROR(X136/H136,"0")</f>
        <v>4.375</v>
      </c>
      <c r="Y137" s="607">
        <f>IFERROR(Y135/H135,"0")+IFERROR(Y136/H136,"0")</f>
        <v>5</v>
      </c>
      <c r="Z137" s="607">
        <f>IFERROR(IF(Z135="",0,Z135),"0")+IFERROR(IF(Z136="",0,Z136),"0")</f>
        <v>3.2550000000000003E-2</v>
      </c>
      <c r="AA137" s="608"/>
      <c r="AB137" s="608"/>
      <c r="AC137" s="608"/>
    </row>
    <row r="138" spans="1:68" x14ac:dyDescent="0.2">
      <c r="A138" s="610"/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7"/>
      <c r="P138" s="621" t="s">
        <v>72</v>
      </c>
      <c r="Q138" s="622"/>
      <c r="R138" s="622"/>
      <c r="S138" s="622"/>
      <c r="T138" s="622"/>
      <c r="U138" s="622"/>
      <c r="V138" s="623"/>
      <c r="W138" s="37" t="s">
        <v>67</v>
      </c>
      <c r="X138" s="607">
        <f>IFERROR(SUM(X135:X136),"0")</f>
        <v>14</v>
      </c>
      <c r="Y138" s="607">
        <f>IFERROR(SUM(Y135:Y136),"0")</f>
        <v>16</v>
      </c>
      <c r="Z138" s="37"/>
      <c r="AA138" s="608"/>
      <c r="AB138" s="608"/>
      <c r="AC138" s="608"/>
    </row>
    <row r="139" spans="1:68" ht="14.25" hidden="1" customHeight="1" x14ac:dyDescent="0.25">
      <c r="A139" s="609" t="s">
        <v>62</v>
      </c>
      <c r="B139" s="610"/>
      <c r="C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R139" s="610"/>
      <c r="S139" s="610"/>
      <c r="T139" s="610"/>
      <c r="U139" s="610"/>
      <c r="V139" s="610"/>
      <c r="W139" s="610"/>
      <c r="X139" s="610"/>
      <c r="Y139" s="610"/>
      <c r="Z139" s="610"/>
      <c r="AA139" s="601"/>
      <c r="AB139" s="601"/>
      <c r="AC139" s="601"/>
    </row>
    <row r="140" spans="1:68" ht="27" customHeight="1" x14ac:dyDescent="0.25">
      <c r="A140" s="54" t="s">
        <v>250</v>
      </c>
      <c r="B140" s="54" t="s">
        <v>251</v>
      </c>
      <c r="C140" s="31">
        <v>4301031234</v>
      </c>
      <c r="D140" s="619">
        <v>4680115883444</v>
      </c>
      <c r="E140" s="62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68</v>
      </c>
      <c r="Y140" s="606">
        <f>IFERROR(IF(X140="",0,CEILING((X140/$H140),1)*$H140),"")</f>
        <v>70</v>
      </c>
      <c r="Z140" s="36">
        <f>IFERROR(IF(Y140=0,"",ROUNDUP(Y140/H140,0)*0.00651),"")</f>
        <v>0.16275000000000001</v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74.508571428571429</v>
      </c>
      <c r="BN140" s="64">
        <f>IFERROR(Y140*I140/H140,"0")</f>
        <v>76.7</v>
      </c>
      <c r="BO140" s="64">
        <f>IFERROR(1/J140*(X140/H140),"0")</f>
        <v>0.13343799058084774</v>
      </c>
      <c r="BP140" s="64">
        <f>IFERROR(1/J140*(Y140/H140),"0")</f>
        <v>0.13736263736263737</v>
      </c>
    </row>
    <row r="141" spans="1:68" ht="27" hidden="1" customHeight="1" x14ac:dyDescent="0.25">
      <c r="A141" s="54" t="s">
        <v>250</v>
      </c>
      <c r="B141" s="54" t="s">
        <v>253</v>
      </c>
      <c r="C141" s="31">
        <v>4301031235</v>
      </c>
      <c r="D141" s="619">
        <v>4680115883444</v>
      </c>
      <c r="E141" s="62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16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7"/>
      <c r="P142" s="621" t="s">
        <v>72</v>
      </c>
      <c r="Q142" s="622"/>
      <c r="R142" s="622"/>
      <c r="S142" s="622"/>
      <c r="T142" s="622"/>
      <c r="U142" s="622"/>
      <c r="V142" s="623"/>
      <c r="W142" s="37" t="s">
        <v>73</v>
      </c>
      <c r="X142" s="607">
        <f>IFERROR(X140/H140,"0")+IFERROR(X141/H141,"0")</f>
        <v>24.285714285714288</v>
      </c>
      <c r="Y142" s="607">
        <f>IFERROR(Y140/H140,"0")+IFERROR(Y141/H141,"0")</f>
        <v>25</v>
      </c>
      <c r="Z142" s="607">
        <f>IFERROR(IF(Z140="",0,Z140),"0")+IFERROR(IF(Z141="",0,Z141),"0")</f>
        <v>0.16275000000000001</v>
      </c>
      <c r="AA142" s="608"/>
      <c r="AB142" s="608"/>
      <c r="AC142" s="608"/>
    </row>
    <row r="143" spans="1:68" x14ac:dyDescent="0.2">
      <c r="A143" s="610"/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7"/>
      <c r="P143" s="621" t="s">
        <v>72</v>
      </c>
      <c r="Q143" s="622"/>
      <c r="R143" s="622"/>
      <c r="S143" s="622"/>
      <c r="T143" s="622"/>
      <c r="U143" s="622"/>
      <c r="V143" s="623"/>
      <c r="W143" s="37" t="s">
        <v>67</v>
      </c>
      <c r="X143" s="607">
        <f>IFERROR(SUM(X140:X141),"0")</f>
        <v>68</v>
      </c>
      <c r="Y143" s="607">
        <f>IFERROR(SUM(Y140:Y141),"0")</f>
        <v>70</v>
      </c>
      <c r="Z143" s="37"/>
      <c r="AA143" s="608"/>
      <c r="AB143" s="608"/>
      <c r="AC143" s="608"/>
    </row>
    <row r="144" spans="1:68" ht="14.25" hidden="1" customHeight="1" x14ac:dyDescent="0.25">
      <c r="A144" s="609" t="s">
        <v>74</v>
      </c>
      <c r="B144" s="610"/>
      <c r="C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  <c r="Q144" s="610"/>
      <c r="R144" s="610"/>
      <c r="S144" s="610"/>
      <c r="T144" s="610"/>
      <c r="U144" s="610"/>
      <c r="V144" s="610"/>
      <c r="W144" s="610"/>
      <c r="X144" s="610"/>
      <c r="Y144" s="610"/>
      <c r="Z144" s="610"/>
      <c r="AA144" s="601"/>
      <c r="AB144" s="601"/>
      <c r="AC144" s="601"/>
    </row>
    <row r="145" spans="1:68" ht="16.5" customHeight="1" x14ac:dyDescent="0.25">
      <c r="A145" s="54" t="s">
        <v>254</v>
      </c>
      <c r="B145" s="54" t="s">
        <v>255</v>
      </c>
      <c r="C145" s="31">
        <v>4301051476</v>
      </c>
      <c r="D145" s="619">
        <v>4680115882584</v>
      </c>
      <c r="E145" s="62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7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2</v>
      </c>
      <c r="Y145" s="606">
        <f>IFERROR(IF(X145="",0,CEILING((X145/$H145),1)*$H145),"")</f>
        <v>2.64</v>
      </c>
      <c r="Z145" s="36">
        <f>IFERROR(IF(Y145=0,"",ROUNDUP(Y145/H145,0)*0.00651),"")</f>
        <v>6.5100000000000002E-3</v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2.2030303030303027</v>
      </c>
      <c r="BN145" s="64">
        <f>IFERROR(Y145*I145/H145,"0")</f>
        <v>2.9079999999999999</v>
      </c>
      <c r="BO145" s="64">
        <f>IFERROR(1/J145*(X145/H145),"0")</f>
        <v>4.1625041625041629E-3</v>
      </c>
      <c r="BP145" s="64">
        <f>IFERROR(1/J145*(Y145/H145),"0")</f>
        <v>5.4945054945054949E-3</v>
      </c>
    </row>
    <row r="146" spans="1:68" ht="16.5" hidden="1" customHeight="1" x14ac:dyDescent="0.25">
      <c r="A146" s="54" t="s">
        <v>254</v>
      </c>
      <c r="B146" s="54" t="s">
        <v>256</v>
      </c>
      <c r="C146" s="31">
        <v>4301051477</v>
      </c>
      <c r="D146" s="619">
        <v>4680115882584</v>
      </c>
      <c r="E146" s="62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16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7"/>
      <c r="P147" s="621" t="s">
        <v>72</v>
      </c>
      <c r="Q147" s="622"/>
      <c r="R147" s="622"/>
      <c r="S147" s="622"/>
      <c r="T147" s="622"/>
      <c r="U147" s="622"/>
      <c r="V147" s="623"/>
      <c r="W147" s="37" t="s">
        <v>73</v>
      </c>
      <c r="X147" s="607">
        <f>IFERROR(X145/H145,"0")+IFERROR(X146/H146,"0")</f>
        <v>0.75757575757575757</v>
      </c>
      <c r="Y147" s="607">
        <f>IFERROR(Y145/H145,"0")+IFERROR(Y146/H146,"0")</f>
        <v>1</v>
      </c>
      <c r="Z147" s="607">
        <f>IFERROR(IF(Z145="",0,Z145),"0")+IFERROR(IF(Z146="",0,Z146),"0")</f>
        <v>6.5100000000000002E-3</v>
      </c>
      <c r="AA147" s="608"/>
      <c r="AB147" s="608"/>
      <c r="AC147" s="608"/>
    </row>
    <row r="148" spans="1:68" x14ac:dyDescent="0.2">
      <c r="A148" s="610"/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7"/>
      <c r="P148" s="621" t="s">
        <v>72</v>
      </c>
      <c r="Q148" s="622"/>
      <c r="R148" s="622"/>
      <c r="S148" s="622"/>
      <c r="T148" s="622"/>
      <c r="U148" s="622"/>
      <c r="V148" s="623"/>
      <c r="W148" s="37" t="s">
        <v>67</v>
      </c>
      <c r="X148" s="607">
        <f>IFERROR(SUM(X145:X146),"0")</f>
        <v>2</v>
      </c>
      <c r="Y148" s="607">
        <f>IFERROR(SUM(Y145:Y146),"0")</f>
        <v>2.64</v>
      </c>
      <c r="Z148" s="37"/>
      <c r="AA148" s="608"/>
      <c r="AB148" s="608"/>
      <c r="AC148" s="608"/>
    </row>
    <row r="149" spans="1:68" ht="16.5" hidden="1" customHeight="1" x14ac:dyDescent="0.25">
      <c r="A149" s="647" t="s">
        <v>257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600"/>
      <c r="AB149" s="600"/>
      <c r="AC149" s="600"/>
    </row>
    <row r="150" spans="1:68" ht="14.25" hidden="1" customHeight="1" x14ac:dyDescent="0.25">
      <c r="A150" s="609" t="s">
        <v>74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01"/>
      <c r="AB150" s="601"/>
      <c r="AC150" s="601"/>
    </row>
    <row r="151" spans="1:68" ht="27" hidden="1" customHeight="1" x14ac:dyDescent="0.25">
      <c r="A151" s="54" t="s">
        <v>258</v>
      </c>
      <c r="B151" s="54" t="s">
        <v>259</v>
      </c>
      <c r="C151" s="31">
        <v>4301052174</v>
      </c>
      <c r="D151" s="619">
        <v>4680115888203</v>
      </c>
      <c r="E151" s="62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4301052172</v>
      </c>
      <c r="D152" s="619">
        <v>4680115888180</v>
      </c>
      <c r="E152" s="62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4301052173</v>
      </c>
      <c r="D153" s="619">
        <v>4680115888197</v>
      </c>
      <c r="E153" s="62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19">
        <v>4680115888210</v>
      </c>
      <c r="E154" s="62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16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7"/>
      <c r="P155" s="621" t="s">
        <v>72</v>
      </c>
      <c r="Q155" s="622"/>
      <c r="R155" s="622"/>
      <c r="S155" s="622"/>
      <c r="T155" s="622"/>
      <c r="U155" s="622"/>
      <c r="V155" s="623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hidden="1" x14ac:dyDescent="0.2">
      <c r="A156" s="610"/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7"/>
      <c r="P156" s="621" t="s">
        <v>72</v>
      </c>
      <c r="Q156" s="622"/>
      <c r="R156" s="622"/>
      <c r="S156" s="622"/>
      <c r="T156" s="622"/>
      <c r="U156" s="622"/>
      <c r="V156" s="623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hidden="1" customHeight="1" x14ac:dyDescent="0.25">
      <c r="A157" s="647" t="s">
        <v>119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600"/>
      <c r="AB157" s="600"/>
      <c r="AC157" s="600"/>
    </row>
    <row r="158" spans="1:68" ht="14.25" hidden="1" customHeight="1" x14ac:dyDescent="0.25">
      <c r="A158" s="609" t="s">
        <v>121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01"/>
      <c r="AB158" s="601"/>
      <c r="AC158" s="601"/>
    </row>
    <row r="159" spans="1:68" ht="27" hidden="1" customHeight="1" x14ac:dyDescent="0.25">
      <c r="A159" s="54" t="s">
        <v>270</v>
      </c>
      <c r="B159" s="54" t="s">
        <v>271</v>
      </c>
      <c r="C159" s="31">
        <v>4301012244</v>
      </c>
      <c r="D159" s="619">
        <v>4680115887374</v>
      </c>
      <c r="E159" s="62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79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19">
        <v>4607091384604</v>
      </c>
      <c r="E160" s="62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16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7"/>
      <c r="P161" s="621" t="s">
        <v>72</v>
      </c>
      <c r="Q161" s="622"/>
      <c r="R161" s="622"/>
      <c r="S161" s="622"/>
      <c r="T161" s="622"/>
      <c r="U161" s="622"/>
      <c r="V161" s="623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hidden="1" x14ac:dyDescent="0.2">
      <c r="A162" s="610"/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7"/>
      <c r="P162" s="621" t="s">
        <v>72</v>
      </c>
      <c r="Q162" s="622"/>
      <c r="R162" s="622"/>
      <c r="S162" s="622"/>
      <c r="T162" s="622"/>
      <c r="U162" s="622"/>
      <c r="V162" s="623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hidden="1" customHeight="1" x14ac:dyDescent="0.25">
      <c r="A163" s="609" t="s">
        <v>156</v>
      </c>
      <c r="B163" s="610"/>
      <c r="C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601"/>
      <c r="AB163" s="601"/>
      <c r="AC163" s="601"/>
    </row>
    <row r="164" spans="1:68" ht="16.5" hidden="1" customHeight="1" x14ac:dyDescent="0.25">
      <c r="A164" s="54" t="s">
        <v>276</v>
      </c>
      <c r="B164" s="54" t="s">
        <v>277</v>
      </c>
      <c r="C164" s="31">
        <v>4301020410</v>
      </c>
      <c r="D164" s="619">
        <v>4680115887695</v>
      </c>
      <c r="E164" s="62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7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16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7"/>
      <c r="P165" s="621" t="s">
        <v>72</v>
      </c>
      <c r="Q165" s="622"/>
      <c r="R165" s="622"/>
      <c r="S165" s="622"/>
      <c r="T165" s="622"/>
      <c r="U165" s="622"/>
      <c r="V165" s="623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hidden="1" x14ac:dyDescent="0.2">
      <c r="A166" s="610"/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7"/>
      <c r="P166" s="621" t="s">
        <v>72</v>
      </c>
      <c r="Q166" s="622"/>
      <c r="R166" s="622"/>
      <c r="S166" s="622"/>
      <c r="T166" s="622"/>
      <c r="U166" s="622"/>
      <c r="V166" s="623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hidden="1" customHeight="1" x14ac:dyDescent="0.25">
      <c r="A167" s="609" t="s">
        <v>62</v>
      </c>
      <c r="B167" s="610"/>
      <c r="C167" s="610"/>
      <c r="D167" s="610"/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  <c r="Q167" s="610"/>
      <c r="R167" s="610"/>
      <c r="S167" s="610"/>
      <c r="T167" s="610"/>
      <c r="U167" s="610"/>
      <c r="V167" s="610"/>
      <c r="W167" s="610"/>
      <c r="X167" s="610"/>
      <c r="Y167" s="610"/>
      <c r="Z167" s="610"/>
      <c r="AA167" s="601"/>
      <c r="AB167" s="601"/>
      <c r="AC167" s="601"/>
    </row>
    <row r="168" spans="1:68" ht="27" hidden="1" customHeight="1" x14ac:dyDescent="0.25">
      <c r="A168" s="54" t="s">
        <v>279</v>
      </c>
      <c r="B168" s="54" t="s">
        <v>280</v>
      </c>
      <c r="C168" s="31">
        <v>4301031496</v>
      </c>
      <c r="D168" s="619">
        <v>4680115887428</v>
      </c>
      <c r="E168" s="62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ref="Y168:Y178" si="21"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0</v>
      </c>
      <c r="BN168" s="64">
        <f t="shared" ref="BN168:BN178" si="23">IFERROR(Y168*I168/H168,"0")</f>
        <v>0</v>
      </c>
      <c r="BO168" s="64">
        <f t="shared" ref="BO168:BO178" si="24">IFERROR(1/J168*(X168/H168),"0")</f>
        <v>0</v>
      </c>
      <c r="BP168" s="64">
        <f t="shared" ref="BP168:BP178" si="25">IFERROR(1/J168*(Y168/H168),"0")</f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4301030963</v>
      </c>
      <c r="D169" s="619">
        <v>4607091382426</v>
      </c>
      <c r="E169" s="62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4301031498</v>
      </c>
      <c r="D170" s="619">
        <v>4680115887398</v>
      </c>
      <c r="E170" s="62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19">
        <v>4680115887336</v>
      </c>
      <c r="E171" s="62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108</v>
      </c>
      <c r="Y171" s="606">
        <f t="shared" si="21"/>
        <v>108.5</v>
      </c>
      <c r="Z171" s="36">
        <f>IFERROR(IF(Y171=0,"",ROUNDUP(Y171/H171,0)*0.00902),"")</f>
        <v>0.27961999999999998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113.86285714285714</v>
      </c>
      <c r="BN171" s="64">
        <f t="shared" si="23"/>
        <v>114.39</v>
      </c>
      <c r="BO171" s="64">
        <f t="shared" si="24"/>
        <v>0.23376623376623379</v>
      </c>
      <c r="BP171" s="64">
        <f t="shared" si="25"/>
        <v>0.23484848484848486</v>
      </c>
    </row>
    <row r="172" spans="1:68" ht="16.5" hidden="1" customHeight="1" x14ac:dyDescent="0.25">
      <c r="A172" s="54" t="s">
        <v>291</v>
      </c>
      <c r="B172" s="54" t="s">
        <v>292</v>
      </c>
      <c r="C172" s="31">
        <v>4301032049</v>
      </c>
      <c r="D172" s="619">
        <v>4680115887787</v>
      </c>
      <c r="E172" s="62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4301031448</v>
      </c>
      <c r="D173" s="619">
        <v>4680115887503</v>
      </c>
      <c r="E173" s="62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8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21"/>
        <v>0</v>
      </c>
      <c r="Z173" s="36" t="str">
        <f>IFERROR(IF(Y173=0,"",ROUNDUP(Y173/H173,0)*0.00502),"")</f>
        <v/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296</v>
      </c>
      <c r="B174" s="54" t="s">
        <v>297</v>
      </c>
      <c r="C174" s="31">
        <v>4301031389</v>
      </c>
      <c r="D174" s="619">
        <v>4680115887763</v>
      </c>
      <c r="E174" s="62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296</v>
      </c>
      <c r="B175" s="54" t="s">
        <v>299</v>
      </c>
      <c r="C175" s="31">
        <v>4301031510</v>
      </c>
      <c r="D175" s="619">
        <v>4680115887763</v>
      </c>
      <c r="E175" s="62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4301031454</v>
      </c>
      <c r="D176" s="619">
        <v>4680115887480</v>
      </c>
      <c r="E176" s="62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52</v>
      </c>
      <c r="Y176" s="606">
        <f t="shared" si="21"/>
        <v>52.08</v>
      </c>
      <c r="Z176" s="36">
        <f>IFERROR(IF(Y176=0,"",ROUNDUP(Y176/H176,0)*0.00502),"")</f>
        <v>0.15562000000000001</v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55.095238095238102</v>
      </c>
      <c r="BN176" s="64">
        <f t="shared" si="23"/>
        <v>55.18</v>
      </c>
      <c r="BO176" s="64">
        <f t="shared" si="24"/>
        <v>0.1322751322751323</v>
      </c>
      <c r="BP176" s="64">
        <f t="shared" si="25"/>
        <v>0.13247863247863248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4301031434</v>
      </c>
      <c r="D177" s="619">
        <v>4680115888067</v>
      </c>
      <c r="E177" s="62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4301031451</v>
      </c>
      <c r="D178" s="619">
        <v>4680115887435</v>
      </c>
      <c r="E178" s="62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6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0</v>
      </c>
      <c r="Y178" s="606">
        <f t="shared" si="21"/>
        <v>0</v>
      </c>
      <c r="Z178" s="36" t="str">
        <f>IFERROR(IF(Y178=0,"",ROUNDUP(Y178/H178,0)*0.00502),"")</f>
        <v/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x14ac:dyDescent="0.2">
      <c r="A179" s="616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7"/>
      <c r="P179" s="621" t="s">
        <v>72</v>
      </c>
      <c r="Q179" s="622"/>
      <c r="R179" s="622"/>
      <c r="S179" s="622"/>
      <c r="T179" s="622"/>
      <c r="U179" s="622"/>
      <c r="V179" s="623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61.80952380952381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62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0.43523999999999996</v>
      </c>
      <c r="AA179" s="608"/>
      <c r="AB179" s="608"/>
      <c r="AC179" s="608"/>
    </row>
    <row r="180" spans="1:68" x14ac:dyDescent="0.2">
      <c r="A180" s="610"/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7"/>
      <c r="P180" s="621" t="s">
        <v>72</v>
      </c>
      <c r="Q180" s="622"/>
      <c r="R180" s="622"/>
      <c r="S180" s="622"/>
      <c r="T180" s="622"/>
      <c r="U180" s="622"/>
      <c r="V180" s="623"/>
      <c r="W180" s="37" t="s">
        <v>67</v>
      </c>
      <c r="X180" s="607">
        <f>IFERROR(SUM(X168:X178),"0")</f>
        <v>160</v>
      </c>
      <c r="Y180" s="607">
        <f>IFERROR(SUM(Y168:Y178),"0")</f>
        <v>160.57999999999998</v>
      </c>
      <c r="Z180" s="37"/>
      <c r="AA180" s="608"/>
      <c r="AB180" s="608"/>
      <c r="AC180" s="608"/>
    </row>
    <row r="181" spans="1:68" ht="14.25" hidden="1" customHeight="1" x14ac:dyDescent="0.25">
      <c r="A181" s="609" t="s">
        <v>74</v>
      </c>
      <c r="B181" s="610"/>
      <c r="C181" s="610"/>
      <c r="D181" s="610"/>
      <c r="E181" s="610"/>
      <c r="F181" s="610"/>
      <c r="G181" s="610"/>
      <c r="H181" s="610"/>
      <c r="I181" s="610"/>
      <c r="J181" s="610"/>
      <c r="K181" s="610"/>
      <c r="L181" s="610"/>
      <c r="M181" s="610"/>
      <c r="N181" s="610"/>
      <c r="O181" s="610"/>
      <c r="P181" s="610"/>
      <c r="Q181" s="610"/>
      <c r="R181" s="610"/>
      <c r="S181" s="610"/>
      <c r="T181" s="610"/>
      <c r="U181" s="610"/>
      <c r="V181" s="610"/>
      <c r="W181" s="610"/>
      <c r="X181" s="610"/>
      <c r="Y181" s="610"/>
      <c r="Z181" s="610"/>
      <c r="AA181" s="601"/>
      <c r="AB181" s="601"/>
      <c r="AC181" s="601"/>
    </row>
    <row r="182" spans="1:68" ht="16.5" hidden="1" customHeight="1" x14ac:dyDescent="0.25">
      <c r="A182" s="54" t="s">
        <v>307</v>
      </c>
      <c r="B182" s="54" t="s">
        <v>308</v>
      </c>
      <c r="C182" s="31">
        <v>4301052193</v>
      </c>
      <c r="D182" s="619">
        <v>4680115888395</v>
      </c>
      <c r="E182" s="62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hidden="1" customHeight="1" x14ac:dyDescent="0.25">
      <c r="A183" s="54" t="s">
        <v>310</v>
      </c>
      <c r="B183" s="54" t="s">
        <v>311</v>
      </c>
      <c r="C183" s="31">
        <v>4301052191</v>
      </c>
      <c r="D183" s="619">
        <v>4680115888371</v>
      </c>
      <c r="E183" s="62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4301052064</v>
      </c>
      <c r="D184" s="619">
        <v>4680115887459</v>
      </c>
      <c r="E184" s="62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616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7"/>
      <c r="P185" s="621" t="s">
        <v>72</v>
      </c>
      <c r="Q185" s="622"/>
      <c r="R185" s="622"/>
      <c r="S185" s="622"/>
      <c r="T185" s="622"/>
      <c r="U185" s="622"/>
      <c r="V185" s="623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hidden="1" x14ac:dyDescent="0.2">
      <c r="A186" s="610"/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7"/>
      <c r="P186" s="621" t="s">
        <v>72</v>
      </c>
      <c r="Q186" s="622"/>
      <c r="R186" s="622"/>
      <c r="S186" s="622"/>
      <c r="T186" s="622"/>
      <c r="U186" s="622"/>
      <c r="V186" s="623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hidden="1" customHeight="1" x14ac:dyDescent="0.25">
      <c r="A187" s="609" t="s">
        <v>95</v>
      </c>
      <c r="B187" s="610"/>
      <c r="C187" s="610"/>
      <c r="D187" s="610"/>
      <c r="E187" s="610"/>
      <c r="F187" s="610"/>
      <c r="G187" s="610"/>
      <c r="H187" s="610"/>
      <c r="I187" s="610"/>
      <c r="J187" s="610"/>
      <c r="K187" s="610"/>
      <c r="L187" s="610"/>
      <c r="M187" s="610"/>
      <c r="N187" s="610"/>
      <c r="O187" s="610"/>
      <c r="P187" s="610"/>
      <c r="Q187" s="610"/>
      <c r="R187" s="610"/>
      <c r="S187" s="610"/>
      <c r="T187" s="610"/>
      <c r="U187" s="610"/>
      <c r="V187" s="610"/>
      <c r="W187" s="610"/>
      <c r="X187" s="610"/>
      <c r="Y187" s="610"/>
      <c r="Z187" s="610"/>
      <c r="AA187" s="601"/>
      <c r="AB187" s="601"/>
      <c r="AC187" s="601"/>
    </row>
    <row r="188" spans="1:68" ht="16.5" hidden="1" customHeight="1" x14ac:dyDescent="0.25">
      <c r="A188" s="54" t="s">
        <v>316</v>
      </c>
      <c r="B188" s="54" t="s">
        <v>317</v>
      </c>
      <c r="C188" s="31">
        <v>4301032058</v>
      </c>
      <c r="D188" s="619">
        <v>4680115889026</v>
      </c>
      <c r="E188" s="62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7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321</v>
      </c>
      <c r="B189" s="54" t="s">
        <v>322</v>
      </c>
      <c r="C189" s="31">
        <v>4301032057</v>
      </c>
      <c r="D189" s="619">
        <v>4680115889088</v>
      </c>
      <c r="E189" s="62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16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7"/>
      <c r="P190" s="621" t="s">
        <v>72</v>
      </c>
      <c r="Q190" s="622"/>
      <c r="R190" s="622"/>
      <c r="S190" s="622"/>
      <c r="T190" s="622"/>
      <c r="U190" s="622"/>
      <c r="V190" s="623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hidden="1" x14ac:dyDescent="0.2">
      <c r="A191" s="610"/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7"/>
      <c r="P191" s="621" t="s">
        <v>72</v>
      </c>
      <c r="Q191" s="622"/>
      <c r="R191" s="622"/>
      <c r="S191" s="622"/>
      <c r="T191" s="622"/>
      <c r="U191" s="622"/>
      <c r="V191" s="623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hidden="1" customHeight="1" x14ac:dyDescent="0.25">
      <c r="A192" s="609" t="s">
        <v>324</v>
      </c>
      <c r="B192" s="610"/>
      <c r="C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0"/>
      <c r="O192" s="610"/>
      <c r="P192" s="610"/>
      <c r="Q192" s="610"/>
      <c r="R192" s="610"/>
      <c r="S192" s="610"/>
      <c r="T192" s="610"/>
      <c r="U192" s="610"/>
      <c r="V192" s="610"/>
      <c r="W192" s="610"/>
      <c r="X192" s="610"/>
      <c r="Y192" s="610"/>
      <c r="Z192" s="610"/>
      <c r="AA192" s="601"/>
      <c r="AB192" s="601"/>
      <c r="AC192" s="601"/>
    </row>
    <row r="193" spans="1:68" ht="27" hidden="1" customHeight="1" x14ac:dyDescent="0.25">
      <c r="A193" s="54" t="s">
        <v>325</v>
      </c>
      <c r="B193" s="54" t="s">
        <v>326</v>
      </c>
      <c r="C193" s="31">
        <v>4301041009</v>
      </c>
      <c r="D193" s="619">
        <v>4680115889033</v>
      </c>
      <c r="E193" s="62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16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7"/>
      <c r="P194" s="621" t="s">
        <v>72</v>
      </c>
      <c r="Q194" s="622"/>
      <c r="R194" s="622"/>
      <c r="S194" s="622"/>
      <c r="T194" s="622"/>
      <c r="U194" s="622"/>
      <c r="V194" s="623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hidden="1" x14ac:dyDescent="0.2">
      <c r="A195" s="610"/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7"/>
      <c r="P195" s="621" t="s">
        <v>72</v>
      </c>
      <c r="Q195" s="622"/>
      <c r="R195" s="622"/>
      <c r="S195" s="622"/>
      <c r="T195" s="622"/>
      <c r="U195" s="622"/>
      <c r="V195" s="623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hidden="1" customHeight="1" x14ac:dyDescent="0.2">
      <c r="A196" s="630" t="s">
        <v>328</v>
      </c>
      <c r="B196" s="631"/>
      <c r="C196" s="631"/>
      <c r="D196" s="631"/>
      <c r="E196" s="631"/>
      <c r="F196" s="631"/>
      <c r="G196" s="631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  <c r="Y196" s="631"/>
      <c r="Z196" s="631"/>
      <c r="AA196" s="48"/>
      <c r="AB196" s="48"/>
      <c r="AC196" s="48"/>
    </row>
    <row r="197" spans="1:68" ht="16.5" hidden="1" customHeight="1" x14ac:dyDescent="0.25">
      <c r="A197" s="647" t="s">
        <v>329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600"/>
      <c r="AB197" s="600"/>
      <c r="AC197" s="600"/>
    </row>
    <row r="198" spans="1:68" ht="14.25" hidden="1" customHeight="1" x14ac:dyDescent="0.25">
      <c r="A198" s="609" t="s">
        <v>121</v>
      </c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0"/>
      <c r="O198" s="610"/>
      <c r="P198" s="610"/>
      <c r="Q198" s="610"/>
      <c r="R198" s="610"/>
      <c r="S198" s="610"/>
      <c r="T198" s="610"/>
      <c r="U198" s="610"/>
      <c r="V198" s="610"/>
      <c r="W198" s="610"/>
      <c r="X198" s="610"/>
      <c r="Y198" s="610"/>
      <c r="Z198" s="610"/>
      <c r="AA198" s="601"/>
      <c r="AB198" s="601"/>
      <c r="AC198" s="601"/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3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4301011223</v>
      </c>
      <c r="D202" s="619">
        <v>4607091383423</v>
      </c>
      <c r="E202" s="62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hidden="1" customHeight="1" x14ac:dyDescent="0.25">
      <c r="A203" s="54" t="s">
        <v>341</v>
      </c>
      <c r="B203" s="54" t="s">
        <v>342</v>
      </c>
      <c r="C203" s="31">
        <v>4301012370</v>
      </c>
      <c r="D203" s="619">
        <v>4680115886957</v>
      </c>
      <c r="E203" s="62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4301012098</v>
      </c>
      <c r="D204" s="619">
        <v>4680115885660</v>
      </c>
      <c r="E204" s="62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4301012369</v>
      </c>
      <c r="D205" s="619">
        <v>4680115886773</v>
      </c>
      <c r="E205" s="62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idden="1" x14ac:dyDescent="0.2">
      <c r="A206" s="616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7"/>
      <c r="P206" s="621" t="s">
        <v>72</v>
      </c>
      <c r="Q206" s="622"/>
      <c r="R206" s="622"/>
      <c r="S206" s="622"/>
      <c r="T206" s="622"/>
      <c r="U206" s="622"/>
      <c r="V206" s="623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hidden="1" x14ac:dyDescent="0.2">
      <c r="A207" s="610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7"/>
      <c r="P207" s="621" t="s">
        <v>72</v>
      </c>
      <c r="Q207" s="622"/>
      <c r="R207" s="622"/>
      <c r="S207" s="622"/>
      <c r="T207" s="622"/>
      <c r="U207" s="622"/>
      <c r="V207" s="623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hidden="1" customHeight="1" x14ac:dyDescent="0.25">
      <c r="A208" s="647" t="s">
        <v>350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00"/>
      <c r="AB208" s="600"/>
      <c r="AC208" s="600"/>
    </row>
    <row r="209" spans="1:68" ht="14.25" hidden="1" customHeight="1" x14ac:dyDescent="0.25">
      <c r="A209" s="609" t="s">
        <v>156</v>
      </c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  <c r="R209" s="610"/>
      <c r="S209" s="610"/>
      <c r="T209" s="610"/>
      <c r="U209" s="610"/>
      <c r="V209" s="610"/>
      <c r="W209" s="610"/>
      <c r="X209" s="610"/>
      <c r="Y209" s="610"/>
      <c r="Z209" s="610"/>
      <c r="AA209" s="601"/>
      <c r="AB209" s="601"/>
      <c r="AC209" s="601"/>
    </row>
    <row r="210" spans="1:68" ht="27" hidden="1" customHeight="1" x14ac:dyDescent="0.25">
      <c r="A210" s="54" t="s">
        <v>351</v>
      </c>
      <c r="B210" s="54" t="s">
        <v>352</v>
      </c>
      <c r="C210" s="31">
        <v>4301020323</v>
      </c>
      <c r="D210" s="619">
        <v>4680115886223</v>
      </c>
      <c r="E210" s="62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16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7"/>
      <c r="P211" s="621" t="s">
        <v>72</v>
      </c>
      <c r="Q211" s="622"/>
      <c r="R211" s="622"/>
      <c r="S211" s="622"/>
      <c r="T211" s="622"/>
      <c r="U211" s="622"/>
      <c r="V211" s="623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hidden="1" x14ac:dyDescent="0.2">
      <c r="A212" s="610"/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7"/>
      <c r="P212" s="621" t="s">
        <v>72</v>
      </c>
      <c r="Q212" s="622"/>
      <c r="R212" s="622"/>
      <c r="S212" s="622"/>
      <c r="T212" s="622"/>
      <c r="U212" s="622"/>
      <c r="V212" s="623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hidden="1" customHeight="1" x14ac:dyDescent="0.25">
      <c r="A213" s="609" t="s">
        <v>62</v>
      </c>
      <c r="B213" s="610"/>
      <c r="C213" s="610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0"/>
      <c r="O213" s="610"/>
      <c r="P213" s="610"/>
      <c r="Q213" s="610"/>
      <c r="R213" s="610"/>
      <c r="S213" s="610"/>
      <c r="T213" s="610"/>
      <c r="U213" s="610"/>
      <c r="V213" s="610"/>
      <c r="W213" s="610"/>
      <c r="X213" s="610"/>
      <c r="Y213" s="610"/>
      <c r="Z213" s="610"/>
      <c r="AA213" s="601"/>
      <c r="AB213" s="601"/>
      <c r="AC213" s="601"/>
    </row>
    <row r="214" spans="1:68" ht="27" hidden="1" customHeight="1" x14ac:dyDescent="0.25">
      <c r="A214" s="54" t="s">
        <v>354</v>
      </c>
      <c r="B214" s="54" t="s">
        <v>355</v>
      </c>
      <c r="C214" s="31">
        <v>4301031191</v>
      </c>
      <c r="D214" s="619">
        <v>4680115880993</v>
      </c>
      <c r="E214" s="62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4301031204</v>
      </c>
      <c r="D215" s="619">
        <v>4680115881761</v>
      </c>
      <c r="E215" s="62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4301031201</v>
      </c>
      <c r="D216" s="619">
        <v>4680115881563</v>
      </c>
      <c r="E216" s="62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19">
        <v>4680115887565</v>
      </c>
      <c r="E217" s="62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3</v>
      </c>
      <c r="Y217" s="606">
        <f t="shared" si="32"/>
        <v>3.2</v>
      </c>
      <c r="Z217" s="36">
        <f>IFERROR(IF(Y217=0,"",ROUNDUP(Y217/H217,0)*0.00556),"")</f>
        <v>2.2239999999999999E-2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3.4874999999999998</v>
      </c>
      <c r="BN217" s="64">
        <f t="shared" si="34"/>
        <v>3.72</v>
      </c>
      <c r="BO217" s="64">
        <f t="shared" si="35"/>
        <v>1.488095238095238E-2</v>
      </c>
      <c r="BP217" s="64">
        <f t="shared" si="36"/>
        <v>1.5873015873015872E-2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19">
        <v>4680115880986</v>
      </c>
      <c r="E218" s="62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58</v>
      </c>
      <c r="Y218" s="606">
        <f t="shared" si="32"/>
        <v>58.800000000000004</v>
      </c>
      <c r="Z218" s="36">
        <f t="shared" ref="Z218:Z223" si="37">IFERROR(IF(Y218=0,"",ROUNDUP(Y218/H218,0)*0.00502),"")</f>
        <v>0.14056000000000002</v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61.590476190476188</v>
      </c>
      <c r="BN218" s="64">
        <f t="shared" si="34"/>
        <v>62.44</v>
      </c>
      <c r="BO218" s="64">
        <f t="shared" si="35"/>
        <v>0.11803011803011804</v>
      </c>
      <c r="BP218" s="64">
        <f t="shared" si="36"/>
        <v>0.11965811965811968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4301031443</v>
      </c>
      <c r="D219" s="619">
        <v>4680115887213</v>
      </c>
      <c r="E219" s="62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80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4301031205</v>
      </c>
      <c r="D220" s="619">
        <v>4680115881785</v>
      </c>
      <c r="E220" s="62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4301031499</v>
      </c>
      <c r="D221" s="619">
        <v>4680115888432</v>
      </c>
      <c r="E221" s="62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4301031427</v>
      </c>
      <c r="D222" s="619">
        <v>4680115888104</v>
      </c>
      <c r="E222" s="62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4301031399</v>
      </c>
      <c r="D223" s="619">
        <v>4680115886537</v>
      </c>
      <c r="E223" s="62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17</v>
      </c>
      <c r="Y223" s="606">
        <f t="shared" si="32"/>
        <v>18</v>
      </c>
      <c r="Z223" s="36">
        <f t="shared" si="37"/>
        <v>5.0200000000000002E-2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18.227777777777778</v>
      </c>
      <c r="BN223" s="64">
        <f t="shared" si="34"/>
        <v>19.3</v>
      </c>
      <c r="BO223" s="64">
        <f t="shared" si="35"/>
        <v>4.0360873694207031E-2</v>
      </c>
      <c r="BP223" s="64">
        <f t="shared" si="36"/>
        <v>4.2735042735042736E-2</v>
      </c>
    </row>
    <row r="224" spans="1:68" ht="27" hidden="1" customHeight="1" x14ac:dyDescent="0.25">
      <c r="A224" s="54" t="s">
        <v>382</v>
      </c>
      <c r="B224" s="54" t="s">
        <v>383</v>
      </c>
      <c r="C224" s="31">
        <v>4301031279</v>
      </c>
      <c r="D224" s="619">
        <v>4680115887596</v>
      </c>
      <c r="E224" s="62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32"/>
        <v>0</v>
      </c>
      <c r="Z224" s="36" t="str">
        <f>IFERROR(IF(Y224=0,"",ROUNDUP(Y224/H224,0)*0.00417),"")</f>
        <v/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19">
        <v>4680115881679</v>
      </c>
      <c r="E225" s="62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134</v>
      </c>
      <c r="Y225" s="606">
        <f t="shared" si="32"/>
        <v>134.4</v>
      </c>
      <c r="Z225" s="36">
        <f>IFERROR(IF(Y225=0,"",ROUNDUP(Y225/H225,0)*0.00502),"")</f>
        <v>0.32128000000000001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140.38095238095238</v>
      </c>
      <c r="BN225" s="64">
        <f t="shared" si="34"/>
        <v>140.80000000000001</v>
      </c>
      <c r="BO225" s="64">
        <f t="shared" si="35"/>
        <v>0.27269027269027274</v>
      </c>
      <c r="BP225" s="64">
        <f t="shared" si="36"/>
        <v>0.27350427350427353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4301031158</v>
      </c>
      <c r="D226" s="619">
        <v>4680115880191</v>
      </c>
      <c r="E226" s="62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389</v>
      </c>
      <c r="B227" s="54" t="s">
        <v>390</v>
      </c>
      <c r="C227" s="31">
        <v>4301031245</v>
      </c>
      <c r="D227" s="619">
        <v>4680115883963</v>
      </c>
      <c r="E227" s="62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6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7"/>
      <c r="P228" s="621" t="s">
        <v>72</v>
      </c>
      <c r="Q228" s="622"/>
      <c r="R228" s="622"/>
      <c r="S228" s="622"/>
      <c r="T228" s="622"/>
      <c r="U228" s="622"/>
      <c r="V228" s="623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104.62301587301587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106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0.53428000000000009</v>
      </c>
      <c r="AA228" s="608"/>
      <c r="AB228" s="608"/>
      <c r="AC228" s="608"/>
    </row>
    <row r="229" spans="1:68" x14ac:dyDescent="0.2">
      <c r="A229" s="610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7"/>
      <c r="P229" s="621" t="s">
        <v>72</v>
      </c>
      <c r="Q229" s="622"/>
      <c r="R229" s="622"/>
      <c r="S229" s="622"/>
      <c r="T229" s="622"/>
      <c r="U229" s="622"/>
      <c r="V229" s="623"/>
      <c r="W229" s="37" t="s">
        <v>67</v>
      </c>
      <c r="X229" s="607">
        <f>IFERROR(SUM(X214:X227),"0")</f>
        <v>212</v>
      </c>
      <c r="Y229" s="607">
        <f>IFERROR(SUM(Y214:Y227),"0")</f>
        <v>214.4</v>
      </c>
      <c r="Z229" s="37"/>
      <c r="AA229" s="608"/>
      <c r="AB229" s="608"/>
      <c r="AC229" s="608"/>
    </row>
    <row r="230" spans="1:68" ht="14.25" hidden="1" customHeight="1" x14ac:dyDescent="0.25">
      <c r="A230" s="609" t="s">
        <v>74</v>
      </c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10"/>
      <c r="O230" s="610"/>
      <c r="P230" s="610"/>
      <c r="Q230" s="610"/>
      <c r="R230" s="610"/>
      <c r="S230" s="610"/>
      <c r="T230" s="610"/>
      <c r="U230" s="610"/>
      <c r="V230" s="610"/>
      <c r="W230" s="610"/>
      <c r="X230" s="610"/>
      <c r="Y230" s="610"/>
      <c r="Z230" s="610"/>
      <c r="AA230" s="601"/>
      <c r="AB230" s="601"/>
      <c r="AC230" s="601"/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9">
        <v>4680115888692</v>
      </c>
      <c r="E231" s="62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1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9">
        <v>4680115888722</v>
      </c>
      <c r="E232" s="62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79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9">
        <v>4680115888951</v>
      </c>
      <c r="E233" s="62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9">
        <v>4680115888982</v>
      </c>
      <c r="E234" s="62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6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7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7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95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01"/>
      <c r="AB237" s="601"/>
      <c r="AC237" s="60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9">
        <v>4680115886780</v>
      </c>
      <c r="E238" s="62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9">
        <v>4680115886742</v>
      </c>
      <c r="E239" s="62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9">
        <v>4680115886766</v>
      </c>
      <c r="E240" s="62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3</v>
      </c>
      <c r="Y240" s="606">
        <f>IFERROR(IF(X240="",0,CEILING((X240/$H240),1)*$H240),"")</f>
        <v>3.7800000000000002</v>
      </c>
      <c r="Z240" s="36">
        <f>IFERROR(IF(Y240=0,"",ROUNDUP(Y240/H240,0)*0.0059),"")</f>
        <v>1.77E-2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3.4523809523809521</v>
      </c>
      <c r="BN240" s="64">
        <f>IFERROR(Y240*I240/H240,"0")</f>
        <v>4.3499999999999996</v>
      </c>
      <c r="BO240" s="64">
        <f>IFERROR(1/J240*(X240/H240),"0")</f>
        <v>1.1022927689594356E-2</v>
      </c>
      <c r="BP240" s="64">
        <f>IFERROR(1/J240*(Y240/H240),"0")</f>
        <v>1.3888888888888888E-2</v>
      </c>
    </row>
    <row r="241" spans="1:68" x14ac:dyDescent="0.2">
      <c r="A241" s="616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7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2.3809523809523809</v>
      </c>
      <c r="Y241" s="607">
        <f>IFERROR(Y238/H238,"0")+IFERROR(Y239/H239,"0")+IFERROR(Y240/H240,"0")</f>
        <v>3</v>
      </c>
      <c r="Z241" s="607">
        <f>IFERROR(IF(Z238="",0,Z238),"0")+IFERROR(IF(Z239="",0,Z239),"0")+IFERROR(IF(Z240="",0,Z240),"0")</f>
        <v>1.77E-2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7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3</v>
      </c>
      <c r="Y242" s="607">
        <f>IFERROR(SUM(Y238:Y240),"0")</f>
        <v>3.7800000000000002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601"/>
      <c r="AB243" s="601"/>
      <c r="AC243" s="60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9">
        <v>4680115886797</v>
      </c>
      <c r="E244" s="62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6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7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7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47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121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601"/>
      <c r="AB248" s="601"/>
      <c r="AC248" s="60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9">
        <v>4680115881402</v>
      </c>
      <c r="E249" s="62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9">
        <v>4680115881396</v>
      </c>
      <c r="E250" s="62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6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7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7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156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601"/>
      <c r="AB253" s="601"/>
      <c r="AC253" s="601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9">
        <v>4680115882935</v>
      </c>
      <c r="E254" s="62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9">
        <v>4680115880764</v>
      </c>
      <c r="E255" s="62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6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7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7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601"/>
      <c r="AB258" s="601"/>
      <c r="AC258" s="601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9">
        <v>4680115882683</v>
      </c>
      <c r="E259" s="62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8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0</v>
      </c>
      <c r="BN259" s="64">
        <f t="shared" ref="BN259:BN266" si="40">IFERROR(Y259*I259/H259,"0")</f>
        <v>0</v>
      </c>
      <c r="BO259" s="64">
        <f t="shared" ref="BO259:BO266" si="41">IFERROR(1/J259*(X259/H259),"0")</f>
        <v>0</v>
      </c>
      <c r="BP259" s="64">
        <f t="shared" ref="BP259:BP266" si="42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9">
        <v>4680115882690</v>
      </c>
      <c r="E260" s="62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190</v>
      </c>
      <c r="Y260" s="606">
        <f t="shared" si="38"/>
        <v>194.4</v>
      </c>
      <c r="Z260" s="36">
        <f>IFERROR(IF(Y260=0,"",ROUNDUP(Y260/H260,0)*0.00902),"")</f>
        <v>0.32472000000000001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196.68518518518516</v>
      </c>
      <c r="BN260" s="64">
        <f t="shared" si="40"/>
        <v>201.23999999999998</v>
      </c>
      <c r="BO260" s="64">
        <f t="shared" si="41"/>
        <v>0.2665544332210999</v>
      </c>
      <c r="BP260" s="64">
        <f t="shared" si="42"/>
        <v>0.27272727272727271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9">
        <v>4680115882669</v>
      </c>
      <c r="E261" s="62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87</v>
      </c>
      <c r="Y261" s="606">
        <f t="shared" si="38"/>
        <v>91.800000000000011</v>
      </c>
      <c r="Z261" s="36">
        <f>IFERROR(IF(Y261=0,"",ROUNDUP(Y261/H261,0)*0.00902),"")</f>
        <v>0.15334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90.061111111111103</v>
      </c>
      <c r="BN261" s="64">
        <f t="shared" si="40"/>
        <v>95.03</v>
      </c>
      <c r="BO261" s="64">
        <f t="shared" si="41"/>
        <v>0.12205387205387205</v>
      </c>
      <c r="BP261" s="64">
        <f t="shared" si="42"/>
        <v>0.12878787878787878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9">
        <v>4680115882676</v>
      </c>
      <c r="E262" s="62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9">
        <v>4680115884014</v>
      </c>
      <c r="E263" s="62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8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0</v>
      </c>
      <c r="BN263" s="64">
        <f t="shared" si="40"/>
        <v>0</v>
      </c>
      <c r="BO263" s="64">
        <f t="shared" si="41"/>
        <v>0</v>
      </c>
      <c r="BP263" s="64">
        <f t="shared" si="42"/>
        <v>0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9">
        <v>4680115884007</v>
      </c>
      <c r="E264" s="62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8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0</v>
      </c>
      <c r="BN264" s="64">
        <f t="shared" si="40"/>
        <v>0</v>
      </c>
      <c r="BO264" s="64">
        <f t="shared" si="41"/>
        <v>0</v>
      </c>
      <c r="BP264" s="64">
        <f t="shared" si="42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9">
        <v>4680115884038</v>
      </c>
      <c r="E265" s="62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9">
        <v>4680115884021</v>
      </c>
      <c r="E266" s="62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55</v>
      </c>
      <c r="Y266" s="606">
        <f t="shared" si="38"/>
        <v>55.800000000000004</v>
      </c>
      <c r="Z266" s="36">
        <f>IFERROR(IF(Y266=0,"",ROUNDUP(Y266/H266,0)*0.00502),"")</f>
        <v>0.15562000000000001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58.055555555555557</v>
      </c>
      <c r="BN266" s="64">
        <f t="shared" si="40"/>
        <v>58.900000000000006</v>
      </c>
      <c r="BO266" s="64">
        <f t="shared" si="41"/>
        <v>0.13057929724596393</v>
      </c>
      <c r="BP266" s="64">
        <f t="shared" si="42"/>
        <v>0.13247863247863248</v>
      </c>
    </row>
    <row r="267" spans="1:68" x14ac:dyDescent="0.2">
      <c r="A267" s="616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7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81.851851851851848</v>
      </c>
      <c r="Y267" s="607">
        <f>IFERROR(Y259/H259,"0")+IFERROR(Y260/H260,"0")+IFERROR(Y261/H261,"0")+IFERROR(Y262/H262,"0")+IFERROR(Y263/H263,"0")+IFERROR(Y264/H264,"0")+IFERROR(Y265/H265,"0")+IFERROR(Y266/H266,"0")</f>
        <v>84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0.63368000000000002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7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332</v>
      </c>
      <c r="Y268" s="607">
        <f>IFERROR(SUM(Y259:Y266),"0")</f>
        <v>342.00000000000006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601"/>
      <c r="AB269" s="601"/>
      <c r="AC269" s="601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9">
        <v>4680115881594</v>
      </c>
      <c r="E270" s="62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7</v>
      </c>
      <c r="Y270" s="606">
        <f t="shared" ref="Y270:Y281" si="43">IFERROR(IF(X270="",0,CEILING((X270/$H270),1)*$H270),"")</f>
        <v>8.1</v>
      </c>
      <c r="Z270" s="36">
        <f>IFERROR(IF(Y270=0,"",ROUNDUP(Y270/H270,0)*0.01898),"")</f>
        <v>1.898E-2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7.4269135802469135</v>
      </c>
      <c r="BN270" s="64">
        <f t="shared" ref="BN270:BN281" si="45">IFERROR(Y270*I270/H270,"0")</f>
        <v>8.5939999999999994</v>
      </c>
      <c r="BO270" s="64">
        <f t="shared" ref="BO270:BO281" si="46">IFERROR(1/J270*(X270/H270),"0")</f>
        <v>1.3503086419753087E-2</v>
      </c>
      <c r="BP270" s="64">
        <f t="shared" ref="BP270:BP281" si="47">IFERROR(1/J270*(Y270/H270),"0")</f>
        <v>1.5625E-2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19">
        <v>4680115881617</v>
      </c>
      <c r="E271" s="62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13</v>
      </c>
      <c r="Y271" s="606">
        <f t="shared" si="43"/>
        <v>16.2</v>
      </c>
      <c r="Z271" s="36">
        <f>IFERROR(IF(Y271=0,"",ROUNDUP(Y271/H271,0)*0.01898),"")</f>
        <v>3.7960000000000001E-2</v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13.763950617283951</v>
      </c>
      <c r="BN271" s="64">
        <f t="shared" si="45"/>
        <v>17.152000000000001</v>
      </c>
      <c r="BO271" s="64">
        <f t="shared" si="46"/>
        <v>2.5077160493827161E-2</v>
      </c>
      <c r="BP271" s="64">
        <f t="shared" si="47"/>
        <v>3.125E-2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9">
        <v>4680115880573</v>
      </c>
      <c r="E272" s="62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9">
        <v>4680115882195</v>
      </c>
      <c r="E273" s="62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248</v>
      </c>
      <c r="Y273" s="606">
        <f t="shared" si="43"/>
        <v>249.6</v>
      </c>
      <c r="Z273" s="36">
        <f>IFERROR(IF(Y273=0,"",ROUNDUP(Y273/H273,0)*0.00651),"")</f>
        <v>0.67703999999999998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275.89999999999998</v>
      </c>
      <c r="BN273" s="64">
        <f t="shared" si="45"/>
        <v>277.68</v>
      </c>
      <c r="BO273" s="64">
        <f t="shared" si="46"/>
        <v>0.56776556776556786</v>
      </c>
      <c r="BP273" s="64">
        <f t="shared" si="47"/>
        <v>0.57142857142857151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9">
        <v>4680115882607</v>
      </c>
      <c r="E274" s="62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9">
        <v>4680115882607</v>
      </c>
      <c r="E275" s="62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9">
        <v>4680115880092</v>
      </c>
      <c r="E276" s="62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190</v>
      </c>
      <c r="Y276" s="606">
        <f t="shared" si="43"/>
        <v>192</v>
      </c>
      <c r="Z276" s="36">
        <f>IFERROR(IF(Y276=0,"",ROUNDUP(Y276/H276,0)*0.00651),"")</f>
        <v>0.52080000000000004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209.95000000000002</v>
      </c>
      <c r="BN276" s="64">
        <f t="shared" si="45"/>
        <v>212.16000000000003</v>
      </c>
      <c r="BO276" s="64">
        <f t="shared" si="46"/>
        <v>0.43498168498168505</v>
      </c>
      <c r="BP276" s="64">
        <f t="shared" si="47"/>
        <v>0.43956043956043961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9">
        <v>4680115889064</v>
      </c>
      <c r="E277" s="62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9">
        <v>4680115880221</v>
      </c>
      <c r="E278" s="62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87</v>
      </c>
      <c r="Y278" s="606">
        <f t="shared" si="43"/>
        <v>88.8</v>
      </c>
      <c r="Z278" s="36">
        <f>IFERROR(IF(Y278=0,"",ROUNDUP(Y278/H278,0)*0.00651),"")</f>
        <v>0.24087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96.135000000000005</v>
      </c>
      <c r="BN278" s="64">
        <f t="shared" si="45"/>
        <v>98.124000000000009</v>
      </c>
      <c r="BO278" s="64">
        <f t="shared" si="46"/>
        <v>0.19917582417582419</v>
      </c>
      <c r="BP278" s="64">
        <f t="shared" si="47"/>
        <v>0.20329670329670332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9">
        <v>4680115880504</v>
      </c>
      <c r="E279" s="62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175</v>
      </c>
      <c r="Y279" s="606">
        <f t="shared" si="43"/>
        <v>175.2</v>
      </c>
      <c r="Z279" s="36">
        <f>IFERROR(IF(Y279=0,"",ROUNDUP(Y279/H279,0)*0.00651),"")</f>
        <v>0.47522999999999999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193.37500000000003</v>
      </c>
      <c r="BN279" s="64">
        <f t="shared" si="45"/>
        <v>193.596</v>
      </c>
      <c r="BO279" s="64">
        <f t="shared" si="46"/>
        <v>0.40064102564102572</v>
      </c>
      <c r="BP279" s="64">
        <f t="shared" si="47"/>
        <v>0.40109890109890112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9">
        <v>4680115882164</v>
      </c>
      <c r="E280" s="62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179</v>
      </c>
      <c r="Y280" s="606">
        <f t="shared" si="43"/>
        <v>180</v>
      </c>
      <c r="Z280" s="36">
        <f>IFERROR(IF(Y280=0,"",ROUNDUP(Y280/H280,0)*0.00651),"")</f>
        <v>0.48825000000000002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198.24250000000001</v>
      </c>
      <c r="BN280" s="64">
        <f t="shared" si="45"/>
        <v>199.35</v>
      </c>
      <c r="BO280" s="64">
        <f t="shared" si="46"/>
        <v>0.4097985347985349</v>
      </c>
      <c r="BP280" s="64">
        <f t="shared" si="47"/>
        <v>0.41208791208791212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9">
        <v>4680115888340</v>
      </c>
      <c r="E281" s="62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6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7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368.71913580246917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372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2.45913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7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899</v>
      </c>
      <c r="Y283" s="607">
        <f>IFERROR(SUM(Y270:Y281),"0")</f>
        <v>909.89999999999986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173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9">
        <v>4680115880818</v>
      </c>
      <c r="E285" s="62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8</v>
      </c>
      <c r="Y285" s="606">
        <f>IFERROR(IF(X285="",0,CEILING((X285/$H285),1)*$H285),"")</f>
        <v>9.6</v>
      </c>
      <c r="Z285" s="36">
        <f>IFERROR(IF(Y285=0,"",ROUNDUP(Y285/H285,0)*0.00651),"")</f>
        <v>2.6040000000000001E-2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8.8400000000000016</v>
      </c>
      <c r="BN285" s="64">
        <f>IFERROR(Y285*I285/H285,"0")</f>
        <v>10.608000000000001</v>
      </c>
      <c r="BO285" s="64">
        <f>IFERROR(1/J285*(X285/H285),"0")</f>
        <v>1.8315018315018316E-2</v>
      </c>
      <c r="BP285" s="64">
        <f>IFERROR(1/J285*(Y285/H285),"0")</f>
        <v>2.197802197802198E-2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19">
        <v>4680115880801</v>
      </c>
      <c r="E286" s="62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23</v>
      </c>
      <c r="Y286" s="606">
        <f>IFERROR(IF(X286="",0,CEILING((X286/$H286),1)*$H286),"")</f>
        <v>24</v>
      </c>
      <c r="Z286" s="36">
        <f>IFERROR(IF(Y286=0,"",ROUNDUP(Y286/H286,0)*0.00651),"")</f>
        <v>6.5100000000000005E-2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25.415000000000003</v>
      </c>
      <c r="BN286" s="64">
        <f>IFERROR(Y286*I286/H286,"0")</f>
        <v>26.520000000000003</v>
      </c>
      <c r="BO286" s="64">
        <f>IFERROR(1/J286*(X286/H286),"0")</f>
        <v>5.2655677655677663E-2</v>
      </c>
      <c r="BP286" s="64">
        <f>IFERROR(1/J286*(Y286/H286),"0")</f>
        <v>5.4945054945054951E-2</v>
      </c>
    </row>
    <row r="287" spans="1:68" x14ac:dyDescent="0.2">
      <c r="A287" s="616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7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12.916666666666668</v>
      </c>
      <c r="Y287" s="607">
        <f>IFERROR(Y285/H285,"0")+IFERROR(Y286/H286,"0")</f>
        <v>14</v>
      </c>
      <c r="Z287" s="607">
        <f>IFERROR(IF(Z285="",0,Z285),"0")+IFERROR(IF(Z286="",0,Z286),"0")</f>
        <v>9.1139999999999999E-2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7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31</v>
      </c>
      <c r="Y288" s="607">
        <f>IFERROR(SUM(Y285:Y286),"0")</f>
        <v>33.6</v>
      </c>
      <c r="Z288" s="37"/>
      <c r="AA288" s="608"/>
      <c r="AB288" s="608"/>
      <c r="AC288" s="608"/>
    </row>
    <row r="289" spans="1:68" ht="16.5" hidden="1" customHeight="1" x14ac:dyDescent="0.25">
      <c r="A289" s="647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121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601"/>
      <c r="AB290" s="601"/>
      <c r="AC290" s="601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9">
        <v>4680115884137</v>
      </c>
      <c r="E291" s="62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9">
        <v>4680115884236</v>
      </c>
      <c r="E292" s="62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9">
        <v>4680115884175</v>
      </c>
      <c r="E293" s="62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9">
        <v>4680115884144</v>
      </c>
      <c r="E294" s="62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8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9">
        <v>4680115886551</v>
      </c>
      <c r="E295" s="62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9">
        <v>4680115887282</v>
      </c>
      <c r="E296" s="62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9">
        <v>4680115884205</v>
      </c>
      <c r="E297" s="62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hidden="1" x14ac:dyDescent="0.2">
      <c r="A298" s="616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7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7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156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601"/>
      <c r="AB300" s="601"/>
      <c r="AC300" s="601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9">
        <v>4680115885981</v>
      </c>
      <c r="E301" s="62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6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6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7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7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601"/>
      <c r="AB304" s="601"/>
      <c r="AC304" s="601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9">
        <v>4680115886803</v>
      </c>
      <c r="E305" s="62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6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7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7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324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601"/>
      <c r="AB308" s="601"/>
      <c r="AC308" s="601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9">
        <v>4680115886704</v>
      </c>
      <c r="E309" s="62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9">
        <v>4680115886681</v>
      </c>
      <c r="E310" s="62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19">
        <v>4680115886735</v>
      </c>
      <c r="E311" s="62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2</v>
      </c>
      <c r="Y311" s="606">
        <f>IFERROR(IF(X311="",0,CEILING((X311/$H311),1)*$H311),"")</f>
        <v>2.7</v>
      </c>
      <c r="Z311" s="36">
        <f>IFERROR(IF(Y311=0,"",ROUNDUP(Y311/H311,0)*0.0059),"")</f>
        <v>1.77E-2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2.4222222222222225</v>
      </c>
      <c r="BN311" s="64">
        <f>IFERROR(Y311*I311/H311,"0")</f>
        <v>3.2700000000000005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16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7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2.2222222222222223</v>
      </c>
      <c r="Y312" s="607">
        <f>IFERROR(Y309/H309,"0")+IFERROR(Y310/H310,"0")+IFERROR(Y311/H311,"0")</f>
        <v>3</v>
      </c>
      <c r="Z312" s="607">
        <f>IFERROR(IF(Z309="",0,Z309),"0")+IFERROR(IF(Z310="",0,Z310),"0")+IFERROR(IF(Z311="",0,Z311),"0")</f>
        <v>1.77E-2</v>
      </c>
      <c r="AA312" s="608"/>
      <c r="AB312" s="608"/>
      <c r="AC312" s="608"/>
    </row>
    <row r="313" spans="1:68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7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2</v>
      </c>
      <c r="Y313" s="607">
        <f>IFERROR(SUM(Y309:Y311),"0")</f>
        <v>2.7</v>
      </c>
      <c r="Z313" s="37"/>
      <c r="AA313" s="608"/>
      <c r="AB313" s="608"/>
      <c r="AC313" s="608"/>
    </row>
    <row r="314" spans="1:68" ht="16.5" hidden="1" customHeight="1" x14ac:dyDescent="0.25">
      <c r="A314" s="647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121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01"/>
      <c r="AB315" s="601"/>
      <c r="AC315" s="601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9">
        <v>4680115885837</v>
      </c>
      <c r="E316" s="62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9">
        <v>4680115887237</v>
      </c>
      <c r="E317" s="62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9">
        <v>4680115885806</v>
      </c>
      <c r="E318" s="62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9">
        <v>4680115885844</v>
      </c>
      <c r="E319" s="62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9">
        <v>4680115885820</v>
      </c>
      <c r="E320" s="62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6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7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7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47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601"/>
      <c r="AB324" s="601"/>
      <c r="AC324" s="601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9">
        <v>4680115886186</v>
      </c>
      <c r="E325" s="62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9">
        <v>4680115881228</v>
      </c>
      <c r="E326" s="62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9">
        <v>4680115881211</v>
      </c>
      <c r="E327" s="62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52</v>
      </c>
      <c r="Y327" s="606">
        <f>IFERROR(IF(X327="",0,CEILING((X327/$H327),1)*$H327),"")</f>
        <v>52.8</v>
      </c>
      <c r="Z327" s="36">
        <f>IFERROR(IF(Y327=0,"",ROUNDUP(Y327/H327,0)*0.00651),"")</f>
        <v>0.14322000000000001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55.9</v>
      </c>
      <c r="BN327" s="64">
        <f>IFERROR(Y327*I327/H327,"0")</f>
        <v>56.76</v>
      </c>
      <c r="BO327" s="64">
        <f>IFERROR(1/J327*(X327/H327),"0")</f>
        <v>0.11904761904761907</v>
      </c>
      <c r="BP327" s="64">
        <f>IFERROR(1/J327*(Y327/H327),"0")</f>
        <v>0.12087912087912089</v>
      </c>
    </row>
    <row r="328" spans="1:68" x14ac:dyDescent="0.2">
      <c r="A328" s="616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7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21.666666666666668</v>
      </c>
      <c r="Y328" s="607">
        <f>IFERROR(Y325/H325,"0")+IFERROR(Y326/H326,"0")+IFERROR(Y327/H327,"0")</f>
        <v>22</v>
      </c>
      <c r="Z328" s="607">
        <f>IFERROR(IF(Z325="",0,Z325),"0")+IFERROR(IF(Z326="",0,Z326),"0")+IFERROR(IF(Z327="",0,Z327),"0")</f>
        <v>0.14322000000000001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7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52</v>
      </c>
      <c r="Y329" s="607">
        <f>IFERROR(SUM(Y325:Y327),"0")</f>
        <v>52.8</v>
      </c>
      <c r="Z329" s="37"/>
      <c r="AA329" s="608"/>
      <c r="AB329" s="608"/>
      <c r="AC329" s="608"/>
    </row>
    <row r="330" spans="1:68" ht="16.5" hidden="1" customHeight="1" x14ac:dyDescent="0.25">
      <c r="A330" s="647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601"/>
      <c r="AB331" s="601"/>
      <c r="AC331" s="601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9">
        <v>4680115888319</v>
      </c>
      <c r="E332" s="62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9">
        <v>4680115884700</v>
      </c>
      <c r="E333" s="62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9">
        <v>4680115880344</v>
      </c>
      <c r="E334" s="62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9">
        <v>4680115886919</v>
      </c>
      <c r="E335" s="62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9">
        <v>4680115883970</v>
      </c>
      <c r="E336" s="62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3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6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7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7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601"/>
      <c r="AB339" s="601"/>
      <c r="AC339" s="601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9">
        <v>4680115884618</v>
      </c>
      <c r="E340" s="62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9">
        <v>4680115887114</v>
      </c>
      <c r="E341" s="62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7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6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7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7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47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121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01"/>
      <c r="AB345" s="601"/>
      <c r="AC345" s="601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9">
        <v>4680115887947</v>
      </c>
      <c r="E346" s="62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19">
        <v>4680115887978</v>
      </c>
      <c r="E347" s="62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9">
        <v>4680115887992</v>
      </c>
      <c r="E348" s="62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16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7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hidden="1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7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hidden="1" customHeight="1" x14ac:dyDescent="0.25">
      <c r="A351" s="647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121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601"/>
      <c r="AB352" s="601"/>
      <c r="AC352" s="601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9">
        <v>4680115887190</v>
      </c>
      <c r="E353" s="62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2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9">
        <v>4680115887138</v>
      </c>
      <c r="E354" s="62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9">
        <v>4680115885554</v>
      </c>
      <c r="E355" s="62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9">
        <v>4680115887220</v>
      </c>
      <c r="E356" s="62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9">
        <v>4680115885608</v>
      </c>
      <c r="E357" s="62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6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7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7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601"/>
      <c r="AB360" s="601"/>
      <c r="AC360" s="601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9">
        <v>4607091387193</v>
      </c>
      <c r="E361" s="62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9">
        <v>4607091387230</v>
      </c>
      <c r="E362" s="62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53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0</v>
      </c>
      <c r="BN362" s="64">
        <f t="shared" si="55"/>
        <v>0</v>
      </c>
      <c r="BO362" s="64">
        <f t="shared" si="56"/>
        <v>0</v>
      </c>
      <c r="BP362" s="64">
        <f t="shared" si="57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9">
        <v>4607091387292</v>
      </c>
      <c r="E363" s="62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9">
        <v>4607091387285</v>
      </c>
      <c r="E364" s="62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9">
        <v>4607091389845</v>
      </c>
      <c r="E365" s="62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9">
        <v>4680115887442</v>
      </c>
      <c r="E366" s="62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9">
        <v>4607091383836</v>
      </c>
      <c r="E367" s="62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2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hidden="1" x14ac:dyDescent="0.2">
      <c r="A368" s="616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7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7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601"/>
      <c r="AB370" s="601"/>
      <c r="AC370" s="601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9">
        <v>4607091387766</v>
      </c>
      <c r="E371" s="62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9">
        <v>4607091387957</v>
      </c>
      <c r="E372" s="62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9">
        <v>4607091387964</v>
      </c>
      <c r="E373" s="62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9">
        <v>4680115884588</v>
      </c>
      <c r="E374" s="62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6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7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7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173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601"/>
      <c r="AB377" s="601"/>
      <c r="AC377" s="601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9">
        <v>4607091380880</v>
      </c>
      <c r="E378" s="62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9">
        <v>4607091384482</v>
      </c>
      <c r="E379" s="62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6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50</v>
      </c>
      <c r="Y379" s="606">
        <f>IFERROR(IF(X379="",0,CEILING((X379/$H379),1)*$H379),"")</f>
        <v>54.6</v>
      </c>
      <c r="Z379" s="36">
        <f>IFERROR(IF(Y379=0,"",ROUNDUP(Y379/H379,0)*0.01898),"")</f>
        <v>0.13286000000000001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53.166666666666671</v>
      </c>
      <c r="BN379" s="64">
        <f>IFERROR(Y379*I379/H379,"0")</f>
        <v>58.058000000000007</v>
      </c>
      <c r="BO379" s="64">
        <f>IFERROR(1/J379*(X379/H379),"0")</f>
        <v>0.10016025641025642</v>
      </c>
      <c r="BP379" s="64">
        <f>IFERROR(1/J379*(Y379/H379),"0")</f>
        <v>0.109375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9">
        <v>4607091380897</v>
      </c>
      <c r="E380" s="62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6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7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6.4102564102564106</v>
      </c>
      <c r="Y381" s="607">
        <f>IFERROR(Y378/H378,"0")+IFERROR(Y379/H379,"0")+IFERROR(Y380/H380,"0")</f>
        <v>7</v>
      </c>
      <c r="Z381" s="607">
        <f>IFERROR(IF(Z378="",0,Z378),"0")+IFERROR(IF(Z379="",0,Z379),"0")+IFERROR(IF(Z380="",0,Z380),"0")</f>
        <v>0.13286000000000001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7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50</v>
      </c>
      <c r="Y382" s="607">
        <f>IFERROR(SUM(Y378:Y380),"0")</f>
        <v>54.6</v>
      </c>
      <c r="Z382" s="37"/>
      <c r="AA382" s="608"/>
      <c r="AB382" s="608"/>
      <c r="AC382" s="608"/>
    </row>
    <row r="383" spans="1:68" ht="14.25" hidden="1" customHeight="1" x14ac:dyDescent="0.25">
      <c r="A383" s="609" t="s">
        <v>95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601"/>
      <c r="AB383" s="601"/>
      <c r="AC383" s="601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19">
        <v>4607091388381</v>
      </c>
      <c r="E384" s="62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28</v>
      </c>
      <c r="Y384" s="606">
        <f>IFERROR(IF(X384="",0,CEILING((X384/$H384),1)*$H384),"")</f>
        <v>30.4</v>
      </c>
      <c r="Z384" s="36">
        <f>IFERROR(IF(Y384=0,"",ROUNDUP(Y384/H384,0)*0.00902),"")</f>
        <v>9.0200000000000002E-2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30.486842105263161</v>
      </c>
      <c r="BN384" s="64">
        <f>IFERROR(Y384*I384/H384,"0")</f>
        <v>33.1</v>
      </c>
      <c r="BO384" s="64">
        <f>IFERROR(1/J384*(X384/H384),"0")</f>
        <v>6.9776714513556631E-2</v>
      </c>
      <c r="BP384" s="64">
        <f>IFERROR(1/J384*(Y384/H384),"0")</f>
        <v>7.575757575757576E-2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19">
        <v>4607091388374</v>
      </c>
      <c r="E385" s="62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9</v>
      </c>
      <c r="Y385" s="606">
        <f>IFERROR(IF(X385="",0,CEILING((X385/$H385),1)*$H385),"")</f>
        <v>9.120000000000001</v>
      </c>
      <c r="Z385" s="36">
        <f>IFERROR(IF(Y385=0,"",ROUNDUP(Y385/H385,0)*0.00902),"")</f>
        <v>2.7060000000000001E-2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9.6809210526315788</v>
      </c>
      <c r="BN385" s="64">
        <f>IFERROR(Y385*I385/H385,"0")</f>
        <v>9.81</v>
      </c>
      <c r="BO385" s="64">
        <f>IFERROR(1/J385*(X385/H385),"0")</f>
        <v>2.2428229665071769E-2</v>
      </c>
      <c r="BP385" s="64">
        <f>IFERROR(1/J385*(Y385/H385),"0")</f>
        <v>2.2727272727272731E-2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9">
        <v>4607091383102</v>
      </c>
      <c r="E386" s="62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9">
        <v>4607091388404</v>
      </c>
      <c r="E387" s="62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6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7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12.171052631578949</v>
      </c>
      <c r="Y388" s="607">
        <f>IFERROR(Y384/H384,"0")+IFERROR(Y385/H385,"0")+IFERROR(Y386/H386,"0")+IFERROR(Y387/H387,"0")</f>
        <v>13</v>
      </c>
      <c r="Z388" s="607">
        <f>IFERROR(IF(Z384="",0,Z384),"0")+IFERROR(IF(Z385="",0,Z385),"0")+IFERROR(IF(Z386="",0,Z386),"0")+IFERROR(IF(Z387="",0,Z387),"0")</f>
        <v>0.11726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7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37</v>
      </c>
      <c r="Y389" s="607">
        <f>IFERROR(SUM(Y384:Y387),"0")</f>
        <v>39.519999999999996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601"/>
      <c r="AB390" s="601"/>
      <c r="AC390" s="601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9">
        <v>4680115881808</v>
      </c>
      <c r="E391" s="62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9">
        <v>4680115881822</v>
      </c>
      <c r="E392" s="62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9">
        <v>4680115880016</v>
      </c>
      <c r="E393" s="62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6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7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7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47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01"/>
      <c r="AB397" s="601"/>
      <c r="AC397" s="601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9">
        <v>4607091387919</v>
      </c>
      <c r="E398" s="62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9">
        <v>4680115883604</v>
      </c>
      <c r="E399" s="62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9">
        <v>4680115883567</v>
      </c>
      <c r="E400" s="62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6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7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7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30" t="s">
        <v>652</v>
      </c>
      <c r="B403" s="631"/>
      <c r="C403" s="631"/>
      <c r="D403" s="631"/>
      <c r="E403" s="631"/>
      <c r="F403" s="631"/>
      <c r="G403" s="631"/>
      <c r="H403" s="631"/>
      <c r="I403" s="631"/>
      <c r="J403" s="631"/>
      <c r="K403" s="631"/>
      <c r="L403" s="631"/>
      <c r="M403" s="631"/>
      <c r="N403" s="631"/>
      <c r="O403" s="631"/>
      <c r="P403" s="631"/>
      <c r="Q403" s="631"/>
      <c r="R403" s="631"/>
      <c r="S403" s="631"/>
      <c r="T403" s="631"/>
      <c r="U403" s="631"/>
      <c r="V403" s="631"/>
      <c r="W403" s="631"/>
      <c r="X403" s="631"/>
      <c r="Y403" s="631"/>
      <c r="Z403" s="631"/>
      <c r="AA403" s="48"/>
      <c r="AB403" s="48"/>
      <c r="AC403" s="48"/>
    </row>
    <row r="404" spans="1:68" ht="16.5" hidden="1" customHeight="1" x14ac:dyDescent="0.25">
      <c r="A404" s="647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121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19">
        <v>4680115888401</v>
      </c>
      <c r="E406" s="62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13</v>
      </c>
      <c r="Y406" s="606">
        <f t="shared" ref="Y406:Y413" si="58">IFERROR(IF(X406="",0,CEILING((X406/$H406),1)*$H406),"")</f>
        <v>15</v>
      </c>
      <c r="Z406" s="36">
        <f>IFERROR(IF(Y406=0,"",ROUNDUP(Y406/H406,0)*0.02175),"")</f>
        <v>2.1749999999999999E-2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13.407333333333334</v>
      </c>
      <c r="BN406" s="64">
        <f t="shared" ref="BN406:BN413" si="60">IFERROR(Y406*I406/H406,"0")</f>
        <v>15.47</v>
      </c>
      <c r="BO406" s="64">
        <f t="shared" ref="BO406:BO413" si="61">IFERROR(1/J406*(X406/H406),"0")</f>
        <v>1.8055555555555554E-2</v>
      </c>
      <c r="BP406" s="64">
        <f t="shared" ref="BP406:BP413" si="62">IFERROR(1/J406*(Y406/H406),"0")</f>
        <v>2.0833333333333332E-2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9">
        <v>4680115884847</v>
      </c>
      <c r="E407" s="62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873</v>
      </c>
      <c r="Y407" s="606">
        <f t="shared" si="58"/>
        <v>885</v>
      </c>
      <c r="Z407" s="36">
        <f>IFERROR(IF(Y407=0,"",ROUNDUP(Y407/H407,0)*0.02175),"")</f>
        <v>1.28325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900.35400000000004</v>
      </c>
      <c r="BN407" s="64">
        <f t="shared" si="60"/>
        <v>912.73</v>
      </c>
      <c r="BO407" s="64">
        <f t="shared" si="61"/>
        <v>1.2124999999999999</v>
      </c>
      <c r="BP407" s="64">
        <f t="shared" si="62"/>
        <v>1.2291666666666665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9">
        <v>4680115884854</v>
      </c>
      <c r="E408" s="62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772</v>
      </c>
      <c r="Y408" s="606">
        <f t="shared" si="58"/>
        <v>780</v>
      </c>
      <c r="Z408" s="36">
        <f>IFERROR(IF(Y408=0,"",ROUNDUP(Y408/H408,0)*0.02175),"")</f>
        <v>1.131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796.18933333333337</v>
      </c>
      <c r="BN408" s="64">
        <f t="shared" si="60"/>
        <v>804.44</v>
      </c>
      <c r="BO408" s="64">
        <f t="shared" si="61"/>
        <v>1.0722222222222222</v>
      </c>
      <c r="BP408" s="64">
        <f t="shared" si="62"/>
        <v>1.0833333333333333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9">
        <v>4680115884830</v>
      </c>
      <c r="E409" s="62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300</v>
      </c>
      <c r="Y409" s="606">
        <f t="shared" si="58"/>
        <v>300</v>
      </c>
      <c r="Z409" s="36">
        <f>IFERROR(IF(Y409=0,"",ROUNDUP(Y409/H409,0)*0.02175),"")</f>
        <v>0.43499999999999994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309.39999999999998</v>
      </c>
      <c r="BN409" s="64">
        <f t="shared" si="60"/>
        <v>309.39999999999998</v>
      </c>
      <c r="BO409" s="64">
        <f t="shared" si="61"/>
        <v>0.41666666666666663</v>
      </c>
      <c r="BP409" s="64">
        <f t="shared" si="62"/>
        <v>0.41666666666666663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9">
        <v>4680115889231</v>
      </c>
      <c r="E410" s="62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9">
        <v>4680115882638</v>
      </c>
      <c r="E411" s="62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9">
        <v>4680115884922</v>
      </c>
      <c r="E412" s="62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9">
        <v>4680115884861</v>
      </c>
      <c r="E413" s="62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6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7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130.53333333333333</v>
      </c>
      <c r="Y414" s="607">
        <f>IFERROR(Y406/H406,"0")+IFERROR(Y407/H407,"0")+IFERROR(Y408/H408,"0")+IFERROR(Y409/H409,"0")+IFERROR(Y410/H410,"0")+IFERROR(Y411/H411,"0")+IFERROR(Y412/H412,"0")+IFERROR(Y413/H413,"0")</f>
        <v>132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2.871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7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1958</v>
      </c>
      <c r="Y415" s="607">
        <f>IFERROR(SUM(Y406:Y413),"0")</f>
        <v>1980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156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601"/>
      <c r="AB416" s="601"/>
      <c r="AC416" s="601"/>
    </row>
    <row r="417" spans="1:68" ht="27" hidden="1" customHeight="1" x14ac:dyDescent="0.25">
      <c r="A417" s="54" t="s">
        <v>678</v>
      </c>
      <c r="B417" s="54" t="s">
        <v>679</v>
      </c>
      <c r="C417" s="31">
        <v>4301020178</v>
      </c>
      <c r="D417" s="619">
        <v>4607091383980</v>
      </c>
      <c r="E417" s="62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9">
        <v>4680115888425</v>
      </c>
      <c r="E418" s="62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9">
        <v>4607091384178</v>
      </c>
      <c r="E419" s="62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16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7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hidden="1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7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601"/>
      <c r="AB422" s="601"/>
      <c r="AC422" s="601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9">
        <v>4607091383928</v>
      </c>
      <c r="E423" s="62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9">
        <v>4607091384260</v>
      </c>
      <c r="E424" s="62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6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7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7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173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601"/>
      <c r="AB427" s="601"/>
      <c r="AC427" s="601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19">
        <v>4607091384673</v>
      </c>
      <c r="E428" s="62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171</v>
      </c>
      <c r="Y428" s="606">
        <f>IFERROR(IF(X428="",0,CEILING((X428/$H428),1)*$H428),"")</f>
        <v>171</v>
      </c>
      <c r="Z428" s="36">
        <f>IFERROR(IF(Y428=0,"",ROUNDUP(Y428/H428,0)*0.01898),"")</f>
        <v>0.36062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180.386</v>
      </c>
      <c r="BN428" s="64">
        <f>IFERROR(Y428*I428/H428,"0")</f>
        <v>180.386</v>
      </c>
      <c r="BO428" s="64">
        <f>IFERROR(1/J428*(X428/H428),"0")</f>
        <v>0.296875</v>
      </c>
      <c r="BP428" s="64">
        <f>IFERROR(1/J428*(Y428/H428),"0")</f>
        <v>0.296875</v>
      </c>
    </row>
    <row r="429" spans="1:68" x14ac:dyDescent="0.2">
      <c r="A429" s="616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7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19</v>
      </c>
      <c r="Y429" s="607">
        <f>IFERROR(Y428/H428,"0")</f>
        <v>19</v>
      </c>
      <c r="Z429" s="607">
        <f>IFERROR(IF(Z428="",0,Z428),"0")</f>
        <v>0.36062</v>
      </c>
      <c r="AA429" s="608"/>
      <c r="AB429" s="608"/>
      <c r="AC429" s="608"/>
    </row>
    <row r="430" spans="1:68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7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171</v>
      </c>
      <c r="Y430" s="607">
        <f>IFERROR(SUM(Y428:Y428),"0")</f>
        <v>171</v>
      </c>
      <c r="Z430" s="37"/>
      <c r="AA430" s="608"/>
      <c r="AB430" s="608"/>
      <c r="AC430" s="608"/>
    </row>
    <row r="431" spans="1:68" ht="16.5" hidden="1" customHeight="1" x14ac:dyDescent="0.25">
      <c r="A431" s="647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121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601"/>
      <c r="AB432" s="601"/>
      <c r="AC432" s="601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9">
        <v>4680115884885</v>
      </c>
      <c r="E433" s="62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9">
        <v>4680115884908</v>
      </c>
      <c r="E434" s="62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6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7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7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601"/>
      <c r="AB437" s="601"/>
      <c r="AC437" s="601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9">
        <v>4607091384802</v>
      </c>
      <c r="E438" s="62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6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7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7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01"/>
      <c r="AB441" s="601"/>
      <c r="AC441" s="601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9">
        <v>4607091384246</v>
      </c>
      <c r="E442" s="62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595</v>
      </c>
      <c r="Y442" s="606">
        <f>IFERROR(IF(X442="",0,CEILING((X442/$H442),1)*$H442),"")</f>
        <v>603</v>
      </c>
      <c r="Z442" s="36">
        <f>IFERROR(IF(Y442=0,"",ROUNDUP(Y442/H442,0)*0.01898),"")</f>
        <v>1.27166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627.6588888888889</v>
      </c>
      <c r="BN442" s="64">
        <f>IFERROR(Y442*I442/H442,"0")</f>
        <v>636.09799999999996</v>
      </c>
      <c r="BO442" s="64">
        <f>IFERROR(1/J442*(X442/H442),"0")</f>
        <v>1.0329861111111112</v>
      </c>
      <c r="BP442" s="64">
        <f>IFERROR(1/J442*(Y442/H442),"0")</f>
        <v>1.046875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19">
        <v>4607091384253</v>
      </c>
      <c r="E443" s="62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22</v>
      </c>
      <c r="Y443" s="606">
        <f>IFERROR(IF(X443="",0,CEILING((X443/$H443),1)*$H443),"")</f>
        <v>24</v>
      </c>
      <c r="Z443" s="36">
        <f>IFERROR(IF(Y443=0,"",ROUNDUP(Y443/H443,0)*0.00651),"")</f>
        <v>6.5100000000000005E-2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24.42</v>
      </c>
      <c r="BN443" s="64">
        <f>IFERROR(Y443*I443/H443,"0")</f>
        <v>26.640000000000004</v>
      </c>
      <c r="BO443" s="64">
        <f>IFERROR(1/J443*(X443/H443),"0")</f>
        <v>5.0366300366300375E-2</v>
      </c>
      <c r="BP443" s="64">
        <f>IFERROR(1/J443*(Y443/H443),"0")</f>
        <v>5.4945054945054951E-2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9">
        <v>4607091384253</v>
      </c>
      <c r="E444" s="62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6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7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75.277777777777786</v>
      </c>
      <c r="Y445" s="607">
        <f>IFERROR(Y442/H442,"0")+IFERROR(Y443/H443,"0")+IFERROR(Y444/H444,"0")</f>
        <v>77</v>
      </c>
      <c r="Z445" s="607">
        <f>IFERROR(IF(Z442="",0,Z442),"0")+IFERROR(IF(Z443="",0,Z443),"0")+IFERROR(IF(Z444="",0,Z444),"0")</f>
        <v>1.3367599999999999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7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617</v>
      </c>
      <c r="Y446" s="607">
        <f>IFERROR(SUM(Y442:Y444),"0")</f>
        <v>627</v>
      </c>
      <c r="Z446" s="37"/>
      <c r="AA446" s="608"/>
      <c r="AB446" s="608"/>
      <c r="AC446" s="608"/>
    </row>
    <row r="447" spans="1:68" ht="27.75" hidden="1" customHeight="1" x14ac:dyDescent="0.2">
      <c r="A447" s="630" t="s">
        <v>712</v>
      </c>
      <c r="B447" s="631"/>
      <c r="C447" s="631"/>
      <c r="D447" s="631"/>
      <c r="E447" s="631"/>
      <c r="F447" s="631"/>
      <c r="G447" s="631"/>
      <c r="H447" s="631"/>
      <c r="I447" s="631"/>
      <c r="J447" s="631"/>
      <c r="K447" s="631"/>
      <c r="L447" s="631"/>
      <c r="M447" s="631"/>
      <c r="N447" s="631"/>
      <c r="O447" s="631"/>
      <c r="P447" s="631"/>
      <c r="Q447" s="631"/>
      <c r="R447" s="631"/>
      <c r="S447" s="631"/>
      <c r="T447" s="631"/>
      <c r="U447" s="631"/>
      <c r="V447" s="631"/>
      <c r="W447" s="631"/>
      <c r="X447" s="631"/>
      <c r="Y447" s="631"/>
      <c r="Z447" s="631"/>
      <c r="AA447" s="48"/>
      <c r="AB447" s="48"/>
      <c r="AC447" s="48"/>
    </row>
    <row r="448" spans="1:68" ht="16.5" hidden="1" customHeight="1" x14ac:dyDescent="0.25">
      <c r="A448" s="647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01"/>
      <c r="AB449" s="601"/>
      <c r="AC449" s="601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9">
        <v>4680115886100</v>
      </c>
      <c r="E450" s="62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8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9">
        <v>4680115886124</v>
      </c>
      <c r="E451" s="62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9">
        <v>4607091384338</v>
      </c>
      <c r="E452" s="62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9">
        <v>4680115883161</v>
      </c>
      <c r="E453" s="62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9">
        <v>4607091389531</v>
      </c>
      <c r="E454" s="62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9">
        <v>4607091384345</v>
      </c>
      <c r="E455" s="62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hidden="1" x14ac:dyDescent="0.2">
      <c r="A456" s="616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7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7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601"/>
      <c r="AB458" s="601"/>
      <c r="AC458" s="601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9">
        <v>4607091384352</v>
      </c>
      <c r="E459" s="62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9">
        <v>4607091389654</v>
      </c>
      <c r="E460" s="62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6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7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7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47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156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01"/>
      <c r="AB464" s="601"/>
      <c r="AC464" s="601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9">
        <v>4680115885240</v>
      </c>
      <c r="E465" s="62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6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7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7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01"/>
      <c r="AB468" s="601"/>
      <c r="AC468" s="601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19">
        <v>4680115886094</v>
      </c>
      <c r="E469" s="62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42</v>
      </c>
      <c r="Y469" s="606">
        <f>IFERROR(IF(X469="",0,CEILING((X469/$H469),1)*$H469),"")</f>
        <v>43.2</v>
      </c>
      <c r="Z469" s="36">
        <f>IFERROR(IF(Y469=0,"",ROUNDUP(Y469/H469,0)*0.00902),"")</f>
        <v>7.2160000000000002E-2</v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43.477777777777774</v>
      </c>
      <c r="BN469" s="64">
        <f>IFERROR(Y469*I469/H469,"0")</f>
        <v>44.72</v>
      </c>
      <c r="BO469" s="64">
        <f>IFERROR(1/J469*(X469/H469),"0")</f>
        <v>5.8922558922558925E-2</v>
      </c>
      <c r="BP469" s="64">
        <f>IFERROR(1/J469*(Y469/H469),"0")</f>
        <v>6.0606060606060608E-2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9">
        <v>4680115880771</v>
      </c>
      <c r="E470" s="62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9">
        <v>4607091389500</v>
      </c>
      <c r="E471" s="62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16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7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7.7777777777777777</v>
      </c>
      <c r="Y472" s="607">
        <f>IFERROR(Y469/H469,"0")+IFERROR(Y470/H470,"0")+IFERROR(Y471/H471,"0")</f>
        <v>8</v>
      </c>
      <c r="Z472" s="607">
        <f>IFERROR(IF(Z469="",0,Z469),"0")+IFERROR(IF(Z470="",0,Z470),"0")+IFERROR(IF(Z471="",0,Z471),"0")</f>
        <v>7.2160000000000002E-2</v>
      </c>
      <c r="AA472" s="608"/>
      <c r="AB472" s="608"/>
      <c r="AC472" s="608"/>
    </row>
    <row r="473" spans="1:68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7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42</v>
      </c>
      <c r="Y473" s="607">
        <f>IFERROR(SUM(Y469:Y471),"0")</f>
        <v>43.2</v>
      </c>
      <c r="Z473" s="37"/>
      <c r="AA473" s="608"/>
      <c r="AB473" s="608"/>
      <c r="AC473" s="608"/>
    </row>
    <row r="474" spans="1:68" ht="27.75" hidden="1" customHeight="1" x14ac:dyDescent="0.2">
      <c r="A474" s="630" t="s">
        <v>748</v>
      </c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1"/>
      <c r="P474" s="631"/>
      <c r="Q474" s="631"/>
      <c r="R474" s="631"/>
      <c r="S474" s="631"/>
      <c r="T474" s="631"/>
      <c r="U474" s="631"/>
      <c r="V474" s="631"/>
      <c r="W474" s="631"/>
      <c r="X474" s="631"/>
      <c r="Y474" s="631"/>
      <c r="Z474" s="631"/>
      <c r="AA474" s="48"/>
      <c r="AB474" s="48"/>
      <c r="AC474" s="48"/>
    </row>
    <row r="475" spans="1:68" ht="16.5" hidden="1" customHeight="1" x14ac:dyDescent="0.25">
      <c r="A475" s="647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121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601"/>
      <c r="AB476" s="601"/>
      <c r="AC476" s="601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9">
        <v>4607091389067</v>
      </c>
      <c r="E477" s="62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hidden="1" customHeight="1" x14ac:dyDescent="0.25">
      <c r="A478" s="54" t="s">
        <v>751</v>
      </c>
      <c r="B478" s="54" t="s">
        <v>752</v>
      </c>
      <c r="C478" s="31">
        <v>4301012210</v>
      </c>
      <c r="D478" s="619">
        <v>4607091383522</v>
      </c>
      <c r="E478" s="62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9">
        <v>4680115885271</v>
      </c>
      <c r="E479" s="62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9">
        <v>4680115885226</v>
      </c>
      <c r="E480" s="62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9">
        <v>4680115884502</v>
      </c>
      <c r="E481" s="62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8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763</v>
      </c>
      <c r="B482" s="54" t="s">
        <v>764</v>
      </c>
      <c r="C482" s="31">
        <v>4301011771</v>
      </c>
      <c r="D482" s="619">
        <v>4607091389104</v>
      </c>
      <c r="E482" s="62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0</v>
      </c>
      <c r="Y482" s="606">
        <f t="shared" si="68"/>
        <v>0</v>
      </c>
      <c r="Z482" s="36" t="str">
        <f t="shared" si="69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9">
        <v>4680115886391</v>
      </c>
      <c r="E483" s="62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19">
        <v>4680115880603</v>
      </c>
      <c r="E484" s="62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8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18</v>
      </c>
      <c r="Y484" s="606">
        <f t="shared" si="68"/>
        <v>19.2</v>
      </c>
      <c r="Z484" s="36">
        <f>IFERROR(IF(Y484=0,"",ROUNDUP(Y484/H484,0)*0.00902),"")</f>
        <v>3.6080000000000001E-2</v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25.912500000000001</v>
      </c>
      <c r="BN484" s="64">
        <f t="shared" si="71"/>
        <v>27.64</v>
      </c>
      <c r="BO484" s="64">
        <f t="shared" si="72"/>
        <v>2.8409090909090912E-2</v>
      </c>
      <c r="BP484" s="64">
        <f t="shared" si="73"/>
        <v>3.0303030303030304E-2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9">
        <v>4607091389982</v>
      </c>
      <c r="E485" s="62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6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7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3.75</v>
      </c>
      <c r="Y486" s="607">
        <f>IFERROR(Y477/H477,"0")+IFERROR(Y478/H478,"0")+IFERROR(Y479/H479,"0")+IFERROR(Y480/H480,"0")+IFERROR(Y481/H481,"0")+IFERROR(Y482/H482,"0")+IFERROR(Y483/H483,"0")+IFERROR(Y484/H484,"0")+IFERROR(Y485/H485,"0")</f>
        <v>4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3.6080000000000001E-2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7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18</v>
      </c>
      <c r="Y487" s="607">
        <f>IFERROR(SUM(Y477:Y485),"0")</f>
        <v>19.2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156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601"/>
      <c r="AB488" s="601"/>
      <c r="AC488" s="601"/>
    </row>
    <row r="489" spans="1:68" ht="16.5" hidden="1" customHeight="1" x14ac:dyDescent="0.25">
      <c r="A489" s="54" t="s">
        <v>772</v>
      </c>
      <c r="B489" s="54" t="s">
        <v>773</v>
      </c>
      <c r="C489" s="31">
        <v>4301020334</v>
      </c>
      <c r="D489" s="619">
        <v>4607091388930</v>
      </c>
      <c r="E489" s="62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9">
        <v>4680115886407</v>
      </c>
      <c r="E490" s="62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9">
        <v>4680115880054</v>
      </c>
      <c r="E491" s="62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16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7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0</v>
      </c>
      <c r="Y492" s="607">
        <f>IFERROR(Y489/H489,"0")+IFERROR(Y490/H490,"0")+IFERROR(Y491/H491,"0")</f>
        <v>0</v>
      </c>
      <c r="Z492" s="607">
        <f>IFERROR(IF(Z489="",0,Z489),"0")+IFERROR(IF(Z490="",0,Z490),"0")+IFERROR(IF(Z491="",0,Z491),"0")</f>
        <v>0</v>
      </c>
      <c r="AA492" s="608"/>
      <c r="AB492" s="608"/>
      <c r="AC492" s="608"/>
    </row>
    <row r="493" spans="1:68" hidden="1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7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0</v>
      </c>
      <c r="Y493" s="607">
        <f>IFERROR(SUM(Y489:Y491),"0")</f>
        <v>0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601"/>
      <c r="AB494" s="601"/>
      <c r="AC494" s="601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9">
        <v>4680115883116</v>
      </c>
      <c r="E495" s="62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79</v>
      </c>
      <c r="Y495" s="606">
        <f t="shared" ref="Y495:Y501" si="74">IFERROR(IF(X495="",0,CEILING((X495/$H495),1)*$H495),"")</f>
        <v>79.2</v>
      </c>
      <c r="Z495" s="36">
        <f>IFERROR(IF(Y495=0,"",ROUNDUP(Y495/H495,0)*0.01196),"")</f>
        <v>0.1794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84.236742424242422</v>
      </c>
      <c r="BN495" s="64">
        <f t="shared" ref="BN495:BN501" si="76">IFERROR(Y495*I495/H495,"0")</f>
        <v>84.45</v>
      </c>
      <c r="BO495" s="64">
        <f t="shared" ref="BO495:BO501" si="77">IFERROR(1/J495*(X495/H495),"0")</f>
        <v>0.14386655011655011</v>
      </c>
      <c r="BP495" s="64">
        <f t="shared" ref="BP495:BP501" si="78">IFERROR(1/J495*(Y495/H495),"0")</f>
        <v>0.14423076923076925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9">
        <v>4680115883093</v>
      </c>
      <c r="E496" s="62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hidden="1" customHeight="1" x14ac:dyDescent="0.25">
      <c r="A497" s="54" t="s">
        <v>785</v>
      </c>
      <c r="B497" s="54" t="s">
        <v>786</v>
      </c>
      <c r="C497" s="31">
        <v>4301031353</v>
      </c>
      <c r="D497" s="619">
        <v>4680115883109</v>
      </c>
      <c r="E497" s="62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74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9">
        <v>4680115882072</v>
      </c>
      <c r="E498" s="62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9">
        <v>4680115882102</v>
      </c>
      <c r="E499" s="62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4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9">
        <v>4680115882102</v>
      </c>
      <c r="E500" s="62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9">
        <v>4680115882096</v>
      </c>
      <c r="E501" s="62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6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7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14.962121212121211</v>
      </c>
      <c r="Y502" s="607">
        <f>IFERROR(Y495/H495,"0")+IFERROR(Y496/H496,"0")+IFERROR(Y497/H497,"0")+IFERROR(Y498/H498,"0")+IFERROR(Y499/H499,"0")+IFERROR(Y500/H500,"0")+IFERROR(Y501/H501,"0")</f>
        <v>15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0.1794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7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79</v>
      </c>
      <c r="Y503" s="607">
        <f>IFERROR(SUM(Y495:Y501),"0")</f>
        <v>79.2</v>
      </c>
      <c r="Z503" s="37"/>
      <c r="AA503" s="608"/>
      <c r="AB503" s="608"/>
      <c r="AC503" s="608"/>
    </row>
    <row r="504" spans="1:68" ht="27.75" hidden="1" customHeight="1" x14ac:dyDescent="0.2">
      <c r="A504" s="630" t="s">
        <v>795</v>
      </c>
      <c r="B504" s="631"/>
      <c r="C504" s="631"/>
      <c r="D504" s="631"/>
      <c r="E504" s="631"/>
      <c r="F504" s="631"/>
      <c r="G504" s="631"/>
      <c r="H504" s="631"/>
      <c r="I504" s="631"/>
      <c r="J504" s="631"/>
      <c r="K504" s="631"/>
      <c r="L504" s="631"/>
      <c r="M504" s="631"/>
      <c r="N504" s="631"/>
      <c r="O504" s="631"/>
      <c r="P504" s="631"/>
      <c r="Q504" s="631"/>
      <c r="R504" s="631"/>
      <c r="S504" s="631"/>
      <c r="T504" s="631"/>
      <c r="U504" s="631"/>
      <c r="V504" s="631"/>
      <c r="W504" s="631"/>
      <c r="X504" s="631"/>
      <c r="Y504" s="631"/>
      <c r="Z504" s="631"/>
      <c r="AA504" s="48"/>
      <c r="AB504" s="48"/>
      <c r="AC504" s="48"/>
    </row>
    <row r="505" spans="1:68" ht="16.5" hidden="1" customHeight="1" x14ac:dyDescent="0.25">
      <c r="A505" s="647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121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601"/>
      <c r="AB506" s="601"/>
      <c r="AC506" s="601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9">
        <v>4640242180564</v>
      </c>
      <c r="E507" s="62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6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7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7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156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601"/>
      <c r="AB510" s="601"/>
      <c r="AC510" s="601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9">
        <v>4640242180519</v>
      </c>
      <c r="E511" s="62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6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7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7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601"/>
      <c r="AB514" s="601"/>
      <c r="AC514" s="601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9">
        <v>4640242180595</v>
      </c>
      <c r="E515" s="62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1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9">
        <v>4640242180595</v>
      </c>
      <c r="E516" s="62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6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7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7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601"/>
      <c r="AB519" s="601"/>
      <c r="AC519" s="601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19">
        <v>4640242180533</v>
      </c>
      <c r="E520" s="62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33</v>
      </c>
      <c r="Y520" s="606">
        <f>IFERROR(IF(X520="",0,CEILING((X520/$H520),1)*$H520),"")</f>
        <v>36</v>
      </c>
      <c r="Z520" s="36">
        <f>IFERROR(IF(Y520=0,"",ROUNDUP(Y520/H520,0)*0.01898),"")</f>
        <v>7.5920000000000001E-2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34.811333333333337</v>
      </c>
      <c r="BN520" s="64">
        <f>IFERROR(Y520*I520/H520,"0")</f>
        <v>37.975999999999999</v>
      </c>
      <c r="BO520" s="64">
        <f>IFERROR(1/J520*(X520/H520),"0")</f>
        <v>5.7291666666666664E-2</v>
      </c>
      <c r="BP520" s="64">
        <f>IFERROR(1/J520*(Y520/H520),"0")</f>
        <v>6.25E-2</v>
      </c>
    </row>
    <row r="521" spans="1:68" x14ac:dyDescent="0.2">
      <c r="A521" s="616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7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3.6666666666666665</v>
      </c>
      <c r="Y521" s="607">
        <f>IFERROR(Y520/H520,"0")</f>
        <v>4</v>
      </c>
      <c r="Z521" s="607">
        <f>IFERROR(IF(Z520="",0,Z520),"0")</f>
        <v>7.5920000000000001E-2</v>
      </c>
      <c r="AA521" s="608"/>
      <c r="AB521" s="608"/>
      <c r="AC521" s="608"/>
    </row>
    <row r="522" spans="1:68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7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33</v>
      </c>
      <c r="Y522" s="607">
        <f>IFERROR(SUM(Y520:Y520),"0")</f>
        <v>36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173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601"/>
      <c r="AB523" s="601"/>
      <c r="AC523" s="601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9">
        <v>4640242180120</v>
      </c>
      <c r="E524" s="62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9">
        <v>4640242180137</v>
      </c>
      <c r="E525" s="62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6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7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7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47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156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601"/>
      <c r="AB529" s="601"/>
      <c r="AC529" s="601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9">
        <v>4640242180090</v>
      </c>
      <c r="E530" s="62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6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7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7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8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4"/>
      <c r="P533" s="661" t="s">
        <v>820</v>
      </c>
      <c r="Q533" s="662"/>
      <c r="R533" s="662"/>
      <c r="S533" s="662"/>
      <c r="T533" s="662"/>
      <c r="U533" s="662"/>
      <c r="V533" s="663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5252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5346.0999999999995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4"/>
      <c r="P534" s="661" t="s">
        <v>821</v>
      </c>
      <c r="Q534" s="662"/>
      <c r="R534" s="662"/>
      <c r="S534" s="662"/>
      <c r="T534" s="662"/>
      <c r="U534" s="662"/>
      <c r="V534" s="663"/>
      <c r="W534" s="37" t="s">
        <v>67</v>
      </c>
      <c r="X534" s="607">
        <f>IFERROR(SUM(BM22:BM530),"0")</f>
        <v>5562.6657651620653</v>
      </c>
      <c r="Y534" s="607">
        <f>IFERROR(SUM(BN22:BN530),"0")</f>
        <v>5662.7800000000007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4"/>
      <c r="P535" s="661" t="s">
        <v>822</v>
      </c>
      <c r="Q535" s="662"/>
      <c r="R535" s="662"/>
      <c r="S535" s="662"/>
      <c r="T535" s="662"/>
      <c r="U535" s="662"/>
      <c r="V535" s="663"/>
      <c r="W535" s="37" t="s">
        <v>823</v>
      </c>
      <c r="X535" s="38">
        <f>ROUNDUP(SUM(BO22:BO530),0)</f>
        <v>10</v>
      </c>
      <c r="Y535" s="38">
        <f>ROUNDUP(SUM(BP22:BP530),0)</f>
        <v>10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4"/>
      <c r="P536" s="661" t="s">
        <v>824</v>
      </c>
      <c r="Q536" s="662"/>
      <c r="R536" s="662"/>
      <c r="S536" s="662"/>
      <c r="T536" s="662"/>
      <c r="U536" s="662"/>
      <c r="V536" s="663"/>
      <c r="W536" s="37" t="s">
        <v>67</v>
      </c>
      <c r="X536" s="607">
        <f>GrossWeightTotal+PalletQtyTotal*25</f>
        <v>5812.6657651620653</v>
      </c>
      <c r="Y536" s="607">
        <f>GrossWeightTotalR+PalletQtyTotalR*25</f>
        <v>5912.7800000000007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4"/>
      <c r="P537" s="661" t="s">
        <v>825</v>
      </c>
      <c r="Q537" s="662"/>
      <c r="R537" s="662"/>
      <c r="S537" s="662"/>
      <c r="T537" s="662"/>
      <c r="U537" s="662"/>
      <c r="V537" s="663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1112.0276814965412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1132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4"/>
      <c r="P538" s="661" t="s">
        <v>826</v>
      </c>
      <c r="Q538" s="662"/>
      <c r="R538" s="662"/>
      <c r="S538" s="662"/>
      <c r="T538" s="662"/>
      <c r="U538" s="662"/>
      <c r="V538" s="663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10.83419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4" t="s">
        <v>119</v>
      </c>
      <c r="E540" s="823"/>
      <c r="F540" s="823"/>
      <c r="G540" s="823"/>
      <c r="H540" s="823"/>
      <c r="I540" s="823"/>
      <c r="J540" s="670"/>
      <c r="K540" s="614" t="s">
        <v>328</v>
      </c>
      <c r="L540" s="823"/>
      <c r="M540" s="823"/>
      <c r="N540" s="823"/>
      <c r="O540" s="823"/>
      <c r="P540" s="823"/>
      <c r="Q540" s="823"/>
      <c r="R540" s="823"/>
      <c r="S540" s="823"/>
      <c r="T540" s="823"/>
      <c r="U540" s="670"/>
      <c r="V540" s="614" t="s">
        <v>652</v>
      </c>
      <c r="W540" s="670"/>
      <c r="X540" s="614" t="s">
        <v>712</v>
      </c>
      <c r="Y540" s="670"/>
      <c r="Z540" s="602" t="s">
        <v>748</v>
      </c>
      <c r="AA540" s="614" t="s">
        <v>795</v>
      </c>
      <c r="AB540" s="670"/>
      <c r="AC540" s="52"/>
      <c r="AF540" s="603"/>
    </row>
    <row r="541" spans="1:68" ht="14.25" customHeight="1" thickTop="1" x14ac:dyDescent="0.2">
      <c r="A541" s="875" t="s">
        <v>829</v>
      </c>
      <c r="B541" s="614" t="s">
        <v>61</v>
      </c>
      <c r="C541" s="614" t="s">
        <v>102</v>
      </c>
      <c r="D541" s="614" t="s">
        <v>120</v>
      </c>
      <c r="E541" s="614" t="s">
        <v>136</v>
      </c>
      <c r="F541" s="614" t="s">
        <v>180</v>
      </c>
      <c r="G541" s="614" t="s">
        <v>201</v>
      </c>
      <c r="H541" s="614" t="s">
        <v>245</v>
      </c>
      <c r="I541" s="614" t="s">
        <v>257</v>
      </c>
      <c r="J541" s="614" t="s">
        <v>119</v>
      </c>
      <c r="K541" s="614" t="s">
        <v>329</v>
      </c>
      <c r="L541" s="614" t="s">
        <v>350</v>
      </c>
      <c r="M541" s="614" t="s">
        <v>414</v>
      </c>
      <c r="N541" s="603"/>
      <c r="O541" s="614" t="s">
        <v>482</v>
      </c>
      <c r="P541" s="614" t="s">
        <v>515</v>
      </c>
      <c r="Q541" s="614" t="s">
        <v>531</v>
      </c>
      <c r="R541" s="614" t="s">
        <v>540</v>
      </c>
      <c r="S541" s="614" t="s">
        <v>561</v>
      </c>
      <c r="T541" s="614" t="s">
        <v>570</v>
      </c>
      <c r="U541" s="614" t="s">
        <v>642</v>
      </c>
      <c r="V541" s="614" t="s">
        <v>653</v>
      </c>
      <c r="W541" s="614" t="s">
        <v>696</v>
      </c>
      <c r="X541" s="614" t="s">
        <v>713</v>
      </c>
      <c r="Y541" s="614" t="s">
        <v>736</v>
      </c>
      <c r="Z541" s="614" t="s">
        <v>748</v>
      </c>
      <c r="AA541" s="614" t="s">
        <v>795</v>
      </c>
      <c r="AB541" s="614" t="s">
        <v>816</v>
      </c>
      <c r="AC541" s="52"/>
      <c r="AF541" s="603"/>
    </row>
    <row r="542" spans="1:68" ht="13.5" customHeight="1" thickBot="1" x14ac:dyDescent="0.25">
      <c r="A542" s="876"/>
      <c r="B542" s="615"/>
      <c r="C542" s="615"/>
      <c r="D542" s="615"/>
      <c r="E542" s="615"/>
      <c r="F542" s="615"/>
      <c r="G542" s="615"/>
      <c r="H542" s="615"/>
      <c r="I542" s="615"/>
      <c r="J542" s="615"/>
      <c r="K542" s="615"/>
      <c r="L542" s="615"/>
      <c r="M542" s="615"/>
      <c r="N542" s="603"/>
      <c r="O542" s="615"/>
      <c r="P542" s="615"/>
      <c r="Q542" s="615"/>
      <c r="R542" s="615"/>
      <c r="S542" s="615"/>
      <c r="T542" s="615"/>
      <c r="U542" s="615"/>
      <c r="V542" s="615"/>
      <c r="W542" s="615"/>
      <c r="X542" s="615"/>
      <c r="Y542" s="615"/>
      <c r="Z542" s="615"/>
      <c r="AA542" s="615"/>
      <c r="AB542" s="615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0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0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18</v>
      </c>
      <c r="F543" s="46">
        <f>IFERROR(Y88*1,"0")+IFERROR(Y89*1,"0")+IFERROR(Y90*1,"0")+IFERROR(Y91*1,"0")+IFERROR(Y95*1,"0")+IFERROR(Y96*1,"0")+IFERROR(Y97*1,"0")+IFERROR(Y98*1,"0")</f>
        <v>248.4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221.58</v>
      </c>
      <c r="H543" s="46">
        <f>IFERROR(Y135*1,"0")+IFERROR(Y136*1,"0")+IFERROR(Y140*1,"0")+IFERROR(Y141*1,"0")+IFERROR(Y145*1,"0")+IFERROR(Y146*1,"0")</f>
        <v>88.64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160.57999999999998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218.18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1285.5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2.7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52.8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94.12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2151</v>
      </c>
      <c r="W543" s="46">
        <f>IFERROR(Y433*1,"0")+IFERROR(Y434*1,"0")+IFERROR(Y438*1,"0")+IFERROR(Y442*1,"0")+IFERROR(Y443*1,"0")+IFERROR(Y444*1,"0")</f>
        <v>627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43.2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98.4</v>
      </c>
      <c r="AA543" s="46">
        <f>IFERROR(Y507*1,"0")+IFERROR(Y511*1,"0")+IFERROR(Y515*1,"0")+IFERROR(Y516*1,"0")+IFERROR(Y520*1,"0")+IFERROR(Y524*1,"0")+IFERROR(Y525*1,"0")</f>
        <v>36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6"/>
        <filter val="1 112,03"/>
        <filter val="1 958,00"/>
        <filter val="10"/>
        <filter val="104,62"/>
        <filter val="108,00"/>
        <filter val="11,00"/>
        <filter val="12,17"/>
        <filter val="12,92"/>
        <filter val="13,00"/>
        <filter val="130,53"/>
        <filter val="134,00"/>
        <filter val="14,00"/>
        <filter val="14,96"/>
        <filter val="16,00"/>
        <filter val="160,00"/>
        <filter val="17,00"/>
        <filter val="171,00"/>
        <filter val="175,00"/>
        <filter val="179,00"/>
        <filter val="18,00"/>
        <filter val="19,00"/>
        <filter val="190,00"/>
        <filter val="2,00"/>
        <filter val="2,13"/>
        <filter val="2,22"/>
        <filter val="2,38"/>
        <filter val="21,67"/>
        <filter val="212,00"/>
        <filter val="22,00"/>
        <filter val="23,00"/>
        <filter val="24,29"/>
        <filter val="246,00"/>
        <filter val="248,00"/>
        <filter val="28,00"/>
        <filter val="28,52"/>
        <filter val="3,00"/>
        <filter val="3,56"/>
        <filter val="3,67"/>
        <filter val="3,75"/>
        <filter val="300,00"/>
        <filter val="31,00"/>
        <filter val="33,00"/>
        <filter val="332,00"/>
        <filter val="368,72"/>
        <filter val="37,00"/>
        <filter val="4,38"/>
        <filter val="42,00"/>
        <filter val="5 252,00"/>
        <filter val="5 562,67"/>
        <filter val="5 812,67"/>
        <filter val="5,56"/>
        <filter val="50,00"/>
        <filter val="52,00"/>
        <filter val="55,00"/>
        <filter val="58,00"/>
        <filter val="595,00"/>
        <filter val="6,41"/>
        <filter val="61,81"/>
        <filter val="617,00"/>
        <filter val="68,00"/>
        <filter val="7,00"/>
        <filter val="7,78"/>
        <filter val="75,28"/>
        <filter val="77,00"/>
        <filter val="772,00"/>
        <filter val="79,00"/>
        <filter val="8,00"/>
        <filter val="81,85"/>
        <filter val="87,00"/>
        <filter val="873,00"/>
        <filter val="899,00"/>
        <filter val="9,00"/>
        <filter val="91,11"/>
        <filter val="99,00"/>
      </filters>
    </filterColumn>
    <filterColumn colId="29" showButton="0"/>
    <filterColumn colId="30" showButton="0"/>
  </autoFilter>
  <mergeCells count="955"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P513:V513"/>
    <mergeCell ref="A251:O252"/>
    <mergeCell ref="P292:T292"/>
    <mergeCell ref="A269:Z269"/>
    <mergeCell ref="P294:T294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527:V527"/>
    <mergeCell ref="P507:T5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M17:M18"/>
    <mergeCell ref="O17:O18"/>
    <mergeCell ref="P336:T336"/>
    <mergeCell ref="P131:V131"/>
    <mergeCell ref="D164:E164"/>
    <mergeCell ref="P62:T62"/>
    <mergeCell ref="U17:V17"/>
    <mergeCell ref="P36:T36"/>
    <mergeCell ref="A9:C9"/>
    <mergeCell ref="Q13:R13"/>
    <mergeCell ref="D22:E22"/>
    <mergeCell ref="G17:G18"/>
    <mergeCell ref="P46:T46"/>
    <mergeCell ref="P381:V381"/>
    <mergeCell ref="A35:Z35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P125:T125"/>
    <mergeCell ref="D373:E373"/>
    <mergeCell ref="D202:E202"/>
    <mergeCell ref="A167:Z167"/>
    <mergeCell ref="P242:V242"/>
    <mergeCell ref="D159:E159"/>
    <mergeCell ref="A403:Z403"/>
    <mergeCell ref="P121:V121"/>
    <mergeCell ref="D489:E489"/>
    <mergeCell ref="A427:Z427"/>
    <mergeCell ref="D477:E477"/>
    <mergeCell ref="P459:T459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P47:V47"/>
    <mergeCell ref="P176:T176"/>
    <mergeCell ref="P114:T114"/>
    <mergeCell ref="P483:T483"/>
    <mergeCell ref="A157:Z157"/>
    <mergeCell ref="A508:O509"/>
    <mergeCell ref="A230:Z230"/>
    <mergeCell ref="D222:E222"/>
    <mergeCell ref="P399:T399"/>
    <mergeCell ref="P333:T333"/>
    <mergeCell ref="P57:V57"/>
    <mergeCell ref="P478:T478"/>
    <mergeCell ref="P278:T278"/>
    <mergeCell ref="P107:T107"/>
    <mergeCell ref="P465:T465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A94:Z94"/>
    <mergeCell ref="P79:V79"/>
    <mergeCell ref="A69:Z69"/>
    <mergeCell ref="A196:Z196"/>
    <mergeCell ref="P115:T115"/>
    <mergeCell ref="D254:E254"/>
    <mergeCell ref="P302:V302"/>
    <mergeCell ref="P238:T238"/>
    <mergeCell ref="D346:E346"/>
    <mergeCell ref="D204:E204"/>
    <mergeCell ref="D294:E294"/>
    <mergeCell ref="P348:T348"/>
    <mergeCell ref="D231:E231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P536:V536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A435:O436"/>
    <mergeCell ref="D116:E116"/>
    <mergeCell ref="P419:T419"/>
    <mergeCell ref="P219:T219"/>
    <mergeCell ref="D91:E91"/>
    <mergeCell ref="D160:E160"/>
    <mergeCell ref="P153:T153"/>
    <mergeCell ref="P90:T90"/>
    <mergeCell ref="P332:T332"/>
    <mergeCell ref="P217:T217"/>
    <mergeCell ref="D386:E386"/>
    <mergeCell ref="D215:E215"/>
    <mergeCell ref="P194:V194"/>
    <mergeCell ref="P456:V456"/>
    <mergeCell ref="P434:T434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P15:T16"/>
    <mergeCell ref="P450:T450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D400:E400"/>
    <mergeCell ref="D77:E77"/>
    <mergeCell ref="D108:E108"/>
    <mergeCell ref="P423:T423"/>
    <mergeCell ref="P223:T223"/>
    <mergeCell ref="P52:T52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D465:E465"/>
    <mergeCell ref="D296:E296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A531:O532"/>
    <mergeCell ref="A468:Z468"/>
    <mergeCell ref="A321:O322"/>
    <mergeCell ref="P164:T164"/>
    <mergeCell ref="P120:V120"/>
    <mergeCell ref="D384:E384"/>
    <mergeCell ref="P341:T341"/>
    <mergeCell ref="D151:E151"/>
    <mergeCell ref="A110:O111"/>
    <mergeCell ref="P206:V206"/>
    <mergeCell ref="A258:Z258"/>
    <mergeCell ref="A517:O518"/>
    <mergeCell ref="A133:Z133"/>
    <mergeCell ref="P511:T511"/>
    <mergeCell ref="P479:T479"/>
    <mergeCell ref="P481:T481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D500:E500"/>
    <mergeCell ref="P492:V492"/>
    <mergeCell ref="P484:T484"/>
    <mergeCell ref="D490:E490"/>
    <mergeCell ref="P365:T365"/>
    <mergeCell ref="P293:T293"/>
    <mergeCell ref="D407:E407"/>
    <mergeCell ref="P363:T363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A523:Z523"/>
    <mergeCell ref="A87:Z87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524:E524"/>
    <mergeCell ref="P407:T407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D470:E470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D60:E60"/>
    <mergeCell ref="P73:T73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  <mergeCell ref="P533:V533"/>
    <mergeCell ref="W541:W54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2026-07-09T10:43:09Z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