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98D857-993F-4D77-AA18-3381B1E76F7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Z508" i="2" s="1"/>
  <c r="Z509" i="2" s="1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P499" i="2"/>
  <c r="BO498" i="2"/>
  <c r="BM498" i="2"/>
  <c r="Y498" i="2"/>
  <c r="Z498" i="2" s="1"/>
  <c r="P498" i="2"/>
  <c r="BO497" i="2"/>
  <c r="BM497" i="2"/>
  <c r="Y497" i="2"/>
  <c r="BN497" i="2" s="1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Z461" i="2" s="1"/>
  <c r="P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Z451" i="2" s="1"/>
  <c r="P451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P435" i="2"/>
  <c r="BO434" i="2"/>
  <c r="BM434" i="2"/>
  <c r="Y434" i="2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P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P341" i="2"/>
  <c r="BO340" i="2"/>
  <c r="BM340" i="2"/>
  <c r="Y340" i="2"/>
  <c r="Y343" i="2" s="1"/>
  <c r="P340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P231" i="2"/>
  <c r="X229" i="2"/>
  <c r="X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Z210" i="2" s="1"/>
  <c r="Z211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Z199" i="2" s="1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BP189" i="2" s="1"/>
  <c r="P189" i="2"/>
  <c r="BO188" i="2"/>
  <c r="BM188" i="2"/>
  <c r="Y188" i="2"/>
  <c r="Y191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P168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P160" i="2"/>
  <c r="BO159" i="2"/>
  <c r="BM159" i="2"/>
  <c r="Y159" i="2"/>
  <c r="P159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P152" i="2"/>
  <c r="BO151" i="2"/>
  <c r="BM151" i="2"/>
  <c r="Y151" i="2"/>
  <c r="Y155" i="2" s="1"/>
  <c r="P151" i="2"/>
  <c r="X148" i="2"/>
  <c r="X147" i="2"/>
  <c r="BO146" i="2"/>
  <c r="BM146" i="2"/>
  <c r="Y146" i="2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Y137" i="2" s="1"/>
  <c r="P135" i="2"/>
  <c r="X132" i="2"/>
  <c r="X131" i="2"/>
  <c r="BO130" i="2"/>
  <c r="BM130" i="2"/>
  <c r="Y130" i="2"/>
  <c r="BN130" i="2" s="1"/>
  <c r="P130" i="2"/>
  <c r="X128" i="2"/>
  <c r="X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P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X111" i="2"/>
  <c r="X110" i="2"/>
  <c r="BO109" i="2"/>
  <c r="BM109" i="2"/>
  <c r="Y109" i="2"/>
  <c r="BN109" i="2" s="1"/>
  <c r="P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P105" i="2"/>
  <c r="BO104" i="2"/>
  <c r="BM104" i="2"/>
  <c r="Y104" i="2"/>
  <c r="Z104" i="2" s="1"/>
  <c r="P104" i="2"/>
  <c r="BO103" i="2"/>
  <c r="BM103" i="2"/>
  <c r="Y103" i="2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P66" i="2"/>
  <c r="BO65" i="2"/>
  <c r="BM65" i="2"/>
  <c r="Y65" i="2"/>
  <c r="P65" i="2"/>
  <c r="BO64" i="2"/>
  <c r="BM64" i="2"/>
  <c r="Y64" i="2"/>
  <c r="Z64" i="2" s="1"/>
  <c r="P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Z60" i="2" s="1"/>
  <c r="P60" i="2"/>
  <c r="X57" i="2"/>
  <c r="X56" i="2"/>
  <c r="BO55" i="2"/>
  <c r="BM55" i="2"/>
  <c r="Y55" i="2"/>
  <c r="BP55" i="2" s="1"/>
  <c r="P55" i="2"/>
  <c r="BO54" i="2"/>
  <c r="BM54" i="2"/>
  <c r="Y54" i="2"/>
  <c r="P54" i="2"/>
  <c r="BO53" i="2"/>
  <c r="BM53" i="2"/>
  <c r="Y53" i="2"/>
  <c r="Z53" i="2" s="1"/>
  <c r="P53" i="2"/>
  <c r="BO52" i="2"/>
  <c r="BM52" i="2"/>
  <c r="Y52" i="2"/>
  <c r="Y57" i="2" s="1"/>
  <c r="P52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P42" i="2"/>
  <c r="X38" i="2"/>
  <c r="X37" i="2"/>
  <c r="BO36" i="2"/>
  <c r="BM36" i="2"/>
  <c r="Y36" i="2"/>
  <c r="Z36" i="2" s="1"/>
  <c r="Z37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Y396" i="2" l="1"/>
  <c r="BP239" i="2"/>
  <c r="Z460" i="2"/>
  <c r="Z462" i="2" s="1"/>
  <c r="Z82" i="2"/>
  <c r="Z172" i="2"/>
  <c r="BN172" i="2"/>
  <c r="Z265" i="2"/>
  <c r="BN265" i="2"/>
  <c r="Z375" i="2"/>
  <c r="BP500" i="2"/>
  <c r="Y138" i="2"/>
  <c r="Y207" i="2"/>
  <c r="Y427" i="2"/>
  <c r="Y25" i="2"/>
  <c r="Z78" i="2"/>
  <c r="Z136" i="2"/>
  <c r="Y166" i="2"/>
  <c r="Z214" i="2"/>
  <c r="BN214" i="2"/>
  <c r="Z255" i="2"/>
  <c r="BN255" i="2"/>
  <c r="Z333" i="2"/>
  <c r="Z355" i="2"/>
  <c r="BN355" i="2"/>
  <c r="Z387" i="2"/>
  <c r="Y421" i="2"/>
  <c r="Z425" i="2"/>
  <c r="Z479" i="2"/>
  <c r="BP497" i="2"/>
  <c r="BP32" i="2"/>
  <c r="BN55" i="2"/>
  <c r="BN66" i="2"/>
  <c r="Z66" i="2"/>
  <c r="BP89" i="2"/>
  <c r="BN89" i="2"/>
  <c r="Z89" i="2"/>
  <c r="BN108" i="2"/>
  <c r="BN123" i="2"/>
  <c r="BN169" i="2"/>
  <c r="Z169" i="2"/>
  <c r="BN174" i="2"/>
  <c r="BP174" i="2"/>
  <c r="BN184" i="2"/>
  <c r="BP184" i="2"/>
  <c r="Y195" i="2"/>
  <c r="Z193" i="2"/>
  <c r="Z194" i="2" s="1"/>
  <c r="BP204" i="2"/>
  <c r="BN204" i="2"/>
  <c r="Z204" i="2"/>
  <c r="BN219" i="2"/>
  <c r="BP219" i="2"/>
  <c r="BP225" i="2"/>
  <c r="BN225" i="2"/>
  <c r="Z225" i="2"/>
  <c r="BP232" i="2"/>
  <c r="BN232" i="2"/>
  <c r="Z232" i="2"/>
  <c r="BN250" i="2"/>
  <c r="BN260" i="2"/>
  <c r="BN272" i="2"/>
  <c r="BP272" i="2"/>
  <c r="BN278" i="2"/>
  <c r="BN293" i="2"/>
  <c r="BP293" i="2"/>
  <c r="Y303" i="2"/>
  <c r="Y302" i="2"/>
  <c r="BN301" i="2"/>
  <c r="BN325" i="2"/>
  <c r="BN334" i="2"/>
  <c r="Z334" i="2"/>
  <c r="BP347" i="2"/>
  <c r="BN347" i="2"/>
  <c r="Z347" i="2"/>
  <c r="BP367" i="2"/>
  <c r="Z367" i="2"/>
  <c r="BP401" i="2"/>
  <c r="BN401" i="2"/>
  <c r="Z401" i="2"/>
  <c r="BN410" i="2"/>
  <c r="BN452" i="2"/>
  <c r="BP471" i="2"/>
  <c r="BN471" i="2"/>
  <c r="Z471" i="2"/>
  <c r="BP485" i="2"/>
  <c r="BN485" i="2"/>
  <c r="Z485" i="2"/>
  <c r="BN502" i="2"/>
  <c r="Z502" i="2"/>
  <c r="BN517" i="2"/>
  <c r="X538" i="2"/>
  <c r="Z32" i="2"/>
  <c r="Z43" i="2"/>
  <c r="BN43" i="2"/>
  <c r="BN46" i="2"/>
  <c r="Y67" i="2"/>
  <c r="BP66" i="2"/>
  <c r="BN71" i="2"/>
  <c r="BN115" i="2"/>
  <c r="Y131" i="2"/>
  <c r="BP169" i="2"/>
  <c r="BP170" i="2"/>
  <c r="BN170" i="2"/>
  <c r="Z170" i="2"/>
  <c r="BN215" i="2"/>
  <c r="BN240" i="2"/>
  <c r="BN285" i="2"/>
  <c r="BN311" i="2"/>
  <c r="Y337" i="2"/>
  <c r="BP334" i="2"/>
  <c r="BP336" i="2"/>
  <c r="BN336" i="2"/>
  <c r="Z336" i="2"/>
  <c r="BN341" i="2"/>
  <c r="BP341" i="2"/>
  <c r="BN358" i="2"/>
  <c r="BN385" i="2"/>
  <c r="BP385" i="2"/>
  <c r="BN418" i="2"/>
  <c r="Y431" i="2"/>
  <c r="Y430" i="2"/>
  <c r="Z429" i="2"/>
  <c r="Z430" i="2" s="1"/>
  <c r="BP435" i="2"/>
  <c r="Z435" i="2"/>
  <c r="BP454" i="2"/>
  <c r="Z454" i="2"/>
  <c r="BN470" i="2"/>
  <c r="Z470" i="2"/>
  <c r="BN483" i="2"/>
  <c r="Z483" i="2"/>
  <c r="Z512" i="2"/>
  <c r="Z513" i="2" s="1"/>
  <c r="Y513" i="2"/>
  <c r="BN512" i="2"/>
  <c r="BP78" i="2"/>
  <c r="BN118" i="2"/>
  <c r="BN125" i="2"/>
  <c r="BP136" i="2"/>
  <c r="BN175" i="2"/>
  <c r="Y186" i="2"/>
  <c r="BN182" i="2"/>
  <c r="BN189" i="2"/>
  <c r="BN199" i="2"/>
  <c r="BN217" i="2"/>
  <c r="BN220" i="2"/>
  <c r="BN227" i="2"/>
  <c r="BN244" i="2"/>
  <c r="BN275" i="2"/>
  <c r="BN280" i="2"/>
  <c r="BN291" i="2"/>
  <c r="BN294" i="2"/>
  <c r="BN317" i="2"/>
  <c r="BN363" i="2"/>
  <c r="BP375" i="2"/>
  <c r="BN380" i="2"/>
  <c r="BN408" i="2"/>
  <c r="BN413" i="2"/>
  <c r="BN420" i="2"/>
  <c r="BP425" i="2"/>
  <c r="Y447" i="2"/>
  <c r="BN453" i="2"/>
  <c r="BP460" i="2"/>
  <c r="Y474" i="2"/>
  <c r="Y24" i="2"/>
  <c r="Z23" i="2"/>
  <c r="Z31" i="2"/>
  <c r="BP31" i="2"/>
  <c r="BP52" i="2"/>
  <c r="BN53" i="2"/>
  <c r="Y56" i="2"/>
  <c r="Z61" i="2"/>
  <c r="BP61" i="2"/>
  <c r="BN117" i="2"/>
  <c r="BP117" i="2"/>
  <c r="BP124" i="2"/>
  <c r="Z124" i="2"/>
  <c r="BN154" i="2"/>
  <c r="BP154" i="2"/>
  <c r="BN262" i="2"/>
  <c r="BP262" i="2"/>
  <c r="BP340" i="2"/>
  <c r="Y342" i="2"/>
  <c r="Z340" i="2"/>
  <c r="BP412" i="2"/>
  <c r="Z412" i="2"/>
  <c r="Y527" i="2"/>
  <c r="F10" i="2"/>
  <c r="Z22" i="2"/>
  <c r="BP22" i="2"/>
  <c r="BP29" i="2"/>
  <c r="BN36" i="2"/>
  <c r="Y37" i="2"/>
  <c r="Z46" i="2"/>
  <c r="Z55" i="2"/>
  <c r="BP63" i="2"/>
  <c r="BN64" i="2"/>
  <c r="Z71" i="2"/>
  <c r="G544" i="2"/>
  <c r="BN103" i="2"/>
  <c r="BP103" i="2"/>
  <c r="Z103" i="2"/>
  <c r="Y147" i="2"/>
  <c r="BN177" i="2"/>
  <c r="BP177" i="2"/>
  <c r="Z177" i="2"/>
  <c r="BN222" i="2"/>
  <c r="BP222" i="2"/>
  <c r="Z222" i="2"/>
  <c r="BN270" i="2"/>
  <c r="BP270" i="2"/>
  <c r="Z270" i="2"/>
  <c r="Z353" i="2"/>
  <c r="BN353" i="2"/>
  <c r="BN365" i="2"/>
  <c r="BP365" i="2"/>
  <c r="Z365" i="2"/>
  <c r="BN388" i="2"/>
  <c r="BP388" i="2"/>
  <c r="Z388" i="2"/>
  <c r="BP414" i="2"/>
  <c r="Z414" i="2"/>
  <c r="BN455" i="2"/>
  <c r="BP455" i="2"/>
  <c r="BN492" i="2"/>
  <c r="Z492" i="2"/>
  <c r="BP516" i="2"/>
  <c r="Y519" i="2"/>
  <c r="Z516" i="2"/>
  <c r="BP521" i="2"/>
  <c r="Y523" i="2"/>
  <c r="Y522" i="2"/>
  <c r="X535" i="2"/>
  <c r="BP53" i="2"/>
  <c r="BP83" i="2"/>
  <c r="BN83" i="2"/>
  <c r="Z97" i="2"/>
  <c r="BN97" i="2"/>
  <c r="BN105" i="2"/>
  <c r="BP105" i="2"/>
  <c r="Z105" i="2"/>
  <c r="BN146" i="2"/>
  <c r="BP146" i="2"/>
  <c r="Z146" i="2"/>
  <c r="BP159" i="2"/>
  <c r="Y161" i="2"/>
  <c r="Y162" i="2"/>
  <c r="BN160" i="2"/>
  <c r="BP160" i="2"/>
  <c r="Z160" i="2"/>
  <c r="Y229" i="2"/>
  <c r="Z273" i="2"/>
  <c r="BN273" i="2"/>
  <c r="BN296" i="2"/>
  <c r="BP296" i="2"/>
  <c r="Z296" i="2"/>
  <c r="BN319" i="2"/>
  <c r="BP319" i="2"/>
  <c r="Z319" i="2"/>
  <c r="BN368" i="2"/>
  <c r="BP368" i="2"/>
  <c r="Z368" i="2"/>
  <c r="BN445" i="2"/>
  <c r="BP445" i="2"/>
  <c r="Z445" i="2"/>
  <c r="BN480" i="2"/>
  <c r="BP480" i="2"/>
  <c r="BP499" i="2"/>
  <c r="Z499" i="2"/>
  <c r="Y518" i="2"/>
  <c r="BP36" i="2"/>
  <c r="Y38" i="2"/>
  <c r="BP64" i="2"/>
  <c r="BN73" i="2"/>
  <c r="BP73" i="2"/>
  <c r="BN107" i="2"/>
  <c r="BP107" i="2"/>
  <c r="BN201" i="2"/>
  <c r="BP201" i="2"/>
  <c r="Z201" i="2"/>
  <c r="Y228" i="2"/>
  <c r="Z218" i="2"/>
  <c r="Y84" i="2"/>
  <c r="BP108" i="2"/>
  <c r="Y120" i="2"/>
  <c r="BP118" i="2"/>
  <c r="BP130" i="2"/>
  <c r="Y132" i="2"/>
  <c r="BP140" i="2"/>
  <c r="BN141" i="2"/>
  <c r="Y142" i="2"/>
  <c r="Y148" i="2"/>
  <c r="BN151" i="2"/>
  <c r="BP210" i="2"/>
  <c r="Y212" i="2"/>
  <c r="Y252" i="2"/>
  <c r="BP263" i="2"/>
  <c r="BP373" i="2"/>
  <c r="BP466" i="2"/>
  <c r="Y468" i="2"/>
  <c r="BP482" i="2"/>
  <c r="Y503" i="2"/>
  <c r="Y504" i="2"/>
  <c r="BP96" i="2"/>
  <c r="Z113" i="2"/>
  <c r="BP113" i="2"/>
  <c r="Z115" i="2"/>
  <c r="Z123" i="2"/>
  <c r="Z125" i="2"/>
  <c r="Z145" i="2"/>
  <c r="BP145" i="2"/>
  <c r="BP164" i="2"/>
  <c r="Z171" i="2"/>
  <c r="BP175" i="2"/>
  <c r="Z189" i="2"/>
  <c r="BP199" i="2"/>
  <c r="Z217" i="2"/>
  <c r="BP220" i="2"/>
  <c r="BP240" i="2"/>
  <c r="Z249" i="2"/>
  <c r="Y256" i="2"/>
  <c r="Z260" i="2"/>
  <c r="Z279" i="2"/>
  <c r="Z285" i="2"/>
  <c r="BP294" i="2"/>
  <c r="Z301" i="2"/>
  <c r="Z302" i="2" s="1"/>
  <c r="BP301" i="2"/>
  <c r="Z305" i="2"/>
  <c r="Z306" i="2" s="1"/>
  <c r="Y306" i="2"/>
  <c r="Z311" i="2"/>
  <c r="BP317" i="2"/>
  <c r="Z325" i="2"/>
  <c r="Y350" i="2"/>
  <c r="Z348" i="2"/>
  <c r="Z358" i="2"/>
  <c r="BP363" i="2"/>
  <c r="Y376" i="2"/>
  <c r="Z380" i="2"/>
  <c r="Z394" i="2"/>
  <c r="Z400" i="2"/>
  <c r="Z410" i="2"/>
  <c r="Z413" i="2"/>
  <c r="Z420" i="2"/>
  <c r="Y426" i="2"/>
  <c r="X544" i="2"/>
  <c r="Z453" i="2"/>
  <c r="Y463" i="2"/>
  <c r="Z482" i="2"/>
  <c r="Z496" i="2"/>
  <c r="BP502" i="2"/>
  <c r="BP512" i="2"/>
  <c r="Y514" i="2"/>
  <c r="Z517" i="2"/>
  <c r="Y85" i="2"/>
  <c r="H544" i="2"/>
  <c r="BP141" i="2"/>
  <c r="Y143" i="2"/>
  <c r="I544" i="2"/>
  <c r="Z182" i="2"/>
  <c r="BP182" i="2"/>
  <c r="Z205" i="2"/>
  <c r="BN210" i="2"/>
  <c r="Y211" i="2"/>
  <c r="Z215" i="2"/>
  <c r="Z226" i="2"/>
  <c r="Y235" i="2"/>
  <c r="Y236" i="2"/>
  <c r="Z244" i="2"/>
  <c r="Z245" i="2" s="1"/>
  <c r="BP244" i="2"/>
  <c r="Y246" i="2"/>
  <c r="Y251" i="2"/>
  <c r="BN263" i="2"/>
  <c r="Z275" i="2"/>
  <c r="Z278" i="2"/>
  <c r="Z291" i="2"/>
  <c r="BN373" i="2"/>
  <c r="Y416" i="2"/>
  <c r="BP408" i="2"/>
  <c r="BP418" i="2"/>
  <c r="Y446" i="2"/>
  <c r="BP452" i="2"/>
  <c r="BN466" i="2"/>
  <c r="Y467" i="2"/>
  <c r="Y473" i="2"/>
  <c r="Y493" i="2"/>
  <c r="Y494" i="2"/>
  <c r="AA544" i="2"/>
  <c r="BP178" i="2"/>
  <c r="BN178" i="2"/>
  <c r="U544" i="2"/>
  <c r="Y403" i="2"/>
  <c r="BP399" i="2"/>
  <c r="Y402" i="2"/>
  <c r="BN399" i="2"/>
  <c r="BP276" i="2"/>
  <c r="BN276" i="2"/>
  <c r="Y328" i="2"/>
  <c r="BN326" i="2"/>
  <c r="BP326" i="2"/>
  <c r="Q544" i="2"/>
  <c r="Y390" i="2"/>
  <c r="BP386" i="2"/>
  <c r="Y389" i="2"/>
  <c r="BN386" i="2"/>
  <c r="Z386" i="2"/>
  <c r="Y436" i="2"/>
  <c r="W544" i="2"/>
  <c r="BP434" i="2"/>
  <c r="BN434" i="2"/>
  <c r="Y298" i="2"/>
  <c r="BN292" i="2"/>
  <c r="Y299" i="2"/>
  <c r="BP292" i="2"/>
  <c r="O544" i="2"/>
  <c r="Y313" i="2"/>
  <c r="BP309" i="2"/>
  <c r="Y312" i="2"/>
  <c r="BN309" i="2"/>
  <c r="Z326" i="2"/>
  <c r="Z434" i="2"/>
  <c r="Z436" i="2" s="1"/>
  <c r="BN106" i="2"/>
  <c r="BP106" i="2"/>
  <c r="Y283" i="2"/>
  <c r="Z292" i="2"/>
  <c r="Z309" i="2"/>
  <c r="BP356" i="2"/>
  <c r="BN356" i="2"/>
  <c r="BP90" i="2"/>
  <c r="BN90" i="2"/>
  <c r="Z356" i="2"/>
  <c r="BP411" i="2"/>
  <c r="BN411" i="2"/>
  <c r="Z27" i="2"/>
  <c r="BN261" i="2"/>
  <c r="Y267" i="2"/>
  <c r="BP261" i="2"/>
  <c r="BP320" i="2"/>
  <c r="BN320" i="2"/>
  <c r="Z411" i="2"/>
  <c r="BN72" i="2"/>
  <c r="Z261" i="2"/>
  <c r="Y287" i="2"/>
  <c r="Y288" i="2"/>
  <c r="BP286" i="2"/>
  <c r="BN286" i="2"/>
  <c r="Z320" i="2"/>
  <c r="BP366" i="2"/>
  <c r="BN366" i="2"/>
  <c r="Z393" i="2"/>
  <c r="BP486" i="2"/>
  <c r="BN486" i="2"/>
  <c r="Z486" i="2"/>
  <c r="BP223" i="2"/>
  <c r="BN223" i="2"/>
  <c r="Y242" i="2"/>
  <c r="Y241" i="2"/>
  <c r="BP238" i="2"/>
  <c r="BN238" i="2"/>
  <c r="Z286" i="2"/>
  <c r="Z366" i="2"/>
  <c r="BP381" i="2"/>
  <c r="BN381" i="2"/>
  <c r="E544" i="2"/>
  <c r="BP116" i="2"/>
  <c r="BN116" i="2"/>
  <c r="Z223" i="2"/>
  <c r="Z238" i="2"/>
  <c r="Z381" i="2"/>
  <c r="BN393" i="2"/>
  <c r="BP444" i="2"/>
  <c r="BN444" i="2"/>
  <c r="Z444" i="2"/>
  <c r="Y79" i="2"/>
  <c r="BP77" i="2"/>
  <c r="BN77" i="2"/>
  <c r="Z77" i="2"/>
  <c r="Z79" i="2" s="1"/>
  <c r="Y47" i="2"/>
  <c r="Y111" i="2"/>
  <c r="Z116" i="2"/>
  <c r="BN173" i="2"/>
  <c r="BP173" i="2"/>
  <c r="Y190" i="2"/>
  <c r="BP188" i="2"/>
  <c r="BN188" i="2"/>
  <c r="Z188" i="2"/>
  <c r="Z190" i="2" s="1"/>
  <c r="BP30" i="2"/>
  <c r="BN30" i="2"/>
  <c r="Y74" i="2"/>
  <c r="X536" i="2"/>
  <c r="BN44" i="2"/>
  <c r="D544" i="2"/>
  <c r="BP152" i="2"/>
  <c r="Y156" i="2"/>
  <c r="Z173" i="2"/>
  <c r="BN271" i="2"/>
  <c r="Y282" i="2"/>
  <c r="BP271" i="2"/>
  <c r="Z281" i="2"/>
  <c r="Z544" i="2"/>
  <c r="Y488" i="2"/>
  <c r="Y487" i="2"/>
  <c r="BP478" i="2"/>
  <c r="BN478" i="2"/>
  <c r="Z72" i="2"/>
  <c r="Z152" i="2"/>
  <c r="Z271" i="2"/>
  <c r="BP297" i="2"/>
  <c r="BN297" i="2"/>
  <c r="Y329" i="2"/>
  <c r="Z478" i="2"/>
  <c r="Y34" i="2"/>
  <c r="Y33" i="2"/>
  <c r="Z44" i="2"/>
  <c r="BN65" i="2"/>
  <c r="BP65" i="2"/>
  <c r="Z65" i="2"/>
  <c r="Y80" i="2"/>
  <c r="Y128" i="2"/>
  <c r="BP202" i="2"/>
  <c r="BN202" i="2"/>
  <c r="K544" i="2"/>
  <c r="Y268" i="2"/>
  <c r="BN281" i="2"/>
  <c r="Z297" i="2"/>
  <c r="Y437" i="2"/>
  <c r="Z90" i="2"/>
  <c r="BP62" i="2"/>
  <c r="Y68" i="2"/>
  <c r="BN126" i="2"/>
  <c r="BP126" i="2"/>
  <c r="BN152" i="2"/>
  <c r="Z202" i="2"/>
  <c r="BP233" i="2"/>
  <c r="BN233" i="2"/>
  <c r="Y338" i="2"/>
  <c r="BP332" i="2"/>
  <c r="R544" i="2"/>
  <c r="BN332" i="2"/>
  <c r="Z332" i="2"/>
  <c r="Y121" i="2"/>
  <c r="Z126" i="2"/>
  <c r="Y185" i="2"/>
  <c r="BN183" i="2"/>
  <c r="BP183" i="2"/>
  <c r="Z233" i="2"/>
  <c r="BP266" i="2"/>
  <c r="BN266" i="2"/>
  <c r="Y383" i="2"/>
  <c r="BN439" i="2"/>
  <c r="Y441" i="2"/>
  <c r="Y440" i="2"/>
  <c r="BP439" i="2"/>
  <c r="BP456" i="2"/>
  <c r="BN456" i="2"/>
  <c r="Z456" i="2"/>
  <c r="Y48" i="2"/>
  <c r="BN42" i="2"/>
  <c r="C544" i="2"/>
  <c r="BP42" i="2"/>
  <c r="Z42" i="2"/>
  <c r="Z62" i="2"/>
  <c r="Y93" i="2"/>
  <c r="Y75" i="2"/>
  <c r="Y180" i="2"/>
  <c r="Y179" i="2"/>
  <c r="BP168" i="2"/>
  <c r="BN168" i="2"/>
  <c r="Z168" i="2"/>
  <c r="J544" i="2"/>
  <c r="Z183" i="2"/>
  <c r="Z266" i="2"/>
  <c r="Z439" i="2"/>
  <c r="Z440" i="2" s="1"/>
  <c r="X534" i="2"/>
  <c r="BN54" i="2"/>
  <c r="BP54" i="2"/>
  <c r="Z54" i="2"/>
  <c r="BN27" i="2"/>
  <c r="BN62" i="2"/>
  <c r="Y100" i="2"/>
  <c r="BP95" i="2"/>
  <c r="Y99" i="2"/>
  <c r="BN95" i="2"/>
  <c r="BN218" i="2"/>
  <c r="BP218" i="2"/>
  <c r="L544" i="2"/>
  <c r="BP498" i="2"/>
  <c r="BN498" i="2"/>
  <c r="M544" i="2"/>
  <c r="Y257" i="2"/>
  <c r="Y359" i="2"/>
  <c r="Y369" i="2"/>
  <c r="Y377" i="2"/>
  <c r="Y422" i="2"/>
  <c r="Z481" i="2"/>
  <c r="Z491" i="2"/>
  <c r="Z501" i="2"/>
  <c r="Y528" i="2"/>
  <c r="P544" i="2"/>
  <c r="Z88" i="2"/>
  <c r="Z98" i="2"/>
  <c r="Z109" i="2"/>
  <c r="Z119" i="2"/>
  <c r="Z176" i="2"/>
  <c r="Z200" i="2"/>
  <c r="Z221" i="2"/>
  <c r="Z231" i="2"/>
  <c r="Z254" i="2"/>
  <c r="Z256" i="2" s="1"/>
  <c r="Z264" i="2"/>
  <c r="Z274" i="2"/>
  <c r="Z295" i="2"/>
  <c r="Z318" i="2"/>
  <c r="Z354" i="2"/>
  <c r="Z364" i="2"/>
  <c r="Z374" i="2"/>
  <c r="Z409" i="2"/>
  <c r="Z419" i="2"/>
  <c r="BN481" i="2"/>
  <c r="BN491" i="2"/>
  <c r="BN501" i="2"/>
  <c r="Z525" i="2"/>
  <c r="BN193" i="2"/>
  <c r="BN205" i="2"/>
  <c r="Z216" i="2"/>
  <c r="BN226" i="2"/>
  <c r="BN249" i="2"/>
  <c r="Z259" i="2"/>
  <c r="BN279" i="2"/>
  <c r="Z335" i="2"/>
  <c r="BN348" i="2"/>
  <c r="Y360" i="2"/>
  <c r="Y370" i="2"/>
  <c r="Z379" i="2"/>
  <c r="Z382" i="2" s="1"/>
  <c r="BN414" i="2"/>
  <c r="Z424" i="2"/>
  <c r="Z426" i="2" s="1"/>
  <c r="BN451" i="2"/>
  <c r="BN461" i="2"/>
  <c r="Z472" i="2"/>
  <c r="Z484" i="2"/>
  <c r="BN496" i="2"/>
  <c r="BN508" i="2"/>
  <c r="Z531" i="2"/>
  <c r="Z532" i="2" s="1"/>
  <c r="BN364" i="2"/>
  <c r="BN374" i="2"/>
  <c r="BN409" i="2"/>
  <c r="BN419" i="2"/>
  <c r="BN525" i="2"/>
  <c r="S544" i="2"/>
  <c r="BN119" i="2"/>
  <c r="BN231" i="2"/>
  <c r="BN254" i="2"/>
  <c r="Y321" i="2"/>
  <c r="BN354" i="2"/>
  <c r="Z91" i="2"/>
  <c r="Y127" i="2"/>
  <c r="BN171" i="2"/>
  <c r="BN216" i="2"/>
  <c r="BN259" i="2"/>
  <c r="Z277" i="2"/>
  <c r="BN335" i="2"/>
  <c r="BN379" i="2"/>
  <c r="Y382" i="2"/>
  <c r="BN424" i="2"/>
  <c r="BP451" i="2"/>
  <c r="BP461" i="2"/>
  <c r="BN472" i="2"/>
  <c r="BN484" i="2"/>
  <c r="BP496" i="2"/>
  <c r="BP508" i="2"/>
  <c r="BN531" i="2"/>
  <c r="T544" i="2"/>
  <c r="BN98" i="2"/>
  <c r="Z153" i="2"/>
  <c r="BP82" i="2"/>
  <c r="BN114" i="2"/>
  <c r="Z135" i="2"/>
  <c r="Z137" i="2" s="1"/>
  <c r="Z310" i="2"/>
  <c r="Z346" i="2"/>
  <c r="Z357" i="2"/>
  <c r="F9" i="2"/>
  <c r="BN28" i="2"/>
  <c r="Z52" i="2"/>
  <c r="Z63" i="2"/>
  <c r="Z73" i="2"/>
  <c r="BP88" i="2"/>
  <c r="Z96" i="2"/>
  <c r="Z107" i="2"/>
  <c r="BP109" i="2"/>
  <c r="Z117" i="2"/>
  <c r="Z140" i="2"/>
  <c r="Z142" i="2" s="1"/>
  <c r="BN153" i="2"/>
  <c r="Z164" i="2"/>
  <c r="Z165" i="2" s="1"/>
  <c r="Z174" i="2"/>
  <c r="BP176" i="2"/>
  <c r="Z184" i="2"/>
  <c r="BP200" i="2"/>
  <c r="Z219" i="2"/>
  <c r="BP221" i="2"/>
  <c r="BP231" i="2"/>
  <c r="Z239" i="2"/>
  <c r="Z262" i="2"/>
  <c r="BP264" i="2"/>
  <c r="Z272" i="2"/>
  <c r="BP274" i="2"/>
  <c r="Z293" i="2"/>
  <c r="BP295" i="2"/>
  <c r="BN305" i="2"/>
  <c r="Z316" i="2"/>
  <c r="BP318" i="2"/>
  <c r="Z327" i="2"/>
  <c r="BN340" i="2"/>
  <c r="Z362" i="2"/>
  <c r="Z372" i="2"/>
  <c r="BN394" i="2"/>
  <c r="Z407" i="2"/>
  <c r="BN429" i="2"/>
  <c r="BN454" i="2"/>
  <c r="Y457" i="2"/>
  <c r="BN479" i="2"/>
  <c r="BN499" i="2"/>
  <c r="B544" i="2"/>
  <c r="Z45" i="2"/>
  <c r="BN60" i="2"/>
  <c r="Z159" i="2"/>
  <c r="Z234" i="2"/>
  <c r="H9" i="2"/>
  <c r="BN159" i="2"/>
  <c r="Y194" i="2"/>
  <c r="Y206" i="2"/>
  <c r="BN224" i="2"/>
  <c r="BN234" i="2"/>
  <c r="BN277" i="2"/>
  <c r="BN310" i="2"/>
  <c r="Y322" i="2"/>
  <c r="BN346" i="2"/>
  <c r="Y349" i="2"/>
  <c r="BN357" i="2"/>
  <c r="BN367" i="2"/>
  <c r="BP379" i="2"/>
  <c r="BN400" i="2"/>
  <c r="BN412" i="2"/>
  <c r="Y415" i="2"/>
  <c r="BN435" i="2"/>
  <c r="Y462" i="2"/>
  <c r="BP472" i="2"/>
  <c r="Y509" i="2"/>
  <c r="BP531" i="2"/>
  <c r="V544" i="2"/>
  <c r="BN124" i="2"/>
  <c r="BP193" i="2"/>
  <c r="BN45" i="2"/>
  <c r="BP70" i="2"/>
  <c r="BN91" i="2"/>
  <c r="BP104" i="2"/>
  <c r="BP114" i="2"/>
  <c r="BN203" i="2"/>
  <c r="BP259" i="2"/>
  <c r="J9" i="2"/>
  <c r="BP28" i="2"/>
  <c r="BN52" i="2"/>
  <c r="Z83" i="2"/>
  <c r="Y110" i="2"/>
  <c r="Z151" i="2"/>
  <c r="BN164" i="2"/>
  <c r="Z227" i="2"/>
  <c r="Z250" i="2"/>
  <c r="Z280" i="2"/>
  <c r="BP305" i="2"/>
  <c r="BN316" i="2"/>
  <c r="BN327" i="2"/>
  <c r="BN362" i="2"/>
  <c r="BN372" i="2"/>
  <c r="Z392" i="2"/>
  <c r="BN407" i="2"/>
  <c r="BP429" i="2"/>
  <c r="Z497" i="2"/>
  <c r="Z521" i="2"/>
  <c r="Z522" i="2" s="1"/>
  <c r="BN200" i="2"/>
  <c r="BN23" i="2"/>
  <c r="BN70" i="2"/>
  <c r="BN104" i="2"/>
  <c r="Z203" i="2"/>
  <c r="Z224" i="2"/>
  <c r="BP23" i="2"/>
  <c r="BP60" i="2"/>
  <c r="BN135" i="2"/>
  <c r="BP135" i="2"/>
  <c r="BN333" i="2"/>
  <c r="BP346" i="2"/>
  <c r="BN387" i="2"/>
  <c r="Y458" i="2"/>
  <c r="BN516" i="2"/>
  <c r="Z526" i="2"/>
  <c r="Y532" i="2"/>
  <c r="BN392" i="2"/>
  <c r="Y395" i="2"/>
  <c r="BP407" i="2"/>
  <c r="Y510" i="2"/>
  <c r="BN521" i="2"/>
  <c r="F544" i="2"/>
  <c r="Y544" i="2"/>
  <c r="Z29" i="2"/>
  <c r="Y92" i="2"/>
  <c r="Z130" i="2"/>
  <c r="Z131" i="2" s="1"/>
  <c r="Z154" i="2"/>
  <c r="Z341" i="2"/>
  <c r="Z385" i="2"/>
  <c r="Z443" i="2"/>
  <c r="Z455" i="2"/>
  <c r="Z480" i="2"/>
  <c r="Z490" i="2"/>
  <c r="Z500" i="2"/>
  <c r="BN526" i="2"/>
  <c r="BP151" i="2"/>
  <c r="BP392" i="2"/>
  <c r="Y533" i="2"/>
  <c r="BN443" i="2"/>
  <c r="BN490" i="2"/>
  <c r="X537" i="2" l="1"/>
  <c r="Z84" i="2"/>
  <c r="Z457" i="2"/>
  <c r="Z389" i="2"/>
  <c r="Z395" i="2"/>
  <c r="Z298" i="2"/>
  <c r="Z110" i="2"/>
  <c r="Z421" i="2"/>
  <c r="Z402" i="2"/>
  <c r="Z185" i="2"/>
  <c r="Z446" i="2"/>
  <c r="Z342" i="2"/>
  <c r="Z251" i="2"/>
  <c r="Y538" i="2"/>
  <c r="Z161" i="2"/>
  <c r="Z328" i="2"/>
  <c r="Z321" i="2"/>
  <c r="Z99" i="2"/>
  <c r="Z74" i="2"/>
  <c r="Z56" i="2"/>
  <c r="Z349" i="2"/>
  <c r="Z473" i="2"/>
  <c r="Z127" i="2"/>
  <c r="Z287" i="2"/>
  <c r="Z24" i="2"/>
  <c r="Y535" i="2"/>
  <c r="Z155" i="2"/>
  <c r="Z206" i="2"/>
  <c r="Z359" i="2"/>
  <c r="Y534" i="2"/>
  <c r="Z33" i="2"/>
  <c r="Z312" i="2"/>
  <c r="Z518" i="2"/>
  <c r="Y536" i="2"/>
  <c r="Z228" i="2"/>
  <c r="Z120" i="2"/>
  <c r="Z147" i="2"/>
  <c r="Z92" i="2"/>
  <c r="Z67" i="2"/>
  <c r="Z47" i="2"/>
  <c r="Z487" i="2"/>
  <c r="Z493" i="2"/>
  <c r="Z267" i="2"/>
  <c r="Z337" i="2"/>
  <c r="Z282" i="2"/>
  <c r="Z235" i="2"/>
  <c r="Z376" i="2"/>
  <c r="Z503" i="2"/>
  <c r="Z179" i="2"/>
  <c r="Z415" i="2"/>
  <c r="Z527" i="2"/>
  <c r="Z369" i="2"/>
  <c r="Z241" i="2"/>
  <c r="Z539" i="2" l="1"/>
  <c r="Y537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<sst xmlns="http://schemas.openxmlformats.org/spreadsheetml/2006/main" count="4048" uniqueCount="861">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</sst>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860</v>
      </c>
      <c r="I5" s="961"/>
      <c r="J5" s="961"/>
      <c r="K5" s="961"/>
      <c r="L5" s="961"/>
      <c r="M5" s="961"/>
      <c r="N5" s="72"/>
      <c r="P5" s="27" t="s">
        <v>4</v>
      </c>
      <c r="Q5" s="963">
        <v>46215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843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Воскресенье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3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0.45833333333333331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500</v>
      </c>
      <c r="Y52" s="55">
        <f>IFERROR(IF(X52="",0,CEILING((X52/$H52),1)*$H52),"")</f>
        <v>507.6</v>
      </c>
      <c r="Z52" s="41">
        <f>IFERROR(IF(Y52=0,"",ROUNDUP(Y52/H52,0)*0.01898),"")</f>
        <v>0.89205999999999996</v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518.98148148148141</v>
      </c>
      <c r="BN52" s="78">
        <f>IFERROR(Y52*I52/H52,"0")</f>
        <v>526.87</v>
      </c>
      <c r="BO52" s="78">
        <f>IFERROR(1/J52*(X52/H52),"0")</f>
        <v>0.72337962962962954</v>
      </c>
      <c r="BP52" s="78">
        <f>IFERROR(1/J52*(Y52/H52),"0")</f>
        <v>0.734375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46.296296296296291</v>
      </c>
      <c r="Y56" s="43">
        <f>IFERROR(Y52/H52,"0")+IFERROR(Y53/H53,"0")+IFERROR(Y54/H54,"0")+IFERROR(Y55/H55,"0")</f>
        <v>47</v>
      </c>
      <c r="Z56" s="43">
        <f>IFERROR(IF(Z52="",0,Z52),"0")+IFERROR(IF(Z53="",0,Z53),"0")+IFERROR(IF(Z54="",0,Z54),"0")+IFERROR(IF(Z55="",0,Z55),"0")</f>
        <v>0.89205999999999996</v>
      </c>
      <c r="AA56" s="67"/>
      <c r="AB56" s="67"/>
      <c r="AC56" s="67"/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500</v>
      </c>
      <c r="Y57" s="43">
        <f>IFERROR(SUM(Y52:Y55),"0")</f>
        <v>507.6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250</v>
      </c>
      <c r="Y62" s="55">
        <f t="shared" si="6"/>
        <v>259.20000000000005</v>
      </c>
      <c r="Z62" s="41">
        <f>IFERROR(IF(Y62=0,"",ROUNDUP(Y62/H62,0)*0.01898),"")</f>
        <v>0.45552000000000004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259.4907407407407</v>
      </c>
      <c r="BN62" s="78">
        <f t="shared" si="8"/>
        <v>269.04000000000002</v>
      </c>
      <c r="BO62" s="78">
        <f t="shared" si="9"/>
        <v>0.36168981481481477</v>
      </c>
      <c r="BP62" s="78">
        <f t="shared" si="10"/>
        <v>0.37500000000000006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hidden="1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6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0</v>
      </c>
      <c r="BN66" s="78">
        <f t="shared" si="8"/>
        <v>0</v>
      </c>
      <c r="BO66" s="78">
        <f t="shared" si="9"/>
        <v>0</v>
      </c>
      <c r="BP66" s="78">
        <f t="shared" si="10"/>
        <v>0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23.148148148148145</v>
      </c>
      <c r="Y67" s="43">
        <f>IFERROR(Y60/H60,"0")+IFERROR(Y61/H61,"0")+IFERROR(Y62/H62,"0")+IFERROR(Y63/H63,"0")+IFERROR(Y64/H64,"0")+IFERROR(Y65/H65,"0")+IFERROR(Y66/H66,"0")</f>
        <v>24.000000000000004</v>
      </c>
      <c r="Z67" s="43">
        <f>IFERROR(IF(Z60="",0,Z60),"0")+IFERROR(IF(Z61="",0,Z61),"0")+IFERROR(IF(Z62="",0,Z62),"0")+IFERROR(IF(Z63="",0,Z63),"0")+IFERROR(IF(Z64="",0,Z64),"0")+IFERROR(IF(Z65="",0,Z65),"0")+IFERROR(IF(Z66="",0,Z66),"0")</f>
        <v>0.45552000000000004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250</v>
      </c>
      <c r="Y68" s="43">
        <f>IFERROR(SUM(Y60:Y66),"0")</f>
        <v>259.20000000000005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50</v>
      </c>
      <c r="Y82" s="55">
        <f>IFERROR(IF(X82="",0,CEILING((X82/$H82),1)*$H82),"")</f>
        <v>54.6</v>
      </c>
      <c r="Z82" s="41">
        <f>IFERROR(IF(Y82=0,"",ROUNDUP(Y82/H82,0)*0.01898),"")</f>
        <v>0.13286000000000001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52.628205128205138</v>
      </c>
      <c r="BN82" s="78">
        <f>IFERROR(Y82*I82/H82,"0")</f>
        <v>57.470000000000013</v>
      </c>
      <c r="BO82" s="78">
        <f>IFERROR(1/J82*(X82/H82),"0")</f>
        <v>0.10016025641025642</v>
      </c>
      <c r="BP82" s="78">
        <f>IFERROR(1/J82*(Y82/H82),"0")</f>
        <v>0.109375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6.4102564102564106</v>
      </c>
      <c r="Y84" s="43">
        <f>IFERROR(Y82/H82,"0")+IFERROR(Y83/H83,"0")</f>
        <v>7</v>
      </c>
      <c r="Z84" s="43">
        <f>IFERROR(IF(Z82="",0,Z82),"0")+IFERROR(IF(Z83="",0,Z83),"0")</f>
        <v>0.13286000000000001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50</v>
      </c>
      <c r="Y85" s="43">
        <f>IFERROR(SUM(Y82:Y83),"0")</f>
        <v>54.6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18.518518518518519</v>
      </c>
      <c r="Y92" s="43">
        <f>IFERROR(Y88/H88,"0")+IFERROR(Y89/H89,"0")+IFERROR(Y90/H90,"0")+IFERROR(Y91/H91,"0")</f>
        <v>19</v>
      </c>
      <c r="Z92" s="43">
        <f>IFERROR(IF(Z88="",0,Z88),"0")+IFERROR(IF(Z89="",0,Z89),"0")+IFERROR(IF(Z90="",0,Z90),"0")+IFERROR(IF(Z91="",0,Z91),"0")</f>
        <v>0.36062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200</v>
      </c>
      <c r="Y93" s="43">
        <f>IFERROR(SUM(Y88:Y91),"0")</f>
        <v>205.20000000000002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70</v>
      </c>
      <c r="Y95" s="55">
        <f>IFERROR(IF(X95="",0,CEILING((X95/$H95),1)*$H95),"")</f>
        <v>72.899999999999991</v>
      </c>
      <c r="Z95" s="41">
        <f>IFERROR(IF(Y95=0,"",ROUNDUP(Y95/H95,0)*0.01898),"")</f>
        <v>0.17082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74.269135802469137</v>
      </c>
      <c r="BN95" s="78">
        <f>IFERROR(Y95*I95/H95,"0")</f>
        <v>77.345999999999989</v>
      </c>
      <c r="BO95" s="78">
        <f>IFERROR(1/J95*(X95/H95),"0")</f>
        <v>0.13503086419753088</v>
      </c>
      <c r="BP95" s="78">
        <f>IFERROR(1/J95*(Y95/H95),"0")</f>
        <v>0.140625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8.6419753086419764</v>
      </c>
      <c r="Y99" s="43">
        <f>IFERROR(Y95/H95,"0")+IFERROR(Y96/H96,"0")+IFERROR(Y97/H97,"0")+IFERROR(Y98/H98,"0")</f>
        <v>9</v>
      </c>
      <c r="Z99" s="43">
        <f>IFERROR(IF(Z95="",0,Z95),"0")+IFERROR(IF(Z96="",0,Z96),"0")+IFERROR(IF(Z97="",0,Z97),"0")+IFERROR(IF(Z98="",0,Z98),"0")</f>
        <v>0.17082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70</v>
      </c>
      <c r="Y100" s="43">
        <f>IFERROR(SUM(Y95:Y98),"0")</f>
        <v>72.899999999999991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300</v>
      </c>
      <c r="Y103" s="55">
        <f t="shared" ref="Y103:Y109" si="11">IFERROR(IF(X103="",0,CEILING((X103/$H103),1)*$H103),"")</f>
        <v>302.40000000000003</v>
      </c>
      <c r="Z103" s="41">
        <f>IFERROR(IF(Y103=0,"",ROUNDUP(Y103/H103,0)*0.01898),"")</f>
        <v>0.53144000000000002</v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311.38888888888891</v>
      </c>
      <c r="BN103" s="78">
        <f t="shared" ref="BN103:BN109" si="13">IFERROR(Y103*I103/H103,"0")</f>
        <v>313.88</v>
      </c>
      <c r="BO103" s="78">
        <f t="shared" ref="BO103:BO109" si="14">IFERROR(1/J103*(X103/H103),"0")</f>
        <v>0.43402777777777773</v>
      </c>
      <c r="BP103" s="78">
        <f t="shared" ref="BP103:BP109" si="15">IFERROR(1/J103*(Y103/H103),"0")</f>
        <v>0.4375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27.777777777777775</v>
      </c>
      <c r="Y110" s="43">
        <f>IFERROR(Y103/H103,"0")+IFERROR(Y104/H104,"0")+IFERROR(Y105/H105,"0")+IFERROR(Y106/H106,"0")+IFERROR(Y107/H107,"0")+IFERROR(Y108/H108,"0")+IFERROR(Y109/H109,"0")</f>
        <v>28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0.53144000000000002</v>
      </c>
      <c r="AA110" s="67"/>
      <c r="AB110" s="67"/>
      <c r="AC110" s="67"/>
    </row>
    <row r="111" spans="1:68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300</v>
      </c>
      <c r="Y111" s="43">
        <f>IFERROR(SUM(Y103:Y109),"0")</f>
        <v>302.40000000000003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650</v>
      </c>
      <c r="Y123" s="55">
        <f>IFERROR(IF(X123="",0,CEILING((X123/$H123),1)*$H123),"")</f>
        <v>656.1</v>
      </c>
      <c r="Z123" s="41">
        <f>IFERROR(IF(Y123=0,"",ROUNDUP(Y123/H123,0)*0.01898),"")</f>
        <v>1.53738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689.16049382716051</v>
      </c>
      <c r="BN123" s="78">
        <f>IFERROR(Y123*I123/H123,"0")</f>
        <v>695.62800000000004</v>
      </c>
      <c r="BO123" s="78">
        <f>IFERROR(1/J123*(X123/H123),"0")</f>
        <v>1.253858024691358</v>
      </c>
      <c r="BP123" s="78">
        <f>IFERROR(1/J123*(Y123/H123),"0")</f>
        <v>1.265625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162</v>
      </c>
      <c r="Y125" s="55">
        <f>IFERROR(IF(X125="",0,CEILING((X125/$H125),1)*$H125),"")</f>
        <v>162</v>
      </c>
      <c r="Z125" s="41">
        <f>IFERROR(IF(Y125=0,"",ROUNDUP(Y125/H125,0)*0.00651),"")</f>
        <v>0.3906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177.11999999999998</v>
      </c>
      <c r="BN125" s="78">
        <f>IFERROR(Y125*I125/H125,"0")</f>
        <v>177.11999999999998</v>
      </c>
      <c r="BO125" s="78">
        <f>IFERROR(1/J125*(X125/H125),"0")</f>
        <v>0.32967032967032966</v>
      </c>
      <c r="BP125" s="78">
        <f>IFERROR(1/J125*(Y125/H125),"0")</f>
        <v>0.32967032967032966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140.24691358024691</v>
      </c>
      <c r="Y127" s="43">
        <f>IFERROR(Y123/H123,"0")+IFERROR(Y124/H124,"0")+IFERROR(Y125/H125,"0")+IFERROR(Y126/H126,"0")</f>
        <v>141</v>
      </c>
      <c r="Z127" s="43">
        <f>IFERROR(IF(Z123="",0,Z123),"0")+IFERROR(IF(Z124="",0,Z124),"0")+IFERROR(IF(Z125="",0,Z125),"0")+IFERROR(IF(Z126="",0,Z126),"0")</f>
        <v>1.92798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812</v>
      </c>
      <c r="Y128" s="43">
        <f>IFERROR(SUM(Y123:Y126),"0")</f>
        <v>818.1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hidden="1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hidden="1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70</v>
      </c>
      <c r="Y259" s="55">
        <f t="shared" ref="Y259:Y266" si="38">IFERROR(IF(X259="",0,CEILING((X259/$H259),1)*$H259),"")</f>
        <v>70.2</v>
      </c>
      <c r="Z259" s="41">
        <f>IFERROR(IF(Y259=0,"",ROUNDUP(Y259/H259,0)*0.00902),"")</f>
        <v>0.11726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72.462962962962962</v>
      </c>
      <c r="BN259" s="78">
        <f t="shared" ref="BN259:BN266" si="40">IFERROR(Y259*I259/H259,"0")</f>
        <v>72.67</v>
      </c>
      <c r="BO259" s="78">
        <f t="shared" ref="BO259:BO266" si="41">IFERROR(1/J259*(X259/H259),"0")</f>
        <v>9.8204264870931535E-2</v>
      </c>
      <c r="BP259" s="78">
        <f t="shared" ref="BP259:BP266" si="42">IFERROR(1/J259*(Y259/H259),"0")</f>
        <v>9.8484848484848481E-2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70</v>
      </c>
      <c r="Y261" s="55">
        <f t="shared" si="38"/>
        <v>70.2</v>
      </c>
      <c r="Z261" s="41">
        <f>IFERROR(IF(Y261=0,"",ROUNDUP(Y261/H261,0)*0.00902),"")</f>
        <v>0.11726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72.462962962962962</v>
      </c>
      <c r="BN261" s="78">
        <f t="shared" si="40"/>
        <v>72.67</v>
      </c>
      <c r="BO261" s="78">
        <f t="shared" si="41"/>
        <v>9.8204264870931535E-2</v>
      </c>
      <c r="BP261" s="78">
        <f t="shared" si="42"/>
        <v>9.8484848484848481E-2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70</v>
      </c>
      <c r="Y262" s="55">
        <f t="shared" si="38"/>
        <v>70.2</v>
      </c>
      <c r="Z262" s="41">
        <f>IFERROR(IF(Y262=0,"",ROUNDUP(Y262/H262,0)*0.00902),"")</f>
        <v>0.11726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72.462962962962962</v>
      </c>
      <c r="BN262" s="78">
        <f t="shared" si="40"/>
        <v>72.67</v>
      </c>
      <c r="BO262" s="78">
        <f t="shared" si="41"/>
        <v>9.8204264870931535E-2</v>
      </c>
      <c r="BP262" s="78">
        <f t="shared" si="42"/>
        <v>9.8484848484848481E-2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38.888888888888886</v>
      </c>
      <c r="Y267" s="43">
        <f>IFERROR(Y259/H259,"0")+IFERROR(Y260/H260,"0")+IFERROR(Y261/H261,"0")+IFERROR(Y262/H262,"0")+IFERROR(Y263/H263,"0")+IFERROR(Y264/H264,"0")+IFERROR(Y265/H265,"0")+IFERROR(Y266/H266,"0")</f>
        <v>39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0.35177999999999998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210</v>
      </c>
      <c r="Y268" s="43">
        <f>IFERROR(SUM(Y259:Y266),"0")</f>
        <v>210.60000000000002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40</v>
      </c>
      <c r="Y272" s="55">
        <f t="shared" si="43"/>
        <v>43.5</v>
      </c>
      <c r="Z272" s="41">
        <f>IFERROR(IF(Y272=0,"",ROUNDUP(Y272/H272,0)*0.01898),"")</f>
        <v>9.4899999999999998E-2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42.271264367816102</v>
      </c>
      <c r="BN272" s="78">
        <f t="shared" si="45"/>
        <v>45.970000000000006</v>
      </c>
      <c r="BO272" s="78">
        <f t="shared" si="46"/>
        <v>7.1839080459770124E-2</v>
      </c>
      <c r="BP272" s="78">
        <f t="shared" si="47"/>
        <v>7.8125E-2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48</v>
      </c>
      <c r="Y273" s="55">
        <f t="shared" si="43"/>
        <v>48</v>
      </c>
      <c r="Z273" s="41">
        <f>IFERROR(IF(Y273=0,"",ROUNDUP(Y273/H273,0)*0.00651),"")</f>
        <v>0.13020000000000001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53.4</v>
      </c>
      <c r="BN273" s="78">
        <f t="shared" si="45"/>
        <v>53.4</v>
      </c>
      <c r="BO273" s="78">
        <f t="shared" si="46"/>
        <v>0.1098901098901099</v>
      </c>
      <c r="BP273" s="78">
        <f t="shared" si="47"/>
        <v>0.1098901098901099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168</v>
      </c>
      <c r="Y276" s="55">
        <f t="shared" si="43"/>
        <v>168</v>
      </c>
      <c r="Z276" s="41">
        <f>IFERROR(IF(Y276=0,"",ROUNDUP(Y276/H276,0)*0.00651),"")</f>
        <v>0.45569999999999999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185.64000000000001</v>
      </c>
      <c r="BN276" s="78">
        <f t="shared" si="45"/>
        <v>185.64000000000001</v>
      </c>
      <c r="BO276" s="78">
        <f t="shared" si="46"/>
        <v>0.38461538461538464</v>
      </c>
      <c r="BP276" s="78">
        <f t="shared" si="47"/>
        <v>0.38461538461538464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96</v>
      </c>
      <c r="Y278" s="55">
        <f t="shared" si="43"/>
        <v>96</v>
      </c>
      <c r="Z278" s="41">
        <f>IFERROR(IF(Y278=0,"",ROUNDUP(Y278/H278,0)*0.00651),"")</f>
        <v>0.26040000000000002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106.08000000000001</v>
      </c>
      <c r="BN278" s="78">
        <f t="shared" si="45"/>
        <v>106.08000000000001</v>
      </c>
      <c r="BO278" s="78">
        <f t="shared" si="46"/>
        <v>0.2197802197802198</v>
      </c>
      <c r="BP278" s="78">
        <f t="shared" si="47"/>
        <v>0.2197802197802198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60</v>
      </c>
      <c r="Y280" s="55">
        <f t="shared" si="43"/>
        <v>60</v>
      </c>
      <c r="Z280" s="41">
        <f>IFERROR(IF(Y280=0,"",ROUNDUP(Y280/H280,0)*0.00651),"")</f>
        <v>0.16275000000000001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66.45</v>
      </c>
      <c r="BN280" s="78">
        <f t="shared" si="45"/>
        <v>66.45</v>
      </c>
      <c r="BO280" s="78">
        <f t="shared" si="46"/>
        <v>0.13736263736263737</v>
      </c>
      <c r="BP280" s="78">
        <f t="shared" si="47"/>
        <v>0.13736263736263737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159.59770114942529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160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1.10395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412</v>
      </c>
      <c r="Y283" s="43">
        <f>IFERROR(SUM(Y270:Y281),"0")</f>
        <v>415.5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70</v>
      </c>
      <c r="Y347" s="55">
        <f>IFERROR(IF(X347="",0,CEILING((X347/$H347),1)*$H347),"")</f>
        <v>70.2</v>
      </c>
      <c r="Z347" s="41">
        <f>IFERROR(IF(Y347=0,"",ROUNDUP(Y347/H347,0)*0.01898),"")</f>
        <v>0.17082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73.679487179487182</v>
      </c>
      <c r="BN347" s="78">
        <f>IFERROR(Y347*I347/H347,"0")</f>
        <v>73.890000000000015</v>
      </c>
      <c r="BO347" s="78">
        <f>IFERROR(1/J347*(X347/H347),"0")</f>
        <v>0.14022435897435898</v>
      </c>
      <c r="BP347" s="78">
        <f>IFERROR(1/J347*(Y347/H347),"0")</f>
        <v>0.140625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8.9743589743589745</v>
      </c>
      <c r="Y349" s="43">
        <f>IFERROR(Y346/H346,"0")+IFERROR(Y347/H347,"0")+IFERROR(Y348/H348,"0")</f>
        <v>9</v>
      </c>
      <c r="Z349" s="43">
        <f>IFERROR(IF(Z346="",0,Z346),"0")+IFERROR(IF(Z347="",0,Z347),"0")+IFERROR(IF(Z348="",0,Z348),"0")</f>
        <v>0.17082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70</v>
      </c>
      <c r="Y350" s="43">
        <f>IFERROR(SUM(Y346:Y348),"0")</f>
        <v>70.2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700</v>
      </c>
      <c r="Y380" s="55">
        <f>IFERROR(IF(X380="",0,CEILING((X380/$H380),1)*$H380),"")</f>
        <v>702</v>
      </c>
      <c r="Z380" s="41">
        <f>IFERROR(IF(Y380=0,"",ROUNDUP(Y380/H380,0)*0.01898),"")</f>
        <v>1.7081999999999999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744.33333333333337</v>
      </c>
      <c r="BN380" s="78">
        <f>IFERROR(Y380*I380/H380,"0")</f>
        <v>746.46</v>
      </c>
      <c r="BO380" s="78">
        <f>IFERROR(1/J380*(X380/H380),"0")</f>
        <v>1.4022435897435899</v>
      </c>
      <c r="BP380" s="78">
        <f>IFERROR(1/J380*(Y380/H380),"0")</f>
        <v>1.40625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89.743589743589752</v>
      </c>
      <c r="Y382" s="43">
        <f>IFERROR(Y379/H379,"0")+IFERROR(Y380/H380,"0")+IFERROR(Y381/H381,"0")</f>
        <v>90</v>
      </c>
      <c r="Z382" s="43">
        <f>IFERROR(IF(Z379="",0,Z379),"0")+IFERROR(IF(Z380="",0,Z380),"0")+IFERROR(IF(Z381="",0,Z381),"0")</f>
        <v>1.7081999999999999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700</v>
      </c>
      <c r="Y383" s="43">
        <f>IFERROR(SUM(Y379:Y381),"0")</f>
        <v>702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102</v>
      </c>
      <c r="Y388" s="55">
        <f>IFERROR(IF(X388="",0,CEILING((X388/$H388),1)*$H388),"")</f>
        <v>102</v>
      </c>
      <c r="Z388" s="41">
        <f>IFERROR(IF(Y388=0,"",ROUNDUP(Y388/H388,0)*0.00651),"")</f>
        <v>0.26040000000000002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115.2</v>
      </c>
      <c r="BN388" s="78">
        <f>IFERROR(Y388*I388/H388,"0")</f>
        <v>115.2</v>
      </c>
      <c r="BO388" s="78">
        <f>IFERROR(1/J388*(X388/H388),"0")</f>
        <v>0.2197802197802198</v>
      </c>
      <c r="BP388" s="78">
        <f>IFERROR(1/J388*(Y388/H388),"0")</f>
        <v>0.2197802197802198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40</v>
      </c>
      <c r="Y389" s="43">
        <f>IFERROR(Y385/H385,"0")+IFERROR(Y386/H386,"0")+IFERROR(Y387/H387,"0")+IFERROR(Y388/H388,"0")</f>
        <v>40</v>
      </c>
      <c r="Z389" s="43">
        <f>IFERROR(IF(Z385="",0,Z385),"0")+IFERROR(IF(Z386="",0,Z386),"0")+IFERROR(IF(Z387="",0,Z387),"0")+IFERROR(IF(Z388="",0,Z388),"0")</f>
        <v>0.26040000000000002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102</v>
      </c>
      <c r="Y390" s="43">
        <f>IFERROR(SUM(Y385:Y388),"0")</f>
        <v>102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50</v>
      </c>
      <c r="Y399" s="55">
        <f>IFERROR(IF(X399="",0,CEILING((X399/$H399),1)*$H399),"")</f>
        <v>56.699999999999996</v>
      </c>
      <c r="Z399" s="41">
        <f>IFERROR(IF(Y399=0,"",ROUNDUP(Y399/H399,0)*0.01898),"")</f>
        <v>0.13286000000000001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53.049382716049386</v>
      </c>
      <c r="BN399" s="78">
        <f>IFERROR(Y399*I399/H399,"0")</f>
        <v>60.157999999999994</v>
      </c>
      <c r="BO399" s="78">
        <f>IFERROR(1/J399*(X399/H399),"0")</f>
        <v>9.6450617283950615E-2</v>
      </c>
      <c r="BP399" s="78">
        <f>IFERROR(1/J399*(Y399/H399),"0")</f>
        <v>0.109375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84</v>
      </c>
      <c r="Y400" s="55">
        <f>IFERROR(IF(X400="",0,CEILING((X400/$H400),1)*$H400),"")</f>
        <v>84</v>
      </c>
      <c r="Z400" s="41">
        <f>IFERROR(IF(Y400=0,"",ROUNDUP(Y400/H400,0)*0.00651),"")</f>
        <v>0.26040000000000002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94.079999999999984</v>
      </c>
      <c r="BN400" s="78">
        <f>IFERROR(Y400*I400/H400,"0")</f>
        <v>94.079999999999984</v>
      </c>
      <c r="BO400" s="78">
        <f>IFERROR(1/J400*(X400/H400),"0")</f>
        <v>0.2197802197802198</v>
      </c>
      <c r="BP400" s="78">
        <f>IFERROR(1/J400*(Y400/H400),"0")</f>
        <v>0.2197802197802198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52.5</v>
      </c>
      <c r="Y401" s="55">
        <f>IFERROR(IF(X401="",0,CEILING((X401/$H401),1)*$H401),"")</f>
        <v>52.5</v>
      </c>
      <c r="Z401" s="41">
        <f>IFERROR(IF(Y401=0,"",ROUNDUP(Y401/H401,0)*0.00651),"")</f>
        <v>0.16275000000000001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58.499999999999993</v>
      </c>
      <c r="BN401" s="78">
        <f>IFERROR(Y401*I401/H401,"0")</f>
        <v>58.499999999999993</v>
      </c>
      <c r="BO401" s="78">
        <f>IFERROR(1/J401*(X401/H401),"0")</f>
        <v>0.13736263736263737</v>
      </c>
      <c r="BP401" s="78">
        <f>IFERROR(1/J401*(Y401/H401),"0")</f>
        <v>0.13736263736263737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71.172839506172835</v>
      </c>
      <c r="Y402" s="43">
        <f>IFERROR(Y399/H399,"0")+IFERROR(Y400/H400,"0")+IFERROR(Y401/H401,"0")</f>
        <v>72</v>
      </c>
      <c r="Z402" s="43">
        <f>IFERROR(IF(Z399="",0,Z399),"0")+IFERROR(IF(Z400="",0,Z400),"0")+IFERROR(IF(Z401="",0,Z401),"0")</f>
        <v>0.55601000000000012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186.5</v>
      </c>
      <c r="Y403" s="43">
        <f>IFERROR(SUM(Y399:Y401),"0")</f>
        <v>193.2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63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154.69999999999999</v>
      </c>
      <c r="BN407" s="78">
        <f t="shared" ref="BN407:BN414" si="65">IFERROR(Y407*I407/H407,"0")</f>
        <v>154.69999999999999</v>
      </c>
      <c r="BO407" s="78">
        <f t="shared" ref="BO407:BO414" si="66">IFERROR(1/J407*(X407/H407),"0")</f>
        <v>0.20833333333333331</v>
      </c>
      <c r="BP407" s="78">
        <f t="shared" ref="BP407:BP414" si="67">IFERROR(1/J407*(Y407/H407),"0")</f>
        <v>0.20833333333333331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1200</v>
      </c>
      <c r="Y408" s="55">
        <f t="shared" si="63"/>
        <v>1200</v>
      </c>
      <c r="Z408" s="41">
        <f>IFERROR(IF(Y408=0,"",ROUNDUP(Y408/H408,0)*0.02175),"")</f>
        <v>1.7399999999999998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1237.5999999999999</v>
      </c>
      <c r="BN408" s="78">
        <f t="shared" si="65"/>
        <v>1237.5999999999999</v>
      </c>
      <c r="BO408" s="78">
        <f t="shared" si="66"/>
        <v>1.6666666666666665</v>
      </c>
      <c r="BP408" s="78">
        <f t="shared" si="67"/>
        <v>1.6666666666666665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600</v>
      </c>
      <c r="Y411" s="55">
        <f t="shared" si="63"/>
        <v>600</v>
      </c>
      <c r="Z411" s="41">
        <f>IFERROR(IF(Y411=0,"",ROUNDUP(Y411/H411,0)*0.02175),"")</f>
        <v>0.86999999999999988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618.79999999999995</v>
      </c>
      <c r="BN411" s="78">
        <f t="shared" si="65"/>
        <v>618.79999999999995</v>
      </c>
      <c r="BO411" s="78">
        <f t="shared" si="66"/>
        <v>0.83333333333333326</v>
      </c>
      <c r="BP411" s="78">
        <f t="shared" si="67"/>
        <v>0.83333333333333326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130</v>
      </c>
      <c r="Y415" s="43">
        <f>IFERROR(Y407/H407,"0")+IFERROR(Y408/H408,"0")+IFERROR(Y409/H409,"0")+IFERROR(Y410/H410,"0")+IFERROR(Y411/H411,"0")+IFERROR(Y412/H412,"0")+IFERROR(Y413/H413,"0")+IFERROR(Y414/H414,"0")</f>
        <v>130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2.8274999999999997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1950</v>
      </c>
      <c r="Y416" s="43">
        <f>IFERROR(SUM(Y407:Y414),"0")</f>
        <v>1950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2000</v>
      </c>
      <c r="Y418" s="55">
        <f>IFERROR(IF(X418="",0,CEILING((X418/$H418),1)*$H418),"")</f>
        <v>2010</v>
      </c>
      <c r="Z418" s="41">
        <f>IFERROR(IF(Y418=0,"",ROUNDUP(Y418/H418,0)*0.02175),"")</f>
        <v>2.9144999999999999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2062.6666666666665</v>
      </c>
      <c r="BN418" s="78">
        <f>IFERROR(Y418*I418/H418,"0")</f>
        <v>2072.98</v>
      </c>
      <c r="BO418" s="78">
        <f>IFERROR(1/J418*(X418/H418),"0")</f>
        <v>2.7777777777777777</v>
      </c>
      <c r="BP418" s="78">
        <f>IFERROR(1/J418*(Y418/H418),"0")</f>
        <v>2.7916666666666665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133.33333333333334</v>
      </c>
      <c r="Y421" s="43">
        <f>IFERROR(Y418/H418,"0")+IFERROR(Y419/H419,"0")+IFERROR(Y420/H420,"0")</f>
        <v>134</v>
      </c>
      <c r="Z421" s="43">
        <f>IFERROR(IF(Z418="",0,Z418),"0")+IFERROR(IF(Z419="",0,Z419),"0")+IFERROR(IF(Z420="",0,Z420),"0")</f>
        <v>2.9144999999999999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2000</v>
      </c>
      <c r="Y422" s="43">
        <f>IFERROR(SUM(Y418:Y420),"0")</f>
        <v>2010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50</v>
      </c>
      <c r="Y429" s="55">
        <f>IFERROR(IF(X429="",0,CEILING((X429/$H429),1)*$H429),"")</f>
        <v>54</v>
      </c>
      <c r="Z429" s="41">
        <f>IFERROR(IF(Y429=0,"",ROUNDUP(Y429/H429,0)*0.01898),"")</f>
        <v>0.11388000000000001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52.74444444444444</v>
      </c>
      <c r="BN429" s="78">
        <f>IFERROR(Y429*I429/H429,"0")</f>
        <v>56.963999999999992</v>
      </c>
      <c r="BO429" s="78">
        <f>IFERROR(1/J429*(X429/H429),"0")</f>
        <v>8.6805555555555552E-2</v>
      </c>
      <c r="BP429" s="78">
        <f>IFERROR(1/J429*(Y429/H429),"0")</f>
        <v>9.375E-2</v>
      </c>
    </row>
    <row r="430" spans="1:68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5.5555555555555554</v>
      </c>
      <c r="Y430" s="43">
        <f>IFERROR(Y429/H429,"0")</f>
        <v>6</v>
      </c>
      <c r="Z430" s="43">
        <f>IFERROR(IF(Z429="",0,Z429),"0")</f>
        <v>0.11388000000000001</v>
      </c>
      <c r="AA430" s="67"/>
      <c r="AB430" s="67"/>
      <c r="AC430" s="67"/>
    </row>
    <row r="431" spans="1:68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50</v>
      </c>
      <c r="Y431" s="43">
        <f>IFERROR(SUM(Y429:Y429),"0")</f>
        <v>54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4500</v>
      </c>
      <c r="Y443" s="55">
        <f>IFERROR(IF(X443="",0,CEILING((X443/$H443),1)*$H443),"")</f>
        <v>4500</v>
      </c>
      <c r="Z443" s="41">
        <f>IFERROR(IF(Y443=0,"",ROUNDUP(Y443/H443,0)*0.01898),"")</f>
        <v>9.49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4747</v>
      </c>
      <c r="BN443" s="78">
        <f>IFERROR(Y443*I443/H443,"0")</f>
        <v>4747</v>
      </c>
      <c r="BO443" s="78">
        <f>IFERROR(1/J443*(X443/H443),"0")</f>
        <v>7.8125</v>
      </c>
      <c r="BP443" s="78">
        <f>IFERROR(1/J443*(Y443/H443),"0")</f>
        <v>7.8125</v>
      </c>
    </row>
    <row r="444" spans="1:68" ht="27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72</v>
      </c>
      <c r="Y444" s="55">
        <f>IFERROR(IF(X444="",0,CEILING((X444/$H444),1)*$H444),"")</f>
        <v>72</v>
      </c>
      <c r="Z444" s="41">
        <f>IFERROR(IF(Y444=0,"",ROUNDUP(Y444/H444,0)*0.00651),"")</f>
        <v>0.1953</v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79.920000000000016</v>
      </c>
      <c r="BN444" s="78">
        <f>IFERROR(Y444*I444/H444,"0")</f>
        <v>79.920000000000016</v>
      </c>
      <c r="BO444" s="78">
        <f>IFERROR(1/J444*(X444/H444),"0")</f>
        <v>0.16483516483516486</v>
      </c>
      <c r="BP444" s="78">
        <f>IFERROR(1/J444*(Y444/H444),"0")</f>
        <v>0.16483516483516486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530</v>
      </c>
      <c r="Y446" s="43">
        <f>IFERROR(Y443/H443,"0")+IFERROR(Y444/H444,"0")+IFERROR(Y445/H445,"0")</f>
        <v>530</v>
      </c>
      <c r="Z446" s="43">
        <f>IFERROR(IF(Z443="",0,Z443),"0")+IFERROR(IF(Z444="",0,Z444),"0")+IFERROR(IF(Z445="",0,Z445),"0")</f>
        <v>9.6852999999999998</v>
      </c>
      <c r="AA446" s="67"/>
      <c r="AB446" s="67"/>
      <c r="AC446" s="67"/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4572</v>
      </c>
      <c r="Y447" s="43">
        <f>IFERROR(SUM(Y443:Y445),"0")</f>
        <v>4572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50</v>
      </c>
      <c r="Y451" s="55">
        <f t="shared" ref="Y451:Y456" si="68">IFERROR(IF(X451="",0,CEILING((X451/$H451),1)*$H451),"")</f>
        <v>54</v>
      </c>
      <c r="Z451" s="41">
        <f>IFERROR(IF(Y451=0,"",ROUNDUP(Y451/H451,0)*0.00902),"")</f>
        <v>9.0200000000000002E-2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51.759259259259252</v>
      </c>
      <c r="BN451" s="78">
        <f t="shared" ref="BN451:BN456" si="70">IFERROR(Y451*I451/H451,"0")</f>
        <v>55.9</v>
      </c>
      <c r="BO451" s="78">
        <f t="shared" ref="BO451:BO456" si="71">IFERROR(1/J451*(X451/H451),"0")</f>
        <v>7.0145903479236812E-2</v>
      </c>
      <c r="BP451" s="78">
        <f t="shared" ref="BP451:BP456" si="72">IFERROR(1/J451*(Y451/H451),"0")</f>
        <v>7.575757575757576E-2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40</v>
      </c>
      <c r="Y452" s="55">
        <f t="shared" si="68"/>
        <v>43.2</v>
      </c>
      <c r="Z452" s="41">
        <f>IFERROR(IF(Y452=0,"",ROUNDUP(Y452/H452,0)*0.00902),"")</f>
        <v>7.2160000000000002E-2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41.407407407407405</v>
      </c>
      <c r="BN452" s="78">
        <f t="shared" si="70"/>
        <v>44.72</v>
      </c>
      <c r="BO452" s="78">
        <f t="shared" si="71"/>
        <v>5.6116722783389444E-2</v>
      </c>
      <c r="BP452" s="78">
        <f t="shared" si="72"/>
        <v>6.0606060606060608E-2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16.666666666666664</v>
      </c>
      <c r="Y457" s="43">
        <f>IFERROR(Y451/H451,"0")+IFERROR(Y452/H452,"0")+IFERROR(Y453/H453,"0")+IFERROR(Y454/H454,"0")+IFERROR(Y455/H455,"0")+IFERROR(Y456/H456,"0")</f>
        <v>18</v>
      </c>
      <c r="Z457" s="43">
        <f>IFERROR(IF(Z451="",0,Z451),"0")+IFERROR(IF(Z452="",0,Z452),"0")+IFERROR(IF(Z453="",0,Z453),"0")+IFERROR(IF(Z454="",0,Z454),"0")+IFERROR(IF(Z455="",0,Z455),"0")+IFERROR(IF(Z456="",0,Z456),"0")</f>
        <v>0.16236</v>
      </c>
      <c r="AA457" s="67"/>
      <c r="AB457" s="67"/>
      <c r="AC457" s="67"/>
    </row>
    <row r="458" spans="1:68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90</v>
      </c>
      <c r="Y458" s="43">
        <f>IFERROR(SUM(Y451:Y456),"0")</f>
        <v>97.2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40</v>
      </c>
      <c r="Y470" s="55">
        <f>IFERROR(IF(X470="",0,CEILING((X470/$H470),1)*$H470),"")</f>
        <v>43.2</v>
      </c>
      <c r="Z470" s="41">
        <f>IFERROR(IF(Y470=0,"",ROUNDUP(Y470/H470,0)*0.00902),"")</f>
        <v>7.2160000000000002E-2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41.407407407407405</v>
      </c>
      <c r="BN470" s="78">
        <f>IFERROR(Y470*I470/H470,"0")</f>
        <v>44.72</v>
      </c>
      <c r="BO470" s="78">
        <f>IFERROR(1/J470*(X470/H470),"0")</f>
        <v>5.6116722783389444E-2</v>
      </c>
      <c r="BP470" s="78">
        <f>IFERROR(1/J470*(Y470/H470),"0")</f>
        <v>6.0606060606060608E-2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7.4074074074074066</v>
      </c>
      <c r="Y473" s="43">
        <f>IFERROR(Y470/H470,"0")+IFERROR(Y471/H471,"0")+IFERROR(Y472/H472,"0")</f>
        <v>8</v>
      </c>
      <c r="Z473" s="43">
        <f>IFERROR(IF(Z470="",0,Z470),"0")+IFERROR(IF(Z471="",0,Z471),"0")+IFERROR(IF(Z472="",0,Z472),"0")</f>
        <v>7.2160000000000002E-2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40</v>
      </c>
      <c r="Y474" s="43">
        <f>IFERROR(SUM(Y470:Y472),"0")</f>
        <v>43.2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500</v>
      </c>
      <c r="Y478" s="55">
        <f t="shared" ref="Y478:Y486" si="73">IFERROR(IF(X478="",0,CEILING((X478/$H478),1)*$H478),"")</f>
        <v>501.6</v>
      </c>
      <c r="Z478" s="41">
        <f t="shared" ref="Z478:Z483" si="74">IFERROR(IF(Y478=0,"",ROUNDUP(Y478/H478,0)*0.01196),"")</f>
        <v>1.1362000000000001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533.14393939393938</v>
      </c>
      <c r="BN478" s="78">
        <f t="shared" ref="BN478:BN486" si="76">IFERROR(Y478*I478/H478,"0")</f>
        <v>534.85</v>
      </c>
      <c r="BO478" s="78">
        <f t="shared" ref="BO478:BO486" si="77">IFERROR(1/J478*(X478/H478),"0")</f>
        <v>0.91054778554778548</v>
      </c>
      <c r="BP478" s="78">
        <f t="shared" ref="BP478:BP486" si="78">IFERROR(1/J478*(Y478/H478),"0")</f>
        <v>0.91346153846153855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300</v>
      </c>
      <c r="Y480" s="55">
        <f t="shared" si="73"/>
        <v>300.96000000000004</v>
      </c>
      <c r="Z480" s="41">
        <f t="shared" si="74"/>
        <v>0.68171999999999999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319.88636363636363</v>
      </c>
      <c r="BN480" s="78">
        <f t="shared" si="76"/>
        <v>320.91000000000003</v>
      </c>
      <c r="BO480" s="78">
        <f t="shared" si="77"/>
        <v>0.54632867132867136</v>
      </c>
      <c r="BP480" s="78">
        <f t="shared" si="78"/>
        <v>0.54807692307692313</v>
      </c>
    </row>
    <row r="481" spans="1:68" ht="27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1000</v>
      </c>
      <c r="Y481" s="55">
        <f t="shared" si="73"/>
        <v>1003.2</v>
      </c>
      <c r="Z481" s="41">
        <f t="shared" si="74"/>
        <v>2.2724000000000002</v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1066.2878787878788</v>
      </c>
      <c r="BN481" s="78">
        <f t="shared" si="76"/>
        <v>1069.7</v>
      </c>
      <c r="BO481" s="78">
        <f t="shared" si="77"/>
        <v>1.821095571095571</v>
      </c>
      <c r="BP481" s="78">
        <f t="shared" si="78"/>
        <v>1.8269230769230771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1700</v>
      </c>
      <c r="Y483" s="55">
        <f t="shared" si="73"/>
        <v>1700.16</v>
      </c>
      <c r="Z483" s="41">
        <f t="shared" si="74"/>
        <v>3.8511199999999999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1812.6893939393938</v>
      </c>
      <c r="BN483" s="78">
        <f t="shared" si="76"/>
        <v>1812.86</v>
      </c>
      <c r="BO483" s="78">
        <f t="shared" si="77"/>
        <v>3.0958624708624707</v>
      </c>
      <c r="BP483" s="78">
        <f t="shared" si="78"/>
        <v>3.0961538461538463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662.87878787878776</v>
      </c>
      <c r="Y487" s="43">
        <f>IFERROR(Y478/H478,"0")+IFERROR(Y479/H479,"0")+IFERROR(Y480/H480,"0")+IFERROR(Y481/H481,"0")+IFERROR(Y482/H482,"0")+IFERROR(Y483/H483,"0")+IFERROR(Y484/H484,"0")+IFERROR(Y485/H485,"0")+IFERROR(Y486/H486,"0")</f>
        <v>664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7.9414400000000001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3500</v>
      </c>
      <c r="Y488" s="43">
        <f>IFERROR(SUM(Y478:Y486),"0")</f>
        <v>3505.92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400</v>
      </c>
      <c r="Y496" s="55">
        <f t="shared" ref="Y496:Y502" si="79">IFERROR(IF(X496="",0,CEILING((X496/$H496),1)*$H496),"")</f>
        <v>401.28000000000003</v>
      </c>
      <c r="Z496" s="41">
        <f>IFERROR(IF(Y496=0,"",ROUNDUP(Y496/H496,0)*0.01196),"")</f>
        <v>0.90895999999999999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426.5151515151515</v>
      </c>
      <c r="BN496" s="78">
        <f t="shared" ref="BN496:BN502" si="81">IFERROR(Y496*I496/H496,"0")</f>
        <v>427.88</v>
      </c>
      <c r="BO496" s="78">
        <f t="shared" ref="BO496:BO502" si="82">IFERROR(1/J496*(X496/H496),"0")</f>
        <v>0.72843822843822836</v>
      </c>
      <c r="BP496" s="78">
        <f t="shared" ref="BP496:BP502" si="83">IFERROR(1/J496*(Y496/H496),"0")</f>
        <v>0.73076923076923084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500</v>
      </c>
      <c r="Y497" s="55">
        <f t="shared" si="79"/>
        <v>501.6</v>
      </c>
      <c r="Z497" s="41">
        <f>IFERROR(IF(Y497=0,"",ROUNDUP(Y497/H497,0)*0.01196),"")</f>
        <v>1.1362000000000001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533.14393939393938</v>
      </c>
      <c r="BN497" s="78">
        <f t="shared" si="81"/>
        <v>534.85</v>
      </c>
      <c r="BO497" s="78">
        <f t="shared" si="82"/>
        <v>0.91054778554778548</v>
      </c>
      <c r="BP497" s="78">
        <f t="shared" si="83"/>
        <v>0.91346153846153855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800</v>
      </c>
      <c r="Y498" s="55">
        <f t="shared" si="79"/>
        <v>802.56000000000006</v>
      </c>
      <c r="Z498" s="41">
        <f>IFERROR(IF(Y498=0,"",ROUNDUP(Y498/H498,0)*0.01196),"")</f>
        <v>1.81792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853.030303030303</v>
      </c>
      <c r="BN498" s="78">
        <f t="shared" si="81"/>
        <v>855.76</v>
      </c>
      <c r="BO498" s="78">
        <f t="shared" si="82"/>
        <v>1.4568764568764567</v>
      </c>
      <c r="BP498" s="78">
        <f t="shared" si="83"/>
        <v>1.4615384615384617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321.96969696969694</v>
      </c>
      <c r="Y503" s="43">
        <f>IFERROR(Y496/H496,"0")+IFERROR(Y497/H497,"0")+IFERROR(Y498/H498,"0")+IFERROR(Y499/H499,"0")+IFERROR(Y500/H500,"0")+IFERROR(Y501/H501,"0")+IFERROR(Y502/H502,"0")</f>
        <v>323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3.8630800000000001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1700</v>
      </c>
      <c r="Y504" s="43">
        <f>IFERROR(SUM(Y496:Y502),"0")</f>
        <v>1705.44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120</v>
      </c>
      <c r="Z508" s="41">
        <f>IFERROR(IF(Y508=0,"",ROUNDUP(Y508/H508,0)*0.01898),"")</f>
        <v>0.1898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124.10000000000001</v>
      </c>
      <c r="BN508" s="78">
        <f>IFERROR(Y508*I508/H508,"0")</f>
        <v>124.10000000000001</v>
      </c>
      <c r="BO508" s="78">
        <f>IFERROR(1/J508*(X508/H508),"0")</f>
        <v>0.15625</v>
      </c>
      <c r="BP508" s="78">
        <f>IFERROR(1/J508*(Y508/H508),"0")</f>
        <v>0.15625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10</v>
      </c>
      <c r="Y509" s="43">
        <f>IFERROR(Y508/H508,"0")</f>
        <v>10</v>
      </c>
      <c r="Z509" s="43">
        <f>IFERROR(IF(Z508="",0,Z508),"0")</f>
        <v>0.1898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120</v>
      </c>
      <c r="Y510" s="43">
        <f>IFERROR(SUM(Y508:Y508),"0")</f>
        <v>120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54</v>
      </c>
      <c r="Z521" s="41">
        <f>IFERROR(IF(Y521=0,"",ROUNDUP(Y521/H521,0)*0.01898),"")</f>
        <v>0.11388000000000001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52.74444444444444</v>
      </c>
      <c r="BN521" s="78">
        <f>IFERROR(Y521*I521/H521,"0")</f>
        <v>56.963999999999992</v>
      </c>
      <c r="BO521" s="78">
        <f>IFERROR(1/J521*(X521/H521),"0")</f>
        <v>8.6805555555555552E-2</v>
      </c>
      <c r="BP521" s="78">
        <f>IFERROR(1/J521*(Y521/H521),"0")</f>
        <v>9.375E-2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5.5555555555555554</v>
      </c>
      <c r="Y522" s="43">
        <f>IFERROR(Y521/H521,"0")</f>
        <v>6</v>
      </c>
      <c r="Z522" s="43">
        <f>IFERROR(IF(Z521="",0,Z521),"0")</f>
        <v>0.11388000000000001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50</v>
      </c>
      <c r="Y523" s="43">
        <f>IFERROR(SUM(Y521:Y521),"0")</f>
        <v>54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17934.5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18025.260000000002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18910.250494273711</v>
      </c>
      <c r="Y535" s="43">
        <f>IFERROR(SUM(BN22:BN531),"0")</f>
        <v>19005.359999999993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31</v>
      </c>
      <c r="Y536" s="44">
        <f>ROUNDUP(SUM(BP22:BP531),0)</f>
        <v>31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19685.250494273711</v>
      </c>
      <c r="Y537" s="43">
        <f>GrossWeightTotalR+PalletQtyTotalR*25</f>
        <v>19780.359999999993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2502.7842676693253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2514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36.506360000000001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507.6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313.80000000000007</v>
      </c>
      <c r="F544" s="52">
        <f>IFERROR(Y88*1,"0")+IFERROR(Y89*1,"0")+IFERROR(Y90*1,"0")+IFERROR(Y91*1,"0")+IFERROR(Y95*1,"0")+IFERROR(Y96*1,"0")+IFERROR(Y97*1,"0")+IFERROR(Y98*1,"0")</f>
        <v>278.10000000000002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1120.5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626.1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70.2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804</v>
      </c>
      <c r="U544" s="52">
        <f>IFERROR(Y399*1,"0")+IFERROR(Y400*1,"0")+IFERROR(Y401*1,"0")</f>
        <v>193.2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4014</v>
      </c>
      <c r="W544" s="52">
        <f>IFERROR(Y434*1,"0")+IFERROR(Y435*1,"0")+IFERROR(Y439*1,"0")+IFERROR(Y443*1,"0")+IFERROR(Y444*1,"0")+IFERROR(Y445*1,"0")</f>
        <v>4572</v>
      </c>
      <c r="X544" s="52">
        <f>IFERROR(Y451*1,"0")+IFERROR(Y452*1,"0")+IFERROR(Y453*1,"0")+IFERROR(Y454*1,"0")+IFERROR(Y455*1,"0")+IFERROR(Y456*1,"0")+IFERROR(Y460*1,"0")+IFERROR(Y461*1,"0")</f>
        <v>97.2</v>
      </c>
      <c r="Y544" s="52">
        <f>IFERROR(Y466*1,"0")+IFERROR(Y470*1,"0")+IFERROR(Y471*1,"0")+IFERROR(Y472*1,"0")</f>
        <v>43.2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5211.3600000000006</v>
      </c>
      <c r="AA544" s="52">
        <f>IFERROR(Y508*1,"0")+IFERROR(Y512*1,"0")+IFERROR(Y516*1,"0")+IFERROR(Y517*1,"0")+IFERROR(Y521*1,"0")+IFERROR(Y525*1,"0")+IFERROR(Y526*1,"0")</f>
        <v>174</v>
      </c>
      <c r="AB544" s="52">
        <f>IFERROR(Y531*1,"0")</f>
        <v>0</v>
      </c>
      <c r="AC544" s="60"/>
      <c r="AF544" s="1"/>
    </row>
  </sheetData>
  <sheetProtection algorithmName="SHA-512" hashValue="++rH9Sf8DJ2N5tHEVwpARJtc6LViCrWrJC2NYvWZAX0yTwDhZ002YmW9ilC9XNjouj/y6A79x9c3M308aUXPbg==" saltValue="Y8lUpQ3rT+IkQUK6uh9Ft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700,00"/>
        <filter val="1 950,00"/>
        <filter val="10,00"/>
        <filter val="102,00"/>
        <filter val="120,00"/>
        <filter val="130,00"/>
        <filter val="133,33"/>
        <filter val="140,25"/>
        <filter val="150,00"/>
        <filter val="159,60"/>
        <filter val="16,67"/>
        <filter val="162,00"/>
        <filter val="168,00"/>
        <filter val="17 934,50"/>
        <filter val="18 910,25"/>
        <filter val="18,52"/>
        <filter val="186,50"/>
        <filter val="19 685,25"/>
        <filter val="2 000,00"/>
        <filter val="2 502,78"/>
        <filter val="200,00"/>
        <filter val="210,00"/>
        <filter val="23,15"/>
        <filter val="250,00"/>
        <filter val="27,78"/>
        <filter val="3 500,00"/>
        <filter val="300,00"/>
        <filter val="31"/>
        <filter val="321,97"/>
        <filter val="38,89"/>
        <filter val="4 500,00"/>
        <filter val="4 572,00"/>
        <filter val="40,00"/>
        <filter val="400,00"/>
        <filter val="412,00"/>
        <filter val="46,30"/>
        <filter val="48,00"/>
        <filter val="5,56"/>
        <filter val="50,00"/>
        <filter val="500,00"/>
        <filter val="52,50"/>
        <filter val="530,00"/>
        <filter val="6,41"/>
        <filter val="60,00"/>
        <filter val="600,00"/>
        <filter val="650,00"/>
        <filter val="662,88"/>
        <filter val="7,41"/>
        <filter val="70,00"/>
        <filter val="700,00"/>
        <filter val="71,17"/>
        <filter val="72,00"/>
        <filter val="8,64"/>
        <filter val="8,97"/>
        <filter val="800,00"/>
        <filter val="812,00"/>
        <filter val="84,00"/>
        <filter val="89,74"/>
        <filter val="90,00"/>
        <filter val="96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Uq6LhkQGLBgXPHS+McNSe3QshXyncuw12J3hz7Fp2GynJhdanXABJtJjgpISPrYdSTvo6rIOPlTbfPGI3aVl+w==" saltValue="Rt7cmqg/iXeiZckmAX+6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