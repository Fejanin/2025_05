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5B256A-30A0-4DF4-800F-C827D113228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заказа'!$B$46:$B$46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заказа'!$B$55:$B$55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заказа'!$B$130:$B$130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заказа'!$B$145:$B$145</definedName>
    <definedName name="ProductId66">'Бланк заказа'!$B$146:$B$146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заказа'!$B$164:$B$164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заказа'!$B$188:$B$188</definedName>
    <definedName name="ProductId89">'Бланк заказа'!$B$189:$B$189</definedName>
    <definedName name="ProductId9">'Бланк заказа'!$B$36:$B$36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заказа'!$X$46:$X$46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заказа'!$X$55:$X$55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заказа'!$X$130:$X$130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заказа'!$X$145:$X$145</definedName>
    <definedName name="SalesQty66">'Бланк заказа'!$X$146:$X$146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заказа'!$X$164:$X$164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заказа'!$X$188:$X$188</definedName>
    <definedName name="SalesQty89">'Бланк заказа'!$X$189:$X$189</definedName>
    <definedName name="SalesQty9">'Бланк заказа'!$X$36:$X$36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заказа'!$Y$46:$Y$46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заказа'!$Y$55:$Y$55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заказа'!$Y$130:$Y$130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заказа'!$Y$145:$Y$145</definedName>
    <definedName name="SalesRoundBox66">'Бланк заказа'!$Y$146:$Y$146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заказа'!$Y$164:$Y$164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заказа'!$Y$188:$Y$188</definedName>
    <definedName name="SalesRoundBox89">'Бланк заказа'!$Y$189:$Y$189</definedName>
    <definedName name="SalesRoundBox9">'Бланк заказа'!$Y$36:$Y$36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заказа'!$W$46:$W$46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заказа'!$W$55:$W$55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заказа'!$W$130:$W$130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заказа'!$W$145:$W$145</definedName>
    <definedName name="UnitOfMeasure66">'Бланк заказа'!$W$146:$W$146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заказа'!$W$164:$W$164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заказа'!$W$188:$W$188</definedName>
    <definedName name="UnitOfMeasure89">'Бланк заказа'!$W$189:$W$189</definedName>
    <definedName name="UnitOfMeasure9">'Бланк заказа'!$W$36:$W$36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X523" i="2"/>
  <c r="X522" i="2"/>
  <c r="BO521" i="2"/>
  <c r="BM521" i="2"/>
  <c r="Y521" i="2"/>
  <c r="BN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Z512" i="2" s="1"/>
  <c r="Z513" i="2" s="1"/>
  <c r="P512" i="2"/>
  <c r="X510" i="2"/>
  <c r="X509" i="2"/>
  <c r="BO508" i="2"/>
  <c r="BM508" i="2"/>
  <c r="Y508" i="2"/>
  <c r="Y510" i="2" s="1"/>
  <c r="P508" i="2"/>
  <c r="X504" i="2"/>
  <c r="X503" i="2"/>
  <c r="BO502" i="2"/>
  <c r="BM502" i="2"/>
  <c r="Y502" i="2"/>
  <c r="BP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P496" i="2"/>
  <c r="X494" i="2"/>
  <c r="X493" i="2"/>
  <c r="BO492" i="2"/>
  <c r="BM492" i="2"/>
  <c r="Y492" i="2"/>
  <c r="BP492" i="2" s="1"/>
  <c r="P492" i="2"/>
  <c r="BO491" i="2"/>
  <c r="BM491" i="2"/>
  <c r="Z491" i="2"/>
  <c r="Y491" i="2"/>
  <c r="BN491" i="2" s="1"/>
  <c r="P491" i="2"/>
  <c r="BO490" i="2"/>
  <c r="BM490" i="2"/>
  <c r="Y490" i="2"/>
  <c r="BN490" i="2" s="1"/>
  <c r="P490" i="2"/>
  <c r="X488" i="2"/>
  <c r="X487" i="2"/>
  <c r="BO486" i="2"/>
  <c r="BM486" i="2"/>
  <c r="Y486" i="2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Z466" i="2" s="1"/>
  <c r="Z467" i="2" s="1"/>
  <c r="P466" i="2"/>
  <c r="X463" i="2"/>
  <c r="X462" i="2"/>
  <c r="BO461" i="2"/>
  <c r="BM461" i="2"/>
  <c r="Y461" i="2"/>
  <c r="P461" i="2"/>
  <c r="BO460" i="2"/>
  <c r="BM460" i="2"/>
  <c r="Y460" i="2"/>
  <c r="Y463" i="2" s="1"/>
  <c r="P460" i="2"/>
  <c r="X458" i="2"/>
  <c r="X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BP453" i="2" s="1"/>
  <c r="P453" i="2"/>
  <c r="BO452" i="2"/>
  <c r="BM452" i="2"/>
  <c r="Y452" i="2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BN443" i="2" s="1"/>
  <c r="P443" i="2"/>
  <c r="X441" i="2"/>
  <c r="X440" i="2"/>
  <c r="BO439" i="2"/>
  <c r="BM439" i="2"/>
  <c r="Y439" i="2"/>
  <c r="Y440" i="2" s="1"/>
  <c r="P439" i="2"/>
  <c r="X437" i="2"/>
  <c r="X436" i="2"/>
  <c r="BO435" i="2"/>
  <c r="BM435" i="2"/>
  <c r="Z435" i="2"/>
  <c r="Y435" i="2"/>
  <c r="BP435" i="2" s="1"/>
  <c r="P435" i="2"/>
  <c r="BO434" i="2"/>
  <c r="BM434" i="2"/>
  <c r="Y434" i="2"/>
  <c r="BP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Z425" i="2" s="1"/>
  <c r="P425" i="2"/>
  <c r="BO424" i="2"/>
  <c r="BM424" i="2"/>
  <c r="Y424" i="2"/>
  <c r="BP424" i="2" s="1"/>
  <c r="P424" i="2"/>
  <c r="X422" i="2"/>
  <c r="X421" i="2"/>
  <c r="BO420" i="2"/>
  <c r="BM420" i="2"/>
  <c r="Y420" i="2"/>
  <c r="Z420" i="2" s="1"/>
  <c r="P420" i="2"/>
  <c r="BO419" i="2"/>
  <c r="BM419" i="2"/>
  <c r="Y419" i="2"/>
  <c r="BN419" i="2" s="1"/>
  <c r="P419" i="2"/>
  <c r="BO418" i="2"/>
  <c r="BM418" i="2"/>
  <c r="Y418" i="2"/>
  <c r="Z418" i="2" s="1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BO407" i="2"/>
  <c r="BM407" i="2"/>
  <c r="Y407" i="2"/>
  <c r="Z407" i="2" s="1"/>
  <c r="P407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P399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Z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Z364" i="2"/>
  <c r="Y364" i="2"/>
  <c r="BN364" i="2" s="1"/>
  <c r="P364" i="2"/>
  <c r="BO363" i="2"/>
  <c r="BM363" i="2"/>
  <c r="Y363" i="2"/>
  <c r="Z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Z356" i="2" s="1"/>
  <c r="P356" i="2"/>
  <c r="BO355" i="2"/>
  <c r="BM355" i="2"/>
  <c r="Y355" i="2"/>
  <c r="Z355" i="2" s="1"/>
  <c r="P355" i="2"/>
  <c r="BO354" i="2"/>
  <c r="BM354" i="2"/>
  <c r="Y354" i="2"/>
  <c r="BN354" i="2" s="1"/>
  <c r="P354" i="2"/>
  <c r="BO353" i="2"/>
  <c r="BM353" i="2"/>
  <c r="Y353" i="2"/>
  <c r="Z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X343" i="2"/>
  <c r="X342" i="2"/>
  <c r="BO341" i="2"/>
  <c r="BM341" i="2"/>
  <c r="Y341" i="2"/>
  <c r="P341" i="2"/>
  <c r="BO340" i="2"/>
  <c r="BM340" i="2"/>
  <c r="Y340" i="2"/>
  <c r="BP340" i="2" s="1"/>
  <c r="P340" i="2"/>
  <c r="X338" i="2"/>
  <c r="X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Z325" i="2" s="1"/>
  <c r="P325" i="2"/>
  <c r="X322" i="2"/>
  <c r="X321" i="2"/>
  <c r="BO320" i="2"/>
  <c r="BM320" i="2"/>
  <c r="Y320" i="2"/>
  <c r="Z320" i="2" s="1"/>
  <c r="P320" i="2"/>
  <c r="BO319" i="2"/>
  <c r="BM319" i="2"/>
  <c r="Y319" i="2"/>
  <c r="Z319" i="2" s="1"/>
  <c r="P319" i="2"/>
  <c r="BO318" i="2"/>
  <c r="BM318" i="2"/>
  <c r="Z318" i="2"/>
  <c r="Y318" i="2"/>
  <c r="BN318" i="2" s="1"/>
  <c r="P318" i="2"/>
  <c r="BO317" i="2"/>
  <c r="BM317" i="2"/>
  <c r="Y317" i="2"/>
  <c r="Z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N309" i="2" s="1"/>
  <c r="P309" i="2"/>
  <c r="X307" i="2"/>
  <c r="X306" i="2"/>
  <c r="BO305" i="2"/>
  <c r="BM305" i="2"/>
  <c r="Y305" i="2"/>
  <c r="Y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P297" i="2" s="1"/>
  <c r="P297" i="2"/>
  <c r="BO296" i="2"/>
  <c r="BM296" i="2"/>
  <c r="Y296" i="2"/>
  <c r="Z296" i="2" s="1"/>
  <c r="P296" i="2"/>
  <c r="BO295" i="2"/>
  <c r="BM295" i="2"/>
  <c r="Y295" i="2"/>
  <c r="BP295" i="2" s="1"/>
  <c r="P295" i="2"/>
  <c r="BO294" i="2"/>
  <c r="BM294" i="2"/>
  <c r="Y294" i="2"/>
  <c r="Z294" i="2" s="1"/>
  <c r="P294" i="2"/>
  <c r="BO293" i="2"/>
  <c r="BM293" i="2"/>
  <c r="Y293" i="2"/>
  <c r="BP293" i="2" s="1"/>
  <c r="P293" i="2"/>
  <c r="BO292" i="2"/>
  <c r="BM292" i="2"/>
  <c r="Y292" i="2"/>
  <c r="P292" i="2"/>
  <c r="BO291" i="2"/>
  <c r="BM291" i="2"/>
  <c r="Y291" i="2"/>
  <c r="Z291" i="2" s="1"/>
  <c r="P291" i="2"/>
  <c r="X288" i="2"/>
  <c r="X287" i="2"/>
  <c r="BO286" i="2"/>
  <c r="BM286" i="2"/>
  <c r="Y286" i="2"/>
  <c r="BN286" i="2" s="1"/>
  <c r="P286" i="2"/>
  <c r="BO285" i="2"/>
  <c r="BM285" i="2"/>
  <c r="Y285" i="2"/>
  <c r="Z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Z275" i="2" s="1"/>
  <c r="P275" i="2"/>
  <c r="BO274" i="2"/>
  <c r="BM274" i="2"/>
  <c r="Y274" i="2"/>
  <c r="BN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Z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Z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Z255" i="2" s="1"/>
  <c r="P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Z232" i="2" s="1"/>
  <c r="P232" i="2"/>
  <c r="BO231" i="2"/>
  <c r="BM231" i="2"/>
  <c r="Y231" i="2"/>
  <c r="BN231" i="2" s="1"/>
  <c r="P231" i="2"/>
  <c r="X229" i="2"/>
  <c r="X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Z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BP216" i="2" s="1"/>
  <c r="P216" i="2"/>
  <c r="BP215" i="2"/>
  <c r="BO215" i="2"/>
  <c r="BM215" i="2"/>
  <c r="Y215" i="2"/>
  <c r="BN215" i="2" s="1"/>
  <c r="P215" i="2"/>
  <c r="BO214" i="2"/>
  <c r="BM214" i="2"/>
  <c r="Y214" i="2"/>
  <c r="Z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Z204" i="2" s="1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N200" i="2" s="1"/>
  <c r="P200" i="2"/>
  <c r="BO199" i="2"/>
  <c r="BM199" i="2"/>
  <c r="Y199" i="2"/>
  <c r="Z199" i="2" s="1"/>
  <c r="P199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N189" i="2" s="1"/>
  <c r="P189" i="2"/>
  <c r="BO188" i="2"/>
  <c r="BM188" i="2"/>
  <c r="Z188" i="2"/>
  <c r="Y188" i="2"/>
  <c r="BN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Z183" i="2" s="1"/>
  <c r="P183" i="2"/>
  <c r="BO182" i="2"/>
  <c r="BM182" i="2"/>
  <c r="Y182" i="2"/>
  <c r="Z182" i="2" s="1"/>
  <c r="P182" i="2"/>
  <c r="X180" i="2"/>
  <c r="X179" i="2"/>
  <c r="BO178" i="2"/>
  <c r="BM178" i="2"/>
  <c r="Y178" i="2"/>
  <c r="Z178" i="2" s="1"/>
  <c r="P178" i="2"/>
  <c r="BO177" i="2"/>
  <c r="BM177" i="2"/>
  <c r="Y177" i="2"/>
  <c r="Z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P174" i="2"/>
  <c r="BO173" i="2"/>
  <c r="BM173" i="2"/>
  <c r="Y173" i="2"/>
  <c r="Z173" i="2" s="1"/>
  <c r="P173" i="2"/>
  <c r="BO172" i="2"/>
  <c r="BM172" i="2"/>
  <c r="Y172" i="2"/>
  <c r="BP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N169" i="2" s="1"/>
  <c r="P169" i="2"/>
  <c r="BO168" i="2"/>
  <c r="BM168" i="2"/>
  <c r="Y168" i="2"/>
  <c r="BN168" i="2" s="1"/>
  <c r="P168" i="2"/>
  <c r="Y166" i="2"/>
  <c r="X166" i="2"/>
  <c r="X165" i="2"/>
  <c r="BO164" i="2"/>
  <c r="BM164" i="2"/>
  <c r="Y164" i="2"/>
  <c r="BP164" i="2" s="1"/>
  <c r="P164" i="2"/>
  <c r="X162" i="2"/>
  <c r="X161" i="2"/>
  <c r="BO160" i="2"/>
  <c r="BM160" i="2"/>
  <c r="Y160" i="2"/>
  <c r="Z160" i="2" s="1"/>
  <c r="P160" i="2"/>
  <c r="BO159" i="2"/>
  <c r="BM159" i="2"/>
  <c r="Y159" i="2"/>
  <c r="BP159" i="2" s="1"/>
  <c r="P159" i="2"/>
  <c r="X156" i="2"/>
  <c r="X155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BO151" i="2"/>
  <c r="BM151" i="2"/>
  <c r="Y151" i="2"/>
  <c r="Y156" i="2" s="1"/>
  <c r="P151" i="2"/>
  <c r="X148" i="2"/>
  <c r="X147" i="2"/>
  <c r="BO146" i="2"/>
  <c r="BM146" i="2"/>
  <c r="Y146" i="2"/>
  <c r="BN146" i="2" s="1"/>
  <c r="P146" i="2"/>
  <c r="BO145" i="2"/>
  <c r="BM145" i="2"/>
  <c r="Y145" i="2"/>
  <c r="P145" i="2"/>
  <c r="X143" i="2"/>
  <c r="X142" i="2"/>
  <c r="BO141" i="2"/>
  <c r="BM141" i="2"/>
  <c r="Y141" i="2"/>
  <c r="Z141" i="2" s="1"/>
  <c r="P141" i="2"/>
  <c r="BO140" i="2"/>
  <c r="BM140" i="2"/>
  <c r="Y140" i="2"/>
  <c r="P140" i="2"/>
  <c r="X138" i="2"/>
  <c r="X137" i="2"/>
  <c r="BO136" i="2"/>
  <c r="BM136" i="2"/>
  <c r="Y136" i="2"/>
  <c r="P136" i="2"/>
  <c r="BO135" i="2"/>
  <c r="BM135" i="2"/>
  <c r="Y135" i="2"/>
  <c r="BN135" i="2" s="1"/>
  <c r="P135" i="2"/>
  <c r="X132" i="2"/>
  <c r="X131" i="2"/>
  <c r="BO130" i="2"/>
  <c r="BM130" i="2"/>
  <c r="Y130" i="2"/>
  <c r="Y132" i="2" s="1"/>
  <c r="P130" i="2"/>
  <c r="X128" i="2"/>
  <c r="X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P123" i="2" s="1"/>
  <c r="P123" i="2"/>
  <c r="X121" i="2"/>
  <c r="X120" i="2"/>
  <c r="BO119" i="2"/>
  <c r="BM119" i="2"/>
  <c r="Y119" i="2"/>
  <c r="BN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X111" i="2"/>
  <c r="X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Z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BN98" i="2" s="1"/>
  <c r="P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P95" i="2"/>
  <c r="X93" i="2"/>
  <c r="X92" i="2"/>
  <c r="BO91" i="2"/>
  <c r="BM91" i="2"/>
  <c r="Y91" i="2"/>
  <c r="P91" i="2"/>
  <c r="BO90" i="2"/>
  <c r="BM90" i="2"/>
  <c r="Y90" i="2"/>
  <c r="Z90" i="2" s="1"/>
  <c r="P90" i="2"/>
  <c r="BO89" i="2"/>
  <c r="BM89" i="2"/>
  <c r="Y89" i="2"/>
  <c r="BP89" i="2" s="1"/>
  <c r="P89" i="2"/>
  <c r="BO88" i="2"/>
  <c r="BM88" i="2"/>
  <c r="Y88" i="2"/>
  <c r="P88" i="2"/>
  <c r="X85" i="2"/>
  <c r="X84" i="2"/>
  <c r="BO83" i="2"/>
  <c r="BM83" i="2"/>
  <c r="Y83" i="2"/>
  <c r="BN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P72" i="2"/>
  <c r="BO72" i="2"/>
  <c r="BM72" i="2"/>
  <c r="Y72" i="2"/>
  <c r="P72" i="2"/>
  <c r="BO71" i="2"/>
  <c r="BM71" i="2"/>
  <c r="Y71" i="2"/>
  <c r="Z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Z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P60" i="2"/>
  <c r="X57" i="2"/>
  <c r="X56" i="2"/>
  <c r="BO55" i="2"/>
  <c r="BM55" i="2"/>
  <c r="Y55" i="2"/>
  <c r="Z55" i="2" s="1"/>
  <c r="P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X48" i="2"/>
  <c r="X47" i="2"/>
  <c r="BO46" i="2"/>
  <c r="BM46" i="2"/>
  <c r="Y46" i="2"/>
  <c r="Z46" i="2" s="1"/>
  <c r="P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X38" i="2"/>
  <c r="X37" i="2"/>
  <c r="BO36" i="2"/>
  <c r="BM36" i="2"/>
  <c r="Y36" i="2"/>
  <c r="BN36" i="2" s="1"/>
  <c r="P36" i="2"/>
  <c r="X34" i="2"/>
  <c r="X33" i="2"/>
  <c r="BO32" i="2"/>
  <c r="BM32" i="2"/>
  <c r="Y32" i="2"/>
  <c r="BN32" i="2" s="1"/>
  <c r="P32" i="2"/>
  <c r="BO31" i="2"/>
  <c r="BM31" i="2"/>
  <c r="Y31" i="2"/>
  <c r="BN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F10" i="2" s="1"/>
  <c r="D7" i="2"/>
  <c r="Q6" i="2"/>
  <c r="P2" i="2"/>
  <c r="BN43" i="2" l="1"/>
  <c r="BN159" i="2"/>
  <c r="BN182" i="2"/>
  <c r="BN232" i="2"/>
  <c r="BN270" i="2"/>
  <c r="BN320" i="2"/>
  <c r="BN356" i="2"/>
  <c r="BP385" i="2"/>
  <c r="BN453" i="2"/>
  <c r="BN55" i="2"/>
  <c r="Z63" i="2"/>
  <c r="BP189" i="2"/>
  <c r="BN234" i="2"/>
  <c r="BN291" i="2"/>
  <c r="Z293" i="2"/>
  <c r="BN296" i="2"/>
  <c r="BN336" i="2"/>
  <c r="BN357" i="2"/>
  <c r="Z358" i="2"/>
  <c r="Z385" i="2"/>
  <c r="Z419" i="2"/>
  <c r="Z443" i="2"/>
  <c r="BN444" i="2"/>
  <c r="BP491" i="2"/>
  <c r="BP521" i="2"/>
  <c r="BN173" i="2"/>
  <c r="BN224" i="2"/>
  <c r="BN305" i="2"/>
  <c r="Y307" i="2"/>
  <c r="BN400" i="2"/>
  <c r="Y402" i="2"/>
  <c r="Z401" i="2"/>
  <c r="BN485" i="2"/>
  <c r="Z262" i="2"/>
  <c r="BN218" i="2"/>
  <c r="BN276" i="2"/>
  <c r="BN500" i="2"/>
  <c r="Y503" i="2"/>
  <c r="BN498" i="2"/>
  <c r="BP490" i="2"/>
  <c r="Z490" i="2"/>
  <c r="BN480" i="2"/>
  <c r="BN455" i="2"/>
  <c r="Z444" i="2"/>
  <c r="BP443" i="2"/>
  <c r="BN439" i="2"/>
  <c r="Y441" i="2"/>
  <c r="BN435" i="2"/>
  <c r="BN412" i="2"/>
  <c r="BN410" i="2"/>
  <c r="BN399" i="2"/>
  <c r="BN394" i="2"/>
  <c r="BN386" i="2"/>
  <c r="Y383" i="2"/>
  <c r="BN381" i="2"/>
  <c r="Z374" i="2"/>
  <c r="Z354" i="2"/>
  <c r="Z346" i="2"/>
  <c r="BN340" i="2"/>
  <c r="Z327" i="2"/>
  <c r="Z328" i="2" s="1"/>
  <c r="BN325" i="2"/>
  <c r="Y328" i="2"/>
  <c r="Z278" i="2"/>
  <c r="BN277" i="2"/>
  <c r="Z277" i="2"/>
  <c r="Z274" i="2"/>
  <c r="BN266" i="2"/>
  <c r="BN261" i="2"/>
  <c r="BN255" i="2"/>
  <c r="Z254" i="2"/>
  <c r="Z256" i="2" s="1"/>
  <c r="Z239" i="2"/>
  <c r="Z234" i="2"/>
  <c r="Z231" i="2"/>
  <c r="Z225" i="2"/>
  <c r="Z224" i="2"/>
  <c r="BN222" i="2"/>
  <c r="Z221" i="2"/>
  <c r="BN202" i="2"/>
  <c r="Z200" i="2"/>
  <c r="BP188" i="2"/>
  <c r="Y186" i="2"/>
  <c r="BN178" i="2"/>
  <c r="Z176" i="2"/>
  <c r="Z164" i="2"/>
  <c r="Z165" i="2" s="1"/>
  <c r="Y165" i="2"/>
  <c r="Z159" i="2"/>
  <c r="Y131" i="2"/>
  <c r="BN130" i="2"/>
  <c r="BN126" i="2"/>
  <c r="Z119" i="2"/>
  <c r="BN116" i="2"/>
  <c r="Z109" i="2"/>
  <c r="Z107" i="2"/>
  <c r="BN105" i="2"/>
  <c r="Z96" i="2"/>
  <c r="BN90" i="2"/>
  <c r="BN71" i="2"/>
  <c r="BN66" i="2"/>
  <c r="Z65" i="2"/>
  <c r="BN61" i="2"/>
  <c r="Z54" i="2"/>
  <c r="Z52" i="2"/>
  <c r="Z45" i="2"/>
  <c r="BP29" i="2"/>
  <c r="Z29" i="2"/>
  <c r="X538" i="2"/>
  <c r="Z27" i="2"/>
  <c r="X534" i="2"/>
  <c r="X535" i="2"/>
  <c r="Y24" i="2"/>
  <c r="F9" i="2"/>
  <c r="X536" i="2"/>
  <c r="BP31" i="2"/>
  <c r="BP54" i="2"/>
  <c r="Y57" i="2"/>
  <c r="Z95" i="2"/>
  <c r="Y100" i="2"/>
  <c r="BN95" i="2"/>
  <c r="Z106" i="2"/>
  <c r="BN106" i="2"/>
  <c r="BN145" i="2"/>
  <c r="BP145" i="2"/>
  <c r="Y147" i="2"/>
  <c r="BP153" i="2"/>
  <c r="BN153" i="2"/>
  <c r="BP154" i="2"/>
  <c r="Z154" i="2"/>
  <c r="Z217" i="2"/>
  <c r="BN217" i="2"/>
  <c r="BN280" i="2"/>
  <c r="BP280" i="2"/>
  <c r="Z301" i="2"/>
  <c r="Z302" i="2" s="1"/>
  <c r="Y302" i="2"/>
  <c r="BN301" i="2"/>
  <c r="BN332" i="2"/>
  <c r="BP332" i="2"/>
  <c r="Z332" i="2"/>
  <c r="BN341" i="2"/>
  <c r="BP341" i="2"/>
  <c r="Z341" i="2"/>
  <c r="Z380" i="2"/>
  <c r="BN380" i="2"/>
  <c r="Y389" i="2"/>
  <c r="Y430" i="2"/>
  <c r="Y431" i="2"/>
  <c r="BN429" i="2"/>
  <c r="BN456" i="2"/>
  <c r="BP456" i="2"/>
  <c r="Z456" i="2"/>
  <c r="BN497" i="2"/>
  <c r="BP497" i="2"/>
  <c r="BP22" i="2"/>
  <c r="BP27" i="2"/>
  <c r="BN30" i="2"/>
  <c r="BP32" i="2"/>
  <c r="BP36" i="2"/>
  <c r="C544" i="2"/>
  <c r="Z42" i="2"/>
  <c r="BP65" i="2"/>
  <c r="BP91" i="2"/>
  <c r="BN91" i="2"/>
  <c r="Y120" i="2"/>
  <c r="BP113" i="2"/>
  <c r="Z115" i="2"/>
  <c r="BN115" i="2"/>
  <c r="Y121" i="2"/>
  <c r="BP168" i="2"/>
  <c r="BP174" i="2"/>
  <c r="Z174" i="2"/>
  <c r="Z201" i="2"/>
  <c r="BN201" i="2"/>
  <c r="Z265" i="2"/>
  <c r="BN265" i="2"/>
  <c r="Z297" i="2"/>
  <c r="BN297" i="2"/>
  <c r="BP310" i="2"/>
  <c r="BN310" i="2"/>
  <c r="Z310" i="2"/>
  <c r="Y343" i="2"/>
  <c r="Y349" i="2"/>
  <c r="Z347" i="2"/>
  <c r="Z375" i="2"/>
  <c r="BN375" i="2"/>
  <c r="BN409" i="2"/>
  <c r="Z409" i="2"/>
  <c r="BP413" i="2"/>
  <c r="Z413" i="2"/>
  <c r="Y488" i="2"/>
  <c r="BN479" i="2"/>
  <c r="BP499" i="2"/>
  <c r="BN499" i="2"/>
  <c r="BP77" i="2"/>
  <c r="Z77" i="2"/>
  <c r="Z91" i="2"/>
  <c r="BP98" i="2"/>
  <c r="G544" i="2"/>
  <c r="Y111" i="2"/>
  <c r="BP140" i="2"/>
  <c r="Z140" i="2"/>
  <c r="BP151" i="2"/>
  <c r="BN154" i="2"/>
  <c r="Z161" i="2"/>
  <c r="Z168" i="2"/>
  <c r="BP219" i="2"/>
  <c r="Z219" i="2"/>
  <c r="Z271" i="2"/>
  <c r="BN271" i="2"/>
  <c r="Y303" i="2"/>
  <c r="BP367" i="2"/>
  <c r="BN367" i="2"/>
  <c r="Z367" i="2"/>
  <c r="Y436" i="2"/>
  <c r="BN434" i="2"/>
  <c r="X544" i="2"/>
  <c r="BN452" i="2"/>
  <c r="BP452" i="2"/>
  <c r="BN481" i="2"/>
  <c r="BP481" i="2"/>
  <c r="Z481" i="2"/>
  <c r="BN501" i="2"/>
  <c r="BP501" i="2"/>
  <c r="Z501" i="2"/>
  <c r="Y25" i="2"/>
  <c r="Z30" i="2"/>
  <c r="Y33" i="2"/>
  <c r="Z44" i="2"/>
  <c r="BN44" i="2"/>
  <c r="Z62" i="2"/>
  <c r="BN62" i="2"/>
  <c r="Z72" i="2"/>
  <c r="BN72" i="2"/>
  <c r="BN78" i="2"/>
  <c r="BP78" i="2"/>
  <c r="Z89" i="2"/>
  <c r="BN89" i="2"/>
  <c r="BP95" i="2"/>
  <c r="Z98" i="2"/>
  <c r="BP106" i="2"/>
  <c r="BP117" i="2"/>
  <c r="Z117" i="2"/>
  <c r="Z125" i="2"/>
  <c r="BN125" i="2"/>
  <c r="H544" i="2"/>
  <c r="Z135" i="2"/>
  <c r="BP146" i="2"/>
  <c r="I544" i="2"/>
  <c r="BN170" i="2"/>
  <c r="BP170" i="2"/>
  <c r="Z172" i="2"/>
  <c r="BN172" i="2"/>
  <c r="BP203" i="2"/>
  <c r="BN203" i="2"/>
  <c r="Z203" i="2"/>
  <c r="BP217" i="2"/>
  <c r="BN295" i="2"/>
  <c r="Z295" i="2"/>
  <c r="BP301" i="2"/>
  <c r="BP380" i="2"/>
  <c r="BN393" i="2"/>
  <c r="Y396" i="2"/>
  <c r="BP393" i="2"/>
  <c r="Z393" i="2"/>
  <c r="Z411" i="2"/>
  <c r="BN411" i="2"/>
  <c r="BP454" i="2"/>
  <c r="BN454" i="2"/>
  <c r="BN486" i="2"/>
  <c r="BP486" i="2"/>
  <c r="BN45" i="2"/>
  <c r="BP55" i="2"/>
  <c r="BP66" i="2"/>
  <c r="Y74" i="2"/>
  <c r="BP71" i="2"/>
  <c r="BP83" i="2"/>
  <c r="F544" i="2"/>
  <c r="BP88" i="2"/>
  <c r="BP90" i="2"/>
  <c r="Y92" i="2"/>
  <c r="BP105" i="2"/>
  <c r="BP119" i="2"/>
  <c r="BP126" i="2"/>
  <c r="Z142" i="2"/>
  <c r="BP152" i="2"/>
  <c r="BP169" i="2"/>
  <c r="BP176" i="2"/>
  <c r="BN177" i="2"/>
  <c r="BP178" i="2"/>
  <c r="BP182" i="2"/>
  <c r="BN183" i="2"/>
  <c r="BP214" i="2"/>
  <c r="BP221" i="2"/>
  <c r="BP223" i="2"/>
  <c r="BP227" i="2"/>
  <c r="BP231" i="2"/>
  <c r="Y235" i="2"/>
  <c r="BP233" i="2"/>
  <c r="BP250" i="2"/>
  <c r="BP254" i="2"/>
  <c r="Y256" i="2"/>
  <c r="BP260" i="2"/>
  <c r="BP275" i="2"/>
  <c r="BP281" i="2"/>
  <c r="BP285" i="2"/>
  <c r="Y298" i="2"/>
  <c r="BP292" i="2"/>
  <c r="BP319" i="2"/>
  <c r="BP326" i="2"/>
  <c r="BP355" i="2"/>
  <c r="BP365" i="2"/>
  <c r="BP420" i="2"/>
  <c r="Y446" i="2"/>
  <c r="Z544" i="2"/>
  <c r="Y493" i="2"/>
  <c r="Y518" i="2"/>
  <c r="BP43" i="2"/>
  <c r="E544" i="2"/>
  <c r="BP61" i="2"/>
  <c r="Z73" i="2"/>
  <c r="Z88" i="2"/>
  <c r="BP109" i="2"/>
  <c r="BP116" i="2"/>
  <c r="Y128" i="2"/>
  <c r="Z130" i="2"/>
  <c r="Z131" i="2" s="1"/>
  <c r="BP130" i="2"/>
  <c r="Y138" i="2"/>
  <c r="Z152" i="2"/>
  <c r="BP173" i="2"/>
  <c r="Z184" i="2"/>
  <c r="Z185" i="2" s="1"/>
  <c r="Y185" i="2"/>
  <c r="BP200" i="2"/>
  <c r="BP202" i="2"/>
  <c r="BP218" i="2"/>
  <c r="BP264" i="2"/>
  <c r="BP266" i="2"/>
  <c r="BP270" i="2"/>
  <c r="Z281" i="2"/>
  <c r="BP296" i="2"/>
  <c r="Y313" i="2"/>
  <c r="BP309" i="2"/>
  <c r="Y329" i="2"/>
  <c r="Y350" i="2"/>
  <c r="Z357" i="2"/>
  <c r="BP366" i="2"/>
  <c r="Z372" i="2"/>
  <c r="Z376" i="2" s="1"/>
  <c r="BP374" i="2"/>
  <c r="BP381" i="2"/>
  <c r="Z386" i="2"/>
  <c r="Z400" i="2"/>
  <c r="BP410" i="2"/>
  <c r="BP439" i="2"/>
  <c r="Z453" i="2"/>
  <c r="Z455" i="2"/>
  <c r="Z460" i="2"/>
  <c r="Y462" i="2"/>
  <c r="Z478" i="2"/>
  <c r="BP478" i="2"/>
  <c r="Z480" i="2"/>
  <c r="Z498" i="2"/>
  <c r="Z500" i="2"/>
  <c r="BP177" i="2"/>
  <c r="BP183" i="2"/>
  <c r="BP222" i="2"/>
  <c r="BN223" i="2"/>
  <c r="BP232" i="2"/>
  <c r="BN233" i="2"/>
  <c r="Y242" i="2"/>
  <c r="BP238" i="2"/>
  <c r="BP255" i="2"/>
  <c r="Y257" i="2"/>
  <c r="BN260" i="2"/>
  <c r="BP261" i="2"/>
  <c r="Z264" i="2"/>
  <c r="Z272" i="2"/>
  <c r="BP274" i="2"/>
  <c r="BN275" i="2"/>
  <c r="BP276" i="2"/>
  <c r="BN285" i="2"/>
  <c r="Y288" i="2"/>
  <c r="BP286" i="2"/>
  <c r="BP291" i="2"/>
  <c r="BN292" i="2"/>
  <c r="Z311" i="2"/>
  <c r="Y312" i="2"/>
  <c r="Z316" i="2"/>
  <c r="Z321" i="2" s="1"/>
  <c r="BP318" i="2"/>
  <c r="BN319" i="2"/>
  <c r="BP320" i="2"/>
  <c r="BP325" i="2"/>
  <c r="BN326" i="2"/>
  <c r="BP336" i="2"/>
  <c r="BP354" i="2"/>
  <c r="BN355" i="2"/>
  <c r="BP356" i="2"/>
  <c r="Z362" i="2"/>
  <c r="BP364" i="2"/>
  <c r="BN365" i="2"/>
  <c r="Z368" i="2"/>
  <c r="Y395" i="2"/>
  <c r="U544" i="2"/>
  <c r="BP399" i="2"/>
  <c r="Y416" i="2"/>
  <c r="Z412" i="2"/>
  <c r="BP419" i="2"/>
  <c r="BN420" i="2"/>
  <c r="BN425" i="2"/>
  <c r="Y474" i="2"/>
  <c r="Z525" i="2"/>
  <c r="Y527" i="2"/>
  <c r="Y533" i="2"/>
  <c r="Z359" i="2"/>
  <c r="Z421" i="2"/>
  <c r="Z47" i="2"/>
  <c r="Z136" i="2"/>
  <c r="Z53" i="2"/>
  <c r="Z56" i="2" s="1"/>
  <c r="Z175" i="2"/>
  <c r="Y190" i="2"/>
  <c r="Z210" i="2"/>
  <c r="Z211" i="2" s="1"/>
  <c r="Z22" i="2"/>
  <c r="Z32" i="2"/>
  <c r="Y37" i="2"/>
  <c r="BN46" i="2"/>
  <c r="Y84" i="2"/>
  <c r="Y93" i="2"/>
  <c r="Z103" i="2"/>
  <c r="Z113" i="2"/>
  <c r="Z123" i="2"/>
  <c r="BN136" i="2"/>
  <c r="Z146" i="2"/>
  <c r="BN160" i="2"/>
  <c r="Z170" i="2"/>
  <c r="BN204" i="2"/>
  <c r="Z215" i="2"/>
  <c r="BN225" i="2"/>
  <c r="Y228" i="2"/>
  <c r="Y236" i="2"/>
  <c r="Y251" i="2"/>
  <c r="BN278" i="2"/>
  <c r="BN311" i="2"/>
  <c r="Z334" i="2"/>
  <c r="BN347" i="2"/>
  <c r="BN358" i="2"/>
  <c r="BN368" i="2"/>
  <c r="Z388" i="2"/>
  <c r="BN401" i="2"/>
  <c r="BN413" i="2"/>
  <c r="BP425" i="2"/>
  <c r="Y437" i="2"/>
  <c r="BN460" i="2"/>
  <c r="Z471" i="2"/>
  <c r="Z483" i="2"/>
  <c r="BP485" i="2"/>
  <c r="Z517" i="2"/>
  <c r="Y522" i="2"/>
  <c r="J544" i="2"/>
  <c r="Z108" i="2"/>
  <c r="BN53" i="2"/>
  <c r="Y56" i="2"/>
  <c r="BN64" i="2"/>
  <c r="Y67" i="2"/>
  <c r="BN97" i="2"/>
  <c r="BN141" i="2"/>
  <c r="BN199" i="2"/>
  <c r="BN263" i="2"/>
  <c r="BN273" i="2"/>
  <c r="BN294" i="2"/>
  <c r="BN317" i="2"/>
  <c r="BN353" i="2"/>
  <c r="BN363" i="2"/>
  <c r="BN373" i="2"/>
  <c r="Y376" i="2"/>
  <c r="BN408" i="2"/>
  <c r="BN418" i="2"/>
  <c r="Y421" i="2"/>
  <c r="BN466" i="2"/>
  <c r="BN512" i="2"/>
  <c r="K544" i="2"/>
  <c r="BN210" i="2"/>
  <c r="BN220" i="2"/>
  <c r="BP46" i="2"/>
  <c r="Y80" i="2"/>
  <c r="BN103" i="2"/>
  <c r="BP160" i="2"/>
  <c r="Y191" i="2"/>
  <c r="BP204" i="2"/>
  <c r="Z233" i="2"/>
  <c r="Y246" i="2"/>
  <c r="Z286" i="2"/>
  <c r="Z287" i="2" s="1"/>
  <c r="Z309" i="2"/>
  <c r="BN334" i="2"/>
  <c r="Y337" i="2"/>
  <c r="BP347" i="2"/>
  <c r="Z366" i="2"/>
  <c r="BN388" i="2"/>
  <c r="Z399" i="2"/>
  <c r="Y426" i="2"/>
  <c r="Z434" i="2"/>
  <c r="Z436" i="2" s="1"/>
  <c r="Y447" i="2"/>
  <c r="BP460" i="2"/>
  <c r="BN471" i="2"/>
  <c r="BN483" i="2"/>
  <c r="Y494" i="2"/>
  <c r="Y504" i="2"/>
  <c r="BN517" i="2"/>
  <c r="L544" i="2"/>
  <c r="Y79" i="2"/>
  <c r="Y75" i="2"/>
  <c r="BN108" i="2"/>
  <c r="BN118" i="2"/>
  <c r="BN175" i="2"/>
  <c r="BN240" i="2"/>
  <c r="BN22" i="2"/>
  <c r="BN113" i="2"/>
  <c r="BN123" i="2"/>
  <c r="BP136" i="2"/>
  <c r="Y38" i="2"/>
  <c r="BP64" i="2"/>
  <c r="Y85" i="2"/>
  <c r="BP97" i="2"/>
  <c r="BP118" i="2"/>
  <c r="BP141" i="2"/>
  <c r="Y155" i="2"/>
  <c r="BP199" i="2"/>
  <c r="BP210" i="2"/>
  <c r="BP220" i="2"/>
  <c r="Y229" i="2"/>
  <c r="Z238" i="2"/>
  <c r="Z241" i="2" s="1"/>
  <c r="BP240" i="2"/>
  <c r="Y252" i="2"/>
  <c r="BP263" i="2"/>
  <c r="BP273" i="2"/>
  <c r="Z292" i="2"/>
  <c r="BP294" i="2"/>
  <c r="BP317" i="2"/>
  <c r="Y342" i="2"/>
  <c r="BP353" i="2"/>
  <c r="BP363" i="2"/>
  <c r="BP373" i="2"/>
  <c r="BP408" i="2"/>
  <c r="BP418" i="2"/>
  <c r="Z439" i="2"/>
  <c r="Z440" i="2" s="1"/>
  <c r="BP466" i="2"/>
  <c r="Z486" i="2"/>
  <c r="BP512" i="2"/>
  <c r="Y523" i="2"/>
  <c r="M544" i="2"/>
  <c r="Y137" i="2"/>
  <c r="Y161" i="2"/>
  <c r="Y359" i="2"/>
  <c r="Y369" i="2"/>
  <c r="Y377" i="2"/>
  <c r="Y422" i="2"/>
  <c r="BP517" i="2"/>
  <c r="Y528" i="2"/>
  <c r="O544" i="2"/>
  <c r="Y47" i="2"/>
  <c r="Y68" i="2"/>
  <c r="Z82" i="2"/>
  <c r="Y142" i="2"/>
  <c r="Z193" i="2"/>
  <c r="Z194" i="2" s="1"/>
  <c r="Z205" i="2"/>
  <c r="Y211" i="2"/>
  <c r="Z226" i="2"/>
  <c r="Y241" i="2"/>
  <c r="Z249" i="2"/>
  <c r="Z279" i="2"/>
  <c r="Y338" i="2"/>
  <c r="Z348" i="2"/>
  <c r="Z414" i="2"/>
  <c r="Y427" i="2"/>
  <c r="Z451" i="2"/>
  <c r="Z461" i="2"/>
  <c r="Z462" i="2" s="1"/>
  <c r="Y467" i="2"/>
  <c r="Z496" i="2"/>
  <c r="Z508" i="2"/>
  <c r="Z509" i="2" s="1"/>
  <c r="Y513" i="2"/>
  <c r="P544" i="2"/>
  <c r="Q544" i="2"/>
  <c r="Z60" i="2"/>
  <c r="Z67" i="2" s="1"/>
  <c r="BN82" i="2"/>
  <c r="Z104" i="2"/>
  <c r="Z114" i="2"/>
  <c r="BN205" i="2"/>
  <c r="Z216" i="2"/>
  <c r="BN226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Z426" i="2" s="1"/>
  <c r="BN451" i="2"/>
  <c r="BN461" i="2"/>
  <c r="Z472" i="2"/>
  <c r="Z484" i="2"/>
  <c r="BN496" i="2"/>
  <c r="BN508" i="2"/>
  <c r="Z531" i="2"/>
  <c r="Z532" i="2" s="1"/>
  <c r="R544" i="2"/>
  <c r="Z70" i="2"/>
  <c r="Z124" i="2"/>
  <c r="Y162" i="2"/>
  <c r="Z171" i="2"/>
  <c r="BN193" i="2"/>
  <c r="Z28" i="2"/>
  <c r="BN42" i="2"/>
  <c r="BN88" i="2"/>
  <c r="Y143" i="2"/>
  <c r="Z153" i="2"/>
  <c r="Y179" i="2"/>
  <c r="Y267" i="2"/>
  <c r="Y287" i="2"/>
  <c r="Z305" i="2"/>
  <c r="Z306" i="2" s="1"/>
  <c r="Y321" i="2"/>
  <c r="Z340" i="2"/>
  <c r="Z394" i="2"/>
  <c r="Z429" i="2"/>
  <c r="Z430" i="2" s="1"/>
  <c r="Z454" i="2"/>
  <c r="Y468" i="2"/>
  <c r="Z479" i="2"/>
  <c r="Z499" i="2"/>
  <c r="Y514" i="2"/>
  <c r="BN525" i="2"/>
  <c r="S544" i="2"/>
  <c r="Z23" i="2"/>
  <c r="Y48" i="2"/>
  <c r="BN23" i="2"/>
  <c r="Y34" i="2"/>
  <c r="BN60" i="2"/>
  <c r="BN70" i="2"/>
  <c r="BN104" i="2"/>
  <c r="BN114" i="2"/>
  <c r="BN124" i="2"/>
  <c r="Y127" i="2"/>
  <c r="Y148" i="2"/>
  <c r="BN171" i="2"/>
  <c r="BP193" i="2"/>
  <c r="BN216" i="2"/>
  <c r="BN259" i="2"/>
  <c r="BN335" i="2"/>
  <c r="BN379" i="2"/>
  <c r="Y382" i="2"/>
  <c r="Y390" i="2"/>
  <c r="BN424" i="2"/>
  <c r="BP451" i="2"/>
  <c r="BP461" i="2"/>
  <c r="BN472" i="2"/>
  <c r="BN484" i="2"/>
  <c r="Y487" i="2"/>
  <c r="BP496" i="2"/>
  <c r="BP508" i="2"/>
  <c r="Y519" i="2"/>
  <c r="BN531" i="2"/>
  <c r="T544" i="2"/>
  <c r="BN28" i="2"/>
  <c r="Y283" i="2"/>
  <c r="Y457" i="2"/>
  <c r="B544" i="2"/>
  <c r="Z78" i="2"/>
  <c r="Z169" i="2"/>
  <c r="Z244" i="2"/>
  <c r="Z245" i="2" s="1"/>
  <c r="Y268" i="2"/>
  <c r="Y299" i="2"/>
  <c r="Y322" i="2"/>
  <c r="Z333" i="2"/>
  <c r="BP379" i="2"/>
  <c r="Z387" i="2"/>
  <c r="Y415" i="2"/>
  <c r="Z445" i="2"/>
  <c r="Z446" i="2" s="1"/>
  <c r="Z470" i="2"/>
  <c r="Z482" i="2"/>
  <c r="Z492" i="2"/>
  <c r="Z493" i="2" s="1"/>
  <c r="Z502" i="2"/>
  <c r="Y509" i="2"/>
  <c r="Z516" i="2"/>
  <c r="BP531" i="2"/>
  <c r="V544" i="2"/>
  <c r="H9" i="2"/>
  <c r="BP23" i="2"/>
  <c r="Z31" i="2"/>
  <c r="Y194" i="2"/>
  <c r="J9" i="2"/>
  <c r="Z36" i="2"/>
  <c r="Z37" i="2" s="1"/>
  <c r="BN52" i="2"/>
  <c r="BN73" i="2"/>
  <c r="Z83" i="2"/>
  <c r="BN107" i="2"/>
  <c r="BN117" i="2"/>
  <c r="BN184" i="2"/>
  <c r="BN219" i="2"/>
  <c r="BN239" i="2"/>
  <c r="Z250" i="2"/>
  <c r="BN262" i="2"/>
  <c r="BN272" i="2"/>
  <c r="Z280" i="2"/>
  <c r="BN293" i="2"/>
  <c r="BP305" i="2"/>
  <c r="BN316" i="2"/>
  <c r="BN327" i="2"/>
  <c r="BN362" i="2"/>
  <c r="BN372" i="2"/>
  <c r="Z392" i="2"/>
  <c r="BN407" i="2"/>
  <c r="BP429" i="2"/>
  <c r="Z452" i="2"/>
  <c r="BP479" i="2"/>
  <c r="Z497" i="2"/>
  <c r="Z521" i="2"/>
  <c r="Z522" i="2" s="1"/>
  <c r="D544" i="2"/>
  <c r="W544" i="2"/>
  <c r="BP60" i="2"/>
  <c r="BP70" i="2"/>
  <c r="Z145" i="2"/>
  <c r="Z147" i="2" s="1"/>
  <c r="Y180" i="2"/>
  <c r="Z189" i="2"/>
  <c r="Z190" i="2" s="1"/>
  <c r="Y206" i="2"/>
  <c r="Y99" i="2"/>
  <c r="Y110" i="2"/>
  <c r="BN140" i="2"/>
  <c r="Z151" i="2"/>
  <c r="BN164" i="2"/>
  <c r="BP135" i="2"/>
  <c r="BN214" i="2"/>
  <c r="BN244" i="2"/>
  <c r="BN333" i="2"/>
  <c r="BP346" i="2"/>
  <c r="BN387" i="2"/>
  <c r="BN445" i="2"/>
  <c r="Y458" i="2"/>
  <c r="BN470" i="2"/>
  <c r="Y473" i="2"/>
  <c r="BN482" i="2"/>
  <c r="BN492" i="2"/>
  <c r="BN502" i="2"/>
  <c r="BN516" i="2"/>
  <c r="Z526" i="2"/>
  <c r="Z527" i="2" s="1"/>
  <c r="Y532" i="2"/>
  <c r="BN63" i="2"/>
  <c r="BN96" i="2"/>
  <c r="BN174" i="2"/>
  <c r="Z227" i="2"/>
  <c r="A10" i="2"/>
  <c r="BN151" i="2"/>
  <c r="Y207" i="2"/>
  <c r="BN392" i="2"/>
  <c r="BP407" i="2"/>
  <c r="Y544" i="2"/>
  <c r="BP244" i="2"/>
  <c r="BN526" i="2"/>
  <c r="AA544" i="2"/>
  <c r="Z92" i="2" l="1"/>
  <c r="Z179" i="2"/>
  <c r="Z298" i="2"/>
  <c r="Z235" i="2"/>
  <c r="Z137" i="2"/>
  <c r="Z402" i="2"/>
  <c r="Z74" i="2"/>
  <c r="Z382" i="2"/>
  <c r="Z415" i="2"/>
  <c r="Z389" i="2"/>
  <c r="Z369" i="2"/>
  <c r="Z349" i="2"/>
  <c r="Z342" i="2"/>
  <c r="Z337" i="2"/>
  <c r="Z312" i="2"/>
  <c r="Z282" i="2"/>
  <c r="Z267" i="2"/>
  <c r="Z206" i="2"/>
  <c r="Z79" i="2"/>
  <c r="X537" i="2"/>
  <c r="Y538" i="2"/>
  <c r="Y534" i="2"/>
  <c r="Z503" i="2"/>
  <c r="Z84" i="2"/>
  <c r="Z120" i="2"/>
  <c r="Z99" i="2"/>
  <c r="Y536" i="2"/>
  <c r="Z228" i="2"/>
  <c r="Z110" i="2"/>
  <c r="Z33" i="2"/>
  <c r="Z457" i="2"/>
  <c r="Z127" i="2"/>
  <c r="Z487" i="2"/>
  <c r="Z473" i="2"/>
  <c r="Y535" i="2"/>
  <c r="Z251" i="2"/>
  <c r="Z155" i="2"/>
  <c r="Z395" i="2"/>
  <c r="Z518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<sst xmlns="http://schemas.openxmlformats.org/spreadsheetml/2006/main" count="4040" uniqueCount="856">
  <si>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</si>
  <si>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</si>
  <si>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</si>
  <si>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</si>
  <si>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</si>
  <si>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</si>
  <si>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</si>
  <si>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</si>
  <si>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</si>
  <si>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</si>
  <si>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</si>
  <si>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</si>
  <si>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</si>
  <si>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</si>
  <si>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</si>
  <si>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</si>
  <si>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</si>
  <si>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</si>
  <si>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</si>
  <si>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</si>
  <si>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</si>
  <si>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</si>
  <si>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</si>
  <si>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</si>
  <si>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</si>
  <si>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</si>
  <si>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</si>
  <si>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</si>
  <si>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</si>
  <si>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</si>
  <si>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</si>
  <si>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</si>
  <si>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</si>
  <si>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</si>
  <si>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</si>
  <si>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</si>
  <si>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</si>
  <si>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</si>
  <si>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</si>
  <si>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</si>
  <si>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</si>
  <si>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</si>
  <si>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</si>
  <si>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</si>
  <si>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</si>
  <si>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</si>
  <si>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</si>
  <si>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</si>
  <si>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</si>
  <si>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</si>
  <si>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</si>
  <si>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</si>
  <si>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</si>
  <si>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</si>
  <si>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</si>
  <si>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</si>
  <si>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</si>
  <si>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</si>
  <si>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</si>
  <si>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</si>
  <si>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</si>
  <si>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</si>
  <si>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</si>
  <si>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</si>
  <si>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</si>
  <si>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</si>
  <si>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</si>
  <si>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</si>
  <si>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09.07.2026</t>
  </si>
  <si>
    <t>06.07.2026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</si>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</sst>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46215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Воскресенье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87">
        <v>4680115887657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70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87">
        <v>4680115887619</v>
      </c>
      <c r="E32" s="68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70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89"/>
      <c r="R32" s="689"/>
      <c r="S32" s="689"/>
      <c r="T32" s="69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95"/>
      <c r="B34" s="695"/>
      <c r="C34" s="695"/>
      <c r="D34" s="695"/>
      <c r="E34" s="695"/>
      <c r="F34" s="695"/>
      <c r="G34" s="695"/>
      <c r="H34" s="695"/>
      <c r="I34" s="695"/>
      <c r="J34" s="695"/>
      <c r="K34" s="695"/>
      <c r="L34" s="695"/>
      <c r="M34" s="695"/>
      <c r="N34" s="695"/>
      <c r="O34" s="696"/>
      <c r="P34" s="692" t="s">
        <v>40</v>
      </c>
      <c r="Q34" s="693"/>
      <c r="R34" s="693"/>
      <c r="S34" s="693"/>
      <c r="T34" s="693"/>
      <c r="U34" s="693"/>
      <c r="V34" s="69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86" t="s">
        <v>107</v>
      </c>
      <c r="B35" s="686"/>
      <c r="C35" s="686"/>
      <c r="D35" s="686"/>
      <c r="E35" s="686"/>
      <c r="F35" s="686"/>
      <c r="G35" s="686"/>
      <c r="H35" s="686"/>
      <c r="I35" s="686"/>
      <c r="J35" s="686"/>
      <c r="K35" s="686"/>
      <c r="L35" s="686"/>
      <c r="M35" s="686"/>
      <c r="N35" s="686"/>
      <c r="O35" s="686"/>
      <c r="P35" s="686"/>
      <c r="Q35" s="686"/>
      <c r="R35" s="686"/>
      <c r="S35" s="686"/>
      <c r="T35" s="686"/>
      <c r="U35" s="686"/>
      <c r="V35" s="686"/>
      <c r="W35" s="686"/>
      <c r="X35" s="686"/>
      <c r="Y35" s="686"/>
      <c r="Z35" s="686"/>
      <c r="AA35" s="66"/>
      <c r="AB35" s="66"/>
      <c r="AC35" s="80"/>
    </row>
    <row r="36" spans="1:68" ht="27" hidden="1" customHeight="1" x14ac:dyDescent="0.25">
      <c r="A36" s="63" t="s">
        <v>108</v>
      </c>
      <c r="B36" s="63" t="s">
        <v>109</v>
      </c>
      <c r="C36" s="36">
        <v>4301032013</v>
      </c>
      <c r="D36" s="687">
        <v>4607091388503</v>
      </c>
      <c r="E36" s="68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7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89"/>
      <c r="R36" s="689"/>
      <c r="S36" s="689"/>
      <c r="T36" s="690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39</v>
      </c>
      <c r="X37" s="43">
        <f>IFERROR(X36/H36,"0")</f>
        <v>0</v>
      </c>
      <c r="Y37" s="43">
        <f>IFERROR(Y36/H36,"0")</f>
        <v>0</v>
      </c>
      <c r="Z37" s="43">
        <f>IFERROR(IF(Z36="",0,Z36),"0")</f>
        <v>0</v>
      </c>
      <c r="AA37" s="67"/>
      <c r="AB37" s="67"/>
      <c r="AC37" s="67"/>
    </row>
    <row r="38" spans="1:68" hidden="1" x14ac:dyDescent="0.2">
      <c r="A38" s="695"/>
      <c r="B38" s="695"/>
      <c r="C38" s="695"/>
      <c r="D38" s="695"/>
      <c r="E38" s="695"/>
      <c r="F38" s="695"/>
      <c r="G38" s="695"/>
      <c r="H38" s="695"/>
      <c r="I38" s="695"/>
      <c r="J38" s="695"/>
      <c r="K38" s="695"/>
      <c r="L38" s="695"/>
      <c r="M38" s="695"/>
      <c r="N38" s="695"/>
      <c r="O38" s="696"/>
      <c r="P38" s="692" t="s">
        <v>40</v>
      </c>
      <c r="Q38" s="693"/>
      <c r="R38" s="693"/>
      <c r="S38" s="693"/>
      <c r="T38" s="693"/>
      <c r="U38" s="693"/>
      <c r="V38" s="694"/>
      <c r="W38" s="42" t="s">
        <v>0</v>
      </c>
      <c r="X38" s="43">
        <f>IFERROR(SUM(X36:X36),"0")</f>
        <v>0</v>
      </c>
      <c r="Y38" s="43">
        <f>IFERROR(SUM(Y36:Y36),"0")</f>
        <v>0</v>
      </c>
      <c r="Z38" s="42"/>
      <c r="AA38" s="67"/>
      <c r="AB38" s="67"/>
      <c r="AC38" s="67"/>
    </row>
    <row r="39" spans="1:68" ht="27.75" hidden="1" customHeight="1" x14ac:dyDescent="0.2">
      <c r="A39" s="684" t="s">
        <v>45</v>
      </c>
      <c r="B39" s="684"/>
      <c r="C39" s="684"/>
      <c r="D39" s="684"/>
      <c r="E39" s="684"/>
      <c r="F39" s="684"/>
      <c r="G39" s="684"/>
      <c r="H39" s="684"/>
      <c r="I39" s="684"/>
      <c r="J39" s="684"/>
      <c r="K39" s="684"/>
      <c r="L39" s="684"/>
      <c r="M39" s="684"/>
      <c r="N39" s="684"/>
      <c r="O39" s="684"/>
      <c r="P39" s="684"/>
      <c r="Q39" s="684"/>
      <c r="R39" s="684"/>
      <c r="S39" s="684"/>
      <c r="T39" s="684"/>
      <c r="U39" s="684"/>
      <c r="V39" s="684"/>
      <c r="W39" s="684"/>
      <c r="X39" s="684"/>
      <c r="Y39" s="684"/>
      <c r="Z39" s="684"/>
      <c r="AA39" s="54"/>
      <c r="AB39" s="54"/>
      <c r="AC39" s="54"/>
    </row>
    <row r="40" spans="1:68" ht="16.5" hidden="1" customHeight="1" x14ac:dyDescent="0.25">
      <c r="A40" s="685" t="s">
        <v>113</v>
      </c>
      <c r="B40" s="685"/>
      <c r="C40" s="685"/>
      <c r="D40" s="685"/>
      <c r="E40" s="685"/>
      <c r="F40" s="685"/>
      <c r="G40" s="685"/>
      <c r="H40" s="685"/>
      <c r="I40" s="685"/>
      <c r="J40" s="685"/>
      <c r="K40" s="685"/>
      <c r="L40" s="685"/>
      <c r="M40" s="685"/>
      <c r="N40" s="685"/>
      <c r="O40" s="685"/>
      <c r="P40" s="685"/>
      <c r="Q40" s="685"/>
      <c r="R40" s="685"/>
      <c r="S40" s="685"/>
      <c r="T40" s="685"/>
      <c r="U40" s="685"/>
      <c r="V40" s="685"/>
      <c r="W40" s="685"/>
      <c r="X40" s="685"/>
      <c r="Y40" s="685"/>
      <c r="Z40" s="685"/>
      <c r="AA40" s="65"/>
      <c r="AB40" s="65"/>
      <c r="AC40" s="79"/>
    </row>
    <row r="41" spans="1:68" ht="14.25" hidden="1" customHeight="1" x14ac:dyDescent="0.25">
      <c r="A41" s="686" t="s">
        <v>86</v>
      </c>
      <c r="B41" s="686"/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86"/>
      <c r="W41" s="686"/>
      <c r="X41" s="686"/>
      <c r="Y41" s="686"/>
      <c r="Z41" s="686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4301052187</v>
      </c>
      <c r="D42" s="687">
        <v>4680115889354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97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117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4301052198</v>
      </c>
      <c r="D43" s="687">
        <v>4680115888463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4301052202</v>
      </c>
      <c r="D44" s="687">
        <v>4680115888494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4301052184</v>
      </c>
      <c r="D45" s="687">
        <v>4680115888272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hidden="1" customHeight="1" x14ac:dyDescent="0.25">
      <c r="A46" s="63" t="s">
        <v>127</v>
      </c>
      <c r="B46" s="63" t="s">
        <v>128</v>
      </c>
      <c r="C46" s="36">
        <v>4301052188</v>
      </c>
      <c r="D46" s="687">
        <v>4680115888364</v>
      </c>
      <c r="E46" s="687"/>
      <c r="F46" s="62">
        <v>0.32</v>
      </c>
      <c r="G46" s="37">
        <v>6</v>
      </c>
      <c r="H46" s="62">
        <v>1.92</v>
      </c>
      <c r="I46" s="62">
        <v>2.1</v>
      </c>
      <c r="J46" s="37">
        <v>182</v>
      </c>
      <c r="K46" s="37" t="s">
        <v>91</v>
      </c>
      <c r="L46" s="37" t="s">
        <v>46</v>
      </c>
      <c r="M46" s="38" t="s">
        <v>90</v>
      </c>
      <c r="N46" s="38"/>
      <c r="O46" s="37">
        <v>40</v>
      </c>
      <c r="P46" s="70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6" s="689"/>
      <c r="R46" s="689"/>
      <c r="S46" s="689"/>
      <c r="T46" s="690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46</v>
      </c>
      <c r="AB46" s="69" t="s">
        <v>46</v>
      </c>
      <c r="AC46" s="112" t="s">
        <v>129</v>
      </c>
      <c r="AG46" s="78"/>
      <c r="AJ46" s="84" t="s">
        <v>46</v>
      </c>
      <c r="AK46" s="84">
        <v>0</v>
      </c>
      <c r="BB46" s="113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39</v>
      </c>
      <c r="X47" s="43">
        <f>IFERROR(X42/H42,"0")+IFERROR(X43/H43,"0")+IFERROR(X44/H44,"0")+IFERROR(X45/H45,"0")+IFERROR(X46/H46,"0")</f>
        <v>0</v>
      </c>
      <c r="Y47" s="43">
        <f>IFERROR(Y42/H42,"0")+IFERROR(Y43/H43,"0")+IFERROR(Y44/H44,"0")+IFERROR(Y45/H45,"0")+IFERROR(Y46/H46,"0")</f>
        <v>0</v>
      </c>
      <c r="Z47" s="43">
        <f>IFERROR(IF(Z42="",0,Z42),"0")+IFERROR(IF(Z43="",0,Z43),"0")+IFERROR(IF(Z44="",0,Z44),"0")+IFERROR(IF(Z45="",0,Z45),"0")+IFERROR(IF(Z46="",0,Z46),"0")</f>
        <v>0</v>
      </c>
      <c r="AA47" s="67"/>
      <c r="AB47" s="67"/>
      <c r="AC47" s="67"/>
    </row>
    <row r="48" spans="1:68" hidden="1" x14ac:dyDescent="0.2">
      <c r="A48" s="695"/>
      <c r="B48" s="695"/>
      <c r="C48" s="695"/>
      <c r="D48" s="695"/>
      <c r="E48" s="695"/>
      <c r="F48" s="695"/>
      <c r="G48" s="695"/>
      <c r="H48" s="695"/>
      <c r="I48" s="695"/>
      <c r="J48" s="695"/>
      <c r="K48" s="695"/>
      <c r="L48" s="695"/>
      <c r="M48" s="695"/>
      <c r="N48" s="695"/>
      <c r="O48" s="696"/>
      <c r="P48" s="692" t="s">
        <v>40</v>
      </c>
      <c r="Q48" s="693"/>
      <c r="R48" s="693"/>
      <c r="S48" s="693"/>
      <c r="T48" s="693"/>
      <c r="U48" s="693"/>
      <c r="V48" s="694"/>
      <c r="W48" s="42" t="s">
        <v>0</v>
      </c>
      <c r="X48" s="43">
        <f>IFERROR(SUM(X42:X46),"0")</f>
        <v>0</v>
      </c>
      <c r="Y48" s="43">
        <f>IFERROR(SUM(Y42:Y46),"0")</f>
        <v>0</v>
      </c>
      <c r="Z48" s="42"/>
      <c r="AA48" s="67"/>
      <c r="AB48" s="67"/>
      <c r="AC48" s="67"/>
    </row>
    <row r="49" spans="1:68" ht="27.75" hidden="1" customHeight="1" x14ac:dyDescent="0.2">
      <c r="A49" s="684" t="s">
        <v>130</v>
      </c>
      <c r="B49" s="684"/>
      <c r="C49" s="684"/>
      <c r="D49" s="684"/>
      <c r="E49" s="684"/>
      <c r="F49" s="684"/>
      <c r="G49" s="684"/>
      <c r="H49" s="684"/>
      <c r="I49" s="684"/>
      <c r="J49" s="684"/>
      <c r="K49" s="684"/>
      <c r="L49" s="684"/>
      <c r="M49" s="684"/>
      <c r="N49" s="684"/>
      <c r="O49" s="684"/>
      <c r="P49" s="684"/>
      <c r="Q49" s="684"/>
      <c r="R49" s="684"/>
      <c r="S49" s="684"/>
      <c r="T49" s="684"/>
      <c r="U49" s="684"/>
      <c r="V49" s="684"/>
      <c r="W49" s="684"/>
      <c r="X49" s="684"/>
      <c r="Y49" s="684"/>
      <c r="Z49" s="684"/>
      <c r="AA49" s="54"/>
      <c r="AB49" s="54"/>
      <c r="AC49" s="54"/>
    </row>
    <row r="50" spans="1:68" ht="16.5" hidden="1" customHeight="1" x14ac:dyDescent="0.25">
      <c r="A50" s="685" t="s">
        <v>131</v>
      </c>
      <c r="B50" s="685"/>
      <c r="C50" s="685"/>
      <c r="D50" s="685"/>
      <c r="E50" s="685"/>
      <c r="F50" s="685"/>
      <c r="G50" s="685"/>
      <c r="H50" s="685"/>
      <c r="I50" s="685"/>
      <c r="J50" s="685"/>
      <c r="K50" s="685"/>
      <c r="L50" s="685"/>
      <c r="M50" s="685"/>
      <c r="N50" s="685"/>
      <c r="O50" s="685"/>
      <c r="P50" s="685"/>
      <c r="Q50" s="685"/>
      <c r="R50" s="685"/>
      <c r="S50" s="685"/>
      <c r="T50" s="685"/>
      <c r="U50" s="685"/>
      <c r="V50" s="685"/>
      <c r="W50" s="685"/>
      <c r="X50" s="685"/>
      <c r="Y50" s="685"/>
      <c r="Z50" s="685"/>
      <c r="AA50" s="65"/>
      <c r="AB50" s="65"/>
      <c r="AC50" s="79"/>
    </row>
    <row r="51" spans="1:68" ht="14.25" hidden="1" customHeight="1" x14ac:dyDescent="0.25">
      <c r="A51" s="686" t="s">
        <v>132</v>
      </c>
      <c r="B51" s="686"/>
      <c r="C51" s="686"/>
      <c r="D51" s="686"/>
      <c r="E51" s="686"/>
      <c r="F51" s="686"/>
      <c r="G51" s="686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86"/>
      <c r="W51" s="686"/>
      <c r="X51" s="686"/>
      <c r="Y51" s="686"/>
      <c r="Z51" s="686"/>
      <c r="AA51" s="66"/>
      <c r="AB51" s="66"/>
      <c r="AC51" s="80"/>
    </row>
    <row r="52" spans="1:68" ht="16.5" hidden="1" customHeight="1" x14ac:dyDescent="0.25">
      <c r="A52" s="63" t="s">
        <v>133</v>
      </c>
      <c r="B52" s="63" t="s">
        <v>134</v>
      </c>
      <c r="C52" s="36">
        <v>4301011380</v>
      </c>
      <c r="D52" s="687">
        <v>4607091385670</v>
      </c>
      <c r="E52" s="687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137</v>
      </c>
      <c r="L52" s="37" t="s">
        <v>46</v>
      </c>
      <c r="M52" s="38" t="s">
        <v>136</v>
      </c>
      <c r="N52" s="38"/>
      <c r="O52" s="37">
        <v>50</v>
      </c>
      <c r="P52" s="7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IFERROR(IF(Y52=0,"",ROUNDUP(Y52/H52,0)*0.01898),"")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4301012053</v>
      </c>
      <c r="D53" s="687">
        <v>4680115887725</v>
      </c>
      <c r="E53" s="687"/>
      <c r="F53" s="62">
        <v>0.11</v>
      </c>
      <c r="G53" s="37">
        <v>10</v>
      </c>
      <c r="H53" s="62">
        <v>1.1000000000000001</v>
      </c>
      <c r="I53" s="62">
        <v>1.31</v>
      </c>
      <c r="J53" s="37">
        <v>192</v>
      </c>
      <c r="K53" s="37" t="s">
        <v>141</v>
      </c>
      <c r="L53" s="37" t="s">
        <v>46</v>
      </c>
      <c r="M53" s="38" t="s">
        <v>81</v>
      </c>
      <c r="N53" s="38"/>
      <c r="O53" s="37">
        <v>30</v>
      </c>
      <c r="P53" s="71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IFERROR(IF(Y53=0,"",ROUNDUP(Y53/H53,0)*0.00726),"")</f>
        <v/>
      </c>
      <c r="AA53" s="68" t="s">
        <v>46</v>
      </c>
      <c r="AB53" s="69" t="s">
        <v>46</v>
      </c>
      <c r="AC53" s="116" t="s">
        <v>140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4301011382</v>
      </c>
      <c r="D54" s="687">
        <v>4607091385687</v>
      </c>
      <c r="E54" s="687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144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320</v>
      </c>
      <c r="Y54" s="55">
        <f>IFERROR(IF(X54="",0,CEILING((X54/$H54),1)*$H54),"")</f>
        <v>320</v>
      </c>
      <c r="Z54" s="41">
        <f>IFERROR(IF(Y54=0,"",ROUNDUP(Y54/H54,0)*0.00902),"")</f>
        <v>0.72160000000000002</v>
      </c>
      <c r="AA54" s="68" t="s">
        <v>46</v>
      </c>
      <c r="AB54" s="69" t="s">
        <v>46</v>
      </c>
      <c r="AC54" s="118" t="s">
        <v>135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335.20000000000005</v>
      </c>
      <c r="BN54" s="78">
        <f>IFERROR(Y54*I54/H54,"0")</f>
        <v>335.20000000000005</v>
      </c>
      <c r="BO54" s="78">
        <f>IFERROR(1/J54*(X54/H54),"0")</f>
        <v>0.60606060606060608</v>
      </c>
      <c r="BP54" s="78">
        <f>IFERROR(1/J54*(Y54/H54),"0")</f>
        <v>0.60606060606060608</v>
      </c>
    </row>
    <row r="55" spans="1:68" ht="27" hidden="1" customHeight="1" x14ac:dyDescent="0.25">
      <c r="A55" s="63" t="s">
        <v>145</v>
      </c>
      <c r="B55" s="63" t="s">
        <v>146</v>
      </c>
      <c r="C55" s="36">
        <v>4301011565</v>
      </c>
      <c r="D55" s="687">
        <v>4680115882539</v>
      </c>
      <c r="E55" s="687"/>
      <c r="F55" s="62">
        <v>0.37</v>
      </c>
      <c r="G55" s="37">
        <v>10</v>
      </c>
      <c r="H55" s="62">
        <v>3.7</v>
      </c>
      <c r="I55" s="62">
        <v>3.89</v>
      </c>
      <c r="J55" s="37">
        <v>132</v>
      </c>
      <c r="K55" s="37" t="s">
        <v>144</v>
      </c>
      <c r="L55" s="37" t="s">
        <v>46</v>
      </c>
      <c r="M55" s="38" t="s">
        <v>90</v>
      </c>
      <c r="N55" s="38"/>
      <c r="O55" s="37">
        <v>50</v>
      </c>
      <c r="P55" s="71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5" s="689"/>
      <c r="R55" s="689"/>
      <c r="S55" s="689"/>
      <c r="T55" s="690"/>
      <c r="U55" s="39" t="s">
        <v>46</v>
      </c>
      <c r="V55" s="39" t="s">
        <v>46</v>
      </c>
      <c r="W55" s="40" t="s">
        <v>0</v>
      </c>
      <c r="X55" s="58">
        <v>0</v>
      </c>
      <c r="Y55" s="55">
        <f>IFERROR(IF(X55="",0,CEILING((X55/$H55),1)*$H55),"")</f>
        <v>0</v>
      </c>
      <c r="Z55" s="41" t="str">
        <f>IFERROR(IF(Y55=0,"",ROUNDUP(Y55/H55,0)*0.00902),"")</f>
        <v/>
      </c>
      <c r="AA55" s="68" t="s">
        <v>46</v>
      </c>
      <c r="AB55" s="69" t="s">
        <v>46</v>
      </c>
      <c r="AC55" s="120" t="s">
        <v>135</v>
      </c>
      <c r="AG55" s="78"/>
      <c r="AJ55" s="84" t="s">
        <v>46</v>
      </c>
      <c r="AK55" s="84">
        <v>0</v>
      </c>
      <c r="BB55" s="121" t="s">
        <v>67</v>
      </c>
      <c r="BM55" s="78">
        <f>IFERROR(X55*I55/H55,"0")</f>
        <v>0</v>
      </c>
      <c r="BN55" s="78">
        <f>IFERROR(Y55*I55/H55,"0")</f>
        <v>0</v>
      </c>
      <c r="BO55" s="78">
        <f>IFERROR(1/J55*(X55/H55),"0")</f>
        <v>0</v>
      </c>
      <c r="BP55" s="78">
        <f>IFERROR(1/J55*(Y55/H55),"0")</f>
        <v>0</v>
      </c>
    </row>
    <row r="56" spans="1:68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39</v>
      </c>
      <c r="X56" s="43">
        <f>IFERROR(X52/H52,"0")+IFERROR(X53/H53,"0")+IFERROR(X54/H54,"0")+IFERROR(X55/H55,"0")</f>
        <v>80</v>
      </c>
      <c r="Y56" s="43">
        <f>IFERROR(Y52/H52,"0")+IFERROR(Y53/H53,"0")+IFERROR(Y54/H54,"0")+IFERROR(Y55/H55,"0")</f>
        <v>80</v>
      </c>
      <c r="Z56" s="43">
        <f>IFERROR(IF(Z52="",0,Z52),"0")+IFERROR(IF(Z53="",0,Z53),"0")+IFERROR(IF(Z54="",0,Z54),"0")+IFERROR(IF(Z55="",0,Z55),"0")</f>
        <v>0.72160000000000002</v>
      </c>
      <c r="AA56" s="67"/>
      <c r="AB56" s="67"/>
      <c r="AC56" s="67"/>
    </row>
    <row r="57" spans="1:68" x14ac:dyDescent="0.2">
      <c r="A57" s="695"/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6"/>
      <c r="P57" s="692" t="s">
        <v>40</v>
      </c>
      <c r="Q57" s="693"/>
      <c r="R57" s="693"/>
      <c r="S57" s="693"/>
      <c r="T57" s="693"/>
      <c r="U57" s="693"/>
      <c r="V57" s="694"/>
      <c r="W57" s="42" t="s">
        <v>0</v>
      </c>
      <c r="X57" s="43">
        <f>IFERROR(SUM(X52:X55),"0")</f>
        <v>320</v>
      </c>
      <c r="Y57" s="43">
        <f>IFERROR(SUM(Y52:Y55),"0")</f>
        <v>320</v>
      </c>
      <c r="Z57" s="42"/>
      <c r="AA57" s="67"/>
      <c r="AB57" s="67"/>
      <c r="AC57" s="67"/>
    </row>
    <row r="58" spans="1:68" ht="16.5" hidden="1" customHeight="1" x14ac:dyDescent="0.25">
      <c r="A58" s="685" t="s">
        <v>147</v>
      </c>
      <c r="B58" s="685"/>
      <c r="C58" s="685"/>
      <c r="D58" s="685"/>
      <c r="E58" s="685"/>
      <c r="F58" s="685"/>
      <c r="G58" s="685"/>
      <c r="H58" s="685"/>
      <c r="I58" s="685"/>
      <c r="J58" s="685"/>
      <c r="K58" s="685"/>
      <c r="L58" s="685"/>
      <c r="M58" s="685"/>
      <c r="N58" s="685"/>
      <c r="O58" s="685"/>
      <c r="P58" s="685"/>
      <c r="Q58" s="685"/>
      <c r="R58" s="685"/>
      <c r="S58" s="685"/>
      <c r="T58" s="685"/>
      <c r="U58" s="685"/>
      <c r="V58" s="685"/>
      <c r="W58" s="685"/>
      <c r="X58" s="685"/>
      <c r="Y58" s="685"/>
      <c r="Z58" s="685"/>
      <c r="AA58" s="65"/>
      <c r="AB58" s="65"/>
      <c r="AC58" s="79"/>
    </row>
    <row r="59" spans="1:68" ht="14.25" hidden="1" customHeight="1" x14ac:dyDescent="0.25">
      <c r="A59" s="686" t="s">
        <v>132</v>
      </c>
      <c r="B59" s="686"/>
      <c r="C59" s="686"/>
      <c r="D59" s="686"/>
      <c r="E59" s="686"/>
      <c r="F59" s="686"/>
      <c r="G59" s="686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86"/>
      <c r="W59" s="686"/>
      <c r="X59" s="686"/>
      <c r="Y59" s="686"/>
      <c r="Z59" s="686"/>
      <c r="AA59" s="66"/>
      <c r="AB59" s="66"/>
      <c r="AC59" s="80"/>
    </row>
    <row r="60" spans="1:68" ht="27" hidden="1" customHeight="1" x14ac:dyDescent="0.25">
      <c r="A60" s="63" t="s">
        <v>148</v>
      </c>
      <c r="B60" s="63" t="s">
        <v>149</v>
      </c>
      <c r="C60" s="36">
        <v>4301012030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137</v>
      </c>
      <c r="L60" s="37" t="s">
        <v>46</v>
      </c>
      <c r="M60" s="38" t="s">
        <v>90</v>
      </c>
      <c r="N60" s="38"/>
      <c r="O60" s="37">
        <v>50</v>
      </c>
      <c r="P60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ref="Y60:Y66" si="6">IFERROR(IF(X60="",0,CEILING((X60/$H60),1)*$H60),"")</f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150</v>
      </c>
      <c r="AG60" s="78"/>
      <c r="AJ60" s="84" t="s">
        <v>46</v>
      </c>
      <c r="AK60" s="84">
        <v>0</v>
      </c>
      <c r="BB60" s="123" t="s">
        <v>67</v>
      </c>
      <c r="BM60" s="78">
        <f t="shared" ref="BM60:BM66" si="7">IFERROR(X60*I60/H60,"0")</f>
        <v>0</v>
      </c>
      <c r="BN60" s="78">
        <f t="shared" ref="BN60:BN66" si="8">IFERROR(Y60*I60/H60,"0")</f>
        <v>0</v>
      </c>
      <c r="BO60" s="78">
        <f t="shared" ref="BO60:BO66" si="9">IFERROR(1/J60*(X60/H60),"0")</f>
        <v>0</v>
      </c>
      <c r="BP60" s="78">
        <f t="shared" ref="BP60:BP66" si="10">IFERROR(1/J60*(Y60/H60),"0")</f>
        <v>0</v>
      </c>
    </row>
    <row r="61" spans="1:68" ht="27" hidden="1" customHeight="1" x14ac:dyDescent="0.25">
      <c r="A61" s="63" t="s">
        <v>148</v>
      </c>
      <c r="B61" s="63" t="s">
        <v>151</v>
      </c>
      <c r="C61" s="36">
        <v>4301012161</v>
      </c>
      <c r="D61" s="687">
        <v>4680115885882</v>
      </c>
      <c r="E61" s="687"/>
      <c r="F61" s="62">
        <v>1.4</v>
      </c>
      <c r="G61" s="37">
        <v>8</v>
      </c>
      <c r="H61" s="62">
        <v>11.2</v>
      </c>
      <c r="I61" s="62">
        <v>11.61</v>
      </c>
      <c r="J61" s="37">
        <v>64</v>
      </c>
      <c r="K61" s="37" t="s">
        <v>137</v>
      </c>
      <c r="L61" s="37" t="s">
        <v>46</v>
      </c>
      <c r="M61" s="38" t="s">
        <v>136</v>
      </c>
      <c r="N61" s="38"/>
      <c r="O61" s="37">
        <v>50</v>
      </c>
      <c r="P61" s="7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4301011816</v>
      </c>
      <c r="D62" s="687">
        <v>4680115881426</v>
      </c>
      <c r="E62" s="687"/>
      <c r="F62" s="62">
        <v>1.35</v>
      </c>
      <c r="G62" s="37">
        <v>8</v>
      </c>
      <c r="H62" s="62">
        <v>10.8</v>
      </c>
      <c r="I62" s="62">
        <v>11.21</v>
      </c>
      <c r="J62" s="37">
        <v>64</v>
      </c>
      <c r="K62" s="37" t="s">
        <v>137</v>
      </c>
      <c r="L62" s="37" t="s">
        <v>46</v>
      </c>
      <c r="M62" s="38" t="s">
        <v>136</v>
      </c>
      <c r="N62" s="38"/>
      <c r="O62" s="37">
        <v>50</v>
      </c>
      <c r="P62" s="7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100</v>
      </c>
      <c r="Y62" s="55">
        <f t="shared" si="6"/>
        <v>108</v>
      </c>
      <c r="Z62" s="41">
        <f>IFERROR(IF(Y62=0,"",ROUNDUP(Y62/H62,0)*0.01898),"")</f>
        <v>0.1898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103.79629629629629</v>
      </c>
      <c r="BN62" s="78">
        <f t="shared" si="8"/>
        <v>112.1</v>
      </c>
      <c r="BO62" s="78">
        <f t="shared" si="9"/>
        <v>0.14467592592592593</v>
      </c>
      <c r="BP62" s="78">
        <f t="shared" si="10"/>
        <v>0.15625</v>
      </c>
    </row>
    <row r="63" spans="1:68" ht="27" hidden="1" customHeight="1" x14ac:dyDescent="0.25">
      <c r="A63" s="63" t="s">
        <v>156</v>
      </c>
      <c r="B63" s="63" t="s">
        <v>157</v>
      </c>
      <c r="C63" s="36">
        <v>4301011386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144</v>
      </c>
      <c r="L63" s="37" t="s">
        <v>46</v>
      </c>
      <c r="M63" s="38" t="s">
        <v>136</v>
      </c>
      <c r="N63" s="38"/>
      <c r="O63" s="37">
        <v>45</v>
      </c>
      <c r="P63" s="71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689"/>
      <c r="R63" s="689"/>
      <c r="S63" s="689"/>
      <c r="T63" s="69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158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159</v>
      </c>
      <c r="B64" s="63" t="s">
        <v>160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144</v>
      </c>
      <c r="L64" s="37" t="s">
        <v>46</v>
      </c>
      <c r="M64" s="38" t="s">
        <v>136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136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ht="37.5" customHeight="1" x14ac:dyDescent="0.25">
      <c r="A66" s="63" t="s">
        <v>164</v>
      </c>
      <c r="B66" s="63" t="s">
        <v>165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144</v>
      </c>
      <c r="L66" s="37" t="s">
        <v>46</v>
      </c>
      <c r="M66" s="38" t="s">
        <v>136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405</v>
      </c>
      <c r="Y66" s="55">
        <f t="shared" si="6"/>
        <v>405</v>
      </c>
      <c r="Z66" s="41">
        <f>IFERROR(IF(Y66=0,"",ROUNDUP(Y66/H66,0)*0.00902),"")</f>
        <v>0.81180000000000008</v>
      </c>
      <c r="AA66" s="68" t="s">
        <v>46</v>
      </c>
      <c r="AB66" s="69" t="s">
        <v>46</v>
      </c>
      <c r="AC66" s="134" t="s">
        <v>166</v>
      </c>
      <c r="AG66" s="78"/>
      <c r="AJ66" s="84" t="s">
        <v>46</v>
      </c>
      <c r="AK66" s="84">
        <v>0</v>
      </c>
      <c r="BB66" s="135" t="s">
        <v>67</v>
      </c>
      <c r="BM66" s="78">
        <f t="shared" si="7"/>
        <v>422.1</v>
      </c>
      <c r="BN66" s="78">
        <f t="shared" si="8"/>
        <v>422.1</v>
      </c>
      <c r="BO66" s="78">
        <f t="shared" si="9"/>
        <v>0.68181818181818188</v>
      </c>
      <c r="BP66" s="78">
        <f t="shared" si="10"/>
        <v>0.68181818181818188</v>
      </c>
    </row>
    <row r="67" spans="1:68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IFERROR(X60/H60,"0")+IFERROR(X61/H61,"0")+IFERROR(X62/H62,"0")+IFERROR(X63/H63,"0")+IFERROR(X64/H64,"0")+IFERROR(X65/H65,"0")+IFERROR(X66/H66,"0")</f>
        <v>99.259259259259267</v>
      </c>
      <c r="Y67" s="43">
        <f>IFERROR(Y60/H60,"0")+IFERROR(Y61/H61,"0")+IFERROR(Y62/H62,"0")+IFERROR(Y63/H63,"0")+IFERROR(Y64/H64,"0")+IFERROR(Y65/H65,"0")+IFERROR(Y66/H66,"0")</f>
        <v>100</v>
      </c>
      <c r="Z67" s="43">
        <f>IFERROR(IF(Z60="",0,Z60),"0")+IFERROR(IF(Z61="",0,Z61),"0")+IFERROR(IF(Z62="",0,Z62),"0")+IFERROR(IF(Z63="",0,Z63),"0")+IFERROR(IF(Z64="",0,Z64),"0")+IFERROR(IF(Z65="",0,Z65),"0")+IFERROR(IF(Z66="",0,Z66),"0")</f>
        <v>1.0016</v>
      </c>
      <c r="AA67" s="67"/>
      <c r="AB67" s="67"/>
      <c r="AC67" s="67"/>
    </row>
    <row r="68" spans="1:68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IFERROR(SUM(X60:X66),"0")</f>
        <v>505</v>
      </c>
      <c r="Y68" s="43">
        <f>IFERROR(SUM(Y60:Y66),"0")</f>
        <v>513</v>
      </c>
      <c r="Z68" s="42"/>
      <c r="AA68" s="67"/>
      <c r="AB68" s="67"/>
      <c r="AC68" s="67"/>
    </row>
    <row r="69" spans="1:68" ht="14.25" hidden="1" customHeight="1" x14ac:dyDescent="0.25">
      <c r="A69" s="686" t="s">
        <v>167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customHeight="1" x14ac:dyDescent="0.25">
      <c r="A70" s="63" t="s">
        <v>168</v>
      </c>
      <c r="B70" s="63" t="s">
        <v>169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137</v>
      </c>
      <c r="L70" s="37" t="s">
        <v>46</v>
      </c>
      <c r="M70" s="38" t="s">
        <v>136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110</v>
      </c>
      <c r="Y70" s="55">
        <f>IFERROR(IF(X70="",0,CEILING((X70/$H70),1)*$H70),"")</f>
        <v>118.80000000000001</v>
      </c>
      <c r="Z70" s="41">
        <f>IFERROR(IF(Y70=0,"",ROUNDUP(Y70/H70,0)*0.01898),"")</f>
        <v>0.20877999999999999</v>
      </c>
      <c r="AA70" s="68" t="s">
        <v>46</v>
      </c>
      <c r="AB70" s="69" t="s">
        <v>46</v>
      </c>
      <c r="AC70" s="136" t="s">
        <v>170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114.17592592592594</v>
      </c>
      <c r="BN70" s="78">
        <f>IFERROR(Y70*I70/H70,"0")</f>
        <v>123.31000000000002</v>
      </c>
      <c r="BO70" s="78">
        <f>IFERROR(1/J70*(X70/H70),"0")</f>
        <v>0.15914351851851852</v>
      </c>
      <c r="BP70" s="78">
        <f>IFERROR(1/J70*(Y70/H70),"0")</f>
        <v>0.171875</v>
      </c>
    </row>
    <row r="71" spans="1:68" ht="16.5" hidden="1" customHeight="1" x14ac:dyDescent="0.25">
      <c r="A71" s="63" t="s">
        <v>171</v>
      </c>
      <c r="B71" s="63" t="s">
        <v>172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170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141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136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43.518518518518512</v>
      </c>
      <c r="Y74" s="43">
        <f>IFERROR(Y70/H70,"0")+IFERROR(Y71/H71,"0")+IFERROR(Y72/H72,"0")+IFERROR(Y73/H73,"0")</f>
        <v>45</v>
      </c>
      <c r="Z74" s="43">
        <f>IFERROR(IF(Z70="",0,Z70),"0")+IFERROR(IF(Z71="",0,Z71),"0")+IFERROR(IF(Z72="",0,Z72),"0")+IFERROR(IF(Z73="",0,Z73),"0")</f>
        <v>0.43012</v>
      </c>
      <c r="AA74" s="67"/>
      <c r="AB74" s="67"/>
      <c r="AC74" s="67"/>
    </row>
    <row r="75" spans="1:68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200</v>
      </c>
      <c r="Y75" s="43">
        <f>IFERROR(SUM(Y70:Y73),"0")</f>
        <v>210.60000000000002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184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137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20</v>
      </c>
      <c r="Y82" s="55">
        <f>IFERROR(IF(X82="",0,CEILING((X82/$H82),1)*$H82),"")</f>
        <v>23.4</v>
      </c>
      <c r="Z82" s="41">
        <f>IFERROR(IF(Y82=0,"",ROUNDUP(Y82/H82,0)*0.01898),"")</f>
        <v>5.6940000000000004E-2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21.051282051282055</v>
      </c>
      <c r="BN82" s="78">
        <f>IFERROR(Y82*I82/H82,"0")</f>
        <v>24.630000000000003</v>
      </c>
      <c r="BO82" s="78">
        <f>IFERROR(1/J82*(X82/H82),"0")</f>
        <v>4.0064102564102567E-2</v>
      </c>
      <c r="BP82" s="78">
        <f>IFERROR(1/J82*(Y82/H82),"0")</f>
        <v>4.6875E-2</v>
      </c>
    </row>
    <row r="83" spans="1:68" ht="27" hidden="1" customHeight="1" x14ac:dyDescent="0.25">
      <c r="A83" s="63" t="s">
        <v>188</v>
      </c>
      <c r="B83" s="63" t="s">
        <v>189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144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190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2.5641025641025643</v>
      </c>
      <c r="Y84" s="43">
        <f>IFERROR(Y82/H82,"0")+IFERROR(Y83/H83,"0")</f>
        <v>3</v>
      </c>
      <c r="Z84" s="43">
        <f>IFERROR(IF(Z82="",0,Z82),"0")+IFERROR(IF(Z83="",0,Z83),"0")</f>
        <v>5.6940000000000004E-2</v>
      </c>
      <c r="AA84" s="67"/>
      <c r="AB84" s="67"/>
      <c r="AC84" s="67"/>
    </row>
    <row r="85" spans="1:68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20</v>
      </c>
      <c r="Y85" s="43">
        <f>IFERROR(SUM(Y82:Y83),"0")</f>
        <v>23.4</v>
      </c>
      <c r="Z85" s="42"/>
      <c r="AA85" s="67"/>
      <c r="AB85" s="67"/>
      <c r="AC85" s="67"/>
    </row>
    <row r="86" spans="1:68" ht="16.5" hidden="1" customHeight="1" x14ac:dyDescent="0.25">
      <c r="A86" s="685" t="s">
        <v>191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132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hidden="1" customHeight="1" x14ac:dyDescent="0.25">
      <c r="A88" s="63" t="s">
        <v>192</v>
      </c>
      <c r="B88" s="63" t="s">
        <v>193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137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194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195</v>
      </c>
      <c r="B89" s="63" t="s">
        <v>196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141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197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198</v>
      </c>
      <c r="B90" s="63" t="s">
        <v>199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144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194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200</v>
      </c>
      <c r="B91" s="63" t="s">
        <v>201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144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315</v>
      </c>
      <c r="Y91" s="55">
        <f>IFERROR(IF(X91="",0,CEILING((X91/$H91),1)*$H91),"")</f>
        <v>315</v>
      </c>
      <c r="Z91" s="41">
        <f>IFERROR(IF(Y91=0,"",ROUNDUP(Y91/H91,0)*0.00902),"")</f>
        <v>0.63139999999999996</v>
      </c>
      <c r="AA91" s="68" t="s">
        <v>46</v>
      </c>
      <c r="AB91" s="69" t="s">
        <v>46</v>
      </c>
      <c r="AC91" s="158" t="s">
        <v>194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328.3</v>
      </c>
      <c r="BN91" s="78">
        <f>IFERROR(Y91*I91/H91,"0")</f>
        <v>328.3</v>
      </c>
      <c r="BO91" s="78">
        <f>IFERROR(1/J91*(X91/H91),"0")</f>
        <v>0.53030303030303028</v>
      </c>
      <c r="BP91" s="78">
        <f>IFERROR(1/J91*(Y91/H91),"0")</f>
        <v>0.53030303030303028</v>
      </c>
    </row>
    <row r="92" spans="1:68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70</v>
      </c>
      <c r="Y92" s="43">
        <f>IFERROR(Y88/H88,"0")+IFERROR(Y89/H89,"0")+IFERROR(Y90/H90,"0")+IFERROR(Y91/H91,"0")</f>
        <v>70</v>
      </c>
      <c r="Z92" s="43">
        <f>IFERROR(IF(Z88="",0,Z88),"0")+IFERROR(IF(Z89="",0,Z89),"0")+IFERROR(IF(Z90="",0,Z90),"0")+IFERROR(IF(Z91="",0,Z91),"0")</f>
        <v>0.63139999999999996</v>
      </c>
      <c r="AA92" s="67"/>
      <c r="AB92" s="67"/>
      <c r="AC92" s="67"/>
    </row>
    <row r="93" spans="1:68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315</v>
      </c>
      <c r="Y93" s="43">
        <f>IFERROR(SUM(Y88:Y91),"0")</f>
        <v>315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customHeight="1" x14ac:dyDescent="0.25">
      <c r="A95" s="63" t="s">
        <v>202</v>
      </c>
      <c r="B95" s="63" t="s">
        <v>203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137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204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205</v>
      </c>
      <c r="B96" s="63" t="s">
        <v>206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204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207</v>
      </c>
      <c r="B97" s="63" t="s">
        <v>208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405</v>
      </c>
      <c r="Y97" s="55">
        <f>IFERROR(IF(X97="",0,CEILING((X97/$H97),1)*$H97),"")</f>
        <v>405</v>
      </c>
      <c r="Z97" s="41">
        <f>IFERROR(IF(Y97=0,"",ROUNDUP(Y97/H97,0)*0.00651),"")</f>
        <v>0.97650000000000003</v>
      </c>
      <c r="AA97" s="68" t="s">
        <v>46</v>
      </c>
      <c r="AB97" s="69" t="s">
        <v>46</v>
      </c>
      <c r="AC97" s="164" t="s">
        <v>204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442.79999999999995</v>
      </c>
      <c r="BN97" s="78">
        <f>IFERROR(Y97*I97/H97,"0")</f>
        <v>442.79999999999995</v>
      </c>
      <c r="BO97" s="78">
        <f>IFERROR(1/J97*(X97/H97),"0")</f>
        <v>0.82417582417582425</v>
      </c>
      <c r="BP97" s="78">
        <f>IFERROR(1/J97*(Y97/H97),"0")</f>
        <v>0.82417582417582425</v>
      </c>
    </row>
    <row r="98" spans="1:68" ht="16.5" hidden="1" customHeight="1" x14ac:dyDescent="0.25">
      <c r="A98" s="63" t="s">
        <v>209</v>
      </c>
      <c r="B98" s="63" t="s">
        <v>210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211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162.34567901234567</v>
      </c>
      <c r="Y99" s="43">
        <f>IFERROR(Y95/H95,"0")+IFERROR(Y96/H96,"0")+IFERROR(Y97/H97,"0")+IFERROR(Y98/H98,"0")</f>
        <v>163</v>
      </c>
      <c r="Z99" s="43">
        <f>IFERROR(IF(Z95="",0,Z95),"0")+IFERROR(IF(Z96="",0,Z96),"0")+IFERROR(IF(Z97="",0,Z97),"0")+IFERROR(IF(Z98="",0,Z98),"0")</f>
        <v>1.2232400000000001</v>
      </c>
      <c r="AA99" s="67"/>
      <c r="AB99" s="67"/>
      <c r="AC99" s="67"/>
    </row>
    <row r="100" spans="1:68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505</v>
      </c>
      <c r="Y100" s="43">
        <f>IFERROR(SUM(Y95:Y98),"0")</f>
        <v>510.3</v>
      </c>
      <c r="Z100" s="42"/>
      <c r="AA100" s="67"/>
      <c r="AB100" s="67"/>
      <c r="AC100" s="67"/>
    </row>
    <row r="101" spans="1:68" ht="16.5" hidden="1" customHeight="1" x14ac:dyDescent="0.25">
      <c r="A101" s="685" t="s">
        <v>212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132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hidden="1" customHeight="1" x14ac:dyDescent="0.25">
      <c r="A103" s="63" t="s">
        <v>213</v>
      </c>
      <c r="B103" s="63" t="s">
        <v>214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137</v>
      </c>
      <c r="L103" s="37" t="s">
        <v>46</v>
      </c>
      <c r="M103" s="38" t="s">
        <v>136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9" si="11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215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9" si="12">IFERROR(X103*I103/H103,"0")</f>
        <v>0</v>
      </c>
      <c r="BN103" s="78">
        <f t="shared" ref="BN103:BN109" si="13">IFERROR(Y103*I103/H103,"0")</f>
        <v>0</v>
      </c>
      <c r="BO103" s="78">
        <f t="shared" ref="BO103:BO109" si="14">IFERROR(1/J103*(X103/H103),"0")</f>
        <v>0</v>
      </c>
      <c r="BP103" s="78">
        <f t="shared" ref="BP103:BP109" si="15">IFERROR(1/J103*(Y103/H103),"0")</f>
        <v>0</v>
      </c>
    </row>
    <row r="104" spans="1:68" ht="27" hidden="1" customHeight="1" x14ac:dyDescent="0.25">
      <c r="A104" s="63" t="s">
        <v>216</v>
      </c>
      <c r="B104" s="63" t="s">
        <v>217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141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218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219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141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218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27" hidden="1" customHeight="1" x14ac:dyDescent="0.25">
      <c r="A106" s="63" t="s">
        <v>220</v>
      </c>
      <c r="B106" s="63" t="s">
        <v>221</v>
      </c>
      <c r="C106" s="36">
        <v>4301012226</v>
      </c>
      <c r="D106" s="687">
        <v>4680115887749</v>
      </c>
      <c r="E106" s="687"/>
      <c r="F106" s="62">
        <v>0.17</v>
      </c>
      <c r="G106" s="37">
        <v>10</v>
      </c>
      <c r="H106" s="62">
        <v>1.7</v>
      </c>
      <c r="I106" s="62">
        <v>1.91</v>
      </c>
      <c r="J106" s="37">
        <v>192</v>
      </c>
      <c r="K106" s="37" t="s">
        <v>141</v>
      </c>
      <c r="L106" s="37" t="s">
        <v>46</v>
      </c>
      <c r="M106" s="38" t="s">
        <v>81</v>
      </c>
      <c r="N106" s="38"/>
      <c r="O106" s="37">
        <v>30</v>
      </c>
      <c r="P106" s="73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74" t="s">
        <v>218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222</v>
      </c>
      <c r="B107" s="63" t="s">
        <v>223</v>
      </c>
      <c r="C107" s="36">
        <v>4301011417</v>
      </c>
      <c r="D107" s="687">
        <v>4680115880269</v>
      </c>
      <c r="E107" s="68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144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215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customHeight="1" x14ac:dyDescent="0.25">
      <c r="A108" s="63" t="s">
        <v>224</v>
      </c>
      <c r="B108" s="63" t="s">
        <v>225</v>
      </c>
      <c r="C108" s="36">
        <v>4301011415</v>
      </c>
      <c r="D108" s="687">
        <v>4680115880429</v>
      </c>
      <c r="E108" s="687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144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360</v>
      </c>
      <c r="Y108" s="55">
        <f t="shared" si="11"/>
        <v>360</v>
      </c>
      <c r="Z108" s="41">
        <f>IFERROR(IF(Y108=0,"",ROUNDUP(Y108/H108,0)*0.00902),"")</f>
        <v>0.72160000000000002</v>
      </c>
      <c r="AA108" s="68" t="s">
        <v>46</v>
      </c>
      <c r="AB108" s="69" t="s">
        <v>46</v>
      </c>
      <c r="AC108" s="178" t="s">
        <v>215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375.20000000000005</v>
      </c>
      <c r="BN108" s="78">
        <f t="shared" si="13"/>
        <v>375.20000000000005</v>
      </c>
      <c r="BO108" s="78">
        <f t="shared" si="14"/>
        <v>0.60606060606060608</v>
      </c>
      <c r="BP108" s="78">
        <f t="shared" si="15"/>
        <v>0.60606060606060608</v>
      </c>
    </row>
    <row r="109" spans="1:68" ht="37.5" hidden="1" customHeight="1" x14ac:dyDescent="0.25">
      <c r="A109" s="63" t="s">
        <v>226</v>
      </c>
      <c r="B109" s="63" t="s">
        <v>227</v>
      </c>
      <c r="C109" s="36">
        <v>4301011462</v>
      </c>
      <c r="D109" s="687">
        <v>4680115881457</v>
      </c>
      <c r="E109" s="687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144</v>
      </c>
      <c r="L109" s="37" t="s">
        <v>46</v>
      </c>
      <c r="M109" s="38" t="s">
        <v>90</v>
      </c>
      <c r="N109" s="38"/>
      <c r="O109" s="37">
        <v>50</v>
      </c>
      <c r="P109" s="74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89"/>
      <c r="R109" s="689"/>
      <c r="S109" s="689"/>
      <c r="T109" s="69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1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215</v>
      </c>
      <c r="AG109" s="78"/>
      <c r="AJ109" s="84" t="s">
        <v>46</v>
      </c>
      <c r="AK109" s="84">
        <v>0</v>
      </c>
      <c r="BB109" s="181" t="s">
        <v>67</v>
      </c>
      <c r="BM109" s="78">
        <f t="shared" si="12"/>
        <v>0</v>
      </c>
      <c r="BN109" s="78">
        <f t="shared" si="13"/>
        <v>0</v>
      </c>
      <c r="BO109" s="78">
        <f t="shared" si="14"/>
        <v>0</v>
      </c>
      <c r="BP109" s="78">
        <f t="shared" si="15"/>
        <v>0</v>
      </c>
    </row>
    <row r="110" spans="1:68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39</v>
      </c>
      <c r="X110" s="43">
        <f>IFERROR(X103/H103,"0")+IFERROR(X104/H104,"0")+IFERROR(X105/H105,"0")+IFERROR(X106/H106,"0")+IFERROR(X107/H107,"0")+IFERROR(X108/H108,"0")+IFERROR(X109/H109,"0")</f>
        <v>80</v>
      </c>
      <c r="Y110" s="43">
        <f>IFERROR(Y103/H103,"0")+IFERROR(Y104/H104,"0")+IFERROR(Y105/H105,"0")+IFERROR(Y106/H106,"0")+IFERROR(Y107/H107,"0")+IFERROR(Y108/H108,"0")+IFERROR(Y109/H109,"0")</f>
        <v>80</v>
      </c>
      <c r="Z110" s="43">
        <f>IFERROR(IF(Z103="",0,Z103),"0")+IFERROR(IF(Z104="",0,Z104),"0")+IFERROR(IF(Z105="",0,Z105),"0")+IFERROR(IF(Z106="",0,Z106),"0")+IFERROR(IF(Z107="",0,Z107),"0")+IFERROR(IF(Z108="",0,Z108),"0")+IFERROR(IF(Z109="",0,Z109),"0")</f>
        <v>0.72160000000000002</v>
      </c>
      <c r="AA110" s="67"/>
      <c r="AB110" s="67"/>
      <c r="AC110" s="67"/>
    </row>
    <row r="111" spans="1:68" x14ac:dyDescent="0.2">
      <c r="A111" s="695"/>
      <c r="B111" s="695"/>
      <c r="C111" s="695"/>
      <c r="D111" s="695"/>
      <c r="E111" s="695"/>
      <c r="F111" s="695"/>
      <c r="G111" s="695"/>
      <c r="H111" s="695"/>
      <c r="I111" s="695"/>
      <c r="J111" s="695"/>
      <c r="K111" s="695"/>
      <c r="L111" s="695"/>
      <c r="M111" s="695"/>
      <c r="N111" s="695"/>
      <c r="O111" s="696"/>
      <c r="P111" s="692" t="s">
        <v>40</v>
      </c>
      <c r="Q111" s="693"/>
      <c r="R111" s="693"/>
      <c r="S111" s="693"/>
      <c r="T111" s="693"/>
      <c r="U111" s="693"/>
      <c r="V111" s="694"/>
      <c r="W111" s="42" t="s">
        <v>0</v>
      </c>
      <c r="X111" s="43">
        <f>IFERROR(SUM(X103:X109),"0")</f>
        <v>360</v>
      </c>
      <c r="Y111" s="43">
        <f>IFERROR(SUM(Y103:Y109),"0")</f>
        <v>360</v>
      </c>
      <c r="Z111" s="42"/>
      <c r="AA111" s="67"/>
      <c r="AB111" s="67"/>
      <c r="AC111" s="67"/>
    </row>
    <row r="112" spans="1:68" ht="14.25" hidden="1" customHeight="1" x14ac:dyDescent="0.25">
      <c r="A112" s="686" t="s">
        <v>167</v>
      </c>
      <c r="B112" s="686"/>
      <c r="C112" s="686"/>
      <c r="D112" s="686"/>
      <c r="E112" s="686"/>
      <c r="F112" s="686"/>
      <c r="G112" s="686"/>
      <c r="H112" s="686"/>
      <c r="I112" s="686"/>
      <c r="J112" s="686"/>
      <c r="K112" s="686"/>
      <c r="L112" s="686"/>
      <c r="M112" s="686"/>
      <c r="N112" s="686"/>
      <c r="O112" s="686"/>
      <c r="P112" s="686"/>
      <c r="Q112" s="686"/>
      <c r="R112" s="686"/>
      <c r="S112" s="686"/>
      <c r="T112" s="686"/>
      <c r="U112" s="686"/>
      <c r="V112" s="686"/>
      <c r="W112" s="686"/>
      <c r="X112" s="686"/>
      <c r="Y112" s="686"/>
      <c r="Z112" s="686"/>
      <c r="AA112" s="66"/>
      <c r="AB112" s="66"/>
      <c r="AC112" s="80"/>
    </row>
    <row r="113" spans="1:68" ht="16.5" hidden="1" customHeight="1" x14ac:dyDescent="0.25">
      <c r="A113" s="63" t="s">
        <v>228</v>
      </c>
      <c r="B113" s="63" t="s">
        <v>229</v>
      </c>
      <c r="C113" s="36">
        <v>4301020345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137</v>
      </c>
      <c r="L113" s="37" t="s">
        <v>46</v>
      </c>
      <c r="M113" s="38" t="s">
        <v>136</v>
      </c>
      <c r="N113" s="38"/>
      <c r="O113" s="37">
        <v>55</v>
      </c>
      <c r="P113" s="74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ref="Y113:Y119" si="16">IFERROR(IF(X113="",0,CEILING((X113/$H113),1)*$H113),"")</f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230</v>
      </c>
      <c r="AG113" s="78"/>
      <c r="AJ113" s="84" t="s">
        <v>46</v>
      </c>
      <c r="AK113" s="84">
        <v>0</v>
      </c>
      <c r="BB113" s="183" t="s">
        <v>67</v>
      </c>
      <c r="BM113" s="78">
        <f t="shared" ref="BM113:BM119" si="17">IFERROR(X113*I113/H113,"0")</f>
        <v>0</v>
      </c>
      <c r="BN113" s="78">
        <f t="shared" ref="BN113:BN119" si="18">IFERROR(Y113*I113/H113,"0")</f>
        <v>0</v>
      </c>
      <c r="BO113" s="78">
        <f t="shared" ref="BO113:BO119" si="19">IFERROR(1/J113*(X113/H113),"0")</f>
        <v>0</v>
      </c>
      <c r="BP113" s="78">
        <f t="shared" ref="BP113:BP119" si="20">IFERROR(1/J113*(Y113/H113),"0")</f>
        <v>0</v>
      </c>
    </row>
    <row r="114" spans="1:68" ht="27" hidden="1" customHeight="1" x14ac:dyDescent="0.25">
      <c r="A114" s="63" t="s">
        <v>228</v>
      </c>
      <c r="B114" s="63" t="s">
        <v>231</v>
      </c>
      <c r="C114" s="36">
        <v>4301020391</v>
      </c>
      <c r="D114" s="687">
        <v>4680115881488</v>
      </c>
      <c r="E114" s="687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137</v>
      </c>
      <c r="L114" s="37" t="s">
        <v>46</v>
      </c>
      <c r="M114" s="38" t="s">
        <v>136</v>
      </c>
      <c r="N114" s="38"/>
      <c r="O114" s="37">
        <v>55</v>
      </c>
      <c r="P114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4301020186</v>
      </c>
      <c r="D115" s="687">
        <v>4680115887664</v>
      </c>
      <c r="E115" s="687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236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235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233</v>
      </c>
      <c r="B116" s="63" t="s">
        <v>237</v>
      </c>
      <c r="C116" s="36">
        <v>4301020430</v>
      </c>
      <c r="D116" s="687">
        <v>4680115887664</v>
      </c>
      <c r="E116" s="687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88" t="s">
        <v>235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27" hidden="1" customHeight="1" x14ac:dyDescent="0.25">
      <c r="A117" s="63" t="s">
        <v>238</v>
      </c>
      <c r="B117" s="63" t="s">
        <v>239</v>
      </c>
      <c r="C117" s="36">
        <v>4301020393</v>
      </c>
      <c r="D117" s="687">
        <v>4680115882775</v>
      </c>
      <c r="E117" s="68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136</v>
      </c>
      <c r="N117" s="38"/>
      <c r="O117" s="37">
        <v>55</v>
      </c>
      <c r="P117" s="7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16.5" hidden="1" customHeight="1" x14ac:dyDescent="0.25">
      <c r="A118" s="63" t="s">
        <v>240</v>
      </c>
      <c r="B118" s="63" t="s">
        <v>241</v>
      </c>
      <c r="C118" s="36">
        <v>4301020344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136</v>
      </c>
      <c r="N118" s="38"/>
      <c r="O118" s="37">
        <v>55</v>
      </c>
      <c r="P118" s="7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t="27" hidden="1" customHeight="1" x14ac:dyDescent="0.25">
      <c r="A119" s="63" t="s">
        <v>240</v>
      </c>
      <c r="B119" s="63" t="s">
        <v>242</v>
      </c>
      <c r="C119" s="36">
        <v>4301020392</v>
      </c>
      <c r="D119" s="687">
        <v>4680115880658</v>
      </c>
      <c r="E119" s="687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136</v>
      </c>
      <c r="N119" s="38"/>
      <c r="O119" s="37">
        <v>55</v>
      </c>
      <c r="P119" s="74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89"/>
      <c r="R119" s="689"/>
      <c r="S119" s="689"/>
      <c r="T119" s="690"/>
      <c r="U119" s="39" t="s">
        <v>46</v>
      </c>
      <c r="V119" s="39" t="s">
        <v>46</v>
      </c>
      <c r="W119" s="40" t="s">
        <v>0</v>
      </c>
      <c r="X119" s="58">
        <v>0</v>
      </c>
      <c r="Y119" s="55">
        <f t="shared" si="16"/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 t="shared" si="17"/>
        <v>0</v>
      </c>
      <c r="BN119" s="78">
        <f t="shared" si="18"/>
        <v>0</v>
      </c>
      <c r="BO119" s="78">
        <f t="shared" si="19"/>
        <v>0</v>
      </c>
      <c r="BP119" s="78">
        <f t="shared" si="20"/>
        <v>0</v>
      </c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39</v>
      </c>
      <c r="X120" s="43">
        <f>IFERROR(X113/H113,"0")+IFERROR(X114/H114,"0")+IFERROR(X115/H115,"0")+IFERROR(X116/H116,"0")+IFERROR(X117/H117,"0")+IFERROR(X118/H118,"0")+IFERROR(X119/H119,"0")</f>
        <v>0</v>
      </c>
      <c r="Y120" s="43">
        <f>IFERROR(Y113/H113,"0")+IFERROR(Y114/H114,"0")+IFERROR(Y115/H115,"0")+IFERROR(Y116/H116,"0")+IFERROR(Y117/H117,"0")+IFERROR(Y118/H118,"0")+IFERROR(Y119/H119,"0")</f>
        <v>0</v>
      </c>
      <c r="Z120" s="43">
        <f>IFERROR(IF(Z113="",0,Z113),"0")+IFERROR(IF(Z114="",0,Z114),"0")+IFERROR(IF(Z115="",0,Z115),"0")+IFERROR(IF(Z116="",0,Z116),"0")+IFERROR(IF(Z117="",0,Z117),"0")+IFERROR(IF(Z118="",0,Z118),"0")+IFERROR(IF(Z119="",0,Z119),"0")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95"/>
      <c r="B121" s="695"/>
      <c r="C121" s="695"/>
      <c r="D121" s="695"/>
      <c r="E121" s="695"/>
      <c r="F121" s="695"/>
      <c r="G121" s="695"/>
      <c r="H121" s="695"/>
      <c r="I121" s="695"/>
      <c r="J121" s="695"/>
      <c r="K121" s="695"/>
      <c r="L121" s="695"/>
      <c r="M121" s="695"/>
      <c r="N121" s="695"/>
      <c r="O121" s="696"/>
      <c r="P121" s="692" t="s">
        <v>40</v>
      </c>
      <c r="Q121" s="693"/>
      <c r="R121" s="693"/>
      <c r="S121" s="693"/>
      <c r="T121" s="693"/>
      <c r="U121" s="693"/>
      <c r="V121" s="694"/>
      <c r="W121" s="42" t="s">
        <v>0</v>
      </c>
      <c r="X121" s="43">
        <f>IFERROR(SUM(X113:X119),"0")</f>
        <v>0</v>
      </c>
      <c r="Y121" s="43">
        <f>IFERROR(SUM(Y113:Y119),"0")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86" t="s">
        <v>86</v>
      </c>
      <c r="B122" s="686"/>
      <c r="C122" s="686"/>
      <c r="D122" s="686"/>
      <c r="E122" s="686"/>
      <c r="F122" s="686"/>
      <c r="G122" s="686"/>
      <c r="H122" s="686"/>
      <c r="I122" s="686"/>
      <c r="J122" s="686"/>
      <c r="K122" s="686"/>
      <c r="L122" s="686"/>
      <c r="M122" s="686"/>
      <c r="N122" s="686"/>
      <c r="O122" s="686"/>
      <c r="P122" s="686"/>
      <c r="Q122" s="686"/>
      <c r="R122" s="686"/>
      <c r="S122" s="686"/>
      <c r="T122" s="686"/>
      <c r="U122" s="686"/>
      <c r="V122" s="686"/>
      <c r="W122" s="686"/>
      <c r="X122" s="686"/>
      <c r="Y122" s="686"/>
      <c r="Z122" s="686"/>
      <c r="AA122" s="66"/>
      <c r="AB122" s="66"/>
      <c r="AC122" s="80"/>
    </row>
    <row r="123" spans="1:68" ht="27" customHeight="1" x14ac:dyDescent="0.25">
      <c r="A123" s="63" t="s">
        <v>243</v>
      </c>
      <c r="B123" s="63" t="s">
        <v>244</v>
      </c>
      <c r="C123" s="36">
        <v>4301051724</v>
      </c>
      <c r="D123" s="687">
        <v>4607091385168</v>
      </c>
      <c r="E123" s="687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137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250</v>
      </c>
      <c r="Y123" s="55">
        <f>IFERROR(IF(X123="",0,CEILING((X123/$H123),1)*$H123),"")</f>
        <v>251.1</v>
      </c>
      <c r="Z123" s="41">
        <f>IFERROR(IF(Y123=0,"",ROUNDUP(Y123/H123,0)*0.01898),"")</f>
        <v>0.58838000000000001</v>
      </c>
      <c r="AA123" s="68" t="s">
        <v>46</v>
      </c>
      <c r="AB123" s="69" t="s">
        <v>46</v>
      </c>
      <c r="AC123" s="196" t="s">
        <v>245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265.06172839506172</v>
      </c>
      <c r="BN123" s="78">
        <f>IFERROR(Y123*I123/H123,"0")</f>
        <v>266.22799999999995</v>
      </c>
      <c r="BO123" s="78">
        <f>IFERROR(1/J123*(X123/H123),"0")</f>
        <v>0.48225308641975312</v>
      </c>
      <c r="BP123" s="78">
        <f>IFERROR(1/J123*(Y123/H123),"0")</f>
        <v>0.484375</v>
      </c>
    </row>
    <row r="124" spans="1:68" ht="27" hidden="1" customHeight="1" x14ac:dyDescent="0.25">
      <c r="A124" s="63" t="s">
        <v>246</v>
      </c>
      <c r="B124" s="63" t="s">
        <v>247</v>
      </c>
      <c r="C124" s="36">
        <v>4301051730</v>
      </c>
      <c r="D124" s="687">
        <v>4607091383256</v>
      </c>
      <c r="E124" s="687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245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248</v>
      </c>
      <c r="B125" s="63" t="s">
        <v>249</v>
      </c>
      <c r="C125" s="36">
        <v>4301051721</v>
      </c>
      <c r="D125" s="687">
        <v>4607091385748</v>
      </c>
      <c r="E125" s="687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75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360</v>
      </c>
      <c r="Y125" s="55">
        <f>IFERROR(IF(X125="",0,CEILING((X125/$H125),1)*$H125),"")</f>
        <v>361.8</v>
      </c>
      <c r="Z125" s="41">
        <f>IFERROR(IF(Y125=0,"",ROUNDUP(Y125/H125,0)*0.00651),"")</f>
        <v>0.87234</v>
      </c>
      <c r="AA125" s="68" t="s">
        <v>46</v>
      </c>
      <c r="AB125" s="69" t="s">
        <v>46</v>
      </c>
      <c r="AC125" s="200" t="s">
        <v>245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393.59999999999997</v>
      </c>
      <c r="BN125" s="78">
        <f>IFERROR(Y125*I125/H125,"0")</f>
        <v>395.56799999999998</v>
      </c>
      <c r="BO125" s="78">
        <f>IFERROR(1/J125*(X125/H125),"0")</f>
        <v>0.73260073260073255</v>
      </c>
      <c r="BP125" s="78">
        <f>IFERROR(1/J125*(Y125/H125),"0")</f>
        <v>0.73626373626373631</v>
      </c>
    </row>
    <row r="126" spans="1:68" ht="16.5" customHeight="1" x14ac:dyDescent="0.25">
      <c r="A126" s="63" t="s">
        <v>250</v>
      </c>
      <c r="B126" s="63" t="s">
        <v>251</v>
      </c>
      <c r="C126" s="36">
        <v>4301051740</v>
      </c>
      <c r="D126" s="687">
        <v>4680115884533</v>
      </c>
      <c r="E126" s="687"/>
      <c r="F126" s="62">
        <v>0.3</v>
      </c>
      <c r="G126" s="37">
        <v>6</v>
      </c>
      <c r="H126" s="62">
        <v>1.8</v>
      </c>
      <c r="I126" s="62">
        <v>1.98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75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89"/>
      <c r="R126" s="689"/>
      <c r="S126" s="689"/>
      <c r="T126" s="690"/>
      <c r="U126" s="39" t="s">
        <v>46</v>
      </c>
      <c r="V126" s="39" t="s">
        <v>46</v>
      </c>
      <c r="W126" s="40" t="s">
        <v>0</v>
      </c>
      <c r="X126" s="58">
        <v>15</v>
      </c>
      <c r="Y126" s="55">
        <f>IFERROR(IF(X126="",0,CEILING((X126/$H126),1)*$H126),"")</f>
        <v>16.2</v>
      </c>
      <c r="Z126" s="41">
        <f>IFERROR(IF(Y126=0,"",ROUNDUP(Y126/H126,0)*0.00651),"")</f>
        <v>5.8590000000000003E-2</v>
      </c>
      <c r="AA126" s="68" t="s">
        <v>46</v>
      </c>
      <c r="AB126" s="69" t="s">
        <v>46</v>
      </c>
      <c r="AC126" s="202" t="s">
        <v>252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16.5</v>
      </c>
      <c r="BN126" s="78">
        <f>IFERROR(Y126*I126/H126,"0")</f>
        <v>17.82</v>
      </c>
      <c r="BO126" s="78">
        <f>IFERROR(1/J126*(X126/H126),"0")</f>
        <v>4.5787545787545791E-2</v>
      </c>
      <c r="BP126" s="78">
        <f>IFERROR(1/J126*(Y126/H126),"0")</f>
        <v>4.9450549450549455E-2</v>
      </c>
    </row>
    <row r="127" spans="1:68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39</v>
      </c>
      <c r="X127" s="43">
        <f>IFERROR(X123/H123,"0")+IFERROR(X124/H124,"0")+IFERROR(X125/H125,"0")+IFERROR(X126/H126,"0")</f>
        <v>172.53086419753086</v>
      </c>
      <c r="Y127" s="43">
        <f>IFERROR(Y123/H123,"0")+IFERROR(Y124/H124,"0")+IFERROR(Y125/H125,"0")+IFERROR(Y126/H126,"0")</f>
        <v>174</v>
      </c>
      <c r="Z127" s="43">
        <f>IFERROR(IF(Z123="",0,Z123),"0")+IFERROR(IF(Z124="",0,Z124),"0")+IFERROR(IF(Z125="",0,Z125),"0")+IFERROR(IF(Z126="",0,Z126),"0")</f>
        <v>1.5193099999999999</v>
      </c>
      <c r="AA127" s="67"/>
      <c r="AB127" s="67"/>
      <c r="AC127" s="67"/>
    </row>
    <row r="128" spans="1:68" x14ac:dyDescent="0.2">
      <c r="A128" s="695"/>
      <c r="B128" s="695"/>
      <c r="C128" s="695"/>
      <c r="D128" s="695"/>
      <c r="E128" s="695"/>
      <c r="F128" s="695"/>
      <c r="G128" s="695"/>
      <c r="H128" s="695"/>
      <c r="I128" s="695"/>
      <c r="J128" s="695"/>
      <c r="K128" s="695"/>
      <c r="L128" s="695"/>
      <c r="M128" s="695"/>
      <c r="N128" s="695"/>
      <c r="O128" s="696"/>
      <c r="P128" s="692" t="s">
        <v>40</v>
      </c>
      <c r="Q128" s="693"/>
      <c r="R128" s="693"/>
      <c r="S128" s="693"/>
      <c r="T128" s="693"/>
      <c r="U128" s="693"/>
      <c r="V128" s="694"/>
      <c r="W128" s="42" t="s">
        <v>0</v>
      </c>
      <c r="X128" s="43">
        <f>IFERROR(SUM(X123:X126),"0")</f>
        <v>625</v>
      </c>
      <c r="Y128" s="43">
        <f>IFERROR(SUM(Y123:Y126),"0")</f>
        <v>629.1</v>
      </c>
      <c r="Z128" s="42"/>
      <c r="AA128" s="67"/>
      <c r="AB128" s="67"/>
      <c r="AC128" s="67"/>
    </row>
    <row r="129" spans="1:68" ht="14.25" hidden="1" customHeight="1" x14ac:dyDescent="0.25">
      <c r="A129" s="686" t="s">
        <v>184</v>
      </c>
      <c r="B129" s="686"/>
      <c r="C129" s="686"/>
      <c r="D129" s="686"/>
      <c r="E129" s="686"/>
      <c r="F129" s="686"/>
      <c r="G129" s="686"/>
      <c r="H129" s="686"/>
      <c r="I129" s="686"/>
      <c r="J129" s="686"/>
      <c r="K129" s="686"/>
      <c r="L129" s="686"/>
      <c r="M129" s="686"/>
      <c r="N129" s="686"/>
      <c r="O129" s="686"/>
      <c r="P129" s="686"/>
      <c r="Q129" s="686"/>
      <c r="R129" s="686"/>
      <c r="S129" s="686"/>
      <c r="T129" s="686"/>
      <c r="U129" s="686"/>
      <c r="V129" s="686"/>
      <c r="W129" s="686"/>
      <c r="X129" s="686"/>
      <c r="Y129" s="686"/>
      <c r="Z129" s="686"/>
      <c r="AA129" s="66"/>
      <c r="AB129" s="66"/>
      <c r="AC129" s="80"/>
    </row>
    <row r="130" spans="1:68" ht="16.5" customHeight="1" x14ac:dyDescent="0.25">
      <c r="A130" s="63" t="s">
        <v>253</v>
      </c>
      <c r="B130" s="63" t="s">
        <v>254</v>
      </c>
      <c r="C130" s="36">
        <v>4301060317</v>
      </c>
      <c r="D130" s="687">
        <v>4680115880238</v>
      </c>
      <c r="E130" s="687"/>
      <c r="F130" s="62">
        <v>0.33</v>
      </c>
      <c r="G130" s="37">
        <v>6</v>
      </c>
      <c r="H130" s="62">
        <v>1.98</v>
      </c>
      <c r="I130" s="62">
        <v>2.238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40</v>
      </c>
      <c r="P130" s="75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89"/>
      <c r="R130" s="689"/>
      <c r="S130" s="689"/>
      <c r="T130" s="690"/>
      <c r="U130" s="39" t="s">
        <v>46</v>
      </c>
      <c r="V130" s="39" t="s">
        <v>46</v>
      </c>
      <c r="W130" s="40" t="s">
        <v>0</v>
      </c>
      <c r="X130" s="58">
        <v>52.800000000000004</v>
      </c>
      <c r="Y130" s="55">
        <f>IFERROR(IF(X130="",0,CEILING((X130/$H130),1)*$H130),"")</f>
        <v>53.46</v>
      </c>
      <c r="Z130" s="41">
        <f>IFERROR(IF(Y130=0,"",ROUNDUP(Y130/H130,0)*0.00651),"")</f>
        <v>0.17577000000000001</v>
      </c>
      <c r="AA130" s="68" t="s">
        <v>46</v>
      </c>
      <c r="AB130" s="69" t="s">
        <v>46</v>
      </c>
      <c r="AC130" s="204" t="s">
        <v>255</v>
      </c>
      <c r="AG130" s="78"/>
      <c r="AJ130" s="84" t="s">
        <v>46</v>
      </c>
      <c r="AK130" s="84">
        <v>0</v>
      </c>
      <c r="BB130" s="205" t="s">
        <v>67</v>
      </c>
      <c r="BM130" s="78">
        <f>IFERROR(X130*I130/H130,"0")</f>
        <v>59.680000000000007</v>
      </c>
      <c r="BN130" s="78">
        <f>IFERROR(Y130*I130/H130,"0")</f>
        <v>60.426000000000002</v>
      </c>
      <c r="BO130" s="78">
        <f>IFERROR(1/J130*(X130/H130),"0")</f>
        <v>0.14652014652014653</v>
      </c>
      <c r="BP130" s="78">
        <f>IFERROR(1/J130*(Y130/H130),"0")</f>
        <v>0.14835164835164835</v>
      </c>
    </row>
    <row r="131" spans="1:68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39</v>
      </c>
      <c r="X131" s="43">
        <f>IFERROR(X130/H130,"0")</f>
        <v>26.666666666666668</v>
      </c>
      <c r="Y131" s="43">
        <f>IFERROR(Y130/H130,"0")</f>
        <v>27</v>
      </c>
      <c r="Z131" s="43">
        <f>IFERROR(IF(Z130="",0,Z130),"0")</f>
        <v>0.17577000000000001</v>
      </c>
      <c r="AA131" s="67"/>
      <c r="AB131" s="67"/>
      <c r="AC131" s="67"/>
    </row>
    <row r="132" spans="1:68" x14ac:dyDescent="0.2">
      <c r="A132" s="695"/>
      <c r="B132" s="695"/>
      <c r="C132" s="695"/>
      <c r="D132" s="695"/>
      <c r="E132" s="695"/>
      <c r="F132" s="695"/>
      <c r="G132" s="695"/>
      <c r="H132" s="695"/>
      <c r="I132" s="695"/>
      <c r="J132" s="695"/>
      <c r="K132" s="695"/>
      <c r="L132" s="695"/>
      <c r="M132" s="695"/>
      <c r="N132" s="695"/>
      <c r="O132" s="696"/>
      <c r="P132" s="692" t="s">
        <v>40</v>
      </c>
      <c r="Q132" s="693"/>
      <c r="R132" s="693"/>
      <c r="S132" s="693"/>
      <c r="T132" s="693"/>
      <c r="U132" s="693"/>
      <c r="V132" s="694"/>
      <c r="W132" s="42" t="s">
        <v>0</v>
      </c>
      <c r="X132" s="43">
        <f>IFERROR(SUM(X130:X130),"0")</f>
        <v>52.800000000000004</v>
      </c>
      <c r="Y132" s="43">
        <f>IFERROR(SUM(Y130:Y130),"0")</f>
        <v>53.46</v>
      </c>
      <c r="Z132" s="42"/>
      <c r="AA132" s="67"/>
      <c r="AB132" s="67"/>
      <c r="AC132" s="67"/>
    </row>
    <row r="133" spans="1:68" ht="16.5" hidden="1" customHeight="1" x14ac:dyDescent="0.25">
      <c r="A133" s="685" t="s">
        <v>256</v>
      </c>
      <c r="B133" s="685"/>
      <c r="C133" s="685"/>
      <c r="D133" s="685"/>
      <c r="E133" s="685"/>
      <c r="F133" s="685"/>
      <c r="G133" s="685"/>
      <c r="H133" s="685"/>
      <c r="I133" s="685"/>
      <c r="J133" s="685"/>
      <c r="K133" s="685"/>
      <c r="L133" s="685"/>
      <c r="M133" s="685"/>
      <c r="N133" s="685"/>
      <c r="O133" s="685"/>
      <c r="P133" s="685"/>
      <c r="Q133" s="685"/>
      <c r="R133" s="685"/>
      <c r="S133" s="685"/>
      <c r="T133" s="685"/>
      <c r="U133" s="685"/>
      <c r="V133" s="685"/>
      <c r="W133" s="685"/>
      <c r="X133" s="685"/>
      <c r="Y133" s="685"/>
      <c r="Z133" s="685"/>
      <c r="AA133" s="65"/>
      <c r="AB133" s="65"/>
      <c r="AC133" s="79"/>
    </row>
    <row r="134" spans="1:68" ht="14.25" hidden="1" customHeight="1" x14ac:dyDescent="0.25">
      <c r="A134" s="686" t="s">
        <v>132</v>
      </c>
      <c r="B134" s="686"/>
      <c r="C134" s="686"/>
      <c r="D134" s="686"/>
      <c r="E134" s="686"/>
      <c r="F134" s="686"/>
      <c r="G134" s="686"/>
      <c r="H134" s="686"/>
      <c r="I134" s="686"/>
      <c r="J134" s="686"/>
      <c r="K134" s="686"/>
      <c r="L134" s="686"/>
      <c r="M134" s="686"/>
      <c r="N134" s="686"/>
      <c r="O134" s="686"/>
      <c r="P134" s="686"/>
      <c r="Q134" s="686"/>
      <c r="R134" s="686"/>
      <c r="S134" s="686"/>
      <c r="T134" s="686"/>
      <c r="U134" s="686"/>
      <c r="V134" s="686"/>
      <c r="W134" s="686"/>
      <c r="X134" s="686"/>
      <c r="Y134" s="686"/>
      <c r="Z134" s="686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4301011562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257</v>
      </c>
      <c r="B136" s="63" t="s">
        <v>260</v>
      </c>
      <c r="C136" s="36">
        <v>4301011564</v>
      </c>
      <c r="D136" s="687">
        <v>4680115882577</v>
      </c>
      <c r="E136" s="687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91</v>
      </c>
      <c r="L136" s="37" t="s">
        <v>46</v>
      </c>
      <c r="M136" s="38" t="s">
        <v>112</v>
      </c>
      <c r="N136" s="38"/>
      <c r="O136" s="37">
        <v>90</v>
      </c>
      <c r="P136" s="75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89"/>
      <c r="R136" s="689"/>
      <c r="S136" s="689"/>
      <c r="T136" s="690"/>
      <c r="U136" s="39" t="s">
        <v>46</v>
      </c>
      <c r="V136" s="39" t="s">
        <v>46</v>
      </c>
      <c r="W136" s="40" t="s">
        <v>0</v>
      </c>
      <c r="X136" s="58">
        <v>40</v>
      </c>
      <c r="Y136" s="55">
        <f>IFERROR(IF(X136="",0,CEILING((X136/$H136),1)*$H136),"")</f>
        <v>41.6</v>
      </c>
      <c r="Z136" s="41">
        <f>IFERROR(IF(Y136=0,"",ROUNDUP(Y136/H136,0)*0.00651),"")</f>
        <v>8.4629999999999997E-2</v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42.249999999999993</v>
      </c>
      <c r="BN136" s="78">
        <f>IFERROR(Y136*I136/H136,"0")</f>
        <v>43.94</v>
      </c>
      <c r="BO136" s="78">
        <f>IFERROR(1/J136*(X136/H136),"0")</f>
        <v>6.8681318681318687E-2</v>
      </c>
      <c r="BP136" s="78">
        <f>IFERROR(1/J136*(Y136/H136),"0")</f>
        <v>7.1428571428571438E-2</v>
      </c>
    </row>
    <row r="137" spans="1:68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39</v>
      </c>
      <c r="X137" s="43">
        <f>IFERROR(X135/H135,"0")+IFERROR(X136/H136,"0")</f>
        <v>12.5</v>
      </c>
      <c r="Y137" s="43">
        <f>IFERROR(Y135/H135,"0")+IFERROR(Y136/H136,"0")</f>
        <v>13</v>
      </c>
      <c r="Z137" s="43">
        <f>IFERROR(IF(Z135="",0,Z135),"0")+IFERROR(IF(Z136="",0,Z136),"0")</f>
        <v>8.4629999999999997E-2</v>
      </c>
      <c r="AA137" s="67"/>
      <c r="AB137" s="67"/>
      <c r="AC137" s="67"/>
    </row>
    <row r="138" spans="1:68" x14ac:dyDescent="0.2">
      <c r="A138" s="695"/>
      <c r="B138" s="695"/>
      <c r="C138" s="695"/>
      <c r="D138" s="695"/>
      <c r="E138" s="695"/>
      <c r="F138" s="695"/>
      <c r="G138" s="695"/>
      <c r="H138" s="695"/>
      <c r="I138" s="695"/>
      <c r="J138" s="695"/>
      <c r="K138" s="695"/>
      <c r="L138" s="695"/>
      <c r="M138" s="695"/>
      <c r="N138" s="695"/>
      <c r="O138" s="696"/>
      <c r="P138" s="692" t="s">
        <v>40</v>
      </c>
      <c r="Q138" s="693"/>
      <c r="R138" s="693"/>
      <c r="S138" s="693"/>
      <c r="T138" s="693"/>
      <c r="U138" s="693"/>
      <c r="V138" s="694"/>
      <c r="W138" s="42" t="s">
        <v>0</v>
      </c>
      <c r="X138" s="43">
        <f>IFERROR(SUM(X135:X136),"0")</f>
        <v>40</v>
      </c>
      <c r="Y138" s="43">
        <f>IFERROR(SUM(Y135:Y136),"0")</f>
        <v>41.6</v>
      </c>
      <c r="Z138" s="42"/>
      <c r="AA138" s="67"/>
      <c r="AB138" s="67"/>
      <c r="AC138" s="67"/>
    </row>
    <row r="139" spans="1:68" ht="14.25" hidden="1" customHeight="1" x14ac:dyDescent="0.25">
      <c r="A139" s="686" t="s">
        <v>77</v>
      </c>
      <c r="B139" s="686"/>
      <c r="C139" s="686"/>
      <c r="D139" s="686"/>
      <c r="E139" s="686"/>
      <c r="F139" s="686"/>
      <c r="G139" s="686"/>
      <c r="H139" s="686"/>
      <c r="I139" s="686"/>
      <c r="J139" s="686"/>
      <c r="K139" s="686"/>
      <c r="L139" s="686"/>
      <c r="M139" s="686"/>
      <c r="N139" s="686"/>
      <c r="O139" s="686"/>
      <c r="P139" s="686"/>
      <c r="Q139" s="686"/>
      <c r="R139" s="686"/>
      <c r="S139" s="686"/>
      <c r="T139" s="686"/>
      <c r="U139" s="686"/>
      <c r="V139" s="686"/>
      <c r="W139" s="686"/>
      <c r="X139" s="686"/>
      <c r="Y139" s="686"/>
      <c r="Z139" s="686"/>
      <c r="AA139" s="66"/>
      <c r="AB139" s="66"/>
      <c r="AC139" s="80"/>
    </row>
    <row r="140" spans="1:68" ht="27" customHeight="1" x14ac:dyDescent="0.25">
      <c r="A140" s="63" t="s">
        <v>261</v>
      </c>
      <c r="B140" s="63" t="s">
        <v>262</v>
      </c>
      <c r="C140" s="36">
        <v>4301031234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70</v>
      </c>
      <c r="Y140" s="55">
        <f>IFERROR(IF(X140="",0,CEILING((X140/$H140),1)*$H140),"")</f>
        <v>70</v>
      </c>
      <c r="Z140" s="41">
        <f>IFERROR(IF(Y140=0,"",ROUNDUP(Y140/H140,0)*0.00651),"")</f>
        <v>0.16275000000000001</v>
      </c>
      <c r="AA140" s="68" t="s">
        <v>46</v>
      </c>
      <c r="AB140" s="69" t="s">
        <v>46</v>
      </c>
      <c r="AC140" s="210" t="s">
        <v>263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76.7</v>
      </c>
      <c r="BN140" s="78">
        <f>IFERROR(Y140*I140/H140,"0")</f>
        <v>76.7</v>
      </c>
      <c r="BO140" s="78">
        <f>IFERROR(1/J140*(X140/H140),"0")</f>
        <v>0.13736263736263737</v>
      </c>
      <c r="BP140" s="78">
        <f>IFERROR(1/J140*(Y140/H140),"0")</f>
        <v>0.13736263736263737</v>
      </c>
    </row>
    <row r="141" spans="1:68" ht="27" hidden="1" customHeight="1" x14ac:dyDescent="0.25">
      <c r="A141" s="63" t="s">
        <v>261</v>
      </c>
      <c r="B141" s="63" t="s">
        <v>264</v>
      </c>
      <c r="C141" s="36">
        <v>4301031235</v>
      </c>
      <c r="D141" s="687">
        <v>4680115883444</v>
      </c>
      <c r="E141" s="68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112</v>
      </c>
      <c r="N141" s="38"/>
      <c r="O141" s="37">
        <v>90</v>
      </c>
      <c r="P141" s="7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89"/>
      <c r="R141" s="689"/>
      <c r="S141" s="689"/>
      <c r="T141" s="69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39</v>
      </c>
      <c r="X142" s="43">
        <f>IFERROR(X140/H140,"0")+IFERROR(X141/H141,"0")</f>
        <v>25</v>
      </c>
      <c r="Y142" s="43">
        <f>IFERROR(Y140/H140,"0")+IFERROR(Y141/H141,"0")</f>
        <v>25</v>
      </c>
      <c r="Z142" s="43">
        <f>IFERROR(IF(Z140="",0,Z140),"0")+IFERROR(IF(Z141="",0,Z141),"0")</f>
        <v>0.16275000000000001</v>
      </c>
      <c r="AA142" s="67"/>
      <c r="AB142" s="67"/>
      <c r="AC142" s="67"/>
    </row>
    <row r="143" spans="1:68" x14ac:dyDescent="0.2">
      <c r="A143" s="695"/>
      <c r="B143" s="695"/>
      <c r="C143" s="695"/>
      <c r="D143" s="695"/>
      <c r="E143" s="695"/>
      <c r="F143" s="695"/>
      <c r="G143" s="695"/>
      <c r="H143" s="695"/>
      <c r="I143" s="695"/>
      <c r="J143" s="695"/>
      <c r="K143" s="695"/>
      <c r="L143" s="695"/>
      <c r="M143" s="695"/>
      <c r="N143" s="695"/>
      <c r="O143" s="696"/>
      <c r="P143" s="692" t="s">
        <v>40</v>
      </c>
      <c r="Q143" s="693"/>
      <c r="R143" s="693"/>
      <c r="S143" s="693"/>
      <c r="T143" s="693"/>
      <c r="U143" s="693"/>
      <c r="V143" s="694"/>
      <c r="W143" s="42" t="s">
        <v>0</v>
      </c>
      <c r="X143" s="43">
        <f>IFERROR(SUM(X140:X141),"0")</f>
        <v>70</v>
      </c>
      <c r="Y143" s="43">
        <f>IFERROR(SUM(Y140:Y141),"0")</f>
        <v>70</v>
      </c>
      <c r="Z143" s="42"/>
      <c r="AA143" s="67"/>
      <c r="AB143" s="67"/>
      <c r="AC143" s="67"/>
    </row>
    <row r="144" spans="1:68" ht="14.25" hidden="1" customHeight="1" x14ac:dyDescent="0.25">
      <c r="A144" s="686" t="s">
        <v>86</v>
      </c>
      <c r="B144" s="686"/>
      <c r="C144" s="686"/>
      <c r="D144" s="686"/>
      <c r="E144" s="686"/>
      <c r="F144" s="686"/>
      <c r="G144" s="686"/>
      <c r="H144" s="686"/>
      <c r="I144" s="686"/>
      <c r="J144" s="686"/>
      <c r="K144" s="686"/>
      <c r="L144" s="686"/>
      <c r="M144" s="686"/>
      <c r="N144" s="686"/>
      <c r="O144" s="686"/>
      <c r="P144" s="686"/>
      <c r="Q144" s="686"/>
      <c r="R144" s="686"/>
      <c r="S144" s="686"/>
      <c r="T144" s="686"/>
      <c r="U144" s="686"/>
      <c r="V144" s="686"/>
      <c r="W144" s="686"/>
      <c r="X144" s="686"/>
      <c r="Y144" s="686"/>
      <c r="Z144" s="686"/>
      <c r="AA144" s="66"/>
      <c r="AB144" s="66"/>
      <c r="AC144" s="80"/>
    </row>
    <row r="145" spans="1:68" ht="16.5" customHeight="1" x14ac:dyDescent="0.25">
      <c r="A145" s="63" t="s">
        <v>265</v>
      </c>
      <c r="B145" s="63" t="s">
        <v>266</v>
      </c>
      <c r="C145" s="36">
        <v>4301051476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66</v>
      </c>
      <c r="Y145" s="55">
        <f>IFERROR(IF(X145="",0,CEILING((X145/$H145),1)*$H145),"")</f>
        <v>66</v>
      </c>
      <c r="Z145" s="41">
        <f>IFERROR(IF(Y145=0,"",ROUNDUP(Y145/H145,0)*0.00651),"")</f>
        <v>0.16275000000000001</v>
      </c>
      <c r="AA145" s="68" t="s">
        <v>46</v>
      </c>
      <c r="AB145" s="69" t="s">
        <v>46</v>
      </c>
      <c r="AC145" s="214" t="s">
        <v>259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72.699999999999989</v>
      </c>
      <c r="BN145" s="78">
        <f>IFERROR(Y145*I145/H145,"0")</f>
        <v>72.699999999999989</v>
      </c>
      <c r="BO145" s="78">
        <f>IFERROR(1/J145*(X145/H145),"0")</f>
        <v>0.13736263736263737</v>
      </c>
      <c r="BP145" s="78">
        <f>IFERROR(1/J145*(Y145/H145),"0")</f>
        <v>0.13736263736263737</v>
      </c>
    </row>
    <row r="146" spans="1:68" ht="16.5" hidden="1" customHeight="1" x14ac:dyDescent="0.25">
      <c r="A146" s="63" t="s">
        <v>265</v>
      </c>
      <c r="B146" s="63" t="s">
        <v>267</v>
      </c>
      <c r="C146" s="36">
        <v>4301051477</v>
      </c>
      <c r="D146" s="687">
        <v>4680115882584</v>
      </c>
      <c r="E146" s="687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91</v>
      </c>
      <c r="L146" s="37" t="s">
        <v>46</v>
      </c>
      <c r="M146" s="38" t="s">
        <v>112</v>
      </c>
      <c r="N146" s="38"/>
      <c r="O146" s="37">
        <v>60</v>
      </c>
      <c r="P146" s="7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89"/>
      <c r="R146" s="689"/>
      <c r="S146" s="689"/>
      <c r="T146" s="69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259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39</v>
      </c>
      <c r="X147" s="43">
        <f>IFERROR(X145/H145,"0")+IFERROR(X146/H146,"0")</f>
        <v>25</v>
      </c>
      <c r="Y147" s="43">
        <f>IFERROR(Y145/H145,"0")+IFERROR(Y146/H146,"0")</f>
        <v>25</v>
      </c>
      <c r="Z147" s="43">
        <f>IFERROR(IF(Z145="",0,Z145),"0")+IFERROR(IF(Z146="",0,Z146),"0")</f>
        <v>0.16275000000000001</v>
      </c>
      <c r="AA147" s="67"/>
      <c r="AB147" s="67"/>
      <c r="AC147" s="67"/>
    </row>
    <row r="148" spans="1:68" x14ac:dyDescent="0.2">
      <c r="A148" s="695"/>
      <c r="B148" s="695"/>
      <c r="C148" s="695"/>
      <c r="D148" s="695"/>
      <c r="E148" s="695"/>
      <c r="F148" s="695"/>
      <c r="G148" s="695"/>
      <c r="H148" s="695"/>
      <c r="I148" s="695"/>
      <c r="J148" s="695"/>
      <c r="K148" s="695"/>
      <c r="L148" s="695"/>
      <c r="M148" s="695"/>
      <c r="N148" s="695"/>
      <c r="O148" s="696"/>
      <c r="P148" s="692" t="s">
        <v>40</v>
      </c>
      <c r="Q148" s="693"/>
      <c r="R148" s="693"/>
      <c r="S148" s="693"/>
      <c r="T148" s="693"/>
      <c r="U148" s="693"/>
      <c r="V148" s="694"/>
      <c r="W148" s="42" t="s">
        <v>0</v>
      </c>
      <c r="X148" s="43">
        <f>IFERROR(SUM(X145:X146),"0")</f>
        <v>66</v>
      </c>
      <c r="Y148" s="43">
        <f>IFERROR(SUM(Y145:Y146),"0")</f>
        <v>66</v>
      </c>
      <c r="Z148" s="42"/>
      <c r="AA148" s="67"/>
      <c r="AB148" s="67"/>
      <c r="AC148" s="67"/>
    </row>
    <row r="149" spans="1:68" ht="16.5" hidden="1" customHeight="1" x14ac:dyDescent="0.25">
      <c r="A149" s="685" t="s">
        <v>268</v>
      </c>
      <c r="B149" s="685"/>
      <c r="C149" s="685"/>
      <c r="D149" s="685"/>
      <c r="E149" s="685"/>
      <c r="F149" s="685"/>
      <c r="G149" s="685"/>
      <c r="H149" s="685"/>
      <c r="I149" s="685"/>
      <c r="J149" s="685"/>
      <c r="K149" s="685"/>
      <c r="L149" s="685"/>
      <c r="M149" s="685"/>
      <c r="N149" s="685"/>
      <c r="O149" s="685"/>
      <c r="P149" s="685"/>
      <c r="Q149" s="685"/>
      <c r="R149" s="685"/>
      <c r="S149" s="685"/>
      <c r="T149" s="685"/>
      <c r="U149" s="685"/>
      <c r="V149" s="685"/>
      <c r="W149" s="685"/>
      <c r="X149" s="685"/>
      <c r="Y149" s="685"/>
      <c r="Z149" s="685"/>
      <c r="AA149" s="65"/>
      <c r="AB149" s="65"/>
      <c r="AC149" s="79"/>
    </row>
    <row r="150" spans="1:68" ht="14.25" hidden="1" customHeight="1" x14ac:dyDescent="0.25">
      <c r="A150" s="686" t="s">
        <v>86</v>
      </c>
      <c r="B150" s="686"/>
      <c r="C150" s="686"/>
      <c r="D150" s="686"/>
      <c r="E150" s="686"/>
      <c r="F150" s="686"/>
      <c r="G150" s="686"/>
      <c r="H150" s="686"/>
      <c r="I150" s="686"/>
      <c r="J150" s="686"/>
      <c r="K150" s="686"/>
      <c r="L150" s="686"/>
      <c r="M150" s="686"/>
      <c r="N150" s="686"/>
      <c r="O150" s="686"/>
      <c r="P150" s="686"/>
      <c r="Q150" s="686"/>
      <c r="R150" s="686"/>
      <c r="S150" s="686"/>
      <c r="T150" s="686"/>
      <c r="U150" s="686"/>
      <c r="V150" s="686"/>
      <c r="W150" s="686"/>
      <c r="X150" s="686"/>
      <c r="Y150" s="686"/>
      <c r="Z150" s="686"/>
      <c r="AA150" s="66"/>
      <c r="AB150" s="66"/>
      <c r="AC150" s="80"/>
    </row>
    <row r="151" spans="1:68" ht="27" hidden="1" customHeight="1" x14ac:dyDescent="0.25">
      <c r="A151" s="63" t="s">
        <v>269</v>
      </c>
      <c r="B151" s="63" t="s">
        <v>270</v>
      </c>
      <c r="C151" s="36">
        <v>4301052174</v>
      </c>
      <c r="D151" s="687">
        <v>4680115888203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4301052172</v>
      </c>
      <c r="D152" s="687">
        <v>4680115888180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4301052173</v>
      </c>
      <c r="D153" s="687">
        <v>4680115888197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278</v>
      </c>
      <c r="B154" s="63" t="s">
        <v>279</v>
      </c>
      <c r="C154" s="36">
        <v>4301052175</v>
      </c>
      <c r="D154" s="687">
        <v>4680115888210</v>
      </c>
      <c r="E154" s="68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6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89"/>
      <c r="R154" s="689"/>
      <c r="S154" s="689"/>
      <c r="T154" s="69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280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39</v>
      </c>
      <c r="X155" s="43">
        <f>IFERROR(X151/H151,"0")+IFERROR(X152/H152,"0")+IFERROR(X153/H153,"0")+IFERROR(X154/H154,"0")</f>
        <v>0</v>
      </c>
      <c r="Y155" s="43">
        <f>IFERROR(Y151/H151,"0")+IFERROR(Y152/H152,"0")+IFERROR(Y153/H153,"0")+IFERROR(Y154/H154,"0")</f>
        <v>0</v>
      </c>
      <c r="Z155" s="43">
        <f>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95"/>
      <c r="B156" s="695"/>
      <c r="C156" s="695"/>
      <c r="D156" s="695"/>
      <c r="E156" s="695"/>
      <c r="F156" s="695"/>
      <c r="G156" s="695"/>
      <c r="H156" s="695"/>
      <c r="I156" s="695"/>
      <c r="J156" s="695"/>
      <c r="K156" s="695"/>
      <c r="L156" s="695"/>
      <c r="M156" s="695"/>
      <c r="N156" s="695"/>
      <c r="O156" s="696"/>
      <c r="P156" s="692" t="s">
        <v>40</v>
      </c>
      <c r="Q156" s="693"/>
      <c r="R156" s="693"/>
      <c r="S156" s="693"/>
      <c r="T156" s="693"/>
      <c r="U156" s="693"/>
      <c r="V156" s="694"/>
      <c r="W156" s="42" t="s">
        <v>0</v>
      </c>
      <c r="X156" s="43">
        <f>IFERROR(SUM(X151:X154),"0")</f>
        <v>0</v>
      </c>
      <c r="Y156" s="43">
        <f>IFERROR(SUM(Y151:Y154),"0")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85" t="s">
        <v>130</v>
      </c>
      <c r="B157" s="685"/>
      <c r="C157" s="685"/>
      <c r="D157" s="685"/>
      <c r="E157" s="685"/>
      <c r="F157" s="685"/>
      <c r="G157" s="685"/>
      <c r="H157" s="685"/>
      <c r="I157" s="685"/>
      <c r="J157" s="685"/>
      <c r="K157" s="685"/>
      <c r="L157" s="685"/>
      <c r="M157" s="685"/>
      <c r="N157" s="685"/>
      <c r="O157" s="685"/>
      <c r="P157" s="685"/>
      <c r="Q157" s="685"/>
      <c r="R157" s="685"/>
      <c r="S157" s="685"/>
      <c r="T157" s="685"/>
      <c r="U157" s="685"/>
      <c r="V157" s="685"/>
      <c r="W157" s="685"/>
      <c r="X157" s="685"/>
      <c r="Y157" s="685"/>
      <c r="Z157" s="685"/>
      <c r="AA157" s="65"/>
      <c r="AB157" s="65"/>
      <c r="AC157" s="79"/>
    </row>
    <row r="158" spans="1:68" ht="14.25" hidden="1" customHeight="1" x14ac:dyDescent="0.25">
      <c r="A158" s="686" t="s">
        <v>132</v>
      </c>
      <c r="B158" s="686"/>
      <c r="C158" s="686"/>
      <c r="D158" s="686"/>
      <c r="E158" s="686"/>
      <c r="F158" s="686"/>
      <c r="G158" s="686"/>
      <c r="H158" s="686"/>
      <c r="I158" s="686"/>
      <c r="J158" s="686"/>
      <c r="K158" s="686"/>
      <c r="L158" s="686"/>
      <c r="M158" s="686"/>
      <c r="N158" s="686"/>
      <c r="O158" s="686"/>
      <c r="P158" s="686"/>
      <c r="Q158" s="686"/>
      <c r="R158" s="686"/>
      <c r="S158" s="686"/>
      <c r="T158" s="686"/>
      <c r="U158" s="686"/>
      <c r="V158" s="686"/>
      <c r="W158" s="686"/>
      <c r="X158" s="686"/>
      <c r="Y158" s="686"/>
      <c r="Z158" s="686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4301012244</v>
      </c>
      <c r="D159" s="687">
        <v>4680115887374</v>
      </c>
      <c r="E159" s="687"/>
      <c r="F159" s="62">
        <v>1.6</v>
      </c>
      <c r="G159" s="37">
        <v>8</v>
      </c>
      <c r="H159" s="62">
        <v>12.8</v>
      </c>
      <c r="I159" s="62">
        <v>13.21</v>
      </c>
      <c r="J159" s="37">
        <v>64</v>
      </c>
      <c r="K159" s="37" t="s">
        <v>137</v>
      </c>
      <c r="L159" s="37" t="s">
        <v>46</v>
      </c>
      <c r="M159" s="38" t="s">
        <v>136</v>
      </c>
      <c r="N159" s="38"/>
      <c r="O159" s="37">
        <v>55</v>
      </c>
      <c r="P159" s="76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IFERROR(IF(Y159=0,"",ROUNDUP(Y159/H159,0)*0.01898),"")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87">
        <v>4607091384604</v>
      </c>
      <c r="E160" s="687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144</v>
      </c>
      <c r="L160" s="37" t="s">
        <v>46</v>
      </c>
      <c r="M160" s="38" t="s">
        <v>136</v>
      </c>
      <c r="N160" s="38"/>
      <c r="O160" s="37">
        <v>50</v>
      </c>
      <c r="P160" s="76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89"/>
      <c r="R160" s="689"/>
      <c r="S160" s="689"/>
      <c r="T160" s="690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39</v>
      </c>
      <c r="X161" s="43">
        <f>IFERROR(X159/H159,"0")+IFERROR(X160/H160,"0")</f>
        <v>0</v>
      </c>
      <c r="Y161" s="43">
        <f>IFERROR(Y159/H159,"0")+IFERROR(Y160/H160,"0")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hidden="1" x14ac:dyDescent="0.2">
      <c r="A162" s="695"/>
      <c r="B162" s="695"/>
      <c r="C162" s="695"/>
      <c r="D162" s="695"/>
      <c r="E162" s="695"/>
      <c r="F162" s="695"/>
      <c r="G162" s="695"/>
      <c r="H162" s="695"/>
      <c r="I162" s="695"/>
      <c r="J162" s="695"/>
      <c r="K162" s="695"/>
      <c r="L162" s="695"/>
      <c r="M162" s="695"/>
      <c r="N162" s="695"/>
      <c r="O162" s="696"/>
      <c r="P162" s="692" t="s">
        <v>40</v>
      </c>
      <c r="Q162" s="693"/>
      <c r="R162" s="693"/>
      <c r="S162" s="693"/>
      <c r="T162" s="693"/>
      <c r="U162" s="693"/>
      <c r="V162" s="694"/>
      <c r="W162" s="42" t="s">
        <v>0</v>
      </c>
      <c r="X162" s="43">
        <f>IFERROR(SUM(X159:X160),"0")</f>
        <v>0</v>
      </c>
      <c r="Y162" s="43">
        <f>IFERROR(SUM(Y159:Y160),"0")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86" t="s">
        <v>167</v>
      </c>
      <c r="B163" s="686"/>
      <c r="C163" s="686"/>
      <c r="D163" s="686"/>
      <c r="E163" s="686"/>
      <c r="F163" s="686"/>
      <c r="G163" s="686"/>
      <c r="H163" s="686"/>
      <c r="I163" s="686"/>
      <c r="J163" s="686"/>
      <c r="K163" s="686"/>
      <c r="L163" s="686"/>
      <c r="M163" s="686"/>
      <c r="N163" s="686"/>
      <c r="O163" s="686"/>
      <c r="P163" s="686"/>
      <c r="Q163" s="686"/>
      <c r="R163" s="686"/>
      <c r="S163" s="686"/>
      <c r="T163" s="686"/>
      <c r="U163" s="686"/>
      <c r="V163" s="686"/>
      <c r="W163" s="686"/>
      <c r="X163" s="686"/>
      <c r="Y163" s="686"/>
      <c r="Z163" s="686"/>
      <c r="AA163" s="66"/>
      <c r="AB163" s="66"/>
      <c r="AC163" s="80"/>
    </row>
    <row r="164" spans="1:68" ht="16.5" hidden="1" customHeight="1" x14ac:dyDescent="0.25">
      <c r="A164" s="63" t="s">
        <v>287</v>
      </c>
      <c r="B164" s="63" t="s">
        <v>288</v>
      </c>
      <c r="C164" s="36">
        <v>4301020410</v>
      </c>
      <c r="D164" s="687">
        <v>4680115887695</v>
      </c>
      <c r="E164" s="687"/>
      <c r="F164" s="62">
        <v>0.12</v>
      </c>
      <c r="G164" s="37">
        <v>6</v>
      </c>
      <c r="H164" s="62">
        <v>0.72</v>
      </c>
      <c r="I164" s="62">
        <v>0.85</v>
      </c>
      <c r="J164" s="37">
        <v>252</v>
      </c>
      <c r="K164" s="37" t="s">
        <v>82</v>
      </c>
      <c r="L164" s="37" t="s">
        <v>46</v>
      </c>
      <c r="M164" s="38" t="s">
        <v>81</v>
      </c>
      <c r="N164" s="38"/>
      <c r="O164" s="37">
        <v>30</v>
      </c>
      <c r="P164" s="76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4" s="689"/>
      <c r="R164" s="689"/>
      <c r="S164" s="689"/>
      <c r="T164" s="69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IFERROR(IF(Y164=0,"",ROUNDUP(Y164/H164,0)*0.00556),"")</f>
        <v/>
      </c>
      <c r="AA164" s="68" t="s">
        <v>46</v>
      </c>
      <c r="AB164" s="69" t="s">
        <v>46</v>
      </c>
      <c r="AC164" s="230" t="s">
        <v>289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95"/>
      <c r="B166" s="695"/>
      <c r="C166" s="695"/>
      <c r="D166" s="695"/>
      <c r="E166" s="695"/>
      <c r="F166" s="695"/>
      <c r="G166" s="695"/>
      <c r="H166" s="695"/>
      <c r="I166" s="695"/>
      <c r="J166" s="695"/>
      <c r="K166" s="695"/>
      <c r="L166" s="695"/>
      <c r="M166" s="695"/>
      <c r="N166" s="695"/>
      <c r="O166" s="696"/>
      <c r="P166" s="692" t="s">
        <v>40</v>
      </c>
      <c r="Q166" s="693"/>
      <c r="R166" s="693"/>
      <c r="S166" s="693"/>
      <c r="T166" s="693"/>
      <c r="U166" s="693"/>
      <c r="V166" s="694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686" t="s">
        <v>77</v>
      </c>
      <c r="B167" s="686"/>
      <c r="C167" s="686"/>
      <c r="D167" s="686"/>
      <c r="E167" s="686"/>
      <c r="F167" s="686"/>
      <c r="G167" s="686"/>
      <c r="H167" s="686"/>
      <c r="I167" s="686"/>
      <c r="J167" s="686"/>
      <c r="K167" s="686"/>
      <c r="L167" s="686"/>
      <c r="M167" s="686"/>
      <c r="N167" s="686"/>
      <c r="O167" s="686"/>
      <c r="P167" s="686"/>
      <c r="Q167" s="686"/>
      <c r="R167" s="686"/>
      <c r="S167" s="686"/>
      <c r="T167" s="686"/>
      <c r="U167" s="686"/>
      <c r="V167" s="686"/>
      <c r="W167" s="686"/>
      <c r="X167" s="686"/>
      <c r="Y167" s="686"/>
      <c r="Z167" s="686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4301031496</v>
      </c>
      <c r="D168" s="687">
        <v>4680115887428</v>
      </c>
      <c r="E168" s="687"/>
      <c r="F168" s="62">
        <v>0.7</v>
      </c>
      <c r="G168" s="37">
        <v>5</v>
      </c>
      <c r="H168" s="62">
        <v>3.5</v>
      </c>
      <c r="I168" s="62">
        <v>3.69</v>
      </c>
      <c r="J168" s="37">
        <v>132</v>
      </c>
      <c r="K168" s="37" t="s">
        <v>144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230</v>
      </c>
      <c r="Y168" s="55">
        <f t="shared" ref="Y168:Y178" si="21">IFERROR(IF(X168="",0,CEILING((X168/$H168),1)*$H168),"")</f>
        <v>231</v>
      </c>
      <c r="Z168" s="41">
        <f>IFERROR(IF(Y168=0,"",ROUNDUP(Y168/H168,0)*0.00902),"")</f>
        <v>0.59532000000000007</v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ref="BM168:BM178" si="22">IFERROR(X168*I168/H168,"0")</f>
        <v>242.48571428571427</v>
      </c>
      <c r="BN168" s="78">
        <f t="shared" ref="BN168:BN178" si="23">IFERROR(Y168*I168/H168,"0")</f>
        <v>243.54</v>
      </c>
      <c r="BO168" s="78">
        <f t="shared" ref="BO168:BO178" si="24">IFERROR(1/J168*(X168/H168),"0")</f>
        <v>0.4978354978354978</v>
      </c>
      <c r="BP168" s="78">
        <f t="shared" ref="BP168:BP178" si="25">IFERROR(1/J168*(Y168/H168),"0")</f>
        <v>0.5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4301030963</v>
      </c>
      <c r="D169" s="687">
        <v>4607091382426</v>
      </c>
      <c r="E169" s="687"/>
      <c r="F169" s="62">
        <v>0.9</v>
      </c>
      <c r="G169" s="37">
        <v>10</v>
      </c>
      <c r="H169" s="62">
        <v>9</v>
      </c>
      <c r="I169" s="62">
        <v>9.56</v>
      </c>
      <c r="J169" s="37">
        <v>64</v>
      </c>
      <c r="K169" s="37" t="s">
        <v>137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IFERROR(IF(Y169=0,"",ROUNDUP(Y169/H169,0)*0.01898),"")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4301031498</v>
      </c>
      <c r="D170" s="687">
        <v>4680115887398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144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250</v>
      </c>
      <c r="Y170" s="55">
        <f t="shared" si="21"/>
        <v>252</v>
      </c>
      <c r="Z170" s="41">
        <f>IFERROR(IF(Y170=0,"",ROUNDUP(Y170/H170,0)*0.00902),"")</f>
        <v>0.64944000000000002</v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263.57142857142856</v>
      </c>
      <c r="BN170" s="78">
        <f t="shared" si="23"/>
        <v>265.68</v>
      </c>
      <c r="BO170" s="78">
        <f t="shared" si="24"/>
        <v>0.54112554112554112</v>
      </c>
      <c r="BP170" s="78">
        <f t="shared" si="25"/>
        <v>0.54545454545454541</v>
      </c>
    </row>
    <row r="171" spans="1:68" ht="27" customHeight="1" x14ac:dyDescent="0.25">
      <c r="A171" s="63" t="s">
        <v>299</v>
      </c>
      <c r="B171" s="63" t="s">
        <v>300</v>
      </c>
      <c r="C171" s="36">
        <v>4301031497</v>
      </c>
      <c r="D171" s="687">
        <v>4680115887336</v>
      </c>
      <c r="E171" s="687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144</v>
      </c>
      <c r="L171" s="37" t="s">
        <v>46</v>
      </c>
      <c r="M171" s="38" t="s">
        <v>81</v>
      </c>
      <c r="N171" s="38"/>
      <c r="O171" s="37">
        <v>40</v>
      </c>
      <c r="P171" s="77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330</v>
      </c>
      <c r="Y171" s="55">
        <f t="shared" si="21"/>
        <v>332.5</v>
      </c>
      <c r="Z171" s="41">
        <f>IFERROR(IF(Y171=0,"",ROUNDUP(Y171/H171,0)*0.00902),"")</f>
        <v>0.8569</v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347.91428571428571</v>
      </c>
      <c r="BN171" s="78">
        <f t="shared" si="23"/>
        <v>350.55</v>
      </c>
      <c r="BO171" s="78">
        <f t="shared" si="24"/>
        <v>0.7142857142857143</v>
      </c>
      <c r="BP171" s="78">
        <f t="shared" si="25"/>
        <v>0.71969696969696972</v>
      </c>
    </row>
    <row r="172" spans="1:68" ht="16.5" hidden="1" customHeight="1" x14ac:dyDescent="0.25">
      <c r="A172" s="63" t="s">
        <v>302</v>
      </c>
      <c r="B172" s="63" t="s">
        <v>303</v>
      </c>
      <c r="C172" s="36">
        <v>4301032049</v>
      </c>
      <c r="D172" s="687">
        <v>4680115887787</v>
      </c>
      <c r="E172" s="687"/>
      <c r="F172" s="62">
        <v>0.09</v>
      </c>
      <c r="G172" s="37">
        <v>10</v>
      </c>
      <c r="H172" s="62">
        <v>0.9</v>
      </c>
      <c r="I172" s="62">
        <v>1.1100000000000001</v>
      </c>
      <c r="J172" s="37">
        <v>336</v>
      </c>
      <c r="K172" s="37" t="s">
        <v>141</v>
      </c>
      <c r="L172" s="37" t="s">
        <v>46</v>
      </c>
      <c r="M172" s="38" t="s">
        <v>81</v>
      </c>
      <c r="N172" s="38"/>
      <c r="O172" s="37">
        <v>45</v>
      </c>
      <c r="P172" s="77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IFERROR(IF(Y172=0,"",ROUNDUP(Y172/H172,0)*0.00417),"")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4301031448</v>
      </c>
      <c r="D173" s="687">
        <v>4680115887503</v>
      </c>
      <c r="E173" s="687"/>
      <c r="F173" s="62">
        <v>0.28000000000000003</v>
      </c>
      <c r="G173" s="37">
        <v>6</v>
      </c>
      <c r="H173" s="62">
        <v>1.68</v>
      </c>
      <c r="I173" s="62">
        <v>1.78</v>
      </c>
      <c r="J173" s="37">
        <v>234</v>
      </c>
      <c r="K173" s="37" t="s">
        <v>82</v>
      </c>
      <c r="L173" s="37" t="s">
        <v>46</v>
      </c>
      <c r="M173" s="38" t="s">
        <v>81</v>
      </c>
      <c r="N173" s="38"/>
      <c r="O173" s="37">
        <v>40</v>
      </c>
      <c r="P173" s="77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117.60000000000001</v>
      </c>
      <c r="Y173" s="55">
        <f t="shared" si="21"/>
        <v>117.6</v>
      </c>
      <c r="Z173" s="41">
        <f>IFERROR(IF(Y173=0,"",ROUNDUP(Y173/H173,0)*0.00502),"")</f>
        <v>0.35139999999999999</v>
      </c>
      <c r="AA173" s="68" t="s">
        <v>46</v>
      </c>
      <c r="AB173" s="69" t="s">
        <v>46</v>
      </c>
      <c r="AC173" s="242" t="s">
        <v>292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124.60000000000002</v>
      </c>
      <c r="BN173" s="78">
        <f t="shared" si="23"/>
        <v>124.60000000000001</v>
      </c>
      <c r="BO173" s="78">
        <f t="shared" si="24"/>
        <v>0.29914529914529925</v>
      </c>
      <c r="BP173" s="78">
        <f t="shared" si="25"/>
        <v>0.29914529914529919</v>
      </c>
    </row>
    <row r="174" spans="1:68" ht="27" customHeight="1" x14ac:dyDescent="0.25">
      <c r="A174" s="63" t="s">
        <v>307</v>
      </c>
      <c r="B174" s="63" t="s">
        <v>308</v>
      </c>
      <c r="C174" s="36">
        <v>4301031389</v>
      </c>
      <c r="D174" s="687">
        <v>4680115887763</v>
      </c>
      <c r="E174" s="687"/>
      <c r="F174" s="62">
        <v>0.09</v>
      </c>
      <c r="G174" s="37">
        <v>10</v>
      </c>
      <c r="H174" s="62">
        <v>0.9</v>
      </c>
      <c r="I174" s="62">
        <v>1.1100000000000001</v>
      </c>
      <c r="J174" s="37">
        <v>336</v>
      </c>
      <c r="K174" s="37" t="s">
        <v>141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4.5</v>
      </c>
      <c r="Y174" s="55">
        <f t="shared" si="21"/>
        <v>4.5</v>
      </c>
      <c r="Z174" s="41">
        <f>IFERROR(IF(Y174=0,"",ROUNDUP(Y174/H174,0)*0.00417),"")</f>
        <v>2.085E-2</v>
      </c>
      <c r="AA174" s="68" t="s">
        <v>46</v>
      </c>
      <c r="AB174" s="69" t="s">
        <v>46</v>
      </c>
      <c r="AC174" s="244" t="s">
        <v>309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5.55</v>
      </c>
      <c r="BN174" s="78">
        <f t="shared" si="23"/>
        <v>5.55</v>
      </c>
      <c r="BO174" s="78">
        <f t="shared" si="24"/>
        <v>1.488095238095238E-2</v>
      </c>
      <c r="BP174" s="78">
        <f t="shared" si="25"/>
        <v>1.488095238095238E-2</v>
      </c>
    </row>
    <row r="175" spans="1:68" ht="27" hidden="1" customHeight="1" x14ac:dyDescent="0.25">
      <c r="A175" s="63" t="s">
        <v>307</v>
      </c>
      <c r="B175" s="63" t="s">
        <v>310</v>
      </c>
      <c r="C175" s="36">
        <v>4301031510</v>
      </c>
      <c r="D175" s="687">
        <v>4680115887763</v>
      </c>
      <c r="E175" s="687"/>
      <c r="F175" s="62">
        <v>0.09</v>
      </c>
      <c r="G175" s="37">
        <v>8</v>
      </c>
      <c r="H175" s="62">
        <v>0.72</v>
      </c>
      <c r="I175" s="62">
        <v>0.90800000000000003</v>
      </c>
      <c r="J175" s="37">
        <v>336</v>
      </c>
      <c r="K175" s="37" t="s">
        <v>141</v>
      </c>
      <c r="L175" s="37" t="s">
        <v>46</v>
      </c>
      <c r="M175" s="38" t="s">
        <v>81</v>
      </c>
      <c r="N175" s="38"/>
      <c r="O175" s="37">
        <v>45</v>
      </c>
      <c r="P175" s="77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IFERROR(IF(Y175=0,"",ROUNDUP(Y175/H175,0)*0.00417),"")</f>
        <v/>
      </c>
      <c r="AA175" s="68" t="s">
        <v>46</v>
      </c>
      <c r="AB175" s="69" t="s">
        <v>46</v>
      </c>
      <c r="AC175" s="246" t="s">
        <v>309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customHeight="1" x14ac:dyDescent="0.25">
      <c r="A176" s="63" t="s">
        <v>311</v>
      </c>
      <c r="B176" s="63" t="s">
        <v>312</v>
      </c>
      <c r="C176" s="36">
        <v>4301031454</v>
      </c>
      <c r="D176" s="687">
        <v>4680115887480</v>
      </c>
      <c r="E176" s="687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77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100.80000000000001</v>
      </c>
      <c r="Y176" s="55">
        <f t="shared" si="21"/>
        <v>100.8</v>
      </c>
      <c r="Z176" s="41">
        <f>IFERROR(IF(Y176=0,"",ROUNDUP(Y176/H176,0)*0.00502),"")</f>
        <v>0.30120000000000002</v>
      </c>
      <c r="AA176" s="68" t="s">
        <v>46</v>
      </c>
      <c r="AB176" s="69" t="s">
        <v>46</v>
      </c>
      <c r="AC176" s="248" t="s">
        <v>298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106.80000000000003</v>
      </c>
      <c r="BN176" s="78">
        <f t="shared" si="23"/>
        <v>106.80000000000001</v>
      </c>
      <c r="BO176" s="78">
        <f t="shared" si="24"/>
        <v>0.25641025641025644</v>
      </c>
      <c r="BP176" s="78">
        <f t="shared" si="25"/>
        <v>0.25641025641025644</v>
      </c>
    </row>
    <row r="177" spans="1:68" ht="27" customHeight="1" x14ac:dyDescent="0.25">
      <c r="A177" s="63" t="s">
        <v>313</v>
      </c>
      <c r="B177" s="63" t="s">
        <v>314</v>
      </c>
      <c r="C177" s="36">
        <v>4301031434</v>
      </c>
      <c r="D177" s="687">
        <v>4680115888067</v>
      </c>
      <c r="E177" s="687"/>
      <c r="F177" s="62">
        <v>0.09</v>
      </c>
      <c r="G177" s="37">
        <v>10</v>
      </c>
      <c r="H177" s="62">
        <v>0.9</v>
      </c>
      <c r="I177" s="62">
        <v>1</v>
      </c>
      <c r="J177" s="37">
        <v>336</v>
      </c>
      <c r="K177" s="37" t="s">
        <v>141</v>
      </c>
      <c r="L177" s="37" t="s">
        <v>46</v>
      </c>
      <c r="M177" s="38" t="s">
        <v>81</v>
      </c>
      <c r="N177" s="38"/>
      <c r="O177" s="37">
        <v>45</v>
      </c>
      <c r="P177" s="77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4.5</v>
      </c>
      <c r="Y177" s="55">
        <f t="shared" si="21"/>
        <v>4.5</v>
      </c>
      <c r="Z177" s="41">
        <f>IFERROR(IF(Y177=0,"",ROUNDUP(Y177/H177,0)*0.00417),"")</f>
        <v>2.085E-2</v>
      </c>
      <c r="AA177" s="68" t="s">
        <v>46</v>
      </c>
      <c r="AB177" s="69" t="s">
        <v>46</v>
      </c>
      <c r="AC177" s="250" t="s">
        <v>315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5</v>
      </c>
      <c r="BN177" s="78">
        <f t="shared" si="23"/>
        <v>5</v>
      </c>
      <c r="BO177" s="78">
        <f t="shared" si="24"/>
        <v>1.488095238095238E-2</v>
      </c>
      <c r="BP177" s="78">
        <f t="shared" si="25"/>
        <v>1.488095238095238E-2</v>
      </c>
    </row>
    <row r="178" spans="1:68" ht="27" customHeight="1" x14ac:dyDescent="0.25">
      <c r="A178" s="63" t="s">
        <v>316</v>
      </c>
      <c r="B178" s="63" t="s">
        <v>317</v>
      </c>
      <c r="C178" s="36">
        <v>4301031451</v>
      </c>
      <c r="D178" s="687">
        <v>4680115887435</v>
      </c>
      <c r="E178" s="687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40</v>
      </c>
      <c r="P178" s="77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89"/>
      <c r="R178" s="689"/>
      <c r="S178" s="689"/>
      <c r="T178" s="690"/>
      <c r="U178" s="39" t="s">
        <v>46</v>
      </c>
      <c r="V178" s="39" t="s">
        <v>46</v>
      </c>
      <c r="W178" s="40" t="s">
        <v>0</v>
      </c>
      <c r="X178" s="58">
        <v>84.000000000000014</v>
      </c>
      <c r="Y178" s="55">
        <f t="shared" si="21"/>
        <v>84</v>
      </c>
      <c r="Z178" s="41">
        <f>IFERROR(IF(Y178=0,"",ROUNDUP(Y178/H178,0)*0.00502),"")</f>
        <v>0.251</v>
      </c>
      <c r="AA178" s="68" t="s">
        <v>46</v>
      </c>
      <c r="AB178" s="69" t="s">
        <v>46</v>
      </c>
      <c r="AC178" s="252" t="s">
        <v>301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89.000000000000028</v>
      </c>
      <c r="BN178" s="78">
        <f t="shared" si="23"/>
        <v>89.000000000000014</v>
      </c>
      <c r="BO178" s="78">
        <f t="shared" si="24"/>
        <v>0.21367521367521372</v>
      </c>
      <c r="BP178" s="78">
        <f t="shared" si="25"/>
        <v>0.21367521367521369</v>
      </c>
    </row>
    <row r="179" spans="1:68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39</v>
      </c>
      <c r="X179" s="43">
        <f>IFERROR(X168/H168,"0")+IFERROR(X169/H169,"0")+IFERROR(X170/H170,"0")+IFERROR(X171/H171,"0")+IFERROR(X172/H172,"0")+IFERROR(X173/H173,"0")+IFERROR(X174/H174,"0")+IFERROR(X175/H175,"0")+IFERROR(X176/H176,"0")+IFERROR(X177/H177,"0")+IFERROR(X178/H178,"0")</f>
        <v>421.42857142857144</v>
      </c>
      <c r="Y179" s="43">
        <f>IFERROR(Y168/H168,"0")+IFERROR(Y169/H169,"0")+IFERROR(Y170/H170,"0")+IFERROR(Y171/H171,"0")+IFERROR(Y172/H172,"0")+IFERROR(Y173/H173,"0")+IFERROR(Y174/H174,"0")+IFERROR(Y175/H175,"0")+IFERROR(Y176/H176,"0")+IFERROR(Y177/H177,"0")+IFERROR(Y178/H178,"0")</f>
        <v>423</v>
      </c>
      <c r="Z179" s="43">
        <f>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3.0469599999999994</v>
      </c>
      <c r="AA179" s="67"/>
      <c r="AB179" s="67"/>
      <c r="AC179" s="67"/>
    </row>
    <row r="180" spans="1:68" x14ac:dyDescent="0.2">
      <c r="A180" s="695"/>
      <c r="B180" s="695"/>
      <c r="C180" s="695"/>
      <c r="D180" s="695"/>
      <c r="E180" s="695"/>
      <c r="F180" s="695"/>
      <c r="G180" s="695"/>
      <c r="H180" s="695"/>
      <c r="I180" s="695"/>
      <c r="J180" s="695"/>
      <c r="K180" s="695"/>
      <c r="L180" s="695"/>
      <c r="M180" s="695"/>
      <c r="N180" s="695"/>
      <c r="O180" s="696"/>
      <c r="P180" s="692" t="s">
        <v>40</v>
      </c>
      <c r="Q180" s="693"/>
      <c r="R180" s="693"/>
      <c r="S180" s="693"/>
      <c r="T180" s="693"/>
      <c r="U180" s="693"/>
      <c r="V180" s="694"/>
      <c r="W180" s="42" t="s">
        <v>0</v>
      </c>
      <c r="X180" s="43">
        <f>IFERROR(SUM(X168:X178),"0")</f>
        <v>1121.4000000000001</v>
      </c>
      <c r="Y180" s="43">
        <f>IFERROR(SUM(Y168:Y178),"0")</f>
        <v>1126.9000000000001</v>
      </c>
      <c r="Z180" s="42"/>
      <c r="AA180" s="67"/>
      <c r="AB180" s="67"/>
      <c r="AC180" s="67"/>
    </row>
    <row r="181" spans="1:68" ht="14.25" hidden="1" customHeight="1" x14ac:dyDescent="0.25">
      <c r="A181" s="686" t="s">
        <v>86</v>
      </c>
      <c r="B181" s="686"/>
      <c r="C181" s="686"/>
      <c r="D181" s="686"/>
      <c r="E181" s="686"/>
      <c r="F181" s="686"/>
      <c r="G181" s="686"/>
      <c r="H181" s="686"/>
      <c r="I181" s="686"/>
      <c r="J181" s="686"/>
      <c r="K181" s="686"/>
      <c r="L181" s="686"/>
      <c r="M181" s="686"/>
      <c r="N181" s="686"/>
      <c r="O181" s="686"/>
      <c r="P181" s="686"/>
      <c r="Q181" s="686"/>
      <c r="R181" s="686"/>
      <c r="S181" s="686"/>
      <c r="T181" s="686"/>
      <c r="U181" s="686"/>
      <c r="V181" s="686"/>
      <c r="W181" s="686"/>
      <c r="X181" s="686"/>
      <c r="Y181" s="686"/>
      <c r="Z181" s="686"/>
      <c r="AA181" s="66"/>
      <c r="AB181" s="66"/>
      <c r="AC181" s="80"/>
    </row>
    <row r="182" spans="1:68" ht="16.5" hidden="1" customHeight="1" x14ac:dyDescent="0.25">
      <c r="A182" s="63" t="s">
        <v>318</v>
      </c>
      <c r="B182" s="63" t="s">
        <v>319</v>
      </c>
      <c r="C182" s="36">
        <v>4301052193</v>
      </c>
      <c r="D182" s="687">
        <v>4680115888395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hidden="1" customHeight="1" x14ac:dyDescent="0.25">
      <c r="A183" s="63" t="s">
        <v>321</v>
      </c>
      <c r="B183" s="63" t="s">
        <v>322</v>
      </c>
      <c r="C183" s="36">
        <v>4301052191</v>
      </c>
      <c r="D183" s="687">
        <v>4680115888371</v>
      </c>
      <c r="E183" s="687"/>
      <c r="F183" s="62">
        <v>0.42</v>
      </c>
      <c r="G183" s="37">
        <v>6</v>
      </c>
      <c r="H183" s="62">
        <v>2.52</v>
      </c>
      <c r="I183" s="62">
        <v>2.766</v>
      </c>
      <c r="J183" s="37">
        <v>182</v>
      </c>
      <c r="K183" s="37" t="s">
        <v>91</v>
      </c>
      <c r="L183" s="37" t="s">
        <v>46</v>
      </c>
      <c r="M183" s="38" t="s">
        <v>97</v>
      </c>
      <c r="N183" s="38"/>
      <c r="O183" s="37">
        <v>40</v>
      </c>
      <c r="P183" s="78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t="27" hidden="1" customHeight="1" x14ac:dyDescent="0.25">
      <c r="A184" s="63" t="s">
        <v>324</v>
      </c>
      <c r="B184" s="63" t="s">
        <v>325</v>
      </c>
      <c r="C184" s="36">
        <v>4301052064</v>
      </c>
      <c r="D184" s="687">
        <v>4680115887459</v>
      </c>
      <c r="E184" s="687"/>
      <c r="F184" s="62">
        <v>0.3</v>
      </c>
      <c r="G184" s="37">
        <v>6</v>
      </c>
      <c r="H184" s="62">
        <v>1.8</v>
      </c>
      <c r="I184" s="62">
        <v>2.0579999999999998</v>
      </c>
      <c r="J184" s="37">
        <v>182</v>
      </c>
      <c r="K184" s="37" t="s">
        <v>91</v>
      </c>
      <c r="L184" s="37" t="s">
        <v>46</v>
      </c>
      <c r="M184" s="38" t="s">
        <v>90</v>
      </c>
      <c r="N184" s="38"/>
      <c r="O184" s="37">
        <v>45</v>
      </c>
      <c r="P184" s="78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4" s="689"/>
      <c r="R184" s="689"/>
      <c r="S184" s="689"/>
      <c r="T184" s="690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39</v>
      </c>
      <c r="X185" s="43">
        <f>IFERROR(X182/H182,"0")+IFERROR(X183/H183,"0")+IFERROR(X184/H184,"0")</f>
        <v>0</v>
      </c>
      <c r="Y185" s="43">
        <f>IFERROR(Y182/H182,"0")+IFERROR(Y183/H183,"0")+IFERROR(Y184/H184,"0")</f>
        <v>0</v>
      </c>
      <c r="Z185" s="43">
        <f>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695"/>
      <c r="B186" s="695"/>
      <c r="C186" s="695"/>
      <c r="D186" s="695"/>
      <c r="E186" s="695"/>
      <c r="F186" s="695"/>
      <c r="G186" s="695"/>
      <c r="H186" s="695"/>
      <c r="I186" s="695"/>
      <c r="J186" s="695"/>
      <c r="K186" s="695"/>
      <c r="L186" s="695"/>
      <c r="M186" s="695"/>
      <c r="N186" s="695"/>
      <c r="O186" s="696"/>
      <c r="P186" s="692" t="s">
        <v>40</v>
      </c>
      <c r="Q186" s="693"/>
      <c r="R186" s="693"/>
      <c r="S186" s="693"/>
      <c r="T186" s="693"/>
      <c r="U186" s="693"/>
      <c r="V186" s="694"/>
      <c r="W186" s="42" t="s">
        <v>0</v>
      </c>
      <c r="X186" s="43">
        <f>IFERROR(SUM(X182:X184),"0")</f>
        <v>0</v>
      </c>
      <c r="Y186" s="43">
        <f>IFERROR(SUM(Y182:Y184),"0")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686" t="s">
        <v>107</v>
      </c>
      <c r="B187" s="686"/>
      <c r="C187" s="686"/>
      <c r="D187" s="686"/>
      <c r="E187" s="686"/>
      <c r="F187" s="686"/>
      <c r="G187" s="686"/>
      <c r="H187" s="686"/>
      <c r="I187" s="686"/>
      <c r="J187" s="686"/>
      <c r="K187" s="686"/>
      <c r="L187" s="686"/>
      <c r="M187" s="686"/>
      <c r="N187" s="686"/>
      <c r="O187" s="686"/>
      <c r="P187" s="686"/>
      <c r="Q187" s="686"/>
      <c r="R187" s="686"/>
      <c r="S187" s="686"/>
      <c r="T187" s="686"/>
      <c r="U187" s="686"/>
      <c r="V187" s="686"/>
      <c r="W187" s="686"/>
      <c r="X187" s="686"/>
      <c r="Y187" s="686"/>
      <c r="Z187" s="686"/>
      <c r="AA187" s="66"/>
      <c r="AB187" s="66"/>
      <c r="AC187" s="80"/>
    </row>
    <row r="188" spans="1:68" ht="16.5" hidden="1" customHeight="1" x14ac:dyDescent="0.25">
      <c r="A188" s="63" t="s">
        <v>327</v>
      </c>
      <c r="B188" s="63" t="s">
        <v>328</v>
      </c>
      <c r="C188" s="36">
        <v>4301032058</v>
      </c>
      <c r="D188" s="687">
        <v>4680115889026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331</v>
      </c>
      <c r="L188" s="37" t="s">
        <v>46</v>
      </c>
      <c r="M188" s="38" t="s">
        <v>330</v>
      </c>
      <c r="N188" s="38"/>
      <c r="O188" s="37">
        <v>60</v>
      </c>
      <c r="P188" s="78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329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332</v>
      </c>
      <c r="B189" s="63" t="s">
        <v>333</v>
      </c>
      <c r="C189" s="36">
        <v>4301032057</v>
      </c>
      <c r="D189" s="687">
        <v>4680115889088</v>
      </c>
      <c r="E189" s="687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331</v>
      </c>
      <c r="L189" s="37" t="s">
        <v>46</v>
      </c>
      <c r="M189" s="38" t="s">
        <v>330</v>
      </c>
      <c r="N189" s="38"/>
      <c r="O189" s="37">
        <v>45</v>
      </c>
      <c r="P189" s="783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9" s="689"/>
      <c r="R189" s="689"/>
      <c r="S189" s="689"/>
      <c r="T189" s="69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39</v>
      </c>
      <c r="X190" s="43">
        <f>IFERROR(X188/H188,"0")+IFERROR(X189/H189,"0")</f>
        <v>0</v>
      </c>
      <c r="Y190" s="43">
        <f>IFERROR(Y188/H188,"0")+IFERROR(Y189/H189,"0")</f>
        <v>0</v>
      </c>
      <c r="Z190" s="43">
        <f>IFERROR(IF(Z188="",0,Z188),"0")+IFERROR(IF(Z189="",0,Z189),"0")</f>
        <v>0</v>
      </c>
      <c r="AA190" s="67"/>
      <c r="AB190" s="67"/>
      <c r="AC190" s="67"/>
    </row>
    <row r="191" spans="1:68" hidden="1" x14ac:dyDescent="0.2">
      <c r="A191" s="695"/>
      <c r="B191" s="695"/>
      <c r="C191" s="695"/>
      <c r="D191" s="695"/>
      <c r="E191" s="695"/>
      <c r="F191" s="695"/>
      <c r="G191" s="695"/>
      <c r="H191" s="695"/>
      <c r="I191" s="695"/>
      <c r="J191" s="695"/>
      <c r="K191" s="695"/>
      <c r="L191" s="695"/>
      <c r="M191" s="695"/>
      <c r="N191" s="695"/>
      <c r="O191" s="696"/>
      <c r="P191" s="692" t="s">
        <v>40</v>
      </c>
      <c r="Q191" s="693"/>
      <c r="R191" s="693"/>
      <c r="S191" s="693"/>
      <c r="T191" s="693"/>
      <c r="U191" s="693"/>
      <c r="V191" s="694"/>
      <c r="W191" s="42" t="s">
        <v>0</v>
      </c>
      <c r="X191" s="43">
        <f>IFERROR(SUM(X188:X189),"0")</f>
        <v>0</v>
      </c>
      <c r="Y191" s="43">
        <f>IFERROR(SUM(Y188:Y189),"0")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86" t="s">
        <v>335</v>
      </c>
      <c r="B192" s="686"/>
      <c r="C192" s="686"/>
      <c r="D192" s="686"/>
      <c r="E192" s="686"/>
      <c r="F192" s="686"/>
      <c r="G192" s="686"/>
      <c r="H192" s="686"/>
      <c r="I192" s="686"/>
      <c r="J192" s="686"/>
      <c r="K192" s="686"/>
      <c r="L192" s="686"/>
      <c r="M192" s="686"/>
      <c r="N192" s="686"/>
      <c r="O192" s="686"/>
      <c r="P192" s="686"/>
      <c r="Q192" s="686"/>
      <c r="R192" s="686"/>
      <c r="S192" s="686"/>
      <c r="T192" s="686"/>
      <c r="U192" s="686"/>
      <c r="V192" s="686"/>
      <c r="W192" s="686"/>
      <c r="X192" s="686"/>
      <c r="Y192" s="686"/>
      <c r="Z192" s="686"/>
      <c r="AA192" s="66"/>
      <c r="AB192" s="66"/>
      <c r="AC192" s="80"/>
    </row>
    <row r="193" spans="1:68" ht="27" hidden="1" customHeight="1" x14ac:dyDescent="0.25">
      <c r="A193" s="63" t="s">
        <v>336</v>
      </c>
      <c r="B193" s="63" t="s">
        <v>337</v>
      </c>
      <c r="C193" s="36">
        <v>4301041009</v>
      </c>
      <c r="D193" s="687">
        <v>4680115889033</v>
      </c>
      <c r="E193" s="687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331</v>
      </c>
      <c r="L193" s="37" t="s">
        <v>46</v>
      </c>
      <c r="M193" s="38" t="s">
        <v>330</v>
      </c>
      <c r="N193" s="38"/>
      <c r="O193" s="37">
        <v>60</v>
      </c>
      <c r="P193" s="78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89"/>
      <c r="R193" s="689"/>
      <c r="S193" s="689"/>
      <c r="T193" s="69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338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95"/>
      <c r="B195" s="695"/>
      <c r="C195" s="695"/>
      <c r="D195" s="695"/>
      <c r="E195" s="695"/>
      <c r="F195" s="695"/>
      <c r="G195" s="695"/>
      <c r="H195" s="695"/>
      <c r="I195" s="695"/>
      <c r="J195" s="695"/>
      <c r="K195" s="695"/>
      <c r="L195" s="695"/>
      <c r="M195" s="695"/>
      <c r="N195" s="695"/>
      <c r="O195" s="696"/>
      <c r="P195" s="692" t="s">
        <v>40</v>
      </c>
      <c r="Q195" s="693"/>
      <c r="R195" s="693"/>
      <c r="S195" s="693"/>
      <c r="T195" s="693"/>
      <c r="U195" s="693"/>
      <c r="V195" s="694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84" t="s">
        <v>339</v>
      </c>
      <c r="B196" s="684"/>
      <c r="C196" s="684"/>
      <c r="D196" s="684"/>
      <c r="E196" s="684"/>
      <c r="F196" s="684"/>
      <c r="G196" s="684"/>
      <c r="H196" s="684"/>
      <c r="I196" s="684"/>
      <c r="J196" s="684"/>
      <c r="K196" s="684"/>
      <c r="L196" s="684"/>
      <c r="M196" s="684"/>
      <c r="N196" s="684"/>
      <c r="O196" s="684"/>
      <c r="P196" s="684"/>
      <c r="Q196" s="684"/>
      <c r="R196" s="684"/>
      <c r="S196" s="684"/>
      <c r="T196" s="684"/>
      <c r="U196" s="684"/>
      <c r="V196" s="684"/>
      <c r="W196" s="684"/>
      <c r="X196" s="684"/>
      <c r="Y196" s="684"/>
      <c r="Z196" s="684"/>
      <c r="AA196" s="54"/>
      <c r="AB196" s="54"/>
      <c r="AC196" s="54"/>
    </row>
    <row r="197" spans="1:68" ht="16.5" hidden="1" customHeight="1" x14ac:dyDescent="0.25">
      <c r="A197" s="685" t="s">
        <v>340</v>
      </c>
      <c r="B197" s="685"/>
      <c r="C197" s="685"/>
      <c r="D197" s="685"/>
      <c r="E197" s="685"/>
      <c r="F197" s="685"/>
      <c r="G197" s="685"/>
      <c r="H197" s="685"/>
      <c r="I197" s="685"/>
      <c r="J197" s="685"/>
      <c r="K197" s="685"/>
      <c r="L197" s="685"/>
      <c r="M197" s="685"/>
      <c r="N197" s="685"/>
      <c r="O197" s="685"/>
      <c r="P197" s="685"/>
      <c r="Q197" s="685"/>
      <c r="R197" s="685"/>
      <c r="S197" s="685"/>
      <c r="T197" s="685"/>
      <c r="U197" s="685"/>
      <c r="V197" s="685"/>
      <c r="W197" s="685"/>
      <c r="X197" s="685"/>
      <c r="Y197" s="685"/>
      <c r="Z197" s="685"/>
      <c r="AA197" s="65"/>
      <c r="AB197" s="65"/>
      <c r="AC197" s="79"/>
    </row>
    <row r="198" spans="1:68" ht="14.25" hidden="1" customHeight="1" x14ac:dyDescent="0.25">
      <c r="A198" s="686" t="s">
        <v>132</v>
      </c>
      <c r="B198" s="686"/>
      <c r="C198" s="686"/>
      <c r="D198" s="686"/>
      <c r="E198" s="686"/>
      <c r="F198" s="686"/>
      <c r="G198" s="686"/>
      <c r="H198" s="686"/>
      <c r="I198" s="686"/>
      <c r="J198" s="686"/>
      <c r="K198" s="686"/>
      <c r="L198" s="686"/>
      <c r="M198" s="686"/>
      <c r="N198" s="686"/>
      <c r="O198" s="686"/>
      <c r="P198" s="686"/>
      <c r="Q198" s="686"/>
      <c r="R198" s="686"/>
      <c r="S198" s="686"/>
      <c r="T198" s="686"/>
      <c r="U198" s="686"/>
      <c r="V198" s="686"/>
      <c r="W198" s="686"/>
      <c r="X198" s="686"/>
      <c r="Y198" s="686"/>
      <c r="Z198" s="686"/>
      <c r="AA198" s="66"/>
      <c r="AB198" s="66"/>
      <c r="AC198" s="80"/>
    </row>
    <row r="199" spans="1:68" ht="27" hidden="1" customHeight="1" x14ac:dyDescent="0.25">
      <c r="A199" s="63" t="s">
        <v>341</v>
      </c>
      <c r="B199" s="63" t="s">
        <v>342</v>
      </c>
      <c r="C199" s="36">
        <v>4301012340</v>
      </c>
      <c r="D199" s="687">
        <v>4680115888760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137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6">IFERROR(IF(X199="",0,CEILING((X199/$H199),1)*$H199),"")</f>
        <v>0</v>
      </c>
      <c r="Z199" s="41" t="str">
        <f t="shared" ref="Z199:Z205" si="27">IFERROR(IF(Y199=0,"",ROUNDUP(Y199/H199,0)*0.01898),"")</f>
        <v/>
      </c>
      <c r="AA199" s="68" t="s">
        <v>46</v>
      </c>
      <c r="AB199" s="69" t="s">
        <v>117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8">IFERROR(X199*I199/H199,"0")</f>
        <v>0</v>
      </c>
      <c r="BN199" s="78">
        <f t="shared" ref="BN199:BN205" si="29">IFERROR(Y199*I199/H199,"0")</f>
        <v>0</v>
      </c>
      <c r="BO199" s="78">
        <f t="shared" ref="BO199:BO205" si="30">IFERROR(1/J199*(X199/H199),"0")</f>
        <v>0</v>
      </c>
      <c r="BP199" s="78">
        <f t="shared" ref="BP199:BP205" si="31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4301012341</v>
      </c>
      <c r="D200" s="687">
        <v>4680115888807</v>
      </c>
      <c r="E200" s="68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137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6"/>
        <v>0</v>
      </c>
      <c r="Z200" s="41" t="str">
        <f t="shared" si="27"/>
        <v/>
      </c>
      <c r="AA200" s="68" t="s">
        <v>46</v>
      </c>
      <c r="AB200" s="69" t="s">
        <v>117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8"/>
        <v>0</v>
      </c>
      <c r="BN200" s="78">
        <f t="shared" si="29"/>
        <v>0</v>
      </c>
      <c r="BO200" s="78">
        <f t="shared" si="30"/>
        <v>0</v>
      </c>
      <c r="BP200" s="78">
        <f t="shared" si="31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4301012342</v>
      </c>
      <c r="D201" s="687">
        <v>4680115888852</v>
      </c>
      <c r="E201" s="68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137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6"/>
        <v>0</v>
      </c>
      <c r="Z201" s="41" t="str">
        <f t="shared" si="27"/>
        <v/>
      </c>
      <c r="AA201" s="68" t="s">
        <v>46</v>
      </c>
      <c r="AB201" s="69" t="s">
        <v>117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8"/>
        <v>0</v>
      </c>
      <c r="BN201" s="78">
        <f t="shared" si="29"/>
        <v>0</v>
      </c>
      <c r="BO201" s="78">
        <f t="shared" si="30"/>
        <v>0</v>
      </c>
      <c r="BP201" s="78">
        <f t="shared" si="31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4301011223</v>
      </c>
      <c r="D202" s="687">
        <v>4607091383423</v>
      </c>
      <c r="E202" s="687"/>
      <c r="F202" s="62">
        <v>1.35</v>
      </c>
      <c r="G202" s="37">
        <v>8</v>
      </c>
      <c r="H202" s="62">
        <v>10.8</v>
      </c>
      <c r="I202" s="62">
        <v>11.305999999999999</v>
      </c>
      <c r="J202" s="37">
        <v>64</v>
      </c>
      <c r="K202" s="37" t="s">
        <v>137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6"/>
        <v>0</v>
      </c>
      <c r="Z202" s="41" t="str">
        <f t="shared" si="27"/>
        <v/>
      </c>
      <c r="AA202" s="68" t="s">
        <v>46</v>
      </c>
      <c r="AB202" s="69" t="s">
        <v>46</v>
      </c>
      <c r="AC202" s="272" t="s">
        <v>135</v>
      </c>
      <c r="AG202" s="78"/>
      <c r="AJ202" s="84" t="s">
        <v>46</v>
      </c>
      <c r="AK202" s="84">
        <v>0</v>
      </c>
      <c r="BB202" s="273" t="s">
        <v>67</v>
      </c>
      <c r="BM202" s="78">
        <f t="shared" si="28"/>
        <v>0</v>
      </c>
      <c r="BN202" s="78">
        <f t="shared" si="29"/>
        <v>0</v>
      </c>
      <c r="BO202" s="78">
        <f t="shared" si="30"/>
        <v>0</v>
      </c>
      <c r="BP202" s="78">
        <f t="shared" si="31"/>
        <v>0</v>
      </c>
    </row>
    <row r="203" spans="1:68" ht="37.5" hidden="1" customHeight="1" x14ac:dyDescent="0.25">
      <c r="A203" s="63" t="s">
        <v>352</v>
      </c>
      <c r="B203" s="63" t="s">
        <v>353</v>
      </c>
      <c r="C203" s="36">
        <v>4301012370</v>
      </c>
      <c r="D203" s="687">
        <v>4680115886957</v>
      </c>
      <c r="E203" s="687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137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6"/>
        <v>0</v>
      </c>
      <c r="Z203" s="41" t="str">
        <f t="shared" si="27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8"/>
        <v>0</v>
      </c>
      <c r="BN203" s="78">
        <f t="shared" si="29"/>
        <v>0</v>
      </c>
      <c r="BO203" s="78">
        <f t="shared" si="30"/>
        <v>0</v>
      </c>
      <c r="BP203" s="78">
        <f t="shared" si="31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4301012098</v>
      </c>
      <c r="D204" s="687">
        <v>4680115885660</v>
      </c>
      <c r="E204" s="687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137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358</v>
      </c>
      <c r="B205" s="63" t="s">
        <v>359</v>
      </c>
      <c r="C205" s="36">
        <v>4301012369</v>
      </c>
      <c r="D205" s="687">
        <v>4680115886773</v>
      </c>
      <c r="E205" s="687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137</v>
      </c>
      <c r="L205" s="37" t="s">
        <v>46</v>
      </c>
      <c r="M205" s="38" t="s">
        <v>90</v>
      </c>
      <c r="N205" s="38"/>
      <c r="O205" s="37">
        <v>35</v>
      </c>
      <c r="P205" s="79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89"/>
      <c r="R205" s="689"/>
      <c r="S205" s="689"/>
      <c r="T205" s="690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360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95"/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6"/>
      <c r="P207" s="692" t="s">
        <v>40</v>
      </c>
      <c r="Q207" s="693"/>
      <c r="R207" s="693"/>
      <c r="S207" s="693"/>
      <c r="T207" s="693"/>
      <c r="U207" s="693"/>
      <c r="V207" s="694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85" t="s">
        <v>361</v>
      </c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5"/>
      <c r="P208" s="685"/>
      <c r="Q208" s="685"/>
      <c r="R208" s="685"/>
      <c r="S208" s="685"/>
      <c r="T208" s="685"/>
      <c r="U208" s="685"/>
      <c r="V208" s="685"/>
      <c r="W208" s="685"/>
      <c r="X208" s="685"/>
      <c r="Y208" s="685"/>
      <c r="Z208" s="685"/>
      <c r="AA208" s="65"/>
      <c r="AB208" s="65"/>
      <c r="AC208" s="79"/>
    </row>
    <row r="209" spans="1:68" ht="14.25" hidden="1" customHeight="1" x14ac:dyDescent="0.25">
      <c r="A209" s="686" t="s">
        <v>167</v>
      </c>
      <c r="B209" s="686"/>
      <c r="C209" s="686"/>
      <c r="D209" s="686"/>
      <c r="E209" s="686"/>
      <c r="F209" s="686"/>
      <c r="G209" s="686"/>
      <c r="H209" s="686"/>
      <c r="I209" s="686"/>
      <c r="J209" s="686"/>
      <c r="K209" s="686"/>
      <c r="L209" s="686"/>
      <c r="M209" s="686"/>
      <c r="N209" s="686"/>
      <c r="O209" s="686"/>
      <c r="P209" s="686"/>
      <c r="Q209" s="686"/>
      <c r="R209" s="686"/>
      <c r="S209" s="686"/>
      <c r="T209" s="686"/>
      <c r="U209" s="686"/>
      <c r="V209" s="686"/>
      <c r="W209" s="686"/>
      <c r="X209" s="686"/>
      <c r="Y209" s="686"/>
      <c r="Z209" s="686"/>
      <c r="AA209" s="66"/>
      <c r="AB209" s="66"/>
      <c r="AC209" s="80"/>
    </row>
    <row r="210" spans="1:68" ht="27" hidden="1" customHeight="1" x14ac:dyDescent="0.25">
      <c r="A210" s="63" t="s">
        <v>362</v>
      </c>
      <c r="B210" s="63" t="s">
        <v>363</v>
      </c>
      <c r="C210" s="36">
        <v>4301020323</v>
      </c>
      <c r="D210" s="687">
        <v>4680115886223</v>
      </c>
      <c r="E210" s="687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7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89"/>
      <c r="R210" s="689"/>
      <c r="S210" s="689"/>
      <c r="T210" s="690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364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95"/>
      <c r="B212" s="695"/>
      <c r="C212" s="695"/>
      <c r="D212" s="695"/>
      <c r="E212" s="695"/>
      <c r="F212" s="695"/>
      <c r="G212" s="695"/>
      <c r="H212" s="695"/>
      <c r="I212" s="695"/>
      <c r="J212" s="695"/>
      <c r="K212" s="695"/>
      <c r="L212" s="695"/>
      <c r="M212" s="695"/>
      <c r="N212" s="695"/>
      <c r="O212" s="696"/>
      <c r="P212" s="692" t="s">
        <v>40</v>
      </c>
      <c r="Q212" s="693"/>
      <c r="R212" s="693"/>
      <c r="S212" s="693"/>
      <c r="T212" s="693"/>
      <c r="U212" s="693"/>
      <c r="V212" s="694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86" t="s">
        <v>77</v>
      </c>
      <c r="B213" s="686"/>
      <c r="C213" s="686"/>
      <c r="D213" s="686"/>
      <c r="E213" s="686"/>
      <c r="F213" s="686"/>
      <c r="G213" s="686"/>
      <c r="H213" s="686"/>
      <c r="I213" s="686"/>
      <c r="J213" s="686"/>
      <c r="K213" s="686"/>
      <c r="L213" s="686"/>
      <c r="M213" s="686"/>
      <c r="N213" s="686"/>
      <c r="O213" s="686"/>
      <c r="P213" s="686"/>
      <c r="Q213" s="686"/>
      <c r="R213" s="686"/>
      <c r="S213" s="686"/>
      <c r="T213" s="686"/>
      <c r="U213" s="686"/>
      <c r="V213" s="686"/>
      <c r="W213" s="686"/>
      <c r="X213" s="686"/>
      <c r="Y213" s="686"/>
      <c r="Z213" s="686"/>
      <c r="AA213" s="66"/>
      <c r="AB213" s="66"/>
      <c r="AC213" s="80"/>
    </row>
    <row r="214" spans="1:68" ht="27" hidden="1" customHeight="1" x14ac:dyDescent="0.25">
      <c r="A214" s="63" t="s">
        <v>365</v>
      </c>
      <c r="B214" s="63" t="s">
        <v>366</v>
      </c>
      <c r="C214" s="36">
        <v>4301031191</v>
      </c>
      <c r="D214" s="687">
        <v>4680115880993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144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7" si="32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7" si="33">IFERROR(X214*I214/H214,"0")</f>
        <v>0</v>
      </c>
      <c r="BN214" s="78">
        <f t="shared" ref="BN214:BN227" si="34">IFERROR(Y214*I214/H214,"0")</f>
        <v>0</v>
      </c>
      <c r="BO214" s="78">
        <f t="shared" ref="BO214:BO227" si="35">IFERROR(1/J214*(X214/H214),"0")</f>
        <v>0</v>
      </c>
      <c r="BP214" s="78">
        <f t="shared" ref="BP214:BP227" si="36">IFERROR(1/J214*(Y214/H214),"0")</f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4301031204</v>
      </c>
      <c r="D215" s="687">
        <v>4680115881761</v>
      </c>
      <c r="E215" s="687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144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2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customHeight="1" x14ac:dyDescent="0.25">
      <c r="A216" s="63" t="s">
        <v>371</v>
      </c>
      <c r="B216" s="63" t="s">
        <v>372</v>
      </c>
      <c r="C216" s="36">
        <v>4301031201</v>
      </c>
      <c r="D216" s="687">
        <v>4680115881563</v>
      </c>
      <c r="E216" s="687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144</v>
      </c>
      <c r="L216" s="37" t="s">
        <v>46</v>
      </c>
      <c r="M216" s="38" t="s">
        <v>81</v>
      </c>
      <c r="N216" s="38"/>
      <c r="O216" s="37">
        <v>40</v>
      </c>
      <c r="P216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20</v>
      </c>
      <c r="Y216" s="55">
        <f t="shared" si="32"/>
        <v>21</v>
      </c>
      <c r="Z216" s="41">
        <f>IFERROR(IF(Y216=0,"",ROUNDUP(Y216/H216,0)*0.00902),"")</f>
        <v>4.5100000000000001E-2</v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33"/>
        <v>20.904761904761902</v>
      </c>
      <c r="BN216" s="78">
        <f t="shared" si="34"/>
        <v>21.95</v>
      </c>
      <c r="BO216" s="78">
        <f t="shared" si="35"/>
        <v>3.6075036075036072E-2</v>
      </c>
      <c r="BP216" s="78">
        <f t="shared" si="36"/>
        <v>3.787878787878788E-2</v>
      </c>
    </row>
    <row r="217" spans="1:68" ht="37.5" customHeight="1" x14ac:dyDescent="0.25">
      <c r="A217" s="63" t="s">
        <v>374</v>
      </c>
      <c r="B217" s="63" t="s">
        <v>375</v>
      </c>
      <c r="C217" s="36">
        <v>4301031447</v>
      </c>
      <c r="D217" s="687">
        <v>4680115887565</v>
      </c>
      <c r="E217" s="687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20</v>
      </c>
      <c r="Y217" s="55">
        <f t="shared" si="32"/>
        <v>20</v>
      </c>
      <c r="Z217" s="41">
        <f>IFERROR(IF(Y217=0,"",ROUNDUP(Y217/H217,0)*0.00556),"")</f>
        <v>0.13899999999999998</v>
      </c>
      <c r="AA217" s="68" t="s">
        <v>46</v>
      </c>
      <c r="AB217" s="69" t="s">
        <v>46</v>
      </c>
      <c r="AC217" s="288" t="s">
        <v>376</v>
      </c>
      <c r="AG217" s="78"/>
      <c r="AJ217" s="84" t="s">
        <v>46</v>
      </c>
      <c r="AK217" s="84">
        <v>0</v>
      </c>
      <c r="BB217" s="289" t="s">
        <v>67</v>
      </c>
      <c r="BM217" s="78">
        <f t="shared" si="33"/>
        <v>23.25</v>
      </c>
      <c r="BN217" s="78">
        <f t="shared" si="34"/>
        <v>23.25</v>
      </c>
      <c r="BO217" s="78">
        <f t="shared" si="35"/>
        <v>9.9206349206349201E-2</v>
      </c>
      <c r="BP217" s="78">
        <f t="shared" si="36"/>
        <v>9.9206349206349201E-2</v>
      </c>
    </row>
    <row r="218" spans="1:68" ht="27" customHeight="1" x14ac:dyDescent="0.25">
      <c r="A218" s="63" t="s">
        <v>377</v>
      </c>
      <c r="B218" s="63" t="s">
        <v>378</v>
      </c>
      <c r="C218" s="36">
        <v>4301031199</v>
      </c>
      <c r="D218" s="687">
        <v>4680115880986</v>
      </c>
      <c r="E218" s="687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122.49999999999999</v>
      </c>
      <c r="Y218" s="55">
        <f t="shared" si="32"/>
        <v>123.9</v>
      </c>
      <c r="Z218" s="41">
        <f t="shared" ref="Z218:Z223" si="37">IFERROR(IF(Y218=0,"",ROUNDUP(Y218/H218,0)*0.00502),"")</f>
        <v>0.29618</v>
      </c>
      <c r="AA218" s="68" t="s">
        <v>46</v>
      </c>
      <c r="AB218" s="69" t="s">
        <v>46</v>
      </c>
      <c r="AC218" s="290" t="s">
        <v>367</v>
      </c>
      <c r="AG218" s="78"/>
      <c r="AJ218" s="84" t="s">
        <v>46</v>
      </c>
      <c r="AK218" s="84">
        <v>0</v>
      </c>
      <c r="BB218" s="291" t="s">
        <v>67</v>
      </c>
      <c r="BM218" s="78">
        <f t="shared" si="33"/>
        <v>130.08333333333331</v>
      </c>
      <c r="BN218" s="78">
        <f t="shared" si="34"/>
        <v>131.57</v>
      </c>
      <c r="BO218" s="78">
        <f t="shared" si="35"/>
        <v>0.24928774928774927</v>
      </c>
      <c r="BP218" s="78">
        <f t="shared" si="36"/>
        <v>0.25213675213675218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4301031443</v>
      </c>
      <c r="D219" s="687">
        <v>4680115887213</v>
      </c>
      <c r="E219" s="687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 t="shared" si="37"/>
        <v/>
      </c>
      <c r="AA219" s="68" t="s">
        <v>46</v>
      </c>
      <c r="AB219" s="69" t="s">
        <v>46</v>
      </c>
      <c r="AC219" s="292" t="s">
        <v>381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customHeight="1" x14ac:dyDescent="0.25">
      <c r="A220" s="63" t="s">
        <v>382</v>
      </c>
      <c r="B220" s="63" t="s">
        <v>383</v>
      </c>
      <c r="C220" s="36">
        <v>4301031205</v>
      </c>
      <c r="D220" s="687">
        <v>4680115881785</v>
      </c>
      <c r="E220" s="687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79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133</v>
      </c>
      <c r="Y220" s="55">
        <f t="shared" si="32"/>
        <v>134.4</v>
      </c>
      <c r="Z220" s="41">
        <f t="shared" si="37"/>
        <v>0.32128000000000001</v>
      </c>
      <c r="AA220" s="68" t="s">
        <v>46</v>
      </c>
      <c r="AB220" s="69" t="s">
        <v>46</v>
      </c>
      <c r="AC220" s="294" t="s">
        <v>370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141.23333333333332</v>
      </c>
      <c r="BN220" s="78">
        <f t="shared" si="34"/>
        <v>142.72</v>
      </c>
      <c r="BO220" s="78">
        <f t="shared" si="35"/>
        <v>0.27065527065527067</v>
      </c>
      <c r="BP220" s="78">
        <f t="shared" si="36"/>
        <v>0.27350427350427353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4301031499</v>
      </c>
      <c r="D221" s="687">
        <v>4680115888432</v>
      </c>
      <c r="E221" s="687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 t="shared" si="37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4301031427</v>
      </c>
      <c r="D222" s="687">
        <v>4680115888104</v>
      </c>
      <c r="E222" s="687"/>
      <c r="F222" s="62">
        <v>0.35</v>
      </c>
      <c r="G222" s="37">
        <v>6</v>
      </c>
      <c r="H222" s="62">
        <v>2.1</v>
      </c>
      <c r="I222" s="62">
        <v>2.2000000000000002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0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si="37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4301031399</v>
      </c>
      <c r="D223" s="687">
        <v>4680115886537</v>
      </c>
      <c r="E223" s="687"/>
      <c r="F223" s="62">
        <v>0.3</v>
      </c>
      <c r="G223" s="37">
        <v>6</v>
      </c>
      <c r="H223" s="62">
        <v>1.8</v>
      </c>
      <c r="I223" s="62">
        <v>1.93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80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customHeight="1" x14ac:dyDescent="0.25">
      <c r="A224" s="63" t="s">
        <v>393</v>
      </c>
      <c r="B224" s="63" t="s">
        <v>394</v>
      </c>
      <c r="C224" s="36">
        <v>4301031279</v>
      </c>
      <c r="D224" s="687">
        <v>4680115887596</v>
      </c>
      <c r="E224" s="687"/>
      <c r="F224" s="62">
        <v>0.08</v>
      </c>
      <c r="G224" s="37">
        <v>10</v>
      </c>
      <c r="H224" s="62">
        <v>0.8</v>
      </c>
      <c r="I224" s="62">
        <v>1.01</v>
      </c>
      <c r="J224" s="37">
        <v>336</v>
      </c>
      <c r="K224" s="37" t="s">
        <v>141</v>
      </c>
      <c r="L224" s="37" t="s">
        <v>46</v>
      </c>
      <c r="M224" s="38" t="s">
        <v>81</v>
      </c>
      <c r="N224" s="38"/>
      <c r="O224" s="37">
        <v>45</v>
      </c>
      <c r="P224" s="80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20</v>
      </c>
      <c r="Y224" s="55">
        <f t="shared" si="32"/>
        <v>20</v>
      </c>
      <c r="Z224" s="41">
        <f>IFERROR(IF(Y224=0,"",ROUNDUP(Y224/H224,0)*0.00417),"")</f>
        <v>0.10425000000000001</v>
      </c>
      <c r="AA224" s="68" t="s">
        <v>46</v>
      </c>
      <c r="AB224" s="69" t="s">
        <v>46</v>
      </c>
      <c r="AC224" s="302" t="s">
        <v>395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25.249999999999996</v>
      </c>
      <c r="BN224" s="78">
        <f t="shared" si="34"/>
        <v>25.249999999999996</v>
      </c>
      <c r="BO224" s="78">
        <f t="shared" si="35"/>
        <v>7.4404761904761904E-2</v>
      </c>
      <c r="BP224" s="78">
        <f t="shared" si="36"/>
        <v>7.4404761904761904E-2</v>
      </c>
    </row>
    <row r="225" spans="1:68" ht="37.5" customHeight="1" x14ac:dyDescent="0.25">
      <c r="A225" s="63" t="s">
        <v>396</v>
      </c>
      <c r="B225" s="63" t="s">
        <v>397</v>
      </c>
      <c r="C225" s="36">
        <v>4301031202</v>
      </c>
      <c r="D225" s="687">
        <v>4680115881679</v>
      </c>
      <c r="E225" s="687"/>
      <c r="F225" s="62">
        <v>0.35</v>
      </c>
      <c r="G225" s="37">
        <v>6</v>
      </c>
      <c r="H225" s="62">
        <v>2.1</v>
      </c>
      <c r="I225" s="62">
        <v>2.2000000000000002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175</v>
      </c>
      <c r="Y225" s="55">
        <f t="shared" si="32"/>
        <v>176.4</v>
      </c>
      <c r="Z225" s="41">
        <f>IFERROR(IF(Y225=0,"",ROUNDUP(Y225/H225,0)*0.00502),"")</f>
        <v>0.42168</v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183.33333333333334</v>
      </c>
      <c r="BN225" s="78">
        <f t="shared" si="34"/>
        <v>184.8</v>
      </c>
      <c r="BO225" s="78">
        <f t="shared" si="35"/>
        <v>0.35612535612535612</v>
      </c>
      <c r="BP225" s="78">
        <f t="shared" si="36"/>
        <v>0.35897435897435903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4301031158</v>
      </c>
      <c r="D226" s="687">
        <v>4680115880191</v>
      </c>
      <c r="E226" s="687"/>
      <c r="F226" s="62">
        <v>0.4</v>
      </c>
      <c r="G226" s="37">
        <v>6</v>
      </c>
      <c r="H226" s="62">
        <v>2.4</v>
      </c>
      <c r="I226" s="62">
        <v>2.58</v>
      </c>
      <c r="J226" s="37">
        <v>182</v>
      </c>
      <c r="K226" s="37" t="s">
        <v>91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IFERROR(IF(Y226=0,"",ROUNDUP(Y226/H226,0)*0.00651),"")</f>
        <v/>
      </c>
      <c r="AA226" s="68" t="s">
        <v>46</v>
      </c>
      <c r="AB226" s="69" t="s">
        <v>46</v>
      </c>
      <c r="AC226" s="306" t="s">
        <v>373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400</v>
      </c>
      <c r="B227" s="63" t="s">
        <v>401</v>
      </c>
      <c r="C227" s="36">
        <v>4301031245</v>
      </c>
      <c r="D227" s="687">
        <v>4680115883963</v>
      </c>
      <c r="E227" s="687"/>
      <c r="F227" s="62">
        <v>0.28000000000000003</v>
      </c>
      <c r="G227" s="37">
        <v>6</v>
      </c>
      <c r="H227" s="62">
        <v>1.68</v>
      </c>
      <c r="I227" s="62">
        <v>1.78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7" s="689"/>
      <c r="R227" s="689"/>
      <c r="S227" s="689"/>
      <c r="T227" s="69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402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39</v>
      </c>
      <c r="X228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</f>
        <v>259.76190476190476</v>
      </c>
      <c r="Y228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</f>
        <v>262</v>
      </c>
      <c r="Z228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</f>
        <v>1.3274900000000001</v>
      </c>
      <c r="AA228" s="67"/>
      <c r="AB228" s="67"/>
      <c r="AC228" s="67"/>
    </row>
    <row r="229" spans="1:68" x14ac:dyDescent="0.2">
      <c r="A229" s="695"/>
      <c r="B229" s="695"/>
      <c r="C229" s="695"/>
      <c r="D229" s="695"/>
      <c r="E229" s="695"/>
      <c r="F229" s="695"/>
      <c r="G229" s="695"/>
      <c r="H229" s="695"/>
      <c r="I229" s="695"/>
      <c r="J229" s="695"/>
      <c r="K229" s="695"/>
      <c r="L229" s="695"/>
      <c r="M229" s="695"/>
      <c r="N229" s="695"/>
      <c r="O229" s="696"/>
      <c r="P229" s="692" t="s">
        <v>40</v>
      </c>
      <c r="Q229" s="693"/>
      <c r="R229" s="693"/>
      <c r="S229" s="693"/>
      <c r="T229" s="693"/>
      <c r="U229" s="693"/>
      <c r="V229" s="694"/>
      <c r="W229" s="42" t="s">
        <v>0</v>
      </c>
      <c r="X229" s="43">
        <f>IFERROR(SUM(X214:X227),"0")</f>
        <v>490.5</v>
      </c>
      <c r="Y229" s="43">
        <f>IFERROR(SUM(Y214:Y227),"0")</f>
        <v>495.70000000000005</v>
      </c>
      <c r="Z229" s="42"/>
      <c r="AA229" s="67"/>
      <c r="AB229" s="67"/>
      <c r="AC229" s="67"/>
    </row>
    <row r="230" spans="1:68" ht="14.25" hidden="1" customHeight="1" x14ac:dyDescent="0.25">
      <c r="A230" s="686" t="s">
        <v>86</v>
      </c>
      <c r="B230" s="686"/>
      <c r="C230" s="686"/>
      <c r="D230" s="686"/>
      <c r="E230" s="686"/>
      <c r="F230" s="686"/>
      <c r="G230" s="686"/>
      <c r="H230" s="686"/>
      <c r="I230" s="686"/>
      <c r="J230" s="686"/>
      <c r="K230" s="686"/>
      <c r="L230" s="686"/>
      <c r="M230" s="686"/>
      <c r="N230" s="686"/>
      <c r="O230" s="686"/>
      <c r="P230" s="686"/>
      <c r="Q230" s="686"/>
      <c r="R230" s="686"/>
      <c r="S230" s="686"/>
      <c r="T230" s="686"/>
      <c r="U230" s="686"/>
      <c r="V230" s="686"/>
      <c r="W230" s="686"/>
      <c r="X230" s="686"/>
      <c r="Y230" s="686"/>
      <c r="Z230" s="686"/>
      <c r="AA230" s="66"/>
      <c r="AB230" s="66"/>
      <c r="AC230" s="80"/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137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117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137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117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144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144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IFERROR(X231/H231,"0")+IFERROR(X232/H232,"0")+IFERROR(X233/H233,"0")+IFERROR(X234/H234,"0")</f>
        <v>0</v>
      </c>
      <c r="Y235" s="43">
        <f>IFERROR(Y231/H231,"0")+IFERROR(Y232/H232,"0")+IFERROR(Y233/H233,"0")+IFERROR(Y234/H234,"0")</f>
        <v>0</v>
      </c>
      <c r="Z235" s="43">
        <f>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IFERROR(SUM(X231:X234),"0")</f>
        <v>0</v>
      </c>
      <c r="Y236" s="43">
        <f>IFERROR(SUM(Y231:Y234),"0")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107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331</v>
      </c>
      <c r="L238" s="37" t="s">
        <v>46</v>
      </c>
      <c r="M238" s="38" t="s">
        <v>330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13.3</v>
      </c>
      <c r="Y238" s="55">
        <f>IFERROR(IF(X238="",0,CEILING((X238/$H238),1)*$H238),"")</f>
        <v>13.86</v>
      </c>
      <c r="Z238" s="41">
        <f>IFERROR(IF(Y238=0,"",ROUNDUP(Y238/H238,0)*0.0059),"")</f>
        <v>6.4899999999999999E-2</v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15.305555555555555</v>
      </c>
      <c r="BN238" s="78">
        <f>IFERROR(Y238*I238/H238,"0")</f>
        <v>15.949999999999998</v>
      </c>
      <c r="BO238" s="78">
        <f>IFERROR(1/J238*(X238/H238),"0")</f>
        <v>4.8868312757201646E-2</v>
      </c>
      <c r="BP238" s="78">
        <f>IFERROR(1/J238*(Y238/H238),"0")</f>
        <v>5.0925925925925923E-2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331</v>
      </c>
      <c r="L239" s="37" t="s">
        <v>46</v>
      </c>
      <c r="M239" s="38" t="s">
        <v>330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7.0000000000000009</v>
      </c>
      <c r="Y239" s="55">
        <f>IFERROR(IF(X239="",0,CEILING((X239/$H239),1)*$H239),"")</f>
        <v>7.5600000000000005</v>
      </c>
      <c r="Z239" s="41">
        <f>IFERROR(IF(Y239=0,"",ROUNDUP(Y239/H239,0)*0.0059),"")</f>
        <v>3.5400000000000001E-2</v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8.0555555555555554</v>
      </c>
      <c r="BN239" s="78">
        <f>IFERROR(Y239*I239/H239,"0")</f>
        <v>8.6999999999999993</v>
      </c>
      <c r="BO239" s="78">
        <f>IFERROR(1/J239*(X239/H239),"0")</f>
        <v>2.5720164609053499E-2</v>
      </c>
      <c r="BP239" s="78">
        <f>IFERROR(1/J239*(Y239/H239),"0")</f>
        <v>2.7777777777777776E-2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331</v>
      </c>
      <c r="L240" s="37" t="s">
        <v>46</v>
      </c>
      <c r="M240" s="38" t="s">
        <v>330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19.600000000000001</v>
      </c>
      <c r="Y240" s="55">
        <f>IFERROR(IF(X240="",0,CEILING((X240/$H240),1)*$H240),"")</f>
        <v>20.16</v>
      </c>
      <c r="Z240" s="41">
        <f>IFERROR(IF(Y240=0,"",ROUNDUP(Y240/H240,0)*0.0059),"")</f>
        <v>9.4399999999999998E-2</v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22.555555555555557</v>
      </c>
      <c r="BN240" s="78">
        <f>IFERROR(Y240*I240/H240,"0")</f>
        <v>23.2</v>
      </c>
      <c r="BO240" s="78">
        <f>IFERROR(1/J240*(X240/H240),"0")</f>
        <v>7.2016460905349799E-2</v>
      </c>
      <c r="BP240" s="78">
        <f>IFERROR(1/J240*(Y240/H240),"0")</f>
        <v>7.407407407407407E-2</v>
      </c>
    </row>
    <row r="241" spans="1:68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31.666666666666668</v>
      </c>
      <c r="Y241" s="43">
        <f>IFERROR(Y238/H238,"0")+IFERROR(Y239/H239,"0")+IFERROR(Y240/H240,"0")</f>
        <v>33</v>
      </c>
      <c r="Z241" s="43">
        <f>IFERROR(IF(Z238="",0,Z238),"0")+IFERROR(IF(Z239="",0,Z239),"0")+IFERROR(IF(Z240="",0,Z240),"0")</f>
        <v>0.19469999999999998</v>
      </c>
      <c r="AA241" s="67"/>
      <c r="AB241" s="67"/>
      <c r="AC241" s="67"/>
    </row>
    <row r="242" spans="1:68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39.900000000000006</v>
      </c>
      <c r="Y242" s="43">
        <f>IFERROR(SUM(Y238:Y240),"0")</f>
        <v>41.58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331</v>
      </c>
      <c r="L244" s="37" t="s">
        <v>46</v>
      </c>
      <c r="M244" s="38" t="s">
        <v>330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8.4</v>
      </c>
      <c r="Y244" s="55">
        <f>IFERROR(IF(X244="",0,CEILING((X244/$H244),1)*$H244),"")</f>
        <v>8.82</v>
      </c>
      <c r="Z244" s="41">
        <f>IFERROR(IF(Y244=0,"",ROUNDUP(Y244/H244,0)*0.0059),"")</f>
        <v>4.1299999999999996E-2</v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9.6666666666666661</v>
      </c>
      <c r="BN244" s="78">
        <f>IFERROR(Y244*I244/H244,"0")</f>
        <v>10.15</v>
      </c>
      <c r="BO244" s="78">
        <f>IFERROR(1/J244*(X244/H244),"0")</f>
        <v>3.0864197530864196E-2</v>
      </c>
      <c r="BP244" s="78">
        <f>IFERROR(1/J244*(Y244/H244),"0")</f>
        <v>3.2407407407407406E-2</v>
      </c>
    </row>
    <row r="245" spans="1:68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6.666666666666667</v>
      </c>
      <c r="Y245" s="43">
        <f>IFERROR(Y244/H244,"0")</f>
        <v>7</v>
      </c>
      <c r="Z245" s="43">
        <f>IFERROR(IF(Z244="",0,Z244),"0")</f>
        <v>4.1299999999999996E-2</v>
      </c>
      <c r="AA245" s="67"/>
      <c r="AB245" s="67"/>
      <c r="AC245" s="67"/>
    </row>
    <row r="246" spans="1:68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8.4</v>
      </c>
      <c r="Y246" s="43">
        <f>IFERROR(SUM(Y244:Y244),"0")</f>
        <v>8.82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132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137</v>
      </c>
      <c r="L249" s="37" t="s">
        <v>46</v>
      </c>
      <c r="M249" s="38" t="s">
        <v>136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136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167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137</v>
      </c>
      <c r="L254" s="37" t="s">
        <v>46</v>
      </c>
      <c r="M254" s="38" t="s">
        <v>136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136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144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400</v>
      </c>
      <c r="Y259" s="55">
        <f t="shared" ref="Y259:Y266" si="38">IFERROR(IF(X259="",0,CEILING((X259/$H259),1)*$H259),"")</f>
        <v>405</v>
      </c>
      <c r="Z259" s="41">
        <f>IFERROR(IF(Y259=0,"",ROUNDUP(Y259/H259,0)*0.00902),"")</f>
        <v>0.67649999999999999</v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9">IFERROR(X259*I259/H259,"0")</f>
        <v>414.07407407407402</v>
      </c>
      <c r="BN259" s="78">
        <f t="shared" ref="BN259:BN266" si="40">IFERROR(Y259*I259/H259,"0")</f>
        <v>419.24999999999994</v>
      </c>
      <c r="BO259" s="78">
        <f t="shared" ref="BO259:BO266" si="41">IFERROR(1/J259*(X259/H259),"0")</f>
        <v>0.5611672278338945</v>
      </c>
      <c r="BP259" s="78">
        <f t="shared" ref="BP259:BP266" si="42">IFERROR(1/J259*(Y259/H259),"0")</f>
        <v>0.56818181818181823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144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8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9"/>
        <v>0</v>
      </c>
      <c r="BN260" s="78">
        <f t="shared" si="40"/>
        <v>0</v>
      </c>
      <c r="BO260" s="78">
        <f t="shared" si="41"/>
        <v>0</v>
      </c>
      <c r="BP260" s="78">
        <f t="shared" si="42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144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110</v>
      </c>
      <c r="Y261" s="55">
        <f t="shared" si="38"/>
        <v>113.4</v>
      </c>
      <c r="Z261" s="41">
        <f>IFERROR(IF(Y261=0,"",ROUNDUP(Y261/H261,0)*0.00902),"")</f>
        <v>0.18942000000000001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9"/>
        <v>113.87037037037035</v>
      </c>
      <c r="BN261" s="78">
        <f t="shared" si="40"/>
        <v>117.39</v>
      </c>
      <c r="BO261" s="78">
        <f t="shared" si="41"/>
        <v>0.15432098765432098</v>
      </c>
      <c r="BP261" s="78">
        <f t="shared" si="42"/>
        <v>0.15909090909090909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144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60</v>
      </c>
      <c r="Y262" s="55">
        <f t="shared" si="38"/>
        <v>64.800000000000011</v>
      </c>
      <c r="Z262" s="41">
        <f>IFERROR(IF(Y262=0,"",ROUNDUP(Y262/H262,0)*0.00902),"")</f>
        <v>0.10824</v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9"/>
        <v>62.1111111111111</v>
      </c>
      <c r="BN262" s="78">
        <f t="shared" si="40"/>
        <v>67.08</v>
      </c>
      <c r="BO262" s="78">
        <f t="shared" si="41"/>
        <v>8.4175084175084181E-2</v>
      </c>
      <c r="BP262" s="78">
        <f t="shared" si="42"/>
        <v>9.0909090909090925E-2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135</v>
      </c>
      <c r="Y263" s="55">
        <f t="shared" si="38"/>
        <v>135</v>
      </c>
      <c r="Z263" s="41">
        <f>IFERROR(IF(Y263=0,"",ROUNDUP(Y263/H263,0)*0.00502),"")</f>
        <v>0.3765</v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9"/>
        <v>144.75</v>
      </c>
      <c r="BN263" s="78">
        <f t="shared" si="40"/>
        <v>144.75</v>
      </c>
      <c r="BO263" s="78">
        <f t="shared" si="41"/>
        <v>0.32051282051282054</v>
      </c>
      <c r="BP263" s="78">
        <f t="shared" si="42"/>
        <v>0.32051282051282054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78</v>
      </c>
      <c r="Y264" s="55">
        <f t="shared" si="38"/>
        <v>79.2</v>
      </c>
      <c r="Z264" s="41">
        <f>IFERROR(IF(Y264=0,"",ROUNDUP(Y264/H264,0)*0.00502),"")</f>
        <v>0.22088000000000002</v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9"/>
        <v>82.333333333333329</v>
      </c>
      <c r="BN264" s="78">
        <f t="shared" si="40"/>
        <v>83.6</v>
      </c>
      <c r="BO264" s="78">
        <f t="shared" si="41"/>
        <v>0.1851851851851852</v>
      </c>
      <c r="BP264" s="78">
        <f t="shared" si="42"/>
        <v>0.18803418803418806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165</v>
      </c>
      <c r="Y265" s="55">
        <f t="shared" si="38"/>
        <v>165.6</v>
      </c>
      <c r="Z265" s="41">
        <f>IFERROR(IF(Y265=0,"",ROUNDUP(Y265/H265,0)*0.00502),"")</f>
        <v>0.46184000000000003</v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9"/>
        <v>174.16666666666666</v>
      </c>
      <c r="BN265" s="78">
        <f t="shared" si="40"/>
        <v>174.79999999999998</v>
      </c>
      <c r="BO265" s="78">
        <f t="shared" si="41"/>
        <v>0.39173789173789181</v>
      </c>
      <c r="BP265" s="78">
        <f t="shared" si="42"/>
        <v>0.39316239316239321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102</v>
      </c>
      <c r="Y266" s="55">
        <f t="shared" si="38"/>
        <v>102.60000000000001</v>
      </c>
      <c r="Z266" s="41">
        <f>IFERROR(IF(Y266=0,"",ROUNDUP(Y266/H266,0)*0.00502),"")</f>
        <v>0.28614000000000001</v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9"/>
        <v>107.66666666666666</v>
      </c>
      <c r="BN266" s="78">
        <f t="shared" si="40"/>
        <v>108.3</v>
      </c>
      <c r="BO266" s="78">
        <f t="shared" si="41"/>
        <v>0.24216524216524218</v>
      </c>
      <c r="BP266" s="78">
        <f t="shared" si="42"/>
        <v>0.24358974358974361</v>
      </c>
    </row>
    <row r="267" spans="1:68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372.22222222222223</v>
      </c>
      <c r="Y267" s="43">
        <f>IFERROR(Y259/H259,"0")+IFERROR(Y260/H260,"0")+IFERROR(Y261/H261,"0")+IFERROR(Y262/H262,"0")+IFERROR(Y263/H263,"0")+IFERROR(Y264/H264,"0")+IFERROR(Y265/H265,"0")+IFERROR(Y266/H266,"0")</f>
        <v>376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2.3195200000000002</v>
      </c>
      <c r="AA267" s="67"/>
      <c r="AB267" s="67"/>
      <c r="AC267" s="67"/>
    </row>
    <row r="268" spans="1:68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1050</v>
      </c>
      <c r="Y268" s="43">
        <f>IFERROR(SUM(Y259:Y266),"0")</f>
        <v>1065.6000000000001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137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43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44">IFERROR(X270*I270/H270,"0")</f>
        <v>0</v>
      </c>
      <c r="BN270" s="78">
        <f t="shared" ref="BN270:BN281" si="45">IFERROR(Y270*I270/H270,"0")</f>
        <v>0</v>
      </c>
      <c r="BO270" s="78">
        <f t="shared" ref="BO270:BO281" si="46">IFERROR(1/J270*(X270/H270),"0")</f>
        <v>0</v>
      </c>
      <c r="BP270" s="78">
        <f t="shared" ref="BP270:BP281" si="47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137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137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350</v>
      </c>
      <c r="Y272" s="55">
        <f t="shared" si="43"/>
        <v>356.7</v>
      </c>
      <c r="Z272" s="41">
        <f>IFERROR(IF(Y272=0,"",ROUNDUP(Y272/H272,0)*0.01898),"")</f>
        <v>0.77817999999999998</v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44"/>
        <v>369.87356321839087</v>
      </c>
      <c r="BN272" s="78">
        <f t="shared" si="45"/>
        <v>376.95400000000006</v>
      </c>
      <c r="BO272" s="78">
        <f t="shared" si="46"/>
        <v>0.62859195402298851</v>
      </c>
      <c r="BP272" s="78">
        <f t="shared" si="47"/>
        <v>0.640625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160</v>
      </c>
      <c r="Y273" s="55">
        <f t="shared" si="43"/>
        <v>160.79999999999998</v>
      </c>
      <c r="Z273" s="41">
        <f>IFERROR(IF(Y273=0,"",ROUNDUP(Y273/H273,0)*0.00651),"")</f>
        <v>0.43617</v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44"/>
        <v>178</v>
      </c>
      <c r="BN273" s="78">
        <f t="shared" si="45"/>
        <v>178.89</v>
      </c>
      <c r="BO273" s="78">
        <f t="shared" si="46"/>
        <v>0.36630036630036633</v>
      </c>
      <c r="BP273" s="78">
        <f t="shared" si="47"/>
        <v>0.36813186813186816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144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520</v>
      </c>
      <c r="Y276" s="55">
        <f t="shared" si="43"/>
        <v>520.79999999999995</v>
      </c>
      <c r="Z276" s="41">
        <f>IFERROR(IF(Y276=0,"",ROUNDUP(Y276/H276,0)*0.00651),"")</f>
        <v>1.4126700000000001</v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44"/>
        <v>574.6</v>
      </c>
      <c r="BN276" s="78">
        <f t="shared" si="45"/>
        <v>575.48400000000004</v>
      </c>
      <c r="BO276" s="78">
        <f t="shared" si="46"/>
        <v>1.1904761904761907</v>
      </c>
      <c r="BP276" s="78">
        <f t="shared" si="47"/>
        <v>1.1923076923076923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137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140</v>
      </c>
      <c r="Y279" s="55">
        <f t="shared" si="43"/>
        <v>141.6</v>
      </c>
      <c r="Z279" s="41">
        <f>IFERROR(IF(Y279=0,"",ROUNDUP(Y279/H279,0)*0.00651),"")</f>
        <v>0.38408999999999999</v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44"/>
        <v>154.70000000000002</v>
      </c>
      <c r="BN279" s="78">
        <f t="shared" si="45"/>
        <v>156.46800000000002</v>
      </c>
      <c r="BO279" s="78">
        <f t="shared" si="46"/>
        <v>0.32051282051282054</v>
      </c>
      <c r="BP279" s="78">
        <f t="shared" si="47"/>
        <v>0.32417582417582419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160</v>
      </c>
      <c r="Y280" s="55">
        <f t="shared" si="43"/>
        <v>160.79999999999998</v>
      </c>
      <c r="Z280" s="41">
        <f>IFERROR(IF(Y280=0,"",ROUNDUP(Y280/H280,0)*0.00651),"")</f>
        <v>0.43617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44"/>
        <v>177.2</v>
      </c>
      <c r="BN280" s="78">
        <f t="shared" si="45"/>
        <v>178.08599999999998</v>
      </c>
      <c r="BO280" s="78">
        <f t="shared" si="46"/>
        <v>0.36630036630036633</v>
      </c>
      <c r="BP280" s="78">
        <f t="shared" si="47"/>
        <v>0.36813186813186816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448.56321839080465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451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3.4472800000000001</v>
      </c>
      <c r="AA282" s="67"/>
      <c r="AB282" s="67"/>
      <c r="AC282" s="67"/>
    </row>
    <row r="283" spans="1:68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1330</v>
      </c>
      <c r="Y283" s="43">
        <f>IFERROR(SUM(Y270:Y281),"0")</f>
        <v>1340.6999999999998</v>
      </c>
      <c r="Z283" s="42"/>
      <c r="AA283" s="67"/>
      <c r="AB283" s="67"/>
      <c r="AC283" s="67"/>
    </row>
    <row r="284" spans="1:68" ht="14.25" hidden="1" customHeight="1" x14ac:dyDescent="0.25">
      <c r="A284" s="686" t="s">
        <v>184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100</v>
      </c>
      <c r="Y285" s="55">
        <f>IFERROR(IF(X285="",0,CEILING((X285/$H285),1)*$H285),"")</f>
        <v>100.8</v>
      </c>
      <c r="Z285" s="41">
        <f>IFERROR(IF(Y285=0,"",ROUNDUP(Y285/H285,0)*0.00651),"")</f>
        <v>0.27342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110.5</v>
      </c>
      <c r="BN285" s="78">
        <f>IFERROR(Y285*I285/H285,"0")</f>
        <v>111.384</v>
      </c>
      <c r="BO285" s="78">
        <f>IFERROR(1/J285*(X285/H285),"0")</f>
        <v>0.22893772893772898</v>
      </c>
      <c r="BP285" s="78">
        <f>IFERROR(1/J285*(Y285/H285),"0")</f>
        <v>0.23076923076923078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260</v>
      </c>
      <c r="Y286" s="55">
        <f>IFERROR(IF(X286="",0,CEILING((X286/$H286),1)*$H286),"")</f>
        <v>261.59999999999997</v>
      </c>
      <c r="Z286" s="41">
        <f>IFERROR(IF(Y286=0,"",ROUNDUP(Y286/H286,0)*0.00651),"")</f>
        <v>0.70959000000000005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287.3</v>
      </c>
      <c r="BN286" s="78">
        <f>IFERROR(Y286*I286/H286,"0")</f>
        <v>289.06799999999998</v>
      </c>
      <c r="BO286" s="78">
        <f>IFERROR(1/J286*(X286/H286),"0")</f>
        <v>0.59523809523809534</v>
      </c>
      <c r="BP286" s="78">
        <f>IFERROR(1/J286*(Y286/H286),"0")</f>
        <v>0.59890109890109888</v>
      </c>
    </row>
    <row r="287" spans="1:68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150</v>
      </c>
      <c r="Y287" s="43">
        <f>IFERROR(Y285/H285,"0")+IFERROR(Y286/H286,"0")</f>
        <v>151</v>
      </c>
      <c r="Z287" s="43">
        <f>IFERROR(IF(Z285="",0,Z285),"0")+IFERROR(IF(Z286="",0,Z286),"0")</f>
        <v>0.98301000000000005</v>
      </c>
      <c r="AA287" s="67"/>
      <c r="AB287" s="67"/>
      <c r="AC287" s="67"/>
    </row>
    <row r="288" spans="1:68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360</v>
      </c>
      <c r="Y288" s="43">
        <f>IFERROR(SUM(Y285:Y286),"0")</f>
        <v>362.4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132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137</v>
      </c>
      <c r="L291" s="37" t="s">
        <v>46</v>
      </c>
      <c r="M291" s="38" t="s">
        <v>136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8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9">IFERROR(X291*I291/H291,"0")</f>
        <v>0</v>
      </c>
      <c r="BN291" s="78">
        <f t="shared" ref="BN291:BN297" si="50">IFERROR(Y291*I291/H291,"0")</f>
        <v>0</v>
      </c>
      <c r="BO291" s="78">
        <f t="shared" ref="BO291:BO297" si="51">IFERROR(1/J291*(X291/H291),"0")</f>
        <v>0</v>
      </c>
      <c r="BP291" s="78">
        <f t="shared" ref="BP291:BP297" si="52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137</v>
      </c>
      <c r="L292" s="37" t="s">
        <v>46</v>
      </c>
      <c r="M292" s="38" t="s">
        <v>136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137</v>
      </c>
      <c r="L293" s="37" t="s">
        <v>46</v>
      </c>
      <c r="M293" s="38" t="s">
        <v>136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357</v>
      </c>
      <c r="AG293" s="78"/>
      <c r="AJ293" s="84" t="s">
        <v>46</v>
      </c>
      <c r="AK293" s="84">
        <v>0</v>
      </c>
      <c r="BB293" s="383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144</v>
      </c>
      <c r="L294" s="37" t="s">
        <v>46</v>
      </c>
      <c r="M294" s="38" t="s">
        <v>136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56</v>
      </c>
      <c r="Y294" s="55">
        <f t="shared" si="48"/>
        <v>56</v>
      </c>
      <c r="Z294" s="41">
        <f>IFERROR(IF(Y294=0,"",ROUNDUP(Y294/H294,0)*0.00902),"")</f>
        <v>0.12628</v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9"/>
        <v>58.660000000000004</v>
      </c>
      <c r="BN294" s="78">
        <f t="shared" si="50"/>
        <v>58.660000000000004</v>
      </c>
      <c r="BO294" s="78">
        <f t="shared" si="51"/>
        <v>0.10606060606060606</v>
      </c>
      <c r="BP294" s="78">
        <f t="shared" si="52"/>
        <v>0.10606060606060606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144</v>
      </c>
      <c r="L295" s="37" t="s">
        <v>46</v>
      </c>
      <c r="M295" s="38" t="s">
        <v>136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8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9"/>
        <v>0</v>
      </c>
      <c r="BN295" s="78">
        <f t="shared" si="50"/>
        <v>0</v>
      </c>
      <c r="BO295" s="78">
        <f t="shared" si="51"/>
        <v>0</v>
      </c>
      <c r="BP295" s="78">
        <f t="shared" si="52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136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8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9"/>
        <v>0</v>
      </c>
      <c r="BN296" s="78">
        <f t="shared" si="50"/>
        <v>0</v>
      </c>
      <c r="BO296" s="78">
        <f t="shared" si="51"/>
        <v>0</v>
      </c>
      <c r="BP296" s="78">
        <f t="shared" si="52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144</v>
      </c>
      <c r="L297" s="37" t="s">
        <v>46</v>
      </c>
      <c r="M297" s="38" t="s">
        <v>136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104</v>
      </c>
      <c r="Y297" s="55">
        <f t="shared" si="48"/>
        <v>104</v>
      </c>
      <c r="Z297" s="41">
        <f>IFERROR(IF(Y297=0,"",ROUNDUP(Y297/H297,0)*0.00902),"")</f>
        <v>0.23452000000000001</v>
      </c>
      <c r="AA297" s="68" t="s">
        <v>46</v>
      </c>
      <c r="AB297" s="69" t="s">
        <v>46</v>
      </c>
      <c r="AC297" s="390" t="s">
        <v>357</v>
      </c>
      <c r="AG297" s="78"/>
      <c r="AJ297" s="84" t="s">
        <v>46</v>
      </c>
      <c r="AK297" s="84">
        <v>0</v>
      </c>
      <c r="BB297" s="391" t="s">
        <v>67</v>
      </c>
      <c r="BM297" s="78">
        <f t="shared" si="49"/>
        <v>108.94000000000001</v>
      </c>
      <c r="BN297" s="78">
        <f t="shared" si="50"/>
        <v>108.94000000000001</v>
      </c>
      <c r="BO297" s="78">
        <f t="shared" si="51"/>
        <v>0.19696969696969696</v>
      </c>
      <c r="BP297" s="78">
        <f t="shared" si="52"/>
        <v>0.19696969696969696</v>
      </c>
    </row>
    <row r="298" spans="1:68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40</v>
      </c>
      <c r="Y298" s="43">
        <f>IFERROR(Y291/H291,"0")+IFERROR(Y292/H292,"0")+IFERROR(Y293/H293,"0")+IFERROR(Y294/H294,"0")+IFERROR(Y295/H295,"0")+IFERROR(Y296/H296,"0")+IFERROR(Y297/H297,"0")</f>
        <v>40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0.36080000000000001</v>
      </c>
      <c r="AA298" s="67"/>
      <c r="AB298" s="67"/>
      <c r="AC298" s="67"/>
    </row>
    <row r="299" spans="1:68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160</v>
      </c>
      <c r="Y299" s="43">
        <f>IFERROR(SUM(Y291:Y297),"0")</f>
        <v>160</v>
      </c>
      <c r="Z299" s="42"/>
      <c r="AA299" s="67"/>
      <c r="AB299" s="67"/>
      <c r="AC299" s="67"/>
    </row>
    <row r="300" spans="1:68" ht="14.25" hidden="1" customHeight="1" x14ac:dyDescent="0.25">
      <c r="A300" s="686" t="s">
        <v>167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331</v>
      </c>
      <c r="L305" s="37" t="s">
        <v>46</v>
      </c>
      <c r="M305" s="38" t="s">
        <v>330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14.399999999999999</v>
      </c>
      <c r="Y305" s="55">
        <f>IFERROR(IF(X305="",0,CEILING((X305/$H305),1)*$H305),"")</f>
        <v>14.4</v>
      </c>
      <c r="Z305" s="41">
        <f>IFERROR(IF(Y305=0,"",ROUNDUP(Y305/H305,0)*0.0059),"")</f>
        <v>4.7199999999999999E-2</v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15.799999999999999</v>
      </c>
      <c r="BN305" s="78">
        <f>IFERROR(Y305*I305/H305,"0")</f>
        <v>15.8</v>
      </c>
      <c r="BO305" s="78">
        <f>IFERROR(1/J305*(X305/H305),"0")</f>
        <v>3.7037037037037028E-2</v>
      </c>
      <c r="BP305" s="78">
        <f>IFERROR(1/J305*(Y305/H305),"0")</f>
        <v>3.7037037037037035E-2</v>
      </c>
    </row>
    <row r="306" spans="1:68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7.9999999999999991</v>
      </c>
      <c r="Y306" s="43">
        <f>IFERROR(Y305/H305,"0")</f>
        <v>8</v>
      </c>
      <c r="Z306" s="43">
        <f>IFERROR(IF(Z305="",0,Z305),"0")</f>
        <v>4.7199999999999999E-2</v>
      </c>
      <c r="AA306" s="67"/>
      <c r="AB306" s="67"/>
      <c r="AC306" s="67"/>
    </row>
    <row r="307" spans="1:68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14.399999999999999</v>
      </c>
      <c r="Y307" s="43">
        <f>IFERROR(SUM(Y305:Y305),"0")</f>
        <v>14.4</v>
      </c>
      <c r="Z307" s="42"/>
      <c r="AA307" s="67"/>
      <c r="AB307" s="67"/>
      <c r="AC307" s="67"/>
    </row>
    <row r="308" spans="1:68" ht="14.25" hidden="1" customHeight="1" x14ac:dyDescent="0.25">
      <c r="A308" s="686" t="s">
        <v>335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331</v>
      </c>
      <c r="L309" s="37" t="s">
        <v>46</v>
      </c>
      <c r="M309" s="38" t="s">
        <v>330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331</v>
      </c>
      <c r="L310" s="37" t="s">
        <v>46</v>
      </c>
      <c r="M310" s="38" t="s">
        <v>330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331</v>
      </c>
      <c r="L311" s="37" t="s">
        <v>46</v>
      </c>
      <c r="M311" s="38" t="s">
        <v>330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2.5</v>
      </c>
      <c r="Y311" s="55">
        <f>IFERROR(IF(X311="",0,CEILING((X311/$H311),1)*$H311),"")</f>
        <v>2.7</v>
      </c>
      <c r="Z311" s="41">
        <f>IFERROR(IF(Y311=0,"",ROUNDUP(Y311/H311,0)*0.0059),"")</f>
        <v>1.77E-2</v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3.0277777777777777</v>
      </c>
      <c r="BN311" s="78">
        <f>IFERROR(Y311*I311/H311,"0")</f>
        <v>3.2700000000000005</v>
      </c>
      <c r="BO311" s="78">
        <f>IFERROR(1/J311*(X311/H311),"0")</f>
        <v>1.2860082304526748E-2</v>
      </c>
      <c r="BP311" s="78">
        <f>IFERROR(1/J311*(Y311/H311),"0")</f>
        <v>1.3888888888888888E-2</v>
      </c>
    </row>
    <row r="312" spans="1:68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9.4444444444444429</v>
      </c>
      <c r="Y312" s="43">
        <f>IFERROR(Y309/H309,"0")+IFERROR(Y310/H310,"0")+IFERROR(Y311/H311,"0")</f>
        <v>10</v>
      </c>
      <c r="Z312" s="43">
        <f>IFERROR(IF(Z309="",0,Z309),"0")+IFERROR(IF(Z310="",0,Z310),"0")+IFERROR(IF(Z311="",0,Z311),"0")</f>
        <v>5.8999999999999997E-2</v>
      </c>
      <c r="AA312" s="67"/>
      <c r="AB312" s="67"/>
      <c r="AC312" s="67"/>
    </row>
    <row r="313" spans="1:68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14.5</v>
      </c>
      <c r="Y313" s="43">
        <f>IFERROR(SUM(Y309:Y311),"0")</f>
        <v>15.3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132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137</v>
      </c>
      <c r="L316" s="37" t="s">
        <v>46</v>
      </c>
      <c r="M316" s="38" t="s">
        <v>136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137</v>
      </c>
      <c r="L317" s="37" t="s">
        <v>46</v>
      </c>
      <c r="M317" s="38" t="s">
        <v>136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137</v>
      </c>
      <c r="L318" s="37" t="s">
        <v>46</v>
      </c>
      <c r="M318" s="38" t="s">
        <v>136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144</v>
      </c>
      <c r="L319" s="37" t="s">
        <v>46</v>
      </c>
      <c r="M319" s="38" t="s">
        <v>136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144</v>
      </c>
      <c r="L320" s="37" t="s">
        <v>46</v>
      </c>
      <c r="M320" s="38" t="s">
        <v>136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80</v>
      </c>
      <c r="Y326" s="55">
        <f>IFERROR(IF(X326="",0,CEILING((X326/$H326),1)*$H326),"")</f>
        <v>81.599999999999994</v>
      </c>
      <c r="Z326" s="41">
        <f>IFERROR(IF(Y326=0,"",ROUNDUP(Y326/H326,0)*0.00651),"")</f>
        <v>0.22134000000000001</v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88.40000000000002</v>
      </c>
      <c r="BN326" s="78">
        <f>IFERROR(Y326*I326/H326,"0")</f>
        <v>90.168000000000006</v>
      </c>
      <c r="BO326" s="78">
        <f>IFERROR(1/J326*(X326/H326),"0")</f>
        <v>0.18315018315018317</v>
      </c>
      <c r="BP326" s="78">
        <f>IFERROR(1/J326*(Y326/H326),"0")</f>
        <v>0.18681318681318682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280</v>
      </c>
      <c r="Y327" s="55">
        <f>IFERROR(IF(X327="",0,CEILING((X327/$H327),1)*$H327),"")</f>
        <v>280.8</v>
      </c>
      <c r="Z327" s="41">
        <f>IFERROR(IF(Y327=0,"",ROUNDUP(Y327/H327,0)*0.00651),"")</f>
        <v>0.76167000000000007</v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301</v>
      </c>
      <c r="BN327" s="78">
        <f>IFERROR(Y327*I327/H327,"0")</f>
        <v>301.86</v>
      </c>
      <c r="BO327" s="78">
        <f>IFERROR(1/J327*(X327/H327),"0")</f>
        <v>0.64102564102564108</v>
      </c>
      <c r="BP327" s="78">
        <f>IFERROR(1/J327*(Y327/H327),"0")</f>
        <v>0.64285714285714302</v>
      </c>
    </row>
    <row r="328" spans="1:68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150</v>
      </c>
      <c r="Y328" s="43">
        <f>IFERROR(Y325/H325,"0")+IFERROR(Y326/H326,"0")+IFERROR(Y327/H327,"0")</f>
        <v>151</v>
      </c>
      <c r="Z328" s="43">
        <f>IFERROR(IF(Z325="",0,Z325),"0")+IFERROR(IF(Z326="",0,Z326),"0")+IFERROR(IF(Z327="",0,Z327),"0")</f>
        <v>0.98301000000000005</v>
      </c>
      <c r="AA328" s="67"/>
      <c r="AB328" s="67"/>
      <c r="AC328" s="67"/>
    </row>
    <row r="329" spans="1:68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360</v>
      </c>
      <c r="Y329" s="43">
        <f>IFERROR(SUM(Y325:Y327),"0")</f>
        <v>362.4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389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144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144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132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137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120</v>
      </c>
      <c r="Y346" s="55">
        <f>IFERROR(IF(X346="",0,CEILING((X346/$H346),1)*$H346),"")</f>
        <v>124.8</v>
      </c>
      <c r="Z346" s="41">
        <f>IFERROR(IF(Y346=0,"",ROUNDUP(Y346/H346,0)*0.01898),"")</f>
        <v>0.30368000000000001</v>
      </c>
      <c r="AA346" s="68" t="s">
        <v>46</v>
      </c>
      <c r="AB346" s="69" t="s">
        <v>46</v>
      </c>
      <c r="AC346" s="432" t="s">
        <v>346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126.30769230769232</v>
      </c>
      <c r="BN346" s="78">
        <f>IFERROR(Y346*I346/H346,"0")</f>
        <v>131.36000000000001</v>
      </c>
      <c r="BO346" s="78">
        <f>IFERROR(1/J346*(X346/H346),"0")</f>
        <v>0.24038461538461539</v>
      </c>
      <c r="BP346" s="78">
        <f>IFERROR(1/J346*(Y346/H346),"0")</f>
        <v>0.25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137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200</v>
      </c>
      <c r="Y347" s="55">
        <f>IFERROR(IF(X347="",0,CEILING((X347/$H347),1)*$H347),"")</f>
        <v>202.79999999999998</v>
      </c>
      <c r="Z347" s="41">
        <f>IFERROR(IF(Y347=0,"",ROUNDUP(Y347/H347,0)*0.01898),"")</f>
        <v>0.49348000000000003</v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210.51282051282055</v>
      </c>
      <c r="BN347" s="78">
        <f>IFERROR(Y347*I347/H347,"0")</f>
        <v>213.46</v>
      </c>
      <c r="BO347" s="78">
        <f>IFERROR(1/J347*(X347/H347),"0")</f>
        <v>0.40064102564102566</v>
      </c>
      <c r="BP347" s="78">
        <f>IFERROR(1/J347*(Y347/H347),"0")</f>
        <v>0.40625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137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50</v>
      </c>
      <c r="Y348" s="55">
        <f>IFERROR(IF(X348="",0,CEILING((X348/$H348),1)*$H348),"")</f>
        <v>54.6</v>
      </c>
      <c r="Z348" s="41">
        <f>IFERROR(IF(Y348=0,"",ROUNDUP(Y348/H348,0)*0.01898),"")</f>
        <v>0.13286000000000001</v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52.628205128205138</v>
      </c>
      <c r="BN348" s="78">
        <f>IFERROR(Y348*I348/H348,"0")</f>
        <v>57.470000000000013</v>
      </c>
      <c r="BO348" s="78">
        <f>IFERROR(1/J348*(X348/H348),"0")</f>
        <v>0.10016025641025642</v>
      </c>
      <c r="BP348" s="78">
        <f>IFERROR(1/J348*(Y348/H348),"0")</f>
        <v>0.109375</v>
      </c>
    </row>
    <row r="349" spans="1:68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47.435897435897438</v>
      </c>
      <c r="Y349" s="43">
        <f>IFERROR(Y346/H346,"0")+IFERROR(Y347/H347,"0")+IFERROR(Y348/H348,"0")</f>
        <v>49</v>
      </c>
      <c r="Z349" s="43">
        <f>IFERROR(IF(Z346="",0,Z346),"0")+IFERROR(IF(Z347="",0,Z347),"0")+IFERROR(IF(Z348="",0,Z348),"0")</f>
        <v>0.93002000000000007</v>
      </c>
      <c r="AA349" s="67"/>
      <c r="AB349" s="67"/>
      <c r="AC349" s="67"/>
    </row>
    <row r="350" spans="1:68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370</v>
      </c>
      <c r="Y350" s="43">
        <f>IFERROR(SUM(Y346:Y348),"0")</f>
        <v>382.2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132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137</v>
      </c>
      <c r="L353" s="37" t="s">
        <v>46</v>
      </c>
      <c r="M353" s="38" t="s">
        <v>136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90</v>
      </c>
      <c r="Y353" s="55">
        <f t="shared" ref="Y353:Y358" si="53">IFERROR(IF(X353="",0,CEILING((X353/$H353),1)*$H353),"")</f>
        <v>97.2</v>
      </c>
      <c r="Z353" s="41">
        <f>IFERROR(IF(Y353=0,"",ROUNDUP(Y353/H353,0)*0.01898),"")</f>
        <v>0.17082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54">IFERROR(X353*I353/H353,"0")</f>
        <v>93.416666666666671</v>
      </c>
      <c r="BN353" s="78">
        <f t="shared" ref="BN353:BN358" si="55">IFERROR(Y353*I353/H353,"0")</f>
        <v>100.89</v>
      </c>
      <c r="BO353" s="78">
        <f t="shared" ref="BO353:BO358" si="56">IFERROR(1/J353*(X353/H353),"0")</f>
        <v>0.13020833333333331</v>
      </c>
      <c r="BP353" s="78">
        <f t="shared" ref="BP353:BP358" si="57">IFERROR(1/J353*(Y353/H353),"0")</f>
        <v>0.140625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137</v>
      </c>
      <c r="L354" s="37" t="s">
        <v>46</v>
      </c>
      <c r="M354" s="38" t="s">
        <v>136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3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4"/>
        <v>0</v>
      </c>
      <c r="BN354" s="78">
        <f t="shared" si="55"/>
        <v>0</v>
      </c>
      <c r="BO354" s="78">
        <f t="shared" si="56"/>
        <v>0</v>
      </c>
      <c r="BP354" s="78">
        <f t="shared" si="57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137</v>
      </c>
      <c r="L355" s="37" t="s">
        <v>46</v>
      </c>
      <c r="M355" s="38" t="s">
        <v>136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3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54"/>
        <v>0</v>
      </c>
      <c r="BN355" s="78">
        <f t="shared" si="55"/>
        <v>0</v>
      </c>
      <c r="BO355" s="78">
        <f t="shared" si="56"/>
        <v>0</v>
      </c>
      <c r="BP355" s="78">
        <f t="shared" si="57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137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3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54"/>
        <v>0</v>
      </c>
      <c r="BN356" s="78">
        <f t="shared" si="55"/>
        <v>0</v>
      </c>
      <c r="BO356" s="78">
        <f t="shared" si="56"/>
        <v>0</v>
      </c>
      <c r="BP356" s="78">
        <f t="shared" si="57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144</v>
      </c>
      <c r="L357" s="37" t="s">
        <v>46</v>
      </c>
      <c r="M357" s="38" t="s">
        <v>136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3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54"/>
        <v>0</v>
      </c>
      <c r="BN357" s="78">
        <f t="shared" si="55"/>
        <v>0</v>
      </c>
      <c r="BO357" s="78">
        <f t="shared" si="56"/>
        <v>0</v>
      </c>
      <c r="BP357" s="78">
        <f t="shared" si="57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144</v>
      </c>
      <c r="L358" s="37" t="s">
        <v>46</v>
      </c>
      <c r="M358" s="38" t="s">
        <v>136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3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54"/>
        <v>0</v>
      </c>
      <c r="BN358" s="78">
        <f t="shared" si="55"/>
        <v>0</v>
      </c>
      <c r="BO358" s="78">
        <f t="shared" si="56"/>
        <v>0</v>
      </c>
      <c r="BP358" s="78">
        <f t="shared" si="57"/>
        <v>0</v>
      </c>
    </row>
    <row r="359" spans="1:68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8.3333333333333321</v>
      </c>
      <c r="Y359" s="43">
        <f>IFERROR(Y353/H353,"0")+IFERROR(Y354/H354,"0")+IFERROR(Y355/H355,"0")+IFERROR(Y356/H356,"0")+IFERROR(Y357/H357,"0")+IFERROR(Y358/H358,"0")</f>
        <v>9</v>
      </c>
      <c r="Z359" s="43">
        <f>IFERROR(IF(Z353="",0,Z353),"0")+IFERROR(IF(Z354="",0,Z354),"0")+IFERROR(IF(Z355="",0,Z355),"0")+IFERROR(IF(Z356="",0,Z356),"0")+IFERROR(IF(Z357="",0,Z357),"0")+IFERROR(IF(Z358="",0,Z358),"0")</f>
        <v>0.17082</v>
      </c>
      <c r="AA359" s="67"/>
      <c r="AB359" s="67"/>
      <c r="AC359" s="67"/>
    </row>
    <row r="360" spans="1:68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90</v>
      </c>
      <c r="Y360" s="43">
        <f>IFERROR(SUM(Y353:Y358),"0")</f>
        <v>97.2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144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8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9">IFERROR(X362*I362/H362,"0")</f>
        <v>0</v>
      </c>
      <c r="BN362" s="78">
        <f t="shared" ref="BN362:BN368" si="60">IFERROR(Y362*I362/H362,"0")</f>
        <v>0</v>
      </c>
      <c r="BO362" s="78">
        <f t="shared" ref="BO362:BO368" si="61">IFERROR(1/J362*(X362/H362),"0")</f>
        <v>0</v>
      </c>
      <c r="BP362" s="78">
        <f t="shared" ref="BP362:BP368" si="62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144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144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122.49999999999999</v>
      </c>
      <c r="Y366" s="55">
        <f t="shared" si="58"/>
        <v>123.9</v>
      </c>
      <c r="Z366" s="41">
        <f>IFERROR(IF(Y366=0,"",ROUNDUP(Y366/H366,0)*0.00502),"")</f>
        <v>0.29618</v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9"/>
        <v>128.33333333333331</v>
      </c>
      <c r="BN366" s="78">
        <f t="shared" si="60"/>
        <v>129.80000000000001</v>
      </c>
      <c r="BO366" s="78">
        <f t="shared" si="61"/>
        <v>0.24928774928774927</v>
      </c>
      <c r="BP366" s="78">
        <f t="shared" si="62"/>
        <v>0.25213675213675218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144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99</v>
      </c>
      <c r="Y368" s="55">
        <f t="shared" si="58"/>
        <v>99</v>
      </c>
      <c r="Z368" s="41">
        <f>IFERROR(IF(Y368=0,"",ROUNDUP(Y368/H368,0)*0.00651),"")</f>
        <v>0.35805000000000003</v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9"/>
        <v>111.53999999999999</v>
      </c>
      <c r="BN368" s="78">
        <f t="shared" si="60"/>
        <v>111.53999999999999</v>
      </c>
      <c r="BO368" s="78">
        <f t="shared" si="61"/>
        <v>0.30219780219780223</v>
      </c>
      <c r="BP368" s="78">
        <f t="shared" si="62"/>
        <v>0.30219780219780223</v>
      </c>
    </row>
    <row r="369" spans="1:68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113.33333333333331</v>
      </c>
      <c r="Y369" s="43">
        <f>IFERROR(Y362/H362,"0")+IFERROR(Y363/H363,"0")+IFERROR(Y364/H364,"0")+IFERROR(Y365/H365,"0")+IFERROR(Y366/H366,"0")+IFERROR(Y367/H367,"0")+IFERROR(Y368/H368,"0")</f>
        <v>114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0.65423000000000009</v>
      </c>
      <c r="AA369" s="67"/>
      <c r="AB369" s="67"/>
      <c r="AC369" s="67"/>
    </row>
    <row r="370" spans="1:68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221.5</v>
      </c>
      <c r="Y370" s="43">
        <f>IFERROR(SUM(Y362:Y368),"0")</f>
        <v>222.9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137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137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137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184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137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400</v>
      </c>
      <c r="Y379" s="55">
        <f>IFERROR(IF(X379="",0,CEILING((X379/$H379),1)*$H379),"")</f>
        <v>403.20000000000005</v>
      </c>
      <c r="Z379" s="41">
        <f>IFERROR(IF(Y379=0,"",ROUNDUP(Y379/H379,0)*0.01898),"")</f>
        <v>0.91104000000000007</v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423.52380952380952</v>
      </c>
      <c r="BN379" s="78">
        <f>IFERROR(Y379*I379/H379,"0")</f>
        <v>426.91200000000003</v>
      </c>
      <c r="BO379" s="78">
        <f>IFERROR(1/J379*(X379/H379),"0")</f>
        <v>0.74404761904761907</v>
      </c>
      <c r="BP379" s="78">
        <f>IFERROR(1/J379*(Y379/H379),"0")</f>
        <v>0.75</v>
      </c>
    </row>
    <row r="380" spans="1:68" ht="27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137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200</v>
      </c>
      <c r="Y380" s="55">
        <f>IFERROR(IF(X380="",0,CEILING((X380/$H380),1)*$H380),"")</f>
        <v>202.79999999999998</v>
      </c>
      <c r="Z380" s="41">
        <f>IFERROR(IF(Y380=0,"",ROUNDUP(Y380/H380,0)*0.01898),"")</f>
        <v>0.49348000000000003</v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212.66666666666669</v>
      </c>
      <c r="BN380" s="78">
        <f>IFERROR(Y380*I380/H380,"0")</f>
        <v>215.64399999999998</v>
      </c>
      <c r="BO380" s="78">
        <f>IFERROR(1/J380*(X380/H380),"0")</f>
        <v>0.40064102564102566</v>
      </c>
      <c r="BP380" s="78">
        <f>IFERROR(1/J380*(Y380/H380),"0")</f>
        <v>0.40625</v>
      </c>
    </row>
    <row r="381" spans="1:68" ht="16.5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137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70</v>
      </c>
      <c r="Y381" s="55">
        <f>IFERROR(IF(X381="",0,CEILING((X381/$H381),1)*$H381),"")</f>
        <v>75.600000000000009</v>
      </c>
      <c r="Z381" s="41">
        <f>IFERROR(IF(Y381=0,"",ROUNDUP(Y381/H381,0)*0.01898),"")</f>
        <v>0.17082</v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74.116666666666674</v>
      </c>
      <c r="BN381" s="78">
        <f>IFERROR(Y381*I381/H381,"0")</f>
        <v>80.046000000000006</v>
      </c>
      <c r="BO381" s="78">
        <f>IFERROR(1/J381*(X381/H381),"0")</f>
        <v>0.13020833333333331</v>
      </c>
      <c r="BP381" s="78">
        <f>IFERROR(1/J381*(Y381/H381),"0")</f>
        <v>0.140625</v>
      </c>
    </row>
    <row r="382" spans="1:68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81.593406593406584</v>
      </c>
      <c r="Y382" s="43">
        <f>IFERROR(Y379/H379,"0")+IFERROR(Y380/H380,"0")+IFERROR(Y381/H381,"0")</f>
        <v>83</v>
      </c>
      <c r="Z382" s="43">
        <f>IFERROR(IF(Z379="",0,Z379),"0")+IFERROR(IF(Z380="",0,Z380),"0")+IFERROR(IF(Z381="",0,Z381),"0")</f>
        <v>1.5753400000000002</v>
      </c>
      <c r="AA382" s="67"/>
      <c r="AB382" s="67"/>
      <c r="AC382" s="67"/>
    </row>
    <row r="383" spans="1:68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670</v>
      </c>
      <c r="Y383" s="43">
        <f>IFERROR(SUM(Y379:Y381),"0")</f>
        <v>681.6</v>
      </c>
      <c r="Z383" s="42"/>
      <c r="AA383" s="67"/>
      <c r="AB383" s="67"/>
      <c r="AC383" s="67"/>
    </row>
    <row r="384" spans="1:68" ht="14.25" hidden="1" customHeight="1" x14ac:dyDescent="0.25">
      <c r="A384" s="686" t="s">
        <v>107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144</v>
      </c>
      <c r="L385" s="37" t="s">
        <v>46</v>
      </c>
      <c r="M385" s="38" t="s">
        <v>112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144</v>
      </c>
      <c r="L386" s="37" t="s">
        <v>46</v>
      </c>
      <c r="M386" s="38" t="s">
        <v>112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112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112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137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875</v>
      </c>
      <c r="Y400" s="55">
        <f>IFERROR(IF(X400="",0,CEILING((X400/$H400),1)*$H400),"")</f>
        <v>875.7</v>
      </c>
      <c r="Z400" s="41">
        <f>IFERROR(IF(Y400=0,"",ROUNDUP(Y400/H400,0)*0.00651),"")</f>
        <v>2.7146699999999999</v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980</v>
      </c>
      <c r="BN400" s="78">
        <f>IFERROR(Y400*I400/H400,"0")</f>
        <v>980.78399999999999</v>
      </c>
      <c r="BO400" s="78">
        <f>IFERROR(1/J400*(X400/H400),"0")</f>
        <v>2.2893772893772892</v>
      </c>
      <c r="BP400" s="78">
        <f>IFERROR(1/J400*(Y400/H400),"0")</f>
        <v>2.2912087912087915</v>
      </c>
    </row>
    <row r="401" spans="1:68" ht="27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875</v>
      </c>
      <c r="Y401" s="55">
        <f>IFERROR(IF(X401="",0,CEILING((X401/$H401),1)*$H401),"")</f>
        <v>875.7</v>
      </c>
      <c r="Z401" s="41">
        <f>IFERROR(IF(Y401=0,"",ROUNDUP(Y401/H401,0)*0.00651),"")</f>
        <v>2.7146699999999999</v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974.99999999999989</v>
      </c>
      <c r="BN401" s="78">
        <f>IFERROR(Y401*I401/H401,"0")</f>
        <v>975.78</v>
      </c>
      <c r="BO401" s="78">
        <f>IFERROR(1/J401*(X401/H401),"0")</f>
        <v>2.2893772893772892</v>
      </c>
      <c r="BP401" s="78">
        <f>IFERROR(1/J401*(Y401/H401),"0")</f>
        <v>2.2912087912087915</v>
      </c>
    </row>
    <row r="402" spans="1:68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833.33333333333326</v>
      </c>
      <c r="Y402" s="43">
        <f>IFERROR(Y399/H399,"0")+IFERROR(Y400/H400,"0")+IFERROR(Y401/H401,"0")</f>
        <v>834</v>
      </c>
      <c r="Z402" s="43">
        <f>IFERROR(IF(Z399="",0,Z399),"0")+IFERROR(IF(Z400="",0,Z400),"0")+IFERROR(IF(Z401="",0,Z401),"0")</f>
        <v>5.4293399999999998</v>
      </c>
      <c r="AA402" s="67"/>
      <c r="AB402" s="67"/>
      <c r="AC402" s="67"/>
    </row>
    <row r="403" spans="1:68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1750</v>
      </c>
      <c r="Y403" s="43">
        <f>IFERROR(SUM(Y399:Y401),"0")</f>
        <v>1751.4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132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137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180</v>
      </c>
      <c r="Y407" s="55">
        <f t="shared" ref="Y407:Y414" si="63">IFERROR(IF(X407="",0,CEILING((X407/$H407),1)*$H407),"")</f>
        <v>180</v>
      </c>
      <c r="Z407" s="41">
        <f>IFERROR(IF(Y407=0,"",ROUNDUP(Y407/H407,0)*0.02175),"")</f>
        <v>0.26100000000000001</v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64">IFERROR(X407*I407/H407,"0")</f>
        <v>185.64</v>
      </c>
      <c r="BN407" s="78">
        <f t="shared" ref="BN407:BN414" si="65">IFERROR(Y407*I407/H407,"0")</f>
        <v>185.64</v>
      </c>
      <c r="BO407" s="78">
        <f t="shared" ref="BO407:BO414" si="66">IFERROR(1/J407*(X407/H407),"0")</f>
        <v>0.25</v>
      </c>
      <c r="BP407" s="78">
        <f t="shared" ref="BP407:BP414" si="67">IFERROR(1/J407*(Y407/H407),"0")</f>
        <v>0.25</v>
      </c>
    </row>
    <row r="408" spans="1:68" ht="37.5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137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1400</v>
      </c>
      <c r="Y408" s="55">
        <f t="shared" si="63"/>
        <v>1410</v>
      </c>
      <c r="Z408" s="41">
        <f>IFERROR(IF(Y408=0,"",ROUNDUP(Y408/H408,0)*0.02175),"")</f>
        <v>2.0444999999999998</v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64"/>
        <v>1443.8666666666666</v>
      </c>
      <c r="BN408" s="78">
        <f t="shared" si="65"/>
        <v>1454.18</v>
      </c>
      <c r="BO408" s="78">
        <f t="shared" si="66"/>
        <v>1.9444444444444442</v>
      </c>
      <c r="BP408" s="78">
        <f t="shared" si="67"/>
        <v>1.9583333333333333</v>
      </c>
    </row>
    <row r="409" spans="1:68" ht="27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137</v>
      </c>
      <c r="L409" s="37" t="s">
        <v>46</v>
      </c>
      <c r="M409" s="38" t="s">
        <v>136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700</v>
      </c>
      <c r="Y409" s="55">
        <f t="shared" si="63"/>
        <v>705</v>
      </c>
      <c r="Z409" s="41">
        <f>IFERROR(IF(Y409=0,"",ROUNDUP(Y409/H409,0)*0.02175),"")</f>
        <v>1.0222499999999999</v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64"/>
        <v>721.93333333333328</v>
      </c>
      <c r="BN409" s="78">
        <f t="shared" si="65"/>
        <v>727.09</v>
      </c>
      <c r="BO409" s="78">
        <f t="shared" si="66"/>
        <v>0.9722222222222221</v>
      </c>
      <c r="BP409" s="78">
        <f t="shared" si="67"/>
        <v>0.97916666666666663</v>
      </c>
    </row>
    <row r="410" spans="1:68" ht="27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137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400</v>
      </c>
      <c r="Y410" s="55">
        <f t="shared" si="63"/>
        <v>405</v>
      </c>
      <c r="Z410" s="41">
        <f>IFERROR(IF(Y410=0,"",ROUNDUP(Y410/H410,0)*0.02175),"")</f>
        <v>0.58724999999999994</v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64"/>
        <v>412.53333333333336</v>
      </c>
      <c r="BN410" s="78">
        <f t="shared" si="65"/>
        <v>417.69</v>
      </c>
      <c r="BO410" s="78">
        <f t="shared" si="66"/>
        <v>0.55555555555555558</v>
      </c>
      <c r="BP410" s="78">
        <f t="shared" si="67"/>
        <v>0.5625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137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63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64"/>
        <v>0</v>
      </c>
      <c r="BN411" s="78">
        <f t="shared" si="65"/>
        <v>0</v>
      </c>
      <c r="BO411" s="78">
        <f t="shared" si="66"/>
        <v>0</v>
      </c>
      <c r="BP411" s="78">
        <f t="shared" si="67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144</v>
      </c>
      <c r="L412" s="37" t="s">
        <v>46</v>
      </c>
      <c r="M412" s="38" t="s">
        <v>136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63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64"/>
        <v>0</v>
      </c>
      <c r="BN412" s="78">
        <f t="shared" si="65"/>
        <v>0</v>
      </c>
      <c r="BO412" s="78">
        <f t="shared" si="66"/>
        <v>0</v>
      </c>
      <c r="BP412" s="78">
        <f t="shared" si="67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144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63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64"/>
        <v>0</v>
      </c>
      <c r="BN413" s="78">
        <f t="shared" si="65"/>
        <v>0</v>
      </c>
      <c r="BO413" s="78">
        <f t="shared" si="66"/>
        <v>0</v>
      </c>
      <c r="BP413" s="78">
        <f t="shared" si="67"/>
        <v>0</v>
      </c>
    </row>
    <row r="414" spans="1:68" ht="37.5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144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20</v>
      </c>
      <c r="Y414" s="55">
        <f t="shared" si="63"/>
        <v>20</v>
      </c>
      <c r="Z414" s="41">
        <f>IFERROR(IF(Y414=0,"",ROUNDUP(Y414/H414,0)*0.00902),"")</f>
        <v>3.6080000000000001E-2</v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64"/>
        <v>20.76</v>
      </c>
      <c r="BN414" s="78">
        <f t="shared" si="65"/>
        <v>20.76</v>
      </c>
      <c r="BO414" s="78">
        <f t="shared" si="66"/>
        <v>3.0303030303030304E-2</v>
      </c>
      <c r="BP414" s="78">
        <f t="shared" si="67"/>
        <v>3.0303030303030304E-2</v>
      </c>
    </row>
    <row r="415" spans="1:68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182.66666666666666</v>
      </c>
      <c r="Y415" s="43">
        <f>IFERROR(Y407/H407,"0")+IFERROR(Y408/H408,"0")+IFERROR(Y409/H409,"0")+IFERROR(Y410/H410,"0")+IFERROR(Y411/H411,"0")+IFERROR(Y412/H412,"0")+IFERROR(Y413/H413,"0")+IFERROR(Y414/H414,"0")</f>
        <v>184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3.9510800000000001</v>
      </c>
      <c r="AA415" s="67"/>
      <c r="AB415" s="67"/>
      <c r="AC415" s="67"/>
    </row>
    <row r="416" spans="1:68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2700</v>
      </c>
      <c r="Y416" s="43">
        <f>IFERROR(SUM(Y407:Y414),"0")</f>
        <v>2720</v>
      </c>
      <c r="Z416" s="42"/>
      <c r="AA416" s="67"/>
      <c r="AB416" s="67"/>
      <c r="AC416" s="67"/>
    </row>
    <row r="417" spans="1:68" ht="14.25" hidden="1" customHeight="1" x14ac:dyDescent="0.25">
      <c r="A417" s="686" t="s">
        <v>167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137</v>
      </c>
      <c r="L418" s="37" t="s">
        <v>46</v>
      </c>
      <c r="M418" s="38" t="s">
        <v>136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500</v>
      </c>
      <c r="Y418" s="55">
        <f>IFERROR(IF(X418="",0,CEILING((X418/$H418),1)*$H418),"")</f>
        <v>510</v>
      </c>
      <c r="Z418" s="41">
        <f>IFERROR(IF(Y418=0,"",ROUNDUP(Y418/H418,0)*0.02175),"")</f>
        <v>0.73949999999999994</v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515.66666666666663</v>
      </c>
      <c r="BN418" s="78">
        <f>IFERROR(Y418*I418/H418,"0")</f>
        <v>525.98</v>
      </c>
      <c r="BO418" s="78">
        <f>IFERROR(1/J418*(X418/H418),"0")</f>
        <v>0.69444444444444442</v>
      </c>
      <c r="BP418" s="78">
        <f>IFERROR(1/J418*(Y418/H418),"0")</f>
        <v>0.70833333333333326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137</v>
      </c>
      <c r="L419" s="37" t="s">
        <v>46</v>
      </c>
      <c r="M419" s="38" t="s">
        <v>136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144</v>
      </c>
      <c r="L420" s="37" t="s">
        <v>46</v>
      </c>
      <c r="M420" s="38" t="s">
        <v>136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33.333333333333336</v>
      </c>
      <c r="Y421" s="43">
        <f>IFERROR(Y418/H418,"0")+IFERROR(Y419/H419,"0")+IFERROR(Y420/H420,"0")</f>
        <v>34</v>
      </c>
      <c r="Z421" s="43">
        <f>IFERROR(IF(Z418="",0,Z418),"0")+IFERROR(IF(Z419="",0,Z419),"0")+IFERROR(IF(Z420="",0,Z420),"0")</f>
        <v>0.73949999999999994</v>
      </c>
      <c r="AA421" s="67"/>
      <c r="AB421" s="67"/>
      <c r="AC421" s="67"/>
    </row>
    <row r="422" spans="1:68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500</v>
      </c>
      <c r="Y422" s="43">
        <f>IFERROR(SUM(Y418:Y420),"0")</f>
        <v>510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137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137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184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137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30</v>
      </c>
      <c r="Y429" s="55">
        <f>IFERROR(IF(X429="",0,CEILING((X429/$H429),1)*$H429),"")</f>
        <v>36</v>
      </c>
      <c r="Z429" s="41">
        <f>IFERROR(IF(Y429=0,"",ROUNDUP(Y429/H429,0)*0.01898),"")</f>
        <v>7.5920000000000001E-2</v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31.646666666666665</v>
      </c>
      <c r="BN429" s="78">
        <f>IFERROR(Y429*I429/H429,"0")</f>
        <v>37.975999999999999</v>
      </c>
      <c r="BO429" s="78">
        <f>IFERROR(1/J429*(X429/H429),"0")</f>
        <v>5.2083333333333336E-2</v>
      </c>
      <c r="BP429" s="78">
        <f>IFERROR(1/J429*(Y429/H429),"0")</f>
        <v>6.25E-2</v>
      </c>
    </row>
    <row r="430" spans="1:68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3.3333333333333335</v>
      </c>
      <c r="Y430" s="43">
        <f>IFERROR(Y429/H429,"0")</f>
        <v>4</v>
      </c>
      <c r="Z430" s="43">
        <f>IFERROR(IF(Z429="",0,Z429),"0")</f>
        <v>7.5920000000000001E-2</v>
      </c>
      <c r="AA430" s="67"/>
      <c r="AB430" s="67"/>
      <c r="AC430" s="67"/>
    </row>
    <row r="431" spans="1:68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30</v>
      </c>
      <c r="Y431" s="43">
        <f>IFERROR(SUM(Y429:Y429),"0")</f>
        <v>36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132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137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144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144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137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144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8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9">IFERROR(X451*I451/H451,"0")</f>
        <v>0</v>
      </c>
      <c r="BN451" s="78">
        <f t="shared" ref="BN451:BN456" si="70">IFERROR(Y451*I451/H451,"0")</f>
        <v>0</v>
      </c>
      <c r="BO451" s="78">
        <f t="shared" ref="BO451:BO456" si="71">IFERROR(1/J451*(X451/H451),"0")</f>
        <v>0</v>
      </c>
      <c r="BP451" s="78">
        <f t="shared" ref="BP451:BP456" si="72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144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8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9"/>
        <v>0</v>
      </c>
      <c r="BN452" s="78">
        <f t="shared" si="70"/>
        <v>0</v>
      </c>
      <c r="BO452" s="78">
        <f t="shared" si="71"/>
        <v>0</v>
      </c>
      <c r="BP452" s="78">
        <f t="shared" si="72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8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9"/>
        <v>0</v>
      </c>
      <c r="BN453" s="78">
        <f t="shared" si="70"/>
        <v>0</v>
      </c>
      <c r="BO453" s="78">
        <f t="shared" si="71"/>
        <v>0</v>
      </c>
      <c r="BP453" s="78">
        <f t="shared" si="72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8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9"/>
        <v>0</v>
      </c>
      <c r="BN454" s="78">
        <f t="shared" si="70"/>
        <v>0</v>
      </c>
      <c r="BO454" s="78">
        <f t="shared" si="71"/>
        <v>0</v>
      </c>
      <c r="BP454" s="78">
        <f t="shared" si="72"/>
        <v>0</v>
      </c>
    </row>
    <row r="455" spans="1:68" ht="27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3.5</v>
      </c>
      <c r="Y455" s="55">
        <f t="shared" si="68"/>
        <v>4.2</v>
      </c>
      <c r="Z455" s="41">
        <f>IFERROR(IF(Y455=0,"",ROUNDUP(Y455/H455,0)*0.00502),"")</f>
        <v>1.004E-2</v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9"/>
        <v>3.7166666666666663</v>
      </c>
      <c r="BN455" s="78">
        <f t="shared" si="70"/>
        <v>4.46</v>
      </c>
      <c r="BO455" s="78">
        <f t="shared" si="71"/>
        <v>7.1225071225071226E-3</v>
      </c>
      <c r="BP455" s="78">
        <f t="shared" si="72"/>
        <v>8.5470085470085479E-3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8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9"/>
        <v>0</v>
      </c>
      <c r="BN456" s="78">
        <f t="shared" si="70"/>
        <v>0</v>
      </c>
      <c r="BO456" s="78">
        <f t="shared" si="71"/>
        <v>0</v>
      </c>
      <c r="BP456" s="78">
        <f t="shared" si="72"/>
        <v>0</v>
      </c>
    </row>
    <row r="457" spans="1:68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1.6666666666666665</v>
      </c>
      <c r="Y457" s="43">
        <f>IFERROR(Y451/H451,"0")+IFERROR(Y452/H452,"0")+IFERROR(Y453/H453,"0")+IFERROR(Y454/H454,"0")+IFERROR(Y455/H455,"0")+IFERROR(Y456/H456,"0")</f>
        <v>2</v>
      </c>
      <c r="Z457" s="43">
        <f>IFERROR(IF(Z451="",0,Z451),"0")+IFERROR(IF(Z452="",0,Z452),"0")+IFERROR(IF(Z453="",0,Z453),"0")+IFERROR(IF(Z454="",0,Z454),"0")+IFERROR(IF(Z455="",0,Z455),"0")+IFERROR(IF(Z456="",0,Z456),"0")</f>
        <v>1.004E-2</v>
      </c>
      <c r="AA457" s="67"/>
      <c r="AB457" s="67"/>
      <c r="AC457" s="67"/>
    </row>
    <row r="458" spans="1:68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3.5</v>
      </c>
      <c r="Y458" s="43">
        <f>IFERROR(SUM(Y451:Y456),"0")</f>
        <v>4.2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144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167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144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132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137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40</v>
      </c>
      <c r="Y478" s="55">
        <f t="shared" ref="Y478:Y486" si="73">IFERROR(IF(X478="",0,CEILING((X478/$H478),1)*$H478),"")</f>
        <v>42.24</v>
      </c>
      <c r="Z478" s="41">
        <f t="shared" ref="Z478:Z483" si="74">IFERROR(IF(Y478=0,"",ROUNDUP(Y478/H478,0)*0.01196),"")</f>
        <v>9.5680000000000001E-2</v>
      </c>
      <c r="AA478" s="68" t="s">
        <v>46</v>
      </c>
      <c r="AB478" s="69" t="s">
        <v>46</v>
      </c>
      <c r="AC478" s="562" t="s">
        <v>135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75">IFERROR(X478*I478/H478,"0")</f>
        <v>42.651515151515149</v>
      </c>
      <c r="BN478" s="78">
        <f t="shared" ref="BN478:BN486" si="76">IFERROR(Y478*I478/H478,"0")</f>
        <v>45.04</v>
      </c>
      <c r="BO478" s="78">
        <f t="shared" ref="BO478:BO486" si="77">IFERROR(1/J478*(X478/H478),"0")</f>
        <v>7.2843822843822847E-2</v>
      </c>
      <c r="BP478" s="78">
        <f t="shared" ref="BP478:BP486" si="78">IFERROR(1/J478*(Y478/H478),"0")</f>
        <v>7.6923076923076927E-2</v>
      </c>
    </row>
    <row r="479" spans="1:68" ht="27" hidden="1" customHeight="1" x14ac:dyDescent="0.25">
      <c r="A479" s="63" t="s">
        <v>765</v>
      </c>
      <c r="B479" s="63" t="s">
        <v>766</v>
      </c>
      <c r="C479" s="36">
        <v>4301012210</v>
      </c>
      <c r="D479" s="687">
        <v>4607091383522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137</v>
      </c>
      <c r="L479" s="37" t="s">
        <v>46</v>
      </c>
      <c r="M479" s="38" t="s">
        <v>136</v>
      </c>
      <c r="N479" s="38"/>
      <c r="O479" s="37">
        <v>60</v>
      </c>
      <c r="P479" s="934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 t="shared" si="74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75"/>
        <v>0</v>
      </c>
      <c r="BN479" s="78">
        <f t="shared" si="76"/>
        <v>0</v>
      </c>
      <c r="BO479" s="78">
        <f t="shared" si="77"/>
        <v>0</v>
      </c>
      <c r="BP479" s="78">
        <f t="shared" si="78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137</v>
      </c>
      <c r="L480" s="37" t="s">
        <v>46</v>
      </c>
      <c r="M480" s="38" t="s">
        <v>136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 t="shared" si="74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75"/>
        <v>0</v>
      </c>
      <c r="BN480" s="78">
        <f t="shared" si="76"/>
        <v>0</v>
      </c>
      <c r="BO480" s="78">
        <f t="shared" si="77"/>
        <v>0</v>
      </c>
      <c r="BP480" s="78">
        <f t="shared" si="78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137</v>
      </c>
      <c r="L481" s="37" t="s">
        <v>46</v>
      </c>
      <c r="M481" s="38" t="s">
        <v>136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 t="shared" si="74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75"/>
        <v>0</v>
      </c>
      <c r="BN481" s="78">
        <f t="shared" si="76"/>
        <v>0</v>
      </c>
      <c r="BO481" s="78">
        <f t="shared" si="77"/>
        <v>0</v>
      </c>
      <c r="BP481" s="78">
        <f t="shared" si="78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137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 t="shared" si="74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75"/>
        <v>0</v>
      </c>
      <c r="BN482" s="78">
        <f t="shared" si="76"/>
        <v>0</v>
      </c>
      <c r="BO482" s="78">
        <f t="shared" si="77"/>
        <v>0</v>
      </c>
      <c r="BP482" s="78">
        <f t="shared" si="78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137</v>
      </c>
      <c r="L483" s="37" t="s">
        <v>46</v>
      </c>
      <c r="M483" s="38" t="s">
        <v>136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260</v>
      </c>
      <c r="Y483" s="55">
        <f t="shared" si="73"/>
        <v>264</v>
      </c>
      <c r="Z483" s="41">
        <f t="shared" si="74"/>
        <v>0.59799999999999998</v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75"/>
        <v>277.23484848484844</v>
      </c>
      <c r="BN483" s="78">
        <f t="shared" si="76"/>
        <v>281.5</v>
      </c>
      <c r="BO483" s="78">
        <f t="shared" si="77"/>
        <v>0.47348484848484851</v>
      </c>
      <c r="BP483" s="78">
        <f t="shared" si="78"/>
        <v>0.48076923076923078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3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135</v>
      </c>
      <c r="AG484" s="78"/>
      <c r="AJ484" s="84" t="s">
        <v>46</v>
      </c>
      <c r="AK484" s="84">
        <v>0</v>
      </c>
      <c r="BB484" s="575" t="s">
        <v>67</v>
      </c>
      <c r="BM484" s="78">
        <f t="shared" si="75"/>
        <v>0</v>
      </c>
      <c r="BN484" s="78">
        <f t="shared" si="76"/>
        <v>0</v>
      </c>
      <c r="BO484" s="78">
        <f t="shared" si="77"/>
        <v>0</v>
      </c>
      <c r="BP484" s="78">
        <f t="shared" si="78"/>
        <v>0</v>
      </c>
    </row>
    <row r="485" spans="1:68" ht="27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144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48</v>
      </c>
      <c r="Y485" s="55">
        <f t="shared" si="73"/>
        <v>48</v>
      </c>
      <c r="Z485" s="41">
        <f>IFERROR(IF(Y485=0,"",ROUNDUP(Y485/H485,0)*0.00902),"")</f>
        <v>9.0200000000000002E-2</v>
      </c>
      <c r="AA485" s="68" t="s">
        <v>46</v>
      </c>
      <c r="AB485" s="69" t="s">
        <v>46</v>
      </c>
      <c r="AC485" s="576" t="s">
        <v>135</v>
      </c>
      <c r="AG485" s="78"/>
      <c r="AJ485" s="84" t="s">
        <v>46</v>
      </c>
      <c r="AK485" s="84">
        <v>0</v>
      </c>
      <c r="BB485" s="577" t="s">
        <v>67</v>
      </c>
      <c r="BM485" s="78">
        <f t="shared" si="75"/>
        <v>69.100000000000009</v>
      </c>
      <c r="BN485" s="78">
        <f t="shared" si="76"/>
        <v>69.100000000000009</v>
      </c>
      <c r="BO485" s="78">
        <f t="shared" si="77"/>
        <v>7.575757575757576E-2</v>
      </c>
      <c r="BP485" s="78">
        <f t="shared" si="78"/>
        <v>7.575757575757576E-2</v>
      </c>
    </row>
    <row r="486" spans="1:68" ht="27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144</v>
      </c>
      <c r="L486" s="37" t="s">
        <v>46</v>
      </c>
      <c r="M486" s="38" t="s">
        <v>136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330</v>
      </c>
      <c r="Y486" s="55">
        <f t="shared" si="73"/>
        <v>331.2</v>
      </c>
      <c r="Z486" s="41">
        <f>IFERROR(IF(Y486=0,"",ROUNDUP(Y486/H486,0)*0.00902),"")</f>
        <v>0.62238000000000004</v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75"/>
        <v>475.06250000000006</v>
      </c>
      <c r="BN486" s="78">
        <f t="shared" si="76"/>
        <v>476.79</v>
      </c>
      <c r="BO486" s="78">
        <f t="shared" si="77"/>
        <v>0.52083333333333337</v>
      </c>
      <c r="BP486" s="78">
        <f t="shared" si="78"/>
        <v>0.52272727272727271</v>
      </c>
    </row>
    <row r="487" spans="1:68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135.56818181818181</v>
      </c>
      <c r="Y487" s="43">
        <f>IFERROR(Y478/H478,"0")+IFERROR(Y479/H479,"0")+IFERROR(Y480/H480,"0")+IFERROR(Y481/H481,"0")+IFERROR(Y482/H482,"0")+IFERROR(Y483/H483,"0")+IFERROR(Y484/H484,"0")+IFERROR(Y485/H485,"0")+IFERROR(Y486/H486,"0")</f>
        <v>137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1.4062600000000001</v>
      </c>
      <c r="AA487" s="67"/>
      <c r="AB487" s="67"/>
      <c r="AC487" s="67"/>
    </row>
    <row r="488" spans="1:68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678</v>
      </c>
      <c r="Y488" s="43">
        <f>IFERROR(SUM(Y478:Y486),"0")</f>
        <v>685.44</v>
      </c>
      <c r="Z488" s="42"/>
      <c r="AA488" s="67"/>
      <c r="AB488" s="67"/>
      <c r="AC488" s="67"/>
    </row>
    <row r="489" spans="1:68" ht="14.25" hidden="1" customHeight="1" x14ac:dyDescent="0.25">
      <c r="A489" s="686" t="s">
        <v>167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137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400</v>
      </c>
      <c r="Y490" s="55">
        <f>IFERROR(IF(X490="",0,CEILING((X490/$H490),1)*$H490),"")</f>
        <v>401.28000000000003</v>
      </c>
      <c r="Z490" s="41">
        <f>IFERROR(IF(Y490=0,"",ROUNDUP(Y490/H490,0)*0.01196),"")</f>
        <v>0.90895999999999999</v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426.5151515151515</v>
      </c>
      <c r="BN490" s="78">
        <f>IFERROR(Y490*I490/H490,"0")</f>
        <v>427.88</v>
      </c>
      <c r="BO490" s="78">
        <f>IFERROR(1/J490*(X490/H490),"0")</f>
        <v>0.72843822843822836</v>
      </c>
      <c r="BP490" s="78">
        <f>IFERROR(1/J490*(Y490/H490),"0")</f>
        <v>0.73076923076923084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136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144</v>
      </c>
      <c r="L492" s="37" t="s">
        <v>46</v>
      </c>
      <c r="M492" s="38" t="s">
        <v>136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168</v>
      </c>
      <c r="Y492" s="55">
        <f>IFERROR(IF(X492="",0,CEILING((X492/$H492),1)*$H492),"")</f>
        <v>168</v>
      </c>
      <c r="Z492" s="41">
        <f>IFERROR(IF(Y492=0,"",ROUNDUP(Y492/H492,0)*0.00902),"")</f>
        <v>0.31569999999999998</v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241.85000000000002</v>
      </c>
      <c r="BN492" s="78">
        <f>IFERROR(Y492*I492/H492,"0")</f>
        <v>241.85000000000002</v>
      </c>
      <c r="BO492" s="78">
        <f>IFERROR(1/J492*(X492/H492),"0")</f>
        <v>0.26515151515151514</v>
      </c>
      <c r="BP492" s="78">
        <f>IFERROR(1/J492*(Y492/H492),"0")</f>
        <v>0.26515151515151514</v>
      </c>
    </row>
    <row r="493" spans="1:68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110.75757575757575</v>
      </c>
      <c r="Y493" s="43">
        <f>IFERROR(Y490/H490,"0")+IFERROR(Y491/H491,"0")+IFERROR(Y492/H492,"0")</f>
        <v>111</v>
      </c>
      <c r="Z493" s="43">
        <f>IFERROR(IF(Z490="",0,Z490),"0")+IFERROR(IF(Z491="",0,Z491),"0")+IFERROR(IF(Z492="",0,Z492),"0")</f>
        <v>1.2246600000000001</v>
      </c>
      <c r="AA493" s="67"/>
      <c r="AB493" s="67"/>
      <c r="AC493" s="67"/>
    </row>
    <row r="494" spans="1:68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568</v>
      </c>
      <c r="Y494" s="43">
        <f>IFERROR(SUM(Y490:Y492),"0")</f>
        <v>569.28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137</v>
      </c>
      <c r="L496" s="37" t="s">
        <v>46</v>
      </c>
      <c r="M496" s="38" t="s">
        <v>136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20</v>
      </c>
      <c r="Y496" s="55">
        <f t="shared" ref="Y496:Y502" si="79">IFERROR(IF(X496="",0,CEILING((X496/$H496),1)*$H496),"")</f>
        <v>21.12</v>
      </c>
      <c r="Z496" s="41">
        <f>IFERROR(IF(Y496=0,"",ROUNDUP(Y496/H496,0)*0.01196),"")</f>
        <v>4.7840000000000001E-2</v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80">IFERROR(X496*I496/H496,"0")</f>
        <v>21.325757575757574</v>
      </c>
      <c r="BN496" s="78">
        <f t="shared" ref="BN496:BN502" si="81">IFERROR(Y496*I496/H496,"0")</f>
        <v>22.52</v>
      </c>
      <c r="BO496" s="78">
        <f t="shared" ref="BO496:BO502" si="82">IFERROR(1/J496*(X496/H496),"0")</f>
        <v>3.6421911421911424E-2</v>
      </c>
      <c r="BP496" s="78">
        <f t="shared" ref="BP496:BP502" si="83">IFERROR(1/J496*(Y496/H496),"0")</f>
        <v>3.8461538461538464E-2</v>
      </c>
    </row>
    <row r="497" spans="1:68" ht="27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137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20</v>
      </c>
      <c r="Y497" s="55">
        <f t="shared" si="79"/>
        <v>21.12</v>
      </c>
      <c r="Z497" s="41">
        <f>IFERROR(IF(Y497=0,"",ROUNDUP(Y497/H497,0)*0.01196),"")</f>
        <v>4.7840000000000001E-2</v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80"/>
        <v>21.325757575757574</v>
      </c>
      <c r="BN497" s="78">
        <f t="shared" si="81"/>
        <v>22.52</v>
      </c>
      <c r="BO497" s="78">
        <f t="shared" si="82"/>
        <v>3.6421911421911424E-2</v>
      </c>
      <c r="BP497" s="78">
        <f t="shared" si="83"/>
        <v>3.8461538461538464E-2</v>
      </c>
    </row>
    <row r="498" spans="1:68" ht="27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137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110</v>
      </c>
      <c r="Y498" s="55">
        <f t="shared" si="79"/>
        <v>110.88000000000001</v>
      </c>
      <c r="Z498" s="41">
        <f>IFERROR(IF(Y498=0,"",ROUNDUP(Y498/H498,0)*0.01196),"")</f>
        <v>0.25115999999999999</v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80"/>
        <v>117.29166666666666</v>
      </c>
      <c r="BN498" s="78">
        <f t="shared" si="81"/>
        <v>118.23</v>
      </c>
      <c r="BO498" s="78">
        <f t="shared" si="82"/>
        <v>0.20032051282051283</v>
      </c>
      <c r="BP498" s="78">
        <f t="shared" si="83"/>
        <v>0.20192307692307693</v>
      </c>
    </row>
    <row r="499" spans="1:68" ht="27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144</v>
      </c>
      <c r="L499" s="37" t="s">
        <v>46</v>
      </c>
      <c r="M499" s="38" t="s">
        <v>136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12</v>
      </c>
      <c r="Y499" s="55">
        <f t="shared" si="79"/>
        <v>14.399999999999999</v>
      </c>
      <c r="Z499" s="41">
        <f>IFERROR(IF(Y499=0,"",ROUNDUP(Y499/H499,0)*0.00902),"")</f>
        <v>2.7060000000000001E-2</v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80"/>
        <v>17.275000000000002</v>
      </c>
      <c r="BN499" s="78">
        <f t="shared" si="81"/>
        <v>20.73</v>
      </c>
      <c r="BO499" s="78">
        <f t="shared" si="82"/>
        <v>1.893939393939394E-2</v>
      </c>
      <c r="BP499" s="78">
        <f t="shared" si="83"/>
        <v>2.2727272727272728E-2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144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9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144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36</v>
      </c>
      <c r="Y501" s="55">
        <f t="shared" si="79"/>
        <v>38.4</v>
      </c>
      <c r="Z501" s="41">
        <f>IFERROR(IF(Y501=0,"",ROUNDUP(Y501/H501,0)*0.00902),"")</f>
        <v>7.2160000000000002E-2</v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80"/>
        <v>50.025000000000006</v>
      </c>
      <c r="BN501" s="78">
        <f t="shared" si="81"/>
        <v>53.36</v>
      </c>
      <c r="BO501" s="78">
        <f t="shared" si="82"/>
        <v>5.6818181818181823E-2</v>
      </c>
      <c r="BP501" s="78">
        <f t="shared" si="83"/>
        <v>6.0606060606060608E-2</v>
      </c>
    </row>
    <row r="502" spans="1:68" ht="27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144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180</v>
      </c>
      <c r="Y502" s="55">
        <f t="shared" si="79"/>
        <v>182.4</v>
      </c>
      <c r="Z502" s="41">
        <f>IFERROR(IF(Y502=0,"",ROUNDUP(Y502/H502,0)*0.00902),"")</f>
        <v>0.34276000000000001</v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80"/>
        <v>250.125</v>
      </c>
      <c r="BN502" s="78">
        <f t="shared" si="81"/>
        <v>253.46</v>
      </c>
      <c r="BO502" s="78">
        <f t="shared" si="82"/>
        <v>0.28409090909090912</v>
      </c>
      <c r="BP502" s="78">
        <f t="shared" si="83"/>
        <v>0.2878787878787879</v>
      </c>
    </row>
    <row r="503" spans="1:68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75.909090909090907</v>
      </c>
      <c r="Y503" s="43">
        <f>IFERROR(Y496/H496,"0")+IFERROR(Y497/H497,"0")+IFERROR(Y498/H498,"0")+IFERROR(Y499/H499,"0")+IFERROR(Y500/H500,"0")+IFERROR(Y501/H501,"0")+IFERROR(Y502/H502,"0")</f>
        <v>78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0.78882000000000008</v>
      </c>
      <c r="AA503" s="67"/>
      <c r="AB503" s="67"/>
      <c r="AC503" s="67"/>
    </row>
    <row r="504" spans="1:68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378</v>
      </c>
      <c r="Y504" s="43">
        <f>IFERROR(SUM(Y496:Y502),"0")</f>
        <v>388.32000000000005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132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137</v>
      </c>
      <c r="L508" s="37" t="s">
        <v>46</v>
      </c>
      <c r="M508" s="38" t="s">
        <v>136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6" t="s">
        <v>167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137</v>
      </c>
      <c r="L512" s="37" t="s">
        <v>46</v>
      </c>
      <c r="M512" s="38" t="s">
        <v>136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144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144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137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54</v>
      </c>
      <c r="Z521" s="41">
        <f>IFERROR(IF(Y521=0,"",ROUNDUP(Y521/H521,0)*0.01898),"")</f>
        <v>0.11388000000000001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52.74444444444444</v>
      </c>
      <c r="BN521" s="78">
        <f>IFERROR(Y521*I521/H521,"0")</f>
        <v>56.963999999999992</v>
      </c>
      <c r="BO521" s="78">
        <f>IFERROR(1/J521*(X521/H521),"0")</f>
        <v>8.6805555555555552E-2</v>
      </c>
      <c r="BP521" s="78">
        <f>IFERROR(1/J521*(Y521/H521),"0")</f>
        <v>9.375E-2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5.5555555555555554</v>
      </c>
      <c r="Y522" s="43">
        <f>IFERROR(Y521/H521,"0")</f>
        <v>6</v>
      </c>
      <c r="Z522" s="43">
        <f>IFERROR(IF(Z521="",0,Z521),"0")</f>
        <v>0.11388000000000001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50</v>
      </c>
      <c r="Y523" s="43">
        <f>IFERROR(SUM(Y521:Y521),"0")</f>
        <v>54</v>
      </c>
      <c r="Z523" s="42"/>
      <c r="AA523" s="67"/>
      <c r="AB523" s="67"/>
      <c r="AC523" s="67"/>
    </row>
    <row r="524" spans="1:68" ht="14.25" hidden="1" customHeight="1" x14ac:dyDescent="0.25">
      <c r="A524" s="686" t="s">
        <v>184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137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137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167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137</v>
      </c>
      <c r="L531" s="37" t="s">
        <v>46</v>
      </c>
      <c r="M531" s="38" t="s">
        <v>136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34+X38+X48+X57+X68+X75+X80+X85+X93+X100+X111+X121+X128+X132+X138+X143+X148+X156+X162+X166+X180+X186+X191+X195+X207+X212+X229+X236+X242+X246+X252+X257+X268+X283+X288+X299+X303+X307+X313+X322+X329+X338+X343+X350+X360+X370+X377+X383+X390+X396+X403+X416+X422+X427+X431+X437+X441+X447+X458+X463+X468+X474+X488+X494+X504+X510+X514+X519+X523+X528+X533,"0")</f>
        <v>16036.9</v>
      </c>
      <c r="Y534" s="43">
        <f>IFERROR(Y25+Y34+Y38+Y48+Y57+Y68+Y75+Y80+Y85+Y93+Y100+Y111+Y121+Y128+Y132+Y138+Y143+Y148+Y156+Y162+Y166+Y180+Y186+Y191+Y195+Y207+Y212+Y229+Y236+Y242+Y246+Y252+Y257+Y268+Y283+Y288+Y299+Y303+Y307+Y313+Y322+Y329+Y338+Y343+Y350+Y360+Y370+Y377+Y383+Y390+Y396+Y403+Y416+Y422+Y427+Y431+Y437+Y441+Y447+Y458+Y463+Y468+Y474+Y488+Y494+Y504+Y510+Y514+Y519+Y523+Y528+Y533,"0")</f>
        <v>16208.800000000001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17362.249587348579</v>
      </c>
      <c r="Y535" s="43">
        <f>IFERROR(SUM(BN22:BN531),"0")</f>
        <v>17546.357000000004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32</v>
      </c>
      <c r="Y536" s="44">
        <f>ROUNDUP(SUM(BP22:BP531),0)</f>
        <v>32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18162.249587348579</v>
      </c>
      <c r="Y537" s="43">
        <f>GrossWeightTotalR+PalletQtyTotalR*25</f>
        <v>18346.357000000004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33+X37+X47+X56+X67+X74+X79+X84+X92+X99+X110+X120+X127+X131+X137+X142+X147+X155+X161+X165+X179+X185+X190+X194+X206+X211+X228+X235+X241+X245+X251+X256+X267+X282+X287+X298+X302+X306+X312+X321+X328+X337+X342+X349+X359+X369+X376+X382+X389+X395+X402+X415+X421+X426+X430+X436+X440+X446+X457+X462+X467+X473+X487+X493+X503+X509+X513+X518+X522+X527+X532,"0")</f>
        <v>4329.9584928694139</v>
      </c>
      <c r="Y538" s="43">
        <f>IFERROR(Y24+Y33+Y37+Y47+Y56+Y67+Y74+Y79+Y84+Y92+Y99+Y110+Y120+Y127+Y131+Y137+Y142+Y147+Y155+Y161+Y165+Y179+Y185+Y190+Y194+Y206+Y211+Y228+Y235+Y241+Y245+Y251+Y256+Y267+Y282+Y287+Y298+Y302+Y306+Y312+Y321+Y328+Y337+Y342+Y349+Y359+Y369+Y376+Y382+Y389+Y395+Y402+Y415+Y421+Y426+Y430+Y436+Y440+Y446+Y457+Y462+Y467+Y473+Y487+Y493+Y503+Y509+Y513+Y518+Y522+Y527+Y532,"0")</f>
        <v>4362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33+Z37+Z47+Z56+Z67+Z74+Z79+Z84+Z92+Z99+Z110+Z120+Z127+Z131+Z137+Z142+Z147+Z155+Z161+Z165+Z179+Z185+Z190+Z194+Z206+Z211+Z228+Z235+Z241+Z245+Z251+Z256+Z267+Z282+Z287+Z298+Z302+Z306+Z312+Z321+Z328+Z337+Z342+Z349+Z359+Z369+Z376+Z382+Z389+Z395+Z402+Z415+Z421+Z426+Z430+Z436+Z440+Z446+Z457+Z462+Z467+Z473+Z487+Z493+Z503+Z509+Z513+Z518+Z522+Z527+Z532,"0")</f>
        <v>36.771890000000006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130</v>
      </c>
      <c r="E541" s="966" t="s">
        <v>130</v>
      </c>
      <c r="F541" s="966" t="s">
        <v>130</v>
      </c>
      <c r="G541" s="966" t="s">
        <v>130</v>
      </c>
      <c r="H541" s="966" t="s">
        <v>130</v>
      </c>
      <c r="I541" s="966" t="s">
        <v>130</v>
      </c>
      <c r="J541" s="966" t="s">
        <v>130</v>
      </c>
      <c r="K541" s="966" t="s">
        <v>339</v>
      </c>
      <c r="L541" s="966" t="s">
        <v>339</v>
      </c>
      <c r="M541" s="966" t="s">
        <v>339</v>
      </c>
      <c r="N541" s="967"/>
      <c r="O541" s="966" t="s">
        <v>339</v>
      </c>
      <c r="P541" s="966" t="s">
        <v>339</v>
      </c>
      <c r="Q541" s="966" t="s">
        <v>339</v>
      </c>
      <c r="R541" s="966" t="s">
        <v>339</v>
      </c>
      <c r="S541" s="966" t="s">
        <v>339</v>
      </c>
      <c r="T541" s="966" t="s">
        <v>339</v>
      </c>
      <c r="U541" s="966" t="s">
        <v>339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113</v>
      </c>
      <c r="D542" s="966" t="s">
        <v>131</v>
      </c>
      <c r="E542" s="966" t="s">
        <v>147</v>
      </c>
      <c r="F542" s="966" t="s">
        <v>191</v>
      </c>
      <c r="G542" s="966" t="s">
        <v>212</v>
      </c>
      <c r="H542" s="966" t="s">
        <v>256</v>
      </c>
      <c r="I542" s="966" t="s">
        <v>268</v>
      </c>
      <c r="J542" s="966" t="s">
        <v>130</v>
      </c>
      <c r="K542" s="966" t="s">
        <v>340</v>
      </c>
      <c r="L542" s="966" t="s">
        <v>361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IFERROR(Y22*1,"0")+IFERROR(Y23*1,"0")+IFERROR(Y27*1,"0")+IFERROR(Y28*1,"0")+IFERROR(Y29*1,"0")+IFERROR(Y30*1,"0")+IFERROR(Y31*1,"0")+IFERROR(Y32*1,"0")+IFERROR(Y36*1,"0")</f>
        <v>0</v>
      </c>
      <c r="C544" s="52">
        <f>IFERROR(Y42*1,"0")+IFERROR(Y43*1,"0")+IFERROR(Y44*1,"0")+IFERROR(Y45*1,"0")+IFERROR(Y46*1,"0")</f>
        <v>0</v>
      </c>
      <c r="D544" s="52">
        <f>IFERROR(Y52*1,"0")+IFERROR(Y53*1,"0")+IFERROR(Y54*1,"0")+IFERROR(Y55*1,"0")</f>
        <v>320</v>
      </c>
      <c r="E544" s="52">
        <f>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746.99999999999989</v>
      </c>
      <c r="F544" s="52">
        <f>IFERROR(Y88*1,"0")+IFERROR(Y89*1,"0")+IFERROR(Y90*1,"0")+IFERROR(Y91*1,"0")+IFERROR(Y95*1,"0")+IFERROR(Y96*1,"0")+IFERROR(Y97*1,"0")+IFERROR(Y98*1,"0")</f>
        <v>825.3</v>
      </c>
      <c r="G544" s="52">
        <f>IFERROR(Y103*1,"0")+IFERROR(Y104*1,"0")+IFERROR(Y105*1,"0")+IFERROR(Y106*1,"0")+IFERROR(Y107*1,"0")+IFERROR(Y108*1,"0")+IFERROR(Y109*1,"0")+IFERROR(Y113*1,"0")+IFERROR(Y114*1,"0")+IFERROR(Y115*1,"0")+IFERROR(Y116*1,"0")+IFERROR(Y117*1,"0")+IFERROR(Y118*1,"0")+IFERROR(Y119*1,"0")+IFERROR(Y123*1,"0")+IFERROR(Y124*1,"0")+IFERROR(Y125*1,"0")+IFERROR(Y126*1,"0")+IFERROR(Y130*1,"0")</f>
        <v>1042.5600000000002</v>
      </c>
      <c r="H544" s="52">
        <f>IFERROR(Y135*1,"0")+IFERROR(Y136*1,"0")+IFERROR(Y140*1,"0")+IFERROR(Y141*1,"0")+IFERROR(Y145*1,"0")+IFERROR(Y146*1,"0")</f>
        <v>177.6</v>
      </c>
      <c r="I544" s="52">
        <f>IFERROR(Y151*1,"0")+IFERROR(Y152*1,"0")+IFERROR(Y153*1,"0")+IFERROR(Y154*1,"0")</f>
        <v>0</v>
      </c>
      <c r="J544" s="52">
        <f>IFERROR(Y159*1,"0")+IFERROR(Y160*1,"0")+IFERROR(Y164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+IFERROR(Y189*1,"0")+IFERROR(Y193*1,"0")</f>
        <v>1126.9000000000001</v>
      </c>
      <c r="K544" s="52">
        <f>IFERROR(Y199*1,"0")+IFERROR(Y200*1,"0")+IFERROR(Y201*1,"0")+IFERROR(Y202*1,"0")+IFERROR(Y203*1,"0")+IFERROR(Y204*1,"0")+IFERROR(Y205*1,"0")</f>
        <v>0</v>
      </c>
      <c r="L544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227*1,"0")+IFERROR(Y231*1,"0")+IFERROR(Y232*1,"0")+IFERROR(Y233*1,"0")+IFERROR(Y234*1,"0")+IFERROR(Y238*1,"0")+IFERROR(Y239*1,"0")+IFERROR(Y240*1,"0")+IFERROR(Y244*1,"0")</f>
        <v>546.1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2768.7000000000003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189.7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362.4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382.2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1001.7</v>
      </c>
      <c r="U544" s="52">
        <f>IFERROR(Y399*1,"0")+IFERROR(Y400*1,"0")+IFERROR(Y401*1,"0")</f>
        <v>1751.4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3266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4.2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1643.0400000000002</v>
      </c>
      <c r="AA544" s="52">
        <f>IFERROR(Y508*1,"0")+IFERROR(Y512*1,"0")+IFERROR(Y516*1,"0")+IFERROR(Y517*1,"0")+IFERROR(Y521*1,"0")+IFERROR(Y525*1,"0")+IFERROR(Y526*1,"0")</f>
        <v>54</v>
      </c>
      <c r="AB544" s="52">
        <f>IFERROR(Y531*1,"0")</f>
        <v>0</v>
      </c>
      <c r="AC544" s="60"/>
      <c r="AF544" s="1"/>
    </row>
  </sheetData>
  <sheetProtection algorithmName="SHA-512" hashValue="3kQ37mIpbZwMRS5rsZJ6K+byMV/p67UJpbn5dyRYs0U37uXL4zG6u6EkQepxtMZsWe+Xkt7dNz1/mqCrOg/tyQ==" saltValue="8Gyvd9P6ZOxXmjuQXwhy6g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0,00"/>
        <filter val="1 121,40"/>
        <filter val="1 330,00"/>
        <filter val="1 400,00"/>
        <filter val="1 750,00"/>
        <filter val="1,67"/>
        <filter val="100,00"/>
        <filter val="100,80"/>
        <filter val="102,00"/>
        <filter val="104,00"/>
        <filter val="110,00"/>
        <filter val="110,76"/>
        <filter val="113,33"/>
        <filter val="117,60"/>
        <filter val="12,00"/>
        <filter val="12,50"/>
        <filter val="120,00"/>
        <filter val="122,50"/>
        <filter val="13,30"/>
        <filter val="133,00"/>
        <filter val="135,00"/>
        <filter val="135,57"/>
        <filter val="14,40"/>
        <filter val="14,50"/>
        <filter val="140,00"/>
        <filter val="15,00"/>
        <filter val="150,00"/>
        <filter val="16 036,90"/>
        <filter val="160,00"/>
        <filter val="162,35"/>
        <filter val="165,00"/>
        <filter val="168,00"/>
        <filter val="17 362,25"/>
        <filter val="172,53"/>
        <filter val="175,00"/>
        <filter val="18 162,25"/>
        <filter val="180,00"/>
        <filter val="182,67"/>
        <filter val="19,60"/>
        <filter val="2 700,00"/>
        <filter val="2,50"/>
        <filter val="2,56"/>
        <filter val="20,00"/>
        <filter val="200,00"/>
        <filter val="221,50"/>
        <filter val="230,00"/>
        <filter val="25,00"/>
        <filter val="250,00"/>
        <filter val="259,76"/>
        <filter val="26,67"/>
        <filter val="260,00"/>
        <filter val="280,00"/>
        <filter val="3,33"/>
        <filter val="3,50"/>
        <filter val="30,00"/>
        <filter val="31,67"/>
        <filter val="315,00"/>
        <filter val="32"/>
        <filter val="320,00"/>
        <filter val="33,33"/>
        <filter val="330,00"/>
        <filter val="350,00"/>
        <filter val="36,00"/>
        <filter val="360,00"/>
        <filter val="370,00"/>
        <filter val="372,22"/>
        <filter val="378,00"/>
        <filter val="39,90"/>
        <filter val="4 329,96"/>
        <filter val="4,50"/>
        <filter val="40,00"/>
        <filter val="400,00"/>
        <filter val="405,00"/>
        <filter val="421,43"/>
        <filter val="43,52"/>
        <filter val="448,56"/>
        <filter val="47,44"/>
        <filter val="48,00"/>
        <filter val="490,50"/>
        <filter val="5,56"/>
        <filter val="50,00"/>
        <filter val="500,00"/>
        <filter val="505,00"/>
        <filter val="52,80"/>
        <filter val="520,00"/>
        <filter val="56,00"/>
        <filter val="568,00"/>
        <filter val="6,67"/>
        <filter val="60,00"/>
        <filter val="625,00"/>
        <filter val="66,00"/>
        <filter val="670,00"/>
        <filter val="678,00"/>
        <filter val="7,00"/>
        <filter val="70,00"/>
        <filter val="700,00"/>
        <filter val="75,91"/>
        <filter val="78,00"/>
        <filter val="8,00"/>
        <filter val="8,33"/>
        <filter val="8,40"/>
        <filter val="80,00"/>
        <filter val="81,59"/>
        <filter val="833,33"/>
        <filter val="84,00"/>
        <filter val="875,00"/>
        <filter val="9,44"/>
        <filter val="90,00"/>
        <filter val="99,00"/>
        <filter val="99,26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6:E226"/>
    <mergeCell ref="P226:T226"/>
    <mergeCell ref="D227:E227"/>
    <mergeCell ref="P227:T227"/>
    <mergeCell ref="P228:V228"/>
    <mergeCell ref="A228:O229"/>
    <mergeCell ref="P229:V229"/>
    <mergeCell ref="A230:Z230"/>
    <mergeCell ref="D231:E231"/>
    <mergeCell ref="P231:T231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P190:V190"/>
    <mergeCell ref="A190:O191"/>
    <mergeCell ref="P191:V191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A163:Z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A157:Z157"/>
    <mergeCell ref="A158:Z158"/>
    <mergeCell ref="D159:E159"/>
    <mergeCell ref="P159:T159"/>
    <mergeCell ref="D160:E160"/>
    <mergeCell ref="P160:T160"/>
    <mergeCell ref="P161:V161"/>
    <mergeCell ref="A161:O162"/>
    <mergeCell ref="P162:V162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33:Z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P127:V127"/>
    <mergeCell ref="A127:O128"/>
    <mergeCell ref="P128:V128"/>
    <mergeCell ref="A129:Z129"/>
    <mergeCell ref="D130:E130"/>
    <mergeCell ref="P130:T130"/>
    <mergeCell ref="P131:V131"/>
    <mergeCell ref="A131:O132"/>
    <mergeCell ref="P132:V132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A49:Z49"/>
    <mergeCell ref="A50:Z50"/>
    <mergeCell ref="A51:Z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ov7K7EqTgPkcWVK8FohYaO4RXg+5oYgs//Wqo9rin5GIoaRguUdlNrzT6H+H+w7tcTG9Sr9E6cmSfOaSfCm9rQ==" saltValue="EIqJWcv12f9so/HEEtlvR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