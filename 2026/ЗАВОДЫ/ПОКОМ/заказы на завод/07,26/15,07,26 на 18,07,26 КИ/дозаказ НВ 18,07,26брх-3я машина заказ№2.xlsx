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0AC4426-0C87-4CF6-844B-F923F38EEB9D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Y540" i="1" l="1"/>
  <c r="X540" i="1"/>
  <c r="X539" i="1"/>
  <c r="BO538" i="1"/>
  <c r="BM538" i="1"/>
  <c r="Y538" i="1"/>
  <c r="AB551" i="1" s="1"/>
  <c r="P538" i="1"/>
  <c r="X535" i="1"/>
  <c r="X534" i="1"/>
  <c r="BO533" i="1"/>
  <c r="BM533" i="1"/>
  <c r="Y533" i="1"/>
  <c r="P533" i="1"/>
  <c r="BO532" i="1"/>
  <c r="BM532" i="1"/>
  <c r="Y532" i="1"/>
  <c r="BP532" i="1" s="1"/>
  <c r="P532" i="1"/>
  <c r="X530" i="1"/>
  <c r="X529" i="1"/>
  <c r="BO528" i="1"/>
  <c r="BM528" i="1"/>
  <c r="Y528" i="1"/>
  <c r="BP528" i="1" s="1"/>
  <c r="P528" i="1"/>
  <c r="X526" i="1"/>
  <c r="X525" i="1"/>
  <c r="BO524" i="1"/>
  <c r="BM524" i="1"/>
  <c r="Y524" i="1"/>
  <c r="BP524" i="1" s="1"/>
  <c r="P524" i="1"/>
  <c r="BO523" i="1"/>
  <c r="BM523" i="1"/>
  <c r="Y523" i="1"/>
  <c r="BN523" i="1" s="1"/>
  <c r="P523" i="1"/>
  <c r="X521" i="1"/>
  <c r="X520" i="1"/>
  <c r="BO519" i="1"/>
  <c r="BM519" i="1"/>
  <c r="Y519" i="1"/>
  <c r="Y520" i="1" s="1"/>
  <c r="P519" i="1"/>
  <c r="X517" i="1"/>
  <c r="X516" i="1"/>
  <c r="BO515" i="1"/>
  <c r="BM515" i="1"/>
  <c r="Y515" i="1"/>
  <c r="Z515" i="1" s="1"/>
  <c r="Z516" i="1" s="1"/>
  <c r="P515" i="1"/>
  <c r="X511" i="1"/>
  <c r="X510" i="1"/>
  <c r="BO509" i="1"/>
  <c r="BM509" i="1"/>
  <c r="Y509" i="1"/>
  <c r="BN509" i="1" s="1"/>
  <c r="P509" i="1"/>
  <c r="BO508" i="1"/>
  <c r="BM508" i="1"/>
  <c r="Y508" i="1"/>
  <c r="BP508" i="1" s="1"/>
  <c r="P508" i="1"/>
  <c r="BO507" i="1"/>
  <c r="BM507" i="1"/>
  <c r="Y507" i="1"/>
  <c r="BP507" i="1" s="1"/>
  <c r="P507" i="1"/>
  <c r="BO506" i="1"/>
  <c r="BM506" i="1"/>
  <c r="Y506" i="1"/>
  <c r="BP506" i="1" s="1"/>
  <c r="P506" i="1"/>
  <c r="BO505" i="1"/>
  <c r="BM505" i="1"/>
  <c r="Y505" i="1"/>
  <c r="Z505" i="1" s="1"/>
  <c r="P505" i="1"/>
  <c r="BO504" i="1"/>
  <c r="BM504" i="1"/>
  <c r="Y504" i="1"/>
  <c r="P504" i="1"/>
  <c r="BO503" i="1"/>
  <c r="BM503" i="1"/>
  <c r="Y503" i="1"/>
  <c r="Z503" i="1" s="1"/>
  <c r="P503" i="1"/>
  <c r="X501" i="1"/>
  <c r="X500" i="1"/>
  <c r="BO499" i="1"/>
  <c r="BM499" i="1"/>
  <c r="Y499" i="1"/>
  <c r="BP499" i="1" s="1"/>
  <c r="P499" i="1"/>
  <c r="BO498" i="1"/>
  <c r="BM498" i="1"/>
  <c r="Y498" i="1"/>
  <c r="BP498" i="1" s="1"/>
  <c r="P498" i="1"/>
  <c r="BO497" i="1"/>
  <c r="BM497" i="1"/>
  <c r="Y497" i="1"/>
  <c r="Y500" i="1" s="1"/>
  <c r="P497" i="1"/>
  <c r="X495" i="1"/>
  <c r="X494" i="1"/>
  <c r="BO493" i="1"/>
  <c r="BM493" i="1"/>
  <c r="Y493" i="1"/>
  <c r="BP493" i="1" s="1"/>
  <c r="P493" i="1"/>
  <c r="BO492" i="1"/>
  <c r="BM492" i="1"/>
  <c r="Z492" i="1"/>
  <c r="Y492" i="1"/>
  <c r="BP492" i="1" s="1"/>
  <c r="P492" i="1"/>
  <c r="BO491" i="1"/>
  <c r="BM491" i="1"/>
  <c r="Y491" i="1"/>
  <c r="BP491" i="1" s="1"/>
  <c r="P491" i="1"/>
  <c r="BO490" i="1"/>
  <c r="BM490" i="1"/>
  <c r="Y490" i="1"/>
  <c r="BP490" i="1" s="1"/>
  <c r="P490" i="1"/>
  <c r="BO489" i="1"/>
  <c r="BM489" i="1"/>
  <c r="Y489" i="1"/>
  <c r="Z489" i="1" s="1"/>
  <c r="P489" i="1"/>
  <c r="BO488" i="1"/>
  <c r="BM488" i="1"/>
  <c r="Y488" i="1"/>
  <c r="P488" i="1"/>
  <c r="BO487" i="1"/>
  <c r="BM487" i="1"/>
  <c r="Y487" i="1"/>
  <c r="BP487" i="1" s="1"/>
  <c r="P487" i="1"/>
  <c r="BO486" i="1"/>
  <c r="BM486" i="1"/>
  <c r="Y486" i="1"/>
  <c r="Z486" i="1" s="1"/>
  <c r="P486" i="1"/>
  <c r="BP485" i="1"/>
  <c r="BO485" i="1"/>
  <c r="BM485" i="1"/>
  <c r="Z485" i="1"/>
  <c r="Y485" i="1"/>
  <c r="P485" i="1"/>
  <c r="X481" i="1"/>
  <c r="X480" i="1"/>
  <c r="BO479" i="1"/>
  <c r="BM479" i="1"/>
  <c r="Y479" i="1"/>
  <c r="Z479" i="1" s="1"/>
  <c r="P479" i="1"/>
  <c r="BO478" i="1"/>
  <c r="BM478" i="1"/>
  <c r="Y478" i="1"/>
  <c r="BP478" i="1" s="1"/>
  <c r="P478" i="1"/>
  <c r="BO477" i="1"/>
  <c r="BM477" i="1"/>
  <c r="Y477" i="1"/>
  <c r="BP477" i="1" s="1"/>
  <c r="P477" i="1"/>
  <c r="X475" i="1"/>
  <c r="X474" i="1"/>
  <c r="BO473" i="1"/>
  <c r="BM473" i="1"/>
  <c r="Y473" i="1"/>
  <c r="Y474" i="1" s="1"/>
  <c r="P473" i="1"/>
  <c r="X470" i="1"/>
  <c r="X469" i="1"/>
  <c r="BO468" i="1"/>
  <c r="BM468" i="1"/>
  <c r="Y468" i="1"/>
  <c r="P468" i="1"/>
  <c r="BO467" i="1"/>
  <c r="BM467" i="1"/>
  <c r="Y467" i="1"/>
  <c r="BP467" i="1" s="1"/>
  <c r="P467" i="1"/>
  <c r="X465" i="1"/>
  <c r="X464" i="1"/>
  <c r="BO463" i="1"/>
  <c r="BM463" i="1"/>
  <c r="Y463" i="1"/>
  <c r="BP463" i="1" s="1"/>
  <c r="P463" i="1"/>
  <c r="BO462" i="1"/>
  <c r="BM462" i="1"/>
  <c r="Y462" i="1"/>
  <c r="BP462" i="1" s="1"/>
  <c r="P462" i="1"/>
  <c r="BO461" i="1"/>
  <c r="BM461" i="1"/>
  <c r="Y461" i="1"/>
  <c r="BN461" i="1" s="1"/>
  <c r="P461" i="1"/>
  <c r="BO460" i="1"/>
  <c r="BM460" i="1"/>
  <c r="Y460" i="1"/>
  <c r="BN460" i="1" s="1"/>
  <c r="P460" i="1"/>
  <c r="BO459" i="1"/>
  <c r="BM459" i="1"/>
  <c r="Y459" i="1"/>
  <c r="P459" i="1"/>
  <c r="BO458" i="1"/>
  <c r="BN458" i="1"/>
  <c r="BM458" i="1"/>
  <c r="Y458" i="1"/>
  <c r="BP458" i="1" s="1"/>
  <c r="P458" i="1"/>
  <c r="X454" i="1"/>
  <c r="X453" i="1"/>
  <c r="BO452" i="1"/>
  <c r="BM452" i="1"/>
  <c r="Y452" i="1"/>
  <c r="BP452" i="1" s="1"/>
  <c r="P452" i="1"/>
  <c r="BO451" i="1"/>
  <c r="BM451" i="1"/>
  <c r="Y451" i="1"/>
  <c r="BN451" i="1" s="1"/>
  <c r="P451" i="1"/>
  <c r="BP450" i="1"/>
  <c r="BO450" i="1"/>
  <c r="BM450" i="1"/>
  <c r="Y450" i="1"/>
  <c r="P450" i="1"/>
  <c r="X448" i="1"/>
  <c r="X447" i="1"/>
  <c r="BO446" i="1"/>
  <c r="BN446" i="1"/>
  <c r="BM446" i="1"/>
  <c r="Y446" i="1"/>
  <c r="Y448" i="1" s="1"/>
  <c r="P446" i="1"/>
  <c r="X444" i="1"/>
  <c r="X443" i="1"/>
  <c r="BO442" i="1"/>
  <c r="BM442" i="1"/>
  <c r="Y442" i="1"/>
  <c r="BN442" i="1" s="1"/>
  <c r="P442" i="1"/>
  <c r="BO441" i="1"/>
  <c r="BM441" i="1"/>
  <c r="Y441" i="1"/>
  <c r="P441" i="1"/>
  <c r="X438" i="1"/>
  <c r="X437" i="1"/>
  <c r="BO436" i="1"/>
  <c r="BM436" i="1"/>
  <c r="Y436" i="1"/>
  <c r="Z436" i="1" s="1"/>
  <c r="P436" i="1"/>
  <c r="BO435" i="1"/>
  <c r="BM435" i="1"/>
  <c r="Y435" i="1"/>
  <c r="BN435" i="1" s="1"/>
  <c r="P435" i="1"/>
  <c r="X433" i="1"/>
  <c r="X432" i="1"/>
  <c r="BO431" i="1"/>
  <c r="BM431" i="1"/>
  <c r="Y431" i="1"/>
  <c r="Z431" i="1" s="1"/>
  <c r="P431" i="1"/>
  <c r="BO430" i="1"/>
  <c r="BM430" i="1"/>
  <c r="Y430" i="1"/>
  <c r="BP430" i="1" s="1"/>
  <c r="P430" i="1"/>
  <c r="BO429" i="1"/>
  <c r="BN429" i="1"/>
  <c r="BM429" i="1"/>
  <c r="Y429" i="1"/>
  <c r="BP429" i="1" s="1"/>
  <c r="P429" i="1"/>
  <c r="X427" i="1"/>
  <c r="X426" i="1"/>
  <c r="BO425" i="1"/>
  <c r="BM425" i="1"/>
  <c r="Y425" i="1"/>
  <c r="Z425" i="1" s="1"/>
  <c r="P425" i="1"/>
  <c r="BO424" i="1"/>
  <c r="BM424" i="1"/>
  <c r="Y424" i="1"/>
  <c r="BP424" i="1" s="1"/>
  <c r="P424" i="1"/>
  <c r="BO423" i="1"/>
  <c r="BM423" i="1"/>
  <c r="Y423" i="1"/>
  <c r="P423" i="1"/>
  <c r="X421" i="1"/>
  <c r="X420" i="1"/>
  <c r="BO419" i="1"/>
  <c r="BM419" i="1"/>
  <c r="Y419" i="1"/>
  <c r="BP419" i="1" s="1"/>
  <c r="P419" i="1"/>
  <c r="BO418" i="1"/>
  <c r="BM418" i="1"/>
  <c r="Y418" i="1"/>
  <c r="BP418" i="1" s="1"/>
  <c r="P418" i="1"/>
  <c r="BO417" i="1"/>
  <c r="BM417" i="1"/>
  <c r="Y417" i="1"/>
  <c r="Z417" i="1" s="1"/>
  <c r="P417" i="1"/>
  <c r="BO416" i="1"/>
  <c r="BM416" i="1"/>
  <c r="Y416" i="1"/>
  <c r="BP416" i="1" s="1"/>
  <c r="P416" i="1"/>
  <c r="BO415" i="1"/>
  <c r="BM415" i="1"/>
  <c r="Y415" i="1"/>
  <c r="Z415" i="1" s="1"/>
  <c r="P415" i="1"/>
  <c r="BO414" i="1"/>
  <c r="BM414" i="1"/>
  <c r="Y414" i="1"/>
  <c r="P414" i="1"/>
  <c r="BO413" i="1"/>
  <c r="BM413" i="1"/>
  <c r="Y413" i="1"/>
  <c r="BN413" i="1" s="1"/>
  <c r="P413" i="1"/>
  <c r="BO412" i="1"/>
  <c r="BM412" i="1"/>
  <c r="Y412" i="1"/>
  <c r="Z412" i="1" s="1"/>
  <c r="P412" i="1"/>
  <c r="X408" i="1"/>
  <c r="X407" i="1"/>
  <c r="BO406" i="1"/>
  <c r="BN406" i="1"/>
  <c r="BM406" i="1"/>
  <c r="Y406" i="1"/>
  <c r="BP406" i="1" s="1"/>
  <c r="P406" i="1"/>
  <c r="BO405" i="1"/>
  <c r="BM405" i="1"/>
  <c r="Y405" i="1"/>
  <c r="Z405" i="1" s="1"/>
  <c r="P405" i="1"/>
  <c r="BO404" i="1"/>
  <c r="BM404" i="1"/>
  <c r="Y404" i="1"/>
  <c r="BP404" i="1" s="1"/>
  <c r="P404" i="1"/>
  <c r="X401" i="1"/>
  <c r="X400" i="1"/>
  <c r="BO399" i="1"/>
  <c r="BM399" i="1"/>
  <c r="Y399" i="1"/>
  <c r="BP399" i="1" s="1"/>
  <c r="P399" i="1"/>
  <c r="BO398" i="1"/>
  <c r="BM398" i="1"/>
  <c r="Y398" i="1"/>
  <c r="Z398" i="1" s="1"/>
  <c r="P398" i="1"/>
  <c r="BO397" i="1"/>
  <c r="BM397" i="1"/>
  <c r="Y397" i="1"/>
  <c r="BP397" i="1" s="1"/>
  <c r="P397" i="1"/>
  <c r="X395" i="1"/>
  <c r="X394" i="1"/>
  <c r="BO393" i="1"/>
  <c r="BM393" i="1"/>
  <c r="Z393" i="1"/>
  <c r="Y393" i="1"/>
  <c r="BN393" i="1" s="1"/>
  <c r="P393" i="1"/>
  <c r="BO392" i="1"/>
  <c r="BN392" i="1"/>
  <c r="BM392" i="1"/>
  <c r="Y392" i="1"/>
  <c r="BP392" i="1" s="1"/>
  <c r="P392" i="1"/>
  <c r="BO391" i="1"/>
  <c r="BN391" i="1"/>
  <c r="BM391" i="1"/>
  <c r="Z391" i="1"/>
  <c r="Y391" i="1"/>
  <c r="BP391" i="1" s="1"/>
  <c r="P391" i="1"/>
  <c r="X389" i="1"/>
  <c r="X388" i="1"/>
  <c r="BO387" i="1"/>
  <c r="BM387" i="1"/>
  <c r="Z387" i="1"/>
  <c r="Y387" i="1"/>
  <c r="P387" i="1"/>
  <c r="BO386" i="1"/>
  <c r="BM386" i="1"/>
  <c r="Y386" i="1"/>
  <c r="BN386" i="1" s="1"/>
  <c r="P386" i="1"/>
  <c r="BP385" i="1"/>
  <c r="BO385" i="1"/>
  <c r="BM385" i="1"/>
  <c r="Y385" i="1"/>
  <c r="BN385" i="1" s="1"/>
  <c r="P385" i="1"/>
  <c r="BO384" i="1"/>
  <c r="BM384" i="1"/>
  <c r="Y384" i="1"/>
  <c r="BP384" i="1" s="1"/>
  <c r="P384" i="1"/>
  <c r="X382" i="1"/>
  <c r="X381" i="1"/>
  <c r="BO380" i="1"/>
  <c r="BM380" i="1"/>
  <c r="Y380" i="1"/>
  <c r="BP380" i="1" s="1"/>
  <c r="P380" i="1"/>
  <c r="BO379" i="1"/>
  <c r="BM379" i="1"/>
  <c r="Y379" i="1"/>
  <c r="BP379" i="1" s="1"/>
  <c r="P379" i="1"/>
  <c r="BP378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BN373" i="1" s="1"/>
  <c r="P373" i="1"/>
  <c r="BO372" i="1"/>
  <c r="BM372" i="1"/>
  <c r="Y372" i="1"/>
  <c r="BP372" i="1" s="1"/>
  <c r="P372" i="1"/>
  <c r="BO371" i="1"/>
  <c r="BM371" i="1"/>
  <c r="Y371" i="1"/>
  <c r="P371" i="1"/>
  <c r="X369" i="1"/>
  <c r="X368" i="1"/>
  <c r="BO367" i="1"/>
  <c r="BM367" i="1"/>
  <c r="Y367" i="1"/>
  <c r="BN367" i="1" s="1"/>
  <c r="P367" i="1"/>
  <c r="BO366" i="1"/>
  <c r="BM366" i="1"/>
  <c r="Y366" i="1"/>
  <c r="BP366" i="1" s="1"/>
  <c r="P366" i="1"/>
  <c r="BP365" i="1"/>
  <c r="BO365" i="1"/>
  <c r="BM365" i="1"/>
  <c r="Z365" i="1"/>
  <c r="Y365" i="1"/>
  <c r="BN365" i="1" s="1"/>
  <c r="P365" i="1"/>
  <c r="BO364" i="1"/>
  <c r="BM364" i="1"/>
  <c r="Y364" i="1"/>
  <c r="BP364" i="1" s="1"/>
  <c r="P364" i="1"/>
  <c r="BO363" i="1"/>
  <c r="BM363" i="1"/>
  <c r="Y363" i="1"/>
  <c r="BP363" i="1" s="1"/>
  <c r="P363" i="1"/>
  <c r="BO362" i="1"/>
  <c r="BM362" i="1"/>
  <c r="Y362" i="1"/>
  <c r="BN362" i="1" s="1"/>
  <c r="P362" i="1"/>
  <c r="BO361" i="1"/>
  <c r="BM361" i="1"/>
  <c r="Y361" i="1"/>
  <c r="BP361" i="1" s="1"/>
  <c r="P361" i="1"/>
  <c r="X359" i="1"/>
  <c r="X358" i="1"/>
  <c r="BO357" i="1"/>
  <c r="BM357" i="1"/>
  <c r="Z357" i="1"/>
  <c r="Y357" i="1"/>
  <c r="BN357" i="1" s="1"/>
  <c r="P357" i="1"/>
  <c r="BO356" i="1"/>
  <c r="BM356" i="1"/>
  <c r="Y356" i="1"/>
  <c r="BP356" i="1" s="1"/>
  <c r="P356" i="1"/>
  <c r="BO355" i="1"/>
  <c r="BM355" i="1"/>
  <c r="Z355" i="1"/>
  <c r="Y355" i="1"/>
  <c r="BP355" i="1" s="1"/>
  <c r="P355" i="1"/>
  <c r="BP354" i="1"/>
  <c r="BO354" i="1"/>
  <c r="BM354" i="1"/>
  <c r="Y354" i="1"/>
  <c r="BN354" i="1" s="1"/>
  <c r="P354" i="1"/>
  <c r="BP353" i="1"/>
  <c r="BO353" i="1"/>
  <c r="BM353" i="1"/>
  <c r="Y353" i="1"/>
  <c r="BN353" i="1" s="1"/>
  <c r="P353" i="1"/>
  <c r="X350" i="1"/>
  <c r="X349" i="1"/>
  <c r="BO348" i="1"/>
  <c r="BM348" i="1"/>
  <c r="Y348" i="1"/>
  <c r="BN348" i="1" s="1"/>
  <c r="P348" i="1"/>
  <c r="BO347" i="1"/>
  <c r="BM347" i="1"/>
  <c r="Y347" i="1"/>
  <c r="BP347" i="1" s="1"/>
  <c r="P347" i="1"/>
  <c r="BO346" i="1"/>
  <c r="BM346" i="1"/>
  <c r="Y346" i="1"/>
  <c r="BP346" i="1" s="1"/>
  <c r="P346" i="1"/>
  <c r="X343" i="1"/>
  <c r="X342" i="1"/>
  <c r="BO341" i="1"/>
  <c r="BM341" i="1"/>
  <c r="Y341" i="1"/>
  <c r="BN341" i="1" s="1"/>
  <c r="P341" i="1"/>
  <c r="BO340" i="1"/>
  <c r="BM340" i="1"/>
  <c r="Y340" i="1"/>
  <c r="BP340" i="1" s="1"/>
  <c r="P340" i="1"/>
  <c r="X338" i="1"/>
  <c r="X337" i="1"/>
  <c r="BO336" i="1"/>
  <c r="BM336" i="1"/>
  <c r="Y336" i="1"/>
  <c r="BN336" i="1" s="1"/>
  <c r="P336" i="1"/>
  <c r="BO335" i="1"/>
  <c r="BM335" i="1"/>
  <c r="Y335" i="1"/>
  <c r="BP335" i="1" s="1"/>
  <c r="P335" i="1"/>
  <c r="BO334" i="1"/>
  <c r="BN334" i="1"/>
  <c r="BM334" i="1"/>
  <c r="Y334" i="1"/>
  <c r="Z334" i="1" s="1"/>
  <c r="P334" i="1"/>
  <c r="BO333" i="1"/>
  <c r="BM333" i="1"/>
  <c r="Y333" i="1"/>
  <c r="BN333" i="1" s="1"/>
  <c r="P333" i="1"/>
  <c r="BO332" i="1"/>
  <c r="BM332" i="1"/>
  <c r="Y332" i="1"/>
  <c r="BP332" i="1" s="1"/>
  <c r="P332" i="1"/>
  <c r="X329" i="1"/>
  <c r="X328" i="1"/>
  <c r="BO327" i="1"/>
  <c r="BM327" i="1"/>
  <c r="Y327" i="1"/>
  <c r="BN327" i="1" s="1"/>
  <c r="P327" i="1"/>
  <c r="BO326" i="1"/>
  <c r="BM326" i="1"/>
  <c r="Y326" i="1"/>
  <c r="BP326" i="1" s="1"/>
  <c r="P326" i="1"/>
  <c r="BO325" i="1"/>
  <c r="BM325" i="1"/>
  <c r="Y325" i="1"/>
  <c r="BP325" i="1" s="1"/>
  <c r="P325" i="1"/>
  <c r="X322" i="1"/>
  <c r="X321" i="1"/>
  <c r="BP320" i="1"/>
  <c r="BO320" i="1"/>
  <c r="BM320" i="1"/>
  <c r="Y320" i="1"/>
  <c r="BN320" i="1" s="1"/>
  <c r="P320" i="1"/>
  <c r="BO319" i="1"/>
  <c r="BM319" i="1"/>
  <c r="Y319" i="1"/>
  <c r="BP319" i="1" s="1"/>
  <c r="P319" i="1"/>
  <c r="BO318" i="1"/>
  <c r="BM318" i="1"/>
  <c r="Y318" i="1"/>
  <c r="BN318" i="1" s="1"/>
  <c r="P318" i="1"/>
  <c r="BO317" i="1"/>
  <c r="BM317" i="1"/>
  <c r="Y317" i="1"/>
  <c r="P317" i="1"/>
  <c r="BO316" i="1"/>
  <c r="BM316" i="1"/>
  <c r="Y316" i="1"/>
  <c r="P316" i="1"/>
  <c r="X313" i="1"/>
  <c r="X312" i="1"/>
  <c r="BO311" i="1"/>
  <c r="BM311" i="1"/>
  <c r="Y311" i="1"/>
  <c r="BN311" i="1" s="1"/>
  <c r="P311" i="1"/>
  <c r="BP310" i="1"/>
  <c r="BO310" i="1"/>
  <c r="BM310" i="1"/>
  <c r="Y310" i="1"/>
  <c r="Z310" i="1" s="1"/>
  <c r="P310" i="1"/>
  <c r="BO309" i="1"/>
  <c r="BM309" i="1"/>
  <c r="Y309" i="1"/>
  <c r="BN309" i="1" s="1"/>
  <c r="P309" i="1"/>
  <c r="X307" i="1"/>
  <c r="X306" i="1"/>
  <c r="BO305" i="1"/>
  <c r="BM305" i="1"/>
  <c r="Y305" i="1"/>
  <c r="Y307" i="1" s="1"/>
  <c r="P305" i="1"/>
  <c r="X303" i="1"/>
  <c r="X302" i="1"/>
  <c r="BP301" i="1"/>
  <c r="BO301" i="1"/>
  <c r="BN301" i="1"/>
  <c r="BM301" i="1"/>
  <c r="Y301" i="1"/>
  <c r="Y302" i="1" s="1"/>
  <c r="P301" i="1"/>
  <c r="X299" i="1"/>
  <c r="X298" i="1"/>
  <c r="BO297" i="1"/>
  <c r="BM297" i="1"/>
  <c r="Y297" i="1"/>
  <c r="BN297" i="1" s="1"/>
  <c r="P297" i="1"/>
  <c r="BP296" i="1"/>
  <c r="BO296" i="1"/>
  <c r="BN296" i="1"/>
  <c r="BM296" i="1"/>
  <c r="Z296" i="1"/>
  <c r="Y296" i="1"/>
  <c r="P296" i="1"/>
  <c r="BO295" i="1"/>
  <c r="BM295" i="1"/>
  <c r="Y295" i="1"/>
  <c r="BN295" i="1" s="1"/>
  <c r="P295" i="1"/>
  <c r="BO294" i="1"/>
  <c r="BN294" i="1"/>
  <c r="BM294" i="1"/>
  <c r="Y294" i="1"/>
  <c r="BP294" i="1" s="1"/>
  <c r="P294" i="1"/>
  <c r="BO293" i="1"/>
  <c r="BM293" i="1"/>
  <c r="Y293" i="1"/>
  <c r="Z293" i="1" s="1"/>
  <c r="P293" i="1"/>
  <c r="BO292" i="1"/>
  <c r="BN292" i="1"/>
  <c r="BM292" i="1"/>
  <c r="Y292" i="1"/>
  <c r="BP292" i="1" s="1"/>
  <c r="P292" i="1"/>
  <c r="BO291" i="1"/>
  <c r="BM291" i="1"/>
  <c r="Y291" i="1"/>
  <c r="Z291" i="1" s="1"/>
  <c r="P291" i="1"/>
  <c r="X288" i="1"/>
  <c r="X287" i="1"/>
  <c r="BO286" i="1"/>
  <c r="BM286" i="1"/>
  <c r="Y286" i="1"/>
  <c r="P286" i="1"/>
  <c r="BO285" i="1"/>
  <c r="BM285" i="1"/>
  <c r="Y285" i="1"/>
  <c r="BP285" i="1" s="1"/>
  <c r="P285" i="1"/>
  <c r="X283" i="1"/>
  <c r="X282" i="1"/>
  <c r="BO281" i="1"/>
  <c r="BM281" i="1"/>
  <c r="Y281" i="1"/>
  <c r="BP281" i="1" s="1"/>
  <c r="P281" i="1"/>
  <c r="BP280" i="1"/>
  <c r="BO280" i="1"/>
  <c r="BM280" i="1"/>
  <c r="Y280" i="1"/>
  <c r="BN280" i="1" s="1"/>
  <c r="P280" i="1"/>
  <c r="BO279" i="1"/>
  <c r="BM279" i="1"/>
  <c r="Y279" i="1"/>
  <c r="BP279" i="1" s="1"/>
  <c r="P279" i="1"/>
  <c r="BP278" i="1"/>
  <c r="BO278" i="1"/>
  <c r="BM278" i="1"/>
  <c r="Z278" i="1"/>
  <c r="Y278" i="1"/>
  <c r="BN278" i="1" s="1"/>
  <c r="P278" i="1"/>
  <c r="BO277" i="1"/>
  <c r="BN277" i="1"/>
  <c r="BM277" i="1"/>
  <c r="Y277" i="1"/>
  <c r="BP277" i="1" s="1"/>
  <c r="P277" i="1"/>
  <c r="BO276" i="1"/>
  <c r="BM276" i="1"/>
  <c r="Y276" i="1"/>
  <c r="Z276" i="1" s="1"/>
  <c r="P276" i="1"/>
  <c r="BO275" i="1"/>
  <c r="BN275" i="1"/>
  <c r="BM275" i="1"/>
  <c r="Y275" i="1"/>
  <c r="BP275" i="1" s="1"/>
  <c r="P275" i="1"/>
  <c r="BO274" i="1"/>
  <c r="BM274" i="1"/>
  <c r="Y274" i="1"/>
  <c r="Z274" i="1" s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Z271" i="1" s="1"/>
  <c r="P271" i="1"/>
  <c r="BO270" i="1"/>
  <c r="BM270" i="1"/>
  <c r="Y270" i="1"/>
  <c r="BN270" i="1" s="1"/>
  <c r="P270" i="1"/>
  <c r="X268" i="1"/>
  <c r="X267" i="1"/>
  <c r="BO266" i="1"/>
  <c r="BM266" i="1"/>
  <c r="Y266" i="1"/>
  <c r="Z266" i="1" s="1"/>
  <c r="P266" i="1"/>
  <c r="BO265" i="1"/>
  <c r="BM265" i="1"/>
  <c r="Y265" i="1"/>
  <c r="P265" i="1"/>
  <c r="BO264" i="1"/>
  <c r="BM264" i="1"/>
  <c r="Y264" i="1"/>
  <c r="BN264" i="1" s="1"/>
  <c r="P264" i="1"/>
  <c r="BO263" i="1"/>
  <c r="BM263" i="1"/>
  <c r="Y263" i="1"/>
  <c r="Z263" i="1" s="1"/>
  <c r="P263" i="1"/>
  <c r="BO262" i="1"/>
  <c r="BM262" i="1"/>
  <c r="Y262" i="1"/>
  <c r="BN262" i="1" s="1"/>
  <c r="P262" i="1"/>
  <c r="BO261" i="1"/>
  <c r="BM261" i="1"/>
  <c r="Y261" i="1"/>
  <c r="BN261" i="1" s="1"/>
  <c r="P261" i="1"/>
  <c r="BO260" i="1"/>
  <c r="BM260" i="1"/>
  <c r="Y260" i="1"/>
  <c r="BN260" i="1" s="1"/>
  <c r="P260" i="1"/>
  <c r="BO259" i="1"/>
  <c r="BM259" i="1"/>
  <c r="Y259" i="1"/>
  <c r="P259" i="1"/>
  <c r="X257" i="1"/>
  <c r="X256" i="1"/>
  <c r="BO255" i="1"/>
  <c r="BM255" i="1"/>
  <c r="Y255" i="1"/>
  <c r="BP255" i="1" s="1"/>
  <c r="P255" i="1"/>
  <c r="BP254" i="1"/>
  <c r="BO254" i="1"/>
  <c r="BM254" i="1"/>
  <c r="Z254" i="1"/>
  <c r="Y254" i="1"/>
  <c r="BN254" i="1" s="1"/>
  <c r="P254" i="1"/>
  <c r="X252" i="1"/>
  <c r="X251" i="1"/>
  <c r="BO250" i="1"/>
  <c r="BM250" i="1"/>
  <c r="Y250" i="1"/>
  <c r="Z250" i="1" s="1"/>
  <c r="P250" i="1"/>
  <c r="BO249" i="1"/>
  <c r="BM249" i="1"/>
  <c r="Y249" i="1"/>
  <c r="Y252" i="1" s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Z240" i="1" s="1"/>
  <c r="P240" i="1"/>
  <c r="BO239" i="1"/>
  <c r="BM239" i="1"/>
  <c r="Y239" i="1"/>
  <c r="BN239" i="1" s="1"/>
  <c r="P239" i="1"/>
  <c r="BO238" i="1"/>
  <c r="BM238" i="1"/>
  <c r="Y238" i="1"/>
  <c r="Z238" i="1" s="1"/>
  <c r="P238" i="1"/>
  <c r="X236" i="1"/>
  <c r="X235" i="1"/>
  <c r="BO234" i="1"/>
  <c r="BM234" i="1"/>
  <c r="Y234" i="1"/>
  <c r="BP234" i="1" s="1"/>
  <c r="P234" i="1"/>
  <c r="BO233" i="1"/>
  <c r="BM233" i="1"/>
  <c r="Z233" i="1"/>
  <c r="Y233" i="1"/>
  <c r="BP233" i="1" s="1"/>
  <c r="P233" i="1"/>
  <c r="BO232" i="1"/>
  <c r="BM232" i="1"/>
  <c r="Y232" i="1"/>
  <c r="P232" i="1"/>
  <c r="BP231" i="1"/>
  <c r="BO231" i="1"/>
  <c r="BM231" i="1"/>
  <c r="Y231" i="1"/>
  <c r="BN231" i="1" s="1"/>
  <c r="P231" i="1"/>
  <c r="BO230" i="1"/>
  <c r="BM230" i="1"/>
  <c r="Y230" i="1"/>
  <c r="Z230" i="1" s="1"/>
  <c r="P230" i="1"/>
  <c r="X228" i="1"/>
  <c r="X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Z224" i="1" s="1"/>
  <c r="P224" i="1"/>
  <c r="BO223" i="1"/>
  <c r="BM223" i="1"/>
  <c r="Y223" i="1"/>
  <c r="BN223" i="1" s="1"/>
  <c r="P223" i="1"/>
  <c r="BO222" i="1"/>
  <c r="BM222" i="1"/>
  <c r="Y222" i="1"/>
  <c r="BN222" i="1" s="1"/>
  <c r="P222" i="1"/>
  <c r="BO221" i="1"/>
  <c r="BN221" i="1"/>
  <c r="BM221" i="1"/>
  <c r="Y221" i="1"/>
  <c r="BP221" i="1" s="1"/>
  <c r="P221" i="1"/>
  <c r="BO220" i="1"/>
  <c r="BM220" i="1"/>
  <c r="Y220" i="1"/>
  <c r="Z220" i="1" s="1"/>
  <c r="P220" i="1"/>
  <c r="BO219" i="1"/>
  <c r="BM219" i="1"/>
  <c r="Y219" i="1"/>
  <c r="Z219" i="1" s="1"/>
  <c r="P219" i="1"/>
  <c r="BO218" i="1"/>
  <c r="BM218" i="1"/>
  <c r="Y218" i="1"/>
  <c r="BP218" i="1" s="1"/>
  <c r="P218" i="1"/>
  <c r="BO217" i="1"/>
  <c r="BM217" i="1"/>
  <c r="Y217" i="1"/>
  <c r="Z217" i="1" s="1"/>
  <c r="P217" i="1"/>
  <c r="BO216" i="1"/>
  <c r="BM216" i="1"/>
  <c r="Y216" i="1"/>
  <c r="P216" i="1"/>
  <c r="BO215" i="1"/>
  <c r="BM215" i="1"/>
  <c r="Y215" i="1"/>
  <c r="BN215" i="1" s="1"/>
  <c r="P215" i="1"/>
  <c r="BO214" i="1"/>
  <c r="BM214" i="1"/>
  <c r="Y214" i="1"/>
  <c r="Z214" i="1" s="1"/>
  <c r="P214" i="1"/>
  <c r="BO213" i="1"/>
  <c r="BM213" i="1"/>
  <c r="Y213" i="1"/>
  <c r="BN213" i="1" s="1"/>
  <c r="P213" i="1"/>
  <c r="Y211" i="1"/>
  <c r="X211" i="1"/>
  <c r="Y210" i="1"/>
  <c r="X210" i="1"/>
  <c r="BO209" i="1"/>
  <c r="BM209" i="1"/>
  <c r="Y209" i="1"/>
  <c r="Z209" i="1" s="1"/>
  <c r="Z210" i="1" s="1"/>
  <c r="P209" i="1"/>
  <c r="X206" i="1"/>
  <c r="X205" i="1"/>
  <c r="BO204" i="1"/>
  <c r="BN204" i="1"/>
  <c r="BM204" i="1"/>
  <c r="Y204" i="1"/>
  <c r="BP204" i="1" s="1"/>
  <c r="P204" i="1"/>
  <c r="BO203" i="1"/>
  <c r="BM203" i="1"/>
  <c r="Y203" i="1"/>
  <c r="Z203" i="1" s="1"/>
  <c r="P203" i="1"/>
  <c r="BP202" i="1"/>
  <c r="BO202" i="1"/>
  <c r="BM202" i="1"/>
  <c r="Y202" i="1"/>
  <c r="Z202" i="1" s="1"/>
  <c r="P202" i="1"/>
  <c r="BO201" i="1"/>
  <c r="BM201" i="1"/>
  <c r="Y201" i="1"/>
  <c r="BP201" i="1" s="1"/>
  <c r="P201" i="1"/>
  <c r="BO200" i="1"/>
  <c r="BM200" i="1"/>
  <c r="Y200" i="1"/>
  <c r="Z200" i="1" s="1"/>
  <c r="P200" i="1"/>
  <c r="BO199" i="1"/>
  <c r="BM199" i="1"/>
  <c r="Y199" i="1"/>
  <c r="P199" i="1"/>
  <c r="BP198" i="1"/>
  <c r="BO198" i="1"/>
  <c r="BM198" i="1"/>
  <c r="Y198" i="1"/>
  <c r="BN198" i="1" s="1"/>
  <c r="P198" i="1"/>
  <c r="X194" i="1"/>
  <c r="X193" i="1"/>
  <c r="BO192" i="1"/>
  <c r="BM192" i="1"/>
  <c r="Y192" i="1"/>
  <c r="Y193" i="1" s="1"/>
  <c r="P192" i="1"/>
  <c r="X190" i="1"/>
  <c r="X189" i="1"/>
  <c r="BP188" i="1"/>
  <c r="BO188" i="1"/>
  <c r="BM188" i="1"/>
  <c r="Y188" i="1"/>
  <c r="BN188" i="1" s="1"/>
  <c r="P188" i="1"/>
  <c r="BO187" i="1"/>
  <c r="BM187" i="1"/>
  <c r="Y187" i="1"/>
  <c r="Y190" i="1" s="1"/>
  <c r="P187" i="1"/>
  <c r="X185" i="1"/>
  <c r="X184" i="1"/>
  <c r="BO183" i="1"/>
  <c r="BM183" i="1"/>
  <c r="Y183" i="1"/>
  <c r="BN183" i="1" s="1"/>
  <c r="P183" i="1"/>
  <c r="BO182" i="1"/>
  <c r="BM182" i="1"/>
  <c r="Z182" i="1"/>
  <c r="Y182" i="1"/>
  <c r="BP182" i="1" s="1"/>
  <c r="P182" i="1"/>
  <c r="BO181" i="1"/>
  <c r="BM181" i="1"/>
  <c r="Y181" i="1"/>
  <c r="P181" i="1"/>
  <c r="X179" i="1"/>
  <c r="X178" i="1"/>
  <c r="BO177" i="1"/>
  <c r="BM177" i="1"/>
  <c r="Y177" i="1"/>
  <c r="BN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Z173" i="1" s="1"/>
  <c r="P173" i="1"/>
  <c r="BP172" i="1"/>
  <c r="BO172" i="1"/>
  <c r="BM172" i="1"/>
  <c r="Y172" i="1"/>
  <c r="BN172" i="1" s="1"/>
  <c r="P172" i="1"/>
  <c r="BO171" i="1"/>
  <c r="BM171" i="1"/>
  <c r="Y171" i="1"/>
  <c r="BN171" i="1" s="1"/>
  <c r="P171" i="1"/>
  <c r="BO170" i="1"/>
  <c r="BM170" i="1"/>
  <c r="Y170" i="1"/>
  <c r="BN170" i="1" s="1"/>
  <c r="P170" i="1"/>
  <c r="BP169" i="1"/>
  <c r="BO169" i="1"/>
  <c r="BN169" i="1"/>
  <c r="BM169" i="1"/>
  <c r="Z169" i="1"/>
  <c r="Y169" i="1"/>
  <c r="P169" i="1"/>
  <c r="BO168" i="1"/>
  <c r="BM168" i="1"/>
  <c r="Y168" i="1"/>
  <c r="Z168" i="1" s="1"/>
  <c r="P168" i="1"/>
  <c r="BO167" i="1"/>
  <c r="BM167" i="1"/>
  <c r="Y167" i="1"/>
  <c r="BP167" i="1" s="1"/>
  <c r="P167" i="1"/>
  <c r="BO166" i="1"/>
  <c r="BM166" i="1"/>
  <c r="Y166" i="1"/>
  <c r="Z166" i="1" s="1"/>
  <c r="P166" i="1"/>
  <c r="Y164" i="1"/>
  <c r="X164" i="1"/>
  <c r="X163" i="1"/>
  <c r="BO162" i="1"/>
  <c r="BM162" i="1"/>
  <c r="Y162" i="1"/>
  <c r="Y163" i="1" s="1"/>
  <c r="P162" i="1"/>
  <c r="X160" i="1"/>
  <c r="X159" i="1"/>
  <c r="BO158" i="1"/>
  <c r="BM158" i="1"/>
  <c r="Y158" i="1"/>
  <c r="BP158" i="1" s="1"/>
  <c r="P158" i="1"/>
  <c r="BO157" i="1"/>
  <c r="BM157" i="1"/>
  <c r="Y157" i="1"/>
  <c r="P157" i="1"/>
  <c r="BO156" i="1"/>
  <c r="BM156" i="1"/>
  <c r="Y156" i="1"/>
  <c r="BP156" i="1" s="1"/>
  <c r="P156" i="1"/>
  <c r="X153" i="1"/>
  <c r="X152" i="1"/>
  <c r="BO151" i="1"/>
  <c r="BN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Z149" i="1"/>
  <c r="Y149" i="1"/>
  <c r="BP149" i="1" s="1"/>
  <c r="P149" i="1"/>
  <c r="BO148" i="1"/>
  <c r="BM148" i="1"/>
  <c r="Y148" i="1"/>
  <c r="P148" i="1"/>
  <c r="X145" i="1"/>
  <c r="X144" i="1"/>
  <c r="BO143" i="1"/>
  <c r="BM143" i="1"/>
  <c r="Y143" i="1"/>
  <c r="BN143" i="1" s="1"/>
  <c r="P143" i="1"/>
  <c r="BO142" i="1"/>
  <c r="BM142" i="1"/>
  <c r="Y142" i="1"/>
  <c r="P142" i="1"/>
  <c r="X140" i="1"/>
  <c r="X139" i="1"/>
  <c r="BO138" i="1"/>
  <c r="BM138" i="1"/>
  <c r="Y138" i="1"/>
  <c r="BN138" i="1" s="1"/>
  <c r="P138" i="1"/>
  <c r="BO137" i="1"/>
  <c r="BM137" i="1"/>
  <c r="Y137" i="1"/>
  <c r="P137" i="1"/>
  <c r="Y135" i="1"/>
  <c r="X135" i="1"/>
  <c r="X134" i="1"/>
  <c r="BO133" i="1"/>
  <c r="BM133" i="1"/>
  <c r="Y133" i="1"/>
  <c r="BP133" i="1" s="1"/>
  <c r="P133" i="1"/>
  <c r="BO132" i="1"/>
  <c r="BM132" i="1"/>
  <c r="Y132" i="1"/>
  <c r="BN132" i="1" s="1"/>
  <c r="P132" i="1"/>
  <c r="X129" i="1"/>
  <c r="Y128" i="1"/>
  <c r="X128" i="1"/>
  <c r="BO127" i="1"/>
  <c r="BM127" i="1"/>
  <c r="Y127" i="1"/>
  <c r="Z127" i="1" s="1"/>
  <c r="Z128" i="1" s="1"/>
  <c r="P127" i="1"/>
  <c r="X125" i="1"/>
  <c r="X124" i="1"/>
  <c r="BO123" i="1"/>
  <c r="BM123" i="1"/>
  <c r="Y123" i="1"/>
  <c r="BP123" i="1" s="1"/>
  <c r="P123" i="1"/>
  <c r="BO122" i="1"/>
  <c r="BM122" i="1"/>
  <c r="Y122" i="1"/>
  <c r="BP122" i="1" s="1"/>
  <c r="P122" i="1"/>
  <c r="BO121" i="1"/>
  <c r="BM121" i="1"/>
  <c r="Y121" i="1"/>
  <c r="Z121" i="1" s="1"/>
  <c r="P121" i="1"/>
  <c r="BO120" i="1"/>
  <c r="BM120" i="1"/>
  <c r="Y120" i="1"/>
  <c r="BN120" i="1" s="1"/>
  <c r="P120" i="1"/>
  <c r="X118" i="1"/>
  <c r="X117" i="1"/>
  <c r="BO116" i="1"/>
  <c r="BN116" i="1"/>
  <c r="BM116" i="1"/>
  <c r="Z116" i="1"/>
  <c r="Y116" i="1"/>
  <c r="BP116" i="1" s="1"/>
  <c r="P116" i="1"/>
  <c r="BO115" i="1"/>
  <c r="BM115" i="1"/>
  <c r="Y115" i="1"/>
  <c r="Z115" i="1" s="1"/>
  <c r="P115" i="1"/>
  <c r="BO114" i="1"/>
  <c r="BM114" i="1"/>
  <c r="Y114" i="1"/>
  <c r="BN114" i="1" s="1"/>
  <c r="P114" i="1"/>
  <c r="BO113" i="1"/>
  <c r="BN113" i="1"/>
  <c r="BM113" i="1"/>
  <c r="Y113" i="1"/>
  <c r="Z113" i="1" s="1"/>
  <c r="P113" i="1"/>
  <c r="BO112" i="1"/>
  <c r="BM112" i="1"/>
  <c r="Y112" i="1"/>
  <c r="P112" i="1"/>
  <c r="X110" i="1"/>
  <c r="X109" i="1"/>
  <c r="BO108" i="1"/>
  <c r="BM108" i="1"/>
  <c r="Y108" i="1"/>
  <c r="BN108" i="1" s="1"/>
  <c r="P108" i="1"/>
  <c r="BO107" i="1"/>
  <c r="BM107" i="1"/>
  <c r="Y107" i="1"/>
  <c r="BP107" i="1" s="1"/>
  <c r="P107" i="1"/>
  <c r="BO106" i="1"/>
  <c r="BM106" i="1"/>
  <c r="Y106" i="1"/>
  <c r="Z106" i="1" s="1"/>
  <c r="P106" i="1"/>
  <c r="BP105" i="1"/>
  <c r="BO105" i="1"/>
  <c r="BN105" i="1"/>
  <c r="BM105" i="1"/>
  <c r="Y105" i="1"/>
  <c r="Z105" i="1" s="1"/>
  <c r="P105" i="1"/>
  <c r="BO104" i="1"/>
  <c r="BM104" i="1"/>
  <c r="Y104" i="1"/>
  <c r="BN104" i="1" s="1"/>
  <c r="P104" i="1"/>
  <c r="BO103" i="1"/>
  <c r="BM103" i="1"/>
  <c r="Y103" i="1"/>
  <c r="P103" i="1"/>
  <c r="X100" i="1"/>
  <c r="X99" i="1"/>
  <c r="BP98" i="1"/>
  <c r="BO98" i="1"/>
  <c r="BM98" i="1"/>
  <c r="Y98" i="1"/>
  <c r="Z98" i="1" s="1"/>
  <c r="P98" i="1"/>
  <c r="BO97" i="1"/>
  <c r="BM97" i="1"/>
  <c r="Y97" i="1"/>
  <c r="BP97" i="1" s="1"/>
  <c r="P97" i="1"/>
  <c r="BO96" i="1"/>
  <c r="BM96" i="1"/>
  <c r="Y96" i="1"/>
  <c r="Z96" i="1" s="1"/>
  <c r="P96" i="1"/>
  <c r="BO95" i="1"/>
  <c r="BN95" i="1"/>
  <c r="BM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BP90" i="1" s="1"/>
  <c r="P90" i="1"/>
  <c r="BO89" i="1"/>
  <c r="BM89" i="1"/>
  <c r="Y89" i="1"/>
  <c r="Z89" i="1" s="1"/>
  <c r="P89" i="1"/>
  <c r="BP88" i="1"/>
  <c r="BO88" i="1"/>
  <c r="BM88" i="1"/>
  <c r="Y88" i="1"/>
  <c r="P88" i="1"/>
  <c r="X85" i="1"/>
  <c r="X84" i="1"/>
  <c r="BO83" i="1"/>
  <c r="BM83" i="1"/>
  <c r="Y83" i="1"/>
  <c r="BN83" i="1" s="1"/>
  <c r="P83" i="1"/>
  <c r="BO82" i="1"/>
  <c r="BM82" i="1"/>
  <c r="Y82" i="1"/>
  <c r="BN82" i="1" s="1"/>
  <c r="P82" i="1"/>
  <c r="X80" i="1"/>
  <c r="X79" i="1"/>
  <c r="BO78" i="1"/>
  <c r="BM78" i="1"/>
  <c r="Y78" i="1"/>
  <c r="BP78" i="1" s="1"/>
  <c r="P78" i="1"/>
  <c r="BO77" i="1"/>
  <c r="BM77" i="1"/>
  <c r="Y77" i="1"/>
  <c r="BP77" i="1" s="1"/>
  <c r="P77" i="1"/>
  <c r="X75" i="1"/>
  <c r="Y74" i="1"/>
  <c r="X74" i="1"/>
  <c r="BP73" i="1"/>
  <c r="BO73" i="1"/>
  <c r="BN73" i="1"/>
  <c r="BM73" i="1"/>
  <c r="Y73" i="1"/>
  <c r="Z73" i="1" s="1"/>
  <c r="P73" i="1"/>
  <c r="BO72" i="1"/>
  <c r="BM72" i="1"/>
  <c r="Y72" i="1"/>
  <c r="Z72" i="1" s="1"/>
  <c r="P72" i="1"/>
  <c r="BO71" i="1"/>
  <c r="BM71" i="1"/>
  <c r="Z71" i="1"/>
  <c r="Y71" i="1"/>
  <c r="BN71" i="1" s="1"/>
  <c r="P71" i="1"/>
  <c r="BP70" i="1"/>
  <c r="BO70" i="1"/>
  <c r="BN70" i="1"/>
  <c r="BM70" i="1"/>
  <c r="Y70" i="1"/>
  <c r="Z70" i="1" s="1"/>
  <c r="P70" i="1"/>
  <c r="X68" i="1"/>
  <c r="X67" i="1"/>
  <c r="BO66" i="1"/>
  <c r="BM66" i="1"/>
  <c r="Y66" i="1"/>
  <c r="P66" i="1"/>
  <c r="BO65" i="1"/>
  <c r="BN65" i="1"/>
  <c r="BM65" i="1"/>
  <c r="Y65" i="1"/>
  <c r="Z65" i="1" s="1"/>
  <c r="P65" i="1"/>
  <c r="BO64" i="1"/>
  <c r="BM64" i="1"/>
  <c r="Y64" i="1"/>
  <c r="Z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Z61" i="1"/>
  <c r="Y61" i="1"/>
  <c r="BP61" i="1" s="1"/>
  <c r="P61" i="1"/>
  <c r="BO60" i="1"/>
  <c r="BM60" i="1"/>
  <c r="Y60" i="1"/>
  <c r="P60" i="1"/>
  <c r="BP59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N53" i="1" s="1"/>
  <c r="P53" i="1"/>
  <c r="BO52" i="1"/>
  <c r="BM52" i="1"/>
  <c r="Y52" i="1"/>
  <c r="BP52" i="1" s="1"/>
  <c r="P52" i="1"/>
  <c r="BO51" i="1"/>
  <c r="BM51" i="1"/>
  <c r="Z51" i="1"/>
  <c r="Y51" i="1"/>
  <c r="P51" i="1"/>
  <c r="X47" i="1"/>
  <c r="X46" i="1"/>
  <c r="BO45" i="1"/>
  <c r="BM45" i="1"/>
  <c r="Y45" i="1"/>
  <c r="BN45" i="1" s="1"/>
  <c r="P45" i="1"/>
  <c r="BO44" i="1"/>
  <c r="BM44" i="1"/>
  <c r="Y44" i="1"/>
  <c r="BP44" i="1" s="1"/>
  <c r="P44" i="1"/>
  <c r="BO43" i="1"/>
  <c r="BM43" i="1"/>
  <c r="Y43" i="1"/>
  <c r="BN43" i="1" s="1"/>
  <c r="P43" i="1"/>
  <c r="BO42" i="1"/>
  <c r="BM42" i="1"/>
  <c r="Y42" i="1"/>
  <c r="BP42" i="1" s="1"/>
  <c r="P42" i="1"/>
  <c r="BO41" i="1"/>
  <c r="BM41" i="1"/>
  <c r="Y41" i="1"/>
  <c r="Z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M31" i="1"/>
  <c r="Y31" i="1"/>
  <c r="BN31" i="1" s="1"/>
  <c r="P31" i="1"/>
  <c r="BO30" i="1"/>
  <c r="BM30" i="1"/>
  <c r="Y30" i="1"/>
  <c r="BN30" i="1" s="1"/>
  <c r="P30" i="1"/>
  <c r="BO29" i="1"/>
  <c r="BM29" i="1"/>
  <c r="Y29" i="1"/>
  <c r="P29" i="1"/>
  <c r="BO28" i="1"/>
  <c r="BM28" i="1"/>
  <c r="Y28" i="1"/>
  <c r="Z28" i="1" s="1"/>
  <c r="P28" i="1"/>
  <c r="BO27" i="1"/>
  <c r="BM27" i="1"/>
  <c r="Y27" i="1"/>
  <c r="P27" i="1"/>
  <c r="X25" i="1"/>
  <c r="X24" i="1"/>
  <c r="BO23" i="1"/>
  <c r="BM23" i="1"/>
  <c r="Y23" i="1"/>
  <c r="BN23" i="1" s="1"/>
  <c r="P23" i="1"/>
  <c r="BO22" i="1"/>
  <c r="BM22" i="1"/>
  <c r="Y22" i="1"/>
  <c r="BN22" i="1" s="1"/>
  <c r="P22" i="1"/>
  <c r="H10" i="1"/>
  <c r="A9" i="1"/>
  <c r="J9" i="1" s="1"/>
  <c r="D7" i="1"/>
  <c r="Q6" i="1"/>
  <c r="P2" i="1"/>
  <c r="Z174" i="1" l="1"/>
  <c r="BP203" i="1"/>
  <c r="Z222" i="1"/>
  <c r="Z226" i="1"/>
  <c r="BN238" i="1"/>
  <c r="Y303" i="1"/>
  <c r="Y358" i="1"/>
  <c r="Y465" i="1"/>
  <c r="BP473" i="1"/>
  <c r="Z519" i="1"/>
  <c r="Z520" i="1" s="1"/>
  <c r="Z107" i="1"/>
  <c r="Z170" i="1"/>
  <c r="BN226" i="1"/>
  <c r="BP238" i="1"/>
  <c r="Y257" i="1"/>
  <c r="Z372" i="1"/>
  <c r="Z451" i="1"/>
  <c r="Z508" i="1"/>
  <c r="Y530" i="1"/>
  <c r="BP113" i="1"/>
  <c r="BP222" i="1"/>
  <c r="BN285" i="1"/>
  <c r="BN347" i="1"/>
  <c r="BN417" i="1"/>
  <c r="BN424" i="1"/>
  <c r="BN490" i="1"/>
  <c r="BN107" i="1"/>
  <c r="Z43" i="1"/>
  <c r="Z264" i="1"/>
  <c r="Z279" i="1"/>
  <c r="BN293" i="1"/>
  <c r="Z413" i="1"/>
  <c r="BP417" i="1"/>
  <c r="Z467" i="1"/>
  <c r="BP43" i="1"/>
  <c r="Z52" i="1"/>
  <c r="Z215" i="1"/>
  <c r="BP219" i="1"/>
  <c r="BN167" i="1"/>
  <c r="BN192" i="1"/>
  <c r="BN279" i="1"/>
  <c r="Y288" i="1"/>
  <c r="BP293" i="1"/>
  <c r="BN380" i="1"/>
  <c r="BP393" i="1"/>
  <c r="Z452" i="1"/>
  <c r="BN467" i="1"/>
  <c r="Z150" i="1"/>
  <c r="BP223" i="1"/>
  <c r="Z234" i="1"/>
  <c r="BP264" i="1"/>
  <c r="BN340" i="1"/>
  <c r="BN366" i="1"/>
  <c r="BN491" i="1"/>
  <c r="BN96" i="1"/>
  <c r="Z108" i="1"/>
  <c r="BP192" i="1"/>
  <c r="BP215" i="1"/>
  <c r="Z272" i="1"/>
  <c r="BN276" i="1"/>
  <c r="BN286" i="1"/>
  <c r="BN325" i="1"/>
  <c r="Z356" i="1"/>
  <c r="Z435" i="1"/>
  <c r="Z437" i="1" s="1"/>
  <c r="BN498" i="1"/>
  <c r="BP509" i="1"/>
  <c r="BN44" i="1"/>
  <c r="BP89" i="1"/>
  <c r="BN150" i="1"/>
  <c r="BP183" i="1"/>
  <c r="BN220" i="1"/>
  <c r="BN234" i="1"/>
  <c r="Z294" i="1"/>
  <c r="BP362" i="1"/>
  <c r="Y375" i="1"/>
  <c r="BN487" i="1"/>
  <c r="BP28" i="1"/>
  <c r="BP230" i="1"/>
  <c r="BN272" i="1"/>
  <c r="BP276" i="1"/>
  <c r="BN356" i="1"/>
  <c r="BP461" i="1"/>
  <c r="Y470" i="1"/>
  <c r="BP220" i="1"/>
  <c r="Z429" i="1"/>
  <c r="Z198" i="1"/>
  <c r="Y235" i="1"/>
  <c r="BN310" i="1"/>
  <c r="Z458" i="1"/>
  <c r="BN499" i="1"/>
  <c r="BN506" i="1"/>
  <c r="Y454" i="1"/>
  <c r="Z74" i="1"/>
  <c r="Y47" i="1"/>
  <c r="Y184" i="1"/>
  <c r="BN203" i="1"/>
  <c r="BP295" i="1"/>
  <c r="BP357" i="1"/>
  <c r="Z463" i="1"/>
  <c r="BN493" i="1"/>
  <c r="W551" i="1"/>
  <c r="Z305" i="1"/>
  <c r="Z306" i="1" s="1"/>
  <c r="X545" i="1"/>
  <c r="BP53" i="1"/>
  <c r="BP82" i="1"/>
  <c r="BN89" i="1"/>
  <c r="BP114" i="1"/>
  <c r="X541" i="1"/>
  <c r="Z42" i="1"/>
  <c r="BN98" i="1"/>
  <c r="BP108" i="1"/>
  <c r="BP170" i="1"/>
  <c r="Z204" i="1"/>
  <c r="BP213" i="1"/>
  <c r="Z221" i="1"/>
  <c r="BN230" i="1"/>
  <c r="Y242" i="1"/>
  <c r="BP262" i="1"/>
  <c r="Z277" i="1"/>
  <c r="Z286" i="1"/>
  <c r="Z287" i="1" s="1"/>
  <c r="Q551" i="1"/>
  <c r="BP373" i="1"/>
  <c r="Z380" i="1"/>
  <c r="Z392" i="1"/>
  <c r="BP413" i="1"/>
  <c r="Z493" i="1"/>
  <c r="Y526" i="1"/>
  <c r="BP65" i="1"/>
  <c r="Z78" i="1"/>
  <c r="BN121" i="1"/>
  <c r="BN201" i="1"/>
  <c r="Z348" i="1"/>
  <c r="Y359" i="1"/>
  <c r="Z364" i="1"/>
  <c r="BN398" i="1"/>
  <c r="Z418" i="1"/>
  <c r="Z477" i="1"/>
  <c r="Z532" i="1"/>
  <c r="Z171" i="1"/>
  <c r="BN218" i="1"/>
  <c r="Y268" i="1"/>
  <c r="BN54" i="1"/>
  <c r="Z62" i="1"/>
  <c r="BP83" i="1"/>
  <c r="Z90" i="1"/>
  <c r="BN106" i="1"/>
  <c r="BN115" i="1"/>
  <c r="Z162" i="1"/>
  <c r="Z163" i="1" s="1"/>
  <c r="BN168" i="1"/>
  <c r="Z175" i="1"/>
  <c r="BN187" i="1"/>
  <c r="Y194" i="1"/>
  <c r="Z225" i="1"/>
  <c r="Z270" i="1"/>
  <c r="BP286" i="1"/>
  <c r="BN305" i="1"/>
  <c r="Z311" i="1"/>
  <c r="BN374" i="1"/>
  <c r="BP386" i="1"/>
  <c r="BN418" i="1"/>
  <c r="Z462" i="1"/>
  <c r="BN477" i="1"/>
  <c r="Y510" i="1"/>
  <c r="BN364" i="1"/>
  <c r="Y376" i="1"/>
  <c r="BP398" i="1"/>
  <c r="BN62" i="1"/>
  <c r="Y84" i="1"/>
  <c r="BN90" i="1"/>
  <c r="BP106" i="1"/>
  <c r="BP115" i="1"/>
  <c r="BN162" i="1"/>
  <c r="BP168" i="1"/>
  <c r="BN175" i="1"/>
  <c r="BP187" i="1"/>
  <c r="Z281" i="1"/>
  <c r="BP305" i="1"/>
  <c r="Z319" i="1"/>
  <c r="BP348" i="1"/>
  <c r="Z361" i="1"/>
  <c r="Z371" i="1"/>
  <c r="Y389" i="1"/>
  <c r="Z459" i="1"/>
  <c r="BN462" i="1"/>
  <c r="BN507" i="1"/>
  <c r="Y535" i="1"/>
  <c r="BP171" i="1"/>
  <c r="BP270" i="1"/>
  <c r="BP311" i="1"/>
  <c r="BN425" i="1"/>
  <c r="BN503" i="1"/>
  <c r="Z187" i="1"/>
  <c r="BN78" i="1"/>
  <c r="BN28" i="1"/>
  <c r="Y85" i="1"/>
  <c r="BP96" i="1"/>
  <c r="Z122" i="1"/>
  <c r="BP162" i="1"/>
  <c r="BN202" i="1"/>
  <c r="BN219" i="1"/>
  <c r="Z244" i="1"/>
  <c r="Z245" i="1" s="1"/>
  <c r="BP297" i="1"/>
  <c r="Y306" i="1"/>
  <c r="BN319" i="1"/>
  <c r="BP334" i="1"/>
  <c r="Y349" i="1"/>
  <c r="BN361" i="1"/>
  <c r="Z384" i="1"/>
  <c r="Z399" i="1"/>
  <c r="Z419" i="1"/>
  <c r="BP451" i="1"/>
  <c r="BN459" i="1"/>
  <c r="BP468" i="1"/>
  <c r="Y516" i="1"/>
  <c r="Y79" i="1"/>
  <c r="Y129" i="1"/>
  <c r="Y382" i="1"/>
  <c r="BP425" i="1"/>
  <c r="Z487" i="1"/>
  <c r="BP503" i="1"/>
  <c r="BP533" i="1"/>
  <c r="F551" i="1"/>
  <c r="BN122" i="1"/>
  <c r="BN244" i="1"/>
  <c r="Y350" i="1"/>
  <c r="BN384" i="1"/>
  <c r="BN399" i="1"/>
  <c r="BN419" i="1"/>
  <c r="BP459" i="1"/>
  <c r="Y469" i="1"/>
  <c r="Y517" i="1"/>
  <c r="P551" i="1"/>
  <c r="Y511" i="1"/>
  <c r="Y534" i="1"/>
  <c r="Z97" i="1"/>
  <c r="BN63" i="1"/>
  <c r="Y80" i="1"/>
  <c r="BN88" i="1"/>
  <c r="Z132" i="1"/>
  <c r="BN176" i="1"/>
  <c r="Z183" i="1"/>
  <c r="BP244" i="1"/>
  <c r="Y287" i="1"/>
  <c r="Z295" i="1"/>
  <c r="Z346" i="1"/>
  <c r="T551" i="1"/>
  <c r="BN416" i="1"/>
  <c r="BN508" i="1"/>
  <c r="Z528" i="1"/>
  <c r="Z529" i="1" s="1"/>
  <c r="BP121" i="1"/>
  <c r="Z91" i="1"/>
  <c r="Z44" i="1"/>
  <c r="BN91" i="1"/>
  <c r="BN97" i="1"/>
  <c r="Y189" i="1"/>
  <c r="Z285" i="1"/>
  <c r="BN316" i="1"/>
  <c r="Z320" i="1"/>
  <c r="Z353" i="1"/>
  <c r="BN372" i="1"/>
  <c r="Y394" i="1"/>
  <c r="BN452" i="1"/>
  <c r="Z54" i="1"/>
  <c r="Y245" i="1"/>
  <c r="BP261" i="1"/>
  <c r="Z394" i="1"/>
  <c r="Y401" i="1"/>
  <c r="BP435" i="1"/>
  <c r="Y464" i="1"/>
  <c r="Z53" i="1"/>
  <c r="Z55" i="1" s="1"/>
  <c r="Z82" i="1"/>
  <c r="Z114" i="1"/>
  <c r="Z123" i="1"/>
  <c r="BP132" i="1"/>
  <c r="BP316" i="1"/>
  <c r="Z379" i="1"/>
  <c r="Z385" i="1"/>
  <c r="BP460" i="1"/>
  <c r="BN473" i="1"/>
  <c r="Y495" i="1"/>
  <c r="Z181" i="1"/>
  <c r="Z184" i="1" s="1"/>
  <c r="Y426" i="1"/>
  <c r="BN492" i="1"/>
  <c r="Z509" i="1"/>
  <c r="Y529" i="1"/>
  <c r="Z158" i="1"/>
  <c r="Z262" i="1"/>
  <c r="Z347" i="1"/>
  <c r="Z373" i="1"/>
  <c r="Y421" i="1"/>
  <c r="BN123" i="1"/>
  <c r="Z213" i="1"/>
  <c r="BP23" i="1"/>
  <c r="Z77" i="1"/>
  <c r="Z79" i="1" s="1"/>
  <c r="BP239" i="1"/>
  <c r="Z363" i="1"/>
  <c r="BN397" i="1"/>
  <c r="X551" i="1"/>
  <c r="Z461" i="1"/>
  <c r="Z551" i="1"/>
  <c r="Y521" i="1"/>
  <c r="F9" i="1"/>
  <c r="D551" i="1"/>
  <c r="BP51" i="1"/>
  <c r="BN51" i="1"/>
  <c r="Y56" i="1"/>
  <c r="BN35" i="1"/>
  <c r="Z35" i="1"/>
  <c r="Z36" i="1" s="1"/>
  <c r="Y36" i="1"/>
  <c r="BP35" i="1"/>
  <c r="Y55" i="1"/>
  <c r="BP66" i="1"/>
  <c r="BN66" i="1"/>
  <c r="Z66" i="1"/>
  <c r="BP112" i="1"/>
  <c r="Z112" i="1"/>
  <c r="Z117" i="1" s="1"/>
  <c r="Y118" i="1"/>
  <c r="Y117" i="1"/>
  <c r="BP232" i="1"/>
  <c r="BN232" i="1"/>
  <c r="Y236" i="1"/>
  <c r="BP199" i="1"/>
  <c r="Y206" i="1"/>
  <c r="BN199" i="1"/>
  <c r="Z199" i="1"/>
  <c r="BN216" i="1"/>
  <c r="Z216" i="1"/>
  <c r="BP216" i="1"/>
  <c r="Z232" i="1"/>
  <c r="BP173" i="1"/>
  <c r="BN173" i="1"/>
  <c r="BN29" i="1"/>
  <c r="Z29" i="1"/>
  <c r="Y68" i="1"/>
  <c r="BN112" i="1"/>
  <c r="X543" i="1"/>
  <c r="G551" i="1"/>
  <c r="BP137" i="1"/>
  <c r="BN137" i="1"/>
  <c r="Z137" i="1"/>
  <c r="Y140" i="1"/>
  <c r="Y139" i="1"/>
  <c r="Z151" i="1"/>
  <c r="Y227" i="1"/>
  <c r="Y153" i="1"/>
  <c r="Y152" i="1"/>
  <c r="BP148" i="1"/>
  <c r="BN148" i="1"/>
  <c r="I551" i="1"/>
  <c r="X542" i="1"/>
  <c r="BP29" i="1"/>
  <c r="Z63" i="1"/>
  <c r="Z148" i="1"/>
  <c r="C551" i="1"/>
  <c r="BP41" i="1"/>
  <c r="BN41" i="1"/>
  <c r="Y46" i="1"/>
  <c r="BP104" i="1"/>
  <c r="Z104" i="1"/>
  <c r="BP181" i="1"/>
  <c r="BN181" i="1"/>
  <c r="Y185" i="1"/>
  <c r="BP224" i="1"/>
  <c r="BN224" i="1"/>
  <c r="Y228" i="1"/>
  <c r="Y67" i="1"/>
  <c r="BP60" i="1"/>
  <c r="BN60" i="1"/>
  <c r="BN265" i="1"/>
  <c r="Z265" i="1"/>
  <c r="BP265" i="1"/>
  <c r="Z60" i="1"/>
  <c r="Y160" i="1"/>
  <c r="BP142" i="1"/>
  <c r="Y145" i="1"/>
  <c r="Y144" i="1"/>
  <c r="BP259" i="1"/>
  <c r="BN259" i="1"/>
  <c r="Z259" i="1"/>
  <c r="Y267" i="1"/>
  <c r="BN27" i="1"/>
  <c r="Y33" i="1"/>
  <c r="Y32" i="1"/>
  <c r="BP27" i="1"/>
  <c r="Z27" i="1"/>
  <c r="BP71" i="1"/>
  <c r="Y75" i="1"/>
  <c r="Z142" i="1"/>
  <c r="BN249" i="1"/>
  <c r="Z249" i="1"/>
  <c r="Z251" i="1" s="1"/>
  <c r="Y251" i="1"/>
  <c r="M551" i="1"/>
  <c r="BP249" i="1"/>
  <c r="Y321" i="1"/>
  <c r="BP317" i="1"/>
  <c r="BN317" i="1"/>
  <c r="Z317" i="1"/>
  <c r="Y125" i="1"/>
  <c r="Y124" i="1"/>
  <c r="BP120" i="1"/>
  <c r="Z120" i="1"/>
  <c r="BP157" i="1"/>
  <c r="BN157" i="1"/>
  <c r="Y205" i="1"/>
  <c r="F10" i="1"/>
  <c r="A10" i="1"/>
  <c r="H9" i="1"/>
  <c r="Y100" i="1"/>
  <c r="Y99" i="1"/>
  <c r="BP95" i="1"/>
  <c r="Z95" i="1"/>
  <c r="Z99" i="1" s="1"/>
  <c r="BN142" i="1"/>
  <c r="Z157" i="1"/>
  <c r="Z176" i="1"/>
  <c r="BP273" i="1"/>
  <c r="BN273" i="1"/>
  <c r="Z273" i="1"/>
  <c r="Z45" i="1"/>
  <c r="Z46" i="1" s="1"/>
  <c r="BN42" i="1"/>
  <c r="BN61" i="1"/>
  <c r="Z133" i="1"/>
  <c r="Z255" i="1"/>
  <c r="Z256" i="1" s="1"/>
  <c r="BP64" i="1"/>
  <c r="Y92" i="1"/>
  <c r="BN133" i="1"/>
  <c r="BP143" i="1"/>
  <c r="BP177" i="1"/>
  <c r="BN214" i="1"/>
  <c r="BN255" i="1"/>
  <c r="BN271" i="1"/>
  <c r="Y313" i="1"/>
  <c r="Y322" i="1"/>
  <c r="BP333" i="1"/>
  <c r="BP341" i="1"/>
  <c r="BP367" i="1"/>
  <c r="BN412" i="1"/>
  <c r="BN436" i="1"/>
  <c r="BN486" i="1"/>
  <c r="H551" i="1"/>
  <c r="BN77" i="1"/>
  <c r="Z138" i="1"/>
  <c r="BN149" i="1"/>
  <c r="BN225" i="1"/>
  <c r="Z260" i="1"/>
  <c r="Y283" i="1"/>
  <c r="BN64" i="1"/>
  <c r="BN72" i="1"/>
  <c r="BP45" i="1"/>
  <c r="BP72" i="1"/>
  <c r="Y109" i="1"/>
  <c r="BN263" i="1"/>
  <c r="BP22" i="1"/>
  <c r="BP30" i="1"/>
  <c r="Z59" i="1"/>
  <c r="Z83" i="1"/>
  <c r="Z84" i="1" s="1"/>
  <c r="BN103" i="1"/>
  <c r="BN127" i="1"/>
  <c r="BP138" i="1"/>
  <c r="Z156" i="1"/>
  <c r="Z159" i="1" s="1"/>
  <c r="Y159" i="1"/>
  <c r="BN166" i="1"/>
  <c r="Z172" i="1"/>
  <c r="Z188" i="1"/>
  <c r="Z189" i="1" s="1"/>
  <c r="BN200" i="1"/>
  <c r="BN209" i="1"/>
  <c r="BN217" i="1"/>
  <c r="Z223" i="1"/>
  <c r="Z231" i="1"/>
  <c r="Z239" i="1"/>
  <c r="Z241" i="1" s="1"/>
  <c r="BN250" i="1"/>
  <c r="BP260" i="1"/>
  <c r="BN266" i="1"/>
  <c r="BN274" i="1"/>
  <c r="Z280" i="1"/>
  <c r="BN291" i="1"/>
  <c r="Z297" i="1"/>
  <c r="BP309" i="1"/>
  <c r="BP318" i="1"/>
  <c r="BP327" i="1"/>
  <c r="BP336" i="1"/>
  <c r="Z354" i="1"/>
  <c r="Z362" i="1"/>
  <c r="Z378" i="1"/>
  <c r="Z381" i="1" s="1"/>
  <c r="Y381" i="1"/>
  <c r="Z386" i="1"/>
  <c r="BN405" i="1"/>
  <c r="BN415" i="1"/>
  <c r="BN423" i="1"/>
  <c r="BN431" i="1"/>
  <c r="BP442" i="1"/>
  <c r="Z450" i="1"/>
  <c r="Z453" i="1" s="1"/>
  <c r="Y453" i="1"/>
  <c r="Z460" i="1"/>
  <c r="Z468" i="1"/>
  <c r="Z469" i="1" s="1"/>
  <c r="BN479" i="1"/>
  <c r="BN489" i="1"/>
  <c r="BN497" i="1"/>
  <c r="BN505" i="1"/>
  <c r="BN515" i="1"/>
  <c r="Z533" i="1"/>
  <c r="Z534" i="1" s="1"/>
  <c r="Y178" i="1"/>
  <c r="BP271" i="1"/>
  <c r="Y368" i="1"/>
  <c r="BP412" i="1"/>
  <c r="Y427" i="1"/>
  <c r="BP436" i="1"/>
  <c r="Y475" i="1"/>
  <c r="BP486" i="1"/>
  <c r="Y501" i="1"/>
  <c r="J551" i="1"/>
  <c r="Y342" i="1"/>
  <c r="BN59" i="1"/>
  <c r="Y93" i="1"/>
  <c r="BP103" i="1"/>
  <c r="Y110" i="1"/>
  <c r="BP127" i="1"/>
  <c r="BP200" i="1"/>
  <c r="BP209" i="1"/>
  <c r="BP217" i="1"/>
  <c r="BP250" i="1"/>
  <c r="BP266" i="1"/>
  <c r="BP274" i="1"/>
  <c r="BP291" i="1"/>
  <c r="Z316" i="1"/>
  <c r="Z325" i="1"/>
  <c r="Y328" i="1"/>
  <c r="Y337" i="1"/>
  <c r="BN378" i="1"/>
  <c r="Y395" i="1"/>
  <c r="BP405" i="1"/>
  <c r="BP415" i="1"/>
  <c r="BP423" i="1"/>
  <c r="BP431" i="1"/>
  <c r="Y443" i="1"/>
  <c r="BN450" i="1"/>
  <c r="BN468" i="1"/>
  <c r="BP479" i="1"/>
  <c r="BP489" i="1"/>
  <c r="BP497" i="1"/>
  <c r="BP505" i="1"/>
  <c r="BP515" i="1"/>
  <c r="Z523" i="1"/>
  <c r="BN533" i="1"/>
  <c r="K551" i="1"/>
  <c r="BP214" i="1"/>
  <c r="BP263" i="1"/>
  <c r="BN156" i="1"/>
  <c r="BP166" i="1"/>
  <c r="Z23" i="1"/>
  <c r="Z31" i="1"/>
  <c r="Y134" i="1"/>
  <c r="Y256" i="1"/>
  <c r="Z261" i="1"/>
  <c r="Y437" i="1"/>
  <c r="BN463" i="1"/>
  <c r="BN528" i="1"/>
  <c r="L551" i="1"/>
  <c r="Y179" i="1"/>
  <c r="Y343" i="1"/>
  <c r="Y369" i="1"/>
  <c r="Y432" i="1"/>
  <c r="Y480" i="1"/>
  <c r="Z167" i="1"/>
  <c r="Z201" i="1"/>
  <c r="Z205" i="1" s="1"/>
  <c r="Z218" i="1"/>
  <c r="Z275" i="1"/>
  <c r="Z292" i="1"/>
  <c r="Y329" i="1"/>
  <c r="Y338" i="1"/>
  <c r="Z397" i="1"/>
  <c r="Z400" i="1" s="1"/>
  <c r="Y400" i="1"/>
  <c r="Z406" i="1"/>
  <c r="Z416" i="1"/>
  <c r="Z424" i="1"/>
  <c r="Y444" i="1"/>
  <c r="Z490" i="1"/>
  <c r="Z498" i="1"/>
  <c r="Z506" i="1"/>
  <c r="O551" i="1"/>
  <c r="Y298" i="1"/>
  <c r="Y438" i="1"/>
  <c r="BP523" i="1"/>
  <c r="Y433" i="1"/>
  <c r="Y481" i="1"/>
  <c r="R551" i="1"/>
  <c r="Z332" i="1"/>
  <c r="Z340" i="1"/>
  <c r="Z366" i="1"/>
  <c r="Z374" i="1"/>
  <c r="Z375" i="1" s="1"/>
  <c r="Z446" i="1"/>
  <c r="Z447" i="1" s="1"/>
  <c r="Y24" i="1"/>
  <c r="BN240" i="1"/>
  <c r="BN281" i="1"/>
  <c r="Y299" i="1"/>
  <c r="Z326" i="1"/>
  <c r="Z335" i="1"/>
  <c r="BN346" i="1"/>
  <c r="BN355" i="1"/>
  <c r="BN363" i="1"/>
  <c r="BN371" i="1"/>
  <c r="BN379" i="1"/>
  <c r="BN387" i="1"/>
  <c r="Z441" i="1"/>
  <c r="Z524" i="1"/>
  <c r="S551" i="1"/>
  <c r="BN335" i="1"/>
  <c r="BP387" i="1"/>
  <c r="U551" i="1"/>
  <c r="BN332" i="1"/>
  <c r="BP240" i="1"/>
  <c r="BN326" i="1"/>
  <c r="BP371" i="1"/>
  <c r="Z404" i="1"/>
  <c r="Y407" i="1"/>
  <c r="Z414" i="1"/>
  <c r="Z420" i="1" s="1"/>
  <c r="Z430" i="1"/>
  <c r="Z432" i="1" s="1"/>
  <c r="BN441" i="1"/>
  <c r="Z478" i="1"/>
  <c r="Z480" i="1" s="1"/>
  <c r="Z488" i="1"/>
  <c r="Z494" i="1" s="1"/>
  <c r="Z504" i="1"/>
  <c r="BN524" i="1"/>
  <c r="Y25" i="1"/>
  <c r="Z88" i="1"/>
  <c r="Z92" i="1" s="1"/>
  <c r="Z192" i="1"/>
  <c r="Z193" i="1" s="1"/>
  <c r="Z301" i="1"/>
  <c r="Z302" i="1" s="1"/>
  <c r="BP374" i="1"/>
  <c r="Y420" i="1"/>
  <c r="BP446" i="1"/>
  <c r="Z473" i="1"/>
  <c r="Z474" i="1" s="1"/>
  <c r="BN485" i="1"/>
  <c r="Z491" i="1"/>
  <c r="Y494" i="1"/>
  <c r="Z499" i="1"/>
  <c r="Z507" i="1"/>
  <c r="BN519" i="1"/>
  <c r="Z538" i="1"/>
  <c r="Z539" i="1" s="1"/>
  <c r="V551" i="1"/>
  <c r="Y241" i="1"/>
  <c r="Y282" i="1"/>
  <c r="Y388" i="1"/>
  <c r="BN404" i="1"/>
  <c r="BN414" i="1"/>
  <c r="BN430" i="1"/>
  <c r="BP441" i="1"/>
  <c r="BN478" i="1"/>
  <c r="BN488" i="1"/>
  <c r="BN504" i="1"/>
  <c r="B551" i="1"/>
  <c r="Y408" i="1"/>
  <c r="Y447" i="1"/>
  <c r="BP519" i="1"/>
  <c r="BN538" i="1"/>
  <c r="Z333" i="1"/>
  <c r="Z341" i="1"/>
  <c r="Z367" i="1"/>
  <c r="BP414" i="1"/>
  <c r="BP488" i="1"/>
  <c r="BP504" i="1"/>
  <c r="Y525" i="1"/>
  <c r="BN532" i="1"/>
  <c r="Y551" i="1"/>
  <c r="Z143" i="1"/>
  <c r="Z177" i="1"/>
  <c r="Z30" i="1"/>
  <c r="BN158" i="1"/>
  <c r="Z309" i="1"/>
  <c r="Z312" i="1" s="1"/>
  <c r="Y312" i="1"/>
  <c r="Z318" i="1"/>
  <c r="Z327" i="1"/>
  <c r="Z336" i="1"/>
  <c r="Z442" i="1"/>
  <c r="BP538" i="1"/>
  <c r="E551" i="1"/>
  <c r="Z22" i="1"/>
  <c r="BN182" i="1"/>
  <c r="AA551" i="1"/>
  <c r="BN52" i="1"/>
  <c r="BN174" i="1"/>
  <c r="BN233" i="1"/>
  <c r="Z103" i="1"/>
  <c r="Z423" i="1"/>
  <c r="Z497" i="1"/>
  <c r="Y539" i="1"/>
  <c r="Z407" i="1" l="1"/>
  <c r="Z388" i="1"/>
  <c r="Z349" i="1"/>
  <c r="Z443" i="1"/>
  <c r="Z109" i="1"/>
  <c r="Z510" i="1"/>
  <c r="Z282" i="1"/>
  <c r="Z464" i="1"/>
  <c r="X544" i="1"/>
  <c r="Z227" i="1"/>
  <c r="Z298" i="1"/>
  <c r="Z328" i="1"/>
  <c r="Z321" i="1"/>
  <c r="Z178" i="1"/>
  <c r="Z368" i="1"/>
  <c r="Z500" i="1"/>
  <c r="Z426" i="1"/>
  <c r="Z358" i="1"/>
  <c r="Z134" i="1"/>
  <c r="Z124" i="1"/>
  <c r="Y542" i="1"/>
  <c r="Z32" i="1"/>
  <c r="Y541" i="1"/>
  <c r="Z525" i="1"/>
  <c r="Z267" i="1"/>
  <c r="Z24" i="1"/>
  <c r="Z67" i="1"/>
  <c r="Z139" i="1"/>
  <c r="Y543" i="1"/>
  <c r="Y545" i="1"/>
  <c r="Z235" i="1"/>
  <c r="Z342" i="1"/>
  <c r="Z337" i="1"/>
  <c r="Z144" i="1"/>
  <c r="Z152" i="1"/>
  <c r="Y544" i="1" l="1"/>
  <c r="Z546" i="1"/>
</calcChain>
</file>

<file path=xl/sharedStrings.xml><?xml version="1.0" encoding="utf-8"?>
<sst xmlns="http://schemas.openxmlformats.org/spreadsheetml/2006/main" count="2450" uniqueCount="890">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</sst>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1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9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1"/>
  <sheetViews>
    <sheetView showGridLines="0" tabSelected="1" zoomScaleNormal="100" zoomScaleSheetLayoutView="100" workbookViewId="0">
      <selection activeCell="AA413" sqref="AA413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88" t="s">
        <v>0</v>
      </c>
      <c r="E1" s="689"/>
      <c r="F1" s="689"/>
      <c r="G1" s="14" t="s">
        <v>1</v>
      </c>
      <c r="H1" s="688" t="s">
        <v>2</v>
      </c>
      <c r="I1" s="689"/>
      <c r="J1" s="689"/>
      <c r="K1" s="689"/>
      <c r="L1" s="689"/>
      <c r="M1" s="689"/>
      <c r="N1" s="689"/>
      <c r="O1" s="689"/>
      <c r="P1" s="689"/>
      <c r="Q1" s="689"/>
      <c r="R1" s="696" t="s">
        <v>3</v>
      </c>
      <c r="S1" s="689"/>
      <c r="T1" s="68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4"/>
      <c r="R2" s="624"/>
      <c r="S2" s="624"/>
      <c r="T2" s="624"/>
      <c r="U2" s="624"/>
      <c r="V2" s="624"/>
      <c r="W2" s="62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4"/>
      <c r="Q3" s="624"/>
      <c r="R3" s="624"/>
      <c r="S3" s="624"/>
      <c r="T3" s="624"/>
      <c r="U3" s="624"/>
      <c r="V3" s="624"/>
      <c r="W3" s="62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749" t="s">
        <v>8</v>
      </c>
      <c r="B5" s="635"/>
      <c r="C5" s="636"/>
      <c r="D5" s="693"/>
      <c r="E5" s="694"/>
      <c r="F5" s="929" t="s">
        <v>9</v>
      </c>
      <c r="G5" s="636"/>
      <c r="H5" s="693" t="s">
        <v>889</v>
      </c>
      <c r="I5" s="861"/>
      <c r="J5" s="861"/>
      <c r="K5" s="861"/>
      <c r="L5" s="861"/>
      <c r="M5" s="694"/>
      <c r="N5" s="69"/>
      <c r="P5" s="26" t="s">
        <v>10</v>
      </c>
      <c r="Q5" s="941">
        <v>46221</v>
      </c>
      <c r="R5" s="798"/>
      <c r="T5" s="796" t="s">
        <v>11</v>
      </c>
      <c r="U5" s="703"/>
      <c r="V5" s="797" t="s">
        <v>12</v>
      </c>
      <c r="W5" s="798"/>
      <c r="AB5" s="57"/>
      <c r="AC5" s="57"/>
      <c r="AD5" s="57"/>
      <c r="AE5" s="57"/>
    </row>
    <row r="6" spans="1:32" s="17" customFormat="1" ht="24" customHeight="1" x14ac:dyDescent="0.2">
      <c r="A6" s="749" t="s">
        <v>13</v>
      </c>
      <c r="B6" s="635"/>
      <c r="C6" s="636"/>
      <c r="D6" s="864" t="s">
        <v>849</v>
      </c>
      <c r="E6" s="865"/>
      <c r="F6" s="865"/>
      <c r="G6" s="865"/>
      <c r="H6" s="865"/>
      <c r="I6" s="865"/>
      <c r="J6" s="865"/>
      <c r="K6" s="865"/>
      <c r="L6" s="865"/>
      <c r="M6" s="798"/>
      <c r="N6" s="70"/>
      <c r="P6" s="26" t="s">
        <v>14</v>
      </c>
      <c r="Q6" s="953" t="str">
        <f>IF(Q5=0," ",CHOOSE(WEEKDAY(Q5,2),"Понедельник","Вторник","Среда","Четверг","Пятница","Суббота","Воскресенье"))</f>
        <v>Суббота</v>
      </c>
      <c r="R6" s="627"/>
      <c r="T6" s="804" t="s">
        <v>15</v>
      </c>
      <c r="U6" s="703"/>
      <c r="V6" s="868" t="s">
        <v>16</v>
      </c>
      <c r="W6" s="65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74" t="str">
        <f>IFERROR(VLOOKUP(DeliveryAddress,Table,3,0),1)</f>
        <v>1</v>
      </c>
      <c r="E7" s="675"/>
      <c r="F7" s="675"/>
      <c r="G7" s="675"/>
      <c r="H7" s="675"/>
      <c r="I7" s="675"/>
      <c r="J7" s="675"/>
      <c r="K7" s="675"/>
      <c r="L7" s="675"/>
      <c r="M7" s="676"/>
      <c r="N7" s="71"/>
      <c r="P7" s="26"/>
      <c r="Q7" s="46"/>
      <c r="R7" s="46"/>
      <c r="T7" s="624"/>
      <c r="U7" s="703"/>
      <c r="V7" s="869"/>
      <c r="W7" s="870"/>
      <c r="AB7" s="57"/>
      <c r="AC7" s="57"/>
      <c r="AD7" s="57"/>
      <c r="AE7" s="57"/>
    </row>
    <row r="8" spans="1:32" s="17" customFormat="1" ht="25.5" customHeight="1" x14ac:dyDescent="0.2">
      <c r="A8" s="967" t="s">
        <v>17</v>
      </c>
      <c r="B8" s="632"/>
      <c r="C8" s="633"/>
      <c r="D8" s="683"/>
      <c r="E8" s="684"/>
      <c r="F8" s="684"/>
      <c r="G8" s="684"/>
      <c r="H8" s="684"/>
      <c r="I8" s="684"/>
      <c r="J8" s="684"/>
      <c r="K8" s="684"/>
      <c r="L8" s="684"/>
      <c r="M8" s="685"/>
      <c r="N8" s="72"/>
      <c r="P8" s="26" t="s">
        <v>18</v>
      </c>
      <c r="Q8" s="756">
        <v>0.45833333333333331</v>
      </c>
      <c r="R8" s="676"/>
      <c r="T8" s="624"/>
      <c r="U8" s="703"/>
      <c r="V8" s="869"/>
      <c r="W8" s="870"/>
      <c r="AB8" s="57"/>
      <c r="AC8" s="57"/>
      <c r="AD8" s="57"/>
      <c r="AE8" s="57"/>
    </row>
    <row r="9" spans="1:32" s="17" customFormat="1" ht="39.950000000000003" customHeight="1" x14ac:dyDescent="0.2">
      <c r="A9" s="7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4"/>
      <c r="C9" s="624"/>
      <c r="D9" s="766"/>
      <c r="E9" s="638"/>
      <c r="F9" s="7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4"/>
      <c r="H9" s="637" t="str">
        <f>IF(AND($A$9="Тип доверенности/получателя при получении в адресе перегруза:",$D$9="Разовая доверенность"),"Введите ФИО","")</f>
        <v/>
      </c>
      <c r="I9" s="638"/>
      <c r="J9" s="63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8"/>
      <c r="L9" s="638"/>
      <c r="M9" s="638"/>
      <c r="N9" s="67"/>
      <c r="P9" s="29" t="s">
        <v>19</v>
      </c>
      <c r="Q9" s="712"/>
      <c r="R9" s="713"/>
      <c r="T9" s="624"/>
      <c r="U9" s="703"/>
      <c r="V9" s="871"/>
      <c r="W9" s="87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7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4"/>
      <c r="C10" s="624"/>
      <c r="D10" s="766"/>
      <c r="E10" s="638"/>
      <c r="F10" s="7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4"/>
      <c r="H10" s="845" t="str">
        <f>IFERROR(VLOOKUP($D$10,Proxy,2,FALSE),"")</f>
        <v/>
      </c>
      <c r="I10" s="624"/>
      <c r="J10" s="624"/>
      <c r="K10" s="624"/>
      <c r="L10" s="624"/>
      <c r="M10" s="624"/>
      <c r="N10" s="68"/>
      <c r="P10" s="29" t="s">
        <v>20</v>
      </c>
      <c r="Q10" s="805"/>
      <c r="R10" s="806"/>
      <c r="U10" s="26" t="s">
        <v>21</v>
      </c>
      <c r="V10" s="652" t="s">
        <v>22</v>
      </c>
      <c r="W10" s="65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860"/>
      <c r="R11" s="798"/>
      <c r="U11" s="26" t="s">
        <v>25</v>
      </c>
      <c r="V11" s="891" t="s">
        <v>888</v>
      </c>
      <c r="W11" s="71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89" t="s">
        <v>26</v>
      </c>
      <c r="B12" s="635"/>
      <c r="C12" s="635"/>
      <c r="D12" s="635"/>
      <c r="E12" s="635"/>
      <c r="F12" s="635"/>
      <c r="G12" s="635"/>
      <c r="H12" s="635"/>
      <c r="I12" s="635"/>
      <c r="J12" s="635"/>
      <c r="K12" s="635"/>
      <c r="L12" s="635"/>
      <c r="M12" s="636"/>
      <c r="N12" s="73"/>
      <c r="P12" s="26" t="s">
        <v>27</v>
      </c>
      <c r="Q12" s="756"/>
      <c r="R12" s="676"/>
      <c r="S12" s="27"/>
      <c r="U12" s="26"/>
      <c r="V12" s="689"/>
      <c r="W12" s="624"/>
      <c r="AB12" s="57"/>
      <c r="AC12" s="57"/>
      <c r="AD12" s="57"/>
      <c r="AE12" s="57"/>
    </row>
    <row r="13" spans="1:32" s="17" customFormat="1" ht="23.25" customHeight="1" x14ac:dyDescent="0.2">
      <c r="A13" s="789" t="s">
        <v>28</v>
      </c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36"/>
      <c r="N13" s="73"/>
      <c r="O13" s="29"/>
      <c r="P13" s="29" t="s">
        <v>29</v>
      </c>
      <c r="Q13" s="891"/>
      <c r="R13" s="713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89" t="s">
        <v>30</v>
      </c>
      <c r="B14" s="635"/>
      <c r="C14" s="635"/>
      <c r="D14" s="635"/>
      <c r="E14" s="635"/>
      <c r="F14" s="635"/>
      <c r="G14" s="635"/>
      <c r="H14" s="635"/>
      <c r="I14" s="635"/>
      <c r="J14" s="635"/>
      <c r="K14" s="635"/>
      <c r="L14" s="635"/>
      <c r="M14" s="636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7" t="s">
        <v>31</v>
      </c>
      <c r="B15" s="635"/>
      <c r="C15" s="635"/>
      <c r="D15" s="635"/>
      <c r="E15" s="635"/>
      <c r="F15" s="635"/>
      <c r="G15" s="635"/>
      <c r="H15" s="635"/>
      <c r="I15" s="635"/>
      <c r="J15" s="635"/>
      <c r="K15" s="635"/>
      <c r="L15" s="635"/>
      <c r="M15" s="636"/>
      <c r="N15" s="74"/>
      <c r="P15" s="793" t="s">
        <v>32</v>
      </c>
      <c r="Q15" s="689"/>
      <c r="R15" s="689"/>
      <c r="S15" s="689"/>
      <c r="T15" s="689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94"/>
      <c r="Q16" s="794"/>
      <c r="R16" s="794"/>
      <c r="S16" s="794"/>
      <c r="T16" s="79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3" t="s">
        <v>33</v>
      </c>
      <c r="B17" s="643" t="s">
        <v>34</v>
      </c>
      <c r="C17" s="763" t="s">
        <v>35</v>
      </c>
      <c r="D17" s="643" t="s">
        <v>36</v>
      </c>
      <c r="E17" s="719"/>
      <c r="F17" s="643" t="s">
        <v>37</v>
      </c>
      <c r="G17" s="643" t="s">
        <v>38</v>
      </c>
      <c r="H17" s="643" t="s">
        <v>39</v>
      </c>
      <c r="I17" s="643" t="s">
        <v>40</v>
      </c>
      <c r="J17" s="643" t="s">
        <v>41</v>
      </c>
      <c r="K17" s="643" t="s">
        <v>42</v>
      </c>
      <c r="L17" s="643" t="s">
        <v>43</v>
      </c>
      <c r="M17" s="643" t="s">
        <v>44</v>
      </c>
      <c r="N17" s="643" t="s">
        <v>45</v>
      </c>
      <c r="O17" s="643" t="s">
        <v>46</v>
      </c>
      <c r="P17" s="643" t="s">
        <v>47</v>
      </c>
      <c r="Q17" s="718"/>
      <c r="R17" s="718"/>
      <c r="S17" s="718"/>
      <c r="T17" s="719"/>
      <c r="U17" s="950" t="s">
        <v>48</v>
      </c>
      <c r="V17" s="636"/>
      <c r="W17" s="643" t="s">
        <v>49</v>
      </c>
      <c r="X17" s="643" t="s">
        <v>50</v>
      </c>
      <c r="Y17" s="965" t="s">
        <v>51</v>
      </c>
      <c r="Z17" s="977" t="s">
        <v>52</v>
      </c>
      <c r="AA17" s="842" t="s">
        <v>53</v>
      </c>
      <c r="AB17" s="842" t="s">
        <v>54</v>
      </c>
      <c r="AC17" s="842" t="s">
        <v>55</v>
      </c>
      <c r="AD17" s="842" t="s">
        <v>56</v>
      </c>
      <c r="AE17" s="924"/>
      <c r="AF17" s="925"/>
      <c r="AG17" s="77"/>
      <c r="BD17" s="76" t="s">
        <v>57</v>
      </c>
    </row>
    <row r="18" spans="1:68" ht="14.25" customHeight="1" x14ac:dyDescent="0.2">
      <c r="A18" s="644"/>
      <c r="B18" s="644"/>
      <c r="C18" s="644"/>
      <c r="D18" s="720"/>
      <c r="E18" s="722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720"/>
      <c r="Q18" s="721"/>
      <c r="R18" s="721"/>
      <c r="S18" s="721"/>
      <c r="T18" s="722"/>
      <c r="U18" s="78" t="s">
        <v>58</v>
      </c>
      <c r="V18" s="78" t="s">
        <v>59</v>
      </c>
      <c r="W18" s="644"/>
      <c r="X18" s="644"/>
      <c r="Y18" s="966"/>
      <c r="Z18" s="978"/>
      <c r="AA18" s="843"/>
      <c r="AB18" s="843"/>
      <c r="AC18" s="843"/>
      <c r="AD18" s="926"/>
      <c r="AE18" s="927"/>
      <c r="AF18" s="928"/>
      <c r="AG18" s="77"/>
      <c r="BD18" s="76"/>
    </row>
    <row r="19" spans="1:68" ht="27.75" hidden="1" customHeight="1" x14ac:dyDescent="0.2">
      <c r="A19" s="775" t="s">
        <v>60</v>
      </c>
      <c r="B19" s="776"/>
      <c r="C19" s="776"/>
      <c r="D19" s="776"/>
      <c r="E19" s="776"/>
      <c r="F19" s="776"/>
      <c r="G19" s="776"/>
      <c r="H19" s="776"/>
      <c r="I19" s="776"/>
      <c r="J19" s="776"/>
      <c r="K19" s="776"/>
      <c r="L19" s="776"/>
      <c r="M19" s="776"/>
      <c r="N19" s="776"/>
      <c r="O19" s="776"/>
      <c r="P19" s="776"/>
      <c r="Q19" s="776"/>
      <c r="R19" s="776"/>
      <c r="S19" s="776"/>
      <c r="T19" s="776"/>
      <c r="U19" s="776"/>
      <c r="V19" s="776"/>
      <c r="W19" s="776"/>
      <c r="X19" s="776"/>
      <c r="Y19" s="776"/>
      <c r="Z19" s="776"/>
      <c r="AA19" s="52"/>
      <c r="AB19" s="52"/>
      <c r="AC19" s="52"/>
    </row>
    <row r="20" spans="1:68" ht="16.5" hidden="1" customHeight="1" x14ac:dyDescent="0.25">
      <c r="A20" s="639" t="s">
        <v>60</v>
      </c>
      <c r="B20" s="624"/>
      <c r="C20" s="624"/>
      <c r="D20" s="624"/>
      <c r="E20" s="624"/>
      <c r="F20" s="624"/>
      <c r="G20" s="624"/>
      <c r="H20" s="624"/>
      <c r="I20" s="624"/>
      <c r="J20" s="624"/>
      <c r="K20" s="624"/>
      <c r="L20" s="624"/>
      <c r="M20" s="624"/>
      <c r="N20" s="624"/>
      <c r="O20" s="624"/>
      <c r="P20" s="624"/>
      <c r="Q20" s="624"/>
      <c r="R20" s="624"/>
      <c r="S20" s="624"/>
      <c r="T20" s="624"/>
      <c r="U20" s="624"/>
      <c r="V20" s="624"/>
      <c r="W20" s="624"/>
      <c r="X20" s="624"/>
      <c r="Y20" s="624"/>
      <c r="Z20" s="624"/>
      <c r="AA20" s="62"/>
      <c r="AB20" s="62"/>
      <c r="AC20" s="62"/>
    </row>
    <row r="21" spans="1:68" ht="14.25" hidden="1" customHeight="1" x14ac:dyDescent="0.25">
      <c r="A21" s="628" t="s">
        <v>61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3"/>
      <c r="AB21" s="63"/>
      <c r="AC21" s="63"/>
    </row>
    <row r="22" spans="1:68" ht="27" hidden="1" customHeight="1" x14ac:dyDescent="0.25">
      <c r="A22" s="60" t="s">
        <v>62</v>
      </c>
      <c r="B22" s="60" t="s">
        <v>63</v>
      </c>
      <c r="C22" s="34">
        <v>4301031278</v>
      </c>
      <c r="D22" s="626">
        <v>4680115886643</v>
      </c>
      <c r="E22" s="627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64</v>
      </c>
      <c r="L22" s="35"/>
      <c r="M22" s="36" t="s">
        <v>65</v>
      </c>
      <c r="N22" s="36"/>
      <c r="O22" s="35">
        <v>40</v>
      </c>
      <c r="P22" s="97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0"/>
      <c r="R22" s="620"/>
      <c r="S22" s="620"/>
      <c r="T22" s="621"/>
      <c r="U22" s="37"/>
      <c r="V22" s="37"/>
      <c r="W22" s="38" t="s">
        <v>66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67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68</v>
      </c>
      <c r="B23" s="60" t="s">
        <v>69</v>
      </c>
      <c r="C23" s="34">
        <v>4301031508</v>
      </c>
      <c r="D23" s="626">
        <v>4680115889071</v>
      </c>
      <c r="E23" s="627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64</v>
      </c>
      <c r="L23" s="35"/>
      <c r="M23" s="36" t="s">
        <v>65</v>
      </c>
      <c r="N23" s="36"/>
      <c r="O23" s="35">
        <v>40</v>
      </c>
      <c r="P23" s="85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0"/>
      <c r="R23" s="620"/>
      <c r="S23" s="620"/>
      <c r="T23" s="621"/>
      <c r="U23" s="37"/>
      <c r="V23" s="37"/>
      <c r="W23" s="38" t="s">
        <v>66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70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23"/>
      <c r="B24" s="624"/>
      <c r="C24" s="624"/>
      <c r="D24" s="624"/>
      <c r="E24" s="624"/>
      <c r="F24" s="624"/>
      <c r="G24" s="624"/>
      <c r="H24" s="624"/>
      <c r="I24" s="624"/>
      <c r="J24" s="624"/>
      <c r="K24" s="624"/>
      <c r="L24" s="624"/>
      <c r="M24" s="624"/>
      <c r="N24" s="624"/>
      <c r="O24" s="625"/>
      <c r="P24" s="631" t="s">
        <v>71</v>
      </c>
      <c r="Q24" s="632"/>
      <c r="R24" s="632"/>
      <c r="S24" s="632"/>
      <c r="T24" s="632"/>
      <c r="U24" s="632"/>
      <c r="V24" s="633"/>
      <c r="W24" s="40" t="s">
        <v>72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24"/>
      <c r="B25" s="624"/>
      <c r="C25" s="624"/>
      <c r="D25" s="624"/>
      <c r="E25" s="624"/>
      <c r="F25" s="624"/>
      <c r="G25" s="624"/>
      <c r="H25" s="624"/>
      <c r="I25" s="624"/>
      <c r="J25" s="624"/>
      <c r="K25" s="624"/>
      <c r="L25" s="624"/>
      <c r="M25" s="624"/>
      <c r="N25" s="624"/>
      <c r="O25" s="625"/>
      <c r="P25" s="631" t="s">
        <v>71</v>
      </c>
      <c r="Q25" s="632"/>
      <c r="R25" s="632"/>
      <c r="S25" s="632"/>
      <c r="T25" s="632"/>
      <c r="U25" s="632"/>
      <c r="V25" s="633"/>
      <c r="W25" s="40" t="s">
        <v>66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28" t="s">
        <v>73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3"/>
      <c r="AB26" s="63"/>
      <c r="AC26" s="63"/>
    </row>
    <row r="27" spans="1:68" ht="27" hidden="1" customHeight="1" x14ac:dyDescent="0.25">
      <c r="A27" s="60" t="s">
        <v>74</v>
      </c>
      <c r="B27" s="60" t="s">
        <v>75</v>
      </c>
      <c r="C27" s="34">
        <v>4301051866</v>
      </c>
      <c r="D27" s="626">
        <v>4680115885912</v>
      </c>
      <c r="E27" s="627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76</v>
      </c>
      <c r="L27" s="35"/>
      <c r="M27" s="36" t="s">
        <v>77</v>
      </c>
      <c r="N27" s="36"/>
      <c r="O27" s="35">
        <v>40</v>
      </c>
      <c r="P27" s="8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0"/>
      <c r="R27" s="620"/>
      <c r="S27" s="620"/>
      <c r="T27" s="621"/>
      <c r="U27" s="37"/>
      <c r="V27" s="37"/>
      <c r="W27" s="38" t="s">
        <v>66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/>
      <c r="AB27" s="66"/>
      <c r="AC27" s="85" t="s">
        <v>78</v>
      </c>
      <c r="AG27" s="75"/>
      <c r="AJ27" s="79"/>
      <c r="AK27" s="79">
        <v>0</v>
      </c>
      <c r="BB27" s="86" t="s">
        <v>1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79</v>
      </c>
      <c r="B28" s="60" t="s">
        <v>80</v>
      </c>
      <c r="C28" s="34">
        <v>4301051776</v>
      </c>
      <c r="D28" s="626">
        <v>4607091388237</v>
      </c>
      <c r="E28" s="627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76</v>
      </c>
      <c r="L28" s="35"/>
      <c r="M28" s="36" t="s">
        <v>77</v>
      </c>
      <c r="N28" s="36"/>
      <c r="O28" s="35">
        <v>40</v>
      </c>
      <c r="P28" s="71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0"/>
      <c r="R28" s="620"/>
      <c r="S28" s="620"/>
      <c r="T28" s="621"/>
      <c r="U28" s="37"/>
      <c r="V28" s="37"/>
      <c r="W28" s="38" t="s">
        <v>66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/>
      <c r="AB28" s="66"/>
      <c r="AC28" s="87" t="s">
        <v>78</v>
      </c>
      <c r="AG28" s="75"/>
      <c r="AJ28" s="79"/>
      <c r="AK28" s="79">
        <v>0</v>
      </c>
      <c r="BB28" s="88" t="s">
        <v>1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81</v>
      </c>
      <c r="B29" s="60" t="s">
        <v>82</v>
      </c>
      <c r="C29" s="34">
        <v>4301052063</v>
      </c>
      <c r="D29" s="626">
        <v>4680115887350</v>
      </c>
      <c r="E29" s="627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76</v>
      </c>
      <c r="L29" s="35"/>
      <c r="M29" s="36" t="s">
        <v>83</v>
      </c>
      <c r="N29" s="36"/>
      <c r="O29" s="35">
        <v>40</v>
      </c>
      <c r="P29" s="67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0"/>
      <c r="R29" s="620"/>
      <c r="S29" s="620"/>
      <c r="T29" s="621"/>
      <c r="U29" s="37"/>
      <c r="V29" s="37"/>
      <c r="W29" s="38" t="s">
        <v>66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/>
      <c r="AB29" s="66"/>
      <c r="AC29" s="89" t="s">
        <v>84</v>
      </c>
      <c r="AG29" s="75"/>
      <c r="AJ29" s="79"/>
      <c r="AK29" s="79">
        <v>0</v>
      </c>
      <c r="BB29" s="90" t="s">
        <v>1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85</v>
      </c>
      <c r="B30" s="60" t="s">
        <v>86</v>
      </c>
      <c r="C30" s="34">
        <v>4301051863</v>
      </c>
      <c r="D30" s="626">
        <v>4680115885905</v>
      </c>
      <c r="E30" s="627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76</v>
      </c>
      <c r="L30" s="35"/>
      <c r="M30" s="36" t="s">
        <v>83</v>
      </c>
      <c r="N30" s="36"/>
      <c r="O30" s="35">
        <v>40</v>
      </c>
      <c r="P30" s="6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0"/>
      <c r="R30" s="620"/>
      <c r="S30" s="620"/>
      <c r="T30" s="621"/>
      <c r="U30" s="37"/>
      <c r="V30" s="37"/>
      <c r="W30" s="38" t="s">
        <v>66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/>
      <c r="AB30" s="66"/>
      <c r="AC30" s="91" t="s">
        <v>87</v>
      </c>
      <c r="AG30" s="75"/>
      <c r="AJ30" s="79"/>
      <c r="AK30" s="79">
        <v>0</v>
      </c>
      <c r="BB30" s="92" t="s">
        <v>1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88</v>
      </c>
      <c r="B31" s="60" t="s">
        <v>89</v>
      </c>
      <c r="C31" s="34">
        <v>4301052071</v>
      </c>
      <c r="D31" s="626">
        <v>4680115887619</v>
      </c>
      <c r="E31" s="627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76</v>
      </c>
      <c r="L31" s="35"/>
      <c r="M31" s="36" t="s">
        <v>77</v>
      </c>
      <c r="N31" s="36"/>
      <c r="O31" s="35">
        <v>40</v>
      </c>
      <c r="P31" s="68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0"/>
      <c r="R31" s="620"/>
      <c r="S31" s="620"/>
      <c r="T31" s="621"/>
      <c r="U31" s="37"/>
      <c r="V31" s="37"/>
      <c r="W31" s="38" t="s">
        <v>66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/>
      <c r="AB31" s="66"/>
      <c r="AC31" s="93" t="s">
        <v>90</v>
      </c>
      <c r="AG31" s="75"/>
      <c r="AJ31" s="79"/>
      <c r="AK31" s="79">
        <v>0</v>
      </c>
      <c r="BB31" s="94" t="s">
        <v>1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23"/>
      <c r="B32" s="624"/>
      <c r="C32" s="624"/>
      <c r="D32" s="624"/>
      <c r="E32" s="624"/>
      <c r="F32" s="624"/>
      <c r="G32" s="624"/>
      <c r="H32" s="624"/>
      <c r="I32" s="624"/>
      <c r="J32" s="624"/>
      <c r="K32" s="624"/>
      <c r="L32" s="624"/>
      <c r="M32" s="624"/>
      <c r="N32" s="624"/>
      <c r="O32" s="625"/>
      <c r="P32" s="631" t="s">
        <v>71</v>
      </c>
      <c r="Q32" s="632"/>
      <c r="R32" s="632"/>
      <c r="S32" s="632"/>
      <c r="T32" s="632"/>
      <c r="U32" s="632"/>
      <c r="V32" s="633"/>
      <c r="W32" s="40" t="s">
        <v>72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24"/>
      <c r="B33" s="624"/>
      <c r="C33" s="624"/>
      <c r="D33" s="624"/>
      <c r="E33" s="624"/>
      <c r="F33" s="624"/>
      <c r="G33" s="624"/>
      <c r="H33" s="624"/>
      <c r="I33" s="624"/>
      <c r="J33" s="624"/>
      <c r="K33" s="624"/>
      <c r="L33" s="624"/>
      <c r="M33" s="624"/>
      <c r="N33" s="624"/>
      <c r="O33" s="625"/>
      <c r="P33" s="631" t="s">
        <v>71</v>
      </c>
      <c r="Q33" s="632"/>
      <c r="R33" s="632"/>
      <c r="S33" s="632"/>
      <c r="T33" s="632"/>
      <c r="U33" s="632"/>
      <c r="V33" s="633"/>
      <c r="W33" s="40" t="s">
        <v>66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28" t="s">
        <v>91</v>
      </c>
      <c r="B34" s="624"/>
      <c r="C34" s="624"/>
      <c r="D34" s="624"/>
      <c r="E34" s="624"/>
      <c r="F34" s="624"/>
      <c r="G34" s="624"/>
      <c r="H34" s="624"/>
      <c r="I34" s="624"/>
      <c r="J34" s="624"/>
      <c r="K34" s="624"/>
      <c r="L34" s="624"/>
      <c r="M34" s="624"/>
      <c r="N34" s="624"/>
      <c r="O34" s="624"/>
      <c r="P34" s="624"/>
      <c r="Q34" s="624"/>
      <c r="R34" s="624"/>
      <c r="S34" s="624"/>
      <c r="T34" s="624"/>
      <c r="U34" s="624"/>
      <c r="V34" s="624"/>
      <c r="W34" s="624"/>
      <c r="X34" s="624"/>
      <c r="Y34" s="624"/>
      <c r="Z34" s="624"/>
      <c r="AA34" s="63"/>
      <c r="AB34" s="63"/>
      <c r="AC34" s="63"/>
    </row>
    <row r="35" spans="1:68" ht="27" hidden="1" customHeight="1" x14ac:dyDescent="0.25">
      <c r="A35" s="60" t="s">
        <v>92</v>
      </c>
      <c r="B35" s="60" t="s">
        <v>93</v>
      </c>
      <c r="C35" s="34">
        <v>4301032013</v>
      </c>
      <c r="D35" s="626">
        <v>4607091388503</v>
      </c>
      <c r="E35" s="627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76</v>
      </c>
      <c r="L35" s="35"/>
      <c r="M35" s="36" t="s">
        <v>94</v>
      </c>
      <c r="N35" s="36"/>
      <c r="O35" s="35">
        <v>120</v>
      </c>
      <c r="P35" s="85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0"/>
      <c r="R35" s="620"/>
      <c r="S35" s="620"/>
      <c r="T35" s="621"/>
      <c r="U35" s="37"/>
      <c r="V35" s="37"/>
      <c r="W35" s="38" t="s">
        <v>66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/>
      <c r="AB35" s="66"/>
      <c r="AC35" s="95" t="s">
        <v>95</v>
      </c>
      <c r="AG35" s="75"/>
      <c r="AJ35" s="79"/>
      <c r="AK35" s="79">
        <v>0</v>
      </c>
      <c r="BB35" s="96" t="s">
        <v>96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23"/>
      <c r="B36" s="624"/>
      <c r="C36" s="624"/>
      <c r="D36" s="624"/>
      <c r="E36" s="624"/>
      <c r="F36" s="624"/>
      <c r="G36" s="624"/>
      <c r="H36" s="624"/>
      <c r="I36" s="624"/>
      <c r="J36" s="624"/>
      <c r="K36" s="624"/>
      <c r="L36" s="624"/>
      <c r="M36" s="624"/>
      <c r="N36" s="624"/>
      <c r="O36" s="625"/>
      <c r="P36" s="631" t="s">
        <v>71</v>
      </c>
      <c r="Q36" s="632"/>
      <c r="R36" s="632"/>
      <c r="S36" s="632"/>
      <c r="T36" s="632"/>
      <c r="U36" s="632"/>
      <c r="V36" s="633"/>
      <c r="W36" s="40" t="s">
        <v>72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24"/>
      <c r="B37" s="624"/>
      <c r="C37" s="624"/>
      <c r="D37" s="624"/>
      <c r="E37" s="624"/>
      <c r="F37" s="624"/>
      <c r="G37" s="624"/>
      <c r="H37" s="624"/>
      <c r="I37" s="624"/>
      <c r="J37" s="624"/>
      <c r="K37" s="624"/>
      <c r="L37" s="624"/>
      <c r="M37" s="624"/>
      <c r="N37" s="624"/>
      <c r="O37" s="625"/>
      <c r="P37" s="631" t="s">
        <v>71</v>
      </c>
      <c r="Q37" s="632"/>
      <c r="R37" s="632"/>
      <c r="S37" s="632"/>
      <c r="T37" s="632"/>
      <c r="U37" s="632"/>
      <c r="V37" s="633"/>
      <c r="W37" s="40" t="s">
        <v>66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775" t="s">
        <v>97</v>
      </c>
      <c r="B38" s="776"/>
      <c r="C38" s="776"/>
      <c r="D38" s="776"/>
      <c r="E38" s="776"/>
      <c r="F38" s="776"/>
      <c r="G38" s="776"/>
      <c r="H38" s="776"/>
      <c r="I38" s="776"/>
      <c r="J38" s="776"/>
      <c r="K38" s="776"/>
      <c r="L38" s="776"/>
      <c r="M38" s="776"/>
      <c r="N38" s="776"/>
      <c r="O38" s="776"/>
      <c r="P38" s="776"/>
      <c r="Q38" s="776"/>
      <c r="R38" s="776"/>
      <c r="S38" s="776"/>
      <c r="T38" s="776"/>
      <c r="U38" s="776"/>
      <c r="V38" s="776"/>
      <c r="W38" s="776"/>
      <c r="X38" s="776"/>
      <c r="Y38" s="776"/>
      <c r="Z38" s="776"/>
      <c r="AA38" s="52"/>
      <c r="AB38" s="52"/>
      <c r="AC38" s="52"/>
    </row>
    <row r="39" spans="1:68" ht="16.5" hidden="1" customHeight="1" x14ac:dyDescent="0.25">
      <c r="A39" s="639" t="s">
        <v>98</v>
      </c>
      <c r="B39" s="624"/>
      <c r="C39" s="624"/>
      <c r="D39" s="624"/>
      <c r="E39" s="624"/>
      <c r="F39" s="624"/>
      <c r="G39" s="624"/>
      <c r="H39" s="624"/>
      <c r="I39" s="624"/>
      <c r="J39" s="624"/>
      <c r="K39" s="624"/>
      <c r="L39" s="624"/>
      <c r="M39" s="624"/>
      <c r="N39" s="624"/>
      <c r="O39" s="624"/>
      <c r="P39" s="624"/>
      <c r="Q39" s="624"/>
      <c r="R39" s="624"/>
      <c r="S39" s="624"/>
      <c r="T39" s="624"/>
      <c r="U39" s="624"/>
      <c r="V39" s="624"/>
      <c r="W39" s="624"/>
      <c r="X39" s="624"/>
      <c r="Y39" s="624"/>
      <c r="Z39" s="624"/>
      <c r="AA39" s="62"/>
      <c r="AB39" s="62"/>
      <c r="AC39" s="62"/>
    </row>
    <row r="40" spans="1:68" ht="14.25" hidden="1" customHeight="1" x14ac:dyDescent="0.25">
      <c r="A40" s="628" t="s">
        <v>73</v>
      </c>
      <c r="B40" s="624"/>
      <c r="C40" s="624"/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624"/>
      <c r="T40" s="624"/>
      <c r="U40" s="624"/>
      <c r="V40" s="624"/>
      <c r="W40" s="624"/>
      <c r="X40" s="624"/>
      <c r="Y40" s="624"/>
      <c r="Z40" s="624"/>
      <c r="AA40" s="63"/>
      <c r="AB40" s="63"/>
      <c r="AC40" s="63"/>
    </row>
    <row r="41" spans="1:68" ht="27" hidden="1" customHeight="1" x14ac:dyDescent="0.25">
      <c r="A41" s="60" t="s">
        <v>99</v>
      </c>
      <c r="B41" s="60" t="s">
        <v>100</v>
      </c>
      <c r="C41" s="34">
        <v>4301052187</v>
      </c>
      <c r="D41" s="626">
        <v>4680115889354</v>
      </c>
      <c r="E41" s="627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76</v>
      </c>
      <c r="L41" s="35"/>
      <c r="M41" s="36" t="s">
        <v>83</v>
      </c>
      <c r="N41" s="36"/>
      <c r="O41" s="35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0"/>
      <c r="R41" s="620"/>
      <c r="S41" s="620"/>
      <c r="T41" s="621"/>
      <c r="U41" s="37"/>
      <c r="V41" s="37"/>
      <c r="W41" s="38" t="s">
        <v>66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/>
      <c r="AB41" s="66"/>
      <c r="AC41" s="97" t="s">
        <v>101</v>
      </c>
      <c r="AG41" s="75"/>
      <c r="AJ41" s="79"/>
      <c r="AK41" s="79">
        <v>0</v>
      </c>
      <c r="BB41" s="98" t="s">
        <v>1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102</v>
      </c>
      <c r="B42" s="60" t="s">
        <v>103</v>
      </c>
      <c r="C42" s="34">
        <v>4301052198</v>
      </c>
      <c r="D42" s="626">
        <v>4680115888463</v>
      </c>
      <c r="E42" s="627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76</v>
      </c>
      <c r="L42" s="35"/>
      <c r="M42" s="36" t="s">
        <v>77</v>
      </c>
      <c r="N42" s="36"/>
      <c r="O42" s="35">
        <v>40</v>
      </c>
      <c r="P42" s="69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0"/>
      <c r="R42" s="620"/>
      <c r="S42" s="620"/>
      <c r="T42" s="621"/>
      <c r="U42" s="37"/>
      <c r="V42" s="37"/>
      <c r="W42" s="38" t="s">
        <v>66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/>
      <c r="AB42" s="66"/>
      <c r="AC42" s="99" t="s">
        <v>104</v>
      </c>
      <c r="AG42" s="75"/>
      <c r="AJ42" s="79"/>
      <c r="AK42" s="79">
        <v>0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105</v>
      </c>
      <c r="B43" s="60" t="s">
        <v>106</v>
      </c>
      <c r="C43" s="34">
        <v>4301052202</v>
      </c>
      <c r="D43" s="626">
        <v>4680115888494</v>
      </c>
      <c r="E43" s="627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76</v>
      </c>
      <c r="L43" s="35"/>
      <c r="M43" s="36" t="s">
        <v>77</v>
      </c>
      <c r="N43" s="36"/>
      <c r="O43" s="35">
        <v>40</v>
      </c>
      <c r="P43" s="78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0"/>
      <c r="R43" s="620"/>
      <c r="S43" s="620"/>
      <c r="T43" s="621"/>
      <c r="U43" s="37"/>
      <c r="V43" s="37"/>
      <c r="W43" s="38" t="s">
        <v>66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/>
      <c r="AB43" s="66"/>
      <c r="AC43" s="101" t="s">
        <v>107</v>
      </c>
      <c r="AG43" s="75"/>
      <c r="AJ43" s="79"/>
      <c r="AK43" s="79">
        <v>0</v>
      </c>
      <c r="BB43" s="102" t="s">
        <v>1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108</v>
      </c>
      <c r="B44" s="60" t="s">
        <v>109</v>
      </c>
      <c r="C44" s="34">
        <v>4301052184</v>
      </c>
      <c r="D44" s="626">
        <v>4680115888272</v>
      </c>
      <c r="E44" s="627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76</v>
      </c>
      <c r="L44" s="35"/>
      <c r="M44" s="36" t="s">
        <v>77</v>
      </c>
      <c r="N44" s="36"/>
      <c r="O44" s="35">
        <v>40</v>
      </c>
      <c r="P44" s="68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0"/>
      <c r="R44" s="620"/>
      <c r="S44" s="620"/>
      <c r="T44" s="621"/>
      <c r="U44" s="37"/>
      <c r="V44" s="37"/>
      <c r="W44" s="38" t="s">
        <v>66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/>
      <c r="AB44" s="66"/>
      <c r="AC44" s="103" t="s">
        <v>110</v>
      </c>
      <c r="AG44" s="75"/>
      <c r="AJ44" s="79"/>
      <c r="AK44" s="79">
        <v>0</v>
      </c>
      <c r="BB44" s="104" t="s">
        <v>1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111</v>
      </c>
      <c r="B45" s="60" t="s">
        <v>112</v>
      </c>
      <c r="C45" s="34">
        <v>4301052188</v>
      </c>
      <c r="D45" s="626">
        <v>4680115888364</v>
      </c>
      <c r="E45" s="627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76</v>
      </c>
      <c r="L45" s="35"/>
      <c r="M45" s="36" t="s">
        <v>77</v>
      </c>
      <c r="N45" s="36"/>
      <c r="O45" s="35">
        <v>40</v>
      </c>
      <c r="P45" s="84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0"/>
      <c r="R45" s="620"/>
      <c r="S45" s="620"/>
      <c r="T45" s="621"/>
      <c r="U45" s="37"/>
      <c r="V45" s="37"/>
      <c r="W45" s="38" t="s">
        <v>66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/>
      <c r="AB45" s="66"/>
      <c r="AC45" s="105" t="s">
        <v>113</v>
      </c>
      <c r="AG45" s="75"/>
      <c r="AJ45" s="79"/>
      <c r="AK45" s="79">
        <v>0</v>
      </c>
      <c r="BB45" s="106" t="s">
        <v>1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23"/>
      <c r="B46" s="624"/>
      <c r="C46" s="624"/>
      <c r="D46" s="624"/>
      <c r="E46" s="624"/>
      <c r="F46" s="624"/>
      <c r="G46" s="624"/>
      <c r="H46" s="624"/>
      <c r="I46" s="624"/>
      <c r="J46" s="624"/>
      <c r="K46" s="624"/>
      <c r="L46" s="624"/>
      <c r="M46" s="624"/>
      <c r="N46" s="624"/>
      <c r="O46" s="625"/>
      <c r="P46" s="631" t="s">
        <v>71</v>
      </c>
      <c r="Q46" s="632"/>
      <c r="R46" s="632"/>
      <c r="S46" s="632"/>
      <c r="T46" s="632"/>
      <c r="U46" s="632"/>
      <c r="V46" s="633"/>
      <c r="W46" s="40" t="s">
        <v>72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24"/>
      <c r="B47" s="624"/>
      <c r="C47" s="624"/>
      <c r="D47" s="624"/>
      <c r="E47" s="624"/>
      <c r="F47" s="624"/>
      <c r="G47" s="624"/>
      <c r="H47" s="624"/>
      <c r="I47" s="624"/>
      <c r="J47" s="624"/>
      <c r="K47" s="624"/>
      <c r="L47" s="624"/>
      <c r="M47" s="624"/>
      <c r="N47" s="624"/>
      <c r="O47" s="625"/>
      <c r="P47" s="631" t="s">
        <v>71</v>
      </c>
      <c r="Q47" s="632"/>
      <c r="R47" s="632"/>
      <c r="S47" s="632"/>
      <c r="T47" s="632"/>
      <c r="U47" s="632"/>
      <c r="V47" s="633"/>
      <c r="W47" s="40" t="s">
        <v>66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775" t="s">
        <v>114</v>
      </c>
      <c r="B48" s="776"/>
      <c r="C48" s="776"/>
      <c r="D48" s="776"/>
      <c r="E48" s="776"/>
      <c r="F48" s="776"/>
      <c r="G48" s="776"/>
      <c r="H48" s="776"/>
      <c r="I48" s="776"/>
      <c r="J48" s="776"/>
      <c r="K48" s="776"/>
      <c r="L48" s="776"/>
      <c r="M48" s="776"/>
      <c r="N48" s="776"/>
      <c r="O48" s="776"/>
      <c r="P48" s="776"/>
      <c r="Q48" s="776"/>
      <c r="R48" s="776"/>
      <c r="S48" s="776"/>
      <c r="T48" s="776"/>
      <c r="U48" s="776"/>
      <c r="V48" s="776"/>
      <c r="W48" s="776"/>
      <c r="X48" s="776"/>
      <c r="Y48" s="776"/>
      <c r="Z48" s="776"/>
      <c r="AA48" s="52"/>
      <c r="AB48" s="52"/>
      <c r="AC48" s="52"/>
    </row>
    <row r="49" spans="1:68" ht="16.5" hidden="1" customHeight="1" x14ac:dyDescent="0.25">
      <c r="A49" s="639" t="s">
        <v>115</v>
      </c>
      <c r="B49" s="624"/>
      <c r="C49" s="624"/>
      <c r="D49" s="624"/>
      <c r="E49" s="624"/>
      <c r="F49" s="624"/>
      <c r="G49" s="624"/>
      <c r="H49" s="624"/>
      <c r="I49" s="624"/>
      <c r="J49" s="624"/>
      <c r="K49" s="624"/>
      <c r="L49" s="624"/>
      <c r="M49" s="624"/>
      <c r="N49" s="624"/>
      <c r="O49" s="624"/>
      <c r="P49" s="624"/>
      <c r="Q49" s="624"/>
      <c r="R49" s="624"/>
      <c r="S49" s="624"/>
      <c r="T49" s="624"/>
      <c r="U49" s="624"/>
      <c r="V49" s="624"/>
      <c r="W49" s="624"/>
      <c r="X49" s="624"/>
      <c r="Y49" s="624"/>
      <c r="Z49" s="624"/>
      <c r="AA49" s="62"/>
      <c r="AB49" s="62"/>
      <c r="AC49" s="62"/>
    </row>
    <row r="50" spans="1:68" ht="14.25" hidden="1" customHeight="1" x14ac:dyDescent="0.25">
      <c r="A50" s="628" t="s">
        <v>116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4"/>
      <c r="V50" s="624"/>
      <c r="W50" s="624"/>
      <c r="X50" s="624"/>
      <c r="Y50" s="624"/>
      <c r="Z50" s="624"/>
      <c r="AA50" s="63"/>
      <c r="AB50" s="63"/>
      <c r="AC50" s="63"/>
    </row>
    <row r="51" spans="1:68" ht="16.5" hidden="1" customHeight="1" x14ac:dyDescent="0.25">
      <c r="A51" s="60" t="s">
        <v>117</v>
      </c>
      <c r="B51" s="60" t="s">
        <v>118</v>
      </c>
      <c r="C51" s="34">
        <v>4301011380</v>
      </c>
      <c r="D51" s="626">
        <v>4607091385670</v>
      </c>
      <c r="E51" s="627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119</v>
      </c>
      <c r="L51" s="35"/>
      <c r="M51" s="36" t="s">
        <v>120</v>
      </c>
      <c r="N51" s="36"/>
      <c r="O51" s="35">
        <v>50</v>
      </c>
      <c r="P51" s="7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0"/>
      <c r="R51" s="620"/>
      <c r="S51" s="620"/>
      <c r="T51" s="621"/>
      <c r="U51" s="37"/>
      <c r="V51" s="37"/>
      <c r="W51" s="38" t="s">
        <v>66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/>
      <c r="AB51" s="66"/>
      <c r="AC51" s="107" t="s">
        <v>121</v>
      </c>
      <c r="AG51" s="75"/>
      <c r="AJ51" s="79"/>
      <c r="AK51" s="79">
        <v>0</v>
      </c>
      <c r="BB51" s="108" t="s">
        <v>1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122</v>
      </c>
      <c r="B52" s="60" t="s">
        <v>123</v>
      </c>
      <c r="C52" s="34">
        <v>4301012053</v>
      </c>
      <c r="D52" s="626">
        <v>4680115887725</v>
      </c>
      <c r="E52" s="627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124</v>
      </c>
      <c r="L52" s="35"/>
      <c r="M52" s="36" t="s">
        <v>65</v>
      </c>
      <c r="N52" s="36"/>
      <c r="O52" s="35">
        <v>30</v>
      </c>
      <c r="P52" s="71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0"/>
      <c r="R52" s="620"/>
      <c r="S52" s="620"/>
      <c r="T52" s="621"/>
      <c r="U52" s="37"/>
      <c r="V52" s="37"/>
      <c r="W52" s="38" t="s">
        <v>66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/>
      <c r="AB52" s="66"/>
      <c r="AC52" s="109" t="s">
        <v>125</v>
      </c>
      <c r="AG52" s="75"/>
      <c r="AJ52" s="79"/>
      <c r="AK52" s="79">
        <v>0</v>
      </c>
      <c r="BB52" s="110" t="s">
        <v>1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126</v>
      </c>
      <c r="B53" s="60" t="s">
        <v>127</v>
      </c>
      <c r="C53" s="34">
        <v>4301011382</v>
      </c>
      <c r="D53" s="626">
        <v>4607091385687</v>
      </c>
      <c r="E53" s="627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128</v>
      </c>
      <c r="L53" s="35"/>
      <c r="M53" s="36" t="s">
        <v>77</v>
      </c>
      <c r="N53" s="36"/>
      <c r="O53" s="35">
        <v>50</v>
      </c>
      <c r="P53" s="75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0"/>
      <c r="R53" s="620"/>
      <c r="S53" s="620"/>
      <c r="T53" s="621"/>
      <c r="U53" s="37"/>
      <c r="V53" s="37"/>
      <c r="W53" s="38" t="s">
        <v>66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/>
      <c r="AB53" s="66"/>
      <c r="AC53" s="111" t="s">
        <v>121</v>
      </c>
      <c r="AG53" s="75"/>
      <c r="AJ53" s="79"/>
      <c r="AK53" s="79">
        <v>0</v>
      </c>
      <c r="BB53" s="112" t="s">
        <v>1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129</v>
      </c>
      <c r="B54" s="60" t="s">
        <v>130</v>
      </c>
      <c r="C54" s="34">
        <v>4301011565</v>
      </c>
      <c r="D54" s="626">
        <v>4680115882539</v>
      </c>
      <c r="E54" s="627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128</v>
      </c>
      <c r="L54" s="35"/>
      <c r="M54" s="36" t="s">
        <v>77</v>
      </c>
      <c r="N54" s="36"/>
      <c r="O54" s="35">
        <v>50</v>
      </c>
      <c r="P54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0"/>
      <c r="R54" s="620"/>
      <c r="S54" s="620"/>
      <c r="T54" s="621"/>
      <c r="U54" s="37"/>
      <c r="V54" s="37"/>
      <c r="W54" s="38" t="s">
        <v>66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/>
      <c r="AB54" s="66"/>
      <c r="AC54" s="113" t="s">
        <v>121</v>
      </c>
      <c r="AG54" s="75"/>
      <c r="AJ54" s="79"/>
      <c r="AK54" s="79">
        <v>0</v>
      </c>
      <c r="BB54" s="114" t="s">
        <v>1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23"/>
      <c r="B55" s="624"/>
      <c r="C55" s="624"/>
      <c r="D55" s="624"/>
      <c r="E55" s="624"/>
      <c r="F55" s="624"/>
      <c r="G55" s="624"/>
      <c r="H55" s="624"/>
      <c r="I55" s="624"/>
      <c r="J55" s="624"/>
      <c r="K55" s="624"/>
      <c r="L55" s="624"/>
      <c r="M55" s="624"/>
      <c r="N55" s="624"/>
      <c r="O55" s="625"/>
      <c r="P55" s="631" t="s">
        <v>71</v>
      </c>
      <c r="Q55" s="632"/>
      <c r="R55" s="632"/>
      <c r="S55" s="632"/>
      <c r="T55" s="632"/>
      <c r="U55" s="632"/>
      <c r="V55" s="633"/>
      <c r="W55" s="40" t="s">
        <v>72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24"/>
      <c r="B56" s="624"/>
      <c r="C56" s="624"/>
      <c r="D56" s="624"/>
      <c r="E56" s="624"/>
      <c r="F56" s="624"/>
      <c r="G56" s="624"/>
      <c r="H56" s="624"/>
      <c r="I56" s="624"/>
      <c r="J56" s="624"/>
      <c r="K56" s="624"/>
      <c r="L56" s="624"/>
      <c r="M56" s="624"/>
      <c r="N56" s="624"/>
      <c r="O56" s="625"/>
      <c r="P56" s="631" t="s">
        <v>71</v>
      </c>
      <c r="Q56" s="632"/>
      <c r="R56" s="632"/>
      <c r="S56" s="632"/>
      <c r="T56" s="632"/>
      <c r="U56" s="632"/>
      <c r="V56" s="633"/>
      <c r="W56" s="40" t="s">
        <v>66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39" t="s">
        <v>131</v>
      </c>
      <c r="B57" s="624"/>
      <c r="C57" s="624"/>
      <c r="D57" s="624"/>
      <c r="E57" s="624"/>
      <c r="F57" s="624"/>
      <c r="G57" s="624"/>
      <c r="H57" s="624"/>
      <c r="I57" s="624"/>
      <c r="J57" s="624"/>
      <c r="K57" s="624"/>
      <c r="L57" s="624"/>
      <c r="M57" s="624"/>
      <c r="N57" s="624"/>
      <c r="O57" s="624"/>
      <c r="P57" s="624"/>
      <c r="Q57" s="624"/>
      <c r="R57" s="624"/>
      <c r="S57" s="624"/>
      <c r="T57" s="624"/>
      <c r="U57" s="624"/>
      <c r="V57" s="624"/>
      <c r="W57" s="624"/>
      <c r="X57" s="624"/>
      <c r="Y57" s="624"/>
      <c r="Z57" s="624"/>
      <c r="AA57" s="62"/>
      <c r="AB57" s="62"/>
      <c r="AC57" s="62"/>
    </row>
    <row r="58" spans="1:68" ht="14.25" hidden="1" customHeight="1" x14ac:dyDescent="0.25">
      <c r="A58" s="628" t="s">
        <v>116</v>
      </c>
      <c r="B58" s="624"/>
      <c r="C58" s="624"/>
      <c r="D58" s="624"/>
      <c r="E58" s="624"/>
      <c r="F58" s="624"/>
      <c r="G58" s="624"/>
      <c r="H58" s="624"/>
      <c r="I58" s="624"/>
      <c r="J58" s="624"/>
      <c r="K58" s="624"/>
      <c r="L58" s="624"/>
      <c r="M58" s="624"/>
      <c r="N58" s="624"/>
      <c r="O58" s="624"/>
      <c r="P58" s="624"/>
      <c r="Q58" s="624"/>
      <c r="R58" s="624"/>
      <c r="S58" s="624"/>
      <c r="T58" s="624"/>
      <c r="U58" s="624"/>
      <c r="V58" s="624"/>
      <c r="W58" s="624"/>
      <c r="X58" s="624"/>
      <c r="Y58" s="624"/>
      <c r="Z58" s="624"/>
      <c r="AA58" s="63"/>
      <c r="AB58" s="63"/>
      <c r="AC58" s="63"/>
    </row>
    <row r="59" spans="1:68" ht="27" hidden="1" customHeight="1" x14ac:dyDescent="0.25">
      <c r="A59" s="60" t="s">
        <v>132</v>
      </c>
      <c r="B59" s="60" t="s">
        <v>133</v>
      </c>
      <c r="C59" s="34">
        <v>4301012030</v>
      </c>
      <c r="D59" s="626">
        <v>4680115885882</v>
      </c>
      <c r="E59" s="627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119</v>
      </c>
      <c r="L59" s="35"/>
      <c r="M59" s="36" t="s">
        <v>77</v>
      </c>
      <c r="N59" s="36"/>
      <c r="O59" s="35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0"/>
      <c r="R59" s="620"/>
      <c r="S59" s="620"/>
      <c r="T59" s="621"/>
      <c r="U59" s="37"/>
      <c r="V59" s="37"/>
      <c r="W59" s="38" t="s">
        <v>66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/>
      <c r="AB59" s="66"/>
      <c r="AC59" s="115" t="s">
        <v>134</v>
      </c>
      <c r="AG59" s="75"/>
      <c r="AJ59" s="79"/>
      <c r="AK59" s="79">
        <v>0</v>
      </c>
      <c r="BB59" s="116" t="s">
        <v>1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132</v>
      </c>
      <c r="B60" s="60" t="s">
        <v>135</v>
      </c>
      <c r="C60" s="34">
        <v>4301012161</v>
      </c>
      <c r="D60" s="626">
        <v>4680115885882</v>
      </c>
      <c r="E60" s="627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119</v>
      </c>
      <c r="L60" s="35"/>
      <c r="M60" s="36" t="s">
        <v>120</v>
      </c>
      <c r="N60" s="36"/>
      <c r="O60" s="35">
        <v>50</v>
      </c>
      <c r="P60" s="9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0"/>
      <c r="R60" s="620"/>
      <c r="S60" s="620"/>
      <c r="T60" s="621"/>
      <c r="U60" s="37"/>
      <c r="V60" s="37"/>
      <c r="W60" s="38" t="s">
        <v>66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/>
      <c r="AB60" s="66"/>
      <c r="AC60" s="117" t="s">
        <v>136</v>
      </c>
      <c r="AG60" s="75"/>
      <c r="AJ60" s="79"/>
      <c r="AK60" s="79">
        <v>0</v>
      </c>
      <c r="BB60" s="118" t="s">
        <v>1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137</v>
      </c>
      <c r="B61" s="60" t="s">
        <v>138</v>
      </c>
      <c r="C61" s="34">
        <v>4301011816</v>
      </c>
      <c r="D61" s="626">
        <v>4680115881426</v>
      </c>
      <c r="E61" s="627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119</v>
      </c>
      <c r="L61" s="35"/>
      <c r="M61" s="36" t="s">
        <v>120</v>
      </c>
      <c r="N61" s="36"/>
      <c r="O61" s="35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0"/>
      <c r="R61" s="620"/>
      <c r="S61" s="620"/>
      <c r="T61" s="621"/>
      <c r="U61" s="37"/>
      <c r="V61" s="37"/>
      <c r="W61" s="38" t="s">
        <v>66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/>
      <c r="AB61" s="66"/>
      <c r="AC61" s="119" t="s">
        <v>139</v>
      </c>
      <c r="AG61" s="75"/>
      <c r="AJ61" s="79"/>
      <c r="AK61" s="79">
        <v>0</v>
      </c>
      <c r="BB61" s="120" t="s">
        <v>1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140</v>
      </c>
      <c r="B62" s="60" t="s">
        <v>141</v>
      </c>
      <c r="C62" s="34">
        <v>4301011386</v>
      </c>
      <c r="D62" s="626">
        <v>4680115880283</v>
      </c>
      <c r="E62" s="627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128</v>
      </c>
      <c r="L62" s="35"/>
      <c r="M62" s="36" t="s">
        <v>120</v>
      </c>
      <c r="N62" s="36"/>
      <c r="O62" s="35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0"/>
      <c r="R62" s="620"/>
      <c r="S62" s="620"/>
      <c r="T62" s="621"/>
      <c r="U62" s="37"/>
      <c r="V62" s="37"/>
      <c r="W62" s="38" t="s">
        <v>66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/>
      <c r="AB62" s="66"/>
      <c r="AC62" s="121" t="s">
        <v>142</v>
      </c>
      <c r="AG62" s="75"/>
      <c r="AJ62" s="79"/>
      <c r="AK62" s="79">
        <v>0</v>
      </c>
      <c r="BB62" s="122" t="s">
        <v>1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140</v>
      </c>
      <c r="B63" s="60" t="s">
        <v>143</v>
      </c>
      <c r="C63" s="34">
        <v>4301012259</v>
      </c>
      <c r="D63" s="626">
        <v>4680115880283</v>
      </c>
      <c r="E63" s="627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128</v>
      </c>
      <c r="L63" s="35"/>
      <c r="M63" s="36" t="s">
        <v>120</v>
      </c>
      <c r="N63" s="36"/>
      <c r="O63" s="35">
        <v>45</v>
      </c>
      <c r="P63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0"/>
      <c r="R63" s="620"/>
      <c r="S63" s="620"/>
      <c r="T63" s="621"/>
      <c r="U63" s="37"/>
      <c r="V63" s="37"/>
      <c r="W63" s="38" t="s">
        <v>66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/>
      <c r="AB63" s="66"/>
      <c r="AC63" s="123" t="s">
        <v>142</v>
      </c>
      <c r="AG63" s="75"/>
      <c r="AJ63" s="79"/>
      <c r="AK63" s="79">
        <v>0</v>
      </c>
      <c r="BB63" s="124" t="s">
        <v>1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144</v>
      </c>
      <c r="B64" s="60" t="s">
        <v>145</v>
      </c>
      <c r="C64" s="34">
        <v>4301011806</v>
      </c>
      <c r="D64" s="626">
        <v>4680115881525</v>
      </c>
      <c r="E64" s="627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128</v>
      </c>
      <c r="L64" s="35"/>
      <c r="M64" s="36" t="s">
        <v>120</v>
      </c>
      <c r="N64" s="36"/>
      <c r="O64" s="35">
        <v>50</v>
      </c>
      <c r="P64" s="9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0"/>
      <c r="R64" s="620"/>
      <c r="S64" s="620"/>
      <c r="T64" s="621"/>
      <c r="U64" s="37"/>
      <c r="V64" s="37"/>
      <c r="W64" s="38" t="s">
        <v>66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/>
      <c r="AB64" s="66"/>
      <c r="AC64" s="125" t="s">
        <v>146</v>
      </c>
      <c r="AG64" s="75"/>
      <c r="AJ64" s="79"/>
      <c r="AK64" s="79">
        <v>0</v>
      </c>
      <c r="BB64" s="126" t="s">
        <v>1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147</v>
      </c>
      <c r="B65" s="60" t="s">
        <v>148</v>
      </c>
      <c r="C65" s="34">
        <v>4301012165</v>
      </c>
      <c r="D65" s="626">
        <v>4680115885899</v>
      </c>
      <c r="E65" s="627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76</v>
      </c>
      <c r="L65" s="35"/>
      <c r="M65" s="36" t="s">
        <v>120</v>
      </c>
      <c r="N65" s="36"/>
      <c r="O65" s="35">
        <v>50</v>
      </c>
      <c r="P65" s="94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0"/>
      <c r="R65" s="620"/>
      <c r="S65" s="620"/>
      <c r="T65" s="621"/>
      <c r="U65" s="37"/>
      <c r="V65" s="37"/>
      <c r="W65" s="38" t="s">
        <v>66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/>
      <c r="AB65" s="66"/>
      <c r="AC65" s="127" t="s">
        <v>136</v>
      </c>
      <c r="AG65" s="75"/>
      <c r="AJ65" s="79"/>
      <c r="AK65" s="79">
        <v>0</v>
      </c>
      <c r="BB65" s="128" t="s">
        <v>1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149</v>
      </c>
      <c r="B66" s="60" t="s">
        <v>150</v>
      </c>
      <c r="C66" s="34">
        <v>4301011801</v>
      </c>
      <c r="D66" s="626">
        <v>4680115881419</v>
      </c>
      <c r="E66" s="627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128</v>
      </c>
      <c r="L66" s="35"/>
      <c r="M66" s="36" t="s">
        <v>120</v>
      </c>
      <c r="N66" s="36"/>
      <c r="O66" s="35">
        <v>50</v>
      </c>
      <c r="P66" s="76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0"/>
      <c r="R66" s="620"/>
      <c r="S66" s="620"/>
      <c r="T66" s="621"/>
      <c r="U66" s="37"/>
      <c r="V66" s="37"/>
      <c r="W66" s="38" t="s">
        <v>66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/>
      <c r="AB66" s="66"/>
      <c r="AC66" s="129" t="s">
        <v>151</v>
      </c>
      <c r="AG66" s="75"/>
      <c r="AJ66" s="79"/>
      <c r="AK66" s="79">
        <v>0</v>
      </c>
      <c r="BB66" s="130" t="s">
        <v>1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623"/>
      <c r="B67" s="624"/>
      <c r="C67" s="624"/>
      <c r="D67" s="624"/>
      <c r="E67" s="624"/>
      <c r="F67" s="624"/>
      <c r="G67" s="624"/>
      <c r="H67" s="624"/>
      <c r="I67" s="624"/>
      <c r="J67" s="624"/>
      <c r="K67" s="624"/>
      <c r="L67" s="624"/>
      <c r="M67" s="624"/>
      <c r="N67" s="624"/>
      <c r="O67" s="625"/>
      <c r="P67" s="631" t="s">
        <v>71</v>
      </c>
      <c r="Q67" s="632"/>
      <c r="R67" s="632"/>
      <c r="S67" s="632"/>
      <c r="T67" s="632"/>
      <c r="U67" s="632"/>
      <c r="V67" s="633"/>
      <c r="W67" s="40" t="s">
        <v>72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624"/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5"/>
      <c r="P68" s="631" t="s">
        <v>71</v>
      </c>
      <c r="Q68" s="632"/>
      <c r="R68" s="632"/>
      <c r="S68" s="632"/>
      <c r="T68" s="632"/>
      <c r="U68" s="632"/>
      <c r="V68" s="633"/>
      <c r="W68" s="40" t="s">
        <v>66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28" t="s">
        <v>152</v>
      </c>
      <c r="B69" s="624"/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  <c r="N69" s="624"/>
      <c r="O69" s="624"/>
      <c r="P69" s="624"/>
      <c r="Q69" s="624"/>
      <c r="R69" s="624"/>
      <c r="S69" s="624"/>
      <c r="T69" s="624"/>
      <c r="U69" s="624"/>
      <c r="V69" s="624"/>
      <c r="W69" s="624"/>
      <c r="X69" s="624"/>
      <c r="Y69" s="624"/>
      <c r="Z69" s="624"/>
      <c r="AA69" s="63"/>
      <c r="AB69" s="63"/>
      <c r="AC69" s="63"/>
    </row>
    <row r="70" spans="1:68" ht="16.5" hidden="1" customHeight="1" x14ac:dyDescent="0.25">
      <c r="A70" s="60" t="s">
        <v>153</v>
      </c>
      <c r="B70" s="60" t="s">
        <v>154</v>
      </c>
      <c r="C70" s="34">
        <v>4301020298</v>
      </c>
      <c r="D70" s="626">
        <v>4680115881440</v>
      </c>
      <c r="E70" s="627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119</v>
      </c>
      <c r="L70" s="35"/>
      <c r="M70" s="36" t="s">
        <v>120</v>
      </c>
      <c r="N70" s="36"/>
      <c r="O70" s="35">
        <v>50</v>
      </c>
      <c r="P70" s="9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0"/>
      <c r="R70" s="620"/>
      <c r="S70" s="620"/>
      <c r="T70" s="621"/>
      <c r="U70" s="37"/>
      <c r="V70" s="37"/>
      <c r="W70" s="38" t="s">
        <v>66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/>
      <c r="AB70" s="66"/>
      <c r="AC70" s="131" t="s">
        <v>155</v>
      </c>
      <c r="AG70" s="75"/>
      <c r="AJ70" s="79"/>
      <c r="AK70" s="79">
        <v>0</v>
      </c>
      <c r="BB70" s="132" t="s">
        <v>1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156</v>
      </c>
      <c r="B71" s="60" t="s">
        <v>157</v>
      </c>
      <c r="C71" s="34">
        <v>4301020358</v>
      </c>
      <c r="D71" s="626">
        <v>4680115885950</v>
      </c>
      <c r="E71" s="627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76</v>
      </c>
      <c r="L71" s="35"/>
      <c r="M71" s="36" t="s">
        <v>77</v>
      </c>
      <c r="N71" s="36"/>
      <c r="O71" s="35">
        <v>50</v>
      </c>
      <c r="P71" s="9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0"/>
      <c r="R71" s="620"/>
      <c r="S71" s="620"/>
      <c r="T71" s="621"/>
      <c r="U71" s="37"/>
      <c r="V71" s="37"/>
      <c r="W71" s="38" t="s">
        <v>66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/>
      <c r="AB71" s="66"/>
      <c r="AC71" s="133" t="s">
        <v>155</v>
      </c>
      <c r="AG71" s="75"/>
      <c r="AJ71" s="79"/>
      <c r="AK71" s="79">
        <v>0</v>
      </c>
      <c r="BB71" s="134" t="s">
        <v>1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158</v>
      </c>
      <c r="B72" s="60" t="s">
        <v>159</v>
      </c>
      <c r="C72" s="34">
        <v>4301020371</v>
      </c>
      <c r="D72" s="626">
        <v>4680115887688</v>
      </c>
      <c r="E72" s="627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124</v>
      </c>
      <c r="L72" s="35"/>
      <c r="M72" s="36" t="s">
        <v>65</v>
      </c>
      <c r="N72" s="36"/>
      <c r="O72" s="35">
        <v>30</v>
      </c>
      <c r="P72" s="9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0"/>
      <c r="R72" s="620"/>
      <c r="S72" s="620"/>
      <c r="T72" s="621"/>
      <c r="U72" s="37"/>
      <c r="V72" s="37"/>
      <c r="W72" s="38" t="s">
        <v>66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/>
      <c r="AB72" s="66"/>
      <c r="AC72" s="135" t="s">
        <v>160</v>
      </c>
      <c r="AG72" s="75"/>
      <c r="AJ72" s="79"/>
      <c r="AK72" s="79">
        <v>0</v>
      </c>
      <c r="BB72" s="136" t="s">
        <v>1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161</v>
      </c>
      <c r="B73" s="60" t="s">
        <v>162</v>
      </c>
      <c r="C73" s="34">
        <v>4301020296</v>
      </c>
      <c r="D73" s="626">
        <v>4680115881433</v>
      </c>
      <c r="E73" s="627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76</v>
      </c>
      <c r="L73" s="35"/>
      <c r="M73" s="36" t="s">
        <v>120</v>
      </c>
      <c r="N73" s="36"/>
      <c r="O73" s="35">
        <v>50</v>
      </c>
      <c r="P73" s="6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0"/>
      <c r="R73" s="620"/>
      <c r="S73" s="620"/>
      <c r="T73" s="621"/>
      <c r="U73" s="37"/>
      <c r="V73" s="37"/>
      <c r="W73" s="38" t="s">
        <v>66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/>
      <c r="AB73" s="66"/>
      <c r="AC73" s="137" t="s">
        <v>155</v>
      </c>
      <c r="AG73" s="75"/>
      <c r="AJ73" s="79"/>
      <c r="AK73" s="79">
        <v>0</v>
      </c>
      <c r="BB73" s="138" t="s">
        <v>1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23"/>
      <c r="B74" s="624"/>
      <c r="C74" s="624"/>
      <c r="D74" s="624"/>
      <c r="E74" s="624"/>
      <c r="F74" s="624"/>
      <c r="G74" s="624"/>
      <c r="H74" s="624"/>
      <c r="I74" s="624"/>
      <c r="J74" s="624"/>
      <c r="K74" s="624"/>
      <c r="L74" s="624"/>
      <c r="M74" s="624"/>
      <c r="N74" s="624"/>
      <c r="O74" s="625"/>
      <c r="P74" s="631" t="s">
        <v>71</v>
      </c>
      <c r="Q74" s="632"/>
      <c r="R74" s="632"/>
      <c r="S74" s="632"/>
      <c r="T74" s="632"/>
      <c r="U74" s="632"/>
      <c r="V74" s="633"/>
      <c r="W74" s="40" t="s">
        <v>72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24"/>
      <c r="B75" s="624"/>
      <c r="C75" s="624"/>
      <c r="D75" s="624"/>
      <c r="E75" s="624"/>
      <c r="F75" s="624"/>
      <c r="G75" s="624"/>
      <c r="H75" s="624"/>
      <c r="I75" s="624"/>
      <c r="J75" s="624"/>
      <c r="K75" s="624"/>
      <c r="L75" s="624"/>
      <c r="M75" s="624"/>
      <c r="N75" s="624"/>
      <c r="O75" s="625"/>
      <c r="P75" s="631" t="s">
        <v>71</v>
      </c>
      <c r="Q75" s="632"/>
      <c r="R75" s="632"/>
      <c r="S75" s="632"/>
      <c r="T75" s="632"/>
      <c r="U75" s="632"/>
      <c r="V75" s="633"/>
      <c r="W75" s="40" t="s">
        <v>66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28" t="s">
        <v>73</v>
      </c>
      <c r="B76" s="624"/>
      <c r="C76" s="624"/>
      <c r="D76" s="624"/>
      <c r="E76" s="624"/>
      <c r="F76" s="624"/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  <c r="R76" s="624"/>
      <c r="S76" s="624"/>
      <c r="T76" s="624"/>
      <c r="U76" s="624"/>
      <c r="V76" s="624"/>
      <c r="W76" s="624"/>
      <c r="X76" s="624"/>
      <c r="Y76" s="624"/>
      <c r="Z76" s="624"/>
      <c r="AA76" s="63"/>
      <c r="AB76" s="63"/>
      <c r="AC76" s="63"/>
    </row>
    <row r="77" spans="1:68" ht="16.5" hidden="1" customHeight="1" x14ac:dyDescent="0.25">
      <c r="A77" s="60" t="s">
        <v>163</v>
      </c>
      <c r="B77" s="60" t="s">
        <v>164</v>
      </c>
      <c r="C77" s="34">
        <v>4301051837</v>
      </c>
      <c r="D77" s="626">
        <v>4680115884311</v>
      </c>
      <c r="E77" s="627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76</v>
      </c>
      <c r="L77" s="35"/>
      <c r="M77" s="36" t="s">
        <v>77</v>
      </c>
      <c r="N77" s="36"/>
      <c r="O77" s="35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0"/>
      <c r="R77" s="620"/>
      <c r="S77" s="620"/>
      <c r="T77" s="621"/>
      <c r="U77" s="37"/>
      <c r="V77" s="37"/>
      <c r="W77" s="38" t="s">
        <v>66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/>
      <c r="AB77" s="66"/>
      <c r="AC77" s="139" t="s">
        <v>165</v>
      </c>
      <c r="AG77" s="75"/>
      <c r="AJ77" s="79"/>
      <c r="AK77" s="79">
        <v>0</v>
      </c>
      <c r="BB77" s="140" t="s">
        <v>1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166</v>
      </c>
      <c r="B78" s="60" t="s">
        <v>167</v>
      </c>
      <c r="C78" s="34">
        <v>4301051929</v>
      </c>
      <c r="D78" s="626">
        <v>4680115884403</v>
      </c>
      <c r="E78" s="627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76</v>
      </c>
      <c r="L78" s="35"/>
      <c r="M78" s="36" t="s">
        <v>77</v>
      </c>
      <c r="N78" s="36"/>
      <c r="O78" s="35">
        <v>40</v>
      </c>
      <c r="P78" s="74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0"/>
      <c r="R78" s="620"/>
      <c r="S78" s="620"/>
      <c r="T78" s="621"/>
      <c r="U78" s="37"/>
      <c r="V78" s="37"/>
      <c r="W78" s="38" t="s">
        <v>66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/>
      <c r="AB78" s="66"/>
      <c r="AC78" s="141" t="s">
        <v>168</v>
      </c>
      <c r="AG78" s="75"/>
      <c r="AJ78" s="79"/>
      <c r="AK78" s="79">
        <v>0</v>
      </c>
      <c r="BB78" s="142" t="s">
        <v>1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23"/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5"/>
      <c r="P79" s="631" t="s">
        <v>71</v>
      </c>
      <c r="Q79" s="632"/>
      <c r="R79" s="632"/>
      <c r="S79" s="632"/>
      <c r="T79" s="632"/>
      <c r="U79" s="632"/>
      <c r="V79" s="633"/>
      <c r="W79" s="40" t="s">
        <v>72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24"/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5"/>
      <c r="P80" s="631" t="s">
        <v>71</v>
      </c>
      <c r="Q80" s="632"/>
      <c r="R80" s="632"/>
      <c r="S80" s="632"/>
      <c r="T80" s="632"/>
      <c r="U80" s="632"/>
      <c r="V80" s="633"/>
      <c r="W80" s="40" t="s">
        <v>66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28" t="s">
        <v>169</v>
      </c>
      <c r="B81" s="624"/>
      <c r="C81" s="624"/>
      <c r="D81" s="624"/>
      <c r="E81" s="624"/>
      <c r="F81" s="624"/>
      <c r="G81" s="624"/>
      <c r="H81" s="624"/>
      <c r="I81" s="624"/>
      <c r="J81" s="624"/>
      <c r="K81" s="624"/>
      <c r="L81" s="624"/>
      <c r="M81" s="624"/>
      <c r="N81" s="624"/>
      <c r="O81" s="624"/>
      <c r="P81" s="624"/>
      <c r="Q81" s="624"/>
      <c r="R81" s="624"/>
      <c r="S81" s="624"/>
      <c r="T81" s="624"/>
      <c r="U81" s="624"/>
      <c r="V81" s="624"/>
      <c r="W81" s="624"/>
      <c r="X81" s="624"/>
      <c r="Y81" s="624"/>
      <c r="Z81" s="624"/>
      <c r="AA81" s="63"/>
      <c r="AB81" s="63"/>
      <c r="AC81" s="63"/>
    </row>
    <row r="82" spans="1:68" ht="27" hidden="1" customHeight="1" x14ac:dyDescent="0.25">
      <c r="A82" s="60" t="s">
        <v>170</v>
      </c>
      <c r="B82" s="60" t="s">
        <v>171</v>
      </c>
      <c r="C82" s="34">
        <v>4301060455</v>
      </c>
      <c r="D82" s="626">
        <v>4680115881532</v>
      </c>
      <c r="E82" s="627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119</v>
      </c>
      <c r="L82" s="35"/>
      <c r="M82" s="36" t="s">
        <v>83</v>
      </c>
      <c r="N82" s="36"/>
      <c r="O82" s="35">
        <v>30</v>
      </c>
      <c r="P82" s="9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0"/>
      <c r="R82" s="620"/>
      <c r="S82" s="620"/>
      <c r="T82" s="621"/>
      <c r="U82" s="37"/>
      <c r="V82" s="37"/>
      <c r="W82" s="38" t="s">
        <v>66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/>
      <c r="AB82" s="66"/>
      <c r="AC82" s="143" t="s">
        <v>172</v>
      </c>
      <c r="AG82" s="75"/>
      <c r="AJ82" s="79"/>
      <c r="AK82" s="79">
        <v>0</v>
      </c>
      <c r="BB82" s="144" t="s">
        <v>1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173</v>
      </c>
      <c r="B83" s="60" t="s">
        <v>174</v>
      </c>
      <c r="C83" s="34">
        <v>4301060351</v>
      </c>
      <c r="D83" s="626">
        <v>4680115881464</v>
      </c>
      <c r="E83" s="627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128</v>
      </c>
      <c r="L83" s="35"/>
      <c r="M83" s="36" t="s">
        <v>77</v>
      </c>
      <c r="N83" s="36"/>
      <c r="O83" s="35">
        <v>30</v>
      </c>
      <c r="P83" s="9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0"/>
      <c r="R83" s="620"/>
      <c r="S83" s="620"/>
      <c r="T83" s="621"/>
      <c r="U83" s="37"/>
      <c r="V83" s="37"/>
      <c r="W83" s="38" t="s">
        <v>66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/>
      <c r="AB83" s="66"/>
      <c r="AC83" s="145" t="s">
        <v>175</v>
      </c>
      <c r="AG83" s="75"/>
      <c r="AJ83" s="79"/>
      <c r="AK83" s="79">
        <v>0</v>
      </c>
      <c r="BB83" s="146" t="s">
        <v>1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23"/>
      <c r="B84" s="624"/>
      <c r="C84" s="624"/>
      <c r="D84" s="624"/>
      <c r="E84" s="624"/>
      <c r="F84" s="624"/>
      <c r="G84" s="624"/>
      <c r="H84" s="624"/>
      <c r="I84" s="624"/>
      <c r="J84" s="624"/>
      <c r="K84" s="624"/>
      <c r="L84" s="624"/>
      <c r="M84" s="624"/>
      <c r="N84" s="624"/>
      <c r="O84" s="625"/>
      <c r="P84" s="631" t="s">
        <v>71</v>
      </c>
      <c r="Q84" s="632"/>
      <c r="R84" s="632"/>
      <c r="S84" s="632"/>
      <c r="T84" s="632"/>
      <c r="U84" s="632"/>
      <c r="V84" s="633"/>
      <c r="W84" s="40" t="s">
        <v>72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24"/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5"/>
      <c r="P85" s="631" t="s">
        <v>71</v>
      </c>
      <c r="Q85" s="632"/>
      <c r="R85" s="632"/>
      <c r="S85" s="632"/>
      <c r="T85" s="632"/>
      <c r="U85" s="632"/>
      <c r="V85" s="633"/>
      <c r="W85" s="40" t="s">
        <v>66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39" t="s">
        <v>176</v>
      </c>
      <c r="B86" s="624"/>
      <c r="C86" s="624"/>
      <c r="D86" s="624"/>
      <c r="E86" s="624"/>
      <c r="F86" s="624"/>
      <c r="G86" s="624"/>
      <c r="H86" s="624"/>
      <c r="I86" s="624"/>
      <c r="J86" s="624"/>
      <c r="K86" s="624"/>
      <c r="L86" s="624"/>
      <c r="M86" s="624"/>
      <c r="N86" s="624"/>
      <c r="O86" s="624"/>
      <c r="P86" s="624"/>
      <c r="Q86" s="624"/>
      <c r="R86" s="624"/>
      <c r="S86" s="624"/>
      <c r="T86" s="624"/>
      <c r="U86" s="624"/>
      <c r="V86" s="624"/>
      <c r="W86" s="624"/>
      <c r="X86" s="624"/>
      <c r="Y86" s="624"/>
      <c r="Z86" s="624"/>
      <c r="AA86" s="62"/>
      <c r="AB86" s="62"/>
      <c r="AC86" s="62"/>
    </row>
    <row r="87" spans="1:68" ht="14.25" hidden="1" customHeight="1" x14ac:dyDescent="0.25">
      <c r="A87" s="628" t="s">
        <v>116</v>
      </c>
      <c r="B87" s="624"/>
      <c r="C87" s="624"/>
      <c r="D87" s="624"/>
      <c r="E87" s="624"/>
      <c r="F87" s="624"/>
      <c r="G87" s="624"/>
      <c r="H87" s="624"/>
      <c r="I87" s="624"/>
      <c r="J87" s="624"/>
      <c r="K87" s="624"/>
      <c r="L87" s="624"/>
      <c r="M87" s="624"/>
      <c r="N87" s="624"/>
      <c r="O87" s="624"/>
      <c r="P87" s="624"/>
      <c r="Q87" s="624"/>
      <c r="R87" s="624"/>
      <c r="S87" s="624"/>
      <c r="T87" s="624"/>
      <c r="U87" s="624"/>
      <c r="V87" s="624"/>
      <c r="W87" s="624"/>
      <c r="X87" s="624"/>
      <c r="Y87" s="624"/>
      <c r="Z87" s="624"/>
      <c r="AA87" s="63"/>
      <c r="AB87" s="63"/>
      <c r="AC87" s="63"/>
    </row>
    <row r="88" spans="1:68" ht="27" hidden="1" customHeight="1" x14ac:dyDescent="0.25">
      <c r="A88" s="60" t="s">
        <v>177</v>
      </c>
      <c r="B88" s="60" t="s">
        <v>178</v>
      </c>
      <c r="C88" s="34">
        <v>4301011468</v>
      </c>
      <c r="D88" s="626">
        <v>4680115881327</v>
      </c>
      <c r="E88" s="627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119</v>
      </c>
      <c r="L88" s="35"/>
      <c r="M88" s="36" t="s">
        <v>83</v>
      </c>
      <c r="N88" s="36"/>
      <c r="O88" s="35">
        <v>50</v>
      </c>
      <c r="P88" s="81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0"/>
      <c r="R88" s="620"/>
      <c r="S88" s="620"/>
      <c r="T88" s="621"/>
      <c r="U88" s="37"/>
      <c r="V88" s="37"/>
      <c r="W88" s="38" t="s">
        <v>66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/>
      <c r="AB88" s="66"/>
      <c r="AC88" s="147" t="s">
        <v>179</v>
      </c>
      <c r="AG88" s="75"/>
      <c r="AJ88" s="79"/>
      <c r="AK88" s="79">
        <v>0</v>
      </c>
      <c r="BB88" s="148" t="s">
        <v>1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180</v>
      </c>
      <c r="B89" s="60" t="s">
        <v>181</v>
      </c>
      <c r="C89" s="34">
        <v>4301011261</v>
      </c>
      <c r="D89" s="626">
        <v>4680115887732</v>
      </c>
      <c r="E89" s="627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124</v>
      </c>
      <c r="L89" s="35"/>
      <c r="M89" s="36" t="s">
        <v>65</v>
      </c>
      <c r="N89" s="36"/>
      <c r="O89" s="35">
        <v>30</v>
      </c>
      <c r="P89" s="8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0"/>
      <c r="R89" s="620"/>
      <c r="S89" s="620"/>
      <c r="T89" s="621"/>
      <c r="U89" s="37"/>
      <c r="V89" s="37"/>
      <c r="W89" s="38" t="s">
        <v>66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/>
      <c r="AB89" s="66"/>
      <c r="AC89" s="149" t="s">
        <v>182</v>
      </c>
      <c r="AG89" s="75"/>
      <c r="AJ89" s="79"/>
      <c r="AK89" s="79">
        <v>0</v>
      </c>
      <c r="BB89" s="150" t="s">
        <v>1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183</v>
      </c>
      <c r="B90" s="60" t="s">
        <v>184</v>
      </c>
      <c r="C90" s="34">
        <v>4301011476</v>
      </c>
      <c r="D90" s="626">
        <v>4680115881518</v>
      </c>
      <c r="E90" s="627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128</v>
      </c>
      <c r="L90" s="35"/>
      <c r="M90" s="36" t="s">
        <v>77</v>
      </c>
      <c r="N90" s="36"/>
      <c r="O90" s="35">
        <v>50</v>
      </c>
      <c r="P90" s="9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0"/>
      <c r="R90" s="620"/>
      <c r="S90" s="620"/>
      <c r="T90" s="621"/>
      <c r="U90" s="37"/>
      <c r="V90" s="37"/>
      <c r="W90" s="38" t="s">
        <v>66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/>
      <c r="AB90" s="66"/>
      <c r="AC90" s="151" t="s">
        <v>179</v>
      </c>
      <c r="AG90" s="75"/>
      <c r="AJ90" s="79"/>
      <c r="AK90" s="79">
        <v>0</v>
      </c>
      <c r="BB90" s="152" t="s">
        <v>1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185</v>
      </c>
      <c r="B91" s="60" t="s">
        <v>186</v>
      </c>
      <c r="C91" s="34">
        <v>4301011443</v>
      </c>
      <c r="D91" s="626">
        <v>4680115881303</v>
      </c>
      <c r="E91" s="627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128</v>
      </c>
      <c r="L91" s="35"/>
      <c r="M91" s="36" t="s">
        <v>83</v>
      </c>
      <c r="N91" s="36"/>
      <c r="O91" s="35">
        <v>50</v>
      </c>
      <c r="P91" s="8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0"/>
      <c r="R91" s="620"/>
      <c r="S91" s="620"/>
      <c r="T91" s="621"/>
      <c r="U91" s="37"/>
      <c r="V91" s="37"/>
      <c r="W91" s="38" t="s">
        <v>66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/>
      <c r="AB91" s="66"/>
      <c r="AC91" s="153" t="s">
        <v>179</v>
      </c>
      <c r="AG91" s="75"/>
      <c r="AJ91" s="79"/>
      <c r="AK91" s="79">
        <v>0</v>
      </c>
      <c r="BB91" s="154" t="s">
        <v>1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23"/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5"/>
      <c r="P92" s="631" t="s">
        <v>71</v>
      </c>
      <c r="Q92" s="632"/>
      <c r="R92" s="632"/>
      <c r="S92" s="632"/>
      <c r="T92" s="632"/>
      <c r="U92" s="632"/>
      <c r="V92" s="633"/>
      <c r="W92" s="40" t="s">
        <v>72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24"/>
      <c r="B93" s="624"/>
      <c r="C93" s="624"/>
      <c r="D93" s="624"/>
      <c r="E93" s="624"/>
      <c r="F93" s="624"/>
      <c r="G93" s="624"/>
      <c r="H93" s="624"/>
      <c r="I93" s="624"/>
      <c r="J93" s="624"/>
      <c r="K93" s="624"/>
      <c r="L93" s="624"/>
      <c r="M93" s="624"/>
      <c r="N93" s="624"/>
      <c r="O93" s="625"/>
      <c r="P93" s="631" t="s">
        <v>71</v>
      </c>
      <c r="Q93" s="632"/>
      <c r="R93" s="632"/>
      <c r="S93" s="632"/>
      <c r="T93" s="632"/>
      <c r="U93" s="632"/>
      <c r="V93" s="633"/>
      <c r="W93" s="40" t="s">
        <v>66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28" t="s">
        <v>73</v>
      </c>
      <c r="B94" s="624"/>
      <c r="C94" s="624"/>
      <c r="D94" s="624"/>
      <c r="E94" s="624"/>
      <c r="F94" s="624"/>
      <c r="G94" s="624"/>
      <c r="H94" s="624"/>
      <c r="I94" s="624"/>
      <c r="J94" s="624"/>
      <c r="K94" s="624"/>
      <c r="L94" s="624"/>
      <c r="M94" s="624"/>
      <c r="N94" s="624"/>
      <c r="O94" s="624"/>
      <c r="P94" s="624"/>
      <c r="Q94" s="624"/>
      <c r="R94" s="624"/>
      <c r="S94" s="624"/>
      <c r="T94" s="624"/>
      <c r="U94" s="624"/>
      <c r="V94" s="624"/>
      <c r="W94" s="624"/>
      <c r="X94" s="624"/>
      <c r="Y94" s="624"/>
      <c r="Z94" s="624"/>
      <c r="AA94" s="63"/>
      <c r="AB94" s="63"/>
      <c r="AC94" s="63"/>
    </row>
    <row r="95" spans="1:68" ht="27" hidden="1" customHeight="1" x14ac:dyDescent="0.25">
      <c r="A95" s="60" t="s">
        <v>187</v>
      </c>
      <c r="B95" s="60" t="s">
        <v>188</v>
      </c>
      <c r="C95" s="34">
        <v>4301051712</v>
      </c>
      <c r="D95" s="626">
        <v>4607091386967</v>
      </c>
      <c r="E95" s="627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119</v>
      </c>
      <c r="L95" s="35"/>
      <c r="M95" s="36" t="s">
        <v>83</v>
      </c>
      <c r="N95" s="36"/>
      <c r="O95" s="35">
        <v>45</v>
      </c>
      <c r="P95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0"/>
      <c r="R95" s="620"/>
      <c r="S95" s="620"/>
      <c r="T95" s="621"/>
      <c r="U95" s="37"/>
      <c r="V95" s="37"/>
      <c r="W95" s="38" t="s">
        <v>66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/>
      <c r="AB95" s="66"/>
      <c r="AC95" s="155" t="s">
        <v>189</v>
      </c>
      <c r="AG95" s="75"/>
      <c r="AJ95" s="79"/>
      <c r="AK95" s="79">
        <v>0</v>
      </c>
      <c r="BB95" s="156" t="s">
        <v>1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190</v>
      </c>
      <c r="B96" s="60" t="s">
        <v>191</v>
      </c>
      <c r="C96" s="34">
        <v>4301051788</v>
      </c>
      <c r="D96" s="626">
        <v>4680115884953</v>
      </c>
      <c r="E96" s="627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76</v>
      </c>
      <c r="L96" s="35"/>
      <c r="M96" s="36" t="s">
        <v>77</v>
      </c>
      <c r="N96" s="36"/>
      <c r="O96" s="35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0"/>
      <c r="R96" s="620"/>
      <c r="S96" s="620"/>
      <c r="T96" s="621"/>
      <c r="U96" s="37"/>
      <c r="V96" s="37"/>
      <c r="W96" s="38" t="s">
        <v>66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/>
      <c r="AB96" s="66"/>
      <c r="AC96" s="157" t="s">
        <v>189</v>
      </c>
      <c r="AG96" s="75"/>
      <c r="AJ96" s="79"/>
      <c r="AK96" s="79">
        <v>0</v>
      </c>
      <c r="BB96" s="158" t="s">
        <v>1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192</v>
      </c>
      <c r="B97" s="60" t="s">
        <v>193</v>
      </c>
      <c r="C97" s="34">
        <v>4301051718</v>
      </c>
      <c r="D97" s="626">
        <v>4607091385731</v>
      </c>
      <c r="E97" s="627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76</v>
      </c>
      <c r="L97" s="35"/>
      <c r="M97" s="36" t="s">
        <v>83</v>
      </c>
      <c r="N97" s="36"/>
      <c r="O97" s="35">
        <v>45</v>
      </c>
      <c r="P97" s="70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0"/>
      <c r="R97" s="620"/>
      <c r="S97" s="620"/>
      <c r="T97" s="621"/>
      <c r="U97" s="37"/>
      <c r="V97" s="37"/>
      <c r="W97" s="38" t="s">
        <v>66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/>
      <c r="AB97" s="66"/>
      <c r="AC97" s="159" t="s">
        <v>189</v>
      </c>
      <c r="AG97" s="75"/>
      <c r="AJ97" s="79"/>
      <c r="AK97" s="79">
        <v>0</v>
      </c>
      <c r="BB97" s="160" t="s">
        <v>1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194</v>
      </c>
      <c r="B98" s="60" t="s">
        <v>195</v>
      </c>
      <c r="C98" s="34">
        <v>4301052092</v>
      </c>
      <c r="D98" s="626">
        <v>4680115880894</v>
      </c>
      <c r="E98" s="627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76</v>
      </c>
      <c r="L98" s="35"/>
      <c r="M98" s="36" t="s">
        <v>77</v>
      </c>
      <c r="N98" s="36"/>
      <c r="O98" s="35">
        <v>45</v>
      </c>
      <c r="P98" s="8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0"/>
      <c r="R98" s="620"/>
      <c r="S98" s="620"/>
      <c r="T98" s="621"/>
      <c r="U98" s="37"/>
      <c r="V98" s="37"/>
      <c r="W98" s="38" t="s">
        <v>66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/>
      <c r="AB98" s="66"/>
      <c r="AC98" s="161" t="s">
        <v>196</v>
      </c>
      <c r="AG98" s="75"/>
      <c r="AJ98" s="79"/>
      <c r="AK98" s="79">
        <v>0</v>
      </c>
      <c r="BB98" s="162" t="s">
        <v>1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23"/>
      <c r="B99" s="624"/>
      <c r="C99" s="624"/>
      <c r="D99" s="624"/>
      <c r="E99" s="624"/>
      <c r="F99" s="624"/>
      <c r="G99" s="624"/>
      <c r="H99" s="624"/>
      <c r="I99" s="624"/>
      <c r="J99" s="624"/>
      <c r="K99" s="624"/>
      <c r="L99" s="624"/>
      <c r="M99" s="624"/>
      <c r="N99" s="624"/>
      <c r="O99" s="625"/>
      <c r="P99" s="631" t="s">
        <v>71</v>
      </c>
      <c r="Q99" s="632"/>
      <c r="R99" s="632"/>
      <c r="S99" s="632"/>
      <c r="T99" s="632"/>
      <c r="U99" s="632"/>
      <c r="V99" s="633"/>
      <c r="W99" s="40" t="s">
        <v>72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24"/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5"/>
      <c r="P100" s="631" t="s">
        <v>71</v>
      </c>
      <c r="Q100" s="632"/>
      <c r="R100" s="632"/>
      <c r="S100" s="632"/>
      <c r="T100" s="632"/>
      <c r="U100" s="632"/>
      <c r="V100" s="633"/>
      <c r="W100" s="40" t="s">
        <v>66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39" t="s">
        <v>197</v>
      </c>
      <c r="B101" s="624"/>
      <c r="C101" s="624"/>
      <c r="D101" s="624"/>
      <c r="E101" s="624"/>
      <c r="F101" s="624"/>
      <c r="G101" s="624"/>
      <c r="H101" s="624"/>
      <c r="I101" s="624"/>
      <c r="J101" s="624"/>
      <c r="K101" s="624"/>
      <c r="L101" s="624"/>
      <c r="M101" s="624"/>
      <c r="N101" s="624"/>
      <c r="O101" s="624"/>
      <c r="P101" s="624"/>
      <c r="Q101" s="624"/>
      <c r="R101" s="624"/>
      <c r="S101" s="624"/>
      <c r="T101" s="624"/>
      <c r="U101" s="624"/>
      <c r="V101" s="624"/>
      <c r="W101" s="624"/>
      <c r="X101" s="624"/>
      <c r="Y101" s="624"/>
      <c r="Z101" s="624"/>
      <c r="AA101" s="62"/>
      <c r="AB101" s="62"/>
      <c r="AC101" s="62"/>
    </row>
    <row r="102" spans="1:68" ht="14.25" hidden="1" customHeight="1" x14ac:dyDescent="0.25">
      <c r="A102" s="628" t="s">
        <v>116</v>
      </c>
      <c r="B102" s="624"/>
      <c r="C102" s="624"/>
      <c r="D102" s="624"/>
      <c r="E102" s="624"/>
      <c r="F102" s="624"/>
      <c r="G102" s="624"/>
      <c r="H102" s="624"/>
      <c r="I102" s="624"/>
      <c r="J102" s="624"/>
      <c r="K102" s="624"/>
      <c r="L102" s="624"/>
      <c r="M102" s="624"/>
      <c r="N102" s="624"/>
      <c r="O102" s="624"/>
      <c r="P102" s="624"/>
      <c r="Q102" s="624"/>
      <c r="R102" s="624"/>
      <c r="S102" s="624"/>
      <c r="T102" s="624"/>
      <c r="U102" s="624"/>
      <c r="V102" s="624"/>
      <c r="W102" s="624"/>
      <c r="X102" s="624"/>
      <c r="Y102" s="624"/>
      <c r="Z102" s="624"/>
      <c r="AA102" s="63"/>
      <c r="AB102" s="63"/>
      <c r="AC102" s="63"/>
    </row>
    <row r="103" spans="1:68" ht="37.5" hidden="1" customHeight="1" x14ac:dyDescent="0.25">
      <c r="A103" s="60" t="s">
        <v>198</v>
      </c>
      <c r="B103" s="60" t="s">
        <v>199</v>
      </c>
      <c r="C103" s="34">
        <v>4301011514</v>
      </c>
      <c r="D103" s="626">
        <v>4680115882133</v>
      </c>
      <c r="E103" s="627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119</v>
      </c>
      <c r="L103" s="35"/>
      <c r="M103" s="36" t="s">
        <v>120</v>
      </c>
      <c r="N103" s="36"/>
      <c r="O103" s="35">
        <v>50</v>
      </c>
      <c r="P103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0"/>
      <c r="R103" s="620"/>
      <c r="S103" s="620"/>
      <c r="T103" s="621"/>
      <c r="U103" s="37"/>
      <c r="V103" s="37"/>
      <c r="W103" s="38" t="s">
        <v>66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/>
      <c r="AB103" s="66"/>
      <c r="AC103" s="163" t="s">
        <v>200</v>
      </c>
      <c r="AG103" s="75"/>
      <c r="AJ103" s="79"/>
      <c r="AK103" s="79">
        <v>0</v>
      </c>
      <c r="BB103" s="164" t="s">
        <v>1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201</v>
      </c>
      <c r="B104" s="60" t="s">
        <v>202</v>
      </c>
      <c r="C104" s="34">
        <v>4301012051</v>
      </c>
      <c r="D104" s="626">
        <v>4680115887718</v>
      </c>
      <c r="E104" s="627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124</v>
      </c>
      <c r="L104" s="35"/>
      <c r="M104" s="36" t="s">
        <v>65</v>
      </c>
      <c r="N104" s="36"/>
      <c r="O104" s="35">
        <v>30</v>
      </c>
      <c r="P104" s="64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0"/>
      <c r="R104" s="620"/>
      <c r="S104" s="620"/>
      <c r="T104" s="621"/>
      <c r="U104" s="37"/>
      <c r="V104" s="37"/>
      <c r="W104" s="38" t="s">
        <v>66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/>
      <c r="AB104" s="66"/>
      <c r="AC104" s="165" t="s">
        <v>203</v>
      </c>
      <c r="AG104" s="75"/>
      <c r="AJ104" s="79"/>
      <c r="AK104" s="79">
        <v>0</v>
      </c>
      <c r="BB104" s="166" t="s">
        <v>1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201</v>
      </c>
      <c r="B105" s="60" t="s">
        <v>204</v>
      </c>
      <c r="C105" s="34">
        <v>4301012334</v>
      </c>
      <c r="D105" s="626">
        <v>4680115887718</v>
      </c>
      <c r="E105" s="627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124</v>
      </c>
      <c r="L105" s="35"/>
      <c r="M105" s="36" t="s">
        <v>65</v>
      </c>
      <c r="N105" s="36"/>
      <c r="O105" s="35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0"/>
      <c r="R105" s="620"/>
      <c r="S105" s="620"/>
      <c r="T105" s="621"/>
      <c r="U105" s="37"/>
      <c r="V105" s="37"/>
      <c r="W105" s="38" t="s">
        <v>66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/>
      <c r="AB105" s="66"/>
      <c r="AC105" s="167" t="s">
        <v>203</v>
      </c>
      <c r="AG105" s="75"/>
      <c r="AJ105" s="79"/>
      <c r="AK105" s="79">
        <v>0</v>
      </c>
      <c r="BB105" s="168" t="s">
        <v>1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205</v>
      </c>
      <c r="B106" s="60" t="s">
        <v>206</v>
      </c>
      <c r="C106" s="34">
        <v>4301011417</v>
      </c>
      <c r="D106" s="626">
        <v>4680115880269</v>
      </c>
      <c r="E106" s="627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128</v>
      </c>
      <c r="L106" s="35"/>
      <c r="M106" s="36" t="s">
        <v>77</v>
      </c>
      <c r="N106" s="36"/>
      <c r="O106" s="35">
        <v>50</v>
      </c>
      <c r="P106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0"/>
      <c r="R106" s="620"/>
      <c r="S106" s="620"/>
      <c r="T106" s="621"/>
      <c r="U106" s="37"/>
      <c r="V106" s="37"/>
      <c r="W106" s="38" t="s">
        <v>66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/>
      <c r="AB106" s="66"/>
      <c r="AC106" s="169" t="s">
        <v>200</v>
      </c>
      <c r="AG106" s="75"/>
      <c r="AJ106" s="79"/>
      <c r="AK106" s="79">
        <v>0</v>
      </c>
      <c r="BB106" s="170" t="s">
        <v>1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207</v>
      </c>
      <c r="B107" s="60" t="s">
        <v>208</v>
      </c>
      <c r="C107" s="34">
        <v>4301011415</v>
      </c>
      <c r="D107" s="626">
        <v>4680115880429</v>
      </c>
      <c r="E107" s="627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128</v>
      </c>
      <c r="L107" s="35"/>
      <c r="M107" s="36" t="s">
        <v>77</v>
      </c>
      <c r="N107" s="36"/>
      <c r="O107" s="35">
        <v>50</v>
      </c>
      <c r="P107" s="6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0"/>
      <c r="R107" s="620"/>
      <c r="S107" s="620"/>
      <c r="T107" s="621"/>
      <c r="U107" s="37"/>
      <c r="V107" s="37"/>
      <c r="W107" s="38" t="s">
        <v>66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/>
      <c r="AB107" s="66"/>
      <c r="AC107" s="171" t="s">
        <v>200</v>
      </c>
      <c r="AG107" s="75"/>
      <c r="AJ107" s="79"/>
      <c r="AK107" s="79">
        <v>0</v>
      </c>
      <c r="BB107" s="172" t="s">
        <v>1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209</v>
      </c>
      <c r="B108" s="60" t="s">
        <v>210</v>
      </c>
      <c r="C108" s="34">
        <v>4301011462</v>
      </c>
      <c r="D108" s="626">
        <v>4680115881457</v>
      </c>
      <c r="E108" s="627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128</v>
      </c>
      <c r="L108" s="35"/>
      <c r="M108" s="36" t="s">
        <v>77</v>
      </c>
      <c r="N108" s="36"/>
      <c r="O108" s="35">
        <v>50</v>
      </c>
      <c r="P108" s="8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0"/>
      <c r="R108" s="620"/>
      <c r="S108" s="620"/>
      <c r="T108" s="621"/>
      <c r="U108" s="37"/>
      <c r="V108" s="37"/>
      <c r="W108" s="38" t="s">
        <v>66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/>
      <c r="AB108" s="66"/>
      <c r="AC108" s="173" t="s">
        <v>200</v>
      </c>
      <c r="AG108" s="75"/>
      <c r="AJ108" s="79"/>
      <c r="AK108" s="79">
        <v>0</v>
      </c>
      <c r="BB108" s="174" t="s">
        <v>1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23"/>
      <c r="B109" s="624"/>
      <c r="C109" s="624"/>
      <c r="D109" s="624"/>
      <c r="E109" s="624"/>
      <c r="F109" s="624"/>
      <c r="G109" s="624"/>
      <c r="H109" s="624"/>
      <c r="I109" s="624"/>
      <c r="J109" s="624"/>
      <c r="K109" s="624"/>
      <c r="L109" s="624"/>
      <c r="M109" s="624"/>
      <c r="N109" s="624"/>
      <c r="O109" s="625"/>
      <c r="P109" s="631" t="s">
        <v>71</v>
      </c>
      <c r="Q109" s="632"/>
      <c r="R109" s="632"/>
      <c r="S109" s="632"/>
      <c r="T109" s="632"/>
      <c r="U109" s="632"/>
      <c r="V109" s="633"/>
      <c r="W109" s="40" t="s">
        <v>72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24"/>
      <c r="B110" s="624"/>
      <c r="C110" s="624"/>
      <c r="D110" s="624"/>
      <c r="E110" s="624"/>
      <c r="F110" s="624"/>
      <c r="G110" s="624"/>
      <c r="H110" s="624"/>
      <c r="I110" s="624"/>
      <c r="J110" s="624"/>
      <c r="K110" s="624"/>
      <c r="L110" s="624"/>
      <c r="M110" s="624"/>
      <c r="N110" s="624"/>
      <c r="O110" s="625"/>
      <c r="P110" s="631" t="s">
        <v>71</v>
      </c>
      <c r="Q110" s="632"/>
      <c r="R110" s="632"/>
      <c r="S110" s="632"/>
      <c r="T110" s="632"/>
      <c r="U110" s="632"/>
      <c r="V110" s="633"/>
      <c r="W110" s="40" t="s">
        <v>66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28" t="s">
        <v>152</v>
      </c>
      <c r="B111" s="624"/>
      <c r="C111" s="624"/>
      <c r="D111" s="624"/>
      <c r="E111" s="624"/>
      <c r="F111" s="624"/>
      <c r="G111" s="624"/>
      <c r="H111" s="624"/>
      <c r="I111" s="624"/>
      <c r="J111" s="624"/>
      <c r="K111" s="624"/>
      <c r="L111" s="624"/>
      <c r="M111" s="624"/>
      <c r="N111" s="624"/>
      <c r="O111" s="624"/>
      <c r="P111" s="624"/>
      <c r="Q111" s="624"/>
      <c r="R111" s="624"/>
      <c r="S111" s="624"/>
      <c r="T111" s="624"/>
      <c r="U111" s="624"/>
      <c r="V111" s="624"/>
      <c r="W111" s="624"/>
      <c r="X111" s="624"/>
      <c r="Y111" s="624"/>
      <c r="Z111" s="624"/>
      <c r="AA111" s="63"/>
      <c r="AB111" s="63"/>
      <c r="AC111" s="63"/>
    </row>
    <row r="112" spans="1:68" ht="27" hidden="1" customHeight="1" x14ac:dyDescent="0.25">
      <c r="A112" s="60" t="s">
        <v>211</v>
      </c>
      <c r="B112" s="60" t="s">
        <v>212</v>
      </c>
      <c r="C112" s="34">
        <v>4301020391</v>
      </c>
      <c r="D112" s="626">
        <v>4680115881488</v>
      </c>
      <c r="E112" s="627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119</v>
      </c>
      <c r="L112" s="35"/>
      <c r="M112" s="36" t="s">
        <v>120</v>
      </c>
      <c r="N112" s="36"/>
      <c r="O112" s="35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0"/>
      <c r="R112" s="620"/>
      <c r="S112" s="620"/>
      <c r="T112" s="621"/>
      <c r="U112" s="37"/>
      <c r="V112" s="37"/>
      <c r="W112" s="38" t="s">
        <v>66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/>
      <c r="AB112" s="66"/>
      <c r="AC112" s="175" t="s">
        <v>213</v>
      </c>
      <c r="AG112" s="75"/>
      <c r="AJ112" s="79"/>
      <c r="AK112" s="79">
        <v>0</v>
      </c>
      <c r="BB112" s="176" t="s">
        <v>1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214</v>
      </c>
      <c r="B113" s="60" t="s">
        <v>215</v>
      </c>
      <c r="C113" s="34">
        <v>4301020186</v>
      </c>
      <c r="D113" s="626">
        <v>4680115887664</v>
      </c>
      <c r="E113" s="627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216</v>
      </c>
      <c r="L113" s="35"/>
      <c r="M113" s="36" t="s">
        <v>65</v>
      </c>
      <c r="N113" s="36"/>
      <c r="O113" s="35">
        <v>30</v>
      </c>
      <c r="P113" s="71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0"/>
      <c r="R113" s="620"/>
      <c r="S113" s="620"/>
      <c r="T113" s="621"/>
      <c r="U113" s="37"/>
      <c r="V113" s="37"/>
      <c r="W113" s="38" t="s">
        <v>66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/>
      <c r="AB113" s="66"/>
      <c r="AC113" s="177" t="s">
        <v>217</v>
      </c>
      <c r="AG113" s="75"/>
      <c r="AJ113" s="79"/>
      <c r="AK113" s="79">
        <v>0</v>
      </c>
      <c r="BB113" s="178" t="s">
        <v>1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214</v>
      </c>
      <c r="B114" s="60" t="s">
        <v>218</v>
      </c>
      <c r="C114" s="34">
        <v>4301020430</v>
      </c>
      <c r="D114" s="626">
        <v>4680115887664</v>
      </c>
      <c r="E114" s="627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216</v>
      </c>
      <c r="L114" s="35"/>
      <c r="M114" s="36" t="s">
        <v>65</v>
      </c>
      <c r="N114" s="36"/>
      <c r="O114" s="35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0"/>
      <c r="R114" s="620"/>
      <c r="S114" s="620"/>
      <c r="T114" s="621"/>
      <c r="U114" s="37"/>
      <c r="V114" s="37"/>
      <c r="W114" s="38" t="s">
        <v>66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/>
      <c r="AB114" s="66"/>
      <c r="AC114" s="179" t="s">
        <v>217</v>
      </c>
      <c r="AG114" s="75"/>
      <c r="AJ114" s="79"/>
      <c r="AK114" s="79">
        <v>0</v>
      </c>
      <c r="BB114" s="180" t="s">
        <v>1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219</v>
      </c>
      <c r="B115" s="60" t="s">
        <v>220</v>
      </c>
      <c r="C115" s="34">
        <v>4301020393</v>
      </c>
      <c r="D115" s="626">
        <v>4680115882775</v>
      </c>
      <c r="E115" s="627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64</v>
      </c>
      <c r="L115" s="35"/>
      <c r="M115" s="36" t="s">
        <v>120</v>
      </c>
      <c r="N115" s="36"/>
      <c r="O115" s="35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0"/>
      <c r="R115" s="620"/>
      <c r="S115" s="620"/>
      <c r="T115" s="621"/>
      <c r="U115" s="37"/>
      <c r="V115" s="37"/>
      <c r="W115" s="38" t="s">
        <v>66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/>
      <c r="AB115" s="66"/>
      <c r="AC115" s="181" t="s">
        <v>213</v>
      </c>
      <c r="AG115" s="75"/>
      <c r="AJ115" s="79"/>
      <c r="AK115" s="79">
        <v>0</v>
      </c>
      <c r="BB115" s="182" t="s">
        <v>1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221</v>
      </c>
      <c r="B116" s="60" t="s">
        <v>222</v>
      </c>
      <c r="C116" s="34">
        <v>4301020392</v>
      </c>
      <c r="D116" s="626">
        <v>4680115880658</v>
      </c>
      <c r="E116" s="627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76</v>
      </c>
      <c r="L116" s="35"/>
      <c r="M116" s="36" t="s">
        <v>120</v>
      </c>
      <c r="N116" s="36"/>
      <c r="O116" s="35">
        <v>55</v>
      </c>
      <c r="P116" s="6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0"/>
      <c r="R116" s="620"/>
      <c r="S116" s="620"/>
      <c r="T116" s="621"/>
      <c r="U116" s="37"/>
      <c r="V116" s="37"/>
      <c r="W116" s="38" t="s">
        <v>66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/>
      <c r="AB116" s="66"/>
      <c r="AC116" s="183" t="s">
        <v>213</v>
      </c>
      <c r="AG116" s="75"/>
      <c r="AJ116" s="79"/>
      <c r="AK116" s="79">
        <v>0</v>
      </c>
      <c r="BB116" s="184" t="s">
        <v>1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23"/>
      <c r="B117" s="624"/>
      <c r="C117" s="624"/>
      <c r="D117" s="624"/>
      <c r="E117" s="624"/>
      <c r="F117" s="624"/>
      <c r="G117" s="624"/>
      <c r="H117" s="624"/>
      <c r="I117" s="624"/>
      <c r="J117" s="624"/>
      <c r="K117" s="624"/>
      <c r="L117" s="624"/>
      <c r="M117" s="624"/>
      <c r="N117" s="624"/>
      <c r="O117" s="625"/>
      <c r="P117" s="631" t="s">
        <v>71</v>
      </c>
      <c r="Q117" s="632"/>
      <c r="R117" s="632"/>
      <c r="S117" s="632"/>
      <c r="T117" s="632"/>
      <c r="U117" s="632"/>
      <c r="V117" s="633"/>
      <c r="W117" s="40" t="s">
        <v>72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24"/>
      <c r="B118" s="624"/>
      <c r="C118" s="624"/>
      <c r="D118" s="624"/>
      <c r="E118" s="624"/>
      <c r="F118" s="624"/>
      <c r="G118" s="624"/>
      <c r="H118" s="624"/>
      <c r="I118" s="624"/>
      <c r="J118" s="624"/>
      <c r="K118" s="624"/>
      <c r="L118" s="624"/>
      <c r="M118" s="624"/>
      <c r="N118" s="624"/>
      <c r="O118" s="625"/>
      <c r="P118" s="631" t="s">
        <v>71</v>
      </c>
      <c r="Q118" s="632"/>
      <c r="R118" s="632"/>
      <c r="S118" s="632"/>
      <c r="T118" s="632"/>
      <c r="U118" s="632"/>
      <c r="V118" s="633"/>
      <c r="W118" s="40" t="s">
        <v>66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28" t="s">
        <v>73</v>
      </c>
      <c r="B119" s="624"/>
      <c r="C119" s="624"/>
      <c r="D119" s="624"/>
      <c r="E119" s="624"/>
      <c r="F119" s="624"/>
      <c r="G119" s="624"/>
      <c r="H119" s="624"/>
      <c r="I119" s="624"/>
      <c r="J119" s="624"/>
      <c r="K119" s="624"/>
      <c r="L119" s="624"/>
      <c r="M119" s="624"/>
      <c r="N119" s="624"/>
      <c r="O119" s="624"/>
      <c r="P119" s="624"/>
      <c r="Q119" s="624"/>
      <c r="R119" s="624"/>
      <c r="S119" s="624"/>
      <c r="T119" s="624"/>
      <c r="U119" s="624"/>
      <c r="V119" s="624"/>
      <c r="W119" s="624"/>
      <c r="X119" s="624"/>
      <c r="Y119" s="624"/>
      <c r="Z119" s="624"/>
      <c r="AA119" s="63"/>
      <c r="AB119" s="63"/>
      <c r="AC119" s="63"/>
    </row>
    <row r="120" spans="1:68" ht="27" hidden="1" customHeight="1" x14ac:dyDescent="0.25">
      <c r="A120" s="60" t="s">
        <v>223</v>
      </c>
      <c r="B120" s="60" t="s">
        <v>224</v>
      </c>
      <c r="C120" s="34">
        <v>4301051724</v>
      </c>
      <c r="D120" s="626">
        <v>4607091385168</v>
      </c>
      <c r="E120" s="627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119</v>
      </c>
      <c r="L120" s="35"/>
      <c r="M120" s="36" t="s">
        <v>83</v>
      </c>
      <c r="N120" s="36"/>
      <c r="O120" s="35">
        <v>45</v>
      </c>
      <c r="P120" s="6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0"/>
      <c r="R120" s="620"/>
      <c r="S120" s="620"/>
      <c r="T120" s="621"/>
      <c r="U120" s="37"/>
      <c r="V120" s="37"/>
      <c r="W120" s="38" t="s">
        <v>66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/>
      <c r="AB120" s="66"/>
      <c r="AC120" s="185" t="s">
        <v>225</v>
      </c>
      <c r="AG120" s="75"/>
      <c r="AJ120" s="79"/>
      <c r="AK120" s="79">
        <v>0</v>
      </c>
      <c r="BB120" s="186" t="s">
        <v>1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226</v>
      </c>
      <c r="B121" s="60" t="s">
        <v>227</v>
      </c>
      <c r="C121" s="34">
        <v>4301051730</v>
      </c>
      <c r="D121" s="626">
        <v>4607091383256</v>
      </c>
      <c r="E121" s="627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76</v>
      </c>
      <c r="L121" s="35"/>
      <c r="M121" s="36" t="s">
        <v>83</v>
      </c>
      <c r="N121" s="36"/>
      <c r="O121" s="35">
        <v>45</v>
      </c>
      <c r="P121" s="9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0"/>
      <c r="R121" s="620"/>
      <c r="S121" s="620"/>
      <c r="T121" s="621"/>
      <c r="U121" s="37"/>
      <c r="V121" s="37"/>
      <c r="W121" s="38" t="s">
        <v>66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/>
      <c r="AB121" s="66"/>
      <c r="AC121" s="187" t="s">
        <v>225</v>
      </c>
      <c r="AG121" s="75"/>
      <c r="AJ121" s="79"/>
      <c r="AK121" s="79">
        <v>0</v>
      </c>
      <c r="BB121" s="188" t="s">
        <v>1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228</v>
      </c>
      <c r="B122" s="60" t="s">
        <v>229</v>
      </c>
      <c r="C122" s="34">
        <v>4301051721</v>
      </c>
      <c r="D122" s="626">
        <v>4607091385748</v>
      </c>
      <c r="E122" s="627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76</v>
      </c>
      <c r="L122" s="35"/>
      <c r="M122" s="36" t="s">
        <v>83</v>
      </c>
      <c r="N122" s="36"/>
      <c r="O122" s="35">
        <v>45</v>
      </c>
      <c r="P122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0"/>
      <c r="R122" s="620"/>
      <c r="S122" s="620"/>
      <c r="T122" s="621"/>
      <c r="U122" s="37"/>
      <c r="V122" s="37"/>
      <c r="W122" s="38" t="s">
        <v>66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/>
      <c r="AB122" s="66"/>
      <c r="AC122" s="189" t="s">
        <v>225</v>
      </c>
      <c r="AG122" s="75"/>
      <c r="AJ122" s="79"/>
      <c r="AK122" s="79">
        <v>0</v>
      </c>
      <c r="BB122" s="190" t="s">
        <v>1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230</v>
      </c>
      <c r="B123" s="60" t="s">
        <v>231</v>
      </c>
      <c r="C123" s="34">
        <v>4301051740</v>
      </c>
      <c r="D123" s="626">
        <v>4680115884533</v>
      </c>
      <c r="E123" s="627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76</v>
      </c>
      <c r="L123" s="35"/>
      <c r="M123" s="36" t="s">
        <v>77</v>
      </c>
      <c r="N123" s="36"/>
      <c r="O123" s="35">
        <v>45</v>
      </c>
      <c r="P123" s="9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0"/>
      <c r="R123" s="620"/>
      <c r="S123" s="620"/>
      <c r="T123" s="621"/>
      <c r="U123" s="37"/>
      <c r="V123" s="37"/>
      <c r="W123" s="38" t="s">
        <v>66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/>
      <c r="AB123" s="66"/>
      <c r="AC123" s="191" t="s">
        <v>232</v>
      </c>
      <c r="AG123" s="75"/>
      <c r="AJ123" s="79"/>
      <c r="AK123" s="79">
        <v>0</v>
      </c>
      <c r="BB123" s="192" t="s">
        <v>1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23"/>
      <c r="B124" s="624"/>
      <c r="C124" s="624"/>
      <c r="D124" s="624"/>
      <c r="E124" s="624"/>
      <c r="F124" s="624"/>
      <c r="G124" s="624"/>
      <c r="H124" s="624"/>
      <c r="I124" s="624"/>
      <c r="J124" s="624"/>
      <c r="K124" s="624"/>
      <c r="L124" s="624"/>
      <c r="M124" s="624"/>
      <c r="N124" s="624"/>
      <c r="O124" s="625"/>
      <c r="P124" s="631" t="s">
        <v>71</v>
      </c>
      <c r="Q124" s="632"/>
      <c r="R124" s="632"/>
      <c r="S124" s="632"/>
      <c r="T124" s="632"/>
      <c r="U124" s="632"/>
      <c r="V124" s="633"/>
      <c r="W124" s="40" t="s">
        <v>72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24"/>
      <c r="B125" s="624"/>
      <c r="C125" s="624"/>
      <c r="D125" s="624"/>
      <c r="E125" s="624"/>
      <c r="F125" s="624"/>
      <c r="G125" s="624"/>
      <c r="H125" s="624"/>
      <c r="I125" s="624"/>
      <c r="J125" s="624"/>
      <c r="K125" s="624"/>
      <c r="L125" s="624"/>
      <c r="M125" s="624"/>
      <c r="N125" s="624"/>
      <c r="O125" s="625"/>
      <c r="P125" s="631" t="s">
        <v>71</v>
      </c>
      <c r="Q125" s="632"/>
      <c r="R125" s="632"/>
      <c r="S125" s="632"/>
      <c r="T125" s="632"/>
      <c r="U125" s="632"/>
      <c r="V125" s="633"/>
      <c r="W125" s="40" t="s">
        <v>66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28" t="s">
        <v>169</v>
      </c>
      <c r="B126" s="624"/>
      <c r="C126" s="624"/>
      <c r="D126" s="624"/>
      <c r="E126" s="624"/>
      <c r="F126" s="624"/>
      <c r="G126" s="624"/>
      <c r="H126" s="624"/>
      <c r="I126" s="624"/>
      <c r="J126" s="624"/>
      <c r="K126" s="624"/>
      <c r="L126" s="624"/>
      <c r="M126" s="624"/>
      <c r="N126" s="624"/>
      <c r="O126" s="624"/>
      <c r="P126" s="624"/>
      <c r="Q126" s="624"/>
      <c r="R126" s="624"/>
      <c r="S126" s="624"/>
      <c r="T126" s="624"/>
      <c r="U126" s="624"/>
      <c r="V126" s="624"/>
      <c r="W126" s="624"/>
      <c r="X126" s="624"/>
      <c r="Y126" s="624"/>
      <c r="Z126" s="624"/>
      <c r="AA126" s="63"/>
      <c r="AB126" s="63"/>
      <c r="AC126" s="63"/>
    </row>
    <row r="127" spans="1:68" ht="16.5" hidden="1" customHeight="1" x14ac:dyDescent="0.25">
      <c r="A127" s="60" t="s">
        <v>233</v>
      </c>
      <c r="B127" s="60" t="s">
        <v>234</v>
      </c>
      <c r="C127" s="34">
        <v>4301060317</v>
      </c>
      <c r="D127" s="626">
        <v>4680115880238</v>
      </c>
      <c r="E127" s="627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76</v>
      </c>
      <c r="L127" s="35"/>
      <c r="M127" s="36" t="s">
        <v>77</v>
      </c>
      <c r="N127" s="36"/>
      <c r="O127" s="35">
        <v>40</v>
      </c>
      <c r="P127" s="91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0"/>
      <c r="R127" s="620"/>
      <c r="S127" s="620"/>
      <c r="T127" s="621"/>
      <c r="U127" s="37"/>
      <c r="V127" s="37"/>
      <c r="W127" s="38" t="s">
        <v>66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/>
      <c r="AB127" s="66"/>
      <c r="AC127" s="193" t="s">
        <v>235</v>
      </c>
      <c r="AG127" s="75"/>
      <c r="AJ127" s="79"/>
      <c r="AK127" s="79">
        <v>0</v>
      </c>
      <c r="BB127" s="194" t="s">
        <v>1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23"/>
      <c r="B128" s="624"/>
      <c r="C128" s="624"/>
      <c r="D128" s="624"/>
      <c r="E128" s="624"/>
      <c r="F128" s="624"/>
      <c r="G128" s="624"/>
      <c r="H128" s="624"/>
      <c r="I128" s="624"/>
      <c r="J128" s="624"/>
      <c r="K128" s="624"/>
      <c r="L128" s="624"/>
      <c r="M128" s="624"/>
      <c r="N128" s="624"/>
      <c r="O128" s="625"/>
      <c r="P128" s="631" t="s">
        <v>71</v>
      </c>
      <c r="Q128" s="632"/>
      <c r="R128" s="632"/>
      <c r="S128" s="632"/>
      <c r="T128" s="632"/>
      <c r="U128" s="632"/>
      <c r="V128" s="633"/>
      <c r="W128" s="40" t="s">
        <v>72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24"/>
      <c r="B129" s="624"/>
      <c r="C129" s="624"/>
      <c r="D129" s="624"/>
      <c r="E129" s="624"/>
      <c r="F129" s="624"/>
      <c r="G129" s="624"/>
      <c r="H129" s="624"/>
      <c r="I129" s="624"/>
      <c r="J129" s="624"/>
      <c r="K129" s="624"/>
      <c r="L129" s="624"/>
      <c r="M129" s="624"/>
      <c r="N129" s="624"/>
      <c r="O129" s="625"/>
      <c r="P129" s="631" t="s">
        <v>71</v>
      </c>
      <c r="Q129" s="632"/>
      <c r="R129" s="632"/>
      <c r="S129" s="632"/>
      <c r="T129" s="632"/>
      <c r="U129" s="632"/>
      <c r="V129" s="633"/>
      <c r="W129" s="40" t="s">
        <v>66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39" t="s">
        <v>236</v>
      </c>
      <c r="B130" s="624"/>
      <c r="C130" s="624"/>
      <c r="D130" s="624"/>
      <c r="E130" s="624"/>
      <c r="F130" s="624"/>
      <c r="G130" s="624"/>
      <c r="H130" s="624"/>
      <c r="I130" s="624"/>
      <c r="J130" s="624"/>
      <c r="K130" s="624"/>
      <c r="L130" s="624"/>
      <c r="M130" s="624"/>
      <c r="N130" s="624"/>
      <c r="O130" s="624"/>
      <c r="P130" s="624"/>
      <c r="Q130" s="624"/>
      <c r="R130" s="624"/>
      <c r="S130" s="624"/>
      <c r="T130" s="624"/>
      <c r="U130" s="624"/>
      <c r="V130" s="624"/>
      <c r="W130" s="624"/>
      <c r="X130" s="624"/>
      <c r="Y130" s="624"/>
      <c r="Z130" s="624"/>
      <c r="AA130" s="62"/>
      <c r="AB130" s="62"/>
      <c r="AC130" s="62"/>
    </row>
    <row r="131" spans="1:68" ht="14.25" hidden="1" customHeight="1" x14ac:dyDescent="0.25">
      <c r="A131" s="628" t="s">
        <v>116</v>
      </c>
      <c r="B131" s="624"/>
      <c r="C131" s="624"/>
      <c r="D131" s="624"/>
      <c r="E131" s="624"/>
      <c r="F131" s="624"/>
      <c r="G131" s="624"/>
      <c r="H131" s="624"/>
      <c r="I131" s="624"/>
      <c r="J131" s="624"/>
      <c r="K131" s="624"/>
      <c r="L131" s="624"/>
      <c r="M131" s="624"/>
      <c r="N131" s="624"/>
      <c r="O131" s="624"/>
      <c r="P131" s="624"/>
      <c r="Q131" s="624"/>
      <c r="R131" s="624"/>
      <c r="S131" s="624"/>
      <c r="T131" s="624"/>
      <c r="U131" s="624"/>
      <c r="V131" s="624"/>
      <c r="W131" s="624"/>
      <c r="X131" s="624"/>
      <c r="Y131" s="624"/>
      <c r="Z131" s="624"/>
      <c r="AA131" s="63"/>
      <c r="AB131" s="63"/>
      <c r="AC131" s="63"/>
    </row>
    <row r="132" spans="1:68" ht="27" hidden="1" customHeight="1" x14ac:dyDescent="0.25">
      <c r="A132" s="60" t="s">
        <v>237</v>
      </c>
      <c r="B132" s="60" t="s">
        <v>238</v>
      </c>
      <c r="C132" s="34">
        <v>4301011562</v>
      </c>
      <c r="D132" s="626">
        <v>4680115882577</v>
      </c>
      <c r="E132" s="627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76</v>
      </c>
      <c r="L132" s="35"/>
      <c r="M132" s="36" t="s">
        <v>94</v>
      </c>
      <c r="N132" s="36"/>
      <c r="O132" s="35">
        <v>90</v>
      </c>
      <c r="P132" s="77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0"/>
      <c r="R132" s="620"/>
      <c r="S132" s="620"/>
      <c r="T132" s="621"/>
      <c r="U132" s="37"/>
      <c r="V132" s="37"/>
      <c r="W132" s="38" t="s">
        <v>66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/>
      <c r="AB132" s="66"/>
      <c r="AC132" s="195" t="s">
        <v>239</v>
      </c>
      <c r="AG132" s="75"/>
      <c r="AJ132" s="79"/>
      <c r="AK132" s="79">
        <v>0</v>
      </c>
      <c r="BB132" s="196" t="s">
        <v>1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237</v>
      </c>
      <c r="B133" s="60" t="s">
        <v>240</v>
      </c>
      <c r="C133" s="34">
        <v>4301011564</v>
      </c>
      <c r="D133" s="626">
        <v>4680115882577</v>
      </c>
      <c r="E133" s="627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76</v>
      </c>
      <c r="L133" s="35"/>
      <c r="M133" s="36" t="s">
        <v>94</v>
      </c>
      <c r="N133" s="36"/>
      <c r="O133" s="35">
        <v>90</v>
      </c>
      <c r="P133" s="91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0"/>
      <c r="R133" s="620"/>
      <c r="S133" s="620"/>
      <c r="T133" s="621"/>
      <c r="U133" s="37"/>
      <c r="V133" s="37"/>
      <c r="W133" s="38" t="s">
        <v>66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/>
      <c r="AB133" s="66"/>
      <c r="AC133" s="197" t="s">
        <v>239</v>
      </c>
      <c r="AG133" s="75"/>
      <c r="AJ133" s="79"/>
      <c r="AK133" s="79">
        <v>0</v>
      </c>
      <c r="BB133" s="198" t="s">
        <v>1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23"/>
      <c r="B134" s="624"/>
      <c r="C134" s="624"/>
      <c r="D134" s="624"/>
      <c r="E134" s="624"/>
      <c r="F134" s="624"/>
      <c r="G134" s="624"/>
      <c r="H134" s="624"/>
      <c r="I134" s="624"/>
      <c r="J134" s="624"/>
      <c r="K134" s="624"/>
      <c r="L134" s="624"/>
      <c r="M134" s="624"/>
      <c r="N134" s="624"/>
      <c r="O134" s="625"/>
      <c r="P134" s="631" t="s">
        <v>71</v>
      </c>
      <c r="Q134" s="632"/>
      <c r="R134" s="632"/>
      <c r="S134" s="632"/>
      <c r="T134" s="632"/>
      <c r="U134" s="632"/>
      <c r="V134" s="633"/>
      <c r="W134" s="40" t="s">
        <v>72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24"/>
      <c r="B135" s="624"/>
      <c r="C135" s="624"/>
      <c r="D135" s="624"/>
      <c r="E135" s="624"/>
      <c r="F135" s="624"/>
      <c r="G135" s="624"/>
      <c r="H135" s="624"/>
      <c r="I135" s="624"/>
      <c r="J135" s="624"/>
      <c r="K135" s="624"/>
      <c r="L135" s="624"/>
      <c r="M135" s="624"/>
      <c r="N135" s="624"/>
      <c r="O135" s="625"/>
      <c r="P135" s="631" t="s">
        <v>71</v>
      </c>
      <c r="Q135" s="632"/>
      <c r="R135" s="632"/>
      <c r="S135" s="632"/>
      <c r="T135" s="632"/>
      <c r="U135" s="632"/>
      <c r="V135" s="633"/>
      <c r="W135" s="40" t="s">
        <v>66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28" t="s">
        <v>61</v>
      </c>
      <c r="B136" s="624"/>
      <c r="C136" s="624"/>
      <c r="D136" s="624"/>
      <c r="E136" s="624"/>
      <c r="F136" s="624"/>
      <c r="G136" s="624"/>
      <c r="H136" s="624"/>
      <c r="I136" s="624"/>
      <c r="J136" s="624"/>
      <c r="K136" s="624"/>
      <c r="L136" s="624"/>
      <c r="M136" s="624"/>
      <c r="N136" s="624"/>
      <c r="O136" s="624"/>
      <c r="P136" s="624"/>
      <c r="Q136" s="624"/>
      <c r="R136" s="624"/>
      <c r="S136" s="624"/>
      <c r="T136" s="624"/>
      <c r="U136" s="624"/>
      <c r="V136" s="624"/>
      <c r="W136" s="624"/>
      <c r="X136" s="624"/>
      <c r="Y136" s="624"/>
      <c r="Z136" s="624"/>
      <c r="AA136" s="63"/>
      <c r="AB136" s="63"/>
      <c r="AC136" s="63"/>
    </row>
    <row r="137" spans="1:68" ht="27" hidden="1" customHeight="1" x14ac:dyDescent="0.25">
      <c r="A137" s="60" t="s">
        <v>241</v>
      </c>
      <c r="B137" s="60" t="s">
        <v>242</v>
      </c>
      <c r="C137" s="34">
        <v>4301031234</v>
      </c>
      <c r="D137" s="626">
        <v>4680115883444</v>
      </c>
      <c r="E137" s="627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76</v>
      </c>
      <c r="L137" s="35"/>
      <c r="M137" s="36" t="s">
        <v>94</v>
      </c>
      <c r="N137" s="36"/>
      <c r="O137" s="35">
        <v>90</v>
      </c>
      <c r="P137" s="76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0"/>
      <c r="R137" s="620"/>
      <c r="S137" s="620"/>
      <c r="T137" s="621"/>
      <c r="U137" s="37"/>
      <c r="V137" s="37"/>
      <c r="W137" s="38" t="s">
        <v>66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/>
      <c r="AB137" s="66"/>
      <c r="AC137" s="199" t="s">
        <v>243</v>
      </c>
      <c r="AG137" s="75"/>
      <c r="AJ137" s="79"/>
      <c r="AK137" s="79">
        <v>0</v>
      </c>
      <c r="BB137" s="200" t="s">
        <v>1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241</v>
      </c>
      <c r="B138" s="60" t="s">
        <v>244</v>
      </c>
      <c r="C138" s="34">
        <v>4301031235</v>
      </c>
      <c r="D138" s="626">
        <v>4680115883444</v>
      </c>
      <c r="E138" s="627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76</v>
      </c>
      <c r="L138" s="35"/>
      <c r="M138" s="36" t="s">
        <v>94</v>
      </c>
      <c r="N138" s="36"/>
      <c r="O138" s="35">
        <v>90</v>
      </c>
      <c r="P138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0"/>
      <c r="R138" s="620"/>
      <c r="S138" s="620"/>
      <c r="T138" s="621"/>
      <c r="U138" s="37"/>
      <c r="V138" s="37"/>
      <c r="W138" s="38" t="s">
        <v>66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/>
      <c r="AB138" s="66"/>
      <c r="AC138" s="201" t="s">
        <v>243</v>
      </c>
      <c r="AG138" s="75"/>
      <c r="AJ138" s="79"/>
      <c r="AK138" s="79">
        <v>0</v>
      </c>
      <c r="BB138" s="202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23"/>
      <c r="B139" s="624"/>
      <c r="C139" s="624"/>
      <c r="D139" s="624"/>
      <c r="E139" s="624"/>
      <c r="F139" s="624"/>
      <c r="G139" s="624"/>
      <c r="H139" s="624"/>
      <c r="I139" s="624"/>
      <c r="J139" s="624"/>
      <c r="K139" s="624"/>
      <c r="L139" s="624"/>
      <c r="M139" s="624"/>
      <c r="N139" s="624"/>
      <c r="O139" s="625"/>
      <c r="P139" s="631" t="s">
        <v>71</v>
      </c>
      <c r="Q139" s="632"/>
      <c r="R139" s="632"/>
      <c r="S139" s="632"/>
      <c r="T139" s="632"/>
      <c r="U139" s="632"/>
      <c r="V139" s="633"/>
      <c r="W139" s="40" t="s">
        <v>72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624"/>
      <c r="B140" s="624"/>
      <c r="C140" s="624"/>
      <c r="D140" s="624"/>
      <c r="E140" s="624"/>
      <c r="F140" s="624"/>
      <c r="G140" s="624"/>
      <c r="H140" s="624"/>
      <c r="I140" s="624"/>
      <c r="J140" s="624"/>
      <c r="K140" s="624"/>
      <c r="L140" s="624"/>
      <c r="M140" s="624"/>
      <c r="N140" s="624"/>
      <c r="O140" s="625"/>
      <c r="P140" s="631" t="s">
        <v>71</v>
      </c>
      <c r="Q140" s="632"/>
      <c r="R140" s="632"/>
      <c r="S140" s="632"/>
      <c r="T140" s="632"/>
      <c r="U140" s="632"/>
      <c r="V140" s="633"/>
      <c r="W140" s="40" t="s">
        <v>66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28" t="s">
        <v>73</v>
      </c>
      <c r="B141" s="624"/>
      <c r="C141" s="624"/>
      <c r="D141" s="624"/>
      <c r="E141" s="624"/>
      <c r="F141" s="624"/>
      <c r="G141" s="624"/>
      <c r="H141" s="624"/>
      <c r="I141" s="624"/>
      <c r="J141" s="624"/>
      <c r="K141" s="624"/>
      <c r="L141" s="624"/>
      <c r="M141" s="624"/>
      <c r="N141" s="624"/>
      <c r="O141" s="624"/>
      <c r="P141" s="624"/>
      <c r="Q141" s="624"/>
      <c r="R141" s="624"/>
      <c r="S141" s="624"/>
      <c r="T141" s="624"/>
      <c r="U141" s="624"/>
      <c r="V141" s="624"/>
      <c r="W141" s="624"/>
      <c r="X141" s="624"/>
      <c r="Y141" s="624"/>
      <c r="Z141" s="624"/>
      <c r="AA141" s="63"/>
      <c r="AB141" s="63"/>
      <c r="AC141" s="63"/>
    </row>
    <row r="142" spans="1:68" ht="16.5" hidden="1" customHeight="1" x14ac:dyDescent="0.25">
      <c r="A142" s="60" t="s">
        <v>245</v>
      </c>
      <c r="B142" s="60" t="s">
        <v>246</v>
      </c>
      <c r="C142" s="34">
        <v>4301051476</v>
      </c>
      <c r="D142" s="626">
        <v>4680115882584</v>
      </c>
      <c r="E142" s="627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76</v>
      </c>
      <c r="L142" s="35"/>
      <c r="M142" s="36" t="s">
        <v>94</v>
      </c>
      <c r="N142" s="36"/>
      <c r="O142" s="35">
        <v>60</v>
      </c>
      <c r="P142" s="7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0"/>
      <c r="R142" s="620"/>
      <c r="S142" s="620"/>
      <c r="T142" s="621"/>
      <c r="U142" s="37"/>
      <c r="V142" s="37"/>
      <c r="W142" s="38" t="s">
        <v>66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/>
      <c r="AB142" s="66"/>
      <c r="AC142" s="203" t="s">
        <v>239</v>
      </c>
      <c r="AG142" s="75"/>
      <c r="AJ142" s="79"/>
      <c r="AK142" s="79">
        <v>0</v>
      </c>
      <c r="BB142" s="204" t="s">
        <v>1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245</v>
      </c>
      <c r="B143" s="60" t="s">
        <v>247</v>
      </c>
      <c r="C143" s="34">
        <v>4301051477</v>
      </c>
      <c r="D143" s="626">
        <v>4680115882584</v>
      </c>
      <c r="E143" s="627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76</v>
      </c>
      <c r="L143" s="35"/>
      <c r="M143" s="36" t="s">
        <v>94</v>
      </c>
      <c r="N143" s="36"/>
      <c r="O143" s="35">
        <v>60</v>
      </c>
      <c r="P143" s="8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0"/>
      <c r="R143" s="620"/>
      <c r="S143" s="620"/>
      <c r="T143" s="621"/>
      <c r="U143" s="37"/>
      <c r="V143" s="37"/>
      <c r="W143" s="38" t="s">
        <v>66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/>
      <c r="AB143" s="66"/>
      <c r="AC143" s="205" t="s">
        <v>239</v>
      </c>
      <c r="AG143" s="75"/>
      <c r="AJ143" s="79"/>
      <c r="AK143" s="79">
        <v>0</v>
      </c>
      <c r="BB143" s="206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23"/>
      <c r="B144" s="624"/>
      <c r="C144" s="624"/>
      <c r="D144" s="624"/>
      <c r="E144" s="624"/>
      <c r="F144" s="624"/>
      <c r="G144" s="624"/>
      <c r="H144" s="624"/>
      <c r="I144" s="624"/>
      <c r="J144" s="624"/>
      <c r="K144" s="624"/>
      <c r="L144" s="624"/>
      <c r="M144" s="624"/>
      <c r="N144" s="624"/>
      <c r="O144" s="625"/>
      <c r="P144" s="631" t="s">
        <v>71</v>
      </c>
      <c r="Q144" s="632"/>
      <c r="R144" s="632"/>
      <c r="S144" s="632"/>
      <c r="T144" s="632"/>
      <c r="U144" s="632"/>
      <c r="V144" s="633"/>
      <c r="W144" s="40" t="s">
        <v>72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24"/>
      <c r="B145" s="624"/>
      <c r="C145" s="624"/>
      <c r="D145" s="624"/>
      <c r="E145" s="624"/>
      <c r="F145" s="624"/>
      <c r="G145" s="624"/>
      <c r="H145" s="624"/>
      <c r="I145" s="624"/>
      <c r="J145" s="624"/>
      <c r="K145" s="624"/>
      <c r="L145" s="624"/>
      <c r="M145" s="624"/>
      <c r="N145" s="624"/>
      <c r="O145" s="625"/>
      <c r="P145" s="631" t="s">
        <v>71</v>
      </c>
      <c r="Q145" s="632"/>
      <c r="R145" s="632"/>
      <c r="S145" s="632"/>
      <c r="T145" s="632"/>
      <c r="U145" s="632"/>
      <c r="V145" s="633"/>
      <c r="W145" s="40" t="s">
        <v>66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39" t="s">
        <v>248</v>
      </c>
      <c r="B146" s="624"/>
      <c r="C146" s="624"/>
      <c r="D146" s="624"/>
      <c r="E146" s="624"/>
      <c r="F146" s="624"/>
      <c r="G146" s="624"/>
      <c r="H146" s="624"/>
      <c r="I146" s="624"/>
      <c r="J146" s="624"/>
      <c r="K146" s="624"/>
      <c r="L146" s="624"/>
      <c r="M146" s="624"/>
      <c r="N146" s="624"/>
      <c r="O146" s="624"/>
      <c r="P146" s="624"/>
      <c r="Q146" s="624"/>
      <c r="R146" s="624"/>
      <c r="S146" s="624"/>
      <c r="T146" s="624"/>
      <c r="U146" s="624"/>
      <c r="V146" s="624"/>
      <c r="W146" s="624"/>
      <c r="X146" s="624"/>
      <c r="Y146" s="624"/>
      <c r="Z146" s="624"/>
      <c r="AA146" s="62"/>
      <c r="AB146" s="62"/>
      <c r="AC146" s="62"/>
    </row>
    <row r="147" spans="1:68" ht="14.25" hidden="1" customHeight="1" x14ac:dyDescent="0.25">
      <c r="A147" s="628" t="s">
        <v>73</v>
      </c>
      <c r="B147" s="624"/>
      <c r="C147" s="624"/>
      <c r="D147" s="624"/>
      <c r="E147" s="624"/>
      <c r="F147" s="624"/>
      <c r="G147" s="624"/>
      <c r="H147" s="624"/>
      <c r="I147" s="624"/>
      <c r="J147" s="624"/>
      <c r="K147" s="624"/>
      <c r="L147" s="624"/>
      <c r="M147" s="624"/>
      <c r="N147" s="624"/>
      <c r="O147" s="624"/>
      <c r="P147" s="624"/>
      <c r="Q147" s="624"/>
      <c r="R147" s="624"/>
      <c r="S147" s="624"/>
      <c r="T147" s="624"/>
      <c r="U147" s="624"/>
      <c r="V147" s="624"/>
      <c r="W147" s="624"/>
      <c r="X147" s="624"/>
      <c r="Y147" s="624"/>
      <c r="Z147" s="624"/>
      <c r="AA147" s="63"/>
      <c r="AB147" s="63"/>
      <c r="AC147" s="63"/>
    </row>
    <row r="148" spans="1:68" ht="27" hidden="1" customHeight="1" x14ac:dyDescent="0.25">
      <c r="A148" s="60" t="s">
        <v>249</v>
      </c>
      <c r="B148" s="60" t="s">
        <v>250</v>
      </c>
      <c r="C148" s="34">
        <v>4301052174</v>
      </c>
      <c r="D148" s="626">
        <v>4680115888203</v>
      </c>
      <c r="E148" s="627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76</v>
      </c>
      <c r="L148" s="35"/>
      <c r="M148" s="36" t="s">
        <v>83</v>
      </c>
      <c r="N148" s="36"/>
      <c r="O148" s="35">
        <v>40</v>
      </c>
      <c r="P148" s="71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0"/>
      <c r="R148" s="620"/>
      <c r="S148" s="620"/>
      <c r="T148" s="621"/>
      <c r="U148" s="37"/>
      <c r="V148" s="37"/>
      <c r="W148" s="38" t="s">
        <v>66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/>
      <c r="AB148" s="66"/>
      <c r="AC148" s="207" t="s">
        <v>251</v>
      </c>
      <c r="AG148" s="75"/>
      <c r="AJ148" s="79"/>
      <c r="AK148" s="79">
        <v>0</v>
      </c>
      <c r="BB148" s="208" t="s">
        <v>1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252</v>
      </c>
      <c r="B149" s="60" t="s">
        <v>253</v>
      </c>
      <c r="C149" s="34">
        <v>4301052172</v>
      </c>
      <c r="D149" s="626">
        <v>4680115888180</v>
      </c>
      <c r="E149" s="627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76</v>
      </c>
      <c r="L149" s="35"/>
      <c r="M149" s="36" t="s">
        <v>83</v>
      </c>
      <c r="N149" s="36"/>
      <c r="O149" s="35">
        <v>40</v>
      </c>
      <c r="P149" s="96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0"/>
      <c r="R149" s="620"/>
      <c r="S149" s="620"/>
      <c r="T149" s="621"/>
      <c r="U149" s="37"/>
      <c r="V149" s="37"/>
      <c r="W149" s="38" t="s">
        <v>66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/>
      <c r="AB149" s="66"/>
      <c r="AC149" s="209" t="s">
        <v>254</v>
      </c>
      <c r="AG149" s="75"/>
      <c r="AJ149" s="79"/>
      <c r="AK149" s="79">
        <v>0</v>
      </c>
      <c r="BB149" s="210" t="s">
        <v>1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255</v>
      </c>
      <c r="B150" s="60" t="s">
        <v>256</v>
      </c>
      <c r="C150" s="34">
        <v>4301052173</v>
      </c>
      <c r="D150" s="626">
        <v>4680115888197</v>
      </c>
      <c r="E150" s="627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76</v>
      </c>
      <c r="L150" s="35"/>
      <c r="M150" s="36" t="s">
        <v>83</v>
      </c>
      <c r="N150" s="36"/>
      <c r="O150" s="35">
        <v>40</v>
      </c>
      <c r="P150" s="65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0"/>
      <c r="R150" s="620"/>
      <c r="S150" s="620"/>
      <c r="T150" s="621"/>
      <c r="U150" s="37"/>
      <c r="V150" s="37"/>
      <c r="W150" s="38" t="s">
        <v>66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/>
      <c r="AB150" s="66"/>
      <c r="AC150" s="211" t="s">
        <v>257</v>
      </c>
      <c r="AG150" s="75"/>
      <c r="AJ150" s="79"/>
      <c r="AK150" s="79">
        <v>0</v>
      </c>
      <c r="BB150" s="212" t="s">
        <v>1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258</v>
      </c>
      <c r="B151" s="60" t="s">
        <v>259</v>
      </c>
      <c r="C151" s="34">
        <v>4301052175</v>
      </c>
      <c r="D151" s="626">
        <v>4680115888210</v>
      </c>
      <c r="E151" s="627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76</v>
      </c>
      <c r="L151" s="35"/>
      <c r="M151" s="36" t="s">
        <v>83</v>
      </c>
      <c r="N151" s="36"/>
      <c r="O151" s="35">
        <v>40</v>
      </c>
      <c r="P151" s="96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0"/>
      <c r="R151" s="620"/>
      <c r="S151" s="620"/>
      <c r="T151" s="621"/>
      <c r="U151" s="37"/>
      <c r="V151" s="37"/>
      <c r="W151" s="38" t="s">
        <v>66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/>
      <c r="AB151" s="66"/>
      <c r="AC151" s="213" t="s">
        <v>260</v>
      </c>
      <c r="AG151" s="75"/>
      <c r="AJ151" s="79"/>
      <c r="AK151" s="79">
        <v>0</v>
      </c>
      <c r="BB151" s="214" t="s">
        <v>1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idden="1" x14ac:dyDescent="0.2">
      <c r="A152" s="623"/>
      <c r="B152" s="624"/>
      <c r="C152" s="624"/>
      <c r="D152" s="624"/>
      <c r="E152" s="624"/>
      <c r="F152" s="624"/>
      <c r="G152" s="624"/>
      <c r="H152" s="624"/>
      <c r="I152" s="624"/>
      <c r="J152" s="624"/>
      <c r="K152" s="624"/>
      <c r="L152" s="624"/>
      <c r="M152" s="624"/>
      <c r="N152" s="624"/>
      <c r="O152" s="625"/>
      <c r="P152" s="631" t="s">
        <v>71</v>
      </c>
      <c r="Q152" s="632"/>
      <c r="R152" s="632"/>
      <c r="S152" s="632"/>
      <c r="T152" s="632"/>
      <c r="U152" s="632"/>
      <c r="V152" s="633"/>
      <c r="W152" s="40" t="s">
        <v>72</v>
      </c>
      <c r="X152" s="41">
        <f>IFERROR(X148/H148,"0")+IFERROR(X149/H149,"0")+IFERROR(X150/H150,"0")+IFERROR(X151/H151,"0")</f>
        <v>0</v>
      </c>
      <c r="Y152" s="41">
        <f>IFERROR(Y148/H148,"0")+IFERROR(Y149/H149,"0")+IFERROR(Y150/H150,"0")+IFERROR(Y151/H151,"0")</f>
        <v>0</v>
      </c>
      <c r="Z152" s="41">
        <f>IFERROR(IF(Z148="",0,Z148),"0")+IFERROR(IF(Z149="",0,Z149),"0")+IFERROR(IF(Z150="",0,Z150),"0")+IFERROR(IF(Z151="",0,Z151),"0")</f>
        <v>0</v>
      </c>
      <c r="AA152" s="64"/>
      <c r="AB152" s="64"/>
      <c r="AC152" s="64"/>
    </row>
    <row r="153" spans="1:68" hidden="1" x14ac:dyDescent="0.2">
      <c r="A153" s="624"/>
      <c r="B153" s="624"/>
      <c r="C153" s="624"/>
      <c r="D153" s="624"/>
      <c r="E153" s="624"/>
      <c r="F153" s="624"/>
      <c r="G153" s="624"/>
      <c r="H153" s="624"/>
      <c r="I153" s="624"/>
      <c r="J153" s="624"/>
      <c r="K153" s="624"/>
      <c r="L153" s="624"/>
      <c r="M153" s="624"/>
      <c r="N153" s="624"/>
      <c r="O153" s="625"/>
      <c r="P153" s="631" t="s">
        <v>71</v>
      </c>
      <c r="Q153" s="632"/>
      <c r="R153" s="632"/>
      <c r="S153" s="632"/>
      <c r="T153" s="632"/>
      <c r="U153" s="632"/>
      <c r="V153" s="633"/>
      <c r="W153" s="40" t="s">
        <v>66</v>
      </c>
      <c r="X153" s="41">
        <f>IFERROR(SUM(X148:X151),"0")</f>
        <v>0</v>
      </c>
      <c r="Y153" s="41">
        <f>IFERROR(SUM(Y148:Y151),"0")</f>
        <v>0</v>
      </c>
      <c r="Z153" s="40"/>
      <c r="AA153" s="64"/>
      <c r="AB153" s="64"/>
      <c r="AC153" s="64"/>
    </row>
    <row r="154" spans="1:68" ht="16.5" hidden="1" customHeight="1" x14ac:dyDescent="0.25">
      <c r="A154" s="639" t="s">
        <v>114</v>
      </c>
      <c r="B154" s="624"/>
      <c r="C154" s="624"/>
      <c r="D154" s="624"/>
      <c r="E154" s="624"/>
      <c r="F154" s="624"/>
      <c r="G154" s="624"/>
      <c r="H154" s="624"/>
      <c r="I154" s="624"/>
      <c r="J154" s="624"/>
      <c r="K154" s="624"/>
      <c r="L154" s="624"/>
      <c r="M154" s="624"/>
      <c r="N154" s="624"/>
      <c r="O154" s="624"/>
      <c r="P154" s="624"/>
      <c r="Q154" s="624"/>
      <c r="R154" s="624"/>
      <c r="S154" s="624"/>
      <c r="T154" s="624"/>
      <c r="U154" s="624"/>
      <c r="V154" s="624"/>
      <c r="W154" s="624"/>
      <c r="X154" s="624"/>
      <c r="Y154" s="624"/>
      <c r="Z154" s="624"/>
      <c r="AA154" s="62"/>
      <c r="AB154" s="62"/>
      <c r="AC154" s="62"/>
    </row>
    <row r="155" spans="1:68" ht="14.25" hidden="1" customHeight="1" x14ac:dyDescent="0.25">
      <c r="A155" s="628" t="s">
        <v>116</v>
      </c>
      <c r="B155" s="624"/>
      <c r="C155" s="624"/>
      <c r="D155" s="624"/>
      <c r="E155" s="624"/>
      <c r="F155" s="624"/>
      <c r="G155" s="624"/>
      <c r="H155" s="624"/>
      <c r="I155" s="624"/>
      <c r="J155" s="624"/>
      <c r="K155" s="624"/>
      <c r="L155" s="624"/>
      <c r="M155" s="624"/>
      <c r="N155" s="624"/>
      <c r="O155" s="624"/>
      <c r="P155" s="624"/>
      <c r="Q155" s="624"/>
      <c r="R155" s="624"/>
      <c r="S155" s="624"/>
      <c r="T155" s="624"/>
      <c r="U155" s="624"/>
      <c r="V155" s="624"/>
      <c r="W155" s="624"/>
      <c r="X155" s="624"/>
      <c r="Y155" s="624"/>
      <c r="Z155" s="624"/>
      <c r="AA155" s="63"/>
      <c r="AB155" s="63"/>
      <c r="AC155" s="63"/>
    </row>
    <row r="156" spans="1:68" ht="16.5" hidden="1" customHeight="1" x14ac:dyDescent="0.25">
      <c r="A156" s="60" t="s">
        <v>261</v>
      </c>
      <c r="B156" s="60" t="s">
        <v>262</v>
      </c>
      <c r="C156" s="34">
        <v>4301012344</v>
      </c>
      <c r="D156" s="626">
        <v>4680115888876</v>
      </c>
      <c r="E156" s="627"/>
      <c r="F156" s="59">
        <v>0.43</v>
      </c>
      <c r="G156" s="35">
        <v>6</v>
      </c>
      <c r="H156" s="59">
        <v>2.58</v>
      </c>
      <c r="I156" s="59">
        <v>2.76</v>
      </c>
      <c r="J156" s="35">
        <v>182</v>
      </c>
      <c r="K156" s="35" t="s">
        <v>76</v>
      </c>
      <c r="L156" s="35"/>
      <c r="M156" s="36" t="s">
        <v>77</v>
      </c>
      <c r="N156" s="36"/>
      <c r="O156" s="35">
        <v>55</v>
      </c>
      <c r="P156" s="84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0"/>
      <c r="R156" s="620"/>
      <c r="S156" s="620"/>
      <c r="T156" s="621"/>
      <c r="U156" s="37"/>
      <c r="V156" s="37"/>
      <c r="W156" s="38" t="s">
        <v>66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/>
      <c r="AB156" s="66" t="s">
        <v>263</v>
      </c>
      <c r="AC156" s="215" t="s">
        <v>264</v>
      </c>
      <c r="AG156" s="75"/>
      <c r="AJ156" s="79"/>
      <c r="AK156" s="79">
        <v>0</v>
      </c>
      <c r="BB156" s="216" t="s">
        <v>1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265</v>
      </c>
      <c r="B157" s="60" t="s">
        <v>266</v>
      </c>
      <c r="C157" s="34">
        <v>4301012244</v>
      </c>
      <c r="D157" s="626">
        <v>4680115887374</v>
      </c>
      <c r="E157" s="627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119</v>
      </c>
      <c r="L157" s="35"/>
      <c r="M157" s="36" t="s">
        <v>120</v>
      </c>
      <c r="N157" s="36"/>
      <c r="O157" s="35">
        <v>55</v>
      </c>
      <c r="P157" s="67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0"/>
      <c r="R157" s="620"/>
      <c r="S157" s="620"/>
      <c r="T157" s="621"/>
      <c r="U157" s="37"/>
      <c r="V157" s="37"/>
      <c r="W157" s="38" t="s">
        <v>66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/>
      <c r="AB157" s="66"/>
      <c r="AC157" s="217" t="s">
        <v>267</v>
      </c>
      <c r="AG157" s="75"/>
      <c r="AJ157" s="79"/>
      <c r="AK157" s="79">
        <v>0</v>
      </c>
      <c r="BB157" s="218" t="s">
        <v>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268</v>
      </c>
      <c r="B158" s="60" t="s">
        <v>269</v>
      </c>
      <c r="C158" s="34">
        <v>4301011705</v>
      </c>
      <c r="D158" s="626">
        <v>4607091384604</v>
      </c>
      <c r="E158" s="627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128</v>
      </c>
      <c r="L158" s="35"/>
      <c r="M158" s="36" t="s">
        <v>120</v>
      </c>
      <c r="N158" s="36"/>
      <c r="O158" s="35">
        <v>50</v>
      </c>
      <c r="P158" s="6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0"/>
      <c r="R158" s="620"/>
      <c r="S158" s="620"/>
      <c r="T158" s="621"/>
      <c r="U158" s="37"/>
      <c r="V158" s="37"/>
      <c r="W158" s="38" t="s">
        <v>66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/>
      <c r="AB158" s="66"/>
      <c r="AC158" s="219" t="s">
        <v>270</v>
      </c>
      <c r="AG158" s="75"/>
      <c r="AJ158" s="79"/>
      <c r="AK158" s="79">
        <v>0</v>
      </c>
      <c r="BB158" s="220" t="s">
        <v>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23"/>
      <c r="B159" s="624"/>
      <c r="C159" s="624"/>
      <c r="D159" s="624"/>
      <c r="E159" s="624"/>
      <c r="F159" s="624"/>
      <c r="G159" s="624"/>
      <c r="H159" s="624"/>
      <c r="I159" s="624"/>
      <c r="J159" s="624"/>
      <c r="K159" s="624"/>
      <c r="L159" s="624"/>
      <c r="M159" s="624"/>
      <c r="N159" s="624"/>
      <c r="O159" s="625"/>
      <c r="P159" s="631" t="s">
        <v>71</v>
      </c>
      <c r="Q159" s="632"/>
      <c r="R159" s="632"/>
      <c r="S159" s="632"/>
      <c r="T159" s="632"/>
      <c r="U159" s="632"/>
      <c r="V159" s="633"/>
      <c r="W159" s="40" t="s">
        <v>72</v>
      </c>
      <c r="X159" s="41">
        <f>IFERROR(X156/H156,"0")+IFERROR(X157/H157,"0")+IFERROR(X158/H158,"0")</f>
        <v>0</v>
      </c>
      <c r="Y159" s="41">
        <f>IFERROR(Y156/H156,"0")+IFERROR(Y157/H157,"0")+IFERROR(Y158/H158,"0")</f>
        <v>0</v>
      </c>
      <c r="Z159" s="41">
        <f>IFERROR(IF(Z156="",0,Z156),"0")+IFERROR(IF(Z157="",0,Z157),"0")+IFERROR(IF(Z158="",0,Z158),"0")</f>
        <v>0</v>
      </c>
      <c r="AA159" s="64"/>
      <c r="AB159" s="64"/>
      <c r="AC159" s="64"/>
    </row>
    <row r="160" spans="1:68" hidden="1" x14ac:dyDescent="0.2">
      <c r="A160" s="624"/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5"/>
      <c r="P160" s="631" t="s">
        <v>71</v>
      </c>
      <c r="Q160" s="632"/>
      <c r="R160" s="632"/>
      <c r="S160" s="632"/>
      <c r="T160" s="632"/>
      <c r="U160" s="632"/>
      <c r="V160" s="633"/>
      <c r="W160" s="40" t="s">
        <v>66</v>
      </c>
      <c r="X160" s="41">
        <f>IFERROR(SUM(X156:X158),"0")</f>
        <v>0</v>
      </c>
      <c r="Y160" s="41">
        <f>IFERROR(SUM(Y156:Y158),"0")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28" t="s">
        <v>152</v>
      </c>
      <c r="B161" s="624"/>
      <c r="C161" s="624"/>
      <c r="D161" s="624"/>
      <c r="E161" s="624"/>
      <c r="F161" s="624"/>
      <c r="G161" s="624"/>
      <c r="H161" s="624"/>
      <c r="I161" s="624"/>
      <c r="J161" s="624"/>
      <c r="K161" s="624"/>
      <c r="L161" s="624"/>
      <c r="M161" s="624"/>
      <c r="N161" s="624"/>
      <c r="O161" s="624"/>
      <c r="P161" s="624"/>
      <c r="Q161" s="624"/>
      <c r="R161" s="624"/>
      <c r="S161" s="624"/>
      <c r="T161" s="624"/>
      <c r="U161" s="624"/>
      <c r="V161" s="624"/>
      <c r="W161" s="624"/>
      <c r="X161" s="624"/>
      <c r="Y161" s="624"/>
      <c r="Z161" s="624"/>
      <c r="AA161" s="63"/>
      <c r="AB161" s="63"/>
      <c r="AC161" s="63"/>
    </row>
    <row r="162" spans="1:68" ht="16.5" hidden="1" customHeight="1" x14ac:dyDescent="0.25">
      <c r="A162" s="60" t="s">
        <v>271</v>
      </c>
      <c r="B162" s="60" t="s">
        <v>272</v>
      </c>
      <c r="C162" s="34">
        <v>4301020410</v>
      </c>
      <c r="D162" s="626">
        <v>4680115887695</v>
      </c>
      <c r="E162" s="627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64</v>
      </c>
      <c r="L162" s="35"/>
      <c r="M162" s="36" t="s">
        <v>65</v>
      </c>
      <c r="N162" s="36"/>
      <c r="O162" s="35">
        <v>30</v>
      </c>
      <c r="P162" s="8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0"/>
      <c r="R162" s="620"/>
      <c r="S162" s="620"/>
      <c r="T162" s="621"/>
      <c r="U162" s="37"/>
      <c r="V162" s="37"/>
      <c r="W162" s="38" t="s">
        <v>66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/>
      <c r="AB162" s="66"/>
      <c r="AC162" s="221" t="s">
        <v>273</v>
      </c>
      <c r="AG162" s="75"/>
      <c r="AJ162" s="79"/>
      <c r="AK162" s="79">
        <v>0</v>
      </c>
      <c r="BB162" s="222" t="s">
        <v>1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23"/>
      <c r="B163" s="624"/>
      <c r="C163" s="624"/>
      <c r="D163" s="624"/>
      <c r="E163" s="624"/>
      <c r="F163" s="624"/>
      <c r="G163" s="624"/>
      <c r="H163" s="624"/>
      <c r="I163" s="624"/>
      <c r="J163" s="624"/>
      <c r="K163" s="624"/>
      <c r="L163" s="624"/>
      <c r="M163" s="624"/>
      <c r="N163" s="624"/>
      <c r="O163" s="625"/>
      <c r="P163" s="631" t="s">
        <v>71</v>
      </c>
      <c r="Q163" s="632"/>
      <c r="R163" s="632"/>
      <c r="S163" s="632"/>
      <c r="T163" s="632"/>
      <c r="U163" s="632"/>
      <c r="V163" s="633"/>
      <c r="W163" s="40" t="s">
        <v>72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624"/>
      <c r="B164" s="624"/>
      <c r="C164" s="624"/>
      <c r="D164" s="624"/>
      <c r="E164" s="624"/>
      <c r="F164" s="624"/>
      <c r="G164" s="624"/>
      <c r="H164" s="624"/>
      <c r="I164" s="624"/>
      <c r="J164" s="624"/>
      <c r="K164" s="624"/>
      <c r="L164" s="624"/>
      <c r="M164" s="624"/>
      <c r="N164" s="624"/>
      <c r="O164" s="625"/>
      <c r="P164" s="631" t="s">
        <v>71</v>
      </c>
      <c r="Q164" s="632"/>
      <c r="R164" s="632"/>
      <c r="S164" s="632"/>
      <c r="T164" s="632"/>
      <c r="U164" s="632"/>
      <c r="V164" s="633"/>
      <c r="W164" s="40" t="s">
        <v>66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28" t="s">
        <v>61</v>
      </c>
      <c r="B165" s="624"/>
      <c r="C165" s="624"/>
      <c r="D165" s="624"/>
      <c r="E165" s="624"/>
      <c r="F165" s="624"/>
      <c r="G165" s="624"/>
      <c r="H165" s="624"/>
      <c r="I165" s="624"/>
      <c r="J165" s="624"/>
      <c r="K165" s="624"/>
      <c r="L165" s="624"/>
      <c r="M165" s="624"/>
      <c r="N165" s="624"/>
      <c r="O165" s="624"/>
      <c r="P165" s="624"/>
      <c r="Q165" s="624"/>
      <c r="R165" s="624"/>
      <c r="S165" s="624"/>
      <c r="T165" s="624"/>
      <c r="U165" s="624"/>
      <c r="V165" s="624"/>
      <c r="W165" s="624"/>
      <c r="X165" s="624"/>
      <c r="Y165" s="624"/>
      <c r="Z165" s="624"/>
      <c r="AA165" s="63"/>
      <c r="AB165" s="63"/>
      <c r="AC165" s="63"/>
    </row>
    <row r="166" spans="1:68" ht="27" hidden="1" customHeight="1" x14ac:dyDescent="0.25">
      <c r="A166" s="60" t="s">
        <v>274</v>
      </c>
      <c r="B166" s="60" t="s">
        <v>275</v>
      </c>
      <c r="C166" s="34">
        <v>4301031496</v>
      </c>
      <c r="D166" s="626">
        <v>4680115887428</v>
      </c>
      <c r="E166" s="627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128</v>
      </c>
      <c r="L166" s="35"/>
      <c r="M166" s="36" t="s">
        <v>65</v>
      </c>
      <c r="N166" s="36"/>
      <c r="O166" s="35">
        <v>40</v>
      </c>
      <c r="P166" s="6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0"/>
      <c r="R166" s="620"/>
      <c r="S166" s="620"/>
      <c r="T166" s="621"/>
      <c r="U166" s="37"/>
      <c r="V166" s="37"/>
      <c r="W166" s="38" t="s">
        <v>66</v>
      </c>
      <c r="X166" s="56">
        <v>0</v>
      </c>
      <c r="Y166" s="53">
        <f t="shared" ref="Y166:Y177" si="10">IFERROR(IF(X166="",0,CEILING((X166/$H166),1)*$H166),"")</f>
        <v>0</v>
      </c>
      <c r="Z166" s="39" t="str">
        <f>IFERROR(IF(Y166=0,"",ROUNDUP(Y166/H166,0)*0.00902),"")</f>
        <v/>
      </c>
      <c r="AA166" s="65"/>
      <c r="AB166" s="66"/>
      <c r="AC166" s="223" t="s">
        <v>276</v>
      </c>
      <c r="AG166" s="75"/>
      <c r="AJ166" s="79"/>
      <c r="AK166" s="79">
        <v>0</v>
      </c>
      <c r="BB166" s="224" t="s">
        <v>1</v>
      </c>
      <c r="BM166" s="75">
        <f t="shared" ref="BM166:BM177" si="11">IFERROR(X166*I166/H166,"0")</f>
        <v>0</v>
      </c>
      <c r="BN166" s="75">
        <f t="shared" ref="BN166:BN177" si="12">IFERROR(Y166*I166/H166,"0")</f>
        <v>0</v>
      </c>
      <c r="BO166" s="75">
        <f t="shared" ref="BO166:BO177" si="13">IFERROR(1/J166*(X166/H166),"0")</f>
        <v>0</v>
      </c>
      <c r="BP166" s="75">
        <f t="shared" ref="BP166:BP177" si="14">IFERROR(1/J166*(Y166/H166),"0")</f>
        <v>0</v>
      </c>
    </row>
    <row r="167" spans="1:68" ht="27" hidden="1" customHeight="1" x14ac:dyDescent="0.25">
      <c r="A167" s="60" t="s">
        <v>277</v>
      </c>
      <c r="B167" s="60" t="s">
        <v>278</v>
      </c>
      <c r="C167" s="34">
        <v>4301030963</v>
      </c>
      <c r="D167" s="626">
        <v>4607091382426</v>
      </c>
      <c r="E167" s="627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119</v>
      </c>
      <c r="L167" s="35"/>
      <c r="M167" s="36" t="s">
        <v>65</v>
      </c>
      <c r="N167" s="36"/>
      <c r="O167" s="35">
        <v>40</v>
      </c>
      <c r="P167" s="7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0"/>
      <c r="R167" s="620"/>
      <c r="S167" s="620"/>
      <c r="T167" s="621"/>
      <c r="U167" s="37"/>
      <c r="V167" s="37"/>
      <c r="W167" s="38" t="s">
        <v>66</v>
      </c>
      <c r="X167" s="56">
        <v>0</v>
      </c>
      <c r="Y167" s="53">
        <f t="shared" si="10"/>
        <v>0</v>
      </c>
      <c r="Z167" s="39" t="str">
        <f>IFERROR(IF(Y167=0,"",ROUNDUP(Y167/H167,0)*0.01898),"")</f>
        <v/>
      </c>
      <c r="AA167" s="65"/>
      <c r="AB167" s="66"/>
      <c r="AC167" s="225" t="s">
        <v>279</v>
      </c>
      <c r="AG167" s="75"/>
      <c r="AJ167" s="79"/>
      <c r="AK167" s="79">
        <v>0</v>
      </c>
      <c r="BB167" s="226" t="s">
        <v>1</v>
      </c>
      <c r="BM167" s="75">
        <f t="shared" si="11"/>
        <v>0</v>
      </c>
      <c r="BN167" s="75">
        <f t="shared" si="12"/>
        <v>0</v>
      </c>
      <c r="BO167" s="75">
        <f t="shared" si="13"/>
        <v>0</v>
      </c>
      <c r="BP167" s="75">
        <f t="shared" si="14"/>
        <v>0</v>
      </c>
    </row>
    <row r="168" spans="1:68" ht="27" hidden="1" customHeight="1" x14ac:dyDescent="0.25">
      <c r="A168" s="60" t="s">
        <v>280</v>
      </c>
      <c r="B168" s="60" t="s">
        <v>281</v>
      </c>
      <c r="C168" s="34">
        <v>4301031509</v>
      </c>
      <c r="D168" s="626">
        <v>4680115889170</v>
      </c>
      <c r="E168" s="627"/>
      <c r="F168" s="59">
        <v>0.7</v>
      </c>
      <c r="G168" s="35">
        <v>5</v>
      </c>
      <c r="H168" s="59">
        <v>3.5</v>
      </c>
      <c r="I168" s="59">
        <v>3.7650000000000001</v>
      </c>
      <c r="J168" s="35">
        <v>132</v>
      </c>
      <c r="K168" s="35" t="s">
        <v>128</v>
      </c>
      <c r="L168" s="35"/>
      <c r="M168" s="36" t="s">
        <v>65</v>
      </c>
      <c r="N168" s="36"/>
      <c r="O168" s="35">
        <v>45</v>
      </c>
      <c r="P168" s="7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0"/>
      <c r="R168" s="620"/>
      <c r="S168" s="620"/>
      <c r="T168" s="621"/>
      <c r="U168" s="37"/>
      <c r="V168" s="37"/>
      <c r="W168" s="38" t="s">
        <v>66</v>
      </c>
      <c r="X168" s="56">
        <v>0</v>
      </c>
      <c r="Y168" s="53">
        <f t="shared" si="10"/>
        <v>0</v>
      </c>
      <c r="Z168" s="39" t="str">
        <f>IFERROR(IF(Y168=0,"",ROUNDUP(Y168/H168,0)*0.00902),"")</f>
        <v/>
      </c>
      <c r="AA168" s="65"/>
      <c r="AB168" s="66"/>
      <c r="AC168" s="227" t="s">
        <v>282</v>
      </c>
      <c r="AG168" s="75"/>
      <c r="AJ168" s="79"/>
      <c r="AK168" s="79">
        <v>0</v>
      </c>
      <c r="BB168" s="228" t="s">
        <v>1</v>
      </c>
      <c r="BM168" s="75">
        <f t="shared" si="11"/>
        <v>0</v>
      </c>
      <c r="BN168" s="75">
        <f t="shared" si="12"/>
        <v>0</v>
      </c>
      <c r="BO168" s="75">
        <f t="shared" si="13"/>
        <v>0</v>
      </c>
      <c r="BP168" s="75">
        <f t="shared" si="14"/>
        <v>0</v>
      </c>
    </row>
    <row r="169" spans="1:68" ht="27" hidden="1" customHeight="1" x14ac:dyDescent="0.25">
      <c r="A169" s="60" t="s">
        <v>283</v>
      </c>
      <c r="B169" s="60" t="s">
        <v>284</v>
      </c>
      <c r="C169" s="34">
        <v>4301031498</v>
      </c>
      <c r="D169" s="626">
        <v>4680115887398</v>
      </c>
      <c r="E169" s="627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128</v>
      </c>
      <c r="L169" s="35"/>
      <c r="M169" s="36" t="s">
        <v>65</v>
      </c>
      <c r="N169" s="36"/>
      <c r="O169" s="35">
        <v>40</v>
      </c>
      <c r="P169" s="75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0"/>
      <c r="R169" s="620"/>
      <c r="S169" s="620"/>
      <c r="T169" s="621"/>
      <c r="U169" s="37"/>
      <c r="V169" s="37"/>
      <c r="W169" s="38" t="s">
        <v>66</v>
      </c>
      <c r="X169" s="56">
        <v>0</v>
      </c>
      <c r="Y169" s="53">
        <f t="shared" si="10"/>
        <v>0</v>
      </c>
      <c r="Z169" s="39" t="str">
        <f>IFERROR(IF(Y169=0,"",ROUNDUP(Y169/H169,0)*0.00902),"")</f>
        <v/>
      </c>
      <c r="AA169" s="65"/>
      <c r="AB169" s="66"/>
      <c r="AC169" s="229" t="s">
        <v>285</v>
      </c>
      <c r="AG169" s="75"/>
      <c r="AJ169" s="79"/>
      <c r="AK169" s="79">
        <v>0</v>
      </c>
      <c r="BB169" s="230" t="s">
        <v>1</v>
      </c>
      <c r="BM169" s="75">
        <f t="shared" si="11"/>
        <v>0</v>
      </c>
      <c r="BN169" s="75">
        <f t="shared" si="12"/>
        <v>0</v>
      </c>
      <c r="BO169" s="75">
        <f t="shared" si="13"/>
        <v>0</v>
      </c>
      <c r="BP169" s="75">
        <f t="shared" si="14"/>
        <v>0</v>
      </c>
    </row>
    <row r="170" spans="1:68" ht="27" hidden="1" customHeight="1" x14ac:dyDescent="0.25">
      <c r="A170" s="60" t="s">
        <v>286</v>
      </c>
      <c r="B170" s="60" t="s">
        <v>287</v>
      </c>
      <c r="C170" s="34">
        <v>4301031497</v>
      </c>
      <c r="D170" s="626">
        <v>4680115887336</v>
      </c>
      <c r="E170" s="627"/>
      <c r="F170" s="59">
        <v>0.7</v>
      </c>
      <c r="G170" s="35">
        <v>5</v>
      </c>
      <c r="H170" s="59">
        <v>3.5</v>
      </c>
      <c r="I170" s="59">
        <v>3.69</v>
      </c>
      <c r="J170" s="35">
        <v>132</v>
      </c>
      <c r="K170" s="35" t="s">
        <v>128</v>
      </c>
      <c r="L170" s="35"/>
      <c r="M170" s="36" t="s">
        <v>65</v>
      </c>
      <c r="N170" s="36"/>
      <c r="O170" s="35">
        <v>40</v>
      </c>
      <c r="P170" s="65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0"/>
      <c r="R170" s="620"/>
      <c r="S170" s="620"/>
      <c r="T170" s="621"/>
      <c r="U170" s="37"/>
      <c r="V170" s="37"/>
      <c r="W170" s="38" t="s">
        <v>66</v>
      </c>
      <c r="X170" s="56">
        <v>0</v>
      </c>
      <c r="Y170" s="53">
        <f t="shared" si="10"/>
        <v>0</v>
      </c>
      <c r="Z170" s="39" t="str">
        <f>IFERROR(IF(Y170=0,"",ROUNDUP(Y170/H170,0)*0.00902),"")</f>
        <v/>
      </c>
      <c r="AA170" s="65"/>
      <c r="AB170" s="66"/>
      <c r="AC170" s="231" t="s">
        <v>288</v>
      </c>
      <c r="AG170" s="75"/>
      <c r="AJ170" s="79"/>
      <c r="AK170" s="79">
        <v>0</v>
      </c>
      <c r="BB170" s="232" t="s">
        <v>1</v>
      </c>
      <c r="BM170" s="75">
        <f t="shared" si="11"/>
        <v>0</v>
      </c>
      <c r="BN170" s="75">
        <f t="shared" si="12"/>
        <v>0</v>
      </c>
      <c r="BO170" s="75">
        <f t="shared" si="13"/>
        <v>0</v>
      </c>
      <c r="BP170" s="75">
        <f t="shared" si="14"/>
        <v>0</v>
      </c>
    </row>
    <row r="171" spans="1:68" ht="16.5" hidden="1" customHeight="1" x14ac:dyDescent="0.25">
      <c r="A171" s="60" t="s">
        <v>289</v>
      </c>
      <c r="B171" s="60" t="s">
        <v>290</v>
      </c>
      <c r="C171" s="34">
        <v>4301032049</v>
      </c>
      <c r="D171" s="626">
        <v>4680115887787</v>
      </c>
      <c r="E171" s="627"/>
      <c r="F171" s="59">
        <v>0.09</v>
      </c>
      <c r="G171" s="35">
        <v>10</v>
      </c>
      <c r="H171" s="59">
        <v>0.9</v>
      </c>
      <c r="I171" s="59">
        <v>1.1100000000000001</v>
      </c>
      <c r="J171" s="35">
        <v>336</v>
      </c>
      <c r="K171" s="35" t="s">
        <v>124</v>
      </c>
      <c r="L171" s="35"/>
      <c r="M171" s="36" t="s">
        <v>65</v>
      </c>
      <c r="N171" s="36"/>
      <c r="O171" s="35">
        <v>45</v>
      </c>
      <c r="P171" s="69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0"/>
      <c r="R171" s="620"/>
      <c r="S171" s="620"/>
      <c r="T171" s="621"/>
      <c r="U171" s="37"/>
      <c r="V171" s="37"/>
      <c r="W171" s="38" t="s">
        <v>66</v>
      </c>
      <c r="X171" s="56">
        <v>0</v>
      </c>
      <c r="Y171" s="53">
        <f t="shared" si="10"/>
        <v>0</v>
      </c>
      <c r="Z171" s="39" t="str">
        <f>IFERROR(IF(Y171=0,"",ROUNDUP(Y171/H171,0)*0.00417),"")</f>
        <v/>
      </c>
      <c r="AA171" s="65"/>
      <c r="AB171" s="66"/>
      <c r="AC171" s="233" t="s">
        <v>291</v>
      </c>
      <c r="AG171" s="75"/>
      <c r="AJ171" s="79"/>
      <c r="AK171" s="79">
        <v>0</v>
      </c>
      <c r="BB171" s="234" t="s">
        <v>1</v>
      </c>
      <c r="BM171" s="75">
        <f t="shared" si="11"/>
        <v>0</v>
      </c>
      <c r="BN171" s="75">
        <f t="shared" si="12"/>
        <v>0</v>
      </c>
      <c r="BO171" s="75">
        <f t="shared" si="13"/>
        <v>0</v>
      </c>
      <c r="BP171" s="75">
        <f t="shared" si="14"/>
        <v>0</v>
      </c>
    </row>
    <row r="172" spans="1:68" ht="27" hidden="1" customHeight="1" x14ac:dyDescent="0.25">
      <c r="A172" s="60" t="s">
        <v>292</v>
      </c>
      <c r="B172" s="60" t="s">
        <v>293</v>
      </c>
      <c r="C172" s="34">
        <v>4301031448</v>
      </c>
      <c r="D172" s="626">
        <v>4680115887503</v>
      </c>
      <c r="E172" s="627"/>
      <c r="F172" s="59">
        <v>0.28000000000000003</v>
      </c>
      <c r="G172" s="35">
        <v>6</v>
      </c>
      <c r="H172" s="59">
        <v>1.68</v>
      </c>
      <c r="I172" s="59">
        <v>1.78</v>
      </c>
      <c r="J172" s="35">
        <v>234</v>
      </c>
      <c r="K172" s="35" t="s">
        <v>64</v>
      </c>
      <c r="L172" s="35"/>
      <c r="M172" s="36" t="s">
        <v>65</v>
      </c>
      <c r="N172" s="36"/>
      <c r="O172" s="35">
        <v>40</v>
      </c>
      <c r="P172" s="6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0"/>
      <c r="R172" s="620"/>
      <c r="S172" s="620"/>
      <c r="T172" s="621"/>
      <c r="U172" s="37"/>
      <c r="V172" s="37"/>
      <c r="W172" s="38" t="s">
        <v>66</v>
      </c>
      <c r="X172" s="56">
        <v>0</v>
      </c>
      <c r="Y172" s="53">
        <f t="shared" si="10"/>
        <v>0</v>
      </c>
      <c r="Z172" s="39" t="str">
        <f>IFERROR(IF(Y172=0,"",ROUNDUP(Y172/H172,0)*0.00502),"")</f>
        <v/>
      </c>
      <c r="AA172" s="65"/>
      <c r="AB172" s="66"/>
      <c r="AC172" s="235" t="s">
        <v>276</v>
      </c>
      <c r="AG172" s="75"/>
      <c r="AJ172" s="79"/>
      <c r="AK172" s="79">
        <v>0</v>
      </c>
      <c r="BB172" s="236" t="s">
        <v>1</v>
      </c>
      <c r="BM172" s="75">
        <f t="shared" si="11"/>
        <v>0</v>
      </c>
      <c r="BN172" s="75">
        <f t="shared" si="12"/>
        <v>0</v>
      </c>
      <c r="BO172" s="75">
        <f t="shared" si="13"/>
        <v>0</v>
      </c>
      <c r="BP172" s="75">
        <f t="shared" si="14"/>
        <v>0</v>
      </c>
    </row>
    <row r="173" spans="1:68" ht="27" hidden="1" customHeight="1" x14ac:dyDescent="0.25">
      <c r="A173" s="60" t="s">
        <v>294</v>
      </c>
      <c r="B173" s="60" t="s">
        <v>295</v>
      </c>
      <c r="C173" s="34">
        <v>4301031389</v>
      </c>
      <c r="D173" s="626">
        <v>4680115887763</v>
      </c>
      <c r="E173" s="627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124</v>
      </c>
      <c r="L173" s="35"/>
      <c r="M173" s="36" t="s">
        <v>65</v>
      </c>
      <c r="N173" s="36"/>
      <c r="O173" s="35">
        <v>45</v>
      </c>
      <c r="P173" s="6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0"/>
      <c r="R173" s="620"/>
      <c r="S173" s="620"/>
      <c r="T173" s="621"/>
      <c r="U173" s="37"/>
      <c r="V173" s="37"/>
      <c r="W173" s="38" t="s">
        <v>66</v>
      </c>
      <c r="X173" s="56">
        <v>0</v>
      </c>
      <c r="Y173" s="53">
        <f t="shared" si="10"/>
        <v>0</v>
      </c>
      <c r="Z173" s="39" t="str">
        <f>IFERROR(IF(Y173=0,"",ROUNDUP(Y173/H173,0)*0.00417),"")</f>
        <v/>
      </c>
      <c r="AA173" s="65"/>
      <c r="AB173" s="66"/>
      <c r="AC173" s="237" t="s">
        <v>296</v>
      </c>
      <c r="AG173" s="75"/>
      <c r="AJ173" s="79"/>
      <c r="AK173" s="79">
        <v>0</v>
      </c>
      <c r="BB173" s="238" t="s">
        <v>1</v>
      </c>
      <c r="BM173" s="75">
        <f t="shared" si="11"/>
        <v>0</v>
      </c>
      <c r="BN173" s="75">
        <f t="shared" si="12"/>
        <v>0</v>
      </c>
      <c r="BO173" s="75">
        <f t="shared" si="13"/>
        <v>0</v>
      </c>
      <c r="BP173" s="75">
        <f t="shared" si="14"/>
        <v>0</v>
      </c>
    </row>
    <row r="174" spans="1:68" ht="27" hidden="1" customHeight="1" x14ac:dyDescent="0.25">
      <c r="A174" s="60" t="s">
        <v>294</v>
      </c>
      <c r="B174" s="60" t="s">
        <v>297</v>
      </c>
      <c r="C174" s="34">
        <v>4301031510</v>
      </c>
      <c r="D174" s="626">
        <v>4680115887763</v>
      </c>
      <c r="E174" s="627"/>
      <c r="F174" s="59">
        <v>0.09</v>
      </c>
      <c r="G174" s="35">
        <v>8</v>
      </c>
      <c r="H174" s="59">
        <v>0.72</v>
      </c>
      <c r="I174" s="59">
        <v>0.90800000000000003</v>
      </c>
      <c r="J174" s="35">
        <v>336</v>
      </c>
      <c r="K174" s="35" t="s">
        <v>124</v>
      </c>
      <c r="L174" s="35"/>
      <c r="M174" s="36" t="s">
        <v>65</v>
      </c>
      <c r="N174" s="36"/>
      <c r="O174" s="35">
        <v>45</v>
      </c>
      <c r="P174" s="96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0"/>
      <c r="R174" s="620"/>
      <c r="S174" s="620"/>
      <c r="T174" s="621"/>
      <c r="U174" s="37"/>
      <c r="V174" s="37"/>
      <c r="W174" s="38" t="s">
        <v>66</v>
      </c>
      <c r="X174" s="56">
        <v>0</v>
      </c>
      <c r="Y174" s="53">
        <f t="shared" si="10"/>
        <v>0</v>
      </c>
      <c r="Z174" s="39" t="str">
        <f>IFERROR(IF(Y174=0,"",ROUNDUP(Y174/H174,0)*0.00417),"")</f>
        <v/>
      </c>
      <c r="AA174" s="65"/>
      <c r="AB174" s="66"/>
      <c r="AC174" s="239" t="s">
        <v>296</v>
      </c>
      <c r="AG174" s="75"/>
      <c r="AJ174" s="79"/>
      <c r="AK174" s="79">
        <v>0</v>
      </c>
      <c r="BB174" s="240" t="s">
        <v>1</v>
      </c>
      <c r="BM174" s="75">
        <f t="shared" si="11"/>
        <v>0</v>
      </c>
      <c r="BN174" s="75">
        <f t="shared" si="12"/>
        <v>0</v>
      </c>
      <c r="BO174" s="75">
        <f t="shared" si="13"/>
        <v>0</v>
      </c>
      <c r="BP174" s="75">
        <f t="shared" si="14"/>
        <v>0</v>
      </c>
    </row>
    <row r="175" spans="1:68" ht="27" hidden="1" customHeight="1" x14ac:dyDescent="0.25">
      <c r="A175" s="60" t="s">
        <v>298</v>
      </c>
      <c r="B175" s="60" t="s">
        <v>299</v>
      </c>
      <c r="C175" s="34">
        <v>4301031454</v>
      </c>
      <c r="D175" s="626">
        <v>4680115887480</v>
      </c>
      <c r="E175" s="627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64</v>
      </c>
      <c r="L175" s="35"/>
      <c r="M175" s="36" t="s">
        <v>65</v>
      </c>
      <c r="N175" s="36"/>
      <c r="O175" s="35">
        <v>40</v>
      </c>
      <c r="P175" s="86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0"/>
      <c r="R175" s="620"/>
      <c r="S175" s="620"/>
      <c r="T175" s="621"/>
      <c r="U175" s="37"/>
      <c r="V175" s="37"/>
      <c r="W175" s="38" t="s">
        <v>66</v>
      </c>
      <c r="X175" s="56">
        <v>0</v>
      </c>
      <c r="Y175" s="53">
        <f t="shared" si="10"/>
        <v>0</v>
      </c>
      <c r="Z175" s="39" t="str">
        <f>IFERROR(IF(Y175=0,"",ROUNDUP(Y175/H175,0)*0.00502),"")</f>
        <v/>
      </c>
      <c r="AA175" s="65"/>
      <c r="AB175" s="66"/>
      <c r="AC175" s="241" t="s">
        <v>285</v>
      </c>
      <c r="AG175" s="75"/>
      <c r="AJ175" s="79"/>
      <c r="AK175" s="79">
        <v>0</v>
      </c>
      <c r="BB175" s="242" t="s">
        <v>1</v>
      </c>
      <c r="BM175" s="75">
        <f t="shared" si="11"/>
        <v>0</v>
      </c>
      <c r="BN175" s="75">
        <f t="shared" si="12"/>
        <v>0</v>
      </c>
      <c r="BO175" s="75">
        <f t="shared" si="13"/>
        <v>0</v>
      </c>
      <c r="BP175" s="75">
        <f t="shared" si="14"/>
        <v>0</v>
      </c>
    </row>
    <row r="176" spans="1:68" ht="27" hidden="1" customHeight="1" x14ac:dyDescent="0.25">
      <c r="A176" s="60" t="s">
        <v>300</v>
      </c>
      <c r="B176" s="60" t="s">
        <v>301</v>
      </c>
      <c r="C176" s="34">
        <v>4301031434</v>
      </c>
      <c r="D176" s="626">
        <v>4680115888067</v>
      </c>
      <c r="E176" s="627"/>
      <c r="F176" s="59">
        <v>0.09</v>
      </c>
      <c r="G176" s="35">
        <v>10</v>
      </c>
      <c r="H176" s="59">
        <v>0.9</v>
      </c>
      <c r="I176" s="59">
        <v>1</v>
      </c>
      <c r="J176" s="35">
        <v>336</v>
      </c>
      <c r="K176" s="35" t="s">
        <v>124</v>
      </c>
      <c r="L176" s="35"/>
      <c r="M176" s="36" t="s">
        <v>65</v>
      </c>
      <c r="N176" s="36"/>
      <c r="O176" s="35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0"/>
      <c r="R176" s="620"/>
      <c r="S176" s="620"/>
      <c r="T176" s="621"/>
      <c r="U176" s="37"/>
      <c r="V176" s="37"/>
      <c r="W176" s="38" t="s">
        <v>66</v>
      </c>
      <c r="X176" s="56">
        <v>0</v>
      </c>
      <c r="Y176" s="53">
        <f t="shared" si="10"/>
        <v>0</v>
      </c>
      <c r="Z176" s="39" t="str">
        <f>IFERROR(IF(Y176=0,"",ROUNDUP(Y176/H176,0)*0.00417),"")</f>
        <v/>
      </c>
      <c r="AA176" s="65"/>
      <c r="AB176" s="66"/>
      <c r="AC176" s="243" t="s">
        <v>302</v>
      </c>
      <c r="AG176" s="75"/>
      <c r="AJ176" s="79"/>
      <c r="AK176" s="79">
        <v>0</v>
      </c>
      <c r="BB176" s="244" t="s">
        <v>1</v>
      </c>
      <c r="BM176" s="75">
        <f t="shared" si="11"/>
        <v>0</v>
      </c>
      <c r="BN176" s="75">
        <f t="shared" si="12"/>
        <v>0</v>
      </c>
      <c r="BO176" s="75">
        <f t="shared" si="13"/>
        <v>0</v>
      </c>
      <c r="BP176" s="75">
        <f t="shared" si="14"/>
        <v>0</v>
      </c>
    </row>
    <row r="177" spans="1:68" ht="27" hidden="1" customHeight="1" x14ac:dyDescent="0.25">
      <c r="A177" s="60" t="s">
        <v>303</v>
      </c>
      <c r="B177" s="60" t="s">
        <v>304</v>
      </c>
      <c r="C177" s="34">
        <v>4301031451</v>
      </c>
      <c r="D177" s="626">
        <v>4680115887435</v>
      </c>
      <c r="E177" s="627"/>
      <c r="F177" s="59">
        <v>0.28000000000000003</v>
      </c>
      <c r="G177" s="35">
        <v>6</v>
      </c>
      <c r="H177" s="59">
        <v>1.68</v>
      </c>
      <c r="I177" s="59">
        <v>1.78</v>
      </c>
      <c r="J177" s="35">
        <v>234</v>
      </c>
      <c r="K177" s="35" t="s">
        <v>64</v>
      </c>
      <c r="L177" s="35"/>
      <c r="M177" s="36" t="s">
        <v>65</v>
      </c>
      <c r="N177" s="36"/>
      <c r="O177" s="35">
        <v>40</v>
      </c>
      <c r="P177" s="9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0"/>
      <c r="R177" s="620"/>
      <c r="S177" s="620"/>
      <c r="T177" s="621"/>
      <c r="U177" s="37"/>
      <c r="V177" s="37"/>
      <c r="W177" s="38" t="s">
        <v>66</v>
      </c>
      <c r="X177" s="56">
        <v>0</v>
      </c>
      <c r="Y177" s="53">
        <f t="shared" si="10"/>
        <v>0</v>
      </c>
      <c r="Z177" s="39" t="str">
        <f>IFERROR(IF(Y177=0,"",ROUNDUP(Y177/H177,0)*0.00502),"")</f>
        <v/>
      </c>
      <c r="AA177" s="65"/>
      <c r="AB177" s="66"/>
      <c r="AC177" s="245" t="s">
        <v>288</v>
      </c>
      <c r="AG177" s="75"/>
      <c r="AJ177" s="79"/>
      <c r="AK177" s="79">
        <v>0</v>
      </c>
      <c r="BB177" s="246" t="s">
        <v>1</v>
      </c>
      <c r="BM177" s="75">
        <f t="shared" si="11"/>
        <v>0</v>
      </c>
      <c r="BN177" s="75">
        <f t="shared" si="12"/>
        <v>0</v>
      </c>
      <c r="BO177" s="75">
        <f t="shared" si="13"/>
        <v>0</v>
      </c>
      <c r="BP177" s="75">
        <f t="shared" si="14"/>
        <v>0</v>
      </c>
    </row>
    <row r="178" spans="1:68" hidden="1" x14ac:dyDescent="0.2">
      <c r="A178" s="623"/>
      <c r="B178" s="624"/>
      <c r="C178" s="624"/>
      <c r="D178" s="624"/>
      <c r="E178" s="624"/>
      <c r="F178" s="624"/>
      <c r="G178" s="624"/>
      <c r="H178" s="624"/>
      <c r="I178" s="624"/>
      <c r="J178" s="624"/>
      <c r="K178" s="624"/>
      <c r="L178" s="624"/>
      <c r="M178" s="624"/>
      <c r="N178" s="624"/>
      <c r="O178" s="625"/>
      <c r="P178" s="631" t="s">
        <v>71</v>
      </c>
      <c r="Q178" s="632"/>
      <c r="R178" s="632"/>
      <c r="S178" s="632"/>
      <c r="T178" s="632"/>
      <c r="U178" s="632"/>
      <c r="V178" s="633"/>
      <c r="W178" s="40" t="s">
        <v>72</v>
      </c>
      <c r="X178" s="4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4"/>
      <c r="AB178" s="64"/>
      <c r="AC178" s="64"/>
    </row>
    <row r="179" spans="1:68" hidden="1" x14ac:dyDescent="0.2">
      <c r="A179" s="624"/>
      <c r="B179" s="624"/>
      <c r="C179" s="624"/>
      <c r="D179" s="624"/>
      <c r="E179" s="624"/>
      <c r="F179" s="624"/>
      <c r="G179" s="624"/>
      <c r="H179" s="624"/>
      <c r="I179" s="624"/>
      <c r="J179" s="624"/>
      <c r="K179" s="624"/>
      <c r="L179" s="624"/>
      <c r="M179" s="624"/>
      <c r="N179" s="624"/>
      <c r="O179" s="625"/>
      <c r="P179" s="631" t="s">
        <v>71</v>
      </c>
      <c r="Q179" s="632"/>
      <c r="R179" s="632"/>
      <c r="S179" s="632"/>
      <c r="T179" s="632"/>
      <c r="U179" s="632"/>
      <c r="V179" s="633"/>
      <c r="W179" s="40" t="s">
        <v>66</v>
      </c>
      <c r="X179" s="41">
        <f>IFERROR(SUM(X166:X177),"0")</f>
        <v>0</v>
      </c>
      <c r="Y179" s="41">
        <f>IFERROR(SUM(Y166:Y177),"0")</f>
        <v>0</v>
      </c>
      <c r="Z179" s="40"/>
      <c r="AA179" s="64"/>
      <c r="AB179" s="64"/>
      <c r="AC179" s="64"/>
    </row>
    <row r="180" spans="1:68" ht="14.25" hidden="1" customHeight="1" x14ac:dyDescent="0.25">
      <c r="A180" s="628" t="s">
        <v>73</v>
      </c>
      <c r="B180" s="624"/>
      <c r="C180" s="624"/>
      <c r="D180" s="624"/>
      <c r="E180" s="624"/>
      <c r="F180" s="624"/>
      <c r="G180" s="624"/>
      <c r="H180" s="624"/>
      <c r="I180" s="624"/>
      <c r="J180" s="624"/>
      <c r="K180" s="624"/>
      <c r="L180" s="624"/>
      <c r="M180" s="624"/>
      <c r="N180" s="624"/>
      <c r="O180" s="624"/>
      <c r="P180" s="624"/>
      <c r="Q180" s="624"/>
      <c r="R180" s="624"/>
      <c r="S180" s="624"/>
      <c r="T180" s="624"/>
      <c r="U180" s="624"/>
      <c r="V180" s="624"/>
      <c r="W180" s="624"/>
      <c r="X180" s="624"/>
      <c r="Y180" s="624"/>
      <c r="Z180" s="624"/>
      <c r="AA180" s="63"/>
      <c r="AB180" s="63"/>
      <c r="AC180" s="63"/>
    </row>
    <row r="181" spans="1:68" ht="16.5" hidden="1" customHeight="1" x14ac:dyDescent="0.25">
      <c r="A181" s="60" t="s">
        <v>305</v>
      </c>
      <c r="B181" s="60" t="s">
        <v>306</v>
      </c>
      <c r="C181" s="34">
        <v>4301052193</v>
      </c>
      <c r="D181" s="626">
        <v>4680115888395</v>
      </c>
      <c r="E181" s="627"/>
      <c r="F181" s="59">
        <v>0.42</v>
      </c>
      <c r="G181" s="35">
        <v>6</v>
      </c>
      <c r="H181" s="59">
        <v>2.52</v>
      </c>
      <c r="I181" s="59">
        <v>2.766</v>
      </c>
      <c r="J181" s="35">
        <v>182</v>
      </c>
      <c r="K181" s="35" t="s">
        <v>76</v>
      </c>
      <c r="L181" s="35"/>
      <c r="M181" s="36" t="s">
        <v>83</v>
      </c>
      <c r="N181" s="36"/>
      <c r="O181" s="35">
        <v>40</v>
      </c>
      <c r="P181" s="91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0"/>
      <c r="R181" s="620"/>
      <c r="S181" s="620"/>
      <c r="T181" s="621"/>
      <c r="U181" s="37"/>
      <c r="V181" s="37"/>
      <c r="W181" s="38" t="s">
        <v>66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/>
      <c r="AB181" s="66"/>
      <c r="AC181" s="247" t="s">
        <v>307</v>
      </c>
      <c r="AG181" s="75"/>
      <c r="AJ181" s="79"/>
      <c r="AK181" s="79">
        <v>0</v>
      </c>
      <c r="BB181" s="248" t="s">
        <v>1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16.5" hidden="1" customHeight="1" x14ac:dyDescent="0.25">
      <c r="A182" s="60" t="s">
        <v>308</v>
      </c>
      <c r="B182" s="60" t="s">
        <v>309</v>
      </c>
      <c r="C182" s="34">
        <v>4301052191</v>
      </c>
      <c r="D182" s="626">
        <v>4680115888371</v>
      </c>
      <c r="E182" s="627"/>
      <c r="F182" s="59">
        <v>0.42</v>
      </c>
      <c r="G182" s="35">
        <v>6</v>
      </c>
      <c r="H182" s="59">
        <v>2.52</v>
      </c>
      <c r="I182" s="59">
        <v>2.766</v>
      </c>
      <c r="J182" s="35">
        <v>182</v>
      </c>
      <c r="K182" s="35" t="s">
        <v>76</v>
      </c>
      <c r="L182" s="35"/>
      <c r="M182" s="36" t="s">
        <v>83</v>
      </c>
      <c r="N182" s="36"/>
      <c r="O182" s="35">
        <v>40</v>
      </c>
      <c r="P182" s="7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0"/>
      <c r="R182" s="620"/>
      <c r="S182" s="620"/>
      <c r="T182" s="621"/>
      <c r="U182" s="37"/>
      <c r="V182" s="37"/>
      <c r="W182" s="38" t="s">
        <v>66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/>
      <c r="AB182" s="66"/>
      <c r="AC182" s="249" t="s">
        <v>310</v>
      </c>
      <c r="AG182" s="75"/>
      <c r="AJ182" s="79"/>
      <c r="AK182" s="79">
        <v>0</v>
      </c>
      <c r="BB182" s="250" t="s">
        <v>1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311</v>
      </c>
      <c r="B183" s="60" t="s">
        <v>312</v>
      </c>
      <c r="C183" s="34">
        <v>4301052064</v>
      </c>
      <c r="D183" s="626">
        <v>4680115887459</v>
      </c>
      <c r="E183" s="627"/>
      <c r="F183" s="59">
        <v>0.3</v>
      </c>
      <c r="G183" s="35">
        <v>6</v>
      </c>
      <c r="H183" s="59">
        <v>1.8</v>
      </c>
      <c r="I183" s="59">
        <v>2.0579999999999998</v>
      </c>
      <c r="J183" s="35">
        <v>182</v>
      </c>
      <c r="K183" s="35" t="s">
        <v>76</v>
      </c>
      <c r="L183" s="35"/>
      <c r="M183" s="36" t="s">
        <v>77</v>
      </c>
      <c r="N183" s="36"/>
      <c r="O183" s="35">
        <v>45</v>
      </c>
      <c r="P183" s="9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0"/>
      <c r="R183" s="620"/>
      <c r="S183" s="620"/>
      <c r="T183" s="621"/>
      <c r="U183" s="37"/>
      <c r="V183" s="37"/>
      <c r="W183" s="38" t="s">
        <v>66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IFERROR(IF(Y183=0,"",ROUNDUP(Y183/H183,0)*0.00651),"")</f>
        <v/>
      </c>
      <c r="AA183" s="65"/>
      <c r="AB183" s="66"/>
      <c r="AC183" s="251" t="s">
        <v>313</v>
      </c>
      <c r="AG183" s="75"/>
      <c r="AJ183" s="79"/>
      <c r="AK183" s="79">
        <v>0</v>
      </c>
      <c r="BB183" s="252" t="s">
        <v>1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idden="1" x14ac:dyDescent="0.2">
      <c r="A184" s="623"/>
      <c r="B184" s="624"/>
      <c r="C184" s="624"/>
      <c r="D184" s="624"/>
      <c r="E184" s="624"/>
      <c r="F184" s="624"/>
      <c r="G184" s="624"/>
      <c r="H184" s="624"/>
      <c r="I184" s="624"/>
      <c r="J184" s="624"/>
      <c r="K184" s="624"/>
      <c r="L184" s="624"/>
      <c r="M184" s="624"/>
      <c r="N184" s="624"/>
      <c r="O184" s="625"/>
      <c r="P184" s="631" t="s">
        <v>71</v>
      </c>
      <c r="Q184" s="632"/>
      <c r="R184" s="632"/>
      <c r="S184" s="632"/>
      <c r="T184" s="632"/>
      <c r="U184" s="632"/>
      <c r="V184" s="633"/>
      <c r="W184" s="40" t="s">
        <v>72</v>
      </c>
      <c r="X184" s="41">
        <f>IFERROR(X181/H181,"0")+IFERROR(X182/H182,"0")+IFERROR(X183/H183,"0")</f>
        <v>0</v>
      </c>
      <c r="Y184" s="41">
        <f>IFERROR(Y181/H181,"0")+IFERROR(Y182/H182,"0")+IFERROR(Y183/H183,"0")</f>
        <v>0</v>
      </c>
      <c r="Z184" s="41">
        <f>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24"/>
      <c r="B185" s="624"/>
      <c r="C185" s="624"/>
      <c r="D185" s="624"/>
      <c r="E185" s="624"/>
      <c r="F185" s="624"/>
      <c r="G185" s="624"/>
      <c r="H185" s="624"/>
      <c r="I185" s="624"/>
      <c r="J185" s="624"/>
      <c r="K185" s="624"/>
      <c r="L185" s="624"/>
      <c r="M185" s="624"/>
      <c r="N185" s="624"/>
      <c r="O185" s="625"/>
      <c r="P185" s="631" t="s">
        <v>71</v>
      </c>
      <c r="Q185" s="632"/>
      <c r="R185" s="632"/>
      <c r="S185" s="632"/>
      <c r="T185" s="632"/>
      <c r="U185" s="632"/>
      <c r="V185" s="633"/>
      <c r="W185" s="40" t="s">
        <v>66</v>
      </c>
      <c r="X185" s="41">
        <f>IFERROR(SUM(X181:X183),"0")</f>
        <v>0</v>
      </c>
      <c r="Y185" s="41">
        <f>IFERROR(SUM(Y181:Y183),"0")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28" t="s">
        <v>91</v>
      </c>
      <c r="B186" s="624"/>
      <c r="C186" s="624"/>
      <c r="D186" s="624"/>
      <c r="E186" s="624"/>
      <c r="F186" s="624"/>
      <c r="G186" s="624"/>
      <c r="H186" s="624"/>
      <c r="I186" s="624"/>
      <c r="J186" s="624"/>
      <c r="K186" s="624"/>
      <c r="L186" s="624"/>
      <c r="M186" s="624"/>
      <c r="N186" s="624"/>
      <c r="O186" s="624"/>
      <c r="P186" s="624"/>
      <c r="Q186" s="624"/>
      <c r="R186" s="624"/>
      <c r="S186" s="624"/>
      <c r="T186" s="624"/>
      <c r="U186" s="624"/>
      <c r="V186" s="624"/>
      <c r="W186" s="624"/>
      <c r="X186" s="624"/>
      <c r="Y186" s="624"/>
      <c r="Z186" s="624"/>
      <c r="AA186" s="63"/>
      <c r="AB186" s="63"/>
      <c r="AC186" s="63"/>
    </row>
    <row r="187" spans="1:68" ht="16.5" hidden="1" customHeight="1" x14ac:dyDescent="0.25">
      <c r="A187" s="60" t="s">
        <v>314</v>
      </c>
      <c r="B187" s="60" t="s">
        <v>315</v>
      </c>
      <c r="C187" s="34">
        <v>4301032058</v>
      </c>
      <c r="D187" s="626">
        <v>4680115889026</v>
      </c>
      <c r="E187" s="627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316</v>
      </c>
      <c r="L187" s="35"/>
      <c r="M187" s="36" t="s">
        <v>317</v>
      </c>
      <c r="N187" s="36"/>
      <c r="O187" s="35">
        <v>60</v>
      </c>
      <c r="P187" s="7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0"/>
      <c r="R187" s="620"/>
      <c r="S187" s="620"/>
      <c r="T187" s="621"/>
      <c r="U187" s="37"/>
      <c r="V187" s="37"/>
      <c r="W187" s="38" t="s">
        <v>66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/>
      <c r="AB187" s="66"/>
      <c r="AC187" s="253" t="s">
        <v>318</v>
      </c>
      <c r="AG187" s="75"/>
      <c r="AJ187" s="79"/>
      <c r="AK187" s="79">
        <v>0</v>
      </c>
      <c r="BB187" s="254" t="s">
        <v>1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27" hidden="1" customHeight="1" x14ac:dyDescent="0.25">
      <c r="A188" s="60" t="s">
        <v>319</v>
      </c>
      <c r="B188" s="60" t="s">
        <v>320</v>
      </c>
      <c r="C188" s="34">
        <v>4301032057</v>
      </c>
      <c r="D188" s="626">
        <v>4680115889088</v>
      </c>
      <c r="E188" s="627"/>
      <c r="F188" s="59">
        <v>0.06</v>
      </c>
      <c r="G188" s="35">
        <v>18</v>
      </c>
      <c r="H188" s="59">
        <v>1.08</v>
      </c>
      <c r="I188" s="59">
        <v>1.36</v>
      </c>
      <c r="J188" s="35">
        <v>216</v>
      </c>
      <c r="K188" s="35" t="s">
        <v>316</v>
      </c>
      <c r="L188" s="35"/>
      <c r="M188" s="36" t="s">
        <v>317</v>
      </c>
      <c r="N188" s="36"/>
      <c r="O188" s="35">
        <v>45</v>
      </c>
      <c r="P188" s="97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0"/>
      <c r="R188" s="620"/>
      <c r="S188" s="620"/>
      <c r="T188" s="621"/>
      <c r="U188" s="37"/>
      <c r="V188" s="37"/>
      <c r="W188" s="38" t="s">
        <v>66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/>
      <c r="AB188" s="66"/>
      <c r="AC188" s="255" t="s">
        <v>321</v>
      </c>
      <c r="AG188" s="75"/>
      <c r="AJ188" s="79"/>
      <c r="AK188" s="79">
        <v>0</v>
      </c>
      <c r="BB188" s="256" t="s">
        <v>1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623"/>
      <c r="B189" s="624"/>
      <c r="C189" s="624"/>
      <c r="D189" s="624"/>
      <c r="E189" s="624"/>
      <c r="F189" s="624"/>
      <c r="G189" s="624"/>
      <c r="H189" s="624"/>
      <c r="I189" s="624"/>
      <c r="J189" s="624"/>
      <c r="K189" s="624"/>
      <c r="L189" s="624"/>
      <c r="M189" s="624"/>
      <c r="N189" s="624"/>
      <c r="O189" s="625"/>
      <c r="P189" s="631" t="s">
        <v>71</v>
      </c>
      <c r="Q189" s="632"/>
      <c r="R189" s="632"/>
      <c r="S189" s="632"/>
      <c r="T189" s="632"/>
      <c r="U189" s="632"/>
      <c r="V189" s="633"/>
      <c r="W189" s="40" t="s">
        <v>72</v>
      </c>
      <c r="X189" s="41">
        <f>IFERROR(X187/H187,"0")+IFERROR(X188/H188,"0")</f>
        <v>0</v>
      </c>
      <c r="Y189" s="41">
        <f>IFERROR(Y187/H187,"0")+IFERROR(Y188/H188,"0")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hidden="1" x14ac:dyDescent="0.2">
      <c r="A190" s="624"/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5"/>
      <c r="P190" s="631" t="s">
        <v>71</v>
      </c>
      <c r="Q190" s="632"/>
      <c r="R190" s="632"/>
      <c r="S190" s="632"/>
      <c r="T190" s="632"/>
      <c r="U190" s="632"/>
      <c r="V190" s="633"/>
      <c r="W190" s="40" t="s">
        <v>66</v>
      </c>
      <c r="X190" s="41">
        <f>IFERROR(SUM(X187:X188),"0")</f>
        <v>0</v>
      </c>
      <c r="Y190" s="41">
        <f>IFERROR(SUM(Y187:Y188),"0")</f>
        <v>0</v>
      </c>
      <c r="Z190" s="40"/>
      <c r="AA190" s="64"/>
      <c r="AB190" s="64"/>
      <c r="AC190" s="64"/>
    </row>
    <row r="191" spans="1:68" ht="14.25" hidden="1" customHeight="1" x14ac:dyDescent="0.25">
      <c r="A191" s="628" t="s">
        <v>322</v>
      </c>
      <c r="B191" s="624"/>
      <c r="C191" s="624"/>
      <c r="D191" s="624"/>
      <c r="E191" s="624"/>
      <c r="F191" s="624"/>
      <c r="G191" s="624"/>
      <c r="H191" s="624"/>
      <c r="I191" s="624"/>
      <c r="J191" s="624"/>
      <c r="K191" s="624"/>
      <c r="L191" s="624"/>
      <c r="M191" s="624"/>
      <c r="N191" s="624"/>
      <c r="O191" s="624"/>
      <c r="P191" s="624"/>
      <c r="Q191" s="624"/>
      <c r="R191" s="624"/>
      <c r="S191" s="624"/>
      <c r="T191" s="624"/>
      <c r="U191" s="624"/>
      <c r="V191" s="624"/>
      <c r="W191" s="624"/>
      <c r="X191" s="624"/>
      <c r="Y191" s="624"/>
      <c r="Z191" s="624"/>
      <c r="AA191" s="63"/>
      <c r="AB191" s="63"/>
      <c r="AC191" s="63"/>
    </row>
    <row r="192" spans="1:68" ht="27" hidden="1" customHeight="1" x14ac:dyDescent="0.25">
      <c r="A192" s="60" t="s">
        <v>323</v>
      </c>
      <c r="B192" s="60" t="s">
        <v>324</v>
      </c>
      <c r="C192" s="34">
        <v>4301041009</v>
      </c>
      <c r="D192" s="626">
        <v>4680115889033</v>
      </c>
      <c r="E192" s="627"/>
      <c r="F192" s="59">
        <v>0.11</v>
      </c>
      <c r="G192" s="35">
        <v>15</v>
      </c>
      <c r="H192" s="59">
        <v>1.65</v>
      </c>
      <c r="I192" s="59">
        <v>1.9</v>
      </c>
      <c r="J192" s="35">
        <v>216</v>
      </c>
      <c r="K192" s="35" t="s">
        <v>316</v>
      </c>
      <c r="L192" s="35"/>
      <c r="M192" s="36" t="s">
        <v>317</v>
      </c>
      <c r="N192" s="36"/>
      <c r="O192" s="35">
        <v>60</v>
      </c>
      <c r="P192" s="7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0"/>
      <c r="R192" s="620"/>
      <c r="S192" s="620"/>
      <c r="T192" s="621"/>
      <c r="U192" s="37"/>
      <c r="V192" s="37"/>
      <c r="W192" s="38" t="s">
        <v>66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IFERROR(IF(Y192=0,"",ROUNDUP(Y192/H192,0)*0.0059),"")</f>
        <v/>
      </c>
      <c r="AA192" s="65"/>
      <c r="AB192" s="66"/>
      <c r="AC192" s="257" t="s">
        <v>325</v>
      </c>
      <c r="AG192" s="75"/>
      <c r="AJ192" s="79"/>
      <c r="AK192" s="79">
        <v>0</v>
      </c>
      <c r="BB192" s="258" t="s">
        <v>1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623"/>
      <c r="B193" s="624"/>
      <c r="C193" s="624"/>
      <c r="D193" s="624"/>
      <c r="E193" s="624"/>
      <c r="F193" s="624"/>
      <c r="G193" s="624"/>
      <c r="H193" s="624"/>
      <c r="I193" s="624"/>
      <c r="J193" s="624"/>
      <c r="K193" s="624"/>
      <c r="L193" s="624"/>
      <c r="M193" s="624"/>
      <c r="N193" s="624"/>
      <c r="O193" s="625"/>
      <c r="P193" s="631" t="s">
        <v>71</v>
      </c>
      <c r="Q193" s="632"/>
      <c r="R193" s="632"/>
      <c r="S193" s="632"/>
      <c r="T193" s="632"/>
      <c r="U193" s="632"/>
      <c r="V193" s="633"/>
      <c r="W193" s="40" t="s">
        <v>72</v>
      </c>
      <c r="X193" s="41">
        <f>IFERROR(X192/H192,"0")</f>
        <v>0</v>
      </c>
      <c r="Y193" s="41">
        <f>IFERROR(Y192/H192,"0")</f>
        <v>0</v>
      </c>
      <c r="Z193" s="41">
        <f>IFERROR(IF(Z192="",0,Z192),"0")</f>
        <v>0</v>
      </c>
      <c r="AA193" s="64"/>
      <c r="AB193" s="64"/>
      <c r="AC193" s="64"/>
    </row>
    <row r="194" spans="1:68" hidden="1" x14ac:dyDescent="0.2">
      <c r="A194" s="624"/>
      <c r="B194" s="624"/>
      <c r="C194" s="624"/>
      <c r="D194" s="624"/>
      <c r="E194" s="624"/>
      <c r="F194" s="624"/>
      <c r="G194" s="624"/>
      <c r="H194" s="624"/>
      <c r="I194" s="624"/>
      <c r="J194" s="624"/>
      <c r="K194" s="624"/>
      <c r="L194" s="624"/>
      <c r="M194" s="624"/>
      <c r="N194" s="624"/>
      <c r="O194" s="625"/>
      <c r="P194" s="631" t="s">
        <v>71</v>
      </c>
      <c r="Q194" s="632"/>
      <c r="R194" s="632"/>
      <c r="S194" s="632"/>
      <c r="T194" s="632"/>
      <c r="U194" s="632"/>
      <c r="V194" s="633"/>
      <c r="W194" s="40" t="s">
        <v>66</v>
      </c>
      <c r="X194" s="41">
        <f>IFERROR(SUM(X192:X192),"0")</f>
        <v>0</v>
      </c>
      <c r="Y194" s="41">
        <f>IFERROR(SUM(Y192:Y192),"0")</f>
        <v>0</v>
      </c>
      <c r="Z194" s="40"/>
      <c r="AA194" s="64"/>
      <c r="AB194" s="64"/>
      <c r="AC194" s="64"/>
    </row>
    <row r="195" spans="1:68" ht="27.75" hidden="1" customHeight="1" x14ac:dyDescent="0.2">
      <c r="A195" s="775" t="s">
        <v>326</v>
      </c>
      <c r="B195" s="776"/>
      <c r="C195" s="776"/>
      <c r="D195" s="776"/>
      <c r="E195" s="776"/>
      <c r="F195" s="776"/>
      <c r="G195" s="776"/>
      <c r="H195" s="776"/>
      <c r="I195" s="776"/>
      <c r="J195" s="776"/>
      <c r="K195" s="776"/>
      <c r="L195" s="776"/>
      <c r="M195" s="776"/>
      <c r="N195" s="776"/>
      <c r="O195" s="776"/>
      <c r="P195" s="776"/>
      <c r="Q195" s="776"/>
      <c r="R195" s="776"/>
      <c r="S195" s="776"/>
      <c r="T195" s="776"/>
      <c r="U195" s="776"/>
      <c r="V195" s="776"/>
      <c r="W195" s="776"/>
      <c r="X195" s="776"/>
      <c r="Y195" s="776"/>
      <c r="Z195" s="776"/>
      <c r="AA195" s="52"/>
      <c r="AB195" s="52"/>
      <c r="AC195" s="52"/>
    </row>
    <row r="196" spans="1:68" ht="16.5" hidden="1" customHeight="1" x14ac:dyDescent="0.25">
      <c r="A196" s="639" t="s">
        <v>327</v>
      </c>
      <c r="B196" s="624"/>
      <c r="C196" s="624"/>
      <c r="D196" s="624"/>
      <c r="E196" s="624"/>
      <c r="F196" s="624"/>
      <c r="G196" s="624"/>
      <c r="H196" s="624"/>
      <c r="I196" s="624"/>
      <c r="J196" s="624"/>
      <c r="K196" s="624"/>
      <c r="L196" s="624"/>
      <c r="M196" s="624"/>
      <c r="N196" s="624"/>
      <c r="O196" s="624"/>
      <c r="P196" s="624"/>
      <c r="Q196" s="624"/>
      <c r="R196" s="624"/>
      <c r="S196" s="624"/>
      <c r="T196" s="624"/>
      <c r="U196" s="624"/>
      <c r="V196" s="624"/>
      <c r="W196" s="624"/>
      <c r="X196" s="624"/>
      <c r="Y196" s="624"/>
      <c r="Z196" s="624"/>
      <c r="AA196" s="62"/>
      <c r="AB196" s="62"/>
      <c r="AC196" s="62"/>
    </row>
    <row r="197" spans="1:68" ht="14.25" hidden="1" customHeight="1" x14ac:dyDescent="0.25">
      <c r="A197" s="628" t="s">
        <v>116</v>
      </c>
      <c r="B197" s="624"/>
      <c r="C197" s="624"/>
      <c r="D197" s="624"/>
      <c r="E197" s="624"/>
      <c r="F197" s="624"/>
      <c r="G197" s="624"/>
      <c r="H197" s="624"/>
      <c r="I197" s="624"/>
      <c r="J197" s="624"/>
      <c r="K197" s="624"/>
      <c r="L197" s="624"/>
      <c r="M197" s="624"/>
      <c r="N197" s="624"/>
      <c r="O197" s="624"/>
      <c r="P197" s="624"/>
      <c r="Q197" s="624"/>
      <c r="R197" s="624"/>
      <c r="S197" s="624"/>
      <c r="T197" s="624"/>
      <c r="U197" s="624"/>
      <c r="V197" s="624"/>
      <c r="W197" s="624"/>
      <c r="X197" s="624"/>
      <c r="Y197" s="624"/>
      <c r="Z197" s="624"/>
      <c r="AA197" s="63"/>
      <c r="AB197" s="63"/>
      <c r="AC197" s="63"/>
    </row>
    <row r="198" spans="1:68" ht="27" hidden="1" customHeight="1" x14ac:dyDescent="0.25">
      <c r="A198" s="60" t="s">
        <v>328</v>
      </c>
      <c r="B198" s="60" t="s">
        <v>329</v>
      </c>
      <c r="C198" s="34">
        <v>4301011223</v>
      </c>
      <c r="D198" s="626">
        <v>4607091383423</v>
      </c>
      <c r="E198" s="627"/>
      <c r="F198" s="59">
        <v>1.35</v>
      </c>
      <c r="G198" s="35">
        <v>8</v>
      </c>
      <c r="H198" s="59">
        <v>10.8</v>
      </c>
      <c r="I198" s="59">
        <v>11.305999999999999</v>
      </c>
      <c r="J198" s="35">
        <v>64</v>
      </c>
      <c r="K198" s="35" t="s">
        <v>119</v>
      </c>
      <c r="L198" s="35"/>
      <c r="M198" s="36" t="s">
        <v>77</v>
      </c>
      <c r="N198" s="36"/>
      <c r="O198" s="35">
        <v>35</v>
      </c>
      <c r="P198" s="9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0"/>
      <c r="R198" s="620"/>
      <c r="S198" s="620"/>
      <c r="T198" s="621"/>
      <c r="U198" s="37"/>
      <c r="V198" s="37"/>
      <c r="W198" s="38" t="s">
        <v>66</v>
      </c>
      <c r="X198" s="56">
        <v>0</v>
      </c>
      <c r="Y198" s="53">
        <f t="shared" ref="Y198:Y204" si="15">IFERROR(IF(X198="",0,CEILING((X198/$H198),1)*$H198),"")</f>
        <v>0</v>
      </c>
      <c r="Z198" s="39" t="str">
        <f t="shared" ref="Z198:Z204" si="16">IFERROR(IF(Y198=0,"",ROUNDUP(Y198/H198,0)*0.01898),"")</f>
        <v/>
      </c>
      <c r="AA198" s="65"/>
      <c r="AB198" s="66"/>
      <c r="AC198" s="259" t="s">
        <v>121</v>
      </c>
      <c r="AG198" s="75"/>
      <c r="AJ198" s="79"/>
      <c r="AK198" s="79">
        <v>0</v>
      </c>
      <c r="BB198" s="260" t="s">
        <v>1</v>
      </c>
      <c r="BM198" s="75">
        <f t="shared" ref="BM198:BM204" si="17">IFERROR(X198*I198/H198,"0")</f>
        <v>0</v>
      </c>
      <c r="BN198" s="75">
        <f t="shared" ref="BN198:BN204" si="18">IFERROR(Y198*I198/H198,"0")</f>
        <v>0</v>
      </c>
      <c r="BO198" s="75">
        <f t="shared" ref="BO198:BO204" si="19">IFERROR(1/J198*(X198/H198),"0")</f>
        <v>0</v>
      </c>
      <c r="BP198" s="75">
        <f t="shared" ref="BP198:BP204" si="20">IFERROR(1/J198*(Y198/H198),"0")</f>
        <v>0</v>
      </c>
    </row>
    <row r="199" spans="1:68" ht="27" hidden="1" customHeight="1" x14ac:dyDescent="0.25">
      <c r="A199" s="60" t="s">
        <v>330</v>
      </c>
      <c r="B199" s="60" t="s">
        <v>331</v>
      </c>
      <c r="C199" s="34">
        <v>4301012340</v>
      </c>
      <c r="D199" s="626">
        <v>4680115888760</v>
      </c>
      <c r="E199" s="627"/>
      <c r="F199" s="59">
        <v>1.4</v>
      </c>
      <c r="G199" s="35">
        <v>6</v>
      </c>
      <c r="H199" s="59">
        <v>8.4</v>
      </c>
      <c r="I199" s="59">
        <v>8.81</v>
      </c>
      <c r="J199" s="35">
        <v>64</v>
      </c>
      <c r="K199" s="35" t="s">
        <v>119</v>
      </c>
      <c r="L199" s="35"/>
      <c r="M199" s="36" t="s">
        <v>77</v>
      </c>
      <c r="N199" s="36"/>
      <c r="O199" s="35">
        <v>35</v>
      </c>
      <c r="P199" s="9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0"/>
      <c r="R199" s="620"/>
      <c r="S199" s="620"/>
      <c r="T199" s="621"/>
      <c r="U199" s="37"/>
      <c r="V199" s="37"/>
      <c r="W199" s="38" t="s">
        <v>66</v>
      </c>
      <c r="X199" s="56">
        <v>0</v>
      </c>
      <c r="Y199" s="53">
        <f t="shared" si="15"/>
        <v>0</v>
      </c>
      <c r="Z199" s="39" t="str">
        <f t="shared" si="16"/>
        <v/>
      </c>
      <c r="AA199" s="65"/>
      <c r="AB199" s="66"/>
      <c r="AC199" s="261" t="s">
        <v>332</v>
      </c>
      <c r="AG199" s="75"/>
      <c r="AJ199" s="79"/>
      <c r="AK199" s="79">
        <v>0</v>
      </c>
      <c r="BB199" s="262" t="s">
        <v>1</v>
      </c>
      <c r="BM199" s="75">
        <f t="shared" si="17"/>
        <v>0</v>
      </c>
      <c r="BN199" s="75">
        <f t="shared" si="18"/>
        <v>0</v>
      </c>
      <c r="BO199" s="75">
        <f t="shared" si="19"/>
        <v>0</v>
      </c>
      <c r="BP199" s="75">
        <f t="shared" si="20"/>
        <v>0</v>
      </c>
    </row>
    <row r="200" spans="1:68" ht="27" hidden="1" customHeight="1" x14ac:dyDescent="0.25">
      <c r="A200" s="60" t="s">
        <v>333</v>
      </c>
      <c r="B200" s="60" t="s">
        <v>334</v>
      </c>
      <c r="C200" s="34">
        <v>4301012341</v>
      </c>
      <c r="D200" s="626">
        <v>4680115888807</v>
      </c>
      <c r="E200" s="627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119</v>
      </c>
      <c r="L200" s="35"/>
      <c r="M200" s="36" t="s">
        <v>77</v>
      </c>
      <c r="N200" s="36"/>
      <c r="O200" s="35">
        <v>35</v>
      </c>
      <c r="P200" s="95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0"/>
      <c r="R200" s="620"/>
      <c r="S200" s="620"/>
      <c r="T200" s="621"/>
      <c r="U200" s="37"/>
      <c r="V200" s="37"/>
      <c r="W200" s="38" t="s">
        <v>66</v>
      </c>
      <c r="X200" s="56">
        <v>0</v>
      </c>
      <c r="Y200" s="53">
        <f t="shared" si="15"/>
        <v>0</v>
      </c>
      <c r="Z200" s="39" t="str">
        <f t="shared" si="16"/>
        <v/>
      </c>
      <c r="AA200" s="65"/>
      <c r="AB200" s="66"/>
      <c r="AC200" s="263" t="s">
        <v>335</v>
      </c>
      <c r="AG200" s="75"/>
      <c r="AJ200" s="79"/>
      <c r="AK200" s="79">
        <v>0</v>
      </c>
      <c r="BB200" s="264" t="s">
        <v>1</v>
      </c>
      <c r="BM200" s="75">
        <f t="shared" si="17"/>
        <v>0</v>
      </c>
      <c r="BN200" s="75">
        <f t="shared" si="18"/>
        <v>0</v>
      </c>
      <c r="BO200" s="75">
        <f t="shared" si="19"/>
        <v>0</v>
      </c>
      <c r="BP200" s="75">
        <f t="shared" si="20"/>
        <v>0</v>
      </c>
    </row>
    <row r="201" spans="1:68" ht="27" hidden="1" customHeight="1" x14ac:dyDescent="0.25">
      <c r="A201" s="60" t="s">
        <v>336</v>
      </c>
      <c r="B201" s="60" t="s">
        <v>337</v>
      </c>
      <c r="C201" s="34">
        <v>4301012342</v>
      </c>
      <c r="D201" s="626">
        <v>4680115888852</v>
      </c>
      <c r="E201" s="627"/>
      <c r="F201" s="59">
        <v>0.9</v>
      </c>
      <c r="G201" s="35">
        <v>6</v>
      </c>
      <c r="H201" s="59">
        <v>5.4</v>
      </c>
      <c r="I201" s="59">
        <v>5.81</v>
      </c>
      <c r="J201" s="35">
        <v>64</v>
      </c>
      <c r="K201" s="35" t="s">
        <v>119</v>
      </c>
      <c r="L201" s="35"/>
      <c r="M201" s="36" t="s">
        <v>77</v>
      </c>
      <c r="N201" s="36"/>
      <c r="O201" s="35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0"/>
      <c r="R201" s="620"/>
      <c r="S201" s="620"/>
      <c r="T201" s="621"/>
      <c r="U201" s="37"/>
      <c r="V201" s="37"/>
      <c r="W201" s="38" t="s">
        <v>66</v>
      </c>
      <c r="X201" s="56">
        <v>0</v>
      </c>
      <c r="Y201" s="53">
        <f t="shared" si="15"/>
        <v>0</v>
      </c>
      <c r="Z201" s="39" t="str">
        <f t="shared" si="16"/>
        <v/>
      </c>
      <c r="AA201" s="65"/>
      <c r="AB201" s="66"/>
      <c r="AC201" s="265" t="s">
        <v>338</v>
      </c>
      <c r="AG201" s="75"/>
      <c r="AJ201" s="79"/>
      <c r="AK201" s="79">
        <v>0</v>
      </c>
      <c r="BB201" s="266" t="s">
        <v>1</v>
      </c>
      <c r="BM201" s="75">
        <f t="shared" si="17"/>
        <v>0</v>
      </c>
      <c r="BN201" s="75">
        <f t="shared" si="18"/>
        <v>0</v>
      </c>
      <c r="BO201" s="75">
        <f t="shared" si="19"/>
        <v>0</v>
      </c>
      <c r="BP201" s="75">
        <f t="shared" si="20"/>
        <v>0</v>
      </c>
    </row>
    <row r="202" spans="1:68" ht="37.5" hidden="1" customHeight="1" x14ac:dyDescent="0.25">
      <c r="A202" s="60" t="s">
        <v>339</v>
      </c>
      <c r="B202" s="60" t="s">
        <v>340</v>
      </c>
      <c r="C202" s="34">
        <v>4301012370</v>
      </c>
      <c r="D202" s="626">
        <v>4680115886957</v>
      </c>
      <c r="E202" s="627"/>
      <c r="F202" s="59">
        <v>1.35</v>
      </c>
      <c r="G202" s="35">
        <v>8</v>
      </c>
      <c r="H202" s="59">
        <v>10.8</v>
      </c>
      <c r="I202" s="59">
        <v>11.29</v>
      </c>
      <c r="J202" s="35">
        <v>64</v>
      </c>
      <c r="K202" s="35" t="s">
        <v>119</v>
      </c>
      <c r="L202" s="35"/>
      <c r="M202" s="36" t="s">
        <v>77</v>
      </c>
      <c r="N202" s="36"/>
      <c r="O202" s="35">
        <v>35</v>
      </c>
      <c r="P202" s="97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0"/>
      <c r="R202" s="620"/>
      <c r="S202" s="620"/>
      <c r="T202" s="621"/>
      <c r="U202" s="37"/>
      <c r="V202" s="37"/>
      <c r="W202" s="38" t="s">
        <v>66</v>
      </c>
      <c r="X202" s="56">
        <v>0</v>
      </c>
      <c r="Y202" s="53">
        <f t="shared" si="15"/>
        <v>0</v>
      </c>
      <c r="Z202" s="39" t="str">
        <f t="shared" si="16"/>
        <v/>
      </c>
      <c r="AA202" s="65"/>
      <c r="AB202" s="66"/>
      <c r="AC202" s="267" t="s">
        <v>341</v>
      </c>
      <c r="AG202" s="75"/>
      <c r="AJ202" s="79"/>
      <c r="AK202" s="79">
        <v>0</v>
      </c>
      <c r="BB202" s="268" t="s">
        <v>1</v>
      </c>
      <c r="BM202" s="75">
        <f t="shared" si="17"/>
        <v>0</v>
      </c>
      <c r="BN202" s="75">
        <f t="shared" si="18"/>
        <v>0</v>
      </c>
      <c r="BO202" s="75">
        <f t="shared" si="19"/>
        <v>0</v>
      </c>
      <c r="BP202" s="75">
        <f t="shared" si="20"/>
        <v>0</v>
      </c>
    </row>
    <row r="203" spans="1:68" ht="27" hidden="1" customHeight="1" x14ac:dyDescent="0.25">
      <c r="A203" s="60" t="s">
        <v>342</v>
      </c>
      <c r="B203" s="60" t="s">
        <v>343</v>
      </c>
      <c r="C203" s="34">
        <v>4301012098</v>
      </c>
      <c r="D203" s="626">
        <v>4680115885660</v>
      </c>
      <c r="E203" s="627"/>
      <c r="F203" s="59">
        <v>1.35</v>
      </c>
      <c r="G203" s="35">
        <v>8</v>
      </c>
      <c r="H203" s="59">
        <v>10.8</v>
      </c>
      <c r="I203" s="59">
        <v>11.21</v>
      </c>
      <c r="J203" s="35">
        <v>64</v>
      </c>
      <c r="K203" s="35" t="s">
        <v>119</v>
      </c>
      <c r="L203" s="35"/>
      <c r="M203" s="36" t="s">
        <v>77</v>
      </c>
      <c r="N203" s="36"/>
      <c r="O203" s="35">
        <v>35</v>
      </c>
      <c r="P203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0"/>
      <c r="R203" s="620"/>
      <c r="S203" s="620"/>
      <c r="T203" s="621"/>
      <c r="U203" s="37"/>
      <c r="V203" s="37"/>
      <c r="W203" s="38" t="s">
        <v>66</v>
      </c>
      <c r="X203" s="56">
        <v>0</v>
      </c>
      <c r="Y203" s="53">
        <f t="shared" si="15"/>
        <v>0</v>
      </c>
      <c r="Z203" s="39" t="str">
        <f t="shared" si="16"/>
        <v/>
      </c>
      <c r="AA203" s="65"/>
      <c r="AB203" s="66"/>
      <c r="AC203" s="269" t="s">
        <v>344</v>
      </c>
      <c r="AG203" s="75"/>
      <c r="AJ203" s="79"/>
      <c r="AK203" s="79">
        <v>0</v>
      </c>
      <c r="BB203" s="270" t="s">
        <v>1</v>
      </c>
      <c r="BM203" s="75">
        <f t="shared" si="17"/>
        <v>0</v>
      </c>
      <c r="BN203" s="75">
        <f t="shared" si="18"/>
        <v>0</v>
      </c>
      <c r="BO203" s="75">
        <f t="shared" si="19"/>
        <v>0</v>
      </c>
      <c r="BP203" s="75">
        <f t="shared" si="20"/>
        <v>0</v>
      </c>
    </row>
    <row r="204" spans="1:68" ht="27" hidden="1" customHeight="1" x14ac:dyDescent="0.25">
      <c r="A204" s="60" t="s">
        <v>345</v>
      </c>
      <c r="B204" s="60" t="s">
        <v>346</v>
      </c>
      <c r="C204" s="34">
        <v>4301012369</v>
      </c>
      <c r="D204" s="626">
        <v>4680115886773</v>
      </c>
      <c r="E204" s="627"/>
      <c r="F204" s="59">
        <v>0.9</v>
      </c>
      <c r="G204" s="35">
        <v>10</v>
      </c>
      <c r="H204" s="59">
        <v>9</v>
      </c>
      <c r="I204" s="59">
        <v>9.51</v>
      </c>
      <c r="J204" s="35">
        <v>64</v>
      </c>
      <c r="K204" s="35" t="s">
        <v>119</v>
      </c>
      <c r="L204" s="35"/>
      <c r="M204" s="36" t="s">
        <v>77</v>
      </c>
      <c r="N204" s="36"/>
      <c r="O204" s="35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0"/>
      <c r="R204" s="620"/>
      <c r="S204" s="620"/>
      <c r="T204" s="621"/>
      <c r="U204" s="37"/>
      <c r="V204" s="37"/>
      <c r="W204" s="38" t="s">
        <v>66</v>
      </c>
      <c r="X204" s="56">
        <v>0</v>
      </c>
      <c r="Y204" s="53">
        <f t="shared" si="15"/>
        <v>0</v>
      </c>
      <c r="Z204" s="39" t="str">
        <f t="shared" si="16"/>
        <v/>
      </c>
      <c r="AA204" s="65"/>
      <c r="AB204" s="66"/>
      <c r="AC204" s="271" t="s">
        <v>347</v>
      </c>
      <c r="AG204" s="75"/>
      <c r="AJ204" s="79"/>
      <c r="AK204" s="79">
        <v>0</v>
      </c>
      <c r="BB204" s="272" t="s">
        <v>1</v>
      </c>
      <c r="BM204" s="75">
        <f t="shared" si="17"/>
        <v>0</v>
      </c>
      <c r="BN204" s="75">
        <f t="shared" si="18"/>
        <v>0</v>
      </c>
      <c r="BO204" s="75">
        <f t="shared" si="19"/>
        <v>0</v>
      </c>
      <c r="BP204" s="75">
        <f t="shared" si="20"/>
        <v>0</v>
      </c>
    </row>
    <row r="205" spans="1:68" hidden="1" x14ac:dyDescent="0.2">
      <c r="A205" s="623"/>
      <c r="B205" s="624"/>
      <c r="C205" s="624"/>
      <c r="D205" s="624"/>
      <c r="E205" s="624"/>
      <c r="F205" s="624"/>
      <c r="G205" s="624"/>
      <c r="H205" s="624"/>
      <c r="I205" s="624"/>
      <c r="J205" s="624"/>
      <c r="K205" s="624"/>
      <c r="L205" s="624"/>
      <c r="M205" s="624"/>
      <c r="N205" s="624"/>
      <c r="O205" s="625"/>
      <c r="P205" s="631" t="s">
        <v>71</v>
      </c>
      <c r="Q205" s="632"/>
      <c r="R205" s="632"/>
      <c r="S205" s="632"/>
      <c r="T205" s="632"/>
      <c r="U205" s="632"/>
      <c r="V205" s="633"/>
      <c r="W205" s="40" t="s">
        <v>72</v>
      </c>
      <c r="X205" s="41">
        <f>IFERROR(X198/H198,"0")+IFERROR(X199/H199,"0")+IFERROR(X200/H200,"0")+IFERROR(X201/H201,"0")+IFERROR(X202/H202,"0")+IFERROR(X203/H203,"0")+IFERROR(X204/H204,"0")</f>
        <v>0</v>
      </c>
      <c r="Y205" s="41">
        <f>IFERROR(Y198/H198,"0")+IFERROR(Y199/H199,"0")+IFERROR(Y200/H200,"0")+IFERROR(Y201/H201,"0")+IFERROR(Y202/H202,"0")+IFERROR(Y203/H203,"0")+IFERROR(Y204/H204,"0")</f>
        <v>0</v>
      </c>
      <c r="Z205" s="41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624"/>
      <c r="B206" s="624"/>
      <c r="C206" s="624"/>
      <c r="D206" s="624"/>
      <c r="E206" s="624"/>
      <c r="F206" s="624"/>
      <c r="G206" s="624"/>
      <c r="H206" s="624"/>
      <c r="I206" s="624"/>
      <c r="J206" s="624"/>
      <c r="K206" s="624"/>
      <c r="L206" s="624"/>
      <c r="M206" s="624"/>
      <c r="N206" s="624"/>
      <c r="O206" s="625"/>
      <c r="P206" s="631" t="s">
        <v>71</v>
      </c>
      <c r="Q206" s="632"/>
      <c r="R206" s="632"/>
      <c r="S206" s="632"/>
      <c r="T206" s="632"/>
      <c r="U206" s="632"/>
      <c r="V206" s="633"/>
      <c r="W206" s="40" t="s">
        <v>66</v>
      </c>
      <c r="X206" s="41">
        <f>IFERROR(SUM(X198:X204),"0")</f>
        <v>0</v>
      </c>
      <c r="Y206" s="41">
        <f>IFERROR(SUM(Y198:Y204),"0")</f>
        <v>0</v>
      </c>
      <c r="Z206" s="40"/>
      <c r="AA206" s="64"/>
      <c r="AB206" s="64"/>
      <c r="AC206" s="64"/>
    </row>
    <row r="207" spans="1:68" ht="16.5" hidden="1" customHeight="1" x14ac:dyDescent="0.25">
      <c r="A207" s="639" t="s">
        <v>348</v>
      </c>
      <c r="B207" s="624"/>
      <c r="C207" s="624"/>
      <c r="D207" s="624"/>
      <c r="E207" s="624"/>
      <c r="F207" s="624"/>
      <c r="G207" s="624"/>
      <c r="H207" s="624"/>
      <c r="I207" s="624"/>
      <c r="J207" s="624"/>
      <c r="K207" s="624"/>
      <c r="L207" s="624"/>
      <c r="M207" s="624"/>
      <c r="N207" s="624"/>
      <c r="O207" s="624"/>
      <c r="P207" s="624"/>
      <c r="Q207" s="624"/>
      <c r="R207" s="624"/>
      <c r="S207" s="624"/>
      <c r="T207" s="624"/>
      <c r="U207" s="624"/>
      <c r="V207" s="624"/>
      <c r="W207" s="624"/>
      <c r="X207" s="624"/>
      <c r="Y207" s="624"/>
      <c r="Z207" s="624"/>
      <c r="AA207" s="62"/>
      <c r="AB207" s="62"/>
      <c r="AC207" s="62"/>
    </row>
    <row r="208" spans="1:68" ht="14.25" hidden="1" customHeight="1" x14ac:dyDescent="0.25">
      <c r="A208" s="628" t="s">
        <v>152</v>
      </c>
      <c r="B208" s="624"/>
      <c r="C208" s="624"/>
      <c r="D208" s="624"/>
      <c r="E208" s="624"/>
      <c r="F208" s="624"/>
      <c r="G208" s="624"/>
      <c r="H208" s="624"/>
      <c r="I208" s="624"/>
      <c r="J208" s="624"/>
      <c r="K208" s="624"/>
      <c r="L208" s="624"/>
      <c r="M208" s="624"/>
      <c r="N208" s="624"/>
      <c r="O208" s="624"/>
      <c r="P208" s="624"/>
      <c r="Q208" s="624"/>
      <c r="R208" s="624"/>
      <c r="S208" s="624"/>
      <c r="T208" s="624"/>
      <c r="U208" s="624"/>
      <c r="V208" s="624"/>
      <c r="W208" s="624"/>
      <c r="X208" s="624"/>
      <c r="Y208" s="624"/>
      <c r="Z208" s="624"/>
      <c r="AA208" s="63"/>
      <c r="AB208" s="63"/>
      <c r="AC208" s="63"/>
    </row>
    <row r="209" spans="1:68" ht="27" hidden="1" customHeight="1" x14ac:dyDescent="0.25">
      <c r="A209" s="60" t="s">
        <v>349</v>
      </c>
      <c r="B209" s="60" t="s">
        <v>350</v>
      </c>
      <c r="C209" s="34">
        <v>4301020323</v>
      </c>
      <c r="D209" s="626">
        <v>4680115886223</v>
      </c>
      <c r="E209" s="627"/>
      <c r="F209" s="59">
        <v>0.33</v>
      </c>
      <c r="G209" s="35">
        <v>6</v>
      </c>
      <c r="H209" s="59">
        <v>1.98</v>
      </c>
      <c r="I209" s="59">
        <v>2.08</v>
      </c>
      <c r="J209" s="35">
        <v>234</v>
      </c>
      <c r="K209" s="35" t="s">
        <v>64</v>
      </c>
      <c r="L209" s="35"/>
      <c r="M209" s="36" t="s">
        <v>65</v>
      </c>
      <c r="N209" s="36"/>
      <c r="O209" s="35">
        <v>40</v>
      </c>
      <c r="P209" s="6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0"/>
      <c r="R209" s="620"/>
      <c r="S209" s="620"/>
      <c r="T209" s="621"/>
      <c r="U209" s="37"/>
      <c r="V209" s="37"/>
      <c r="W209" s="38" t="s">
        <v>66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IFERROR(IF(Y209=0,"",ROUNDUP(Y209/H209,0)*0.00502),"")</f>
        <v/>
      </c>
      <c r="AA209" s="65"/>
      <c r="AB209" s="66"/>
      <c r="AC209" s="273" t="s">
        <v>351</v>
      </c>
      <c r="AG209" s="75"/>
      <c r="AJ209" s="79"/>
      <c r="AK209" s="79">
        <v>0</v>
      </c>
      <c r="BB209" s="274" t="s">
        <v>1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623"/>
      <c r="B210" s="624"/>
      <c r="C210" s="624"/>
      <c r="D210" s="624"/>
      <c r="E210" s="624"/>
      <c r="F210" s="624"/>
      <c r="G210" s="624"/>
      <c r="H210" s="624"/>
      <c r="I210" s="624"/>
      <c r="J210" s="624"/>
      <c r="K210" s="624"/>
      <c r="L210" s="624"/>
      <c r="M210" s="624"/>
      <c r="N210" s="624"/>
      <c r="O210" s="625"/>
      <c r="P210" s="631" t="s">
        <v>71</v>
      </c>
      <c r="Q210" s="632"/>
      <c r="R210" s="632"/>
      <c r="S210" s="632"/>
      <c r="T210" s="632"/>
      <c r="U210" s="632"/>
      <c r="V210" s="633"/>
      <c r="W210" s="40" t="s">
        <v>72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624"/>
      <c r="B211" s="624"/>
      <c r="C211" s="624"/>
      <c r="D211" s="624"/>
      <c r="E211" s="624"/>
      <c r="F211" s="624"/>
      <c r="G211" s="624"/>
      <c r="H211" s="624"/>
      <c r="I211" s="624"/>
      <c r="J211" s="624"/>
      <c r="K211" s="624"/>
      <c r="L211" s="624"/>
      <c r="M211" s="624"/>
      <c r="N211" s="624"/>
      <c r="O211" s="625"/>
      <c r="P211" s="631" t="s">
        <v>71</v>
      </c>
      <c r="Q211" s="632"/>
      <c r="R211" s="632"/>
      <c r="S211" s="632"/>
      <c r="T211" s="632"/>
      <c r="U211" s="632"/>
      <c r="V211" s="633"/>
      <c r="W211" s="40" t="s">
        <v>66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14.25" hidden="1" customHeight="1" x14ac:dyDescent="0.25">
      <c r="A212" s="628" t="s">
        <v>61</v>
      </c>
      <c r="B212" s="624"/>
      <c r="C212" s="624"/>
      <c r="D212" s="624"/>
      <c r="E212" s="624"/>
      <c r="F212" s="624"/>
      <c r="G212" s="624"/>
      <c r="H212" s="624"/>
      <c r="I212" s="624"/>
      <c r="J212" s="624"/>
      <c r="K212" s="624"/>
      <c r="L212" s="624"/>
      <c r="M212" s="624"/>
      <c r="N212" s="624"/>
      <c r="O212" s="624"/>
      <c r="P212" s="624"/>
      <c r="Q212" s="624"/>
      <c r="R212" s="624"/>
      <c r="S212" s="624"/>
      <c r="T212" s="624"/>
      <c r="U212" s="624"/>
      <c r="V212" s="624"/>
      <c r="W212" s="624"/>
      <c r="X212" s="624"/>
      <c r="Y212" s="624"/>
      <c r="Z212" s="624"/>
      <c r="AA212" s="63"/>
      <c r="AB212" s="63"/>
      <c r="AC212" s="63"/>
    </row>
    <row r="213" spans="1:68" ht="27" hidden="1" customHeight="1" x14ac:dyDescent="0.25">
      <c r="A213" s="60" t="s">
        <v>352</v>
      </c>
      <c r="B213" s="60" t="s">
        <v>353</v>
      </c>
      <c r="C213" s="34">
        <v>4301031191</v>
      </c>
      <c r="D213" s="626">
        <v>4680115880993</v>
      </c>
      <c r="E213" s="627"/>
      <c r="F213" s="59">
        <v>0.7</v>
      </c>
      <c r="G213" s="35">
        <v>6</v>
      </c>
      <c r="H213" s="59">
        <v>4.2</v>
      </c>
      <c r="I213" s="59">
        <v>4.45</v>
      </c>
      <c r="J213" s="35">
        <v>132</v>
      </c>
      <c r="K213" s="35" t="s">
        <v>128</v>
      </c>
      <c r="L213" s="35"/>
      <c r="M213" s="36" t="s">
        <v>65</v>
      </c>
      <c r="N213" s="36"/>
      <c r="O213" s="35">
        <v>40</v>
      </c>
      <c r="P213" s="67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0"/>
      <c r="R213" s="620"/>
      <c r="S213" s="620"/>
      <c r="T213" s="621"/>
      <c r="U213" s="37"/>
      <c r="V213" s="37"/>
      <c r="W213" s="38" t="s">
        <v>66</v>
      </c>
      <c r="X213" s="56">
        <v>0</v>
      </c>
      <c r="Y213" s="53">
        <f t="shared" ref="Y213:Y226" si="21">IFERROR(IF(X213="",0,CEILING((X213/$H213),1)*$H213),"")</f>
        <v>0</v>
      </c>
      <c r="Z213" s="39" t="str">
        <f>IFERROR(IF(Y213=0,"",ROUNDUP(Y213/H213,0)*0.00902),"")</f>
        <v/>
      </c>
      <c r="AA213" s="65"/>
      <c r="AB213" s="66"/>
      <c r="AC213" s="275" t="s">
        <v>354</v>
      </c>
      <c r="AG213" s="75"/>
      <c r="AJ213" s="79"/>
      <c r="AK213" s="79">
        <v>0</v>
      </c>
      <c r="BB213" s="276" t="s">
        <v>1</v>
      </c>
      <c r="BM213" s="75">
        <f t="shared" ref="BM213:BM226" si="22">IFERROR(X213*I213/H213,"0")</f>
        <v>0</v>
      </c>
      <c r="BN213" s="75">
        <f t="shared" ref="BN213:BN226" si="23">IFERROR(Y213*I213/H213,"0")</f>
        <v>0</v>
      </c>
      <c r="BO213" s="75">
        <f t="shared" ref="BO213:BO226" si="24">IFERROR(1/J213*(X213/H213),"0")</f>
        <v>0</v>
      </c>
      <c r="BP213" s="75">
        <f t="shared" ref="BP213:BP226" si="25">IFERROR(1/J213*(Y213/H213),"0")</f>
        <v>0</v>
      </c>
    </row>
    <row r="214" spans="1:68" ht="27" hidden="1" customHeight="1" x14ac:dyDescent="0.25">
      <c r="A214" s="60" t="s">
        <v>355</v>
      </c>
      <c r="B214" s="60" t="s">
        <v>356</v>
      </c>
      <c r="C214" s="34">
        <v>4301031204</v>
      </c>
      <c r="D214" s="626">
        <v>4680115881761</v>
      </c>
      <c r="E214" s="627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128</v>
      </c>
      <c r="L214" s="35"/>
      <c r="M214" s="36" t="s">
        <v>65</v>
      </c>
      <c r="N214" s="36"/>
      <c r="O214" s="35">
        <v>40</v>
      </c>
      <c r="P214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0"/>
      <c r="R214" s="620"/>
      <c r="S214" s="620"/>
      <c r="T214" s="621"/>
      <c r="U214" s="37"/>
      <c r="V214" s="37"/>
      <c r="W214" s="38" t="s">
        <v>66</v>
      </c>
      <c r="X214" s="56">
        <v>0</v>
      </c>
      <c r="Y214" s="53">
        <f t="shared" si="21"/>
        <v>0</v>
      </c>
      <c r="Z214" s="39" t="str">
        <f>IFERROR(IF(Y214=0,"",ROUNDUP(Y214/H214,0)*0.00902),"")</f>
        <v/>
      </c>
      <c r="AA214" s="65"/>
      <c r="AB214" s="66"/>
      <c r="AC214" s="277" t="s">
        <v>357</v>
      </c>
      <c r="AG214" s="75"/>
      <c r="AJ214" s="79"/>
      <c r="AK214" s="79">
        <v>0</v>
      </c>
      <c r="BB214" s="278" t="s">
        <v>1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hidden="1" customHeight="1" x14ac:dyDescent="0.25">
      <c r="A215" s="60" t="s">
        <v>358</v>
      </c>
      <c r="B215" s="60" t="s">
        <v>359</v>
      </c>
      <c r="C215" s="34">
        <v>4301031201</v>
      </c>
      <c r="D215" s="626">
        <v>4680115881563</v>
      </c>
      <c r="E215" s="627"/>
      <c r="F215" s="59">
        <v>0.7</v>
      </c>
      <c r="G215" s="35">
        <v>6</v>
      </c>
      <c r="H215" s="59">
        <v>4.2</v>
      </c>
      <c r="I215" s="59">
        <v>4.3899999999999997</v>
      </c>
      <c r="J215" s="35">
        <v>132</v>
      </c>
      <c r="K215" s="35" t="s">
        <v>128</v>
      </c>
      <c r="L215" s="35"/>
      <c r="M215" s="36" t="s">
        <v>65</v>
      </c>
      <c r="N215" s="36"/>
      <c r="O215" s="35">
        <v>40</v>
      </c>
      <c r="P215" s="64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0"/>
      <c r="R215" s="620"/>
      <c r="S215" s="620"/>
      <c r="T215" s="621"/>
      <c r="U215" s="37"/>
      <c r="V215" s="37"/>
      <c r="W215" s="38" t="s">
        <v>66</v>
      </c>
      <c r="X215" s="56">
        <v>0</v>
      </c>
      <c r="Y215" s="53">
        <f t="shared" si="21"/>
        <v>0</v>
      </c>
      <c r="Z215" s="39" t="str">
        <f>IFERROR(IF(Y215=0,"",ROUNDUP(Y215/H215,0)*0.00902),"")</f>
        <v/>
      </c>
      <c r="AA215" s="65"/>
      <c r="AB215" s="66"/>
      <c r="AC215" s="279" t="s">
        <v>360</v>
      </c>
      <c r="AG215" s="75"/>
      <c r="AJ215" s="79"/>
      <c r="AK215" s="79">
        <v>0</v>
      </c>
      <c r="BB215" s="280" t="s">
        <v>1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37.5" hidden="1" customHeight="1" x14ac:dyDescent="0.25">
      <c r="A216" s="60" t="s">
        <v>361</v>
      </c>
      <c r="B216" s="60" t="s">
        <v>362</v>
      </c>
      <c r="C216" s="34">
        <v>4301031447</v>
      </c>
      <c r="D216" s="626">
        <v>4680115887565</v>
      </c>
      <c r="E216" s="627"/>
      <c r="F216" s="59">
        <v>0.08</v>
      </c>
      <c r="G216" s="35">
        <v>10</v>
      </c>
      <c r="H216" s="59">
        <v>0.8</v>
      </c>
      <c r="I216" s="59">
        <v>0.93</v>
      </c>
      <c r="J216" s="35">
        <v>252</v>
      </c>
      <c r="K216" s="35" t="s">
        <v>64</v>
      </c>
      <c r="L216" s="35"/>
      <c r="M216" s="36" t="s">
        <v>65</v>
      </c>
      <c r="N216" s="36"/>
      <c r="O216" s="35">
        <v>45</v>
      </c>
      <c r="P216" s="7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0"/>
      <c r="R216" s="620"/>
      <c r="S216" s="620"/>
      <c r="T216" s="621"/>
      <c r="U216" s="37"/>
      <c r="V216" s="37"/>
      <c r="W216" s="38" t="s">
        <v>66</v>
      </c>
      <c r="X216" s="56">
        <v>0</v>
      </c>
      <c r="Y216" s="53">
        <f t="shared" si="21"/>
        <v>0</v>
      </c>
      <c r="Z216" s="39" t="str">
        <f>IFERROR(IF(Y216=0,"",ROUNDUP(Y216/H216,0)*0.00556),"")</f>
        <v/>
      </c>
      <c r="AA216" s="65"/>
      <c r="AB216" s="66"/>
      <c r="AC216" s="281" t="s">
        <v>363</v>
      </c>
      <c r="AG216" s="75"/>
      <c r="AJ216" s="79"/>
      <c r="AK216" s="79">
        <v>0</v>
      </c>
      <c r="BB216" s="282" t="s">
        <v>1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hidden="1" customHeight="1" x14ac:dyDescent="0.25">
      <c r="A217" s="60" t="s">
        <v>364</v>
      </c>
      <c r="B217" s="60" t="s">
        <v>365</v>
      </c>
      <c r="C217" s="34">
        <v>4301031199</v>
      </c>
      <c r="D217" s="626">
        <v>4680115880986</v>
      </c>
      <c r="E217" s="627"/>
      <c r="F217" s="59">
        <v>0.35</v>
      </c>
      <c r="G217" s="35">
        <v>6</v>
      </c>
      <c r="H217" s="59">
        <v>2.1</v>
      </c>
      <c r="I217" s="59">
        <v>2.23</v>
      </c>
      <c r="J217" s="35">
        <v>234</v>
      </c>
      <c r="K217" s="35" t="s">
        <v>64</v>
      </c>
      <c r="L217" s="35"/>
      <c r="M217" s="36" t="s">
        <v>65</v>
      </c>
      <c r="N217" s="36"/>
      <c r="O217" s="35">
        <v>40</v>
      </c>
      <c r="P21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0"/>
      <c r="R217" s="620"/>
      <c r="S217" s="620"/>
      <c r="T217" s="621"/>
      <c r="U217" s="37"/>
      <c r="V217" s="37"/>
      <c r="W217" s="38" t="s">
        <v>66</v>
      </c>
      <c r="X217" s="56">
        <v>0</v>
      </c>
      <c r="Y217" s="53">
        <f t="shared" si="21"/>
        <v>0</v>
      </c>
      <c r="Z217" s="39" t="str">
        <f t="shared" ref="Z217:Z222" si="26">IFERROR(IF(Y217=0,"",ROUNDUP(Y217/H217,0)*0.00502),"")</f>
        <v/>
      </c>
      <c r="AA217" s="65"/>
      <c r="AB217" s="66"/>
      <c r="AC217" s="283" t="s">
        <v>354</v>
      </c>
      <c r="AG217" s="75"/>
      <c r="AJ217" s="79"/>
      <c r="AK217" s="79">
        <v>0</v>
      </c>
      <c r="BB217" s="284" t="s">
        <v>1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hidden="1" customHeight="1" x14ac:dyDescent="0.25">
      <c r="A218" s="60" t="s">
        <v>366</v>
      </c>
      <c r="B218" s="60" t="s">
        <v>367</v>
      </c>
      <c r="C218" s="34">
        <v>4301031443</v>
      </c>
      <c r="D218" s="626">
        <v>4680115887213</v>
      </c>
      <c r="E218" s="627"/>
      <c r="F218" s="59">
        <v>0.3</v>
      </c>
      <c r="G218" s="35">
        <v>6</v>
      </c>
      <c r="H218" s="59">
        <v>1.8</v>
      </c>
      <c r="I218" s="59">
        <v>1.9</v>
      </c>
      <c r="J218" s="35">
        <v>234</v>
      </c>
      <c r="K218" s="35" t="s">
        <v>64</v>
      </c>
      <c r="L218" s="35"/>
      <c r="M218" s="36" t="s">
        <v>65</v>
      </c>
      <c r="N218" s="36"/>
      <c r="O218" s="35">
        <v>45</v>
      </c>
      <c r="P218" s="96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0"/>
      <c r="R218" s="620"/>
      <c r="S218" s="620"/>
      <c r="T218" s="621"/>
      <c r="U218" s="37"/>
      <c r="V218" s="37"/>
      <c r="W218" s="38" t="s">
        <v>66</v>
      </c>
      <c r="X218" s="56">
        <v>0</v>
      </c>
      <c r="Y218" s="53">
        <f t="shared" si="21"/>
        <v>0</v>
      </c>
      <c r="Z218" s="39" t="str">
        <f t="shared" si="26"/>
        <v/>
      </c>
      <c r="AA218" s="65"/>
      <c r="AB218" s="66"/>
      <c r="AC218" s="285" t="s">
        <v>368</v>
      </c>
      <c r="AG218" s="75"/>
      <c r="AJ218" s="79"/>
      <c r="AK218" s="79">
        <v>0</v>
      </c>
      <c r="BB218" s="286" t="s">
        <v>1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369</v>
      </c>
      <c r="B219" s="60" t="s">
        <v>370</v>
      </c>
      <c r="C219" s="34">
        <v>4301031205</v>
      </c>
      <c r="D219" s="626">
        <v>4680115881785</v>
      </c>
      <c r="E219" s="627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64</v>
      </c>
      <c r="L219" s="35"/>
      <c r="M219" s="36" t="s">
        <v>65</v>
      </c>
      <c r="N219" s="36"/>
      <c r="O219" s="35">
        <v>40</v>
      </c>
      <c r="P21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0"/>
      <c r="R219" s="620"/>
      <c r="S219" s="620"/>
      <c r="T219" s="621"/>
      <c r="U219" s="37"/>
      <c r="V219" s="37"/>
      <c r="W219" s="38" t="s">
        <v>66</v>
      </c>
      <c r="X219" s="56">
        <v>0</v>
      </c>
      <c r="Y219" s="53">
        <f t="shared" si="21"/>
        <v>0</v>
      </c>
      <c r="Z219" s="39" t="str">
        <f t="shared" si="26"/>
        <v/>
      </c>
      <c r="AA219" s="65"/>
      <c r="AB219" s="66"/>
      <c r="AC219" s="287" t="s">
        <v>357</v>
      </c>
      <c r="AG219" s="75"/>
      <c r="AJ219" s="79"/>
      <c r="AK219" s="79">
        <v>0</v>
      </c>
      <c r="BB219" s="288" t="s">
        <v>1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27" hidden="1" customHeight="1" x14ac:dyDescent="0.25">
      <c r="A220" s="60" t="s">
        <v>371</v>
      </c>
      <c r="B220" s="60" t="s">
        <v>372</v>
      </c>
      <c r="C220" s="34">
        <v>4301031499</v>
      </c>
      <c r="D220" s="626">
        <v>4680115888432</v>
      </c>
      <c r="E220" s="627"/>
      <c r="F220" s="59">
        <v>0.3</v>
      </c>
      <c r="G220" s="35">
        <v>6</v>
      </c>
      <c r="H220" s="59">
        <v>1.8</v>
      </c>
      <c r="I220" s="59">
        <v>1.93</v>
      </c>
      <c r="J220" s="35">
        <v>234</v>
      </c>
      <c r="K220" s="35" t="s">
        <v>64</v>
      </c>
      <c r="L220" s="35"/>
      <c r="M220" s="36" t="s">
        <v>65</v>
      </c>
      <c r="N220" s="36"/>
      <c r="O220" s="35">
        <v>45</v>
      </c>
      <c r="P220" s="66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0"/>
      <c r="R220" s="620"/>
      <c r="S220" s="620"/>
      <c r="T220" s="621"/>
      <c r="U220" s="37"/>
      <c r="V220" s="37"/>
      <c r="W220" s="38" t="s">
        <v>66</v>
      </c>
      <c r="X220" s="56">
        <v>0</v>
      </c>
      <c r="Y220" s="53">
        <f t="shared" si="21"/>
        <v>0</v>
      </c>
      <c r="Z220" s="39" t="str">
        <f t="shared" si="26"/>
        <v/>
      </c>
      <c r="AA220" s="65"/>
      <c r="AB220" s="66"/>
      <c r="AC220" s="289" t="s">
        <v>373</v>
      </c>
      <c r="AG220" s="75"/>
      <c r="AJ220" s="79"/>
      <c r="AK220" s="79">
        <v>0</v>
      </c>
      <c r="BB220" s="290" t="s">
        <v>1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374</v>
      </c>
      <c r="B221" s="60" t="s">
        <v>375</v>
      </c>
      <c r="C221" s="34">
        <v>4301031427</v>
      </c>
      <c r="D221" s="626">
        <v>4680115888104</v>
      </c>
      <c r="E221" s="627"/>
      <c r="F221" s="59">
        <v>0.35</v>
      </c>
      <c r="G221" s="35">
        <v>6</v>
      </c>
      <c r="H221" s="59">
        <v>2.1</v>
      </c>
      <c r="I221" s="59">
        <v>2.2000000000000002</v>
      </c>
      <c r="J221" s="35">
        <v>234</v>
      </c>
      <c r="K221" s="35" t="s">
        <v>64</v>
      </c>
      <c r="L221" s="35"/>
      <c r="M221" s="36" t="s">
        <v>65</v>
      </c>
      <c r="N221" s="36"/>
      <c r="O221" s="35">
        <v>45</v>
      </c>
      <c r="P221" s="6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0"/>
      <c r="R221" s="620"/>
      <c r="S221" s="620"/>
      <c r="T221" s="621"/>
      <c r="U221" s="37"/>
      <c r="V221" s="37"/>
      <c r="W221" s="38" t="s">
        <v>66</v>
      </c>
      <c r="X221" s="56">
        <v>0</v>
      </c>
      <c r="Y221" s="53">
        <f t="shared" si="21"/>
        <v>0</v>
      </c>
      <c r="Z221" s="39" t="str">
        <f t="shared" si="26"/>
        <v/>
      </c>
      <c r="AA221" s="65"/>
      <c r="AB221" s="66"/>
      <c r="AC221" s="291" t="s">
        <v>376</v>
      </c>
      <c r="AG221" s="75"/>
      <c r="AJ221" s="79"/>
      <c r="AK221" s="79">
        <v>0</v>
      </c>
      <c r="BB221" s="292" t="s">
        <v>1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377</v>
      </c>
      <c r="B222" s="60" t="s">
        <v>378</v>
      </c>
      <c r="C222" s="34">
        <v>4301031399</v>
      </c>
      <c r="D222" s="626">
        <v>4680115886537</v>
      </c>
      <c r="E222" s="627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64</v>
      </c>
      <c r="L222" s="35"/>
      <c r="M222" s="36" t="s">
        <v>65</v>
      </c>
      <c r="N222" s="36"/>
      <c r="O222" s="35">
        <v>40</v>
      </c>
      <c r="P222" s="8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0"/>
      <c r="R222" s="620"/>
      <c r="S222" s="620"/>
      <c r="T222" s="621"/>
      <c r="U222" s="37"/>
      <c r="V222" s="37"/>
      <c r="W222" s="38" t="s">
        <v>66</v>
      </c>
      <c r="X222" s="56">
        <v>0</v>
      </c>
      <c r="Y222" s="53">
        <f t="shared" si="21"/>
        <v>0</v>
      </c>
      <c r="Z222" s="39" t="str">
        <f t="shared" si="26"/>
        <v/>
      </c>
      <c r="AA222" s="65"/>
      <c r="AB222" s="66"/>
      <c r="AC222" s="293" t="s">
        <v>379</v>
      </c>
      <c r="AG222" s="75"/>
      <c r="AJ222" s="79"/>
      <c r="AK222" s="79">
        <v>0</v>
      </c>
      <c r="BB222" s="294" t="s">
        <v>1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ht="27" hidden="1" customHeight="1" x14ac:dyDescent="0.25">
      <c r="A223" s="60" t="s">
        <v>380</v>
      </c>
      <c r="B223" s="60" t="s">
        <v>381</v>
      </c>
      <c r="C223" s="34">
        <v>4301031279</v>
      </c>
      <c r="D223" s="626">
        <v>4680115887596</v>
      </c>
      <c r="E223" s="627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124</v>
      </c>
      <c r="L223" s="35"/>
      <c r="M223" s="36" t="s">
        <v>65</v>
      </c>
      <c r="N223" s="36"/>
      <c r="O223" s="35">
        <v>45</v>
      </c>
      <c r="P223" s="7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0"/>
      <c r="R223" s="620"/>
      <c r="S223" s="620"/>
      <c r="T223" s="621"/>
      <c r="U223" s="37"/>
      <c r="V223" s="37"/>
      <c r="W223" s="38" t="s">
        <v>66</v>
      </c>
      <c r="X223" s="56">
        <v>0</v>
      </c>
      <c r="Y223" s="53">
        <f t="shared" si="21"/>
        <v>0</v>
      </c>
      <c r="Z223" s="39" t="str">
        <f>IFERROR(IF(Y223=0,"",ROUNDUP(Y223/H223,0)*0.00417),"")</f>
        <v/>
      </c>
      <c r="AA223" s="65"/>
      <c r="AB223" s="66"/>
      <c r="AC223" s="295" t="s">
        <v>382</v>
      </c>
      <c r="AG223" s="75"/>
      <c r="AJ223" s="79"/>
      <c r="AK223" s="79">
        <v>0</v>
      </c>
      <c r="BB223" s="296" t="s">
        <v>1</v>
      </c>
      <c r="BM223" s="75">
        <f t="shared" si="22"/>
        <v>0</v>
      </c>
      <c r="BN223" s="75">
        <f t="shared" si="23"/>
        <v>0</v>
      </c>
      <c r="BO223" s="75">
        <f t="shared" si="24"/>
        <v>0</v>
      </c>
      <c r="BP223" s="75">
        <f t="shared" si="25"/>
        <v>0</v>
      </c>
    </row>
    <row r="224" spans="1:68" ht="37.5" hidden="1" customHeight="1" x14ac:dyDescent="0.25">
      <c r="A224" s="60" t="s">
        <v>383</v>
      </c>
      <c r="B224" s="60" t="s">
        <v>384</v>
      </c>
      <c r="C224" s="34">
        <v>4301031202</v>
      </c>
      <c r="D224" s="626">
        <v>4680115881679</v>
      </c>
      <c r="E224" s="627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64</v>
      </c>
      <c r="L224" s="35"/>
      <c r="M224" s="36" t="s">
        <v>65</v>
      </c>
      <c r="N224" s="36"/>
      <c r="O224" s="35">
        <v>40</v>
      </c>
      <c r="P224" s="7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0"/>
      <c r="R224" s="620"/>
      <c r="S224" s="620"/>
      <c r="T224" s="621"/>
      <c r="U224" s="37"/>
      <c r="V224" s="37"/>
      <c r="W224" s="38" t="s">
        <v>66</v>
      </c>
      <c r="X224" s="56">
        <v>0</v>
      </c>
      <c r="Y224" s="53">
        <f t="shared" si="21"/>
        <v>0</v>
      </c>
      <c r="Z224" s="39" t="str">
        <f>IFERROR(IF(Y224=0,"",ROUNDUP(Y224/H224,0)*0.00502),"")</f>
        <v/>
      </c>
      <c r="AA224" s="65"/>
      <c r="AB224" s="66"/>
      <c r="AC224" s="297" t="s">
        <v>360</v>
      </c>
      <c r="AG224" s="75"/>
      <c r="AJ224" s="79"/>
      <c r="AK224" s="79">
        <v>0</v>
      </c>
      <c r="BB224" s="298" t="s">
        <v>1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385</v>
      </c>
      <c r="B225" s="60" t="s">
        <v>386</v>
      </c>
      <c r="C225" s="34">
        <v>4301031158</v>
      </c>
      <c r="D225" s="626">
        <v>4680115880191</v>
      </c>
      <c r="E225" s="627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76</v>
      </c>
      <c r="L225" s="35"/>
      <c r="M225" s="36" t="s">
        <v>65</v>
      </c>
      <c r="N225" s="36"/>
      <c r="O225" s="35">
        <v>40</v>
      </c>
      <c r="P225" s="8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0"/>
      <c r="R225" s="620"/>
      <c r="S225" s="620"/>
      <c r="T225" s="621"/>
      <c r="U225" s="37"/>
      <c r="V225" s="37"/>
      <c r="W225" s="38" t="s">
        <v>66</v>
      </c>
      <c r="X225" s="56">
        <v>0</v>
      </c>
      <c r="Y225" s="53">
        <f t="shared" si="21"/>
        <v>0</v>
      </c>
      <c r="Z225" s="39" t="str">
        <f>IFERROR(IF(Y225=0,"",ROUNDUP(Y225/H225,0)*0.00651),"")</f>
        <v/>
      </c>
      <c r="AA225" s="65"/>
      <c r="AB225" s="66"/>
      <c r="AC225" s="299" t="s">
        <v>360</v>
      </c>
      <c r="AG225" s="75"/>
      <c r="AJ225" s="79"/>
      <c r="AK225" s="79">
        <v>0</v>
      </c>
      <c r="BB225" s="300" t="s">
        <v>1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27" hidden="1" customHeight="1" x14ac:dyDescent="0.25">
      <c r="A226" s="60" t="s">
        <v>387</v>
      </c>
      <c r="B226" s="60" t="s">
        <v>388</v>
      </c>
      <c r="C226" s="34">
        <v>4301031245</v>
      </c>
      <c r="D226" s="626">
        <v>4680115883963</v>
      </c>
      <c r="E226" s="627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64</v>
      </c>
      <c r="L226" s="35"/>
      <c r="M226" s="36" t="s">
        <v>65</v>
      </c>
      <c r="N226" s="36"/>
      <c r="O226" s="35">
        <v>40</v>
      </c>
      <c r="P226" s="9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0"/>
      <c r="R226" s="620"/>
      <c r="S226" s="620"/>
      <c r="T226" s="621"/>
      <c r="U226" s="37"/>
      <c r="V226" s="37"/>
      <c r="W226" s="38" t="s">
        <v>66</v>
      </c>
      <c r="X226" s="56">
        <v>0</v>
      </c>
      <c r="Y226" s="53">
        <f t="shared" si="21"/>
        <v>0</v>
      </c>
      <c r="Z226" s="39" t="str">
        <f>IFERROR(IF(Y226=0,"",ROUNDUP(Y226/H226,0)*0.00502),"")</f>
        <v/>
      </c>
      <c r="AA226" s="65"/>
      <c r="AB226" s="66"/>
      <c r="AC226" s="301" t="s">
        <v>389</v>
      </c>
      <c r="AG226" s="75"/>
      <c r="AJ226" s="79"/>
      <c r="AK226" s="79">
        <v>0</v>
      </c>
      <c r="BB226" s="302" t="s">
        <v>1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idden="1" x14ac:dyDescent="0.2">
      <c r="A227" s="623"/>
      <c r="B227" s="624"/>
      <c r="C227" s="624"/>
      <c r="D227" s="624"/>
      <c r="E227" s="624"/>
      <c r="F227" s="624"/>
      <c r="G227" s="624"/>
      <c r="H227" s="624"/>
      <c r="I227" s="624"/>
      <c r="J227" s="624"/>
      <c r="K227" s="624"/>
      <c r="L227" s="624"/>
      <c r="M227" s="624"/>
      <c r="N227" s="624"/>
      <c r="O227" s="625"/>
      <c r="P227" s="631" t="s">
        <v>71</v>
      </c>
      <c r="Q227" s="632"/>
      <c r="R227" s="632"/>
      <c r="S227" s="632"/>
      <c r="T227" s="632"/>
      <c r="U227" s="632"/>
      <c r="V227" s="633"/>
      <c r="W227" s="40" t="s">
        <v>72</v>
      </c>
      <c r="X227" s="41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1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1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4"/>
      <c r="AB227" s="64"/>
      <c r="AC227" s="64"/>
    </row>
    <row r="228" spans="1:68" hidden="1" x14ac:dyDescent="0.2">
      <c r="A228" s="624"/>
      <c r="B228" s="624"/>
      <c r="C228" s="624"/>
      <c r="D228" s="624"/>
      <c r="E228" s="624"/>
      <c r="F228" s="624"/>
      <c r="G228" s="624"/>
      <c r="H228" s="624"/>
      <c r="I228" s="624"/>
      <c r="J228" s="624"/>
      <c r="K228" s="624"/>
      <c r="L228" s="624"/>
      <c r="M228" s="624"/>
      <c r="N228" s="624"/>
      <c r="O228" s="625"/>
      <c r="P228" s="631" t="s">
        <v>71</v>
      </c>
      <c r="Q228" s="632"/>
      <c r="R228" s="632"/>
      <c r="S228" s="632"/>
      <c r="T228" s="632"/>
      <c r="U228" s="632"/>
      <c r="V228" s="633"/>
      <c r="W228" s="40" t="s">
        <v>66</v>
      </c>
      <c r="X228" s="41">
        <f>IFERROR(SUM(X213:X226),"0")</f>
        <v>0</v>
      </c>
      <c r="Y228" s="41">
        <f>IFERROR(SUM(Y213:Y226),"0")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28" t="s">
        <v>73</v>
      </c>
      <c r="B229" s="624"/>
      <c r="C229" s="624"/>
      <c r="D229" s="624"/>
      <c r="E229" s="624"/>
      <c r="F229" s="624"/>
      <c r="G229" s="624"/>
      <c r="H229" s="624"/>
      <c r="I229" s="624"/>
      <c r="J229" s="624"/>
      <c r="K229" s="624"/>
      <c r="L229" s="624"/>
      <c r="M229" s="624"/>
      <c r="N229" s="624"/>
      <c r="O229" s="624"/>
      <c r="P229" s="624"/>
      <c r="Q229" s="624"/>
      <c r="R229" s="624"/>
      <c r="S229" s="624"/>
      <c r="T229" s="624"/>
      <c r="U229" s="624"/>
      <c r="V229" s="624"/>
      <c r="W229" s="624"/>
      <c r="X229" s="624"/>
      <c r="Y229" s="624"/>
      <c r="Z229" s="624"/>
      <c r="AA229" s="63"/>
      <c r="AB229" s="63"/>
      <c r="AC229" s="63"/>
    </row>
    <row r="230" spans="1:68" ht="27" hidden="1" customHeight="1" x14ac:dyDescent="0.25">
      <c r="A230" s="60" t="s">
        <v>390</v>
      </c>
      <c r="B230" s="60" t="s">
        <v>391</v>
      </c>
      <c r="C230" s="34">
        <v>4301052178</v>
      </c>
      <c r="D230" s="626">
        <v>4680115888975</v>
      </c>
      <c r="E230" s="627"/>
      <c r="F230" s="59">
        <v>0.32</v>
      </c>
      <c r="G230" s="35">
        <v>6</v>
      </c>
      <c r="H230" s="59">
        <v>1.92</v>
      </c>
      <c r="I230" s="59">
        <v>2.1819999999999999</v>
      </c>
      <c r="J230" s="35">
        <v>132</v>
      </c>
      <c r="K230" s="35" t="s">
        <v>128</v>
      </c>
      <c r="L230" s="35"/>
      <c r="M230" s="36" t="s">
        <v>83</v>
      </c>
      <c r="N230" s="36"/>
      <c r="O230" s="35">
        <v>35</v>
      </c>
      <c r="P230" s="77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0"/>
      <c r="R230" s="620"/>
      <c r="S230" s="620"/>
      <c r="T230" s="621"/>
      <c r="U230" s="37"/>
      <c r="V230" s="37"/>
      <c r="W230" s="38" t="s">
        <v>66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IFERROR(IF(Y230=0,"",ROUNDUP(Y230/H230,0)*0.00902),"")</f>
        <v/>
      </c>
      <c r="AA230" s="65"/>
      <c r="AB230" s="66" t="s">
        <v>263</v>
      </c>
      <c r="AC230" s="303" t="s">
        <v>392</v>
      </c>
      <c r="AG230" s="75"/>
      <c r="AJ230" s="79"/>
      <c r="AK230" s="79">
        <v>0</v>
      </c>
      <c r="BB230" s="304" t="s">
        <v>1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16.5" hidden="1" customHeight="1" x14ac:dyDescent="0.25">
      <c r="A231" s="60" t="s">
        <v>393</v>
      </c>
      <c r="B231" s="60" t="s">
        <v>394</v>
      </c>
      <c r="C231" s="34">
        <v>4301052209</v>
      </c>
      <c r="D231" s="626">
        <v>4680115888692</v>
      </c>
      <c r="E231" s="627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119</v>
      </c>
      <c r="L231" s="35"/>
      <c r="M231" s="36" t="s">
        <v>83</v>
      </c>
      <c r="N231" s="36"/>
      <c r="O231" s="35">
        <v>35</v>
      </c>
      <c r="P231" s="77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0"/>
      <c r="R231" s="620"/>
      <c r="S231" s="620"/>
      <c r="T231" s="621"/>
      <c r="U231" s="37"/>
      <c r="V231" s="37"/>
      <c r="W231" s="38" t="s">
        <v>66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/>
      <c r="AB231" s="66"/>
      <c r="AC231" s="305" t="s">
        <v>395</v>
      </c>
      <c r="AG231" s="75"/>
      <c r="AJ231" s="79"/>
      <c r="AK231" s="79">
        <v>0</v>
      </c>
      <c r="BB231" s="306" t="s">
        <v>1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396</v>
      </c>
      <c r="B232" s="60" t="s">
        <v>397</v>
      </c>
      <c r="C232" s="34">
        <v>4301052213</v>
      </c>
      <c r="D232" s="626">
        <v>4680115888722</v>
      </c>
      <c r="E232" s="627"/>
      <c r="F232" s="59">
        <v>0.8</v>
      </c>
      <c r="G232" s="35">
        <v>6</v>
      </c>
      <c r="H232" s="59">
        <v>4.8</v>
      </c>
      <c r="I232" s="59">
        <v>5.2220000000000004</v>
      </c>
      <c r="J232" s="35">
        <v>104</v>
      </c>
      <c r="K232" s="35" t="s">
        <v>119</v>
      </c>
      <c r="L232" s="35"/>
      <c r="M232" s="36" t="s">
        <v>83</v>
      </c>
      <c r="N232" s="36"/>
      <c r="O232" s="35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0"/>
      <c r="R232" s="620"/>
      <c r="S232" s="620"/>
      <c r="T232" s="621"/>
      <c r="U232" s="37"/>
      <c r="V232" s="37"/>
      <c r="W232" s="38" t="s">
        <v>66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IFERROR(IF(Y232=0,"",ROUNDUP(Y232/H232,0)*0.01196),"")</f>
        <v/>
      </c>
      <c r="AA232" s="65"/>
      <c r="AB232" s="66"/>
      <c r="AC232" s="307" t="s">
        <v>398</v>
      </c>
      <c r="AG232" s="75"/>
      <c r="AJ232" s="79"/>
      <c r="AK232" s="79">
        <v>0</v>
      </c>
      <c r="BB232" s="308" t="s">
        <v>1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399</v>
      </c>
      <c r="B233" s="60" t="s">
        <v>400</v>
      </c>
      <c r="C233" s="34">
        <v>4301052177</v>
      </c>
      <c r="D233" s="626">
        <v>4680115888951</v>
      </c>
      <c r="E233" s="627"/>
      <c r="F233" s="59">
        <v>0.36</v>
      </c>
      <c r="G233" s="35">
        <v>6</v>
      </c>
      <c r="H233" s="59">
        <v>2.16</v>
      </c>
      <c r="I233" s="59">
        <v>2.4220000000000002</v>
      </c>
      <c r="J233" s="35">
        <v>132</v>
      </c>
      <c r="K233" s="35" t="s">
        <v>128</v>
      </c>
      <c r="L233" s="35"/>
      <c r="M233" s="36" t="s">
        <v>83</v>
      </c>
      <c r="N233" s="36"/>
      <c r="O233" s="35">
        <v>35</v>
      </c>
      <c r="P233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0"/>
      <c r="R233" s="620"/>
      <c r="S233" s="620"/>
      <c r="T233" s="621"/>
      <c r="U233" s="37"/>
      <c r="V233" s="37"/>
      <c r="W233" s="38" t="s">
        <v>66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/>
      <c r="AB233" s="66"/>
      <c r="AC233" s="309" t="s">
        <v>401</v>
      </c>
      <c r="AG233" s="75"/>
      <c r="AJ233" s="79"/>
      <c r="AK233" s="79">
        <v>0</v>
      </c>
      <c r="BB233" s="310" t="s">
        <v>1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402</v>
      </c>
      <c r="B234" s="60" t="s">
        <v>403</v>
      </c>
      <c r="C234" s="34">
        <v>4301052176</v>
      </c>
      <c r="D234" s="626">
        <v>4680115888982</v>
      </c>
      <c r="E234" s="627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128</v>
      </c>
      <c r="L234" s="35"/>
      <c r="M234" s="36" t="s">
        <v>83</v>
      </c>
      <c r="N234" s="36"/>
      <c r="O234" s="35">
        <v>35</v>
      </c>
      <c r="P234" s="6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0"/>
      <c r="R234" s="620"/>
      <c r="S234" s="620"/>
      <c r="T234" s="621"/>
      <c r="U234" s="37"/>
      <c r="V234" s="37"/>
      <c r="W234" s="38" t="s">
        <v>66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/>
      <c r="AB234" s="66"/>
      <c r="AC234" s="311" t="s">
        <v>398</v>
      </c>
      <c r="AG234" s="75"/>
      <c r="AJ234" s="79"/>
      <c r="AK234" s="79">
        <v>0</v>
      </c>
      <c r="BB234" s="312" t="s">
        <v>1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23"/>
      <c r="B235" s="624"/>
      <c r="C235" s="624"/>
      <c r="D235" s="624"/>
      <c r="E235" s="624"/>
      <c r="F235" s="624"/>
      <c r="G235" s="624"/>
      <c r="H235" s="624"/>
      <c r="I235" s="624"/>
      <c r="J235" s="624"/>
      <c r="K235" s="624"/>
      <c r="L235" s="624"/>
      <c r="M235" s="624"/>
      <c r="N235" s="624"/>
      <c r="O235" s="625"/>
      <c r="P235" s="631" t="s">
        <v>71</v>
      </c>
      <c r="Q235" s="632"/>
      <c r="R235" s="632"/>
      <c r="S235" s="632"/>
      <c r="T235" s="632"/>
      <c r="U235" s="632"/>
      <c r="V235" s="633"/>
      <c r="W235" s="40" t="s">
        <v>72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24"/>
      <c r="B236" s="624"/>
      <c r="C236" s="624"/>
      <c r="D236" s="624"/>
      <c r="E236" s="624"/>
      <c r="F236" s="624"/>
      <c r="G236" s="624"/>
      <c r="H236" s="624"/>
      <c r="I236" s="624"/>
      <c r="J236" s="624"/>
      <c r="K236" s="624"/>
      <c r="L236" s="624"/>
      <c r="M236" s="624"/>
      <c r="N236" s="624"/>
      <c r="O236" s="625"/>
      <c r="P236" s="631" t="s">
        <v>71</v>
      </c>
      <c r="Q236" s="632"/>
      <c r="R236" s="632"/>
      <c r="S236" s="632"/>
      <c r="T236" s="632"/>
      <c r="U236" s="632"/>
      <c r="V236" s="633"/>
      <c r="W236" s="40" t="s">
        <v>66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28" t="s">
        <v>91</v>
      </c>
      <c r="B237" s="624"/>
      <c r="C237" s="624"/>
      <c r="D237" s="624"/>
      <c r="E237" s="624"/>
      <c r="F237" s="624"/>
      <c r="G237" s="624"/>
      <c r="H237" s="624"/>
      <c r="I237" s="624"/>
      <c r="J237" s="624"/>
      <c r="K237" s="624"/>
      <c r="L237" s="624"/>
      <c r="M237" s="624"/>
      <c r="N237" s="624"/>
      <c r="O237" s="624"/>
      <c r="P237" s="624"/>
      <c r="Q237" s="624"/>
      <c r="R237" s="624"/>
      <c r="S237" s="624"/>
      <c r="T237" s="624"/>
      <c r="U237" s="624"/>
      <c r="V237" s="624"/>
      <c r="W237" s="624"/>
      <c r="X237" s="624"/>
      <c r="Y237" s="624"/>
      <c r="Z237" s="624"/>
      <c r="AA237" s="63"/>
      <c r="AB237" s="63"/>
      <c r="AC237" s="63"/>
    </row>
    <row r="238" spans="1:68" ht="27" hidden="1" customHeight="1" x14ac:dyDescent="0.25">
      <c r="A238" s="60" t="s">
        <v>404</v>
      </c>
      <c r="B238" s="60" t="s">
        <v>405</v>
      </c>
      <c r="C238" s="34">
        <v>4301032053</v>
      </c>
      <c r="D238" s="626">
        <v>4680115886780</v>
      </c>
      <c r="E238" s="627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316</v>
      </c>
      <c r="L238" s="35"/>
      <c r="M238" s="36" t="s">
        <v>317</v>
      </c>
      <c r="N238" s="36"/>
      <c r="O238" s="35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0"/>
      <c r="R238" s="620"/>
      <c r="S238" s="620"/>
      <c r="T238" s="621"/>
      <c r="U238" s="37"/>
      <c r="V238" s="37"/>
      <c r="W238" s="38" t="s">
        <v>66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/>
      <c r="AB238" s="66"/>
      <c r="AC238" s="313" t="s">
        <v>406</v>
      </c>
      <c r="AG238" s="75"/>
      <c r="AJ238" s="79"/>
      <c r="AK238" s="79">
        <v>0</v>
      </c>
      <c r="BB238" s="314" t="s">
        <v>1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407</v>
      </c>
      <c r="B239" s="60" t="s">
        <v>408</v>
      </c>
      <c r="C239" s="34">
        <v>4301032051</v>
      </c>
      <c r="D239" s="626">
        <v>4680115886742</v>
      </c>
      <c r="E239" s="627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316</v>
      </c>
      <c r="L239" s="35"/>
      <c r="M239" s="36" t="s">
        <v>317</v>
      </c>
      <c r="N239" s="36"/>
      <c r="O239" s="35">
        <v>90</v>
      </c>
      <c r="P239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0"/>
      <c r="R239" s="620"/>
      <c r="S239" s="620"/>
      <c r="T239" s="621"/>
      <c r="U239" s="37"/>
      <c r="V239" s="37"/>
      <c r="W239" s="38" t="s">
        <v>66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/>
      <c r="AB239" s="66"/>
      <c r="AC239" s="315" t="s">
        <v>409</v>
      </c>
      <c r="AG239" s="75"/>
      <c r="AJ239" s="79"/>
      <c r="AK239" s="79">
        <v>0</v>
      </c>
      <c r="BB239" s="316" t="s">
        <v>1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410</v>
      </c>
      <c r="B240" s="60" t="s">
        <v>411</v>
      </c>
      <c r="C240" s="34">
        <v>4301032052</v>
      </c>
      <c r="D240" s="626">
        <v>4680115886766</v>
      </c>
      <c r="E240" s="627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316</v>
      </c>
      <c r="L240" s="35"/>
      <c r="M240" s="36" t="s">
        <v>317</v>
      </c>
      <c r="N240" s="36"/>
      <c r="O240" s="35">
        <v>90</v>
      </c>
      <c r="P240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0"/>
      <c r="R240" s="620"/>
      <c r="S240" s="620"/>
      <c r="T240" s="621"/>
      <c r="U240" s="37"/>
      <c r="V240" s="37"/>
      <c r="W240" s="38" t="s">
        <v>66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/>
      <c r="AB240" s="66"/>
      <c r="AC240" s="317" t="s">
        <v>409</v>
      </c>
      <c r="AG240" s="75"/>
      <c r="AJ240" s="79"/>
      <c r="AK240" s="79">
        <v>0</v>
      </c>
      <c r="BB240" s="318" t="s">
        <v>1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623"/>
      <c r="B241" s="624"/>
      <c r="C241" s="624"/>
      <c r="D241" s="624"/>
      <c r="E241" s="624"/>
      <c r="F241" s="624"/>
      <c r="G241" s="624"/>
      <c r="H241" s="624"/>
      <c r="I241" s="624"/>
      <c r="J241" s="624"/>
      <c r="K241" s="624"/>
      <c r="L241" s="624"/>
      <c r="M241" s="624"/>
      <c r="N241" s="624"/>
      <c r="O241" s="625"/>
      <c r="P241" s="631" t="s">
        <v>71</v>
      </c>
      <c r="Q241" s="632"/>
      <c r="R241" s="632"/>
      <c r="S241" s="632"/>
      <c r="T241" s="632"/>
      <c r="U241" s="632"/>
      <c r="V241" s="633"/>
      <c r="W241" s="40" t="s">
        <v>72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624"/>
      <c r="B242" s="624"/>
      <c r="C242" s="624"/>
      <c r="D242" s="624"/>
      <c r="E242" s="624"/>
      <c r="F242" s="624"/>
      <c r="G242" s="624"/>
      <c r="H242" s="624"/>
      <c r="I242" s="624"/>
      <c r="J242" s="624"/>
      <c r="K242" s="624"/>
      <c r="L242" s="624"/>
      <c r="M242" s="624"/>
      <c r="N242" s="624"/>
      <c r="O242" s="625"/>
      <c r="P242" s="631" t="s">
        <v>71</v>
      </c>
      <c r="Q242" s="632"/>
      <c r="R242" s="632"/>
      <c r="S242" s="632"/>
      <c r="T242" s="632"/>
      <c r="U242" s="632"/>
      <c r="V242" s="633"/>
      <c r="W242" s="40" t="s">
        <v>66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28" t="s">
        <v>412</v>
      </c>
      <c r="B243" s="624"/>
      <c r="C243" s="624"/>
      <c r="D243" s="624"/>
      <c r="E243" s="624"/>
      <c r="F243" s="624"/>
      <c r="G243" s="624"/>
      <c r="H243" s="624"/>
      <c r="I243" s="624"/>
      <c r="J243" s="624"/>
      <c r="K243" s="624"/>
      <c r="L243" s="624"/>
      <c r="M243" s="624"/>
      <c r="N243" s="624"/>
      <c r="O243" s="624"/>
      <c r="P243" s="624"/>
      <c r="Q243" s="624"/>
      <c r="R243" s="624"/>
      <c r="S243" s="624"/>
      <c r="T243" s="624"/>
      <c r="U243" s="624"/>
      <c r="V243" s="624"/>
      <c r="W243" s="624"/>
      <c r="X243" s="624"/>
      <c r="Y243" s="624"/>
      <c r="Z243" s="624"/>
      <c r="AA243" s="63"/>
      <c r="AB243" s="63"/>
      <c r="AC243" s="63"/>
    </row>
    <row r="244" spans="1:68" ht="27" hidden="1" customHeight="1" x14ac:dyDescent="0.25">
      <c r="A244" s="60" t="s">
        <v>413</v>
      </c>
      <c r="B244" s="60" t="s">
        <v>414</v>
      </c>
      <c r="C244" s="34">
        <v>4301170013</v>
      </c>
      <c r="D244" s="626">
        <v>4680115886797</v>
      </c>
      <c r="E244" s="627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316</v>
      </c>
      <c r="L244" s="35"/>
      <c r="M244" s="36" t="s">
        <v>317</v>
      </c>
      <c r="N244" s="36"/>
      <c r="O244" s="35">
        <v>90</v>
      </c>
      <c r="P244" s="69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0"/>
      <c r="R244" s="620"/>
      <c r="S244" s="620"/>
      <c r="T244" s="621"/>
      <c r="U244" s="37"/>
      <c r="V244" s="37"/>
      <c r="W244" s="38" t="s">
        <v>66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/>
      <c r="AB244" s="66"/>
      <c r="AC244" s="319" t="s">
        <v>409</v>
      </c>
      <c r="AG244" s="75"/>
      <c r="AJ244" s="79"/>
      <c r="AK244" s="79">
        <v>0</v>
      </c>
      <c r="BB244" s="320" t="s">
        <v>1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23"/>
      <c r="B245" s="624"/>
      <c r="C245" s="624"/>
      <c r="D245" s="624"/>
      <c r="E245" s="624"/>
      <c r="F245" s="624"/>
      <c r="G245" s="624"/>
      <c r="H245" s="624"/>
      <c r="I245" s="624"/>
      <c r="J245" s="624"/>
      <c r="K245" s="624"/>
      <c r="L245" s="624"/>
      <c r="M245" s="624"/>
      <c r="N245" s="624"/>
      <c r="O245" s="625"/>
      <c r="P245" s="631" t="s">
        <v>71</v>
      </c>
      <c r="Q245" s="632"/>
      <c r="R245" s="632"/>
      <c r="S245" s="632"/>
      <c r="T245" s="632"/>
      <c r="U245" s="632"/>
      <c r="V245" s="633"/>
      <c r="W245" s="40" t="s">
        <v>72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624"/>
      <c r="B246" s="624"/>
      <c r="C246" s="624"/>
      <c r="D246" s="624"/>
      <c r="E246" s="624"/>
      <c r="F246" s="624"/>
      <c r="G246" s="624"/>
      <c r="H246" s="624"/>
      <c r="I246" s="624"/>
      <c r="J246" s="624"/>
      <c r="K246" s="624"/>
      <c r="L246" s="624"/>
      <c r="M246" s="624"/>
      <c r="N246" s="624"/>
      <c r="O246" s="625"/>
      <c r="P246" s="631" t="s">
        <v>71</v>
      </c>
      <c r="Q246" s="632"/>
      <c r="R246" s="632"/>
      <c r="S246" s="632"/>
      <c r="T246" s="632"/>
      <c r="U246" s="632"/>
      <c r="V246" s="633"/>
      <c r="W246" s="40" t="s">
        <v>66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39" t="s">
        <v>415</v>
      </c>
      <c r="B247" s="624"/>
      <c r="C247" s="624"/>
      <c r="D247" s="624"/>
      <c r="E247" s="624"/>
      <c r="F247" s="624"/>
      <c r="G247" s="624"/>
      <c r="H247" s="624"/>
      <c r="I247" s="624"/>
      <c r="J247" s="624"/>
      <c r="K247" s="624"/>
      <c r="L247" s="624"/>
      <c r="M247" s="624"/>
      <c r="N247" s="624"/>
      <c r="O247" s="624"/>
      <c r="P247" s="624"/>
      <c r="Q247" s="624"/>
      <c r="R247" s="624"/>
      <c r="S247" s="624"/>
      <c r="T247" s="624"/>
      <c r="U247" s="624"/>
      <c r="V247" s="624"/>
      <c r="W247" s="624"/>
      <c r="X247" s="624"/>
      <c r="Y247" s="624"/>
      <c r="Z247" s="624"/>
      <c r="AA247" s="62"/>
      <c r="AB247" s="62"/>
      <c r="AC247" s="62"/>
    </row>
    <row r="248" spans="1:68" ht="14.25" hidden="1" customHeight="1" x14ac:dyDescent="0.25">
      <c r="A248" s="628" t="s">
        <v>116</v>
      </c>
      <c r="B248" s="624"/>
      <c r="C248" s="624"/>
      <c r="D248" s="624"/>
      <c r="E248" s="624"/>
      <c r="F248" s="624"/>
      <c r="G248" s="624"/>
      <c r="H248" s="624"/>
      <c r="I248" s="624"/>
      <c r="J248" s="624"/>
      <c r="K248" s="624"/>
      <c r="L248" s="624"/>
      <c r="M248" s="624"/>
      <c r="N248" s="624"/>
      <c r="O248" s="624"/>
      <c r="P248" s="624"/>
      <c r="Q248" s="624"/>
      <c r="R248" s="624"/>
      <c r="S248" s="624"/>
      <c r="T248" s="624"/>
      <c r="U248" s="624"/>
      <c r="V248" s="624"/>
      <c r="W248" s="624"/>
      <c r="X248" s="624"/>
      <c r="Y248" s="624"/>
      <c r="Z248" s="624"/>
      <c r="AA248" s="63"/>
      <c r="AB248" s="63"/>
      <c r="AC248" s="63"/>
    </row>
    <row r="249" spans="1:68" ht="27" hidden="1" customHeight="1" x14ac:dyDescent="0.25">
      <c r="A249" s="60" t="s">
        <v>416</v>
      </c>
      <c r="B249" s="60" t="s">
        <v>417</v>
      </c>
      <c r="C249" s="34">
        <v>4301011450</v>
      </c>
      <c r="D249" s="626">
        <v>4680115881402</v>
      </c>
      <c r="E249" s="627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119</v>
      </c>
      <c r="L249" s="35"/>
      <c r="M249" s="36" t="s">
        <v>120</v>
      </c>
      <c r="N249" s="36"/>
      <c r="O249" s="35">
        <v>55</v>
      </c>
      <c r="P249" s="67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0"/>
      <c r="R249" s="620"/>
      <c r="S249" s="620"/>
      <c r="T249" s="621"/>
      <c r="U249" s="37"/>
      <c r="V249" s="37"/>
      <c r="W249" s="38" t="s">
        <v>66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/>
      <c r="AB249" s="66"/>
      <c r="AC249" s="321" t="s">
        <v>418</v>
      </c>
      <c r="AG249" s="75"/>
      <c r="AJ249" s="79"/>
      <c r="AK249" s="79">
        <v>0</v>
      </c>
      <c r="BB249" s="322" t="s">
        <v>1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419</v>
      </c>
      <c r="B250" s="60" t="s">
        <v>420</v>
      </c>
      <c r="C250" s="34">
        <v>4301011768</v>
      </c>
      <c r="D250" s="626">
        <v>4680115881396</v>
      </c>
      <c r="E250" s="627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76</v>
      </c>
      <c r="L250" s="35"/>
      <c r="M250" s="36" t="s">
        <v>120</v>
      </c>
      <c r="N250" s="36"/>
      <c r="O250" s="35">
        <v>55</v>
      </c>
      <c r="P250" s="7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0"/>
      <c r="R250" s="620"/>
      <c r="S250" s="620"/>
      <c r="T250" s="621"/>
      <c r="U250" s="37"/>
      <c r="V250" s="37"/>
      <c r="W250" s="38" t="s">
        <v>66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/>
      <c r="AB250" s="66"/>
      <c r="AC250" s="323" t="s">
        <v>418</v>
      </c>
      <c r="AG250" s="75"/>
      <c r="AJ250" s="79"/>
      <c r="AK250" s="79">
        <v>0</v>
      </c>
      <c r="BB250" s="324" t="s">
        <v>1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23"/>
      <c r="B251" s="624"/>
      <c r="C251" s="624"/>
      <c r="D251" s="624"/>
      <c r="E251" s="624"/>
      <c r="F251" s="624"/>
      <c r="G251" s="624"/>
      <c r="H251" s="624"/>
      <c r="I251" s="624"/>
      <c r="J251" s="624"/>
      <c r="K251" s="624"/>
      <c r="L251" s="624"/>
      <c r="M251" s="624"/>
      <c r="N251" s="624"/>
      <c r="O251" s="625"/>
      <c r="P251" s="631" t="s">
        <v>71</v>
      </c>
      <c r="Q251" s="632"/>
      <c r="R251" s="632"/>
      <c r="S251" s="632"/>
      <c r="T251" s="632"/>
      <c r="U251" s="632"/>
      <c r="V251" s="633"/>
      <c r="W251" s="40" t="s">
        <v>72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624"/>
      <c r="B252" s="624"/>
      <c r="C252" s="624"/>
      <c r="D252" s="624"/>
      <c r="E252" s="624"/>
      <c r="F252" s="624"/>
      <c r="G252" s="624"/>
      <c r="H252" s="624"/>
      <c r="I252" s="624"/>
      <c r="J252" s="624"/>
      <c r="K252" s="624"/>
      <c r="L252" s="624"/>
      <c r="M252" s="624"/>
      <c r="N252" s="624"/>
      <c r="O252" s="625"/>
      <c r="P252" s="631" t="s">
        <v>71</v>
      </c>
      <c r="Q252" s="632"/>
      <c r="R252" s="632"/>
      <c r="S252" s="632"/>
      <c r="T252" s="632"/>
      <c r="U252" s="632"/>
      <c r="V252" s="633"/>
      <c r="W252" s="40" t="s">
        <v>66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28" t="s">
        <v>152</v>
      </c>
      <c r="B253" s="624"/>
      <c r="C253" s="624"/>
      <c r="D253" s="624"/>
      <c r="E253" s="624"/>
      <c r="F253" s="624"/>
      <c r="G253" s="624"/>
      <c r="H253" s="624"/>
      <c r="I253" s="624"/>
      <c r="J253" s="624"/>
      <c r="K253" s="624"/>
      <c r="L253" s="624"/>
      <c r="M253" s="624"/>
      <c r="N253" s="624"/>
      <c r="O253" s="624"/>
      <c r="P253" s="624"/>
      <c r="Q253" s="624"/>
      <c r="R253" s="624"/>
      <c r="S253" s="624"/>
      <c r="T253" s="624"/>
      <c r="U253" s="624"/>
      <c r="V253" s="624"/>
      <c r="W253" s="624"/>
      <c r="X253" s="624"/>
      <c r="Y253" s="624"/>
      <c r="Z253" s="624"/>
      <c r="AA253" s="63"/>
      <c r="AB253" s="63"/>
      <c r="AC253" s="63"/>
    </row>
    <row r="254" spans="1:68" ht="16.5" hidden="1" customHeight="1" x14ac:dyDescent="0.25">
      <c r="A254" s="60" t="s">
        <v>421</v>
      </c>
      <c r="B254" s="60" t="s">
        <v>422</v>
      </c>
      <c r="C254" s="34">
        <v>4301020261</v>
      </c>
      <c r="D254" s="626">
        <v>4680115882935</v>
      </c>
      <c r="E254" s="627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119</v>
      </c>
      <c r="L254" s="35"/>
      <c r="M254" s="36" t="s">
        <v>120</v>
      </c>
      <c r="N254" s="36"/>
      <c r="O254" s="35">
        <v>50</v>
      </c>
      <c r="P254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0"/>
      <c r="R254" s="620"/>
      <c r="S254" s="620"/>
      <c r="T254" s="621"/>
      <c r="U254" s="37"/>
      <c r="V254" s="37"/>
      <c r="W254" s="38" t="s">
        <v>66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/>
      <c r="AB254" s="66"/>
      <c r="AC254" s="325" t="s">
        <v>423</v>
      </c>
      <c r="AG254" s="75"/>
      <c r="AJ254" s="79"/>
      <c r="AK254" s="79">
        <v>0</v>
      </c>
      <c r="BB254" s="326" t="s">
        <v>1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424</v>
      </c>
      <c r="B255" s="60" t="s">
        <v>425</v>
      </c>
      <c r="C255" s="34">
        <v>4301020220</v>
      </c>
      <c r="D255" s="626">
        <v>4680115880764</v>
      </c>
      <c r="E255" s="627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76</v>
      </c>
      <c r="L255" s="35"/>
      <c r="M255" s="36" t="s">
        <v>120</v>
      </c>
      <c r="N255" s="36"/>
      <c r="O255" s="35">
        <v>50</v>
      </c>
      <c r="P255" s="7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0"/>
      <c r="R255" s="620"/>
      <c r="S255" s="620"/>
      <c r="T255" s="621"/>
      <c r="U255" s="37"/>
      <c r="V255" s="37"/>
      <c r="W255" s="38" t="s">
        <v>66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/>
      <c r="AB255" s="66"/>
      <c r="AC255" s="327" t="s">
        <v>423</v>
      </c>
      <c r="AG255" s="75"/>
      <c r="AJ255" s="79"/>
      <c r="AK255" s="79">
        <v>0</v>
      </c>
      <c r="BB255" s="328" t="s">
        <v>1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623"/>
      <c r="B256" s="624"/>
      <c r="C256" s="624"/>
      <c r="D256" s="624"/>
      <c r="E256" s="624"/>
      <c r="F256" s="624"/>
      <c r="G256" s="624"/>
      <c r="H256" s="624"/>
      <c r="I256" s="624"/>
      <c r="J256" s="624"/>
      <c r="K256" s="624"/>
      <c r="L256" s="624"/>
      <c r="M256" s="624"/>
      <c r="N256" s="624"/>
      <c r="O256" s="625"/>
      <c r="P256" s="631" t="s">
        <v>71</v>
      </c>
      <c r="Q256" s="632"/>
      <c r="R256" s="632"/>
      <c r="S256" s="632"/>
      <c r="T256" s="632"/>
      <c r="U256" s="632"/>
      <c r="V256" s="633"/>
      <c r="W256" s="40" t="s">
        <v>72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624"/>
      <c r="B257" s="624"/>
      <c r="C257" s="624"/>
      <c r="D257" s="624"/>
      <c r="E257" s="624"/>
      <c r="F257" s="624"/>
      <c r="G257" s="624"/>
      <c r="H257" s="624"/>
      <c r="I257" s="624"/>
      <c r="J257" s="624"/>
      <c r="K257" s="624"/>
      <c r="L257" s="624"/>
      <c r="M257" s="624"/>
      <c r="N257" s="624"/>
      <c r="O257" s="625"/>
      <c r="P257" s="631" t="s">
        <v>71</v>
      </c>
      <c r="Q257" s="632"/>
      <c r="R257" s="632"/>
      <c r="S257" s="632"/>
      <c r="T257" s="632"/>
      <c r="U257" s="632"/>
      <c r="V257" s="633"/>
      <c r="W257" s="40" t="s">
        <v>66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28" t="s">
        <v>61</v>
      </c>
      <c r="B258" s="624"/>
      <c r="C258" s="624"/>
      <c r="D258" s="624"/>
      <c r="E258" s="624"/>
      <c r="F258" s="624"/>
      <c r="G258" s="624"/>
      <c r="H258" s="624"/>
      <c r="I258" s="624"/>
      <c r="J258" s="624"/>
      <c r="K258" s="624"/>
      <c r="L258" s="624"/>
      <c r="M258" s="624"/>
      <c r="N258" s="624"/>
      <c r="O258" s="624"/>
      <c r="P258" s="624"/>
      <c r="Q258" s="624"/>
      <c r="R258" s="624"/>
      <c r="S258" s="624"/>
      <c r="T258" s="624"/>
      <c r="U258" s="624"/>
      <c r="V258" s="624"/>
      <c r="W258" s="624"/>
      <c r="X258" s="624"/>
      <c r="Y258" s="624"/>
      <c r="Z258" s="624"/>
      <c r="AA258" s="63"/>
      <c r="AB258" s="63"/>
      <c r="AC258" s="63"/>
    </row>
    <row r="259" spans="1:68" ht="27" hidden="1" customHeight="1" x14ac:dyDescent="0.25">
      <c r="A259" s="60" t="s">
        <v>426</v>
      </c>
      <c r="B259" s="60" t="s">
        <v>427</v>
      </c>
      <c r="C259" s="34">
        <v>4301031224</v>
      </c>
      <c r="D259" s="626">
        <v>4680115882683</v>
      </c>
      <c r="E259" s="627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128</v>
      </c>
      <c r="L259" s="35"/>
      <c r="M259" s="36" t="s">
        <v>65</v>
      </c>
      <c r="N259" s="36"/>
      <c r="O259" s="35">
        <v>40</v>
      </c>
      <c r="P259" s="7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0"/>
      <c r="R259" s="620"/>
      <c r="S259" s="620"/>
      <c r="T259" s="621"/>
      <c r="U259" s="37"/>
      <c r="V259" s="37"/>
      <c r="W259" s="38" t="s">
        <v>66</v>
      </c>
      <c r="X259" s="56">
        <v>0</v>
      </c>
      <c r="Y259" s="53">
        <f t="shared" ref="Y259:Y266" si="27">IFERROR(IF(X259="",0,CEILING((X259/$H259),1)*$H259),"")</f>
        <v>0</v>
      </c>
      <c r="Z259" s="39" t="str">
        <f>IFERROR(IF(Y259=0,"",ROUNDUP(Y259/H259,0)*0.00902),"")</f>
        <v/>
      </c>
      <c r="AA259" s="65"/>
      <c r="AB259" s="66"/>
      <c r="AC259" s="329" t="s">
        <v>428</v>
      </c>
      <c r="AG259" s="75"/>
      <c r="AJ259" s="79"/>
      <c r="AK259" s="79">
        <v>0</v>
      </c>
      <c r="BB259" s="330" t="s">
        <v>1</v>
      </c>
      <c r="BM259" s="75">
        <f t="shared" ref="BM259:BM266" si="28">IFERROR(X259*I259/H259,"0")</f>
        <v>0</v>
      </c>
      <c r="BN259" s="75">
        <f t="shared" ref="BN259:BN266" si="29">IFERROR(Y259*I259/H259,"0")</f>
        <v>0</v>
      </c>
      <c r="BO259" s="75">
        <f t="shared" ref="BO259:BO266" si="30">IFERROR(1/J259*(X259/H259),"0")</f>
        <v>0</v>
      </c>
      <c r="BP259" s="75">
        <f t="shared" ref="BP259:BP266" si="31">IFERROR(1/J259*(Y259/H259),"0")</f>
        <v>0</v>
      </c>
    </row>
    <row r="260" spans="1:68" ht="27" hidden="1" customHeight="1" x14ac:dyDescent="0.25">
      <c r="A260" s="60" t="s">
        <v>429</v>
      </c>
      <c r="B260" s="60" t="s">
        <v>430</v>
      </c>
      <c r="C260" s="34">
        <v>4301031230</v>
      </c>
      <c r="D260" s="626">
        <v>4680115882690</v>
      </c>
      <c r="E260" s="627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128</v>
      </c>
      <c r="L260" s="35"/>
      <c r="M260" s="36" t="s">
        <v>65</v>
      </c>
      <c r="N260" s="36"/>
      <c r="O260" s="35">
        <v>40</v>
      </c>
      <c r="P260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0"/>
      <c r="R260" s="620"/>
      <c r="S260" s="620"/>
      <c r="T260" s="621"/>
      <c r="U260" s="37"/>
      <c r="V260" s="37"/>
      <c r="W260" s="38" t="s">
        <v>66</v>
      </c>
      <c r="X260" s="56">
        <v>0</v>
      </c>
      <c r="Y260" s="53">
        <f t="shared" si="27"/>
        <v>0</v>
      </c>
      <c r="Z260" s="39" t="str">
        <f>IFERROR(IF(Y260=0,"",ROUNDUP(Y260/H260,0)*0.00902),"")</f>
        <v/>
      </c>
      <c r="AA260" s="65"/>
      <c r="AB260" s="66"/>
      <c r="AC260" s="331" t="s">
        <v>431</v>
      </c>
      <c r="AG260" s="75"/>
      <c r="AJ260" s="79"/>
      <c r="AK260" s="79">
        <v>0</v>
      </c>
      <c r="BB260" s="332" t="s">
        <v>1</v>
      </c>
      <c r="BM260" s="75">
        <f t="shared" si="28"/>
        <v>0</v>
      </c>
      <c r="BN260" s="75">
        <f t="shared" si="29"/>
        <v>0</v>
      </c>
      <c r="BO260" s="75">
        <f t="shared" si="30"/>
        <v>0</v>
      </c>
      <c r="BP260" s="75">
        <f t="shared" si="31"/>
        <v>0</v>
      </c>
    </row>
    <row r="261" spans="1:68" ht="27" hidden="1" customHeight="1" x14ac:dyDescent="0.25">
      <c r="A261" s="60" t="s">
        <v>432</v>
      </c>
      <c r="B261" s="60" t="s">
        <v>433</v>
      </c>
      <c r="C261" s="34">
        <v>4301031220</v>
      </c>
      <c r="D261" s="626">
        <v>4680115882669</v>
      </c>
      <c r="E261" s="627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128</v>
      </c>
      <c r="L261" s="35"/>
      <c r="M261" s="36" t="s">
        <v>65</v>
      </c>
      <c r="N261" s="36"/>
      <c r="O261" s="35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0"/>
      <c r="R261" s="620"/>
      <c r="S261" s="620"/>
      <c r="T261" s="621"/>
      <c r="U261" s="37"/>
      <c r="V261" s="37"/>
      <c r="W261" s="38" t="s">
        <v>66</v>
      </c>
      <c r="X261" s="56">
        <v>0</v>
      </c>
      <c r="Y261" s="53">
        <f t="shared" si="27"/>
        <v>0</v>
      </c>
      <c r="Z261" s="39" t="str">
        <f>IFERROR(IF(Y261=0,"",ROUNDUP(Y261/H261,0)*0.00902),"")</f>
        <v/>
      </c>
      <c r="AA261" s="65"/>
      <c r="AB261" s="66"/>
      <c r="AC261" s="333" t="s">
        <v>434</v>
      </c>
      <c r="AG261" s="75"/>
      <c r="AJ261" s="79"/>
      <c r="AK261" s="79">
        <v>0</v>
      </c>
      <c r="BB261" s="334" t="s">
        <v>1</v>
      </c>
      <c r="BM261" s="75">
        <f t="shared" si="28"/>
        <v>0</v>
      </c>
      <c r="BN261" s="75">
        <f t="shared" si="29"/>
        <v>0</v>
      </c>
      <c r="BO261" s="75">
        <f t="shared" si="30"/>
        <v>0</v>
      </c>
      <c r="BP261" s="75">
        <f t="shared" si="31"/>
        <v>0</v>
      </c>
    </row>
    <row r="262" spans="1:68" ht="27" hidden="1" customHeight="1" x14ac:dyDescent="0.25">
      <c r="A262" s="60" t="s">
        <v>435</v>
      </c>
      <c r="B262" s="60" t="s">
        <v>436</v>
      </c>
      <c r="C262" s="34">
        <v>4301031221</v>
      </c>
      <c r="D262" s="626">
        <v>4680115882676</v>
      </c>
      <c r="E262" s="627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128</v>
      </c>
      <c r="L262" s="35"/>
      <c r="M262" s="36" t="s">
        <v>65</v>
      </c>
      <c r="N262" s="36"/>
      <c r="O262" s="35">
        <v>40</v>
      </c>
      <c r="P262" s="9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0"/>
      <c r="R262" s="620"/>
      <c r="S262" s="620"/>
      <c r="T262" s="621"/>
      <c r="U262" s="37"/>
      <c r="V262" s="37"/>
      <c r="W262" s="38" t="s">
        <v>66</v>
      </c>
      <c r="X262" s="56">
        <v>0</v>
      </c>
      <c r="Y262" s="53">
        <f t="shared" si="27"/>
        <v>0</v>
      </c>
      <c r="Z262" s="39" t="str">
        <f>IFERROR(IF(Y262=0,"",ROUNDUP(Y262/H262,0)*0.00902),"")</f>
        <v/>
      </c>
      <c r="AA262" s="65"/>
      <c r="AB262" s="66"/>
      <c r="AC262" s="335" t="s">
        <v>437</v>
      </c>
      <c r="AG262" s="75"/>
      <c r="AJ262" s="79"/>
      <c r="AK262" s="79">
        <v>0</v>
      </c>
      <c r="BB262" s="336" t="s">
        <v>1</v>
      </c>
      <c r="BM262" s="75">
        <f t="shared" si="28"/>
        <v>0</v>
      </c>
      <c r="BN262" s="75">
        <f t="shared" si="29"/>
        <v>0</v>
      </c>
      <c r="BO262" s="75">
        <f t="shared" si="30"/>
        <v>0</v>
      </c>
      <c r="BP262" s="75">
        <f t="shared" si="31"/>
        <v>0</v>
      </c>
    </row>
    <row r="263" spans="1:68" ht="27" hidden="1" customHeight="1" x14ac:dyDescent="0.25">
      <c r="A263" s="60" t="s">
        <v>438</v>
      </c>
      <c r="B263" s="60" t="s">
        <v>439</v>
      </c>
      <c r="C263" s="34">
        <v>4301031223</v>
      </c>
      <c r="D263" s="626">
        <v>4680115884014</v>
      </c>
      <c r="E263" s="627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64</v>
      </c>
      <c r="L263" s="35"/>
      <c r="M263" s="36" t="s">
        <v>65</v>
      </c>
      <c r="N263" s="36"/>
      <c r="O263" s="35">
        <v>40</v>
      </c>
      <c r="P263" s="9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0"/>
      <c r="R263" s="620"/>
      <c r="S263" s="620"/>
      <c r="T263" s="621"/>
      <c r="U263" s="37"/>
      <c r="V263" s="37"/>
      <c r="W263" s="38" t="s">
        <v>66</v>
      </c>
      <c r="X263" s="56">
        <v>0</v>
      </c>
      <c r="Y263" s="53">
        <f t="shared" si="27"/>
        <v>0</v>
      </c>
      <c r="Z263" s="39" t="str">
        <f>IFERROR(IF(Y263=0,"",ROUNDUP(Y263/H263,0)*0.00502),"")</f>
        <v/>
      </c>
      <c r="AA263" s="65"/>
      <c r="AB263" s="66"/>
      <c r="AC263" s="337" t="s">
        <v>428</v>
      </c>
      <c r="AG263" s="75"/>
      <c r="AJ263" s="79"/>
      <c r="AK263" s="79">
        <v>0</v>
      </c>
      <c r="BB263" s="338" t="s">
        <v>1</v>
      </c>
      <c r="BM263" s="75">
        <f t="shared" si="28"/>
        <v>0</v>
      </c>
      <c r="BN263" s="75">
        <f t="shared" si="29"/>
        <v>0</v>
      </c>
      <c r="BO263" s="75">
        <f t="shared" si="30"/>
        <v>0</v>
      </c>
      <c r="BP263" s="75">
        <f t="shared" si="31"/>
        <v>0</v>
      </c>
    </row>
    <row r="264" spans="1:68" ht="27" hidden="1" customHeight="1" x14ac:dyDescent="0.25">
      <c r="A264" s="60" t="s">
        <v>440</v>
      </c>
      <c r="B264" s="60" t="s">
        <v>441</v>
      </c>
      <c r="C264" s="34">
        <v>4301031222</v>
      </c>
      <c r="D264" s="626">
        <v>4680115884007</v>
      </c>
      <c r="E264" s="627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64</v>
      </c>
      <c r="L264" s="35"/>
      <c r="M264" s="36" t="s">
        <v>65</v>
      </c>
      <c r="N264" s="36"/>
      <c r="O264" s="35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0"/>
      <c r="R264" s="620"/>
      <c r="S264" s="620"/>
      <c r="T264" s="621"/>
      <c r="U264" s="37"/>
      <c r="V264" s="37"/>
      <c r="W264" s="38" t="s">
        <v>66</v>
      </c>
      <c r="X264" s="56">
        <v>0</v>
      </c>
      <c r="Y264" s="53">
        <f t="shared" si="27"/>
        <v>0</v>
      </c>
      <c r="Z264" s="39" t="str">
        <f>IFERROR(IF(Y264=0,"",ROUNDUP(Y264/H264,0)*0.00502),"")</f>
        <v/>
      </c>
      <c r="AA264" s="65"/>
      <c r="AB264" s="66"/>
      <c r="AC264" s="339" t="s">
        <v>431</v>
      </c>
      <c r="AG264" s="75"/>
      <c r="AJ264" s="79"/>
      <c r="AK264" s="79">
        <v>0</v>
      </c>
      <c r="BB264" s="340" t="s">
        <v>1</v>
      </c>
      <c r="BM264" s="75">
        <f t="shared" si="28"/>
        <v>0</v>
      </c>
      <c r="BN264" s="75">
        <f t="shared" si="29"/>
        <v>0</v>
      </c>
      <c r="BO264" s="75">
        <f t="shared" si="30"/>
        <v>0</v>
      </c>
      <c r="BP264" s="75">
        <f t="shared" si="31"/>
        <v>0</v>
      </c>
    </row>
    <row r="265" spans="1:68" ht="27" hidden="1" customHeight="1" x14ac:dyDescent="0.25">
      <c r="A265" s="60" t="s">
        <v>442</v>
      </c>
      <c r="B265" s="60" t="s">
        <v>443</v>
      </c>
      <c r="C265" s="34">
        <v>4301031229</v>
      </c>
      <c r="D265" s="626">
        <v>4680115884038</v>
      </c>
      <c r="E265" s="627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64</v>
      </c>
      <c r="L265" s="35"/>
      <c r="M265" s="36" t="s">
        <v>65</v>
      </c>
      <c r="N265" s="36"/>
      <c r="O265" s="35">
        <v>40</v>
      </c>
      <c r="P265" s="68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0"/>
      <c r="R265" s="620"/>
      <c r="S265" s="620"/>
      <c r="T265" s="621"/>
      <c r="U265" s="37"/>
      <c r="V265" s="37"/>
      <c r="W265" s="38" t="s">
        <v>66</v>
      </c>
      <c r="X265" s="56">
        <v>0</v>
      </c>
      <c r="Y265" s="53">
        <f t="shared" si="27"/>
        <v>0</v>
      </c>
      <c r="Z265" s="39" t="str">
        <f>IFERROR(IF(Y265=0,"",ROUNDUP(Y265/H265,0)*0.00502),"")</f>
        <v/>
      </c>
      <c r="AA265" s="65"/>
      <c r="AB265" s="66"/>
      <c r="AC265" s="341" t="s">
        <v>434</v>
      </c>
      <c r="AG265" s="75"/>
      <c r="AJ265" s="79"/>
      <c r="AK265" s="79">
        <v>0</v>
      </c>
      <c r="BB265" s="342" t="s">
        <v>1</v>
      </c>
      <c r="BM265" s="75">
        <f t="shared" si="28"/>
        <v>0</v>
      </c>
      <c r="BN265" s="75">
        <f t="shared" si="29"/>
        <v>0</v>
      </c>
      <c r="BO265" s="75">
        <f t="shared" si="30"/>
        <v>0</v>
      </c>
      <c r="BP265" s="75">
        <f t="shared" si="31"/>
        <v>0</v>
      </c>
    </row>
    <row r="266" spans="1:68" ht="27" hidden="1" customHeight="1" x14ac:dyDescent="0.25">
      <c r="A266" s="60" t="s">
        <v>444</v>
      </c>
      <c r="B266" s="60" t="s">
        <v>445</v>
      </c>
      <c r="C266" s="34">
        <v>4301031225</v>
      </c>
      <c r="D266" s="626">
        <v>4680115884021</v>
      </c>
      <c r="E266" s="627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64</v>
      </c>
      <c r="L266" s="35"/>
      <c r="M266" s="36" t="s">
        <v>65</v>
      </c>
      <c r="N266" s="36"/>
      <c r="O266" s="35">
        <v>40</v>
      </c>
      <c r="P266" s="66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0"/>
      <c r="R266" s="620"/>
      <c r="S266" s="620"/>
      <c r="T266" s="621"/>
      <c r="U266" s="37"/>
      <c r="V266" s="37"/>
      <c r="W266" s="38" t="s">
        <v>66</v>
      </c>
      <c r="X266" s="56">
        <v>0</v>
      </c>
      <c r="Y266" s="53">
        <f t="shared" si="27"/>
        <v>0</v>
      </c>
      <c r="Z266" s="39" t="str">
        <f>IFERROR(IF(Y266=0,"",ROUNDUP(Y266/H266,0)*0.00502),"")</f>
        <v/>
      </c>
      <c r="AA266" s="65"/>
      <c r="AB266" s="66"/>
      <c r="AC266" s="343" t="s">
        <v>437</v>
      </c>
      <c r="AG266" s="75"/>
      <c r="AJ266" s="79"/>
      <c r="AK266" s="79">
        <v>0</v>
      </c>
      <c r="BB266" s="344" t="s">
        <v>1</v>
      </c>
      <c r="BM266" s="75">
        <f t="shared" si="28"/>
        <v>0</v>
      </c>
      <c r="BN266" s="75">
        <f t="shared" si="29"/>
        <v>0</v>
      </c>
      <c r="BO266" s="75">
        <f t="shared" si="30"/>
        <v>0</v>
      </c>
      <c r="BP266" s="75">
        <f t="shared" si="31"/>
        <v>0</v>
      </c>
    </row>
    <row r="267" spans="1:68" hidden="1" x14ac:dyDescent="0.2">
      <c r="A267" s="623"/>
      <c r="B267" s="624"/>
      <c r="C267" s="624"/>
      <c r="D267" s="624"/>
      <c r="E267" s="624"/>
      <c r="F267" s="624"/>
      <c r="G267" s="624"/>
      <c r="H267" s="624"/>
      <c r="I267" s="624"/>
      <c r="J267" s="624"/>
      <c r="K267" s="624"/>
      <c r="L267" s="624"/>
      <c r="M267" s="624"/>
      <c r="N267" s="624"/>
      <c r="O267" s="625"/>
      <c r="P267" s="631" t="s">
        <v>71</v>
      </c>
      <c r="Q267" s="632"/>
      <c r="R267" s="632"/>
      <c r="S267" s="632"/>
      <c r="T267" s="632"/>
      <c r="U267" s="632"/>
      <c r="V267" s="633"/>
      <c r="W267" s="40" t="s">
        <v>72</v>
      </c>
      <c r="X267" s="41">
        <f>IFERROR(X259/H259,"0")+IFERROR(X260/H260,"0")+IFERROR(X261/H261,"0")+IFERROR(X262/H262,"0")+IFERROR(X263/H263,"0")+IFERROR(X264/H264,"0")+IFERROR(X265/H265,"0")+IFERROR(X266/H266,"0")</f>
        <v>0</v>
      </c>
      <c r="Y267" s="41">
        <f>IFERROR(Y259/H259,"0")+IFERROR(Y260/H260,"0")+IFERROR(Y261/H261,"0")+IFERROR(Y262/H262,"0")+IFERROR(Y263/H263,"0")+IFERROR(Y264/H264,"0")+IFERROR(Y265/H265,"0")+IFERROR(Y266/H266,"0")</f>
        <v>0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624"/>
      <c r="B268" s="624"/>
      <c r="C268" s="624"/>
      <c r="D268" s="624"/>
      <c r="E268" s="624"/>
      <c r="F268" s="624"/>
      <c r="G268" s="624"/>
      <c r="H268" s="624"/>
      <c r="I268" s="624"/>
      <c r="J268" s="624"/>
      <c r="K268" s="624"/>
      <c r="L268" s="624"/>
      <c r="M268" s="624"/>
      <c r="N268" s="624"/>
      <c r="O268" s="625"/>
      <c r="P268" s="631" t="s">
        <v>71</v>
      </c>
      <c r="Q268" s="632"/>
      <c r="R268" s="632"/>
      <c r="S268" s="632"/>
      <c r="T268" s="632"/>
      <c r="U268" s="632"/>
      <c r="V268" s="633"/>
      <c r="W268" s="40" t="s">
        <v>66</v>
      </c>
      <c r="X268" s="41">
        <f>IFERROR(SUM(X259:X266),"0")</f>
        <v>0</v>
      </c>
      <c r="Y268" s="41">
        <f>IFERROR(SUM(Y259:Y266),"0")</f>
        <v>0</v>
      </c>
      <c r="Z268" s="40"/>
      <c r="AA268" s="64"/>
      <c r="AB268" s="64"/>
      <c r="AC268" s="64"/>
    </row>
    <row r="269" spans="1:68" ht="14.25" hidden="1" customHeight="1" x14ac:dyDescent="0.25">
      <c r="A269" s="628" t="s">
        <v>73</v>
      </c>
      <c r="B269" s="624"/>
      <c r="C269" s="624"/>
      <c r="D269" s="624"/>
      <c r="E269" s="624"/>
      <c r="F269" s="624"/>
      <c r="G269" s="624"/>
      <c r="H269" s="624"/>
      <c r="I269" s="624"/>
      <c r="J269" s="624"/>
      <c r="K269" s="624"/>
      <c r="L269" s="624"/>
      <c r="M269" s="624"/>
      <c r="N269" s="624"/>
      <c r="O269" s="624"/>
      <c r="P269" s="624"/>
      <c r="Q269" s="624"/>
      <c r="R269" s="624"/>
      <c r="S269" s="624"/>
      <c r="T269" s="624"/>
      <c r="U269" s="624"/>
      <c r="V269" s="624"/>
      <c r="W269" s="624"/>
      <c r="X269" s="624"/>
      <c r="Y269" s="624"/>
      <c r="Z269" s="624"/>
      <c r="AA269" s="63"/>
      <c r="AB269" s="63"/>
      <c r="AC269" s="63"/>
    </row>
    <row r="270" spans="1:68" ht="27" hidden="1" customHeight="1" x14ac:dyDescent="0.25">
      <c r="A270" s="60" t="s">
        <v>446</v>
      </c>
      <c r="B270" s="60" t="s">
        <v>447</v>
      </c>
      <c r="C270" s="34">
        <v>4301051408</v>
      </c>
      <c r="D270" s="626">
        <v>4680115881594</v>
      </c>
      <c r="E270" s="627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119</v>
      </c>
      <c r="L270" s="35"/>
      <c r="M270" s="36" t="s">
        <v>77</v>
      </c>
      <c r="N270" s="36"/>
      <c r="O270" s="35">
        <v>40</v>
      </c>
      <c r="P270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0"/>
      <c r="R270" s="620"/>
      <c r="S270" s="620"/>
      <c r="T270" s="621"/>
      <c r="U270" s="37"/>
      <c r="V270" s="37"/>
      <c r="W270" s="38" t="s">
        <v>66</v>
      </c>
      <c r="X270" s="56">
        <v>0</v>
      </c>
      <c r="Y270" s="53">
        <f t="shared" ref="Y270:Y281" si="32">IFERROR(IF(X270="",0,CEILING((X270/$H270),1)*$H270),"")</f>
        <v>0</v>
      </c>
      <c r="Z270" s="39" t="str">
        <f>IFERROR(IF(Y270=0,"",ROUNDUP(Y270/H270,0)*0.01898),"")</f>
        <v/>
      </c>
      <c r="AA270" s="65"/>
      <c r="AB270" s="66"/>
      <c r="AC270" s="345" t="s">
        <v>448</v>
      </c>
      <c r="AG270" s="75"/>
      <c r="AJ270" s="79"/>
      <c r="AK270" s="79">
        <v>0</v>
      </c>
      <c r="BB270" s="346" t="s">
        <v>1</v>
      </c>
      <c r="BM270" s="75">
        <f t="shared" ref="BM270:BM281" si="33">IFERROR(X270*I270/H270,"0")</f>
        <v>0</v>
      </c>
      <c r="BN270" s="75">
        <f t="shared" ref="BN270:BN281" si="34">IFERROR(Y270*I270/H270,"0")</f>
        <v>0</v>
      </c>
      <c r="BO270" s="75">
        <f t="shared" ref="BO270:BO281" si="35">IFERROR(1/J270*(X270/H270),"0")</f>
        <v>0</v>
      </c>
      <c r="BP270" s="75">
        <f t="shared" ref="BP270:BP281" si="36">IFERROR(1/J270*(Y270/H270),"0")</f>
        <v>0</v>
      </c>
    </row>
    <row r="271" spans="1:68" ht="27" hidden="1" customHeight="1" x14ac:dyDescent="0.25">
      <c r="A271" s="60" t="s">
        <v>449</v>
      </c>
      <c r="B271" s="60" t="s">
        <v>450</v>
      </c>
      <c r="C271" s="34">
        <v>4301051411</v>
      </c>
      <c r="D271" s="626">
        <v>4680115881617</v>
      </c>
      <c r="E271" s="627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119</v>
      </c>
      <c r="L271" s="35"/>
      <c r="M271" s="36" t="s">
        <v>77</v>
      </c>
      <c r="N271" s="36"/>
      <c r="O271" s="35">
        <v>40</v>
      </c>
      <c r="P271" s="6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0"/>
      <c r="R271" s="620"/>
      <c r="S271" s="620"/>
      <c r="T271" s="621"/>
      <c r="U271" s="37"/>
      <c r="V271" s="37"/>
      <c r="W271" s="38" t="s">
        <v>66</v>
      </c>
      <c r="X271" s="56">
        <v>0</v>
      </c>
      <c r="Y271" s="53">
        <f t="shared" si="32"/>
        <v>0</v>
      </c>
      <c r="Z271" s="39" t="str">
        <f>IFERROR(IF(Y271=0,"",ROUNDUP(Y271/H271,0)*0.01898),"")</f>
        <v/>
      </c>
      <c r="AA271" s="65"/>
      <c r="AB271" s="66"/>
      <c r="AC271" s="347" t="s">
        <v>451</v>
      </c>
      <c r="AG271" s="75"/>
      <c r="AJ271" s="79"/>
      <c r="AK271" s="79">
        <v>0</v>
      </c>
      <c r="BB271" s="348" t="s">
        <v>1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ht="27" hidden="1" customHeight="1" x14ac:dyDescent="0.25">
      <c r="A272" s="60" t="s">
        <v>452</v>
      </c>
      <c r="B272" s="60" t="s">
        <v>453</v>
      </c>
      <c r="C272" s="34">
        <v>4301051656</v>
      </c>
      <c r="D272" s="626">
        <v>4680115880573</v>
      </c>
      <c r="E272" s="627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119</v>
      </c>
      <c r="L272" s="35"/>
      <c r="M272" s="36" t="s">
        <v>77</v>
      </c>
      <c r="N272" s="36"/>
      <c r="O272" s="35">
        <v>45</v>
      </c>
      <c r="P272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0"/>
      <c r="R272" s="620"/>
      <c r="S272" s="620"/>
      <c r="T272" s="621"/>
      <c r="U272" s="37"/>
      <c r="V272" s="37"/>
      <c r="W272" s="38" t="s">
        <v>66</v>
      </c>
      <c r="X272" s="56">
        <v>0</v>
      </c>
      <c r="Y272" s="53">
        <f t="shared" si="32"/>
        <v>0</v>
      </c>
      <c r="Z272" s="39" t="str">
        <f>IFERROR(IF(Y272=0,"",ROUNDUP(Y272/H272,0)*0.01898),"")</f>
        <v/>
      </c>
      <c r="AA272" s="65"/>
      <c r="AB272" s="66"/>
      <c r="AC272" s="349" t="s">
        <v>454</v>
      </c>
      <c r="AG272" s="75"/>
      <c r="AJ272" s="79"/>
      <c r="AK272" s="79">
        <v>0</v>
      </c>
      <c r="BB272" s="350" t="s">
        <v>1</v>
      </c>
      <c r="BM272" s="75">
        <f t="shared" si="33"/>
        <v>0</v>
      </c>
      <c r="BN272" s="75">
        <f t="shared" si="34"/>
        <v>0</v>
      </c>
      <c r="BO272" s="75">
        <f t="shared" si="35"/>
        <v>0</v>
      </c>
      <c r="BP272" s="75">
        <f t="shared" si="36"/>
        <v>0</v>
      </c>
    </row>
    <row r="273" spans="1:68" ht="27" hidden="1" customHeight="1" x14ac:dyDescent="0.25">
      <c r="A273" s="60" t="s">
        <v>455</v>
      </c>
      <c r="B273" s="60" t="s">
        <v>456</v>
      </c>
      <c r="C273" s="34">
        <v>4301051407</v>
      </c>
      <c r="D273" s="626">
        <v>4680115882195</v>
      </c>
      <c r="E273" s="627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76</v>
      </c>
      <c r="L273" s="35"/>
      <c r="M273" s="36" t="s">
        <v>77</v>
      </c>
      <c r="N273" s="36"/>
      <c r="O273" s="35">
        <v>40</v>
      </c>
      <c r="P273" s="7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0"/>
      <c r="R273" s="620"/>
      <c r="S273" s="620"/>
      <c r="T273" s="621"/>
      <c r="U273" s="37"/>
      <c r="V273" s="37"/>
      <c r="W273" s="38" t="s">
        <v>66</v>
      </c>
      <c r="X273" s="56">
        <v>0</v>
      </c>
      <c r="Y273" s="53">
        <f t="shared" si="32"/>
        <v>0</v>
      </c>
      <c r="Z273" s="39" t="str">
        <f>IFERROR(IF(Y273=0,"",ROUNDUP(Y273/H273,0)*0.00651),"")</f>
        <v/>
      </c>
      <c r="AA273" s="65"/>
      <c r="AB273" s="66"/>
      <c r="AC273" s="351" t="s">
        <v>448</v>
      </c>
      <c r="AG273" s="75"/>
      <c r="AJ273" s="79"/>
      <c r="AK273" s="79">
        <v>0</v>
      </c>
      <c r="BB273" s="352" t="s">
        <v>1</v>
      </c>
      <c r="BM273" s="75">
        <f t="shared" si="33"/>
        <v>0</v>
      </c>
      <c r="BN273" s="75">
        <f t="shared" si="34"/>
        <v>0</v>
      </c>
      <c r="BO273" s="75">
        <f t="shared" si="35"/>
        <v>0</v>
      </c>
      <c r="BP273" s="75">
        <f t="shared" si="36"/>
        <v>0</v>
      </c>
    </row>
    <row r="274" spans="1:68" ht="27" hidden="1" customHeight="1" x14ac:dyDescent="0.25">
      <c r="A274" s="60" t="s">
        <v>457</v>
      </c>
      <c r="B274" s="60" t="s">
        <v>458</v>
      </c>
      <c r="C274" s="34">
        <v>4301051752</v>
      </c>
      <c r="D274" s="626">
        <v>4680115882607</v>
      </c>
      <c r="E274" s="627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76</v>
      </c>
      <c r="L274" s="35"/>
      <c r="M274" s="36" t="s">
        <v>83</v>
      </c>
      <c r="N274" s="36"/>
      <c r="O274" s="35">
        <v>45</v>
      </c>
      <c r="P274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0"/>
      <c r="R274" s="620"/>
      <c r="S274" s="620"/>
      <c r="T274" s="621"/>
      <c r="U274" s="37"/>
      <c r="V274" s="37"/>
      <c r="W274" s="38" t="s">
        <v>66</v>
      </c>
      <c r="X274" s="56">
        <v>0</v>
      </c>
      <c r="Y274" s="53">
        <f t="shared" si="32"/>
        <v>0</v>
      </c>
      <c r="Z274" s="39" t="str">
        <f>IFERROR(IF(Y274=0,"",ROUNDUP(Y274/H274,0)*0.00651),"")</f>
        <v/>
      </c>
      <c r="AA274" s="65"/>
      <c r="AB274" s="66"/>
      <c r="AC274" s="353" t="s">
        <v>454</v>
      </c>
      <c r="AG274" s="75"/>
      <c r="AJ274" s="79"/>
      <c r="AK274" s="79">
        <v>0</v>
      </c>
      <c r="BB274" s="354" t="s">
        <v>1</v>
      </c>
      <c r="BM274" s="75">
        <f t="shared" si="33"/>
        <v>0</v>
      </c>
      <c r="BN274" s="75">
        <f t="shared" si="34"/>
        <v>0</v>
      </c>
      <c r="BO274" s="75">
        <f t="shared" si="35"/>
        <v>0</v>
      </c>
      <c r="BP274" s="75">
        <f t="shared" si="36"/>
        <v>0</v>
      </c>
    </row>
    <row r="275" spans="1:68" ht="27" hidden="1" customHeight="1" x14ac:dyDescent="0.25">
      <c r="A275" s="60" t="s">
        <v>459</v>
      </c>
      <c r="B275" s="60" t="s">
        <v>460</v>
      </c>
      <c r="C275" s="34">
        <v>4301052143</v>
      </c>
      <c r="D275" s="626">
        <v>4680115882607</v>
      </c>
      <c r="E275" s="627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128</v>
      </c>
      <c r="L275" s="35"/>
      <c r="M275" s="36" t="s">
        <v>77</v>
      </c>
      <c r="N275" s="36"/>
      <c r="O275" s="35">
        <v>45</v>
      </c>
      <c r="P275" s="64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0"/>
      <c r="R275" s="620"/>
      <c r="S275" s="620"/>
      <c r="T275" s="621"/>
      <c r="U275" s="37"/>
      <c r="V275" s="37"/>
      <c r="W275" s="38" t="s">
        <v>66</v>
      </c>
      <c r="X275" s="56">
        <v>0</v>
      </c>
      <c r="Y275" s="53">
        <f t="shared" si="32"/>
        <v>0</v>
      </c>
      <c r="Z275" s="39" t="str">
        <f>IFERROR(IF(Y275=0,"",ROUNDUP(Y275/H275,0)*0.00902),"")</f>
        <v/>
      </c>
      <c r="AA275" s="65"/>
      <c r="AB275" s="66"/>
      <c r="AC275" s="355" t="s">
        <v>461</v>
      </c>
      <c r="AG275" s="75"/>
      <c r="AJ275" s="79"/>
      <c r="AK275" s="79">
        <v>0</v>
      </c>
      <c r="BB275" s="356" t="s">
        <v>1</v>
      </c>
      <c r="BM275" s="75">
        <f t="shared" si="33"/>
        <v>0</v>
      </c>
      <c r="BN275" s="75">
        <f t="shared" si="34"/>
        <v>0</v>
      </c>
      <c r="BO275" s="75">
        <f t="shared" si="35"/>
        <v>0</v>
      </c>
      <c r="BP275" s="75">
        <f t="shared" si="36"/>
        <v>0</v>
      </c>
    </row>
    <row r="276" spans="1:68" ht="27" hidden="1" customHeight="1" x14ac:dyDescent="0.25">
      <c r="A276" s="60" t="s">
        <v>462</v>
      </c>
      <c r="B276" s="60" t="s">
        <v>463</v>
      </c>
      <c r="C276" s="34">
        <v>4301051666</v>
      </c>
      <c r="D276" s="626">
        <v>4680115880092</v>
      </c>
      <c r="E276" s="627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76</v>
      </c>
      <c r="L276" s="35"/>
      <c r="M276" s="36" t="s">
        <v>77</v>
      </c>
      <c r="N276" s="36"/>
      <c r="O276" s="35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0"/>
      <c r="R276" s="620"/>
      <c r="S276" s="620"/>
      <c r="T276" s="621"/>
      <c r="U276" s="37"/>
      <c r="V276" s="37"/>
      <c r="W276" s="38" t="s">
        <v>66</v>
      </c>
      <c r="X276" s="56">
        <v>0</v>
      </c>
      <c r="Y276" s="53">
        <f t="shared" si="32"/>
        <v>0</v>
      </c>
      <c r="Z276" s="39" t="str">
        <f>IFERROR(IF(Y276=0,"",ROUNDUP(Y276/H276,0)*0.00651),"")</f>
        <v/>
      </c>
      <c r="AA276" s="65"/>
      <c r="AB276" s="66"/>
      <c r="AC276" s="357" t="s">
        <v>454</v>
      </c>
      <c r="AG276" s="75"/>
      <c r="AJ276" s="79"/>
      <c r="AK276" s="79">
        <v>0</v>
      </c>
      <c r="BB276" s="358" t="s">
        <v>1</v>
      </c>
      <c r="BM276" s="75">
        <f t="shared" si="33"/>
        <v>0</v>
      </c>
      <c r="BN276" s="75">
        <f t="shared" si="34"/>
        <v>0</v>
      </c>
      <c r="BO276" s="75">
        <f t="shared" si="35"/>
        <v>0</v>
      </c>
      <c r="BP276" s="75">
        <f t="shared" si="36"/>
        <v>0</v>
      </c>
    </row>
    <row r="277" spans="1:68" ht="27" hidden="1" customHeight="1" x14ac:dyDescent="0.25">
      <c r="A277" s="60" t="s">
        <v>464</v>
      </c>
      <c r="B277" s="60" t="s">
        <v>465</v>
      </c>
      <c r="C277" s="34">
        <v>4301052214</v>
      </c>
      <c r="D277" s="626">
        <v>4680115889064</v>
      </c>
      <c r="E277" s="627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119</v>
      </c>
      <c r="L277" s="35"/>
      <c r="M277" s="36" t="s">
        <v>77</v>
      </c>
      <c r="N277" s="36"/>
      <c r="O277" s="35">
        <v>45</v>
      </c>
      <c r="P277" s="77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0"/>
      <c r="R277" s="620"/>
      <c r="S277" s="620"/>
      <c r="T277" s="621"/>
      <c r="U277" s="37"/>
      <c r="V277" s="37"/>
      <c r="W277" s="38" t="s">
        <v>66</v>
      </c>
      <c r="X277" s="56">
        <v>0</v>
      </c>
      <c r="Y277" s="53">
        <f t="shared" si="32"/>
        <v>0</v>
      </c>
      <c r="Z277" s="39" t="str">
        <f>IFERROR(IF(Y277=0,"",ROUNDUP(Y277/H277,0)*0.01196),"")</f>
        <v/>
      </c>
      <c r="AA277" s="65"/>
      <c r="AB277" s="66"/>
      <c r="AC277" s="359" t="s">
        <v>461</v>
      </c>
      <c r="AG277" s="75"/>
      <c r="AJ277" s="79"/>
      <c r="AK277" s="79">
        <v>0</v>
      </c>
      <c r="BB277" s="360" t="s">
        <v>1</v>
      </c>
      <c r="BM277" s="75">
        <f t="shared" si="33"/>
        <v>0</v>
      </c>
      <c r="BN277" s="75">
        <f t="shared" si="34"/>
        <v>0</v>
      </c>
      <c r="BO277" s="75">
        <f t="shared" si="35"/>
        <v>0</v>
      </c>
      <c r="BP277" s="75">
        <f t="shared" si="36"/>
        <v>0</v>
      </c>
    </row>
    <row r="278" spans="1:68" ht="27" hidden="1" customHeight="1" x14ac:dyDescent="0.25">
      <c r="A278" s="60" t="s">
        <v>466</v>
      </c>
      <c r="B278" s="60" t="s">
        <v>467</v>
      </c>
      <c r="C278" s="34">
        <v>4301051668</v>
      </c>
      <c r="D278" s="626">
        <v>4680115880221</v>
      </c>
      <c r="E278" s="627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76</v>
      </c>
      <c r="L278" s="35"/>
      <c r="M278" s="36" t="s">
        <v>77</v>
      </c>
      <c r="N278" s="36"/>
      <c r="O278" s="35">
        <v>45</v>
      </c>
      <c r="P278" s="85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0"/>
      <c r="R278" s="620"/>
      <c r="S278" s="620"/>
      <c r="T278" s="621"/>
      <c r="U278" s="37"/>
      <c r="V278" s="37"/>
      <c r="W278" s="38" t="s">
        <v>66</v>
      </c>
      <c r="X278" s="56">
        <v>0</v>
      </c>
      <c r="Y278" s="53">
        <f t="shared" si="32"/>
        <v>0</v>
      </c>
      <c r="Z278" s="39" t="str">
        <f>IFERROR(IF(Y278=0,"",ROUNDUP(Y278/H278,0)*0.00651),"")</f>
        <v/>
      </c>
      <c r="AA278" s="65"/>
      <c r="AB278" s="66"/>
      <c r="AC278" s="361" t="s">
        <v>454</v>
      </c>
      <c r="AG278" s="75"/>
      <c r="AJ278" s="79"/>
      <c r="AK278" s="79">
        <v>0</v>
      </c>
      <c r="BB278" s="362" t="s">
        <v>1</v>
      </c>
      <c r="BM278" s="75">
        <f t="shared" si="33"/>
        <v>0</v>
      </c>
      <c r="BN278" s="75">
        <f t="shared" si="34"/>
        <v>0</v>
      </c>
      <c r="BO278" s="75">
        <f t="shared" si="35"/>
        <v>0</v>
      </c>
      <c r="BP278" s="75">
        <f t="shared" si="36"/>
        <v>0</v>
      </c>
    </row>
    <row r="279" spans="1:68" ht="27" hidden="1" customHeight="1" x14ac:dyDescent="0.25">
      <c r="A279" s="60" t="s">
        <v>468</v>
      </c>
      <c r="B279" s="60" t="s">
        <v>469</v>
      </c>
      <c r="C279" s="34">
        <v>4301051945</v>
      </c>
      <c r="D279" s="626">
        <v>4680115880504</v>
      </c>
      <c r="E279" s="627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76</v>
      </c>
      <c r="L279" s="35"/>
      <c r="M279" s="36" t="s">
        <v>83</v>
      </c>
      <c r="N279" s="36"/>
      <c r="O279" s="35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0"/>
      <c r="R279" s="620"/>
      <c r="S279" s="620"/>
      <c r="T279" s="621"/>
      <c r="U279" s="37"/>
      <c r="V279" s="37"/>
      <c r="W279" s="38" t="s">
        <v>66</v>
      </c>
      <c r="X279" s="56">
        <v>0</v>
      </c>
      <c r="Y279" s="53">
        <f t="shared" si="32"/>
        <v>0</v>
      </c>
      <c r="Z279" s="39" t="str">
        <f>IFERROR(IF(Y279=0,"",ROUNDUP(Y279/H279,0)*0.00651),"")</f>
        <v/>
      </c>
      <c r="AA279" s="65"/>
      <c r="AB279" s="66"/>
      <c r="AC279" s="363" t="s">
        <v>470</v>
      </c>
      <c r="AG279" s="75"/>
      <c r="AJ279" s="79"/>
      <c r="AK279" s="79">
        <v>0</v>
      </c>
      <c r="BB279" s="364" t="s">
        <v>1</v>
      </c>
      <c r="BM279" s="75">
        <f t="shared" si="33"/>
        <v>0</v>
      </c>
      <c r="BN279" s="75">
        <f t="shared" si="34"/>
        <v>0</v>
      </c>
      <c r="BO279" s="75">
        <f t="shared" si="35"/>
        <v>0</v>
      </c>
      <c r="BP279" s="75">
        <f t="shared" si="36"/>
        <v>0</v>
      </c>
    </row>
    <row r="280" spans="1:68" ht="27" hidden="1" customHeight="1" x14ac:dyDescent="0.25">
      <c r="A280" s="60" t="s">
        <v>471</v>
      </c>
      <c r="B280" s="60" t="s">
        <v>472</v>
      </c>
      <c r="C280" s="34">
        <v>4301051410</v>
      </c>
      <c r="D280" s="626">
        <v>4680115882164</v>
      </c>
      <c r="E280" s="627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76</v>
      </c>
      <c r="L280" s="35"/>
      <c r="M280" s="36" t="s">
        <v>77</v>
      </c>
      <c r="N280" s="36"/>
      <c r="O280" s="35">
        <v>40</v>
      </c>
      <c r="P280" s="7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0"/>
      <c r="R280" s="620"/>
      <c r="S280" s="620"/>
      <c r="T280" s="621"/>
      <c r="U280" s="37"/>
      <c r="V280" s="37"/>
      <c r="W280" s="38" t="s">
        <v>66</v>
      </c>
      <c r="X280" s="56">
        <v>0</v>
      </c>
      <c r="Y280" s="53">
        <f t="shared" si="32"/>
        <v>0</v>
      </c>
      <c r="Z280" s="39" t="str">
        <f>IFERROR(IF(Y280=0,"",ROUNDUP(Y280/H280,0)*0.00651),"")</f>
        <v/>
      </c>
      <c r="AA280" s="65"/>
      <c r="AB280" s="66"/>
      <c r="AC280" s="365" t="s">
        <v>473</v>
      </c>
      <c r="AG280" s="75"/>
      <c r="AJ280" s="79"/>
      <c r="AK280" s="79">
        <v>0</v>
      </c>
      <c r="BB280" s="366" t="s">
        <v>1</v>
      </c>
      <c r="BM280" s="75">
        <f t="shared" si="33"/>
        <v>0</v>
      </c>
      <c r="BN280" s="75">
        <f t="shared" si="34"/>
        <v>0</v>
      </c>
      <c r="BO280" s="75">
        <f t="shared" si="35"/>
        <v>0</v>
      </c>
      <c r="BP280" s="75">
        <f t="shared" si="36"/>
        <v>0</v>
      </c>
    </row>
    <row r="281" spans="1:68" ht="27" hidden="1" customHeight="1" x14ac:dyDescent="0.25">
      <c r="A281" s="60" t="s">
        <v>474</v>
      </c>
      <c r="B281" s="60" t="s">
        <v>475</v>
      </c>
      <c r="C281" s="34">
        <v>4301052180</v>
      </c>
      <c r="D281" s="626">
        <v>4680115888340</v>
      </c>
      <c r="E281" s="627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76</v>
      </c>
      <c r="L281" s="35"/>
      <c r="M281" s="36" t="s">
        <v>77</v>
      </c>
      <c r="N281" s="36"/>
      <c r="O281" s="35">
        <v>45</v>
      </c>
      <c r="P281" s="73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0"/>
      <c r="R281" s="620"/>
      <c r="S281" s="620"/>
      <c r="T281" s="621"/>
      <c r="U281" s="37"/>
      <c r="V281" s="37"/>
      <c r="W281" s="38" t="s">
        <v>66</v>
      </c>
      <c r="X281" s="56">
        <v>0</v>
      </c>
      <c r="Y281" s="53">
        <f t="shared" si="32"/>
        <v>0</v>
      </c>
      <c r="Z281" s="39" t="str">
        <f>IFERROR(IF(Y281=0,"",ROUNDUP(Y281/H281,0)*0.00651),"")</f>
        <v/>
      </c>
      <c r="AA281" s="65"/>
      <c r="AB281" s="66"/>
      <c r="AC281" s="367" t="s">
        <v>476</v>
      </c>
      <c r="AG281" s="75"/>
      <c r="AJ281" s="79"/>
      <c r="AK281" s="79">
        <v>0</v>
      </c>
      <c r="BB281" s="368" t="s">
        <v>1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idden="1" x14ac:dyDescent="0.2">
      <c r="A282" s="623"/>
      <c r="B282" s="624"/>
      <c r="C282" s="624"/>
      <c r="D282" s="624"/>
      <c r="E282" s="624"/>
      <c r="F282" s="624"/>
      <c r="G282" s="624"/>
      <c r="H282" s="624"/>
      <c r="I282" s="624"/>
      <c r="J282" s="624"/>
      <c r="K282" s="624"/>
      <c r="L282" s="624"/>
      <c r="M282" s="624"/>
      <c r="N282" s="624"/>
      <c r="O282" s="625"/>
      <c r="P282" s="631" t="s">
        <v>71</v>
      </c>
      <c r="Q282" s="632"/>
      <c r="R282" s="632"/>
      <c r="S282" s="632"/>
      <c r="T282" s="632"/>
      <c r="U282" s="632"/>
      <c r="V282" s="633"/>
      <c r="W282" s="40" t="s">
        <v>72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624"/>
      <c r="B283" s="624"/>
      <c r="C283" s="624"/>
      <c r="D283" s="624"/>
      <c r="E283" s="624"/>
      <c r="F283" s="624"/>
      <c r="G283" s="624"/>
      <c r="H283" s="624"/>
      <c r="I283" s="624"/>
      <c r="J283" s="624"/>
      <c r="K283" s="624"/>
      <c r="L283" s="624"/>
      <c r="M283" s="624"/>
      <c r="N283" s="624"/>
      <c r="O283" s="625"/>
      <c r="P283" s="631" t="s">
        <v>71</v>
      </c>
      <c r="Q283" s="632"/>
      <c r="R283" s="632"/>
      <c r="S283" s="632"/>
      <c r="T283" s="632"/>
      <c r="U283" s="632"/>
      <c r="V283" s="633"/>
      <c r="W283" s="40" t="s">
        <v>66</v>
      </c>
      <c r="X283" s="41">
        <f>IFERROR(SUM(X270:X281),"0")</f>
        <v>0</v>
      </c>
      <c r="Y283" s="41">
        <f>IFERROR(SUM(Y270:Y281),"0")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28" t="s">
        <v>169</v>
      </c>
      <c r="B284" s="624"/>
      <c r="C284" s="624"/>
      <c r="D284" s="624"/>
      <c r="E284" s="624"/>
      <c r="F284" s="624"/>
      <c r="G284" s="624"/>
      <c r="H284" s="624"/>
      <c r="I284" s="624"/>
      <c r="J284" s="624"/>
      <c r="K284" s="624"/>
      <c r="L284" s="624"/>
      <c r="M284" s="624"/>
      <c r="N284" s="624"/>
      <c r="O284" s="624"/>
      <c r="P284" s="624"/>
      <c r="Q284" s="624"/>
      <c r="R284" s="624"/>
      <c r="S284" s="624"/>
      <c r="T284" s="624"/>
      <c r="U284" s="624"/>
      <c r="V284" s="624"/>
      <c r="W284" s="624"/>
      <c r="X284" s="624"/>
      <c r="Y284" s="624"/>
      <c r="Z284" s="624"/>
      <c r="AA284" s="63"/>
      <c r="AB284" s="63"/>
      <c r="AC284" s="63"/>
    </row>
    <row r="285" spans="1:68" ht="27" hidden="1" customHeight="1" x14ac:dyDescent="0.25">
      <c r="A285" s="60" t="s">
        <v>477</v>
      </c>
      <c r="B285" s="60" t="s">
        <v>478</v>
      </c>
      <c r="C285" s="34">
        <v>4301060463</v>
      </c>
      <c r="D285" s="626">
        <v>4680115880818</v>
      </c>
      <c r="E285" s="627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76</v>
      </c>
      <c r="L285" s="35"/>
      <c r="M285" s="36" t="s">
        <v>83</v>
      </c>
      <c r="N285" s="36"/>
      <c r="O285" s="35">
        <v>40</v>
      </c>
      <c r="P285" s="7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0"/>
      <c r="R285" s="620"/>
      <c r="S285" s="620"/>
      <c r="T285" s="621"/>
      <c r="U285" s="37"/>
      <c r="V285" s="37"/>
      <c r="W285" s="38" t="s">
        <v>66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/>
      <c r="AB285" s="66"/>
      <c r="AC285" s="369" t="s">
        <v>479</v>
      </c>
      <c r="AG285" s="75"/>
      <c r="AJ285" s="79"/>
      <c r="AK285" s="79">
        <v>0</v>
      </c>
      <c r="BB285" s="370" t="s">
        <v>1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480</v>
      </c>
      <c r="B286" s="60" t="s">
        <v>481</v>
      </c>
      <c r="C286" s="34">
        <v>4301060389</v>
      </c>
      <c r="D286" s="626">
        <v>4680115880801</v>
      </c>
      <c r="E286" s="627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76</v>
      </c>
      <c r="L286" s="35"/>
      <c r="M286" s="36" t="s">
        <v>77</v>
      </c>
      <c r="N286" s="36"/>
      <c r="O286" s="35">
        <v>40</v>
      </c>
      <c r="P286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0"/>
      <c r="R286" s="620"/>
      <c r="S286" s="620"/>
      <c r="T286" s="621"/>
      <c r="U286" s="37"/>
      <c r="V286" s="37"/>
      <c r="W286" s="38" t="s">
        <v>66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/>
      <c r="AB286" s="66"/>
      <c r="AC286" s="371" t="s">
        <v>482</v>
      </c>
      <c r="AG286" s="75"/>
      <c r="AJ286" s="79"/>
      <c r="AK286" s="79">
        <v>0</v>
      </c>
      <c r="BB286" s="372" t="s">
        <v>1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623"/>
      <c r="B287" s="624"/>
      <c r="C287" s="624"/>
      <c r="D287" s="624"/>
      <c r="E287" s="624"/>
      <c r="F287" s="624"/>
      <c r="G287" s="624"/>
      <c r="H287" s="624"/>
      <c r="I287" s="624"/>
      <c r="J287" s="624"/>
      <c r="K287" s="624"/>
      <c r="L287" s="624"/>
      <c r="M287" s="624"/>
      <c r="N287" s="624"/>
      <c r="O287" s="625"/>
      <c r="P287" s="631" t="s">
        <v>71</v>
      </c>
      <c r="Q287" s="632"/>
      <c r="R287" s="632"/>
      <c r="S287" s="632"/>
      <c r="T287" s="632"/>
      <c r="U287" s="632"/>
      <c r="V287" s="633"/>
      <c r="W287" s="40" t="s">
        <v>72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624"/>
      <c r="B288" s="624"/>
      <c r="C288" s="624"/>
      <c r="D288" s="624"/>
      <c r="E288" s="624"/>
      <c r="F288" s="624"/>
      <c r="G288" s="624"/>
      <c r="H288" s="624"/>
      <c r="I288" s="624"/>
      <c r="J288" s="624"/>
      <c r="K288" s="624"/>
      <c r="L288" s="624"/>
      <c r="M288" s="624"/>
      <c r="N288" s="624"/>
      <c r="O288" s="625"/>
      <c r="P288" s="631" t="s">
        <v>71</v>
      </c>
      <c r="Q288" s="632"/>
      <c r="R288" s="632"/>
      <c r="S288" s="632"/>
      <c r="T288" s="632"/>
      <c r="U288" s="632"/>
      <c r="V288" s="633"/>
      <c r="W288" s="40" t="s">
        <v>66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39" t="s">
        <v>483</v>
      </c>
      <c r="B289" s="624"/>
      <c r="C289" s="624"/>
      <c r="D289" s="624"/>
      <c r="E289" s="624"/>
      <c r="F289" s="624"/>
      <c r="G289" s="624"/>
      <c r="H289" s="624"/>
      <c r="I289" s="624"/>
      <c r="J289" s="624"/>
      <c r="K289" s="624"/>
      <c r="L289" s="624"/>
      <c r="M289" s="624"/>
      <c r="N289" s="624"/>
      <c r="O289" s="624"/>
      <c r="P289" s="624"/>
      <c r="Q289" s="624"/>
      <c r="R289" s="624"/>
      <c r="S289" s="624"/>
      <c r="T289" s="624"/>
      <c r="U289" s="624"/>
      <c r="V289" s="624"/>
      <c r="W289" s="624"/>
      <c r="X289" s="624"/>
      <c r="Y289" s="624"/>
      <c r="Z289" s="624"/>
      <c r="AA289" s="62"/>
      <c r="AB289" s="62"/>
      <c r="AC289" s="62"/>
    </row>
    <row r="290" spans="1:68" ht="14.25" hidden="1" customHeight="1" x14ac:dyDescent="0.25">
      <c r="A290" s="628" t="s">
        <v>116</v>
      </c>
      <c r="B290" s="624"/>
      <c r="C290" s="624"/>
      <c r="D290" s="624"/>
      <c r="E290" s="624"/>
      <c r="F290" s="624"/>
      <c r="G290" s="624"/>
      <c r="H290" s="624"/>
      <c r="I290" s="624"/>
      <c r="J290" s="624"/>
      <c r="K290" s="624"/>
      <c r="L290" s="624"/>
      <c r="M290" s="624"/>
      <c r="N290" s="624"/>
      <c r="O290" s="624"/>
      <c r="P290" s="624"/>
      <c r="Q290" s="624"/>
      <c r="R290" s="624"/>
      <c r="S290" s="624"/>
      <c r="T290" s="624"/>
      <c r="U290" s="624"/>
      <c r="V290" s="624"/>
      <c r="W290" s="624"/>
      <c r="X290" s="624"/>
      <c r="Y290" s="624"/>
      <c r="Z290" s="624"/>
      <c r="AA290" s="63"/>
      <c r="AB290" s="63"/>
      <c r="AC290" s="63"/>
    </row>
    <row r="291" spans="1:68" ht="27" hidden="1" customHeight="1" x14ac:dyDescent="0.25">
      <c r="A291" s="60" t="s">
        <v>484</v>
      </c>
      <c r="B291" s="60" t="s">
        <v>485</v>
      </c>
      <c r="C291" s="34">
        <v>4301011826</v>
      </c>
      <c r="D291" s="626">
        <v>4680115884137</v>
      </c>
      <c r="E291" s="627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119</v>
      </c>
      <c r="L291" s="35"/>
      <c r="M291" s="36" t="s">
        <v>120</v>
      </c>
      <c r="N291" s="36"/>
      <c r="O291" s="35">
        <v>55</v>
      </c>
      <c r="P291" s="9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0"/>
      <c r="R291" s="620"/>
      <c r="S291" s="620"/>
      <c r="T291" s="621"/>
      <c r="U291" s="37"/>
      <c r="V291" s="37"/>
      <c r="W291" s="38" t="s">
        <v>66</v>
      </c>
      <c r="X291" s="56">
        <v>0</v>
      </c>
      <c r="Y291" s="53">
        <f t="shared" ref="Y291:Y297" si="37">IFERROR(IF(X291="",0,CEILING((X291/$H291),1)*$H291),"")</f>
        <v>0</v>
      </c>
      <c r="Z291" s="39" t="str">
        <f>IFERROR(IF(Y291=0,"",ROUNDUP(Y291/H291,0)*0.01898),"")</f>
        <v/>
      </c>
      <c r="AA291" s="65"/>
      <c r="AB291" s="66"/>
      <c r="AC291" s="373" t="s">
        <v>486</v>
      </c>
      <c r="AG291" s="75"/>
      <c r="AJ291" s="79"/>
      <c r="AK291" s="79">
        <v>0</v>
      </c>
      <c r="BB291" s="374" t="s">
        <v>1</v>
      </c>
      <c r="BM291" s="75">
        <f t="shared" ref="BM291:BM297" si="38">IFERROR(X291*I291/H291,"0")</f>
        <v>0</v>
      </c>
      <c r="BN291" s="75">
        <f t="shared" ref="BN291:BN297" si="39">IFERROR(Y291*I291/H291,"0")</f>
        <v>0</v>
      </c>
      <c r="BO291" s="75">
        <f t="shared" ref="BO291:BO297" si="40">IFERROR(1/J291*(X291/H291),"0")</f>
        <v>0</v>
      </c>
      <c r="BP291" s="75">
        <f t="shared" ref="BP291:BP297" si="41">IFERROR(1/J291*(Y291/H291),"0")</f>
        <v>0</v>
      </c>
    </row>
    <row r="292" spans="1:68" ht="27" hidden="1" customHeight="1" x14ac:dyDescent="0.25">
      <c r="A292" s="60" t="s">
        <v>487</v>
      </c>
      <c r="B292" s="60" t="s">
        <v>488</v>
      </c>
      <c r="C292" s="34">
        <v>4301011724</v>
      </c>
      <c r="D292" s="626">
        <v>4680115884236</v>
      </c>
      <c r="E292" s="627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119</v>
      </c>
      <c r="L292" s="35"/>
      <c r="M292" s="36" t="s">
        <v>120</v>
      </c>
      <c r="N292" s="36"/>
      <c r="O292" s="35">
        <v>55</v>
      </c>
      <c r="P292" s="9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0"/>
      <c r="R292" s="620"/>
      <c r="S292" s="620"/>
      <c r="T292" s="621"/>
      <c r="U292" s="37"/>
      <c r="V292" s="37"/>
      <c r="W292" s="38" t="s">
        <v>66</v>
      </c>
      <c r="X292" s="56">
        <v>0</v>
      </c>
      <c r="Y292" s="53">
        <f t="shared" si="37"/>
        <v>0</v>
      </c>
      <c r="Z292" s="39" t="str">
        <f>IFERROR(IF(Y292=0,"",ROUNDUP(Y292/H292,0)*0.01898),"")</f>
        <v/>
      </c>
      <c r="AA292" s="65"/>
      <c r="AB292" s="66"/>
      <c r="AC292" s="375" t="s">
        <v>489</v>
      </c>
      <c r="AG292" s="75"/>
      <c r="AJ292" s="79"/>
      <c r="AK292" s="79">
        <v>0</v>
      </c>
      <c r="BB292" s="376" t="s">
        <v>1</v>
      </c>
      <c r="BM292" s="75">
        <f t="shared" si="38"/>
        <v>0</v>
      </c>
      <c r="BN292" s="75">
        <f t="shared" si="39"/>
        <v>0</v>
      </c>
      <c r="BO292" s="75">
        <f t="shared" si="40"/>
        <v>0</v>
      </c>
      <c r="BP292" s="75">
        <f t="shared" si="41"/>
        <v>0</v>
      </c>
    </row>
    <row r="293" spans="1:68" ht="27" hidden="1" customHeight="1" x14ac:dyDescent="0.25">
      <c r="A293" s="60" t="s">
        <v>490</v>
      </c>
      <c r="B293" s="60" t="s">
        <v>491</v>
      </c>
      <c r="C293" s="34">
        <v>4301011721</v>
      </c>
      <c r="D293" s="626">
        <v>4680115884175</v>
      </c>
      <c r="E293" s="627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119</v>
      </c>
      <c r="L293" s="35"/>
      <c r="M293" s="36" t="s">
        <v>120</v>
      </c>
      <c r="N293" s="36"/>
      <c r="O293" s="35">
        <v>55</v>
      </c>
      <c r="P293" s="9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0"/>
      <c r="R293" s="620"/>
      <c r="S293" s="620"/>
      <c r="T293" s="621"/>
      <c r="U293" s="37"/>
      <c r="V293" s="37"/>
      <c r="W293" s="38" t="s">
        <v>66</v>
      </c>
      <c r="X293" s="56">
        <v>0</v>
      </c>
      <c r="Y293" s="53">
        <f t="shared" si="37"/>
        <v>0</v>
      </c>
      <c r="Z293" s="39" t="str">
        <f>IFERROR(IF(Y293=0,"",ROUNDUP(Y293/H293,0)*0.01898),"")</f>
        <v/>
      </c>
      <c r="AA293" s="65"/>
      <c r="AB293" s="66"/>
      <c r="AC293" s="377" t="s">
        <v>344</v>
      </c>
      <c r="AG293" s="75"/>
      <c r="AJ293" s="79"/>
      <c r="AK293" s="79">
        <v>0</v>
      </c>
      <c r="BB293" s="378" t="s">
        <v>1</v>
      </c>
      <c r="BM293" s="75">
        <f t="shared" si="38"/>
        <v>0</v>
      </c>
      <c r="BN293" s="75">
        <f t="shared" si="39"/>
        <v>0</v>
      </c>
      <c r="BO293" s="75">
        <f t="shared" si="40"/>
        <v>0</v>
      </c>
      <c r="BP293" s="75">
        <f t="shared" si="41"/>
        <v>0</v>
      </c>
    </row>
    <row r="294" spans="1:68" ht="27" hidden="1" customHeight="1" x14ac:dyDescent="0.25">
      <c r="A294" s="60" t="s">
        <v>492</v>
      </c>
      <c r="B294" s="60" t="s">
        <v>493</v>
      </c>
      <c r="C294" s="34">
        <v>4301011824</v>
      </c>
      <c r="D294" s="626">
        <v>4680115884144</v>
      </c>
      <c r="E294" s="627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128</v>
      </c>
      <c r="L294" s="35"/>
      <c r="M294" s="36" t="s">
        <v>120</v>
      </c>
      <c r="N294" s="36"/>
      <c r="O294" s="35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0"/>
      <c r="R294" s="620"/>
      <c r="S294" s="620"/>
      <c r="T294" s="621"/>
      <c r="U294" s="37"/>
      <c r="V294" s="37"/>
      <c r="W294" s="38" t="s">
        <v>66</v>
      </c>
      <c r="X294" s="56">
        <v>0</v>
      </c>
      <c r="Y294" s="53">
        <f t="shared" si="37"/>
        <v>0</v>
      </c>
      <c r="Z294" s="39" t="str">
        <f>IFERROR(IF(Y294=0,"",ROUNDUP(Y294/H294,0)*0.00902),"")</f>
        <v/>
      </c>
      <c r="AA294" s="65"/>
      <c r="AB294" s="66"/>
      <c r="AC294" s="379" t="s">
        <v>486</v>
      </c>
      <c r="AG294" s="75"/>
      <c r="AJ294" s="79"/>
      <c r="AK294" s="79">
        <v>0</v>
      </c>
      <c r="BB294" s="380" t="s">
        <v>1</v>
      </c>
      <c r="BM294" s="75">
        <f t="shared" si="38"/>
        <v>0</v>
      </c>
      <c r="BN294" s="75">
        <f t="shared" si="39"/>
        <v>0</v>
      </c>
      <c r="BO294" s="75">
        <f t="shared" si="40"/>
        <v>0</v>
      </c>
      <c r="BP294" s="75">
        <f t="shared" si="41"/>
        <v>0</v>
      </c>
    </row>
    <row r="295" spans="1:68" ht="27" hidden="1" customHeight="1" x14ac:dyDescent="0.25">
      <c r="A295" s="60" t="s">
        <v>494</v>
      </c>
      <c r="B295" s="60" t="s">
        <v>495</v>
      </c>
      <c r="C295" s="34">
        <v>4301012149</v>
      </c>
      <c r="D295" s="626">
        <v>4680115886551</v>
      </c>
      <c r="E295" s="627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128</v>
      </c>
      <c r="L295" s="35"/>
      <c r="M295" s="36" t="s">
        <v>120</v>
      </c>
      <c r="N295" s="36"/>
      <c r="O295" s="35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0"/>
      <c r="R295" s="620"/>
      <c r="S295" s="620"/>
      <c r="T295" s="621"/>
      <c r="U295" s="37"/>
      <c r="V295" s="37"/>
      <c r="W295" s="38" t="s">
        <v>66</v>
      </c>
      <c r="X295" s="56">
        <v>0</v>
      </c>
      <c r="Y295" s="53">
        <f t="shared" si="37"/>
        <v>0</v>
      </c>
      <c r="Z295" s="39" t="str">
        <f>IFERROR(IF(Y295=0,"",ROUNDUP(Y295/H295,0)*0.00902),"")</f>
        <v/>
      </c>
      <c r="AA295" s="65"/>
      <c r="AB295" s="66"/>
      <c r="AC295" s="381" t="s">
        <v>496</v>
      </c>
      <c r="AG295" s="75"/>
      <c r="AJ295" s="79"/>
      <c r="AK295" s="79">
        <v>0</v>
      </c>
      <c r="BB295" s="382" t="s">
        <v>1</v>
      </c>
      <c r="BM295" s="75">
        <f t="shared" si="38"/>
        <v>0</v>
      </c>
      <c r="BN295" s="75">
        <f t="shared" si="39"/>
        <v>0</v>
      </c>
      <c r="BO295" s="75">
        <f t="shared" si="40"/>
        <v>0</v>
      </c>
      <c r="BP295" s="75">
        <f t="shared" si="41"/>
        <v>0</v>
      </c>
    </row>
    <row r="296" spans="1:68" ht="27" hidden="1" customHeight="1" x14ac:dyDescent="0.25">
      <c r="A296" s="60" t="s">
        <v>497</v>
      </c>
      <c r="B296" s="60" t="s">
        <v>498</v>
      </c>
      <c r="C296" s="34">
        <v>4301012228</v>
      </c>
      <c r="D296" s="626">
        <v>4680115887282</v>
      </c>
      <c r="E296" s="627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76</v>
      </c>
      <c r="L296" s="35"/>
      <c r="M296" s="36" t="s">
        <v>120</v>
      </c>
      <c r="N296" s="36"/>
      <c r="O296" s="35">
        <v>55</v>
      </c>
      <c r="P296" s="80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0"/>
      <c r="R296" s="620"/>
      <c r="S296" s="620"/>
      <c r="T296" s="621"/>
      <c r="U296" s="37"/>
      <c r="V296" s="37"/>
      <c r="W296" s="38" t="s">
        <v>66</v>
      </c>
      <c r="X296" s="56">
        <v>0</v>
      </c>
      <c r="Y296" s="53">
        <f t="shared" si="37"/>
        <v>0</v>
      </c>
      <c r="Z296" s="39" t="str">
        <f>IFERROR(IF(Y296=0,"",ROUNDUP(Y296/H296,0)*0.00651),"")</f>
        <v/>
      </c>
      <c r="AA296" s="65"/>
      <c r="AB296" s="66"/>
      <c r="AC296" s="383" t="s">
        <v>499</v>
      </c>
      <c r="AG296" s="75"/>
      <c r="AJ296" s="79"/>
      <c r="AK296" s="79">
        <v>0</v>
      </c>
      <c r="BB296" s="384" t="s">
        <v>1</v>
      </c>
      <c r="BM296" s="75">
        <f t="shared" si="38"/>
        <v>0</v>
      </c>
      <c r="BN296" s="75">
        <f t="shared" si="39"/>
        <v>0</v>
      </c>
      <c r="BO296" s="75">
        <f t="shared" si="40"/>
        <v>0</v>
      </c>
      <c r="BP296" s="75">
        <f t="shared" si="41"/>
        <v>0</v>
      </c>
    </row>
    <row r="297" spans="1:68" ht="27" hidden="1" customHeight="1" x14ac:dyDescent="0.25">
      <c r="A297" s="60" t="s">
        <v>500</v>
      </c>
      <c r="B297" s="60" t="s">
        <v>501</v>
      </c>
      <c r="C297" s="34">
        <v>4301011722</v>
      </c>
      <c r="D297" s="626">
        <v>4680115884205</v>
      </c>
      <c r="E297" s="627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128</v>
      </c>
      <c r="L297" s="35"/>
      <c r="M297" s="36" t="s">
        <v>120</v>
      </c>
      <c r="N297" s="36"/>
      <c r="O297" s="35">
        <v>55</v>
      </c>
      <c r="P297" s="9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0"/>
      <c r="R297" s="620"/>
      <c r="S297" s="620"/>
      <c r="T297" s="621"/>
      <c r="U297" s="37"/>
      <c r="V297" s="37"/>
      <c r="W297" s="38" t="s">
        <v>66</v>
      </c>
      <c r="X297" s="56">
        <v>0</v>
      </c>
      <c r="Y297" s="53">
        <f t="shared" si="37"/>
        <v>0</v>
      </c>
      <c r="Z297" s="39" t="str">
        <f>IFERROR(IF(Y297=0,"",ROUNDUP(Y297/H297,0)*0.00902),"")</f>
        <v/>
      </c>
      <c r="AA297" s="65"/>
      <c r="AB297" s="66"/>
      <c r="AC297" s="385" t="s">
        <v>344</v>
      </c>
      <c r="AG297" s="75"/>
      <c r="AJ297" s="79"/>
      <c r="AK297" s="79">
        <v>0</v>
      </c>
      <c r="BB297" s="386" t="s">
        <v>1</v>
      </c>
      <c r="BM297" s="75">
        <f t="shared" si="38"/>
        <v>0</v>
      </c>
      <c r="BN297" s="75">
        <f t="shared" si="39"/>
        <v>0</v>
      </c>
      <c r="BO297" s="75">
        <f t="shared" si="40"/>
        <v>0</v>
      </c>
      <c r="BP297" s="75">
        <f t="shared" si="41"/>
        <v>0</v>
      </c>
    </row>
    <row r="298" spans="1:68" hidden="1" x14ac:dyDescent="0.2">
      <c r="A298" s="623"/>
      <c r="B298" s="624"/>
      <c r="C298" s="624"/>
      <c r="D298" s="624"/>
      <c r="E298" s="624"/>
      <c r="F298" s="624"/>
      <c r="G298" s="624"/>
      <c r="H298" s="624"/>
      <c r="I298" s="624"/>
      <c r="J298" s="624"/>
      <c r="K298" s="624"/>
      <c r="L298" s="624"/>
      <c r="M298" s="624"/>
      <c r="N298" s="624"/>
      <c r="O298" s="625"/>
      <c r="P298" s="631" t="s">
        <v>71</v>
      </c>
      <c r="Q298" s="632"/>
      <c r="R298" s="632"/>
      <c r="S298" s="632"/>
      <c r="T298" s="632"/>
      <c r="U298" s="632"/>
      <c r="V298" s="633"/>
      <c r="W298" s="40" t="s">
        <v>72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624"/>
      <c r="B299" s="624"/>
      <c r="C299" s="624"/>
      <c r="D299" s="624"/>
      <c r="E299" s="624"/>
      <c r="F299" s="624"/>
      <c r="G299" s="624"/>
      <c r="H299" s="624"/>
      <c r="I299" s="624"/>
      <c r="J299" s="624"/>
      <c r="K299" s="624"/>
      <c r="L299" s="624"/>
      <c r="M299" s="624"/>
      <c r="N299" s="624"/>
      <c r="O299" s="625"/>
      <c r="P299" s="631" t="s">
        <v>71</v>
      </c>
      <c r="Q299" s="632"/>
      <c r="R299" s="632"/>
      <c r="S299" s="632"/>
      <c r="T299" s="632"/>
      <c r="U299" s="632"/>
      <c r="V299" s="633"/>
      <c r="W299" s="40" t="s">
        <v>66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28" t="s">
        <v>152</v>
      </c>
      <c r="B300" s="624"/>
      <c r="C300" s="624"/>
      <c r="D300" s="624"/>
      <c r="E300" s="624"/>
      <c r="F300" s="624"/>
      <c r="G300" s="624"/>
      <c r="H300" s="624"/>
      <c r="I300" s="624"/>
      <c r="J300" s="624"/>
      <c r="K300" s="624"/>
      <c r="L300" s="624"/>
      <c r="M300" s="624"/>
      <c r="N300" s="624"/>
      <c r="O300" s="624"/>
      <c r="P300" s="624"/>
      <c r="Q300" s="624"/>
      <c r="R300" s="624"/>
      <c r="S300" s="624"/>
      <c r="T300" s="624"/>
      <c r="U300" s="624"/>
      <c r="V300" s="624"/>
      <c r="W300" s="624"/>
      <c r="X300" s="624"/>
      <c r="Y300" s="624"/>
      <c r="Z300" s="624"/>
      <c r="AA300" s="63"/>
      <c r="AB300" s="63"/>
      <c r="AC300" s="63"/>
    </row>
    <row r="301" spans="1:68" ht="27" hidden="1" customHeight="1" x14ac:dyDescent="0.25">
      <c r="A301" s="60" t="s">
        <v>502</v>
      </c>
      <c r="B301" s="60" t="s">
        <v>503</v>
      </c>
      <c r="C301" s="34">
        <v>4301020377</v>
      </c>
      <c r="D301" s="626">
        <v>4680115885981</v>
      </c>
      <c r="E301" s="627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64</v>
      </c>
      <c r="L301" s="35"/>
      <c r="M301" s="36" t="s">
        <v>77</v>
      </c>
      <c r="N301" s="36"/>
      <c r="O301" s="35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0"/>
      <c r="R301" s="620"/>
      <c r="S301" s="620"/>
      <c r="T301" s="621"/>
      <c r="U301" s="37"/>
      <c r="V301" s="37"/>
      <c r="W301" s="38" t="s">
        <v>66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/>
      <c r="AB301" s="66"/>
      <c r="AC301" s="387" t="s">
        <v>504</v>
      </c>
      <c r="AG301" s="75"/>
      <c r="AJ301" s="79"/>
      <c r="AK301" s="79">
        <v>0</v>
      </c>
      <c r="BB301" s="388" t="s">
        <v>1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23"/>
      <c r="B302" s="624"/>
      <c r="C302" s="624"/>
      <c r="D302" s="624"/>
      <c r="E302" s="624"/>
      <c r="F302" s="624"/>
      <c r="G302" s="624"/>
      <c r="H302" s="624"/>
      <c r="I302" s="624"/>
      <c r="J302" s="624"/>
      <c r="K302" s="624"/>
      <c r="L302" s="624"/>
      <c r="M302" s="624"/>
      <c r="N302" s="624"/>
      <c r="O302" s="625"/>
      <c r="P302" s="631" t="s">
        <v>71</v>
      </c>
      <c r="Q302" s="632"/>
      <c r="R302" s="632"/>
      <c r="S302" s="632"/>
      <c r="T302" s="632"/>
      <c r="U302" s="632"/>
      <c r="V302" s="633"/>
      <c r="W302" s="40" t="s">
        <v>72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24"/>
      <c r="B303" s="624"/>
      <c r="C303" s="624"/>
      <c r="D303" s="624"/>
      <c r="E303" s="624"/>
      <c r="F303" s="624"/>
      <c r="G303" s="624"/>
      <c r="H303" s="624"/>
      <c r="I303" s="624"/>
      <c r="J303" s="624"/>
      <c r="K303" s="624"/>
      <c r="L303" s="624"/>
      <c r="M303" s="624"/>
      <c r="N303" s="624"/>
      <c r="O303" s="625"/>
      <c r="P303" s="631" t="s">
        <v>71</v>
      </c>
      <c r="Q303" s="632"/>
      <c r="R303" s="632"/>
      <c r="S303" s="632"/>
      <c r="T303" s="632"/>
      <c r="U303" s="632"/>
      <c r="V303" s="633"/>
      <c r="W303" s="40" t="s">
        <v>66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28" t="s">
        <v>505</v>
      </c>
      <c r="B304" s="624"/>
      <c r="C304" s="624"/>
      <c r="D304" s="624"/>
      <c r="E304" s="624"/>
      <c r="F304" s="624"/>
      <c r="G304" s="624"/>
      <c r="H304" s="624"/>
      <c r="I304" s="624"/>
      <c r="J304" s="624"/>
      <c r="K304" s="624"/>
      <c r="L304" s="624"/>
      <c r="M304" s="624"/>
      <c r="N304" s="624"/>
      <c r="O304" s="624"/>
      <c r="P304" s="624"/>
      <c r="Q304" s="624"/>
      <c r="R304" s="624"/>
      <c r="S304" s="624"/>
      <c r="T304" s="624"/>
      <c r="U304" s="624"/>
      <c r="V304" s="624"/>
      <c r="W304" s="624"/>
      <c r="X304" s="624"/>
      <c r="Y304" s="624"/>
      <c r="Z304" s="624"/>
      <c r="AA304" s="63"/>
      <c r="AB304" s="63"/>
      <c r="AC304" s="63"/>
    </row>
    <row r="305" spans="1:68" ht="27" hidden="1" customHeight="1" x14ac:dyDescent="0.25">
      <c r="A305" s="60" t="s">
        <v>506</v>
      </c>
      <c r="B305" s="60" t="s">
        <v>507</v>
      </c>
      <c r="C305" s="34">
        <v>4301040362</v>
      </c>
      <c r="D305" s="626">
        <v>4680115886803</v>
      </c>
      <c r="E305" s="627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316</v>
      </c>
      <c r="L305" s="35"/>
      <c r="M305" s="36" t="s">
        <v>317</v>
      </c>
      <c r="N305" s="36"/>
      <c r="O305" s="35">
        <v>45</v>
      </c>
      <c r="P305" s="7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0"/>
      <c r="R305" s="620"/>
      <c r="S305" s="620"/>
      <c r="T305" s="621"/>
      <c r="U305" s="37"/>
      <c r="V305" s="37"/>
      <c r="W305" s="38" t="s">
        <v>66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/>
      <c r="AB305" s="66"/>
      <c r="AC305" s="389" t="s">
        <v>508</v>
      </c>
      <c r="AG305" s="75"/>
      <c r="AJ305" s="79"/>
      <c r="AK305" s="79">
        <v>0</v>
      </c>
      <c r="BB305" s="390" t="s">
        <v>1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623"/>
      <c r="B306" s="624"/>
      <c r="C306" s="624"/>
      <c r="D306" s="624"/>
      <c r="E306" s="624"/>
      <c r="F306" s="624"/>
      <c r="G306" s="624"/>
      <c r="H306" s="624"/>
      <c r="I306" s="624"/>
      <c r="J306" s="624"/>
      <c r="K306" s="624"/>
      <c r="L306" s="624"/>
      <c r="M306" s="624"/>
      <c r="N306" s="624"/>
      <c r="O306" s="625"/>
      <c r="P306" s="631" t="s">
        <v>71</v>
      </c>
      <c r="Q306" s="632"/>
      <c r="R306" s="632"/>
      <c r="S306" s="632"/>
      <c r="T306" s="632"/>
      <c r="U306" s="632"/>
      <c r="V306" s="633"/>
      <c r="W306" s="40" t="s">
        <v>72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624"/>
      <c r="B307" s="624"/>
      <c r="C307" s="624"/>
      <c r="D307" s="624"/>
      <c r="E307" s="624"/>
      <c r="F307" s="624"/>
      <c r="G307" s="624"/>
      <c r="H307" s="624"/>
      <c r="I307" s="624"/>
      <c r="J307" s="624"/>
      <c r="K307" s="624"/>
      <c r="L307" s="624"/>
      <c r="M307" s="624"/>
      <c r="N307" s="624"/>
      <c r="O307" s="625"/>
      <c r="P307" s="631" t="s">
        <v>71</v>
      </c>
      <c r="Q307" s="632"/>
      <c r="R307" s="632"/>
      <c r="S307" s="632"/>
      <c r="T307" s="632"/>
      <c r="U307" s="632"/>
      <c r="V307" s="633"/>
      <c r="W307" s="40" t="s">
        <v>66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28" t="s">
        <v>322</v>
      </c>
      <c r="B308" s="624"/>
      <c r="C308" s="624"/>
      <c r="D308" s="624"/>
      <c r="E308" s="624"/>
      <c r="F308" s="624"/>
      <c r="G308" s="624"/>
      <c r="H308" s="624"/>
      <c r="I308" s="624"/>
      <c r="J308" s="624"/>
      <c r="K308" s="624"/>
      <c r="L308" s="624"/>
      <c r="M308" s="624"/>
      <c r="N308" s="624"/>
      <c r="O308" s="624"/>
      <c r="P308" s="624"/>
      <c r="Q308" s="624"/>
      <c r="R308" s="624"/>
      <c r="S308" s="624"/>
      <c r="T308" s="624"/>
      <c r="U308" s="624"/>
      <c r="V308" s="624"/>
      <c r="W308" s="624"/>
      <c r="X308" s="624"/>
      <c r="Y308" s="624"/>
      <c r="Z308" s="624"/>
      <c r="AA308" s="63"/>
      <c r="AB308" s="63"/>
      <c r="AC308" s="63"/>
    </row>
    <row r="309" spans="1:68" ht="27" hidden="1" customHeight="1" x14ac:dyDescent="0.25">
      <c r="A309" s="60" t="s">
        <v>509</v>
      </c>
      <c r="B309" s="60" t="s">
        <v>510</v>
      </c>
      <c r="C309" s="34">
        <v>4301041004</v>
      </c>
      <c r="D309" s="626">
        <v>4680115886704</v>
      </c>
      <c r="E309" s="627"/>
      <c r="F309" s="59">
        <v>5.5E-2</v>
      </c>
      <c r="G309" s="35">
        <v>18</v>
      </c>
      <c r="H309" s="59">
        <v>0.99</v>
      </c>
      <c r="I309" s="59">
        <v>1.18</v>
      </c>
      <c r="J309" s="35">
        <v>216</v>
      </c>
      <c r="K309" s="35" t="s">
        <v>316</v>
      </c>
      <c r="L309" s="35"/>
      <c r="M309" s="36" t="s">
        <v>317</v>
      </c>
      <c r="N309" s="36"/>
      <c r="O309" s="35">
        <v>90</v>
      </c>
      <c r="P309" s="8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0"/>
      <c r="R309" s="620"/>
      <c r="S309" s="620"/>
      <c r="T309" s="621"/>
      <c r="U309" s="37"/>
      <c r="V309" s="37"/>
      <c r="W309" s="38" t="s">
        <v>66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/>
      <c r="AB309" s="66"/>
      <c r="AC309" s="391" t="s">
        <v>511</v>
      </c>
      <c r="AG309" s="75"/>
      <c r="AJ309" s="79"/>
      <c r="AK309" s="79">
        <v>0</v>
      </c>
      <c r="BB309" s="392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512</v>
      </c>
      <c r="B310" s="60" t="s">
        <v>513</v>
      </c>
      <c r="C310" s="34">
        <v>4301041008</v>
      </c>
      <c r="D310" s="626">
        <v>4680115886681</v>
      </c>
      <c r="E310" s="627"/>
      <c r="F310" s="59">
        <v>0.12</v>
      </c>
      <c r="G310" s="35">
        <v>15</v>
      </c>
      <c r="H310" s="59">
        <v>1.8</v>
      </c>
      <c r="I310" s="59">
        <v>1.9750000000000001</v>
      </c>
      <c r="J310" s="35">
        <v>216</v>
      </c>
      <c r="K310" s="35" t="s">
        <v>316</v>
      </c>
      <c r="L310" s="35"/>
      <c r="M310" s="36" t="s">
        <v>317</v>
      </c>
      <c r="N310" s="36"/>
      <c r="O310" s="35">
        <v>90</v>
      </c>
      <c r="P310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0"/>
      <c r="R310" s="620"/>
      <c r="S310" s="620"/>
      <c r="T310" s="621"/>
      <c r="U310" s="37"/>
      <c r="V310" s="37"/>
      <c r="W310" s="38" t="s">
        <v>66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/>
      <c r="AB310" s="66"/>
      <c r="AC310" s="393" t="s">
        <v>511</v>
      </c>
      <c r="AG310" s="75"/>
      <c r="AJ310" s="79"/>
      <c r="AK310" s="79">
        <v>0</v>
      </c>
      <c r="BB310" s="394" t="s">
        <v>1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514</v>
      </c>
      <c r="B311" s="60" t="s">
        <v>515</v>
      </c>
      <c r="C311" s="34">
        <v>4301041007</v>
      </c>
      <c r="D311" s="626">
        <v>4680115886735</v>
      </c>
      <c r="E311" s="627"/>
      <c r="F311" s="59">
        <v>0.05</v>
      </c>
      <c r="G311" s="35">
        <v>18</v>
      </c>
      <c r="H311" s="59">
        <v>0.9</v>
      </c>
      <c r="I311" s="59">
        <v>1.0900000000000001</v>
      </c>
      <c r="J311" s="35">
        <v>216</v>
      </c>
      <c r="K311" s="35" t="s">
        <v>316</v>
      </c>
      <c r="L311" s="35"/>
      <c r="M311" s="36" t="s">
        <v>317</v>
      </c>
      <c r="N311" s="36"/>
      <c r="O311" s="35">
        <v>90</v>
      </c>
      <c r="P311" s="80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0"/>
      <c r="R311" s="620"/>
      <c r="S311" s="620"/>
      <c r="T311" s="621"/>
      <c r="U311" s="37"/>
      <c r="V311" s="37"/>
      <c r="W311" s="38" t="s">
        <v>66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/>
      <c r="AB311" s="66"/>
      <c r="AC311" s="395" t="s">
        <v>511</v>
      </c>
      <c r="AG311" s="75"/>
      <c r="AJ311" s="79"/>
      <c r="AK311" s="79">
        <v>0</v>
      </c>
      <c r="BB311" s="396" t="s">
        <v>1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23"/>
      <c r="B312" s="624"/>
      <c r="C312" s="624"/>
      <c r="D312" s="624"/>
      <c r="E312" s="624"/>
      <c r="F312" s="624"/>
      <c r="G312" s="624"/>
      <c r="H312" s="624"/>
      <c r="I312" s="624"/>
      <c r="J312" s="624"/>
      <c r="K312" s="624"/>
      <c r="L312" s="624"/>
      <c r="M312" s="624"/>
      <c r="N312" s="624"/>
      <c r="O312" s="625"/>
      <c r="P312" s="631" t="s">
        <v>71</v>
      </c>
      <c r="Q312" s="632"/>
      <c r="R312" s="632"/>
      <c r="S312" s="632"/>
      <c r="T312" s="632"/>
      <c r="U312" s="632"/>
      <c r="V312" s="633"/>
      <c r="W312" s="40" t="s">
        <v>72</v>
      </c>
      <c r="X312" s="41">
        <f>IFERROR(X309/H309,"0")+IFERROR(X310/H310,"0")+IFERROR(X311/H311,"0")</f>
        <v>0</v>
      </c>
      <c r="Y312" s="41">
        <f>IFERROR(Y309/H309,"0")+IFERROR(Y310/H310,"0")+IFERROR(Y311/H311,"0")</f>
        <v>0</v>
      </c>
      <c r="Z312" s="41">
        <f>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624"/>
      <c r="B313" s="624"/>
      <c r="C313" s="624"/>
      <c r="D313" s="624"/>
      <c r="E313" s="624"/>
      <c r="F313" s="624"/>
      <c r="G313" s="624"/>
      <c r="H313" s="624"/>
      <c r="I313" s="624"/>
      <c r="J313" s="624"/>
      <c r="K313" s="624"/>
      <c r="L313" s="624"/>
      <c r="M313" s="624"/>
      <c r="N313" s="624"/>
      <c r="O313" s="625"/>
      <c r="P313" s="631" t="s">
        <v>71</v>
      </c>
      <c r="Q313" s="632"/>
      <c r="R313" s="632"/>
      <c r="S313" s="632"/>
      <c r="T313" s="632"/>
      <c r="U313" s="632"/>
      <c r="V313" s="633"/>
      <c r="W313" s="40" t="s">
        <v>66</v>
      </c>
      <c r="X313" s="41">
        <f>IFERROR(SUM(X309:X311),"0")</f>
        <v>0</v>
      </c>
      <c r="Y313" s="41">
        <f>IFERROR(SUM(Y309:Y311),"0")</f>
        <v>0</v>
      </c>
      <c r="Z313" s="40"/>
      <c r="AA313" s="64"/>
      <c r="AB313" s="64"/>
      <c r="AC313" s="64"/>
    </row>
    <row r="314" spans="1:68" ht="16.5" hidden="1" customHeight="1" x14ac:dyDescent="0.25">
      <c r="A314" s="639" t="s">
        <v>516</v>
      </c>
      <c r="B314" s="624"/>
      <c r="C314" s="624"/>
      <c r="D314" s="624"/>
      <c r="E314" s="624"/>
      <c r="F314" s="624"/>
      <c r="G314" s="624"/>
      <c r="H314" s="624"/>
      <c r="I314" s="624"/>
      <c r="J314" s="624"/>
      <c r="K314" s="624"/>
      <c r="L314" s="624"/>
      <c r="M314" s="624"/>
      <c r="N314" s="624"/>
      <c r="O314" s="624"/>
      <c r="P314" s="624"/>
      <c r="Q314" s="624"/>
      <c r="R314" s="624"/>
      <c r="S314" s="624"/>
      <c r="T314" s="624"/>
      <c r="U314" s="624"/>
      <c r="V314" s="624"/>
      <c r="W314" s="624"/>
      <c r="X314" s="624"/>
      <c r="Y314" s="624"/>
      <c r="Z314" s="624"/>
      <c r="AA314" s="62"/>
      <c r="AB314" s="62"/>
      <c r="AC314" s="62"/>
    </row>
    <row r="315" spans="1:68" ht="14.25" hidden="1" customHeight="1" x14ac:dyDescent="0.25">
      <c r="A315" s="628" t="s">
        <v>116</v>
      </c>
      <c r="B315" s="624"/>
      <c r="C315" s="624"/>
      <c r="D315" s="624"/>
      <c r="E315" s="624"/>
      <c r="F315" s="624"/>
      <c r="G315" s="624"/>
      <c r="H315" s="624"/>
      <c r="I315" s="624"/>
      <c r="J315" s="624"/>
      <c r="K315" s="624"/>
      <c r="L315" s="624"/>
      <c r="M315" s="624"/>
      <c r="N315" s="624"/>
      <c r="O315" s="624"/>
      <c r="P315" s="624"/>
      <c r="Q315" s="624"/>
      <c r="R315" s="624"/>
      <c r="S315" s="624"/>
      <c r="T315" s="624"/>
      <c r="U315" s="624"/>
      <c r="V315" s="624"/>
      <c r="W315" s="624"/>
      <c r="X315" s="624"/>
      <c r="Y315" s="624"/>
      <c r="Z315" s="624"/>
      <c r="AA315" s="63"/>
      <c r="AB315" s="63"/>
      <c r="AC315" s="63"/>
    </row>
    <row r="316" spans="1:68" ht="27" hidden="1" customHeight="1" x14ac:dyDescent="0.25">
      <c r="A316" s="60" t="s">
        <v>517</v>
      </c>
      <c r="B316" s="60" t="s">
        <v>518</v>
      </c>
      <c r="C316" s="34">
        <v>4301011855</v>
      </c>
      <c r="D316" s="626">
        <v>4680115885837</v>
      </c>
      <c r="E316" s="627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119</v>
      </c>
      <c r="L316" s="35"/>
      <c r="M316" s="36" t="s">
        <v>120</v>
      </c>
      <c r="N316" s="36"/>
      <c r="O316" s="35">
        <v>55</v>
      </c>
      <c r="P316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0"/>
      <c r="R316" s="620"/>
      <c r="S316" s="620"/>
      <c r="T316" s="621"/>
      <c r="U316" s="37"/>
      <c r="V316" s="37"/>
      <c r="W316" s="38" t="s">
        <v>66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/>
      <c r="AB316" s="66"/>
      <c r="AC316" s="397" t="s">
        <v>519</v>
      </c>
      <c r="AG316" s="75"/>
      <c r="AJ316" s="79"/>
      <c r="AK316" s="79">
        <v>0</v>
      </c>
      <c r="BB316" s="398" t="s">
        <v>1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37.5" hidden="1" customHeight="1" x14ac:dyDescent="0.25">
      <c r="A317" s="60" t="s">
        <v>520</v>
      </c>
      <c r="B317" s="60" t="s">
        <v>521</v>
      </c>
      <c r="C317" s="34">
        <v>4301012234</v>
      </c>
      <c r="D317" s="626">
        <v>4680115887237</v>
      </c>
      <c r="E317" s="627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119</v>
      </c>
      <c r="L317" s="35"/>
      <c r="M317" s="36" t="s">
        <v>120</v>
      </c>
      <c r="N317" s="36"/>
      <c r="O317" s="35">
        <v>55</v>
      </c>
      <c r="P317" s="93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0"/>
      <c r="R317" s="620"/>
      <c r="S317" s="620"/>
      <c r="T317" s="621"/>
      <c r="U317" s="37"/>
      <c r="V317" s="37"/>
      <c r="W317" s="38" t="s">
        <v>66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/>
      <c r="AB317" s="66"/>
      <c r="AC317" s="399" t="s">
        <v>522</v>
      </c>
      <c r="AG317" s="75"/>
      <c r="AJ317" s="79"/>
      <c r="AK317" s="79">
        <v>0</v>
      </c>
      <c r="BB317" s="400" t="s">
        <v>1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523</v>
      </c>
      <c r="B318" s="60" t="s">
        <v>524</v>
      </c>
      <c r="C318" s="34">
        <v>4301011850</v>
      </c>
      <c r="D318" s="626">
        <v>4680115885806</v>
      </c>
      <c r="E318" s="627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119</v>
      </c>
      <c r="L318" s="35"/>
      <c r="M318" s="36" t="s">
        <v>120</v>
      </c>
      <c r="N318" s="36"/>
      <c r="O318" s="35">
        <v>55</v>
      </c>
      <c r="P318" s="8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0"/>
      <c r="R318" s="620"/>
      <c r="S318" s="620"/>
      <c r="T318" s="621"/>
      <c r="U318" s="37"/>
      <c r="V318" s="37"/>
      <c r="W318" s="38" t="s">
        <v>66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IFERROR(IF(Y318=0,"",ROUNDUP(Y318/H318,0)*0.01898),"")</f>
        <v/>
      </c>
      <c r="AA318" s="65"/>
      <c r="AB318" s="66"/>
      <c r="AC318" s="401" t="s">
        <v>525</v>
      </c>
      <c r="AG318" s="75"/>
      <c r="AJ318" s="79"/>
      <c r="AK318" s="79">
        <v>0</v>
      </c>
      <c r="BB318" s="402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526</v>
      </c>
      <c r="B319" s="60" t="s">
        <v>527</v>
      </c>
      <c r="C319" s="34">
        <v>4301011852</v>
      </c>
      <c r="D319" s="626">
        <v>4680115885844</v>
      </c>
      <c r="E319" s="627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128</v>
      </c>
      <c r="L319" s="35"/>
      <c r="M319" s="36" t="s">
        <v>120</v>
      </c>
      <c r="N319" s="36"/>
      <c r="O319" s="35">
        <v>55</v>
      </c>
      <c r="P319" s="9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0"/>
      <c r="R319" s="620"/>
      <c r="S319" s="620"/>
      <c r="T319" s="621"/>
      <c r="U319" s="37"/>
      <c r="V319" s="37"/>
      <c r="W319" s="38" t="s">
        <v>66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IFERROR(IF(Y319=0,"",ROUNDUP(Y319/H319,0)*0.00902),"")</f>
        <v/>
      </c>
      <c r="AA319" s="65"/>
      <c r="AB319" s="66"/>
      <c r="AC319" s="403" t="s">
        <v>528</v>
      </c>
      <c r="AG319" s="75"/>
      <c r="AJ319" s="79"/>
      <c r="AK319" s="79">
        <v>0</v>
      </c>
      <c r="BB319" s="404" t="s">
        <v>1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37.5" hidden="1" customHeight="1" x14ac:dyDescent="0.25">
      <c r="A320" s="60" t="s">
        <v>529</v>
      </c>
      <c r="B320" s="60" t="s">
        <v>530</v>
      </c>
      <c r="C320" s="34">
        <v>4301011851</v>
      </c>
      <c r="D320" s="626">
        <v>4680115885820</v>
      </c>
      <c r="E320" s="627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128</v>
      </c>
      <c r="L320" s="35"/>
      <c r="M320" s="36" t="s">
        <v>120</v>
      </c>
      <c r="N320" s="36"/>
      <c r="O320" s="35">
        <v>55</v>
      </c>
      <c r="P320" s="8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0"/>
      <c r="R320" s="620"/>
      <c r="S320" s="620"/>
      <c r="T320" s="621"/>
      <c r="U320" s="37"/>
      <c r="V320" s="37"/>
      <c r="W320" s="38" t="s">
        <v>66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IFERROR(IF(Y320=0,"",ROUNDUP(Y320/H320,0)*0.00902),"")</f>
        <v/>
      </c>
      <c r="AA320" s="65"/>
      <c r="AB320" s="66"/>
      <c r="AC320" s="405" t="s">
        <v>531</v>
      </c>
      <c r="AG320" s="75"/>
      <c r="AJ320" s="79"/>
      <c r="AK320" s="79">
        <v>0</v>
      </c>
      <c r="BB320" s="406" t="s">
        <v>1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23"/>
      <c r="B321" s="624"/>
      <c r="C321" s="624"/>
      <c r="D321" s="624"/>
      <c r="E321" s="624"/>
      <c r="F321" s="624"/>
      <c r="G321" s="624"/>
      <c r="H321" s="624"/>
      <c r="I321" s="624"/>
      <c r="J321" s="624"/>
      <c r="K321" s="624"/>
      <c r="L321" s="624"/>
      <c r="M321" s="624"/>
      <c r="N321" s="624"/>
      <c r="O321" s="625"/>
      <c r="P321" s="631" t="s">
        <v>71</v>
      </c>
      <c r="Q321" s="632"/>
      <c r="R321" s="632"/>
      <c r="S321" s="632"/>
      <c r="T321" s="632"/>
      <c r="U321" s="632"/>
      <c r="V321" s="633"/>
      <c r="W321" s="40" t="s">
        <v>72</v>
      </c>
      <c r="X321" s="41">
        <f>IFERROR(X316/H316,"0")+IFERROR(X317/H317,"0")+IFERROR(X318/H318,"0")+IFERROR(X319/H319,"0")+IFERROR(X320/H320,"0")</f>
        <v>0</v>
      </c>
      <c r="Y321" s="41">
        <f>IFERROR(Y316/H316,"0")+IFERROR(Y317/H317,"0")+IFERROR(Y318/H318,"0")+IFERROR(Y319/H319,"0")+IFERROR(Y320/H320,"0")</f>
        <v>0</v>
      </c>
      <c r="Z321" s="41">
        <f>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24"/>
      <c r="B322" s="624"/>
      <c r="C322" s="624"/>
      <c r="D322" s="624"/>
      <c r="E322" s="624"/>
      <c r="F322" s="624"/>
      <c r="G322" s="624"/>
      <c r="H322" s="624"/>
      <c r="I322" s="624"/>
      <c r="J322" s="624"/>
      <c r="K322" s="624"/>
      <c r="L322" s="624"/>
      <c r="M322" s="624"/>
      <c r="N322" s="624"/>
      <c r="O322" s="625"/>
      <c r="P322" s="631" t="s">
        <v>71</v>
      </c>
      <c r="Q322" s="632"/>
      <c r="R322" s="632"/>
      <c r="S322" s="632"/>
      <c r="T322" s="632"/>
      <c r="U322" s="632"/>
      <c r="V322" s="633"/>
      <c r="W322" s="40" t="s">
        <v>66</v>
      </c>
      <c r="X322" s="41">
        <f>IFERROR(SUM(X316:X320),"0")</f>
        <v>0</v>
      </c>
      <c r="Y322" s="41">
        <f>IFERROR(SUM(Y316:Y320),"0")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39" t="s">
        <v>532</v>
      </c>
      <c r="B323" s="624"/>
      <c r="C323" s="624"/>
      <c r="D323" s="624"/>
      <c r="E323" s="624"/>
      <c r="F323" s="624"/>
      <c r="G323" s="624"/>
      <c r="H323" s="624"/>
      <c r="I323" s="624"/>
      <c r="J323" s="624"/>
      <c r="K323" s="624"/>
      <c r="L323" s="624"/>
      <c r="M323" s="624"/>
      <c r="N323" s="624"/>
      <c r="O323" s="624"/>
      <c r="P323" s="624"/>
      <c r="Q323" s="624"/>
      <c r="R323" s="624"/>
      <c r="S323" s="624"/>
      <c r="T323" s="624"/>
      <c r="U323" s="624"/>
      <c r="V323" s="624"/>
      <c r="W323" s="624"/>
      <c r="X323" s="624"/>
      <c r="Y323" s="624"/>
      <c r="Z323" s="624"/>
      <c r="AA323" s="62"/>
      <c r="AB323" s="62"/>
      <c r="AC323" s="62"/>
    </row>
    <row r="324" spans="1:68" ht="14.25" hidden="1" customHeight="1" x14ac:dyDescent="0.25">
      <c r="A324" s="628" t="s">
        <v>73</v>
      </c>
      <c r="B324" s="624"/>
      <c r="C324" s="624"/>
      <c r="D324" s="624"/>
      <c r="E324" s="624"/>
      <c r="F324" s="624"/>
      <c r="G324" s="624"/>
      <c r="H324" s="624"/>
      <c r="I324" s="624"/>
      <c r="J324" s="624"/>
      <c r="K324" s="624"/>
      <c r="L324" s="624"/>
      <c r="M324" s="624"/>
      <c r="N324" s="624"/>
      <c r="O324" s="624"/>
      <c r="P324" s="624"/>
      <c r="Q324" s="624"/>
      <c r="R324" s="624"/>
      <c r="S324" s="624"/>
      <c r="T324" s="624"/>
      <c r="U324" s="624"/>
      <c r="V324" s="624"/>
      <c r="W324" s="624"/>
      <c r="X324" s="624"/>
      <c r="Y324" s="624"/>
      <c r="Z324" s="624"/>
      <c r="AA324" s="63"/>
      <c r="AB324" s="63"/>
      <c r="AC324" s="63"/>
    </row>
    <row r="325" spans="1:68" ht="27" hidden="1" customHeight="1" x14ac:dyDescent="0.25">
      <c r="A325" s="60" t="s">
        <v>533</v>
      </c>
      <c r="B325" s="60" t="s">
        <v>534</v>
      </c>
      <c r="C325" s="34">
        <v>4301051893</v>
      </c>
      <c r="D325" s="626">
        <v>4680115886186</v>
      </c>
      <c r="E325" s="627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76</v>
      </c>
      <c r="L325" s="35"/>
      <c r="M325" s="36" t="s">
        <v>77</v>
      </c>
      <c r="N325" s="36"/>
      <c r="O325" s="35">
        <v>45</v>
      </c>
      <c r="P325" s="83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0"/>
      <c r="R325" s="620"/>
      <c r="S325" s="620"/>
      <c r="T325" s="621"/>
      <c r="U325" s="37"/>
      <c r="V325" s="37"/>
      <c r="W325" s="38" t="s">
        <v>66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/>
      <c r="AB325" s="66"/>
      <c r="AC325" s="407" t="s">
        <v>535</v>
      </c>
      <c r="AG325" s="75"/>
      <c r="AJ325" s="79"/>
      <c r="AK325" s="79">
        <v>0</v>
      </c>
      <c r="BB325" s="408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536</v>
      </c>
      <c r="B326" s="60" t="s">
        <v>537</v>
      </c>
      <c r="C326" s="34">
        <v>4301051795</v>
      </c>
      <c r="D326" s="626">
        <v>4680115881228</v>
      </c>
      <c r="E326" s="627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76</v>
      </c>
      <c r="L326" s="35"/>
      <c r="M326" s="36" t="s">
        <v>83</v>
      </c>
      <c r="N326" s="36"/>
      <c r="O326" s="35">
        <v>40</v>
      </c>
      <c r="P326" s="6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0"/>
      <c r="R326" s="620"/>
      <c r="S326" s="620"/>
      <c r="T326" s="621"/>
      <c r="U326" s="37"/>
      <c r="V326" s="37"/>
      <c r="W326" s="38" t="s">
        <v>66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/>
      <c r="AB326" s="66"/>
      <c r="AC326" s="409" t="s">
        <v>538</v>
      </c>
      <c r="AG326" s="75"/>
      <c r="AJ326" s="79"/>
      <c r="AK326" s="79">
        <v>0</v>
      </c>
      <c r="BB326" s="410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539</v>
      </c>
      <c r="B327" s="60" t="s">
        <v>540</v>
      </c>
      <c r="C327" s="34">
        <v>4301051388</v>
      </c>
      <c r="D327" s="626">
        <v>4680115881211</v>
      </c>
      <c r="E327" s="627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76</v>
      </c>
      <c r="L327" s="35"/>
      <c r="M327" s="36" t="s">
        <v>77</v>
      </c>
      <c r="N327" s="36"/>
      <c r="O327" s="35">
        <v>45</v>
      </c>
      <c r="P327" s="83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0"/>
      <c r="R327" s="620"/>
      <c r="S327" s="620"/>
      <c r="T327" s="621"/>
      <c r="U327" s="37"/>
      <c r="V327" s="37"/>
      <c r="W327" s="38" t="s">
        <v>66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/>
      <c r="AB327" s="66"/>
      <c r="AC327" s="411" t="s">
        <v>535</v>
      </c>
      <c r="AG327" s="75"/>
      <c r="AJ327" s="79"/>
      <c r="AK327" s="79">
        <v>0</v>
      </c>
      <c r="BB327" s="412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623"/>
      <c r="B328" s="624"/>
      <c r="C328" s="624"/>
      <c r="D328" s="624"/>
      <c r="E328" s="624"/>
      <c r="F328" s="624"/>
      <c r="G328" s="624"/>
      <c r="H328" s="624"/>
      <c r="I328" s="624"/>
      <c r="J328" s="624"/>
      <c r="K328" s="624"/>
      <c r="L328" s="624"/>
      <c r="M328" s="624"/>
      <c r="N328" s="624"/>
      <c r="O328" s="625"/>
      <c r="P328" s="631" t="s">
        <v>71</v>
      </c>
      <c r="Q328" s="632"/>
      <c r="R328" s="632"/>
      <c r="S328" s="632"/>
      <c r="T328" s="632"/>
      <c r="U328" s="632"/>
      <c r="V328" s="633"/>
      <c r="W328" s="40" t="s">
        <v>72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624"/>
      <c r="B329" s="624"/>
      <c r="C329" s="624"/>
      <c r="D329" s="624"/>
      <c r="E329" s="624"/>
      <c r="F329" s="624"/>
      <c r="G329" s="624"/>
      <c r="H329" s="624"/>
      <c r="I329" s="624"/>
      <c r="J329" s="624"/>
      <c r="K329" s="624"/>
      <c r="L329" s="624"/>
      <c r="M329" s="624"/>
      <c r="N329" s="624"/>
      <c r="O329" s="625"/>
      <c r="P329" s="631" t="s">
        <v>71</v>
      </c>
      <c r="Q329" s="632"/>
      <c r="R329" s="632"/>
      <c r="S329" s="632"/>
      <c r="T329" s="632"/>
      <c r="U329" s="632"/>
      <c r="V329" s="633"/>
      <c r="W329" s="40" t="s">
        <v>66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39" t="s">
        <v>541</v>
      </c>
      <c r="B330" s="624"/>
      <c r="C330" s="624"/>
      <c r="D330" s="624"/>
      <c r="E330" s="624"/>
      <c r="F330" s="624"/>
      <c r="G330" s="624"/>
      <c r="H330" s="624"/>
      <c r="I330" s="624"/>
      <c r="J330" s="624"/>
      <c r="K330" s="624"/>
      <c r="L330" s="624"/>
      <c r="M330" s="624"/>
      <c r="N330" s="624"/>
      <c r="O330" s="624"/>
      <c r="P330" s="624"/>
      <c r="Q330" s="624"/>
      <c r="R330" s="624"/>
      <c r="S330" s="624"/>
      <c r="T330" s="624"/>
      <c r="U330" s="624"/>
      <c r="V330" s="624"/>
      <c r="W330" s="624"/>
      <c r="X330" s="624"/>
      <c r="Y330" s="624"/>
      <c r="Z330" s="624"/>
      <c r="AA330" s="62"/>
      <c r="AB330" s="62"/>
      <c r="AC330" s="62"/>
    </row>
    <row r="331" spans="1:68" ht="14.25" hidden="1" customHeight="1" x14ac:dyDescent="0.25">
      <c r="A331" s="628" t="s">
        <v>61</v>
      </c>
      <c r="B331" s="624"/>
      <c r="C331" s="624"/>
      <c r="D331" s="624"/>
      <c r="E331" s="624"/>
      <c r="F331" s="624"/>
      <c r="G331" s="624"/>
      <c r="H331" s="624"/>
      <c r="I331" s="624"/>
      <c r="J331" s="624"/>
      <c r="K331" s="624"/>
      <c r="L331" s="624"/>
      <c r="M331" s="624"/>
      <c r="N331" s="624"/>
      <c r="O331" s="624"/>
      <c r="P331" s="624"/>
      <c r="Q331" s="624"/>
      <c r="R331" s="624"/>
      <c r="S331" s="624"/>
      <c r="T331" s="624"/>
      <c r="U331" s="624"/>
      <c r="V331" s="624"/>
      <c r="W331" s="624"/>
      <c r="X331" s="624"/>
      <c r="Y331" s="624"/>
      <c r="Z331" s="624"/>
      <c r="AA331" s="63"/>
      <c r="AB331" s="63"/>
      <c r="AC331" s="63"/>
    </row>
    <row r="332" spans="1:68" ht="27" hidden="1" customHeight="1" x14ac:dyDescent="0.25">
      <c r="A332" s="60" t="s">
        <v>542</v>
      </c>
      <c r="B332" s="60" t="s">
        <v>543</v>
      </c>
      <c r="C332" s="34">
        <v>4301031445</v>
      </c>
      <c r="D332" s="626">
        <v>4680115888319</v>
      </c>
      <c r="E332" s="627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64</v>
      </c>
      <c r="L332" s="35"/>
      <c r="M332" s="36" t="s">
        <v>65</v>
      </c>
      <c r="N332" s="36"/>
      <c r="O332" s="35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0"/>
      <c r="R332" s="620"/>
      <c r="S332" s="620"/>
      <c r="T332" s="621"/>
      <c r="U332" s="37"/>
      <c r="V332" s="37"/>
      <c r="W332" s="38" t="s">
        <v>66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/>
      <c r="AB332" s="66"/>
      <c r="AC332" s="413" t="s">
        <v>376</v>
      </c>
      <c r="AG332" s="75"/>
      <c r="AJ332" s="79"/>
      <c r="AK332" s="79">
        <v>0</v>
      </c>
      <c r="BB332" s="414" t="s">
        <v>1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544</v>
      </c>
      <c r="B333" s="60" t="s">
        <v>545</v>
      </c>
      <c r="C333" s="34">
        <v>4301031502</v>
      </c>
      <c r="D333" s="626">
        <v>4680115884700</v>
      </c>
      <c r="E333" s="627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64</v>
      </c>
      <c r="L333" s="35"/>
      <c r="M333" s="36" t="s">
        <v>65</v>
      </c>
      <c r="N333" s="36"/>
      <c r="O333" s="35">
        <v>40</v>
      </c>
      <c r="P333" s="87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0"/>
      <c r="R333" s="620"/>
      <c r="S333" s="620"/>
      <c r="T333" s="621"/>
      <c r="U333" s="37"/>
      <c r="V333" s="37"/>
      <c r="W333" s="38" t="s">
        <v>66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/>
      <c r="AB333" s="66"/>
      <c r="AC333" s="415" t="s">
        <v>546</v>
      </c>
      <c r="AG333" s="75"/>
      <c r="AJ333" s="79"/>
      <c r="AK333" s="79">
        <v>0</v>
      </c>
      <c r="BB333" s="416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547</v>
      </c>
      <c r="B334" s="60" t="s">
        <v>548</v>
      </c>
      <c r="C334" s="34">
        <v>4301031307</v>
      </c>
      <c r="D334" s="626">
        <v>4680115880344</v>
      </c>
      <c r="E334" s="627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64</v>
      </c>
      <c r="L334" s="35"/>
      <c r="M334" s="36" t="s">
        <v>65</v>
      </c>
      <c r="N334" s="36"/>
      <c r="O334" s="35">
        <v>40</v>
      </c>
      <c r="P334" s="6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0"/>
      <c r="R334" s="620"/>
      <c r="S334" s="620"/>
      <c r="T334" s="621"/>
      <c r="U334" s="37"/>
      <c r="V334" s="37"/>
      <c r="W334" s="38" t="s">
        <v>66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/>
      <c r="AB334" s="66"/>
      <c r="AC334" s="417" t="s">
        <v>549</v>
      </c>
      <c r="AG334" s="75"/>
      <c r="AJ334" s="79"/>
      <c r="AK334" s="79">
        <v>0</v>
      </c>
      <c r="BB334" s="418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550</v>
      </c>
      <c r="B335" s="60" t="s">
        <v>551</v>
      </c>
      <c r="C335" s="34">
        <v>4301031501</v>
      </c>
      <c r="D335" s="626">
        <v>4680115886919</v>
      </c>
      <c r="E335" s="627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76</v>
      </c>
      <c r="L335" s="35"/>
      <c r="M335" s="36" t="s">
        <v>65</v>
      </c>
      <c r="N335" s="36"/>
      <c r="O335" s="35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0"/>
      <c r="R335" s="620"/>
      <c r="S335" s="620"/>
      <c r="T335" s="621"/>
      <c r="U335" s="37"/>
      <c r="V335" s="37"/>
      <c r="W335" s="38" t="s">
        <v>66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/>
      <c r="AB335" s="66"/>
      <c r="AC335" s="419" t="s">
        <v>552</v>
      </c>
      <c r="AG335" s="75"/>
      <c r="AJ335" s="79"/>
      <c r="AK335" s="79">
        <v>0</v>
      </c>
      <c r="BB335" s="420" t="s">
        <v>1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553</v>
      </c>
      <c r="B336" s="60" t="s">
        <v>554</v>
      </c>
      <c r="C336" s="34">
        <v>4301031246</v>
      </c>
      <c r="D336" s="626">
        <v>4680115883970</v>
      </c>
      <c r="E336" s="627"/>
      <c r="F336" s="59">
        <v>0.28000000000000003</v>
      </c>
      <c r="G336" s="35">
        <v>6</v>
      </c>
      <c r="H336" s="59">
        <v>1.68</v>
      </c>
      <c r="I336" s="59">
        <v>2.5</v>
      </c>
      <c r="J336" s="35">
        <v>234</v>
      </c>
      <c r="K336" s="35" t="s">
        <v>64</v>
      </c>
      <c r="L336" s="35"/>
      <c r="M336" s="36" t="s">
        <v>65</v>
      </c>
      <c r="N336" s="36"/>
      <c r="O336" s="35">
        <v>40</v>
      </c>
      <c r="P336" s="89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0"/>
      <c r="R336" s="620"/>
      <c r="S336" s="620"/>
      <c r="T336" s="621"/>
      <c r="U336" s="37"/>
      <c r="V336" s="37"/>
      <c r="W336" s="38" t="s">
        <v>66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IFERROR(IF(Y336=0,"",ROUNDUP(Y336/H336,0)*0.00502),"")</f>
        <v/>
      </c>
      <c r="AA336" s="65"/>
      <c r="AB336" s="66"/>
      <c r="AC336" s="421" t="s">
        <v>555</v>
      </c>
      <c r="AG336" s="75"/>
      <c r="AJ336" s="79"/>
      <c r="AK336" s="79">
        <v>0</v>
      </c>
      <c r="BB336" s="422" t="s">
        <v>1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idden="1" x14ac:dyDescent="0.2">
      <c r="A337" s="623"/>
      <c r="B337" s="624"/>
      <c r="C337" s="624"/>
      <c r="D337" s="624"/>
      <c r="E337" s="624"/>
      <c r="F337" s="624"/>
      <c r="G337" s="624"/>
      <c r="H337" s="624"/>
      <c r="I337" s="624"/>
      <c r="J337" s="624"/>
      <c r="K337" s="624"/>
      <c r="L337" s="624"/>
      <c r="M337" s="624"/>
      <c r="N337" s="624"/>
      <c r="O337" s="625"/>
      <c r="P337" s="631" t="s">
        <v>71</v>
      </c>
      <c r="Q337" s="632"/>
      <c r="R337" s="632"/>
      <c r="S337" s="632"/>
      <c r="T337" s="632"/>
      <c r="U337" s="632"/>
      <c r="V337" s="633"/>
      <c r="W337" s="40" t="s">
        <v>72</v>
      </c>
      <c r="X337" s="41">
        <f>IFERROR(X332/H332,"0")+IFERROR(X333/H333,"0")+IFERROR(X334/H334,"0")+IFERROR(X335/H335,"0")+IFERROR(X336/H336,"0")</f>
        <v>0</v>
      </c>
      <c r="Y337" s="41">
        <f>IFERROR(Y332/H332,"0")+IFERROR(Y333/H333,"0")+IFERROR(Y334/H334,"0")+IFERROR(Y335/H335,"0")+IFERROR(Y336/H336,"0")</f>
        <v>0</v>
      </c>
      <c r="Z337" s="41">
        <f>IFERROR(IF(Z332="",0,Z332),"0")+IFERROR(IF(Z333="",0,Z333),"0")+IFERROR(IF(Z334="",0,Z334),"0")+IFERROR(IF(Z335="",0,Z335),"0")+IFERROR(IF(Z336="",0,Z336),"0")</f>
        <v>0</v>
      </c>
      <c r="AA337" s="64"/>
      <c r="AB337" s="64"/>
      <c r="AC337" s="64"/>
    </row>
    <row r="338" spans="1:68" hidden="1" x14ac:dyDescent="0.2">
      <c r="A338" s="624"/>
      <c r="B338" s="624"/>
      <c r="C338" s="624"/>
      <c r="D338" s="624"/>
      <c r="E338" s="624"/>
      <c r="F338" s="624"/>
      <c r="G338" s="624"/>
      <c r="H338" s="624"/>
      <c r="I338" s="624"/>
      <c r="J338" s="624"/>
      <c r="K338" s="624"/>
      <c r="L338" s="624"/>
      <c r="M338" s="624"/>
      <c r="N338" s="624"/>
      <c r="O338" s="625"/>
      <c r="P338" s="631" t="s">
        <v>71</v>
      </c>
      <c r="Q338" s="632"/>
      <c r="R338" s="632"/>
      <c r="S338" s="632"/>
      <c r="T338" s="632"/>
      <c r="U338" s="632"/>
      <c r="V338" s="633"/>
      <c r="W338" s="40" t="s">
        <v>66</v>
      </c>
      <c r="X338" s="41">
        <f>IFERROR(SUM(X332:X336),"0")</f>
        <v>0</v>
      </c>
      <c r="Y338" s="41">
        <f>IFERROR(SUM(Y332:Y336),"0")</f>
        <v>0</v>
      </c>
      <c r="Z338" s="40"/>
      <c r="AA338" s="64"/>
      <c r="AB338" s="64"/>
      <c r="AC338" s="64"/>
    </row>
    <row r="339" spans="1:68" ht="14.25" hidden="1" customHeight="1" x14ac:dyDescent="0.25">
      <c r="A339" s="628" t="s">
        <v>73</v>
      </c>
      <c r="B339" s="624"/>
      <c r="C339" s="624"/>
      <c r="D339" s="624"/>
      <c r="E339" s="624"/>
      <c r="F339" s="624"/>
      <c r="G339" s="624"/>
      <c r="H339" s="624"/>
      <c r="I339" s="624"/>
      <c r="J339" s="624"/>
      <c r="K339" s="624"/>
      <c r="L339" s="624"/>
      <c r="M339" s="624"/>
      <c r="N339" s="624"/>
      <c r="O339" s="624"/>
      <c r="P339" s="624"/>
      <c r="Q339" s="624"/>
      <c r="R339" s="624"/>
      <c r="S339" s="624"/>
      <c r="T339" s="624"/>
      <c r="U339" s="624"/>
      <c r="V339" s="624"/>
      <c r="W339" s="624"/>
      <c r="X339" s="624"/>
      <c r="Y339" s="624"/>
      <c r="Z339" s="624"/>
      <c r="AA339" s="63"/>
      <c r="AB339" s="63"/>
      <c r="AC339" s="63"/>
    </row>
    <row r="340" spans="1:68" ht="27" hidden="1" customHeight="1" x14ac:dyDescent="0.25">
      <c r="A340" s="60" t="s">
        <v>556</v>
      </c>
      <c r="B340" s="60" t="s">
        <v>557</v>
      </c>
      <c r="C340" s="34">
        <v>4301051782</v>
      </c>
      <c r="D340" s="626">
        <v>4680115884618</v>
      </c>
      <c r="E340" s="627"/>
      <c r="F340" s="59">
        <v>0.6</v>
      </c>
      <c r="G340" s="35">
        <v>6</v>
      </c>
      <c r="H340" s="59">
        <v>3.6</v>
      </c>
      <c r="I340" s="59">
        <v>3.79</v>
      </c>
      <c r="J340" s="35">
        <v>132</v>
      </c>
      <c r="K340" s="35" t="s">
        <v>128</v>
      </c>
      <c r="L340" s="35"/>
      <c r="M340" s="36" t="s">
        <v>77</v>
      </c>
      <c r="N340" s="36"/>
      <c r="O340" s="35">
        <v>45</v>
      </c>
      <c r="P340" s="7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0"/>
      <c r="R340" s="620"/>
      <c r="S340" s="620"/>
      <c r="T340" s="621"/>
      <c r="U340" s="37"/>
      <c r="V340" s="37"/>
      <c r="W340" s="38" t="s">
        <v>66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/>
      <c r="AB340" s="66"/>
      <c r="AC340" s="423" t="s">
        <v>558</v>
      </c>
      <c r="AG340" s="75"/>
      <c r="AJ340" s="79"/>
      <c r="AK340" s="79">
        <v>0</v>
      </c>
      <c r="BB340" s="424" t="s">
        <v>1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559</v>
      </c>
      <c r="B341" s="60" t="s">
        <v>560</v>
      </c>
      <c r="C341" s="34">
        <v>4301052057</v>
      </c>
      <c r="D341" s="626">
        <v>4680115887114</v>
      </c>
      <c r="E341" s="627"/>
      <c r="F341" s="59">
        <v>0.55000000000000004</v>
      </c>
      <c r="G341" s="35">
        <v>6</v>
      </c>
      <c r="H341" s="59">
        <v>3.3</v>
      </c>
      <c r="I341" s="59">
        <v>3.49</v>
      </c>
      <c r="J341" s="35">
        <v>132</v>
      </c>
      <c r="K341" s="35" t="s">
        <v>128</v>
      </c>
      <c r="L341" s="35"/>
      <c r="M341" s="36" t="s">
        <v>77</v>
      </c>
      <c r="N341" s="36"/>
      <c r="O341" s="35">
        <v>45</v>
      </c>
      <c r="P34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0"/>
      <c r="R341" s="620"/>
      <c r="S341" s="620"/>
      <c r="T341" s="621"/>
      <c r="U341" s="37"/>
      <c r="V341" s="37"/>
      <c r="W341" s="38" t="s">
        <v>66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IFERROR(IF(Y341=0,"",ROUNDUP(Y341/H341,0)*0.00902),"")</f>
        <v/>
      </c>
      <c r="AA341" s="65"/>
      <c r="AB341" s="66"/>
      <c r="AC341" s="425" t="s">
        <v>561</v>
      </c>
      <c r="AG341" s="75"/>
      <c r="AJ341" s="79"/>
      <c r="AK341" s="79">
        <v>0</v>
      </c>
      <c r="BB341" s="426" t="s">
        <v>1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23"/>
      <c r="B342" s="624"/>
      <c r="C342" s="624"/>
      <c r="D342" s="624"/>
      <c r="E342" s="624"/>
      <c r="F342" s="624"/>
      <c r="G342" s="624"/>
      <c r="H342" s="624"/>
      <c r="I342" s="624"/>
      <c r="J342" s="624"/>
      <c r="K342" s="624"/>
      <c r="L342" s="624"/>
      <c r="M342" s="624"/>
      <c r="N342" s="624"/>
      <c r="O342" s="625"/>
      <c r="P342" s="631" t="s">
        <v>71</v>
      </c>
      <c r="Q342" s="632"/>
      <c r="R342" s="632"/>
      <c r="S342" s="632"/>
      <c r="T342" s="632"/>
      <c r="U342" s="632"/>
      <c r="V342" s="633"/>
      <c r="W342" s="40" t="s">
        <v>72</v>
      </c>
      <c r="X342" s="41">
        <f>IFERROR(X340/H340,"0")+IFERROR(X341/H341,"0")</f>
        <v>0</v>
      </c>
      <c r="Y342" s="41">
        <f>IFERROR(Y340/H340,"0")+IFERROR(Y341/H341,"0")</f>
        <v>0</v>
      </c>
      <c r="Z342" s="41">
        <f>IFERROR(IF(Z340="",0,Z340),"0")+IFERROR(IF(Z341="",0,Z341),"0")</f>
        <v>0</v>
      </c>
      <c r="AA342" s="64"/>
      <c r="AB342" s="64"/>
      <c r="AC342" s="64"/>
    </row>
    <row r="343" spans="1:68" hidden="1" x14ac:dyDescent="0.2">
      <c r="A343" s="624"/>
      <c r="B343" s="624"/>
      <c r="C343" s="624"/>
      <c r="D343" s="624"/>
      <c r="E343" s="624"/>
      <c r="F343" s="624"/>
      <c r="G343" s="624"/>
      <c r="H343" s="624"/>
      <c r="I343" s="624"/>
      <c r="J343" s="624"/>
      <c r="K343" s="624"/>
      <c r="L343" s="624"/>
      <c r="M343" s="624"/>
      <c r="N343" s="624"/>
      <c r="O343" s="625"/>
      <c r="P343" s="631" t="s">
        <v>71</v>
      </c>
      <c r="Q343" s="632"/>
      <c r="R343" s="632"/>
      <c r="S343" s="632"/>
      <c r="T343" s="632"/>
      <c r="U343" s="632"/>
      <c r="V343" s="633"/>
      <c r="W343" s="40" t="s">
        <v>66</v>
      </c>
      <c r="X343" s="41">
        <f>IFERROR(SUM(X340:X341),"0")</f>
        <v>0</v>
      </c>
      <c r="Y343" s="41">
        <f>IFERROR(SUM(Y340:Y341),"0")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39" t="s">
        <v>562</v>
      </c>
      <c r="B344" s="624"/>
      <c r="C344" s="624"/>
      <c r="D344" s="624"/>
      <c r="E344" s="624"/>
      <c r="F344" s="624"/>
      <c r="G344" s="624"/>
      <c r="H344" s="624"/>
      <c r="I344" s="624"/>
      <c r="J344" s="624"/>
      <c r="K344" s="624"/>
      <c r="L344" s="624"/>
      <c r="M344" s="624"/>
      <c r="N344" s="624"/>
      <c r="O344" s="624"/>
      <c r="P344" s="624"/>
      <c r="Q344" s="624"/>
      <c r="R344" s="624"/>
      <c r="S344" s="624"/>
      <c r="T344" s="624"/>
      <c r="U344" s="624"/>
      <c r="V344" s="624"/>
      <c r="W344" s="624"/>
      <c r="X344" s="624"/>
      <c r="Y344" s="624"/>
      <c r="Z344" s="624"/>
      <c r="AA344" s="62"/>
      <c r="AB344" s="62"/>
      <c r="AC344" s="62"/>
    </row>
    <row r="345" spans="1:68" ht="14.25" hidden="1" customHeight="1" x14ac:dyDescent="0.25">
      <c r="A345" s="628" t="s">
        <v>116</v>
      </c>
      <c r="B345" s="624"/>
      <c r="C345" s="624"/>
      <c r="D345" s="624"/>
      <c r="E345" s="624"/>
      <c r="F345" s="624"/>
      <c r="G345" s="624"/>
      <c r="H345" s="624"/>
      <c r="I345" s="624"/>
      <c r="J345" s="624"/>
      <c r="K345" s="624"/>
      <c r="L345" s="624"/>
      <c r="M345" s="624"/>
      <c r="N345" s="624"/>
      <c r="O345" s="624"/>
      <c r="P345" s="624"/>
      <c r="Q345" s="624"/>
      <c r="R345" s="624"/>
      <c r="S345" s="624"/>
      <c r="T345" s="624"/>
      <c r="U345" s="624"/>
      <c r="V345" s="624"/>
      <c r="W345" s="624"/>
      <c r="X345" s="624"/>
      <c r="Y345" s="624"/>
      <c r="Z345" s="624"/>
      <c r="AA345" s="63"/>
      <c r="AB345" s="63"/>
      <c r="AC345" s="63"/>
    </row>
    <row r="346" spans="1:68" ht="27" hidden="1" customHeight="1" x14ac:dyDescent="0.25">
      <c r="A346" s="60" t="s">
        <v>563</v>
      </c>
      <c r="B346" s="60" t="s">
        <v>564</v>
      </c>
      <c r="C346" s="34">
        <v>4301012324</v>
      </c>
      <c r="D346" s="626">
        <v>4680115887947</v>
      </c>
      <c r="E346" s="627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119</v>
      </c>
      <c r="L346" s="35"/>
      <c r="M346" s="36" t="s">
        <v>77</v>
      </c>
      <c r="N346" s="36"/>
      <c r="O346" s="35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0"/>
      <c r="R346" s="620"/>
      <c r="S346" s="620"/>
      <c r="T346" s="621"/>
      <c r="U346" s="37"/>
      <c r="V346" s="37"/>
      <c r="W346" s="38" t="s">
        <v>66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/>
      <c r="AB346" s="66"/>
      <c r="AC346" s="427" t="s">
        <v>335</v>
      </c>
      <c r="AG346" s="75"/>
      <c r="AJ346" s="79"/>
      <c r="AK346" s="79">
        <v>0</v>
      </c>
      <c r="BB346" s="428" t="s">
        <v>1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565</v>
      </c>
      <c r="B347" s="60" t="s">
        <v>566</v>
      </c>
      <c r="C347" s="34">
        <v>4301012325</v>
      </c>
      <c r="D347" s="626">
        <v>4680115887978</v>
      </c>
      <c r="E347" s="627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119</v>
      </c>
      <c r="L347" s="35"/>
      <c r="M347" s="36" t="s">
        <v>77</v>
      </c>
      <c r="N347" s="36"/>
      <c r="O347" s="35">
        <v>60</v>
      </c>
      <c r="P347" s="91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0"/>
      <c r="R347" s="620"/>
      <c r="S347" s="620"/>
      <c r="T347" s="621"/>
      <c r="U347" s="37"/>
      <c r="V347" s="37"/>
      <c r="W347" s="38" t="s">
        <v>66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/>
      <c r="AB347" s="66"/>
      <c r="AC347" s="429" t="s">
        <v>567</v>
      </c>
      <c r="AG347" s="75"/>
      <c r="AJ347" s="79"/>
      <c r="AK347" s="79">
        <v>0</v>
      </c>
      <c r="BB347" s="430" t="s">
        <v>1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568</v>
      </c>
      <c r="B348" s="60" t="s">
        <v>569</v>
      </c>
      <c r="C348" s="34">
        <v>4301012327</v>
      </c>
      <c r="D348" s="626">
        <v>4680115887992</v>
      </c>
      <c r="E348" s="627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119</v>
      </c>
      <c r="L348" s="35"/>
      <c r="M348" s="36" t="s">
        <v>77</v>
      </c>
      <c r="N348" s="36"/>
      <c r="O348" s="35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0"/>
      <c r="R348" s="620"/>
      <c r="S348" s="620"/>
      <c r="T348" s="621"/>
      <c r="U348" s="37"/>
      <c r="V348" s="37"/>
      <c r="W348" s="38" t="s">
        <v>66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/>
      <c r="AB348" s="66"/>
      <c r="AC348" s="431" t="s">
        <v>570</v>
      </c>
      <c r="AG348" s="75"/>
      <c r="AJ348" s="79"/>
      <c r="AK348" s="79">
        <v>0</v>
      </c>
      <c r="BB348" s="432" t="s">
        <v>1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23"/>
      <c r="B349" s="624"/>
      <c r="C349" s="624"/>
      <c r="D349" s="624"/>
      <c r="E349" s="624"/>
      <c r="F349" s="624"/>
      <c r="G349" s="624"/>
      <c r="H349" s="624"/>
      <c r="I349" s="624"/>
      <c r="J349" s="624"/>
      <c r="K349" s="624"/>
      <c r="L349" s="624"/>
      <c r="M349" s="624"/>
      <c r="N349" s="624"/>
      <c r="O349" s="625"/>
      <c r="P349" s="631" t="s">
        <v>71</v>
      </c>
      <c r="Q349" s="632"/>
      <c r="R349" s="632"/>
      <c r="S349" s="632"/>
      <c r="T349" s="632"/>
      <c r="U349" s="632"/>
      <c r="V349" s="633"/>
      <c r="W349" s="40" t="s">
        <v>72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24"/>
      <c r="B350" s="624"/>
      <c r="C350" s="624"/>
      <c r="D350" s="624"/>
      <c r="E350" s="624"/>
      <c r="F350" s="624"/>
      <c r="G350" s="624"/>
      <c r="H350" s="624"/>
      <c r="I350" s="624"/>
      <c r="J350" s="624"/>
      <c r="K350" s="624"/>
      <c r="L350" s="624"/>
      <c r="M350" s="624"/>
      <c r="N350" s="624"/>
      <c r="O350" s="625"/>
      <c r="P350" s="631" t="s">
        <v>71</v>
      </c>
      <c r="Q350" s="632"/>
      <c r="R350" s="632"/>
      <c r="S350" s="632"/>
      <c r="T350" s="632"/>
      <c r="U350" s="632"/>
      <c r="V350" s="633"/>
      <c r="W350" s="40" t="s">
        <v>66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39" t="s">
        <v>571</v>
      </c>
      <c r="B351" s="624"/>
      <c r="C351" s="624"/>
      <c r="D351" s="624"/>
      <c r="E351" s="624"/>
      <c r="F351" s="624"/>
      <c r="G351" s="624"/>
      <c r="H351" s="624"/>
      <c r="I351" s="624"/>
      <c r="J351" s="624"/>
      <c r="K351" s="624"/>
      <c r="L351" s="624"/>
      <c r="M351" s="624"/>
      <c r="N351" s="624"/>
      <c r="O351" s="624"/>
      <c r="P351" s="624"/>
      <c r="Q351" s="624"/>
      <c r="R351" s="624"/>
      <c r="S351" s="624"/>
      <c r="T351" s="624"/>
      <c r="U351" s="624"/>
      <c r="V351" s="624"/>
      <c r="W351" s="624"/>
      <c r="X351" s="624"/>
      <c r="Y351" s="624"/>
      <c r="Z351" s="624"/>
      <c r="AA351" s="62"/>
      <c r="AB351" s="62"/>
      <c r="AC351" s="62"/>
    </row>
    <row r="352" spans="1:68" ht="14.25" hidden="1" customHeight="1" x14ac:dyDescent="0.25">
      <c r="A352" s="628" t="s">
        <v>116</v>
      </c>
      <c r="B352" s="624"/>
      <c r="C352" s="624"/>
      <c r="D352" s="624"/>
      <c r="E352" s="624"/>
      <c r="F352" s="624"/>
      <c r="G352" s="624"/>
      <c r="H352" s="624"/>
      <c r="I352" s="624"/>
      <c r="J352" s="624"/>
      <c r="K352" s="624"/>
      <c r="L352" s="624"/>
      <c r="M352" s="624"/>
      <c r="N352" s="624"/>
      <c r="O352" s="624"/>
      <c r="P352" s="624"/>
      <c r="Q352" s="624"/>
      <c r="R352" s="624"/>
      <c r="S352" s="624"/>
      <c r="T352" s="624"/>
      <c r="U352" s="624"/>
      <c r="V352" s="624"/>
      <c r="W352" s="624"/>
      <c r="X352" s="624"/>
      <c r="Y352" s="624"/>
      <c r="Z352" s="624"/>
      <c r="AA352" s="63"/>
      <c r="AB352" s="63"/>
      <c r="AC352" s="63"/>
    </row>
    <row r="353" spans="1:68" ht="27" hidden="1" customHeight="1" x14ac:dyDescent="0.25">
      <c r="A353" s="60" t="s">
        <v>572</v>
      </c>
      <c r="B353" s="60" t="s">
        <v>573</v>
      </c>
      <c r="C353" s="34">
        <v>4301012235</v>
      </c>
      <c r="D353" s="626">
        <v>4680115887190</v>
      </c>
      <c r="E353" s="627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119</v>
      </c>
      <c r="L353" s="35"/>
      <c r="M353" s="36" t="s">
        <v>120</v>
      </c>
      <c r="N353" s="36"/>
      <c r="O353" s="35">
        <v>55</v>
      </c>
      <c r="P353" s="77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0"/>
      <c r="R353" s="620"/>
      <c r="S353" s="620"/>
      <c r="T353" s="621"/>
      <c r="U353" s="37"/>
      <c r="V353" s="37"/>
      <c r="W353" s="38" t="s">
        <v>66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/>
      <c r="AB353" s="66"/>
      <c r="AC353" s="433" t="s">
        <v>574</v>
      </c>
      <c r="AG353" s="75"/>
      <c r="AJ353" s="79"/>
      <c r="AK353" s="79">
        <v>0</v>
      </c>
      <c r="BB353" s="434" t="s">
        <v>1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37.5" hidden="1" customHeight="1" x14ac:dyDescent="0.25">
      <c r="A354" s="60" t="s">
        <v>575</v>
      </c>
      <c r="B354" s="60" t="s">
        <v>576</v>
      </c>
      <c r="C354" s="34">
        <v>4301012233</v>
      </c>
      <c r="D354" s="626">
        <v>4680115887138</v>
      </c>
      <c r="E354" s="627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119</v>
      </c>
      <c r="L354" s="35"/>
      <c r="M354" s="36" t="s">
        <v>120</v>
      </c>
      <c r="N354" s="36"/>
      <c r="O354" s="35">
        <v>55</v>
      </c>
      <c r="P354" s="90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0"/>
      <c r="R354" s="620"/>
      <c r="S354" s="620"/>
      <c r="T354" s="621"/>
      <c r="U354" s="37"/>
      <c r="V354" s="37"/>
      <c r="W354" s="38" t="s">
        <v>66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/>
      <c r="AB354" s="66"/>
      <c r="AC354" s="435" t="s">
        <v>577</v>
      </c>
      <c r="AG354" s="75"/>
      <c r="AJ354" s="79"/>
      <c r="AK354" s="79">
        <v>0</v>
      </c>
      <c r="BB354" s="436" t="s">
        <v>1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t="27" hidden="1" customHeight="1" x14ac:dyDescent="0.25">
      <c r="A355" s="60" t="s">
        <v>578</v>
      </c>
      <c r="B355" s="60" t="s">
        <v>579</v>
      </c>
      <c r="C355" s="34">
        <v>4301012016</v>
      </c>
      <c r="D355" s="626">
        <v>4680115885554</v>
      </c>
      <c r="E355" s="627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119</v>
      </c>
      <c r="L355" s="35"/>
      <c r="M355" s="36" t="s">
        <v>77</v>
      </c>
      <c r="N355" s="36"/>
      <c r="O355" s="35">
        <v>55</v>
      </c>
      <c r="P355" s="9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0"/>
      <c r="R355" s="620"/>
      <c r="S355" s="620"/>
      <c r="T355" s="621"/>
      <c r="U355" s="37"/>
      <c r="V355" s="37"/>
      <c r="W355" s="38" t="s">
        <v>66</v>
      </c>
      <c r="X355" s="56">
        <v>0</v>
      </c>
      <c r="Y355" s="53">
        <f>IFERROR(IF(X355="",0,CEILING((X355/$H355),1)*$H355),"")</f>
        <v>0</v>
      </c>
      <c r="Z355" s="39" t="str">
        <f>IFERROR(IF(Y355=0,"",ROUNDUP(Y355/H355,0)*0.01898),"")</f>
        <v/>
      </c>
      <c r="AA355" s="65"/>
      <c r="AB355" s="66"/>
      <c r="AC355" s="437" t="s">
        <v>580</v>
      </c>
      <c r="AG355" s="75"/>
      <c r="AJ355" s="79"/>
      <c r="AK355" s="79">
        <v>0</v>
      </c>
      <c r="BB355" s="438" t="s">
        <v>1</v>
      </c>
      <c r="BM355" s="75">
        <f>IFERROR(X355*I355/H355,"0")</f>
        <v>0</v>
      </c>
      <c r="BN355" s="75">
        <f>IFERROR(Y355*I355/H355,"0")</f>
        <v>0</v>
      </c>
      <c r="BO355" s="75">
        <f>IFERROR(1/J355*(X355/H355),"0")</f>
        <v>0</v>
      </c>
      <c r="BP355" s="75">
        <f>IFERROR(1/J355*(Y355/H355),"0")</f>
        <v>0</v>
      </c>
    </row>
    <row r="356" spans="1:68" ht="27" hidden="1" customHeight="1" x14ac:dyDescent="0.25">
      <c r="A356" s="60" t="s">
        <v>581</v>
      </c>
      <c r="B356" s="60" t="s">
        <v>582</v>
      </c>
      <c r="C356" s="34">
        <v>4301012236</v>
      </c>
      <c r="D356" s="626">
        <v>4680115887220</v>
      </c>
      <c r="E356" s="627"/>
      <c r="F356" s="59">
        <v>0.4</v>
      </c>
      <c r="G356" s="35">
        <v>10</v>
      </c>
      <c r="H356" s="59">
        <v>4</v>
      </c>
      <c r="I356" s="59">
        <v>4.1900000000000004</v>
      </c>
      <c r="J356" s="35">
        <v>132</v>
      </c>
      <c r="K356" s="35" t="s">
        <v>128</v>
      </c>
      <c r="L356" s="35"/>
      <c r="M356" s="36" t="s">
        <v>120</v>
      </c>
      <c r="N356" s="36"/>
      <c r="O356" s="35">
        <v>55</v>
      </c>
      <c r="P356" s="79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0"/>
      <c r="R356" s="620"/>
      <c r="S356" s="620"/>
      <c r="T356" s="621"/>
      <c r="U356" s="37"/>
      <c r="V356" s="37"/>
      <c r="W356" s="38" t="s">
        <v>66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IFERROR(IF(Y356=0,"",ROUNDUP(Y356/H356,0)*0.00902),"")</f>
        <v/>
      </c>
      <c r="AA356" s="65"/>
      <c r="AB356" s="66"/>
      <c r="AC356" s="439" t="s">
        <v>574</v>
      </c>
      <c r="AG356" s="75"/>
      <c r="AJ356" s="79"/>
      <c r="AK356" s="79">
        <v>0</v>
      </c>
      <c r="BB356" s="440" t="s">
        <v>1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583</v>
      </c>
      <c r="B357" s="60" t="s">
        <v>584</v>
      </c>
      <c r="C357" s="34">
        <v>4301011859</v>
      </c>
      <c r="D357" s="626">
        <v>4680115885608</v>
      </c>
      <c r="E357" s="627"/>
      <c r="F357" s="59">
        <v>0.4</v>
      </c>
      <c r="G357" s="35">
        <v>10</v>
      </c>
      <c r="H357" s="59">
        <v>4</v>
      </c>
      <c r="I357" s="59">
        <v>4.1900000000000004</v>
      </c>
      <c r="J357" s="35">
        <v>132</v>
      </c>
      <c r="K357" s="35" t="s">
        <v>128</v>
      </c>
      <c r="L357" s="35"/>
      <c r="M357" s="36" t="s">
        <v>120</v>
      </c>
      <c r="N357" s="36"/>
      <c r="O357" s="35">
        <v>55</v>
      </c>
      <c r="P357" s="9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0"/>
      <c r="R357" s="620"/>
      <c r="S357" s="620"/>
      <c r="T357" s="621"/>
      <c r="U357" s="37"/>
      <c r="V357" s="37"/>
      <c r="W357" s="38" t="s">
        <v>66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IFERROR(IF(Y357=0,"",ROUNDUP(Y357/H357,0)*0.00902),"")</f>
        <v/>
      </c>
      <c r="AA357" s="65"/>
      <c r="AB357" s="66"/>
      <c r="AC357" s="441" t="s">
        <v>585</v>
      </c>
      <c r="AG357" s="75"/>
      <c r="AJ357" s="79"/>
      <c r="AK357" s="79">
        <v>0</v>
      </c>
      <c r="BB357" s="442" t="s">
        <v>1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idden="1" x14ac:dyDescent="0.2">
      <c r="A358" s="623"/>
      <c r="B358" s="624"/>
      <c r="C358" s="624"/>
      <c r="D358" s="624"/>
      <c r="E358" s="624"/>
      <c r="F358" s="624"/>
      <c r="G358" s="624"/>
      <c r="H358" s="624"/>
      <c r="I358" s="624"/>
      <c r="J358" s="624"/>
      <c r="K358" s="624"/>
      <c r="L358" s="624"/>
      <c r="M358" s="624"/>
      <c r="N358" s="624"/>
      <c r="O358" s="625"/>
      <c r="P358" s="631" t="s">
        <v>71</v>
      </c>
      <c r="Q358" s="632"/>
      <c r="R358" s="632"/>
      <c r="S358" s="632"/>
      <c r="T358" s="632"/>
      <c r="U358" s="632"/>
      <c r="V358" s="633"/>
      <c r="W358" s="40" t="s">
        <v>72</v>
      </c>
      <c r="X358" s="41">
        <f>IFERROR(X353/H353,"0")+IFERROR(X354/H354,"0")+IFERROR(X355/H355,"0")+IFERROR(X356/H356,"0")+IFERROR(X357/H357,"0")</f>
        <v>0</v>
      </c>
      <c r="Y358" s="41">
        <f>IFERROR(Y353/H353,"0")+IFERROR(Y354/H354,"0")+IFERROR(Y355/H355,"0")+IFERROR(Y356/H356,"0")+IFERROR(Y357/H357,"0")</f>
        <v>0</v>
      </c>
      <c r="Z358" s="41">
        <f>IFERROR(IF(Z353="",0,Z353),"0")+IFERROR(IF(Z354="",0,Z354),"0")+IFERROR(IF(Z355="",0,Z355),"0")+IFERROR(IF(Z356="",0,Z356),"0")+IFERROR(IF(Z357="",0,Z357),"0")</f>
        <v>0</v>
      </c>
      <c r="AA358" s="64"/>
      <c r="AB358" s="64"/>
      <c r="AC358" s="64"/>
    </row>
    <row r="359" spans="1:68" hidden="1" x14ac:dyDescent="0.2">
      <c r="A359" s="624"/>
      <c r="B359" s="624"/>
      <c r="C359" s="624"/>
      <c r="D359" s="624"/>
      <c r="E359" s="624"/>
      <c r="F359" s="624"/>
      <c r="G359" s="624"/>
      <c r="H359" s="624"/>
      <c r="I359" s="624"/>
      <c r="J359" s="624"/>
      <c r="K359" s="624"/>
      <c r="L359" s="624"/>
      <c r="M359" s="624"/>
      <c r="N359" s="624"/>
      <c r="O359" s="625"/>
      <c r="P359" s="631" t="s">
        <v>71</v>
      </c>
      <c r="Q359" s="632"/>
      <c r="R359" s="632"/>
      <c r="S359" s="632"/>
      <c r="T359" s="632"/>
      <c r="U359" s="632"/>
      <c r="V359" s="633"/>
      <c r="W359" s="40" t="s">
        <v>66</v>
      </c>
      <c r="X359" s="41">
        <f>IFERROR(SUM(X353:X357),"0")</f>
        <v>0</v>
      </c>
      <c r="Y359" s="41">
        <f>IFERROR(SUM(Y353:Y357),"0")</f>
        <v>0</v>
      </c>
      <c r="Z359" s="40"/>
      <c r="AA359" s="64"/>
      <c r="AB359" s="64"/>
      <c r="AC359" s="64"/>
    </row>
    <row r="360" spans="1:68" ht="14.25" hidden="1" customHeight="1" x14ac:dyDescent="0.25">
      <c r="A360" s="628" t="s">
        <v>61</v>
      </c>
      <c r="B360" s="624"/>
      <c r="C360" s="624"/>
      <c r="D360" s="624"/>
      <c r="E360" s="624"/>
      <c r="F360" s="624"/>
      <c r="G360" s="624"/>
      <c r="H360" s="624"/>
      <c r="I360" s="624"/>
      <c r="J360" s="624"/>
      <c r="K360" s="624"/>
      <c r="L360" s="624"/>
      <c r="M360" s="624"/>
      <c r="N360" s="624"/>
      <c r="O360" s="624"/>
      <c r="P360" s="624"/>
      <c r="Q360" s="624"/>
      <c r="R360" s="624"/>
      <c r="S360" s="624"/>
      <c r="T360" s="624"/>
      <c r="U360" s="624"/>
      <c r="V360" s="624"/>
      <c r="W360" s="624"/>
      <c r="X360" s="624"/>
      <c r="Y360" s="624"/>
      <c r="Z360" s="624"/>
      <c r="AA360" s="63"/>
      <c r="AB360" s="63"/>
      <c r="AC360" s="63"/>
    </row>
    <row r="361" spans="1:68" ht="27" hidden="1" customHeight="1" x14ac:dyDescent="0.25">
      <c r="A361" s="60" t="s">
        <v>586</v>
      </c>
      <c r="B361" s="60" t="s">
        <v>587</v>
      </c>
      <c r="C361" s="34">
        <v>4301030878</v>
      </c>
      <c r="D361" s="626">
        <v>4607091387193</v>
      </c>
      <c r="E361" s="627"/>
      <c r="F361" s="59">
        <v>0.7</v>
      </c>
      <c r="G361" s="35">
        <v>6</v>
      </c>
      <c r="H361" s="59">
        <v>4.2</v>
      </c>
      <c r="I361" s="59">
        <v>4.45</v>
      </c>
      <c r="J361" s="35">
        <v>132</v>
      </c>
      <c r="K361" s="35" t="s">
        <v>128</v>
      </c>
      <c r="L361" s="35"/>
      <c r="M361" s="36" t="s">
        <v>65</v>
      </c>
      <c r="N361" s="36"/>
      <c r="O361" s="35">
        <v>35</v>
      </c>
      <c r="P361" s="8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0"/>
      <c r="R361" s="620"/>
      <c r="S361" s="620"/>
      <c r="T361" s="621"/>
      <c r="U361" s="37"/>
      <c r="V361" s="37"/>
      <c r="W361" s="38" t="s">
        <v>66</v>
      </c>
      <c r="X361" s="56">
        <v>0</v>
      </c>
      <c r="Y361" s="53">
        <f t="shared" ref="Y361:Y367" si="42">IFERROR(IF(X361="",0,CEILING((X361/$H361),1)*$H361),"")</f>
        <v>0</v>
      </c>
      <c r="Z361" s="39" t="str">
        <f>IFERROR(IF(Y361=0,"",ROUNDUP(Y361/H361,0)*0.00902),"")</f>
        <v/>
      </c>
      <c r="AA361" s="65"/>
      <c r="AB361" s="66"/>
      <c r="AC361" s="443" t="s">
        <v>588</v>
      </c>
      <c r="AG361" s="75"/>
      <c r="AJ361" s="79"/>
      <c r="AK361" s="79">
        <v>0</v>
      </c>
      <c r="BB361" s="444" t="s">
        <v>1</v>
      </c>
      <c r="BM361" s="75">
        <f t="shared" ref="BM361:BM367" si="43">IFERROR(X361*I361/H361,"0")</f>
        <v>0</v>
      </c>
      <c r="BN361" s="75">
        <f t="shared" ref="BN361:BN367" si="44">IFERROR(Y361*I361/H361,"0")</f>
        <v>0</v>
      </c>
      <c r="BO361" s="75">
        <f t="shared" ref="BO361:BO367" si="45">IFERROR(1/J361*(X361/H361),"0")</f>
        <v>0</v>
      </c>
      <c r="BP361" s="75">
        <f t="shared" ref="BP361:BP367" si="46">IFERROR(1/J361*(Y361/H361),"0")</f>
        <v>0</v>
      </c>
    </row>
    <row r="362" spans="1:68" ht="27" hidden="1" customHeight="1" x14ac:dyDescent="0.25">
      <c r="A362" s="60" t="s">
        <v>589</v>
      </c>
      <c r="B362" s="60" t="s">
        <v>590</v>
      </c>
      <c r="C362" s="34">
        <v>4301031153</v>
      </c>
      <c r="D362" s="626">
        <v>4607091387230</v>
      </c>
      <c r="E362" s="627"/>
      <c r="F362" s="59">
        <v>0.7</v>
      </c>
      <c r="G362" s="35">
        <v>6</v>
      </c>
      <c r="H362" s="59">
        <v>4.2</v>
      </c>
      <c r="I362" s="59">
        <v>4.45</v>
      </c>
      <c r="J362" s="35">
        <v>132</v>
      </c>
      <c r="K362" s="35" t="s">
        <v>128</v>
      </c>
      <c r="L362" s="35"/>
      <c r="M362" s="36" t="s">
        <v>65</v>
      </c>
      <c r="N362" s="36"/>
      <c r="O362" s="35">
        <v>40</v>
      </c>
      <c r="P362" s="92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0"/>
      <c r="R362" s="620"/>
      <c r="S362" s="620"/>
      <c r="T362" s="621"/>
      <c r="U362" s="37"/>
      <c r="V362" s="37"/>
      <c r="W362" s="38" t="s">
        <v>66</v>
      </c>
      <c r="X362" s="56">
        <v>0</v>
      </c>
      <c r="Y362" s="53">
        <f t="shared" si="42"/>
        <v>0</v>
      </c>
      <c r="Z362" s="39" t="str">
        <f>IFERROR(IF(Y362=0,"",ROUNDUP(Y362/H362,0)*0.00902),"")</f>
        <v/>
      </c>
      <c r="AA362" s="65"/>
      <c r="AB362" s="66"/>
      <c r="AC362" s="445" t="s">
        <v>591</v>
      </c>
      <c r="AG362" s="75"/>
      <c r="AJ362" s="79"/>
      <c r="AK362" s="79">
        <v>0</v>
      </c>
      <c r="BB362" s="446" t="s">
        <v>1</v>
      </c>
      <c r="BM362" s="75">
        <f t="shared" si="43"/>
        <v>0</v>
      </c>
      <c r="BN362" s="75">
        <f t="shared" si="44"/>
        <v>0</v>
      </c>
      <c r="BO362" s="75">
        <f t="shared" si="45"/>
        <v>0</v>
      </c>
      <c r="BP362" s="75">
        <f t="shared" si="46"/>
        <v>0</v>
      </c>
    </row>
    <row r="363" spans="1:68" ht="27" hidden="1" customHeight="1" x14ac:dyDescent="0.25">
      <c r="A363" s="60" t="s">
        <v>592</v>
      </c>
      <c r="B363" s="60" t="s">
        <v>593</v>
      </c>
      <c r="C363" s="34">
        <v>4301031154</v>
      </c>
      <c r="D363" s="626">
        <v>4607091387292</v>
      </c>
      <c r="E363" s="627"/>
      <c r="F363" s="59">
        <v>0.73</v>
      </c>
      <c r="G363" s="35">
        <v>6</v>
      </c>
      <c r="H363" s="59">
        <v>4.38</v>
      </c>
      <c r="I363" s="59">
        <v>4.63</v>
      </c>
      <c r="J363" s="35">
        <v>132</v>
      </c>
      <c r="K363" s="35" t="s">
        <v>128</v>
      </c>
      <c r="L363" s="35"/>
      <c r="M363" s="36" t="s">
        <v>65</v>
      </c>
      <c r="N363" s="36"/>
      <c r="O363" s="35">
        <v>45</v>
      </c>
      <c r="P363" s="9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0"/>
      <c r="R363" s="620"/>
      <c r="S363" s="620"/>
      <c r="T363" s="621"/>
      <c r="U363" s="37"/>
      <c r="V363" s="37"/>
      <c r="W363" s="38" t="s">
        <v>66</v>
      </c>
      <c r="X363" s="56">
        <v>0</v>
      </c>
      <c r="Y363" s="53">
        <f t="shared" si="42"/>
        <v>0</v>
      </c>
      <c r="Z363" s="39" t="str">
        <f>IFERROR(IF(Y363=0,"",ROUNDUP(Y363/H363,0)*0.00902),"")</f>
        <v/>
      </c>
      <c r="AA363" s="65"/>
      <c r="AB363" s="66"/>
      <c r="AC363" s="447" t="s">
        <v>594</v>
      </c>
      <c r="AG363" s="75"/>
      <c r="AJ363" s="79"/>
      <c r="AK363" s="79">
        <v>0</v>
      </c>
      <c r="BB363" s="448" t="s">
        <v>1</v>
      </c>
      <c r="BM363" s="75">
        <f t="shared" si="43"/>
        <v>0</v>
      </c>
      <c r="BN363" s="75">
        <f t="shared" si="44"/>
        <v>0</v>
      </c>
      <c r="BO363" s="75">
        <f t="shared" si="45"/>
        <v>0</v>
      </c>
      <c r="BP363" s="75">
        <f t="shared" si="46"/>
        <v>0</v>
      </c>
    </row>
    <row r="364" spans="1:68" ht="27" hidden="1" customHeight="1" x14ac:dyDescent="0.25">
      <c r="A364" s="60" t="s">
        <v>595</v>
      </c>
      <c r="B364" s="60" t="s">
        <v>596</v>
      </c>
      <c r="C364" s="34">
        <v>4301031152</v>
      </c>
      <c r="D364" s="626">
        <v>4607091387285</v>
      </c>
      <c r="E364" s="627"/>
      <c r="F364" s="59">
        <v>0.35</v>
      </c>
      <c r="G364" s="35">
        <v>6</v>
      </c>
      <c r="H364" s="59">
        <v>2.1</v>
      </c>
      <c r="I364" s="59">
        <v>2.23</v>
      </c>
      <c r="J364" s="35">
        <v>234</v>
      </c>
      <c r="K364" s="35" t="s">
        <v>64</v>
      </c>
      <c r="L364" s="35"/>
      <c r="M364" s="36" t="s">
        <v>65</v>
      </c>
      <c r="N364" s="36"/>
      <c r="O364" s="35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0"/>
      <c r="R364" s="620"/>
      <c r="S364" s="620"/>
      <c r="T364" s="621"/>
      <c r="U364" s="37"/>
      <c r="V364" s="37"/>
      <c r="W364" s="38" t="s">
        <v>66</v>
      </c>
      <c r="X364" s="56">
        <v>0</v>
      </c>
      <c r="Y364" s="53">
        <f t="shared" si="42"/>
        <v>0</v>
      </c>
      <c r="Z364" s="39" t="str">
        <f>IFERROR(IF(Y364=0,"",ROUNDUP(Y364/H364,0)*0.00502),"")</f>
        <v/>
      </c>
      <c r="AA364" s="65"/>
      <c r="AB364" s="66"/>
      <c r="AC364" s="449" t="s">
        <v>591</v>
      </c>
      <c r="AG364" s="75"/>
      <c r="AJ364" s="79"/>
      <c r="AK364" s="79">
        <v>0</v>
      </c>
      <c r="BB364" s="450" t="s">
        <v>1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27" hidden="1" customHeight="1" x14ac:dyDescent="0.25">
      <c r="A365" s="60" t="s">
        <v>597</v>
      </c>
      <c r="B365" s="60" t="s">
        <v>598</v>
      </c>
      <c r="C365" s="34">
        <v>4301031305</v>
      </c>
      <c r="D365" s="626">
        <v>4607091389845</v>
      </c>
      <c r="E365" s="627"/>
      <c r="F365" s="59">
        <v>0.35</v>
      </c>
      <c r="G365" s="35">
        <v>6</v>
      </c>
      <c r="H365" s="59">
        <v>2.1</v>
      </c>
      <c r="I365" s="59">
        <v>2.2000000000000002</v>
      </c>
      <c r="J365" s="35">
        <v>234</v>
      </c>
      <c r="K365" s="35" t="s">
        <v>64</v>
      </c>
      <c r="L365" s="35"/>
      <c r="M365" s="36" t="s">
        <v>65</v>
      </c>
      <c r="N365" s="36"/>
      <c r="O365" s="35">
        <v>40</v>
      </c>
      <c r="P365" s="9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0"/>
      <c r="R365" s="620"/>
      <c r="S365" s="620"/>
      <c r="T365" s="621"/>
      <c r="U365" s="37"/>
      <c r="V365" s="37"/>
      <c r="W365" s="38" t="s">
        <v>66</v>
      </c>
      <c r="X365" s="56">
        <v>0</v>
      </c>
      <c r="Y365" s="53">
        <f t="shared" si="42"/>
        <v>0</v>
      </c>
      <c r="Z365" s="39" t="str">
        <f>IFERROR(IF(Y365=0,"",ROUNDUP(Y365/H365,0)*0.00502),"")</f>
        <v/>
      </c>
      <c r="AA365" s="65"/>
      <c r="AB365" s="66"/>
      <c r="AC365" s="451" t="s">
        <v>599</v>
      </c>
      <c r="AG365" s="75"/>
      <c r="AJ365" s="79"/>
      <c r="AK365" s="79">
        <v>0</v>
      </c>
      <c r="BB365" s="452" t="s">
        <v>1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600</v>
      </c>
      <c r="B366" s="60" t="s">
        <v>601</v>
      </c>
      <c r="C366" s="34">
        <v>4301031460</v>
      </c>
      <c r="D366" s="626">
        <v>4680115887442</v>
      </c>
      <c r="E366" s="627"/>
      <c r="F366" s="59">
        <v>0.73</v>
      </c>
      <c r="G366" s="35">
        <v>6</v>
      </c>
      <c r="H366" s="59">
        <v>4.38</v>
      </c>
      <c r="I366" s="59">
        <v>4.63</v>
      </c>
      <c r="J366" s="35">
        <v>132</v>
      </c>
      <c r="K366" s="35" t="s">
        <v>128</v>
      </c>
      <c r="L366" s="35"/>
      <c r="M366" s="36" t="s">
        <v>65</v>
      </c>
      <c r="N366" s="36"/>
      <c r="O366" s="35">
        <v>45</v>
      </c>
      <c r="P366" s="65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0"/>
      <c r="R366" s="620"/>
      <c r="S366" s="620"/>
      <c r="T366" s="621"/>
      <c r="U366" s="37"/>
      <c r="V366" s="37"/>
      <c r="W366" s="38" t="s">
        <v>66</v>
      </c>
      <c r="X366" s="56">
        <v>0</v>
      </c>
      <c r="Y366" s="53">
        <f t="shared" si="42"/>
        <v>0</v>
      </c>
      <c r="Z366" s="39" t="str">
        <f>IFERROR(IF(Y366=0,"",ROUNDUP(Y366/H366,0)*0.00902),"")</f>
        <v/>
      </c>
      <c r="AA366" s="65"/>
      <c r="AB366" s="66"/>
      <c r="AC366" s="453" t="s">
        <v>594</v>
      </c>
      <c r="AG366" s="75"/>
      <c r="AJ366" s="79"/>
      <c r="AK366" s="79">
        <v>0</v>
      </c>
      <c r="BB366" s="454" t="s">
        <v>1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602</v>
      </c>
      <c r="B367" s="60" t="s">
        <v>603</v>
      </c>
      <c r="C367" s="34">
        <v>4301031066</v>
      </c>
      <c r="D367" s="626">
        <v>4607091383836</v>
      </c>
      <c r="E367" s="627"/>
      <c r="F367" s="59">
        <v>0.3</v>
      </c>
      <c r="G367" s="35">
        <v>6</v>
      </c>
      <c r="H367" s="59">
        <v>1.8</v>
      </c>
      <c r="I367" s="59">
        <v>2.028</v>
      </c>
      <c r="J367" s="35">
        <v>182</v>
      </c>
      <c r="K367" s="35" t="s">
        <v>76</v>
      </c>
      <c r="L367" s="35"/>
      <c r="M367" s="36" t="s">
        <v>65</v>
      </c>
      <c r="N367" s="36"/>
      <c r="O367" s="35">
        <v>40</v>
      </c>
      <c r="P367" s="9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0"/>
      <c r="R367" s="620"/>
      <c r="S367" s="620"/>
      <c r="T367" s="621"/>
      <c r="U367" s="37"/>
      <c r="V367" s="37"/>
      <c r="W367" s="38" t="s">
        <v>66</v>
      </c>
      <c r="X367" s="56">
        <v>0</v>
      </c>
      <c r="Y367" s="53">
        <f t="shared" si="42"/>
        <v>0</v>
      </c>
      <c r="Z367" s="39" t="str">
        <f>IFERROR(IF(Y367=0,"",ROUNDUP(Y367/H367,0)*0.00651),"")</f>
        <v/>
      </c>
      <c r="AA367" s="65"/>
      <c r="AB367" s="66"/>
      <c r="AC367" s="455" t="s">
        <v>604</v>
      </c>
      <c r="AG367" s="75"/>
      <c r="AJ367" s="79"/>
      <c r="AK367" s="79">
        <v>0</v>
      </c>
      <c r="BB367" s="456" t="s">
        <v>1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idden="1" x14ac:dyDescent="0.2">
      <c r="A368" s="623"/>
      <c r="B368" s="624"/>
      <c r="C368" s="624"/>
      <c r="D368" s="624"/>
      <c r="E368" s="624"/>
      <c r="F368" s="624"/>
      <c r="G368" s="624"/>
      <c r="H368" s="624"/>
      <c r="I368" s="624"/>
      <c r="J368" s="624"/>
      <c r="K368" s="624"/>
      <c r="L368" s="624"/>
      <c r="M368" s="624"/>
      <c r="N368" s="624"/>
      <c r="O368" s="625"/>
      <c r="P368" s="631" t="s">
        <v>71</v>
      </c>
      <c r="Q368" s="632"/>
      <c r="R368" s="632"/>
      <c r="S368" s="632"/>
      <c r="T368" s="632"/>
      <c r="U368" s="632"/>
      <c r="V368" s="633"/>
      <c r="W368" s="40" t="s">
        <v>72</v>
      </c>
      <c r="X368" s="41">
        <f>IFERROR(X361/H361,"0")+IFERROR(X362/H362,"0")+IFERROR(X363/H363,"0")+IFERROR(X364/H364,"0")+IFERROR(X365/H365,"0")+IFERROR(X366/H366,"0")+IFERROR(X367/H367,"0")</f>
        <v>0</v>
      </c>
      <c r="Y368" s="41">
        <f>IFERROR(Y361/H361,"0")+IFERROR(Y362/H362,"0")+IFERROR(Y363/H363,"0")+IFERROR(Y364/H364,"0")+IFERROR(Y365/H365,"0")+IFERROR(Y366/H366,"0")+IFERROR(Y367/H367,"0")</f>
        <v>0</v>
      </c>
      <c r="Z368" s="41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624"/>
      <c r="B369" s="624"/>
      <c r="C369" s="624"/>
      <c r="D369" s="624"/>
      <c r="E369" s="624"/>
      <c r="F369" s="624"/>
      <c r="G369" s="624"/>
      <c r="H369" s="624"/>
      <c r="I369" s="624"/>
      <c r="J369" s="624"/>
      <c r="K369" s="624"/>
      <c r="L369" s="624"/>
      <c r="M369" s="624"/>
      <c r="N369" s="624"/>
      <c r="O369" s="625"/>
      <c r="P369" s="631" t="s">
        <v>71</v>
      </c>
      <c r="Q369" s="632"/>
      <c r="R369" s="632"/>
      <c r="S369" s="632"/>
      <c r="T369" s="632"/>
      <c r="U369" s="632"/>
      <c r="V369" s="633"/>
      <c r="W369" s="40" t="s">
        <v>66</v>
      </c>
      <c r="X369" s="41">
        <f>IFERROR(SUM(X361:X367),"0")</f>
        <v>0</v>
      </c>
      <c r="Y369" s="41">
        <f>IFERROR(SUM(Y361:Y367),"0")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628" t="s">
        <v>73</v>
      </c>
      <c r="B370" s="624"/>
      <c r="C370" s="624"/>
      <c r="D370" s="624"/>
      <c r="E370" s="624"/>
      <c r="F370" s="624"/>
      <c r="G370" s="624"/>
      <c r="H370" s="624"/>
      <c r="I370" s="624"/>
      <c r="J370" s="624"/>
      <c r="K370" s="624"/>
      <c r="L370" s="624"/>
      <c r="M370" s="624"/>
      <c r="N370" s="624"/>
      <c r="O370" s="624"/>
      <c r="P370" s="624"/>
      <c r="Q370" s="624"/>
      <c r="R370" s="624"/>
      <c r="S370" s="624"/>
      <c r="T370" s="624"/>
      <c r="U370" s="624"/>
      <c r="V370" s="624"/>
      <c r="W370" s="624"/>
      <c r="X370" s="624"/>
      <c r="Y370" s="624"/>
      <c r="Z370" s="624"/>
      <c r="AA370" s="63"/>
      <c r="AB370" s="63"/>
      <c r="AC370" s="63"/>
    </row>
    <row r="371" spans="1:68" ht="27" hidden="1" customHeight="1" x14ac:dyDescent="0.25">
      <c r="A371" s="60" t="s">
        <v>605</v>
      </c>
      <c r="B371" s="60" t="s">
        <v>606</v>
      </c>
      <c r="C371" s="34">
        <v>4301051100</v>
      </c>
      <c r="D371" s="626">
        <v>4607091387766</v>
      </c>
      <c r="E371" s="627"/>
      <c r="F371" s="59">
        <v>1.3</v>
      </c>
      <c r="G371" s="35">
        <v>6</v>
      </c>
      <c r="H371" s="59">
        <v>7.8</v>
      </c>
      <c r="I371" s="59">
        <v>8.2880000000000003</v>
      </c>
      <c r="J371" s="35">
        <v>64</v>
      </c>
      <c r="K371" s="35" t="s">
        <v>119</v>
      </c>
      <c r="L371" s="35"/>
      <c r="M371" s="36" t="s">
        <v>77</v>
      </c>
      <c r="N371" s="36"/>
      <c r="O371" s="35">
        <v>40</v>
      </c>
      <c r="P371" s="7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0"/>
      <c r="R371" s="620"/>
      <c r="S371" s="620"/>
      <c r="T371" s="621"/>
      <c r="U371" s="37"/>
      <c r="V371" s="37"/>
      <c r="W371" s="38" t="s">
        <v>66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IFERROR(IF(Y371=0,"",ROUNDUP(Y371/H371,0)*0.01898),"")</f>
        <v/>
      </c>
      <c r="AA371" s="65"/>
      <c r="AB371" s="66"/>
      <c r="AC371" s="457" t="s">
        <v>607</v>
      </c>
      <c r="AG371" s="75"/>
      <c r="AJ371" s="79"/>
      <c r="AK371" s="79">
        <v>0</v>
      </c>
      <c r="BB371" s="458" t="s">
        <v>1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t="27" hidden="1" customHeight="1" x14ac:dyDescent="0.25">
      <c r="A372" s="60" t="s">
        <v>608</v>
      </c>
      <c r="B372" s="60" t="s">
        <v>609</v>
      </c>
      <c r="C372" s="34">
        <v>4301051818</v>
      </c>
      <c r="D372" s="626">
        <v>4607091387957</v>
      </c>
      <c r="E372" s="627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119</v>
      </c>
      <c r="L372" s="35"/>
      <c r="M372" s="36" t="s">
        <v>77</v>
      </c>
      <c r="N372" s="36"/>
      <c r="O372" s="35">
        <v>40</v>
      </c>
      <c r="P372" s="7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0"/>
      <c r="R372" s="620"/>
      <c r="S372" s="620"/>
      <c r="T372" s="621"/>
      <c r="U372" s="37"/>
      <c r="V372" s="37"/>
      <c r="W372" s="38" t="s">
        <v>66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/>
      <c r="AB372" s="66"/>
      <c r="AC372" s="459" t="s">
        <v>610</v>
      </c>
      <c r="AG372" s="75"/>
      <c r="AJ372" s="79"/>
      <c r="AK372" s="79">
        <v>0</v>
      </c>
      <c r="BB372" s="460" t="s">
        <v>1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611</v>
      </c>
      <c r="B373" s="60" t="s">
        <v>612</v>
      </c>
      <c r="C373" s="34">
        <v>4301051819</v>
      </c>
      <c r="D373" s="626">
        <v>4607091387964</v>
      </c>
      <c r="E373" s="627"/>
      <c r="F373" s="59">
        <v>1.35</v>
      </c>
      <c r="G373" s="35">
        <v>6</v>
      </c>
      <c r="H373" s="59">
        <v>8.1</v>
      </c>
      <c r="I373" s="59">
        <v>8.5760000000000005</v>
      </c>
      <c r="J373" s="35">
        <v>64</v>
      </c>
      <c r="K373" s="35" t="s">
        <v>119</v>
      </c>
      <c r="L373" s="35"/>
      <c r="M373" s="36" t="s">
        <v>77</v>
      </c>
      <c r="N373" s="36"/>
      <c r="O373" s="35">
        <v>40</v>
      </c>
      <c r="P373" s="9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0"/>
      <c r="R373" s="620"/>
      <c r="S373" s="620"/>
      <c r="T373" s="621"/>
      <c r="U373" s="37"/>
      <c r="V373" s="37"/>
      <c r="W373" s="38" t="s">
        <v>66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/>
      <c r="AB373" s="66"/>
      <c r="AC373" s="461" t="s">
        <v>613</v>
      </c>
      <c r="AG373" s="75"/>
      <c r="AJ373" s="79"/>
      <c r="AK373" s="79">
        <v>0</v>
      </c>
      <c r="BB373" s="462" t="s">
        <v>1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614</v>
      </c>
      <c r="B374" s="60" t="s">
        <v>615</v>
      </c>
      <c r="C374" s="34">
        <v>4301051734</v>
      </c>
      <c r="D374" s="626">
        <v>4680115884588</v>
      </c>
      <c r="E374" s="627"/>
      <c r="F374" s="59">
        <v>0.5</v>
      </c>
      <c r="G374" s="35">
        <v>6</v>
      </c>
      <c r="H374" s="59">
        <v>3</v>
      </c>
      <c r="I374" s="59">
        <v>3.246</v>
      </c>
      <c r="J374" s="35">
        <v>182</v>
      </c>
      <c r="K374" s="35" t="s">
        <v>76</v>
      </c>
      <c r="L374" s="35"/>
      <c r="M374" s="36" t="s">
        <v>77</v>
      </c>
      <c r="N374" s="36"/>
      <c r="O374" s="35">
        <v>40</v>
      </c>
      <c r="P374" s="79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0"/>
      <c r="R374" s="620"/>
      <c r="S374" s="620"/>
      <c r="T374" s="621"/>
      <c r="U374" s="37"/>
      <c r="V374" s="37"/>
      <c r="W374" s="38" t="s">
        <v>66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IFERROR(IF(Y374=0,"",ROUNDUP(Y374/H374,0)*0.00651),"")</f>
        <v/>
      </c>
      <c r="AA374" s="65"/>
      <c r="AB374" s="66"/>
      <c r="AC374" s="463" t="s">
        <v>607</v>
      </c>
      <c r="AG374" s="75"/>
      <c r="AJ374" s="79"/>
      <c r="AK374" s="79">
        <v>0</v>
      </c>
      <c r="BB374" s="464" t="s">
        <v>1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idden="1" x14ac:dyDescent="0.2">
      <c r="A375" s="623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5"/>
      <c r="P375" s="631" t="s">
        <v>71</v>
      </c>
      <c r="Q375" s="632"/>
      <c r="R375" s="632"/>
      <c r="S375" s="632"/>
      <c r="T375" s="632"/>
      <c r="U375" s="632"/>
      <c r="V375" s="633"/>
      <c r="W375" s="40" t="s">
        <v>72</v>
      </c>
      <c r="X375" s="41">
        <f>IFERROR(X371/H371,"0")+IFERROR(X372/H372,"0")+IFERROR(X373/H373,"0")+IFERROR(X374/H374,"0")</f>
        <v>0</v>
      </c>
      <c r="Y375" s="41">
        <f>IFERROR(Y371/H371,"0")+IFERROR(Y372/H372,"0")+IFERROR(Y373/H373,"0")+IFERROR(Y374/H374,"0")</f>
        <v>0</v>
      </c>
      <c r="Z375" s="41">
        <f>IFERROR(IF(Z371="",0,Z371),"0")+IFERROR(IF(Z372="",0,Z372),"0")+IFERROR(IF(Z373="",0,Z373),"0")+IFERROR(IF(Z374="",0,Z374),"0")</f>
        <v>0</v>
      </c>
      <c r="AA375" s="64"/>
      <c r="AB375" s="64"/>
      <c r="AC375" s="64"/>
    </row>
    <row r="376" spans="1:68" hidden="1" x14ac:dyDescent="0.2">
      <c r="A376" s="624"/>
      <c r="B376" s="624"/>
      <c r="C376" s="624"/>
      <c r="D376" s="624"/>
      <c r="E376" s="624"/>
      <c r="F376" s="624"/>
      <c r="G376" s="624"/>
      <c r="H376" s="624"/>
      <c r="I376" s="624"/>
      <c r="J376" s="624"/>
      <c r="K376" s="624"/>
      <c r="L376" s="624"/>
      <c r="M376" s="624"/>
      <c r="N376" s="624"/>
      <c r="O376" s="625"/>
      <c r="P376" s="631" t="s">
        <v>71</v>
      </c>
      <c r="Q376" s="632"/>
      <c r="R376" s="632"/>
      <c r="S376" s="632"/>
      <c r="T376" s="632"/>
      <c r="U376" s="632"/>
      <c r="V376" s="633"/>
      <c r="W376" s="40" t="s">
        <v>66</v>
      </c>
      <c r="X376" s="41">
        <f>IFERROR(SUM(X371:X374),"0")</f>
        <v>0</v>
      </c>
      <c r="Y376" s="41">
        <f>IFERROR(SUM(Y371:Y374),"0")</f>
        <v>0</v>
      </c>
      <c r="Z376" s="40"/>
      <c r="AA376" s="64"/>
      <c r="AB376" s="64"/>
      <c r="AC376" s="64"/>
    </row>
    <row r="377" spans="1:68" ht="14.25" hidden="1" customHeight="1" x14ac:dyDescent="0.25">
      <c r="A377" s="628" t="s">
        <v>169</v>
      </c>
      <c r="B377" s="624"/>
      <c r="C377" s="624"/>
      <c r="D377" s="624"/>
      <c r="E377" s="624"/>
      <c r="F377" s="624"/>
      <c r="G377" s="624"/>
      <c r="H377" s="624"/>
      <c r="I377" s="624"/>
      <c r="J377" s="624"/>
      <c r="K377" s="624"/>
      <c r="L377" s="624"/>
      <c r="M377" s="624"/>
      <c r="N377" s="624"/>
      <c r="O377" s="624"/>
      <c r="P377" s="624"/>
      <c r="Q377" s="624"/>
      <c r="R377" s="624"/>
      <c r="S377" s="624"/>
      <c r="T377" s="624"/>
      <c r="U377" s="624"/>
      <c r="V377" s="624"/>
      <c r="W377" s="624"/>
      <c r="X377" s="624"/>
      <c r="Y377" s="624"/>
      <c r="Z377" s="624"/>
      <c r="AA377" s="63"/>
      <c r="AB377" s="63"/>
      <c r="AC377" s="63"/>
    </row>
    <row r="378" spans="1:68" ht="27" hidden="1" customHeight="1" x14ac:dyDescent="0.25">
      <c r="A378" s="60" t="s">
        <v>616</v>
      </c>
      <c r="B378" s="60" t="s">
        <v>617</v>
      </c>
      <c r="C378" s="34">
        <v>4301060387</v>
      </c>
      <c r="D378" s="626">
        <v>4607091380880</v>
      </c>
      <c r="E378" s="627"/>
      <c r="F378" s="59">
        <v>1.4</v>
      </c>
      <c r="G378" s="35">
        <v>6</v>
      </c>
      <c r="H378" s="59">
        <v>8.4</v>
      </c>
      <c r="I378" s="59">
        <v>8.8940000000000001</v>
      </c>
      <c r="J378" s="35">
        <v>64</v>
      </c>
      <c r="K378" s="35" t="s">
        <v>119</v>
      </c>
      <c r="L378" s="35"/>
      <c r="M378" s="36" t="s">
        <v>77</v>
      </c>
      <c r="N378" s="36"/>
      <c r="O378" s="35">
        <v>30</v>
      </c>
      <c r="P378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0"/>
      <c r="R378" s="620"/>
      <c r="S378" s="620"/>
      <c r="T378" s="621"/>
      <c r="U378" s="37"/>
      <c r="V378" s="37"/>
      <c r="W378" s="38" t="s">
        <v>66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IFERROR(IF(Y378=0,"",ROUNDUP(Y378/H378,0)*0.01898),"")</f>
        <v/>
      </c>
      <c r="AA378" s="65"/>
      <c r="AB378" s="66"/>
      <c r="AC378" s="465" t="s">
        <v>618</v>
      </c>
      <c r="AG378" s="75"/>
      <c r="AJ378" s="79"/>
      <c r="AK378" s="79">
        <v>0</v>
      </c>
      <c r="BB378" s="466" t="s">
        <v>1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619</v>
      </c>
      <c r="B379" s="60" t="s">
        <v>620</v>
      </c>
      <c r="C379" s="34">
        <v>4301060406</v>
      </c>
      <c r="D379" s="626">
        <v>4607091384482</v>
      </c>
      <c r="E379" s="627"/>
      <c r="F379" s="59">
        <v>1.3</v>
      </c>
      <c r="G379" s="35">
        <v>6</v>
      </c>
      <c r="H379" s="59">
        <v>7.8</v>
      </c>
      <c r="I379" s="59">
        <v>8.2940000000000005</v>
      </c>
      <c r="J379" s="35">
        <v>64</v>
      </c>
      <c r="K379" s="35" t="s">
        <v>119</v>
      </c>
      <c r="L379" s="35"/>
      <c r="M379" s="36" t="s">
        <v>77</v>
      </c>
      <c r="N379" s="36"/>
      <c r="O379" s="35">
        <v>30</v>
      </c>
      <c r="P379" s="6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0"/>
      <c r="R379" s="620"/>
      <c r="S379" s="620"/>
      <c r="T379" s="621"/>
      <c r="U379" s="37"/>
      <c r="V379" s="37"/>
      <c r="W379" s="38" t="s">
        <v>66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/>
      <c r="AB379" s="66"/>
      <c r="AC379" s="467" t="s">
        <v>621</v>
      </c>
      <c r="AG379" s="75"/>
      <c r="AJ379" s="79"/>
      <c r="AK379" s="79">
        <v>0</v>
      </c>
      <c r="BB379" s="468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16.5" hidden="1" customHeight="1" x14ac:dyDescent="0.25">
      <c r="A380" s="60" t="s">
        <v>622</v>
      </c>
      <c r="B380" s="60" t="s">
        <v>623</v>
      </c>
      <c r="C380" s="34">
        <v>4301060484</v>
      </c>
      <c r="D380" s="626">
        <v>4607091380897</v>
      </c>
      <c r="E380" s="627"/>
      <c r="F380" s="59">
        <v>1.4</v>
      </c>
      <c r="G380" s="35">
        <v>6</v>
      </c>
      <c r="H380" s="59">
        <v>8.4</v>
      </c>
      <c r="I380" s="59">
        <v>8.8940000000000001</v>
      </c>
      <c r="J380" s="35">
        <v>64</v>
      </c>
      <c r="K380" s="35" t="s">
        <v>119</v>
      </c>
      <c r="L380" s="35"/>
      <c r="M380" s="36" t="s">
        <v>83</v>
      </c>
      <c r="N380" s="36"/>
      <c r="O380" s="35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0"/>
      <c r="R380" s="620"/>
      <c r="S380" s="620"/>
      <c r="T380" s="621"/>
      <c r="U380" s="37"/>
      <c r="V380" s="37"/>
      <c r="W380" s="38" t="s">
        <v>66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/>
      <c r="AB380" s="66"/>
      <c r="AC380" s="469" t="s">
        <v>624</v>
      </c>
      <c r="AG380" s="75"/>
      <c r="AJ380" s="79"/>
      <c r="AK380" s="79">
        <v>0</v>
      </c>
      <c r="BB380" s="470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23"/>
      <c r="B381" s="624"/>
      <c r="C381" s="624"/>
      <c r="D381" s="624"/>
      <c r="E381" s="624"/>
      <c r="F381" s="624"/>
      <c r="G381" s="624"/>
      <c r="H381" s="624"/>
      <c r="I381" s="624"/>
      <c r="J381" s="624"/>
      <c r="K381" s="624"/>
      <c r="L381" s="624"/>
      <c r="M381" s="624"/>
      <c r="N381" s="624"/>
      <c r="O381" s="625"/>
      <c r="P381" s="631" t="s">
        <v>71</v>
      </c>
      <c r="Q381" s="632"/>
      <c r="R381" s="632"/>
      <c r="S381" s="632"/>
      <c r="T381" s="632"/>
      <c r="U381" s="632"/>
      <c r="V381" s="633"/>
      <c r="W381" s="40" t="s">
        <v>72</v>
      </c>
      <c r="X381" s="41">
        <f>IFERROR(X378/H378,"0")+IFERROR(X379/H379,"0")+IFERROR(X380/H380,"0")</f>
        <v>0</v>
      </c>
      <c r="Y381" s="41">
        <f>IFERROR(Y378/H378,"0")+IFERROR(Y379/H379,"0")+IFERROR(Y380/H380,"0")</f>
        <v>0</v>
      </c>
      <c r="Z381" s="41">
        <f>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24"/>
      <c r="B382" s="624"/>
      <c r="C382" s="624"/>
      <c r="D382" s="624"/>
      <c r="E382" s="624"/>
      <c r="F382" s="624"/>
      <c r="G382" s="624"/>
      <c r="H382" s="624"/>
      <c r="I382" s="624"/>
      <c r="J382" s="624"/>
      <c r="K382" s="624"/>
      <c r="L382" s="624"/>
      <c r="M382" s="624"/>
      <c r="N382" s="624"/>
      <c r="O382" s="625"/>
      <c r="P382" s="631" t="s">
        <v>71</v>
      </c>
      <c r="Q382" s="632"/>
      <c r="R382" s="632"/>
      <c r="S382" s="632"/>
      <c r="T382" s="632"/>
      <c r="U382" s="632"/>
      <c r="V382" s="633"/>
      <c r="W382" s="40" t="s">
        <v>66</v>
      </c>
      <c r="X382" s="41">
        <f>IFERROR(SUM(X378:X380),"0")</f>
        <v>0</v>
      </c>
      <c r="Y382" s="41">
        <f>IFERROR(SUM(Y378:Y380),"0")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28" t="s">
        <v>91</v>
      </c>
      <c r="B383" s="624"/>
      <c r="C383" s="624"/>
      <c r="D383" s="624"/>
      <c r="E383" s="624"/>
      <c r="F383" s="624"/>
      <c r="G383" s="624"/>
      <c r="H383" s="624"/>
      <c r="I383" s="624"/>
      <c r="J383" s="624"/>
      <c r="K383" s="624"/>
      <c r="L383" s="624"/>
      <c r="M383" s="624"/>
      <c r="N383" s="624"/>
      <c r="O383" s="624"/>
      <c r="P383" s="624"/>
      <c r="Q383" s="624"/>
      <c r="R383" s="624"/>
      <c r="S383" s="624"/>
      <c r="T383" s="624"/>
      <c r="U383" s="624"/>
      <c r="V383" s="624"/>
      <c r="W383" s="624"/>
      <c r="X383" s="624"/>
      <c r="Y383" s="624"/>
      <c r="Z383" s="624"/>
      <c r="AA383" s="63"/>
      <c r="AB383" s="63"/>
      <c r="AC383" s="63"/>
    </row>
    <row r="384" spans="1:68" ht="27" hidden="1" customHeight="1" x14ac:dyDescent="0.25">
      <c r="A384" s="60" t="s">
        <v>625</v>
      </c>
      <c r="B384" s="60" t="s">
        <v>626</v>
      </c>
      <c r="C384" s="34">
        <v>4301030235</v>
      </c>
      <c r="D384" s="626">
        <v>4607091388381</v>
      </c>
      <c r="E384" s="627"/>
      <c r="F384" s="59">
        <v>0.38</v>
      </c>
      <c r="G384" s="35">
        <v>8</v>
      </c>
      <c r="H384" s="59">
        <v>3.04</v>
      </c>
      <c r="I384" s="59">
        <v>3.31</v>
      </c>
      <c r="J384" s="35">
        <v>132</v>
      </c>
      <c r="K384" s="35" t="s">
        <v>128</v>
      </c>
      <c r="L384" s="35"/>
      <c r="M384" s="36" t="s">
        <v>94</v>
      </c>
      <c r="N384" s="36"/>
      <c r="O384" s="35">
        <v>180</v>
      </c>
      <c r="P384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0"/>
      <c r="R384" s="620"/>
      <c r="S384" s="620"/>
      <c r="T384" s="621"/>
      <c r="U384" s="37"/>
      <c r="V384" s="37"/>
      <c r="W384" s="38" t="s">
        <v>66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IFERROR(IF(Y384=0,"",ROUNDUP(Y384/H384,0)*0.00902),"")</f>
        <v/>
      </c>
      <c r="AA384" s="65"/>
      <c r="AB384" s="66"/>
      <c r="AC384" s="471" t="s">
        <v>627</v>
      </c>
      <c r="AG384" s="75"/>
      <c r="AJ384" s="79"/>
      <c r="AK384" s="79">
        <v>0</v>
      </c>
      <c r="BB384" s="472" t="s">
        <v>1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628</v>
      </c>
      <c r="B385" s="60" t="s">
        <v>629</v>
      </c>
      <c r="C385" s="34">
        <v>4301030232</v>
      </c>
      <c r="D385" s="626">
        <v>4607091388374</v>
      </c>
      <c r="E385" s="627"/>
      <c r="F385" s="59">
        <v>0.38</v>
      </c>
      <c r="G385" s="35">
        <v>8</v>
      </c>
      <c r="H385" s="59">
        <v>3.04</v>
      </c>
      <c r="I385" s="59">
        <v>3.27</v>
      </c>
      <c r="J385" s="35">
        <v>132</v>
      </c>
      <c r="K385" s="35" t="s">
        <v>128</v>
      </c>
      <c r="L385" s="35"/>
      <c r="M385" s="36" t="s">
        <v>94</v>
      </c>
      <c r="N385" s="36"/>
      <c r="O385" s="35">
        <v>180</v>
      </c>
      <c r="P385" s="9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0"/>
      <c r="R385" s="620"/>
      <c r="S385" s="620"/>
      <c r="T385" s="621"/>
      <c r="U385" s="37"/>
      <c r="V385" s="37"/>
      <c r="W385" s="38" t="s">
        <v>66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IFERROR(IF(Y385=0,"",ROUNDUP(Y385/H385,0)*0.00902),"")</f>
        <v/>
      </c>
      <c r="AA385" s="65"/>
      <c r="AB385" s="66"/>
      <c r="AC385" s="473" t="s">
        <v>627</v>
      </c>
      <c r="AG385" s="75"/>
      <c r="AJ385" s="79"/>
      <c r="AK385" s="79">
        <v>0</v>
      </c>
      <c r="BB385" s="474" t="s">
        <v>1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630</v>
      </c>
      <c r="B386" s="60" t="s">
        <v>631</v>
      </c>
      <c r="C386" s="34">
        <v>4301032015</v>
      </c>
      <c r="D386" s="626">
        <v>4607091383102</v>
      </c>
      <c r="E386" s="627"/>
      <c r="F386" s="59">
        <v>0.17</v>
      </c>
      <c r="G386" s="35">
        <v>15</v>
      </c>
      <c r="H386" s="59">
        <v>2.5499999999999998</v>
      </c>
      <c r="I386" s="59">
        <v>2.9550000000000001</v>
      </c>
      <c r="J386" s="35">
        <v>182</v>
      </c>
      <c r="K386" s="35" t="s">
        <v>76</v>
      </c>
      <c r="L386" s="35"/>
      <c r="M386" s="36" t="s">
        <v>94</v>
      </c>
      <c r="N386" s="36"/>
      <c r="O386" s="35">
        <v>180</v>
      </c>
      <c r="P386" s="6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0"/>
      <c r="R386" s="620"/>
      <c r="S386" s="620"/>
      <c r="T386" s="621"/>
      <c r="U386" s="37"/>
      <c r="V386" s="37"/>
      <c r="W386" s="38" t="s">
        <v>66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/>
      <c r="AB386" s="66"/>
      <c r="AC386" s="475" t="s">
        <v>627</v>
      </c>
      <c r="AG386" s="75"/>
      <c r="AJ386" s="79"/>
      <c r="AK386" s="79">
        <v>0</v>
      </c>
      <c r="BB386" s="476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632</v>
      </c>
      <c r="B387" s="60" t="s">
        <v>633</v>
      </c>
      <c r="C387" s="34">
        <v>4301030233</v>
      </c>
      <c r="D387" s="626">
        <v>4607091388404</v>
      </c>
      <c r="E387" s="627"/>
      <c r="F387" s="59">
        <v>0.17</v>
      </c>
      <c r="G387" s="35">
        <v>15</v>
      </c>
      <c r="H387" s="59">
        <v>2.5499999999999998</v>
      </c>
      <c r="I387" s="59">
        <v>2.88</v>
      </c>
      <c r="J387" s="35">
        <v>182</v>
      </c>
      <c r="K387" s="35" t="s">
        <v>76</v>
      </c>
      <c r="L387" s="35"/>
      <c r="M387" s="36" t="s">
        <v>94</v>
      </c>
      <c r="N387" s="36"/>
      <c r="O387" s="35">
        <v>180</v>
      </c>
      <c r="P387" s="7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0"/>
      <c r="R387" s="620"/>
      <c r="S387" s="620"/>
      <c r="T387" s="621"/>
      <c r="U387" s="37"/>
      <c r="V387" s="37"/>
      <c r="W387" s="38" t="s">
        <v>66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/>
      <c r="AB387" s="66"/>
      <c r="AC387" s="477" t="s">
        <v>627</v>
      </c>
      <c r="AG387" s="75"/>
      <c r="AJ387" s="79"/>
      <c r="AK387" s="79">
        <v>0</v>
      </c>
      <c r="BB387" s="478" t="s">
        <v>1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23"/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5"/>
      <c r="P388" s="631" t="s">
        <v>71</v>
      </c>
      <c r="Q388" s="632"/>
      <c r="R388" s="632"/>
      <c r="S388" s="632"/>
      <c r="T388" s="632"/>
      <c r="U388" s="632"/>
      <c r="V388" s="633"/>
      <c r="W388" s="40" t="s">
        <v>72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24"/>
      <c r="B389" s="624"/>
      <c r="C389" s="624"/>
      <c r="D389" s="624"/>
      <c r="E389" s="624"/>
      <c r="F389" s="624"/>
      <c r="G389" s="624"/>
      <c r="H389" s="624"/>
      <c r="I389" s="624"/>
      <c r="J389" s="624"/>
      <c r="K389" s="624"/>
      <c r="L389" s="624"/>
      <c r="M389" s="624"/>
      <c r="N389" s="624"/>
      <c r="O389" s="625"/>
      <c r="P389" s="631" t="s">
        <v>71</v>
      </c>
      <c r="Q389" s="632"/>
      <c r="R389" s="632"/>
      <c r="S389" s="632"/>
      <c r="T389" s="632"/>
      <c r="U389" s="632"/>
      <c r="V389" s="633"/>
      <c r="W389" s="40" t="s">
        <v>66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628" t="s">
        <v>634</v>
      </c>
      <c r="B390" s="624"/>
      <c r="C390" s="624"/>
      <c r="D390" s="624"/>
      <c r="E390" s="624"/>
      <c r="F390" s="624"/>
      <c r="G390" s="624"/>
      <c r="H390" s="624"/>
      <c r="I390" s="624"/>
      <c r="J390" s="624"/>
      <c r="K390" s="624"/>
      <c r="L390" s="624"/>
      <c r="M390" s="624"/>
      <c r="N390" s="624"/>
      <c r="O390" s="624"/>
      <c r="P390" s="624"/>
      <c r="Q390" s="624"/>
      <c r="R390" s="624"/>
      <c r="S390" s="624"/>
      <c r="T390" s="624"/>
      <c r="U390" s="624"/>
      <c r="V390" s="624"/>
      <c r="W390" s="624"/>
      <c r="X390" s="624"/>
      <c r="Y390" s="624"/>
      <c r="Z390" s="624"/>
      <c r="AA390" s="63"/>
      <c r="AB390" s="63"/>
      <c r="AC390" s="63"/>
    </row>
    <row r="391" spans="1:68" ht="16.5" hidden="1" customHeight="1" x14ac:dyDescent="0.25">
      <c r="A391" s="60" t="s">
        <v>635</v>
      </c>
      <c r="B391" s="60" t="s">
        <v>636</v>
      </c>
      <c r="C391" s="34">
        <v>4301180007</v>
      </c>
      <c r="D391" s="626">
        <v>4680115881808</v>
      </c>
      <c r="E391" s="627"/>
      <c r="F391" s="59">
        <v>0.1</v>
      </c>
      <c r="G391" s="35">
        <v>20</v>
      </c>
      <c r="H391" s="59">
        <v>2</v>
      </c>
      <c r="I391" s="59">
        <v>2.2400000000000002</v>
      </c>
      <c r="J391" s="35">
        <v>238</v>
      </c>
      <c r="K391" s="35" t="s">
        <v>76</v>
      </c>
      <c r="L391" s="35"/>
      <c r="M391" s="36" t="s">
        <v>637</v>
      </c>
      <c r="N391" s="36"/>
      <c r="O391" s="35">
        <v>731</v>
      </c>
      <c r="P391" s="6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0"/>
      <c r="R391" s="620"/>
      <c r="S391" s="620"/>
      <c r="T391" s="621"/>
      <c r="U391" s="37"/>
      <c r="V391" s="37"/>
      <c r="W391" s="38" t="s">
        <v>66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IFERROR(IF(Y391=0,"",ROUNDUP(Y391/H391,0)*0.00474),"")</f>
        <v/>
      </c>
      <c r="AA391" s="65"/>
      <c r="AB391" s="66"/>
      <c r="AC391" s="479" t="s">
        <v>638</v>
      </c>
      <c r="AG391" s="75"/>
      <c r="AJ391" s="79"/>
      <c r="AK391" s="79">
        <v>0</v>
      </c>
      <c r="BB391" s="480" t="s">
        <v>1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639</v>
      </c>
      <c r="B392" s="60" t="s">
        <v>640</v>
      </c>
      <c r="C392" s="34">
        <v>4301180006</v>
      </c>
      <c r="D392" s="626">
        <v>4680115881822</v>
      </c>
      <c r="E392" s="627"/>
      <c r="F392" s="59">
        <v>0.1</v>
      </c>
      <c r="G392" s="35">
        <v>20</v>
      </c>
      <c r="H392" s="59">
        <v>2</v>
      </c>
      <c r="I392" s="59">
        <v>2.2400000000000002</v>
      </c>
      <c r="J392" s="35">
        <v>238</v>
      </c>
      <c r="K392" s="35" t="s">
        <v>76</v>
      </c>
      <c r="L392" s="35"/>
      <c r="M392" s="36" t="s">
        <v>637</v>
      </c>
      <c r="N392" s="36"/>
      <c r="O392" s="35">
        <v>731</v>
      </c>
      <c r="P392" s="6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0"/>
      <c r="R392" s="620"/>
      <c r="S392" s="620"/>
      <c r="T392" s="621"/>
      <c r="U392" s="37"/>
      <c r="V392" s="37"/>
      <c r="W392" s="38" t="s">
        <v>66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IFERROR(IF(Y392=0,"",ROUNDUP(Y392/H392,0)*0.00474),"")</f>
        <v/>
      </c>
      <c r="AA392" s="65"/>
      <c r="AB392" s="66"/>
      <c r="AC392" s="481" t="s">
        <v>638</v>
      </c>
      <c r="AG392" s="75"/>
      <c r="AJ392" s="79"/>
      <c r="AK392" s="79">
        <v>0</v>
      </c>
      <c r="BB392" s="482" t="s">
        <v>1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641</v>
      </c>
      <c r="B393" s="60" t="s">
        <v>642</v>
      </c>
      <c r="C393" s="34">
        <v>4301180001</v>
      </c>
      <c r="D393" s="626">
        <v>4680115880016</v>
      </c>
      <c r="E393" s="627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76</v>
      </c>
      <c r="L393" s="35"/>
      <c r="M393" s="36" t="s">
        <v>637</v>
      </c>
      <c r="N393" s="36"/>
      <c r="O393" s="35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0"/>
      <c r="R393" s="620"/>
      <c r="S393" s="620"/>
      <c r="T393" s="621"/>
      <c r="U393" s="37"/>
      <c r="V393" s="37"/>
      <c r="W393" s="38" t="s">
        <v>66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/>
      <c r="AB393" s="66"/>
      <c r="AC393" s="483" t="s">
        <v>638</v>
      </c>
      <c r="AG393" s="75"/>
      <c r="AJ393" s="79"/>
      <c r="AK393" s="79">
        <v>0</v>
      </c>
      <c r="BB393" s="484" t="s">
        <v>1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623"/>
      <c r="B394" s="624"/>
      <c r="C394" s="624"/>
      <c r="D394" s="624"/>
      <c r="E394" s="624"/>
      <c r="F394" s="624"/>
      <c r="G394" s="624"/>
      <c r="H394" s="624"/>
      <c r="I394" s="624"/>
      <c r="J394" s="624"/>
      <c r="K394" s="624"/>
      <c r="L394" s="624"/>
      <c r="M394" s="624"/>
      <c r="N394" s="624"/>
      <c r="O394" s="625"/>
      <c r="P394" s="631" t="s">
        <v>71</v>
      </c>
      <c r="Q394" s="632"/>
      <c r="R394" s="632"/>
      <c r="S394" s="632"/>
      <c r="T394" s="632"/>
      <c r="U394" s="632"/>
      <c r="V394" s="633"/>
      <c r="W394" s="40" t="s">
        <v>72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624"/>
      <c r="B395" s="624"/>
      <c r="C395" s="624"/>
      <c r="D395" s="624"/>
      <c r="E395" s="624"/>
      <c r="F395" s="624"/>
      <c r="G395" s="624"/>
      <c r="H395" s="624"/>
      <c r="I395" s="624"/>
      <c r="J395" s="624"/>
      <c r="K395" s="624"/>
      <c r="L395" s="624"/>
      <c r="M395" s="624"/>
      <c r="N395" s="624"/>
      <c r="O395" s="625"/>
      <c r="P395" s="631" t="s">
        <v>71</v>
      </c>
      <c r="Q395" s="632"/>
      <c r="R395" s="632"/>
      <c r="S395" s="632"/>
      <c r="T395" s="632"/>
      <c r="U395" s="632"/>
      <c r="V395" s="633"/>
      <c r="W395" s="40" t="s">
        <v>66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628" t="s">
        <v>643</v>
      </c>
      <c r="B396" s="624"/>
      <c r="C396" s="624"/>
      <c r="D396" s="624"/>
      <c r="E396" s="624"/>
      <c r="F396" s="624"/>
      <c r="G396" s="624"/>
      <c r="H396" s="624"/>
      <c r="I396" s="624"/>
      <c r="J396" s="624"/>
      <c r="K396" s="624"/>
      <c r="L396" s="624"/>
      <c r="M396" s="624"/>
      <c r="N396" s="624"/>
      <c r="O396" s="624"/>
      <c r="P396" s="624"/>
      <c r="Q396" s="624"/>
      <c r="R396" s="624"/>
      <c r="S396" s="624"/>
      <c r="T396" s="624"/>
      <c r="U396" s="624"/>
      <c r="V396" s="624"/>
      <c r="W396" s="624"/>
      <c r="X396" s="624"/>
      <c r="Y396" s="624"/>
      <c r="Z396" s="624"/>
      <c r="AA396" s="63"/>
      <c r="AB396" s="63"/>
      <c r="AC396" s="63"/>
    </row>
    <row r="397" spans="1:68" ht="27" hidden="1" customHeight="1" x14ac:dyDescent="0.25">
      <c r="A397" s="60" t="s">
        <v>644</v>
      </c>
      <c r="B397" s="60" t="s">
        <v>645</v>
      </c>
      <c r="C397" s="34">
        <v>4301220003</v>
      </c>
      <c r="D397" s="626">
        <v>4680115888678</v>
      </c>
      <c r="E397" s="627"/>
      <c r="F397" s="59">
        <v>0.25</v>
      </c>
      <c r="G397" s="35">
        <v>12</v>
      </c>
      <c r="H397" s="59">
        <v>3</v>
      </c>
      <c r="I397" s="59">
        <v>3.22</v>
      </c>
      <c r="J397" s="35">
        <v>224</v>
      </c>
      <c r="K397" s="35" t="s">
        <v>76</v>
      </c>
      <c r="L397" s="35"/>
      <c r="M397" s="36" t="s">
        <v>637</v>
      </c>
      <c r="N397" s="36"/>
      <c r="O397" s="35">
        <v>1095</v>
      </c>
      <c r="P397" s="78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0"/>
      <c r="R397" s="620"/>
      <c r="S397" s="620"/>
      <c r="T397" s="621"/>
      <c r="U397" s="37"/>
      <c r="V397" s="37"/>
      <c r="W397" s="38" t="s">
        <v>66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IFERROR(IF(Y397=0,"",ROUNDUP(Y397/H397,0)*0.0045),"")</f>
        <v/>
      </c>
      <c r="AA397" s="65"/>
      <c r="AB397" s="66" t="s">
        <v>263</v>
      </c>
      <c r="AC397" s="485" t="s">
        <v>646</v>
      </c>
      <c r="AG397" s="75"/>
      <c r="AJ397" s="79"/>
      <c r="AK397" s="79">
        <v>0</v>
      </c>
      <c r="BB397" s="486" t="s">
        <v>1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647</v>
      </c>
      <c r="B398" s="60" t="s">
        <v>648</v>
      </c>
      <c r="C398" s="34">
        <v>4301220001</v>
      </c>
      <c r="D398" s="626">
        <v>4680115888654</v>
      </c>
      <c r="E398" s="627"/>
      <c r="F398" s="59">
        <v>0.32500000000000001</v>
      </c>
      <c r="G398" s="35">
        <v>12</v>
      </c>
      <c r="H398" s="59">
        <v>3.9</v>
      </c>
      <c r="I398" s="59">
        <v>4.17</v>
      </c>
      <c r="J398" s="35">
        <v>144</v>
      </c>
      <c r="K398" s="35" t="s">
        <v>128</v>
      </c>
      <c r="L398" s="35"/>
      <c r="M398" s="36" t="s">
        <v>637</v>
      </c>
      <c r="N398" s="36"/>
      <c r="O398" s="35">
        <v>1095</v>
      </c>
      <c r="P398" s="85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0"/>
      <c r="R398" s="620"/>
      <c r="S398" s="620"/>
      <c r="T398" s="621"/>
      <c r="U398" s="37"/>
      <c r="V398" s="37"/>
      <c r="W398" s="38" t="s">
        <v>66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IFERROR(IF(Y398=0,"",ROUNDUP(Y398/H398,0)*0.006),"")</f>
        <v/>
      </c>
      <c r="AA398" s="65"/>
      <c r="AB398" s="66" t="s">
        <v>263</v>
      </c>
      <c r="AC398" s="487" t="s">
        <v>649</v>
      </c>
      <c r="AG398" s="75"/>
      <c r="AJ398" s="79"/>
      <c r="AK398" s="79">
        <v>0</v>
      </c>
      <c r="BB398" s="488" t="s">
        <v>1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650</v>
      </c>
      <c r="B399" s="60" t="s">
        <v>651</v>
      </c>
      <c r="C399" s="34">
        <v>4301220002</v>
      </c>
      <c r="D399" s="626">
        <v>4680115888753</v>
      </c>
      <c r="E399" s="627"/>
      <c r="F399" s="59">
        <v>0.25</v>
      </c>
      <c r="G399" s="35">
        <v>12</v>
      </c>
      <c r="H399" s="59">
        <v>3</v>
      </c>
      <c r="I399" s="59">
        <v>3.22</v>
      </c>
      <c r="J399" s="35">
        <v>224</v>
      </c>
      <c r="K399" s="35" t="s">
        <v>76</v>
      </c>
      <c r="L399" s="35"/>
      <c r="M399" s="36" t="s">
        <v>637</v>
      </c>
      <c r="N399" s="36"/>
      <c r="O399" s="35">
        <v>1095</v>
      </c>
      <c r="P399" s="87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0"/>
      <c r="R399" s="620"/>
      <c r="S399" s="620"/>
      <c r="T399" s="621"/>
      <c r="U399" s="37"/>
      <c r="V399" s="37"/>
      <c r="W399" s="38" t="s">
        <v>66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IFERROR(IF(Y399=0,"",ROUNDUP(Y399/H399,0)*0.0045),"")</f>
        <v/>
      </c>
      <c r="AA399" s="65"/>
      <c r="AB399" s="66" t="s">
        <v>263</v>
      </c>
      <c r="AC399" s="489" t="s">
        <v>646</v>
      </c>
      <c r="AG399" s="75"/>
      <c r="AJ399" s="79"/>
      <c r="AK399" s="79">
        <v>0</v>
      </c>
      <c r="BB399" s="490" t="s">
        <v>1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idden="1" x14ac:dyDescent="0.2">
      <c r="A400" s="623"/>
      <c r="B400" s="624"/>
      <c r="C400" s="624"/>
      <c r="D400" s="624"/>
      <c r="E400" s="624"/>
      <c r="F400" s="624"/>
      <c r="G400" s="624"/>
      <c r="H400" s="624"/>
      <c r="I400" s="624"/>
      <c r="J400" s="624"/>
      <c r="K400" s="624"/>
      <c r="L400" s="624"/>
      <c r="M400" s="624"/>
      <c r="N400" s="624"/>
      <c r="O400" s="625"/>
      <c r="P400" s="631" t="s">
        <v>71</v>
      </c>
      <c r="Q400" s="632"/>
      <c r="R400" s="632"/>
      <c r="S400" s="632"/>
      <c r="T400" s="632"/>
      <c r="U400" s="632"/>
      <c r="V400" s="633"/>
      <c r="W400" s="40" t="s">
        <v>72</v>
      </c>
      <c r="X400" s="41">
        <f>IFERROR(X397/H397,"0")+IFERROR(X398/H398,"0")+IFERROR(X399/H399,"0")</f>
        <v>0</v>
      </c>
      <c r="Y400" s="41">
        <f>IFERROR(Y397/H397,"0")+IFERROR(Y398/H398,"0")+IFERROR(Y399/H399,"0")</f>
        <v>0</v>
      </c>
      <c r="Z400" s="41">
        <f>IFERROR(IF(Z397="",0,Z397),"0")+IFERROR(IF(Z398="",0,Z398),"0")+IFERROR(IF(Z399="",0,Z399),"0")</f>
        <v>0</v>
      </c>
      <c r="AA400" s="64"/>
      <c r="AB400" s="64"/>
      <c r="AC400" s="64"/>
    </row>
    <row r="401" spans="1:68" hidden="1" x14ac:dyDescent="0.2">
      <c r="A401" s="624"/>
      <c r="B401" s="624"/>
      <c r="C401" s="624"/>
      <c r="D401" s="624"/>
      <c r="E401" s="624"/>
      <c r="F401" s="624"/>
      <c r="G401" s="624"/>
      <c r="H401" s="624"/>
      <c r="I401" s="624"/>
      <c r="J401" s="624"/>
      <c r="K401" s="624"/>
      <c r="L401" s="624"/>
      <c r="M401" s="624"/>
      <c r="N401" s="624"/>
      <c r="O401" s="625"/>
      <c r="P401" s="631" t="s">
        <v>71</v>
      </c>
      <c r="Q401" s="632"/>
      <c r="R401" s="632"/>
      <c r="S401" s="632"/>
      <c r="T401" s="632"/>
      <c r="U401" s="632"/>
      <c r="V401" s="633"/>
      <c r="W401" s="40" t="s">
        <v>66</v>
      </c>
      <c r="X401" s="41">
        <f>IFERROR(SUM(X397:X399),"0")</f>
        <v>0</v>
      </c>
      <c r="Y401" s="41">
        <f>IFERROR(SUM(Y397:Y399),"0")</f>
        <v>0</v>
      </c>
      <c r="Z401" s="40"/>
      <c r="AA401" s="64"/>
      <c r="AB401" s="64"/>
      <c r="AC401" s="64"/>
    </row>
    <row r="402" spans="1:68" ht="16.5" hidden="1" customHeight="1" x14ac:dyDescent="0.25">
      <c r="A402" s="639" t="s">
        <v>652</v>
      </c>
      <c r="B402" s="624"/>
      <c r="C402" s="624"/>
      <c r="D402" s="624"/>
      <c r="E402" s="624"/>
      <c r="F402" s="624"/>
      <c r="G402" s="624"/>
      <c r="H402" s="624"/>
      <c r="I402" s="624"/>
      <c r="J402" s="624"/>
      <c r="K402" s="624"/>
      <c r="L402" s="624"/>
      <c r="M402" s="624"/>
      <c r="N402" s="624"/>
      <c r="O402" s="624"/>
      <c r="P402" s="624"/>
      <c r="Q402" s="624"/>
      <c r="R402" s="624"/>
      <c r="S402" s="624"/>
      <c r="T402" s="624"/>
      <c r="U402" s="624"/>
      <c r="V402" s="624"/>
      <c r="W402" s="624"/>
      <c r="X402" s="624"/>
      <c r="Y402" s="624"/>
      <c r="Z402" s="624"/>
      <c r="AA402" s="62"/>
      <c r="AB402" s="62"/>
      <c r="AC402" s="62"/>
    </row>
    <row r="403" spans="1:68" ht="14.25" hidden="1" customHeight="1" x14ac:dyDescent="0.25">
      <c r="A403" s="628" t="s">
        <v>73</v>
      </c>
      <c r="B403" s="624"/>
      <c r="C403" s="624"/>
      <c r="D403" s="624"/>
      <c r="E403" s="624"/>
      <c r="F403" s="624"/>
      <c r="G403" s="624"/>
      <c r="H403" s="624"/>
      <c r="I403" s="624"/>
      <c r="J403" s="624"/>
      <c r="K403" s="624"/>
      <c r="L403" s="624"/>
      <c r="M403" s="624"/>
      <c r="N403" s="624"/>
      <c r="O403" s="624"/>
      <c r="P403" s="624"/>
      <c r="Q403" s="624"/>
      <c r="R403" s="624"/>
      <c r="S403" s="624"/>
      <c r="T403" s="624"/>
      <c r="U403" s="624"/>
      <c r="V403" s="624"/>
      <c r="W403" s="624"/>
      <c r="X403" s="624"/>
      <c r="Y403" s="624"/>
      <c r="Z403" s="624"/>
      <c r="AA403" s="63"/>
      <c r="AB403" s="63"/>
      <c r="AC403" s="63"/>
    </row>
    <row r="404" spans="1:68" ht="27" hidden="1" customHeight="1" x14ac:dyDescent="0.25">
      <c r="A404" s="60" t="s">
        <v>653</v>
      </c>
      <c r="B404" s="60" t="s">
        <v>654</v>
      </c>
      <c r="C404" s="34">
        <v>4301051489</v>
      </c>
      <c r="D404" s="626">
        <v>4607091387919</v>
      </c>
      <c r="E404" s="627"/>
      <c r="F404" s="59">
        <v>1.35</v>
      </c>
      <c r="G404" s="35">
        <v>6</v>
      </c>
      <c r="H404" s="59">
        <v>8.1</v>
      </c>
      <c r="I404" s="59">
        <v>8.5939999999999994</v>
      </c>
      <c r="J404" s="35">
        <v>64</v>
      </c>
      <c r="K404" s="35" t="s">
        <v>119</v>
      </c>
      <c r="L404" s="35"/>
      <c r="M404" s="36" t="s">
        <v>83</v>
      </c>
      <c r="N404" s="36"/>
      <c r="O404" s="35">
        <v>45</v>
      </c>
      <c r="P404" s="65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0"/>
      <c r="R404" s="620"/>
      <c r="S404" s="620"/>
      <c r="T404" s="621"/>
      <c r="U404" s="37"/>
      <c r="V404" s="37"/>
      <c r="W404" s="38" t="s">
        <v>66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IFERROR(IF(Y404=0,"",ROUNDUP(Y404/H404,0)*0.01898),"")</f>
        <v/>
      </c>
      <c r="AA404" s="65"/>
      <c r="AB404" s="66"/>
      <c r="AC404" s="491" t="s">
        <v>655</v>
      </c>
      <c r="AG404" s="75"/>
      <c r="AJ404" s="79"/>
      <c r="AK404" s="79">
        <v>0</v>
      </c>
      <c r="BB404" s="492" t="s">
        <v>1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656</v>
      </c>
      <c r="B405" s="60" t="s">
        <v>657</v>
      </c>
      <c r="C405" s="34">
        <v>4301051461</v>
      </c>
      <c r="D405" s="626">
        <v>4680115883604</v>
      </c>
      <c r="E405" s="627"/>
      <c r="F405" s="59">
        <v>0.35</v>
      </c>
      <c r="G405" s="35">
        <v>6</v>
      </c>
      <c r="H405" s="59">
        <v>2.1</v>
      </c>
      <c r="I405" s="59">
        <v>2.3519999999999999</v>
      </c>
      <c r="J405" s="35">
        <v>182</v>
      </c>
      <c r="K405" s="35" t="s">
        <v>76</v>
      </c>
      <c r="L405" s="35"/>
      <c r="M405" s="36" t="s">
        <v>77</v>
      </c>
      <c r="N405" s="36"/>
      <c r="O405" s="35">
        <v>45</v>
      </c>
      <c r="P405" s="69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0"/>
      <c r="R405" s="620"/>
      <c r="S405" s="620"/>
      <c r="T405" s="621"/>
      <c r="U405" s="37"/>
      <c r="V405" s="37"/>
      <c r="W405" s="38" t="s">
        <v>66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/>
      <c r="AB405" s="66"/>
      <c r="AC405" s="493" t="s">
        <v>658</v>
      </c>
      <c r="AG405" s="75"/>
      <c r="AJ405" s="79"/>
      <c r="AK405" s="79">
        <v>0</v>
      </c>
      <c r="BB405" s="494" t="s">
        <v>1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659</v>
      </c>
      <c r="B406" s="60" t="s">
        <v>660</v>
      </c>
      <c r="C406" s="34">
        <v>4301051864</v>
      </c>
      <c r="D406" s="626">
        <v>4680115883567</v>
      </c>
      <c r="E406" s="627"/>
      <c r="F406" s="59">
        <v>0.35</v>
      </c>
      <c r="G406" s="35">
        <v>6</v>
      </c>
      <c r="H406" s="59">
        <v>2.1</v>
      </c>
      <c r="I406" s="59">
        <v>2.34</v>
      </c>
      <c r="J406" s="35">
        <v>182</v>
      </c>
      <c r="K406" s="35" t="s">
        <v>76</v>
      </c>
      <c r="L406" s="35"/>
      <c r="M406" s="36" t="s">
        <v>83</v>
      </c>
      <c r="N406" s="36"/>
      <c r="O406" s="35">
        <v>40</v>
      </c>
      <c r="P406" s="7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0"/>
      <c r="R406" s="620"/>
      <c r="S406" s="620"/>
      <c r="T406" s="621"/>
      <c r="U406" s="37"/>
      <c r="V406" s="37"/>
      <c r="W406" s="38" t="s">
        <v>66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IFERROR(IF(Y406=0,"",ROUNDUP(Y406/H406,0)*0.00651),"")</f>
        <v/>
      </c>
      <c r="AA406" s="65"/>
      <c r="AB406" s="66"/>
      <c r="AC406" s="495" t="s">
        <v>661</v>
      </c>
      <c r="AG406" s="75"/>
      <c r="AJ406" s="79"/>
      <c r="AK406" s="79">
        <v>0</v>
      </c>
      <c r="BB406" s="496" t="s">
        <v>1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623"/>
      <c r="B407" s="624"/>
      <c r="C407" s="624"/>
      <c r="D407" s="624"/>
      <c r="E407" s="624"/>
      <c r="F407" s="624"/>
      <c r="G407" s="624"/>
      <c r="H407" s="624"/>
      <c r="I407" s="624"/>
      <c r="J407" s="624"/>
      <c r="K407" s="624"/>
      <c r="L407" s="624"/>
      <c r="M407" s="624"/>
      <c r="N407" s="624"/>
      <c r="O407" s="625"/>
      <c r="P407" s="631" t="s">
        <v>71</v>
      </c>
      <c r="Q407" s="632"/>
      <c r="R407" s="632"/>
      <c r="S407" s="632"/>
      <c r="T407" s="632"/>
      <c r="U407" s="632"/>
      <c r="V407" s="633"/>
      <c r="W407" s="40" t="s">
        <v>72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">
      <c r="A408" s="624"/>
      <c r="B408" s="624"/>
      <c r="C408" s="624"/>
      <c r="D408" s="624"/>
      <c r="E408" s="624"/>
      <c r="F408" s="624"/>
      <c r="G408" s="624"/>
      <c r="H408" s="624"/>
      <c r="I408" s="624"/>
      <c r="J408" s="624"/>
      <c r="K408" s="624"/>
      <c r="L408" s="624"/>
      <c r="M408" s="624"/>
      <c r="N408" s="624"/>
      <c r="O408" s="625"/>
      <c r="P408" s="631" t="s">
        <v>71</v>
      </c>
      <c r="Q408" s="632"/>
      <c r="R408" s="632"/>
      <c r="S408" s="632"/>
      <c r="T408" s="632"/>
      <c r="U408" s="632"/>
      <c r="V408" s="633"/>
      <c r="W408" s="40" t="s">
        <v>66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27.75" hidden="1" customHeight="1" x14ac:dyDescent="0.2">
      <c r="A409" s="775" t="s">
        <v>662</v>
      </c>
      <c r="B409" s="776"/>
      <c r="C409" s="776"/>
      <c r="D409" s="776"/>
      <c r="E409" s="776"/>
      <c r="F409" s="776"/>
      <c r="G409" s="776"/>
      <c r="H409" s="776"/>
      <c r="I409" s="776"/>
      <c r="J409" s="776"/>
      <c r="K409" s="776"/>
      <c r="L409" s="776"/>
      <c r="M409" s="776"/>
      <c r="N409" s="776"/>
      <c r="O409" s="776"/>
      <c r="P409" s="776"/>
      <c r="Q409" s="776"/>
      <c r="R409" s="776"/>
      <c r="S409" s="776"/>
      <c r="T409" s="776"/>
      <c r="U409" s="776"/>
      <c r="V409" s="776"/>
      <c r="W409" s="776"/>
      <c r="X409" s="776"/>
      <c r="Y409" s="776"/>
      <c r="Z409" s="776"/>
      <c r="AA409" s="52"/>
      <c r="AB409" s="52"/>
      <c r="AC409" s="52"/>
    </row>
    <row r="410" spans="1:68" ht="16.5" hidden="1" customHeight="1" x14ac:dyDescent="0.25">
      <c r="A410" s="639" t="s">
        <v>663</v>
      </c>
      <c r="B410" s="624"/>
      <c r="C410" s="624"/>
      <c r="D410" s="624"/>
      <c r="E410" s="624"/>
      <c r="F410" s="624"/>
      <c r="G410" s="624"/>
      <c r="H410" s="624"/>
      <c r="I410" s="624"/>
      <c r="J410" s="624"/>
      <c r="K410" s="624"/>
      <c r="L410" s="624"/>
      <c r="M410" s="624"/>
      <c r="N410" s="624"/>
      <c r="O410" s="624"/>
      <c r="P410" s="624"/>
      <c r="Q410" s="624"/>
      <c r="R410" s="624"/>
      <c r="S410" s="624"/>
      <c r="T410" s="624"/>
      <c r="U410" s="624"/>
      <c r="V410" s="624"/>
      <c r="W410" s="624"/>
      <c r="X410" s="624"/>
      <c r="Y410" s="624"/>
      <c r="Z410" s="624"/>
      <c r="AA410" s="62"/>
      <c r="AB410" s="62"/>
      <c r="AC410" s="62"/>
    </row>
    <row r="411" spans="1:68" ht="14.25" hidden="1" customHeight="1" x14ac:dyDescent="0.25">
      <c r="A411" s="628" t="s">
        <v>116</v>
      </c>
      <c r="B411" s="624"/>
      <c r="C411" s="624"/>
      <c r="D411" s="624"/>
      <c r="E411" s="624"/>
      <c r="F411" s="624"/>
      <c r="G411" s="624"/>
      <c r="H411" s="624"/>
      <c r="I411" s="624"/>
      <c r="J411" s="624"/>
      <c r="K411" s="624"/>
      <c r="L411" s="624"/>
      <c r="M411" s="624"/>
      <c r="N411" s="624"/>
      <c r="O411" s="624"/>
      <c r="P411" s="624"/>
      <c r="Q411" s="624"/>
      <c r="R411" s="624"/>
      <c r="S411" s="624"/>
      <c r="T411" s="624"/>
      <c r="U411" s="624"/>
      <c r="V411" s="624"/>
      <c r="W411" s="624"/>
      <c r="X411" s="624"/>
      <c r="Y411" s="624"/>
      <c r="Z411" s="624"/>
      <c r="AA411" s="63"/>
      <c r="AB411" s="63"/>
      <c r="AC411" s="63"/>
    </row>
    <row r="412" spans="1:68" ht="27" hidden="1" customHeight="1" x14ac:dyDescent="0.25">
      <c r="A412" s="60" t="s">
        <v>664</v>
      </c>
      <c r="B412" s="60" t="s">
        <v>665</v>
      </c>
      <c r="C412" s="34">
        <v>4301012332</v>
      </c>
      <c r="D412" s="626">
        <v>4680115888401</v>
      </c>
      <c r="E412" s="627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119</v>
      </c>
      <c r="L412" s="35"/>
      <c r="M412" s="36" t="s">
        <v>83</v>
      </c>
      <c r="N412" s="36"/>
      <c r="O412" s="35">
        <v>60</v>
      </c>
      <c r="P412" s="92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0"/>
      <c r="R412" s="620"/>
      <c r="S412" s="620"/>
      <c r="T412" s="621"/>
      <c r="U412" s="37"/>
      <c r="V412" s="37"/>
      <c r="W412" s="38" t="s">
        <v>66</v>
      </c>
      <c r="X412" s="56">
        <v>0</v>
      </c>
      <c r="Y412" s="53">
        <f t="shared" ref="Y412:Y419" si="47">IFERROR(IF(X412="",0,CEILING((X412/$H412),1)*$H412),"")</f>
        <v>0</v>
      </c>
      <c r="Z412" s="39" t="str">
        <f>IFERROR(IF(Y412=0,"",ROUNDUP(Y412/H412,0)*0.02175),"")</f>
        <v/>
      </c>
      <c r="AA412" s="65"/>
      <c r="AB412" s="66"/>
      <c r="AC412" s="497" t="s">
        <v>666</v>
      </c>
      <c r="AG412" s="75"/>
      <c r="AJ412" s="79"/>
      <c r="AK412" s="79">
        <v>0</v>
      </c>
      <c r="BB412" s="498" t="s">
        <v>1</v>
      </c>
      <c r="BM412" s="75">
        <f t="shared" ref="BM412:BM419" si="48">IFERROR(X412*I412/H412,"0")</f>
        <v>0</v>
      </c>
      <c r="BN412" s="75">
        <f t="shared" ref="BN412:BN419" si="49">IFERROR(Y412*I412/H412,"0")</f>
        <v>0</v>
      </c>
      <c r="BO412" s="75">
        <f t="shared" ref="BO412:BO419" si="50">IFERROR(1/J412*(X412/H412),"0")</f>
        <v>0</v>
      </c>
      <c r="BP412" s="75">
        <f t="shared" ref="BP412:BP419" si="51">IFERROR(1/J412*(Y412/H412),"0")</f>
        <v>0</v>
      </c>
    </row>
    <row r="413" spans="1:68" ht="37.5" customHeight="1" x14ac:dyDescent="0.25">
      <c r="A413" s="60" t="s">
        <v>667</v>
      </c>
      <c r="B413" s="60" t="s">
        <v>668</v>
      </c>
      <c r="C413" s="34">
        <v>4301011869</v>
      </c>
      <c r="D413" s="626">
        <v>4680115884847</v>
      </c>
      <c r="E413" s="627"/>
      <c r="F413" s="59">
        <v>2.5</v>
      </c>
      <c r="G413" s="35">
        <v>6</v>
      </c>
      <c r="H413" s="59">
        <v>15</v>
      </c>
      <c r="I413" s="59">
        <v>15.47</v>
      </c>
      <c r="J413" s="35">
        <v>48</v>
      </c>
      <c r="K413" s="35" t="s">
        <v>119</v>
      </c>
      <c r="L413" s="35"/>
      <c r="M413" s="36" t="s">
        <v>65</v>
      </c>
      <c r="N413" s="36"/>
      <c r="O413" s="35">
        <v>60</v>
      </c>
      <c r="P413" s="7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0"/>
      <c r="R413" s="620"/>
      <c r="S413" s="620"/>
      <c r="T413" s="621"/>
      <c r="U413" s="37"/>
      <c r="V413" s="37"/>
      <c r="W413" s="38" t="s">
        <v>66</v>
      </c>
      <c r="X413" s="56">
        <v>400</v>
      </c>
      <c r="Y413" s="53">
        <f t="shared" si="47"/>
        <v>405</v>
      </c>
      <c r="Z413" s="39">
        <f>IFERROR(IF(Y413=0,"",ROUNDUP(Y413/H413,0)*0.02175),"")</f>
        <v>0.58724999999999994</v>
      </c>
      <c r="AA413" s="65"/>
      <c r="AB413" s="66"/>
      <c r="AC413" s="499" t="s">
        <v>669</v>
      </c>
      <c r="AG413" s="75"/>
      <c r="AJ413" s="79"/>
      <c r="AK413" s="79">
        <v>0</v>
      </c>
      <c r="BB413" s="500" t="s">
        <v>1</v>
      </c>
      <c r="BM413" s="75">
        <f t="shared" si="48"/>
        <v>412.53333333333336</v>
      </c>
      <c r="BN413" s="75">
        <f t="shared" si="49"/>
        <v>417.69</v>
      </c>
      <c r="BO413" s="75">
        <f t="shared" si="50"/>
        <v>0.55555555555555558</v>
      </c>
      <c r="BP413" s="75">
        <f t="shared" si="51"/>
        <v>0.5625</v>
      </c>
    </row>
    <row r="414" spans="1:68" ht="27" hidden="1" customHeight="1" x14ac:dyDescent="0.25">
      <c r="A414" s="60" t="s">
        <v>670</v>
      </c>
      <c r="B414" s="60" t="s">
        <v>671</v>
      </c>
      <c r="C414" s="34">
        <v>4301012083</v>
      </c>
      <c r="D414" s="626">
        <v>4680115884854</v>
      </c>
      <c r="E414" s="627"/>
      <c r="F414" s="59">
        <v>2.5</v>
      </c>
      <c r="G414" s="35">
        <v>6</v>
      </c>
      <c r="H414" s="59">
        <v>15</v>
      </c>
      <c r="I414" s="59">
        <v>15.47</v>
      </c>
      <c r="J414" s="35">
        <v>48</v>
      </c>
      <c r="K414" s="35" t="s">
        <v>119</v>
      </c>
      <c r="L414" s="35"/>
      <c r="M414" s="36" t="s">
        <v>120</v>
      </c>
      <c r="N414" s="36"/>
      <c r="O414" s="35">
        <v>60</v>
      </c>
      <c r="P414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0"/>
      <c r="R414" s="620"/>
      <c r="S414" s="620"/>
      <c r="T414" s="621"/>
      <c r="U414" s="37"/>
      <c r="V414" s="37"/>
      <c r="W414" s="38" t="s">
        <v>66</v>
      </c>
      <c r="X414" s="56">
        <v>0</v>
      </c>
      <c r="Y414" s="53">
        <f t="shared" si="47"/>
        <v>0</v>
      </c>
      <c r="Z414" s="39" t="str">
        <f>IFERROR(IF(Y414=0,"",ROUNDUP(Y414/H414,0)*0.02175),"")</f>
        <v/>
      </c>
      <c r="AA414" s="65"/>
      <c r="AB414" s="66"/>
      <c r="AC414" s="501" t="s">
        <v>672</v>
      </c>
      <c r="AG414" s="75"/>
      <c r="AJ414" s="79"/>
      <c r="AK414" s="79">
        <v>0</v>
      </c>
      <c r="BB414" s="502" t="s">
        <v>1</v>
      </c>
      <c r="BM414" s="75">
        <f t="shared" si="48"/>
        <v>0</v>
      </c>
      <c r="BN414" s="75">
        <f t="shared" si="49"/>
        <v>0</v>
      </c>
      <c r="BO414" s="75">
        <f t="shared" si="50"/>
        <v>0</v>
      </c>
      <c r="BP414" s="75">
        <f t="shared" si="51"/>
        <v>0</v>
      </c>
    </row>
    <row r="415" spans="1:68" ht="27" customHeight="1" x14ac:dyDescent="0.25">
      <c r="A415" s="60" t="s">
        <v>673</v>
      </c>
      <c r="B415" s="60" t="s">
        <v>674</v>
      </c>
      <c r="C415" s="34">
        <v>4301011867</v>
      </c>
      <c r="D415" s="626">
        <v>4680115884830</v>
      </c>
      <c r="E415" s="627"/>
      <c r="F415" s="59">
        <v>2.5</v>
      </c>
      <c r="G415" s="35">
        <v>6</v>
      </c>
      <c r="H415" s="59">
        <v>15</v>
      </c>
      <c r="I415" s="59">
        <v>15.47</v>
      </c>
      <c r="J415" s="35">
        <v>48</v>
      </c>
      <c r="K415" s="35" t="s">
        <v>119</v>
      </c>
      <c r="L415" s="35"/>
      <c r="M415" s="36" t="s">
        <v>65</v>
      </c>
      <c r="N415" s="36"/>
      <c r="O415" s="35">
        <v>60</v>
      </c>
      <c r="P415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0"/>
      <c r="R415" s="620"/>
      <c r="S415" s="620"/>
      <c r="T415" s="621"/>
      <c r="U415" s="37"/>
      <c r="V415" s="37"/>
      <c r="W415" s="38" t="s">
        <v>66</v>
      </c>
      <c r="X415" s="56">
        <v>200</v>
      </c>
      <c r="Y415" s="53">
        <f t="shared" si="47"/>
        <v>210</v>
      </c>
      <c r="Z415" s="39">
        <f>IFERROR(IF(Y415=0,"",ROUNDUP(Y415/H415,0)*0.02175),"")</f>
        <v>0.30449999999999999</v>
      </c>
      <c r="AA415" s="65"/>
      <c r="AB415" s="66"/>
      <c r="AC415" s="503" t="s">
        <v>675</v>
      </c>
      <c r="AG415" s="75"/>
      <c r="AJ415" s="79"/>
      <c r="AK415" s="79">
        <v>0</v>
      </c>
      <c r="BB415" s="504" t="s">
        <v>1</v>
      </c>
      <c r="BM415" s="75">
        <f t="shared" si="48"/>
        <v>206.26666666666668</v>
      </c>
      <c r="BN415" s="75">
        <f t="shared" si="49"/>
        <v>216.58</v>
      </c>
      <c r="BO415" s="75">
        <f t="shared" si="50"/>
        <v>0.27777777777777779</v>
      </c>
      <c r="BP415" s="75">
        <f t="shared" si="51"/>
        <v>0.29166666666666663</v>
      </c>
    </row>
    <row r="416" spans="1:68" ht="27" customHeight="1" x14ac:dyDescent="0.25">
      <c r="A416" s="60" t="s">
        <v>676</v>
      </c>
      <c r="B416" s="60" t="s">
        <v>677</v>
      </c>
      <c r="C416" s="34">
        <v>4301012356</v>
      </c>
      <c r="D416" s="626">
        <v>4680115889231</v>
      </c>
      <c r="E416" s="627"/>
      <c r="F416" s="59">
        <v>2.5</v>
      </c>
      <c r="G416" s="35">
        <v>6</v>
      </c>
      <c r="H416" s="59">
        <v>15</v>
      </c>
      <c r="I416" s="59">
        <v>15.47</v>
      </c>
      <c r="J416" s="35">
        <v>48</v>
      </c>
      <c r="K416" s="35" t="s">
        <v>119</v>
      </c>
      <c r="L416" s="35"/>
      <c r="M416" s="36" t="s">
        <v>83</v>
      </c>
      <c r="N416" s="36"/>
      <c r="O416" s="35">
        <v>60</v>
      </c>
      <c r="P416" s="75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0"/>
      <c r="R416" s="620"/>
      <c r="S416" s="620"/>
      <c r="T416" s="621"/>
      <c r="U416" s="37"/>
      <c r="V416" s="37"/>
      <c r="W416" s="38" t="s">
        <v>66</v>
      </c>
      <c r="X416" s="56">
        <v>100</v>
      </c>
      <c r="Y416" s="53">
        <f t="shared" si="47"/>
        <v>105</v>
      </c>
      <c r="Z416" s="39">
        <f>IFERROR(IF(Y416=0,"",ROUNDUP(Y416/H416,0)*0.02175),"")</f>
        <v>0.15225</v>
      </c>
      <c r="AA416" s="65"/>
      <c r="AB416" s="66"/>
      <c r="AC416" s="505" t="s">
        <v>678</v>
      </c>
      <c r="AG416" s="75"/>
      <c r="AJ416" s="79"/>
      <c r="AK416" s="79">
        <v>0</v>
      </c>
      <c r="BB416" s="506" t="s">
        <v>1</v>
      </c>
      <c r="BM416" s="75">
        <f t="shared" si="48"/>
        <v>103.13333333333334</v>
      </c>
      <c r="BN416" s="75">
        <f t="shared" si="49"/>
        <v>108.29</v>
      </c>
      <c r="BO416" s="75">
        <f t="shared" si="50"/>
        <v>0.1388888888888889</v>
      </c>
      <c r="BP416" s="75">
        <f t="shared" si="51"/>
        <v>0.14583333333333331</v>
      </c>
    </row>
    <row r="417" spans="1:68" ht="27" hidden="1" customHeight="1" x14ac:dyDescent="0.25">
      <c r="A417" s="60" t="s">
        <v>679</v>
      </c>
      <c r="B417" s="60" t="s">
        <v>680</v>
      </c>
      <c r="C417" s="34">
        <v>4301011433</v>
      </c>
      <c r="D417" s="626">
        <v>4680115882638</v>
      </c>
      <c r="E417" s="627"/>
      <c r="F417" s="59">
        <v>0.4</v>
      </c>
      <c r="G417" s="35">
        <v>10</v>
      </c>
      <c r="H417" s="59">
        <v>4</v>
      </c>
      <c r="I417" s="59">
        <v>4.1900000000000004</v>
      </c>
      <c r="J417" s="35">
        <v>132</v>
      </c>
      <c r="K417" s="35" t="s">
        <v>128</v>
      </c>
      <c r="L417" s="35"/>
      <c r="M417" s="36" t="s">
        <v>120</v>
      </c>
      <c r="N417" s="36"/>
      <c r="O417" s="35">
        <v>90</v>
      </c>
      <c r="P417" s="9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0"/>
      <c r="R417" s="620"/>
      <c r="S417" s="620"/>
      <c r="T417" s="621"/>
      <c r="U417" s="37"/>
      <c r="V417" s="37"/>
      <c r="W417" s="38" t="s">
        <v>66</v>
      </c>
      <c r="X417" s="56">
        <v>0</v>
      </c>
      <c r="Y417" s="53">
        <f t="shared" si="47"/>
        <v>0</v>
      </c>
      <c r="Z417" s="39" t="str">
        <f>IFERROR(IF(Y417=0,"",ROUNDUP(Y417/H417,0)*0.00902),"")</f>
        <v/>
      </c>
      <c r="AA417" s="65"/>
      <c r="AB417" s="66"/>
      <c r="AC417" s="507" t="s">
        <v>681</v>
      </c>
      <c r="AG417" s="75"/>
      <c r="AJ417" s="79"/>
      <c r="AK417" s="79">
        <v>0</v>
      </c>
      <c r="BB417" s="508" t="s">
        <v>1</v>
      </c>
      <c r="BM417" s="75">
        <f t="shared" si="48"/>
        <v>0</v>
      </c>
      <c r="BN417" s="75">
        <f t="shared" si="49"/>
        <v>0</v>
      </c>
      <c r="BO417" s="75">
        <f t="shared" si="50"/>
        <v>0</v>
      </c>
      <c r="BP417" s="75">
        <f t="shared" si="51"/>
        <v>0</v>
      </c>
    </row>
    <row r="418" spans="1:68" ht="27" hidden="1" customHeight="1" x14ac:dyDescent="0.25">
      <c r="A418" s="60" t="s">
        <v>682</v>
      </c>
      <c r="B418" s="60" t="s">
        <v>683</v>
      </c>
      <c r="C418" s="34">
        <v>4301011952</v>
      </c>
      <c r="D418" s="626">
        <v>4680115884922</v>
      </c>
      <c r="E418" s="627"/>
      <c r="F418" s="59">
        <v>0.5</v>
      </c>
      <c r="G418" s="35">
        <v>10</v>
      </c>
      <c r="H418" s="59">
        <v>5</v>
      </c>
      <c r="I418" s="59">
        <v>5.19</v>
      </c>
      <c r="J418" s="35">
        <v>132</v>
      </c>
      <c r="K418" s="35" t="s">
        <v>128</v>
      </c>
      <c r="L418" s="35"/>
      <c r="M418" s="36" t="s">
        <v>65</v>
      </c>
      <c r="N418" s="36"/>
      <c r="O418" s="35">
        <v>60</v>
      </c>
      <c r="P418" s="9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0"/>
      <c r="R418" s="620"/>
      <c r="S418" s="620"/>
      <c r="T418" s="621"/>
      <c r="U418" s="37"/>
      <c r="V418" s="37"/>
      <c r="W418" s="38" t="s">
        <v>66</v>
      </c>
      <c r="X418" s="56">
        <v>0</v>
      </c>
      <c r="Y418" s="53">
        <f t="shared" si="47"/>
        <v>0</v>
      </c>
      <c r="Z418" s="39" t="str">
        <f>IFERROR(IF(Y418=0,"",ROUNDUP(Y418/H418,0)*0.00902),"")</f>
        <v/>
      </c>
      <c r="AA418" s="65"/>
      <c r="AB418" s="66"/>
      <c r="AC418" s="509" t="s">
        <v>684</v>
      </c>
      <c r="AG418" s="75"/>
      <c r="AJ418" s="79"/>
      <c r="AK418" s="79">
        <v>0</v>
      </c>
      <c r="BB418" s="510" t="s">
        <v>1</v>
      </c>
      <c r="BM418" s="75">
        <f t="shared" si="48"/>
        <v>0</v>
      </c>
      <c r="BN418" s="75">
        <f t="shared" si="49"/>
        <v>0</v>
      </c>
      <c r="BO418" s="75">
        <f t="shared" si="50"/>
        <v>0</v>
      </c>
      <c r="BP418" s="75">
        <f t="shared" si="51"/>
        <v>0</v>
      </c>
    </row>
    <row r="419" spans="1:68" ht="37.5" hidden="1" customHeight="1" x14ac:dyDescent="0.25">
      <c r="A419" s="60" t="s">
        <v>685</v>
      </c>
      <c r="B419" s="60" t="s">
        <v>686</v>
      </c>
      <c r="C419" s="34">
        <v>4301011868</v>
      </c>
      <c r="D419" s="626">
        <v>4680115884861</v>
      </c>
      <c r="E419" s="627"/>
      <c r="F419" s="59">
        <v>0.5</v>
      </c>
      <c r="G419" s="35">
        <v>10</v>
      </c>
      <c r="H419" s="59">
        <v>5</v>
      </c>
      <c r="I419" s="59">
        <v>5.19</v>
      </c>
      <c r="J419" s="35">
        <v>132</v>
      </c>
      <c r="K419" s="35" t="s">
        <v>128</v>
      </c>
      <c r="L419" s="35"/>
      <c r="M419" s="36" t="s">
        <v>65</v>
      </c>
      <c r="N419" s="36"/>
      <c r="O419" s="35">
        <v>60</v>
      </c>
      <c r="P41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0"/>
      <c r="R419" s="620"/>
      <c r="S419" s="620"/>
      <c r="T419" s="621"/>
      <c r="U419" s="37"/>
      <c r="V419" s="37"/>
      <c r="W419" s="38" t="s">
        <v>66</v>
      </c>
      <c r="X419" s="56">
        <v>0</v>
      </c>
      <c r="Y419" s="53">
        <f t="shared" si="47"/>
        <v>0</v>
      </c>
      <c r="Z419" s="39" t="str">
        <f>IFERROR(IF(Y419=0,"",ROUNDUP(Y419/H419,0)*0.00902),"")</f>
        <v/>
      </c>
      <c r="AA419" s="65"/>
      <c r="AB419" s="66"/>
      <c r="AC419" s="511" t="s">
        <v>687</v>
      </c>
      <c r="AG419" s="75"/>
      <c r="AJ419" s="79"/>
      <c r="AK419" s="79">
        <v>0</v>
      </c>
      <c r="BB419" s="512" t="s">
        <v>1</v>
      </c>
      <c r="BM419" s="75">
        <f t="shared" si="48"/>
        <v>0</v>
      </c>
      <c r="BN419" s="75">
        <f t="shared" si="49"/>
        <v>0</v>
      </c>
      <c r="BO419" s="75">
        <f t="shared" si="50"/>
        <v>0</v>
      </c>
      <c r="BP419" s="75">
        <f t="shared" si="51"/>
        <v>0</v>
      </c>
    </row>
    <row r="420" spans="1:68" x14ac:dyDescent="0.2">
      <c r="A420" s="623"/>
      <c r="B420" s="624"/>
      <c r="C420" s="624"/>
      <c r="D420" s="624"/>
      <c r="E420" s="624"/>
      <c r="F420" s="624"/>
      <c r="G420" s="624"/>
      <c r="H420" s="624"/>
      <c r="I420" s="624"/>
      <c r="J420" s="624"/>
      <c r="K420" s="624"/>
      <c r="L420" s="624"/>
      <c r="M420" s="624"/>
      <c r="N420" s="624"/>
      <c r="O420" s="625"/>
      <c r="P420" s="631" t="s">
        <v>71</v>
      </c>
      <c r="Q420" s="632"/>
      <c r="R420" s="632"/>
      <c r="S420" s="632"/>
      <c r="T420" s="632"/>
      <c r="U420" s="632"/>
      <c r="V420" s="633"/>
      <c r="W420" s="40" t="s">
        <v>72</v>
      </c>
      <c r="X420" s="41">
        <f>IFERROR(X412/H412,"0")+IFERROR(X413/H413,"0")+IFERROR(X414/H414,"0")+IFERROR(X415/H415,"0")+IFERROR(X416/H416,"0")+IFERROR(X417/H417,"0")+IFERROR(X418/H418,"0")+IFERROR(X419/H419,"0")</f>
        <v>46.666666666666664</v>
      </c>
      <c r="Y420" s="41">
        <f>IFERROR(Y412/H412,"0")+IFERROR(Y413/H413,"0")+IFERROR(Y414/H414,"0")+IFERROR(Y415/H415,"0")+IFERROR(Y416/H416,"0")+IFERROR(Y417/H417,"0")+IFERROR(Y418/H418,"0")+IFERROR(Y419/H419,"0")</f>
        <v>48</v>
      </c>
      <c r="Z420" s="41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1.044</v>
      </c>
      <c r="AA420" s="64"/>
      <c r="AB420" s="64"/>
      <c r="AC420" s="64"/>
    </row>
    <row r="421" spans="1:68" x14ac:dyDescent="0.2">
      <c r="A421" s="624"/>
      <c r="B421" s="624"/>
      <c r="C421" s="624"/>
      <c r="D421" s="624"/>
      <c r="E421" s="624"/>
      <c r="F421" s="624"/>
      <c r="G421" s="624"/>
      <c r="H421" s="624"/>
      <c r="I421" s="624"/>
      <c r="J421" s="624"/>
      <c r="K421" s="624"/>
      <c r="L421" s="624"/>
      <c r="M421" s="624"/>
      <c r="N421" s="624"/>
      <c r="O421" s="625"/>
      <c r="P421" s="631" t="s">
        <v>71</v>
      </c>
      <c r="Q421" s="632"/>
      <c r="R421" s="632"/>
      <c r="S421" s="632"/>
      <c r="T421" s="632"/>
      <c r="U421" s="632"/>
      <c r="V421" s="633"/>
      <c r="W421" s="40" t="s">
        <v>66</v>
      </c>
      <c r="X421" s="41">
        <f>IFERROR(SUM(X412:X419),"0")</f>
        <v>700</v>
      </c>
      <c r="Y421" s="41">
        <f>IFERROR(SUM(Y412:Y419),"0")</f>
        <v>720</v>
      </c>
      <c r="Z421" s="40"/>
      <c r="AA421" s="64"/>
      <c r="AB421" s="64"/>
      <c r="AC421" s="64"/>
    </row>
    <row r="422" spans="1:68" ht="14.25" hidden="1" customHeight="1" x14ac:dyDescent="0.25">
      <c r="A422" s="628" t="s">
        <v>152</v>
      </c>
      <c r="B422" s="624"/>
      <c r="C422" s="624"/>
      <c r="D422" s="624"/>
      <c r="E422" s="624"/>
      <c r="F422" s="624"/>
      <c r="G422" s="624"/>
      <c r="H422" s="624"/>
      <c r="I422" s="624"/>
      <c r="J422" s="624"/>
      <c r="K422" s="624"/>
      <c r="L422" s="624"/>
      <c r="M422" s="624"/>
      <c r="N422" s="624"/>
      <c r="O422" s="624"/>
      <c r="P422" s="624"/>
      <c r="Q422" s="624"/>
      <c r="R422" s="624"/>
      <c r="S422" s="624"/>
      <c r="T422" s="624"/>
      <c r="U422" s="624"/>
      <c r="V422" s="624"/>
      <c r="W422" s="624"/>
      <c r="X422" s="624"/>
      <c r="Y422" s="624"/>
      <c r="Z422" s="624"/>
      <c r="AA422" s="63"/>
      <c r="AB422" s="63"/>
      <c r="AC422" s="63"/>
    </row>
    <row r="423" spans="1:68" ht="27" hidden="1" customHeight="1" x14ac:dyDescent="0.25">
      <c r="A423" s="60" t="s">
        <v>688</v>
      </c>
      <c r="B423" s="60" t="s">
        <v>689</v>
      </c>
      <c r="C423" s="34">
        <v>4301020178</v>
      </c>
      <c r="D423" s="626">
        <v>4607091383980</v>
      </c>
      <c r="E423" s="627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119</v>
      </c>
      <c r="L423" s="35"/>
      <c r="M423" s="36" t="s">
        <v>120</v>
      </c>
      <c r="N423" s="36"/>
      <c r="O423" s="35">
        <v>50</v>
      </c>
      <c r="P42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0"/>
      <c r="R423" s="620"/>
      <c r="S423" s="620"/>
      <c r="T423" s="621"/>
      <c r="U423" s="37"/>
      <c r="V423" s="37"/>
      <c r="W423" s="38" t="s">
        <v>66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IFERROR(IF(Y423=0,"",ROUNDUP(Y423/H423,0)*0.02175),"")</f>
        <v/>
      </c>
      <c r="AA423" s="65"/>
      <c r="AB423" s="66"/>
      <c r="AC423" s="513" t="s">
        <v>690</v>
      </c>
      <c r="AG423" s="75"/>
      <c r="AJ423" s="79"/>
      <c r="AK423" s="79">
        <v>0</v>
      </c>
      <c r="BB423" s="514" t="s">
        <v>1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691</v>
      </c>
      <c r="B424" s="60" t="s">
        <v>692</v>
      </c>
      <c r="C424" s="34">
        <v>4301020355</v>
      </c>
      <c r="D424" s="626">
        <v>4680115888425</v>
      </c>
      <c r="E424" s="627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119</v>
      </c>
      <c r="L424" s="35"/>
      <c r="M424" s="36" t="s">
        <v>120</v>
      </c>
      <c r="N424" s="36"/>
      <c r="O424" s="35">
        <v>50</v>
      </c>
      <c r="P424" s="79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0"/>
      <c r="R424" s="620"/>
      <c r="S424" s="620"/>
      <c r="T424" s="621"/>
      <c r="U424" s="37"/>
      <c r="V424" s="37"/>
      <c r="W424" s="38" t="s">
        <v>66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IFERROR(IF(Y424=0,"",ROUNDUP(Y424/H424,0)*0.02175),"")</f>
        <v/>
      </c>
      <c r="AA424" s="65"/>
      <c r="AB424" s="66"/>
      <c r="AC424" s="515" t="s">
        <v>693</v>
      </c>
      <c r="AG424" s="75"/>
      <c r="AJ424" s="79"/>
      <c r="AK424" s="79">
        <v>0</v>
      </c>
      <c r="BB424" s="516" t="s">
        <v>1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694</v>
      </c>
      <c r="B425" s="60" t="s">
        <v>695</v>
      </c>
      <c r="C425" s="34">
        <v>4301020179</v>
      </c>
      <c r="D425" s="626">
        <v>4607091384178</v>
      </c>
      <c r="E425" s="627"/>
      <c r="F425" s="59">
        <v>0.4</v>
      </c>
      <c r="G425" s="35">
        <v>10</v>
      </c>
      <c r="H425" s="59">
        <v>4</v>
      </c>
      <c r="I425" s="59">
        <v>4.1900000000000004</v>
      </c>
      <c r="J425" s="35">
        <v>132</v>
      </c>
      <c r="K425" s="35" t="s">
        <v>128</v>
      </c>
      <c r="L425" s="35"/>
      <c r="M425" s="36" t="s">
        <v>120</v>
      </c>
      <c r="N425" s="36"/>
      <c r="O425" s="35">
        <v>50</v>
      </c>
      <c r="P425" s="8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0"/>
      <c r="R425" s="620"/>
      <c r="S425" s="620"/>
      <c r="T425" s="621"/>
      <c r="U425" s="37"/>
      <c r="V425" s="37"/>
      <c r="W425" s="38" t="s">
        <v>66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IFERROR(IF(Y425=0,"",ROUNDUP(Y425/H425,0)*0.00902),"")</f>
        <v/>
      </c>
      <c r="AA425" s="65"/>
      <c r="AB425" s="66"/>
      <c r="AC425" s="517" t="s">
        <v>696</v>
      </c>
      <c r="AG425" s="75"/>
      <c r="AJ425" s="79"/>
      <c r="AK425" s="79">
        <v>0</v>
      </c>
      <c r="BB425" s="518" t="s">
        <v>1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623"/>
      <c r="B426" s="624"/>
      <c r="C426" s="624"/>
      <c r="D426" s="624"/>
      <c r="E426" s="624"/>
      <c r="F426" s="624"/>
      <c r="G426" s="624"/>
      <c r="H426" s="624"/>
      <c r="I426" s="624"/>
      <c r="J426" s="624"/>
      <c r="K426" s="624"/>
      <c r="L426" s="624"/>
      <c r="M426" s="624"/>
      <c r="N426" s="624"/>
      <c r="O426" s="625"/>
      <c r="P426" s="631" t="s">
        <v>71</v>
      </c>
      <c r="Q426" s="632"/>
      <c r="R426" s="632"/>
      <c r="S426" s="632"/>
      <c r="T426" s="632"/>
      <c r="U426" s="632"/>
      <c r="V426" s="633"/>
      <c r="W426" s="40" t="s">
        <v>72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">
      <c r="A427" s="624"/>
      <c r="B427" s="624"/>
      <c r="C427" s="624"/>
      <c r="D427" s="624"/>
      <c r="E427" s="624"/>
      <c r="F427" s="624"/>
      <c r="G427" s="624"/>
      <c r="H427" s="624"/>
      <c r="I427" s="624"/>
      <c r="J427" s="624"/>
      <c r="K427" s="624"/>
      <c r="L427" s="624"/>
      <c r="M427" s="624"/>
      <c r="N427" s="624"/>
      <c r="O427" s="625"/>
      <c r="P427" s="631" t="s">
        <v>71</v>
      </c>
      <c r="Q427" s="632"/>
      <c r="R427" s="632"/>
      <c r="S427" s="632"/>
      <c r="T427" s="632"/>
      <c r="U427" s="632"/>
      <c r="V427" s="633"/>
      <c r="W427" s="40" t="s">
        <v>66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14.25" hidden="1" customHeight="1" x14ac:dyDescent="0.25">
      <c r="A428" s="628" t="s">
        <v>73</v>
      </c>
      <c r="B428" s="624"/>
      <c r="C428" s="624"/>
      <c r="D428" s="624"/>
      <c r="E428" s="624"/>
      <c r="F428" s="624"/>
      <c r="G428" s="624"/>
      <c r="H428" s="624"/>
      <c r="I428" s="624"/>
      <c r="J428" s="624"/>
      <c r="K428" s="624"/>
      <c r="L428" s="624"/>
      <c r="M428" s="624"/>
      <c r="N428" s="624"/>
      <c r="O428" s="624"/>
      <c r="P428" s="624"/>
      <c r="Q428" s="624"/>
      <c r="R428" s="624"/>
      <c r="S428" s="624"/>
      <c r="T428" s="624"/>
      <c r="U428" s="624"/>
      <c r="V428" s="624"/>
      <c r="W428" s="624"/>
      <c r="X428" s="624"/>
      <c r="Y428" s="624"/>
      <c r="Z428" s="624"/>
      <c r="AA428" s="63"/>
      <c r="AB428" s="63"/>
      <c r="AC428" s="63"/>
    </row>
    <row r="429" spans="1:68" ht="16.5" hidden="1" customHeight="1" x14ac:dyDescent="0.25">
      <c r="A429" s="60" t="s">
        <v>697</v>
      </c>
      <c r="B429" s="60" t="s">
        <v>698</v>
      </c>
      <c r="C429" s="34">
        <v>4301052220</v>
      </c>
      <c r="D429" s="626">
        <v>4680115889538</v>
      </c>
      <c r="E429" s="627"/>
      <c r="F429" s="59">
        <v>0.8</v>
      </c>
      <c r="G429" s="35">
        <v>6</v>
      </c>
      <c r="H429" s="59">
        <v>4.8</v>
      </c>
      <c r="I429" s="59">
        <v>5.2160000000000002</v>
      </c>
      <c r="J429" s="35">
        <v>104</v>
      </c>
      <c r="K429" s="35" t="s">
        <v>119</v>
      </c>
      <c r="L429" s="35"/>
      <c r="M429" s="36" t="s">
        <v>77</v>
      </c>
      <c r="N429" s="36"/>
      <c r="O429" s="35">
        <v>45</v>
      </c>
      <c r="P429" s="72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0"/>
      <c r="R429" s="620"/>
      <c r="S429" s="620"/>
      <c r="T429" s="621"/>
      <c r="U429" s="37"/>
      <c r="V429" s="37"/>
      <c r="W429" s="38" t="s">
        <v>66</v>
      </c>
      <c r="X429" s="56">
        <v>0</v>
      </c>
      <c r="Y429" s="53">
        <f>IFERROR(IF(X429="",0,CEILING((X429/$H429),1)*$H429),"")</f>
        <v>0</v>
      </c>
      <c r="Z429" s="39" t="str">
        <f>IFERROR(IF(Y429=0,"",ROUNDUP(Y429/H429,0)*0.01196),"")</f>
        <v/>
      </c>
      <c r="AA429" s="65"/>
      <c r="AB429" s="66" t="s">
        <v>263</v>
      </c>
      <c r="AC429" s="519" t="s">
        <v>699</v>
      </c>
      <c r="AG429" s="75"/>
      <c r="AJ429" s="79"/>
      <c r="AK429" s="79">
        <v>0</v>
      </c>
      <c r="BB429" s="520" t="s">
        <v>1</v>
      </c>
      <c r="BM429" s="75">
        <f>IFERROR(X429*I429/H429,"0")</f>
        <v>0</v>
      </c>
      <c r="BN429" s="75">
        <f>IFERROR(Y429*I429/H429,"0")</f>
        <v>0</v>
      </c>
      <c r="BO429" s="75">
        <f>IFERROR(1/J429*(X429/H429),"0")</f>
        <v>0</v>
      </c>
      <c r="BP429" s="75">
        <f>IFERROR(1/J429*(Y429/H429),"0")</f>
        <v>0</v>
      </c>
    </row>
    <row r="430" spans="1:68" ht="27" hidden="1" customHeight="1" x14ac:dyDescent="0.25">
      <c r="A430" s="60" t="s">
        <v>700</v>
      </c>
      <c r="B430" s="60" t="s">
        <v>701</v>
      </c>
      <c r="C430" s="34">
        <v>4301051903</v>
      </c>
      <c r="D430" s="626">
        <v>4607091383928</v>
      </c>
      <c r="E430" s="627"/>
      <c r="F430" s="59">
        <v>1.5</v>
      </c>
      <c r="G430" s="35">
        <v>6</v>
      </c>
      <c r="H430" s="59">
        <v>9</v>
      </c>
      <c r="I430" s="59">
        <v>9.5</v>
      </c>
      <c r="J430" s="35">
        <v>64</v>
      </c>
      <c r="K430" s="35" t="s">
        <v>119</v>
      </c>
      <c r="L430" s="35"/>
      <c r="M430" s="36" t="s">
        <v>77</v>
      </c>
      <c r="N430" s="36"/>
      <c r="O430" s="35">
        <v>40</v>
      </c>
      <c r="P430" s="9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0"/>
      <c r="R430" s="620"/>
      <c r="S430" s="620"/>
      <c r="T430" s="621"/>
      <c r="U430" s="37"/>
      <c r="V430" s="37"/>
      <c r="W430" s="38" t="s">
        <v>66</v>
      </c>
      <c r="X430" s="56">
        <v>0</v>
      </c>
      <c r="Y430" s="53">
        <f>IFERROR(IF(X430="",0,CEILING((X430/$H430),1)*$H430),"")</f>
        <v>0</v>
      </c>
      <c r="Z430" s="39" t="str">
        <f>IFERROR(IF(Y430=0,"",ROUNDUP(Y430/H430,0)*0.01898),"")</f>
        <v/>
      </c>
      <c r="AA430" s="65"/>
      <c r="AB430" s="66"/>
      <c r="AC430" s="521" t="s">
        <v>702</v>
      </c>
      <c r="AG430" s="75"/>
      <c r="AJ430" s="79"/>
      <c r="AK430" s="79">
        <v>0</v>
      </c>
      <c r="BB430" s="522" t="s">
        <v>1</v>
      </c>
      <c r="BM430" s="75">
        <f>IFERROR(X430*I430/H430,"0")</f>
        <v>0</v>
      </c>
      <c r="BN430" s="75">
        <f>IFERROR(Y430*I430/H430,"0")</f>
        <v>0</v>
      </c>
      <c r="BO430" s="75">
        <f>IFERROR(1/J430*(X430/H430),"0")</f>
        <v>0</v>
      </c>
      <c r="BP430" s="75">
        <f>IFERROR(1/J430*(Y430/H430),"0")</f>
        <v>0</v>
      </c>
    </row>
    <row r="431" spans="1:68" ht="27" hidden="1" customHeight="1" x14ac:dyDescent="0.25">
      <c r="A431" s="60" t="s">
        <v>703</v>
      </c>
      <c r="B431" s="60" t="s">
        <v>704</v>
      </c>
      <c r="C431" s="34">
        <v>4301051897</v>
      </c>
      <c r="D431" s="626">
        <v>4607091384260</v>
      </c>
      <c r="E431" s="627"/>
      <c r="F431" s="59">
        <v>1.5</v>
      </c>
      <c r="G431" s="35">
        <v>6</v>
      </c>
      <c r="H431" s="59">
        <v>9</v>
      </c>
      <c r="I431" s="59">
        <v>9.4939999999999998</v>
      </c>
      <c r="J431" s="35">
        <v>64</v>
      </c>
      <c r="K431" s="35" t="s">
        <v>119</v>
      </c>
      <c r="L431" s="35"/>
      <c r="M431" s="36" t="s">
        <v>77</v>
      </c>
      <c r="N431" s="36"/>
      <c r="O431" s="35">
        <v>40</v>
      </c>
      <c r="P431" s="7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0"/>
      <c r="R431" s="620"/>
      <c r="S431" s="620"/>
      <c r="T431" s="621"/>
      <c r="U431" s="37"/>
      <c r="V431" s="37"/>
      <c r="W431" s="38" t="s">
        <v>66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IFERROR(IF(Y431=0,"",ROUNDUP(Y431/H431,0)*0.01898),"")</f>
        <v/>
      </c>
      <c r="AA431" s="65"/>
      <c r="AB431" s="66"/>
      <c r="AC431" s="523" t="s">
        <v>705</v>
      </c>
      <c r="AG431" s="75"/>
      <c r="AJ431" s="79"/>
      <c r="AK431" s="79">
        <v>0</v>
      </c>
      <c r="BB431" s="524" t="s">
        <v>1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idden="1" x14ac:dyDescent="0.2">
      <c r="A432" s="623"/>
      <c r="B432" s="624"/>
      <c r="C432" s="624"/>
      <c r="D432" s="624"/>
      <c r="E432" s="624"/>
      <c r="F432" s="624"/>
      <c r="G432" s="624"/>
      <c r="H432" s="624"/>
      <c r="I432" s="624"/>
      <c r="J432" s="624"/>
      <c r="K432" s="624"/>
      <c r="L432" s="624"/>
      <c r="M432" s="624"/>
      <c r="N432" s="624"/>
      <c r="O432" s="625"/>
      <c r="P432" s="631" t="s">
        <v>71</v>
      </c>
      <c r="Q432" s="632"/>
      <c r="R432" s="632"/>
      <c r="S432" s="632"/>
      <c r="T432" s="632"/>
      <c r="U432" s="632"/>
      <c r="V432" s="633"/>
      <c r="W432" s="40" t="s">
        <v>72</v>
      </c>
      <c r="X432" s="41">
        <f>IFERROR(X429/H429,"0")+IFERROR(X430/H430,"0")+IFERROR(X431/H431,"0")</f>
        <v>0</v>
      </c>
      <c r="Y432" s="41">
        <f>IFERROR(Y429/H429,"0")+IFERROR(Y430/H430,"0")+IFERROR(Y431/H431,"0")</f>
        <v>0</v>
      </c>
      <c r="Z432" s="41">
        <f>IFERROR(IF(Z429="",0,Z429),"0")+IFERROR(IF(Z430="",0,Z430),"0")+IFERROR(IF(Z431="",0,Z431),"0")</f>
        <v>0</v>
      </c>
      <c r="AA432" s="64"/>
      <c r="AB432" s="64"/>
      <c r="AC432" s="64"/>
    </row>
    <row r="433" spans="1:68" hidden="1" x14ac:dyDescent="0.2">
      <c r="A433" s="624"/>
      <c r="B433" s="624"/>
      <c r="C433" s="624"/>
      <c r="D433" s="624"/>
      <c r="E433" s="624"/>
      <c r="F433" s="624"/>
      <c r="G433" s="624"/>
      <c r="H433" s="624"/>
      <c r="I433" s="624"/>
      <c r="J433" s="624"/>
      <c r="K433" s="624"/>
      <c r="L433" s="624"/>
      <c r="M433" s="624"/>
      <c r="N433" s="624"/>
      <c r="O433" s="625"/>
      <c r="P433" s="631" t="s">
        <v>71</v>
      </c>
      <c r="Q433" s="632"/>
      <c r="R433" s="632"/>
      <c r="S433" s="632"/>
      <c r="T433" s="632"/>
      <c r="U433" s="632"/>
      <c r="V433" s="633"/>
      <c r="W433" s="40" t="s">
        <v>66</v>
      </c>
      <c r="X433" s="41">
        <f>IFERROR(SUM(X429:X431),"0")</f>
        <v>0</v>
      </c>
      <c r="Y433" s="41">
        <f>IFERROR(SUM(Y429:Y431),"0")</f>
        <v>0</v>
      </c>
      <c r="Z433" s="40"/>
      <c r="AA433" s="64"/>
      <c r="AB433" s="64"/>
      <c r="AC433" s="64"/>
    </row>
    <row r="434" spans="1:68" ht="14.25" hidden="1" customHeight="1" x14ac:dyDescent="0.25">
      <c r="A434" s="628" t="s">
        <v>169</v>
      </c>
      <c r="B434" s="624"/>
      <c r="C434" s="624"/>
      <c r="D434" s="624"/>
      <c r="E434" s="624"/>
      <c r="F434" s="624"/>
      <c r="G434" s="624"/>
      <c r="H434" s="624"/>
      <c r="I434" s="624"/>
      <c r="J434" s="624"/>
      <c r="K434" s="624"/>
      <c r="L434" s="624"/>
      <c r="M434" s="624"/>
      <c r="N434" s="624"/>
      <c r="O434" s="624"/>
      <c r="P434" s="624"/>
      <c r="Q434" s="624"/>
      <c r="R434" s="624"/>
      <c r="S434" s="624"/>
      <c r="T434" s="624"/>
      <c r="U434" s="624"/>
      <c r="V434" s="624"/>
      <c r="W434" s="624"/>
      <c r="X434" s="624"/>
      <c r="Y434" s="624"/>
      <c r="Z434" s="624"/>
      <c r="AA434" s="63"/>
      <c r="AB434" s="63"/>
      <c r="AC434" s="63"/>
    </row>
    <row r="435" spans="1:68" ht="27" hidden="1" customHeight="1" x14ac:dyDescent="0.25">
      <c r="A435" s="60" t="s">
        <v>706</v>
      </c>
      <c r="B435" s="60" t="s">
        <v>707</v>
      </c>
      <c r="C435" s="34">
        <v>4301060537</v>
      </c>
      <c r="D435" s="626">
        <v>4680115889545</v>
      </c>
      <c r="E435" s="627"/>
      <c r="F435" s="59">
        <v>0.7</v>
      </c>
      <c r="G435" s="35">
        <v>6</v>
      </c>
      <c r="H435" s="59">
        <v>4.2</v>
      </c>
      <c r="I435" s="59">
        <v>4.6159999999999997</v>
      </c>
      <c r="J435" s="35">
        <v>104</v>
      </c>
      <c r="K435" s="35" t="s">
        <v>119</v>
      </c>
      <c r="L435" s="35"/>
      <c r="M435" s="36" t="s">
        <v>77</v>
      </c>
      <c r="N435" s="36"/>
      <c r="O435" s="35">
        <v>30</v>
      </c>
      <c r="P435" s="94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0"/>
      <c r="R435" s="620"/>
      <c r="S435" s="620"/>
      <c r="T435" s="621"/>
      <c r="U435" s="37"/>
      <c r="V435" s="37"/>
      <c r="W435" s="38" t="s">
        <v>66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IFERROR(IF(Y435=0,"",ROUNDUP(Y435/H435,0)*0.01196),"")</f>
        <v/>
      </c>
      <c r="AA435" s="65"/>
      <c r="AB435" s="66" t="s">
        <v>263</v>
      </c>
      <c r="AC435" s="525" t="s">
        <v>708</v>
      </c>
      <c r="AG435" s="75"/>
      <c r="AJ435" s="79"/>
      <c r="AK435" s="79">
        <v>0</v>
      </c>
      <c r="BB435" s="526" t="s">
        <v>1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16.5" hidden="1" customHeight="1" x14ac:dyDescent="0.25">
      <c r="A436" s="60" t="s">
        <v>709</v>
      </c>
      <c r="B436" s="60" t="s">
        <v>710</v>
      </c>
      <c r="C436" s="34">
        <v>4301060524</v>
      </c>
      <c r="D436" s="626">
        <v>4607091384673</v>
      </c>
      <c r="E436" s="627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119</v>
      </c>
      <c r="L436" s="35"/>
      <c r="M436" s="36" t="s">
        <v>77</v>
      </c>
      <c r="N436" s="36"/>
      <c r="O436" s="35">
        <v>40</v>
      </c>
      <c r="P436" s="95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0"/>
      <c r="R436" s="620"/>
      <c r="S436" s="620"/>
      <c r="T436" s="621"/>
      <c r="U436" s="37"/>
      <c r="V436" s="37"/>
      <c r="W436" s="38" t="s">
        <v>66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IFERROR(IF(Y436=0,"",ROUNDUP(Y436/H436,0)*0.01898),"")</f>
        <v/>
      </c>
      <c r="AA436" s="65"/>
      <c r="AB436" s="66"/>
      <c r="AC436" s="527" t="s">
        <v>711</v>
      </c>
      <c r="AG436" s="75"/>
      <c r="AJ436" s="79"/>
      <c r="AK436" s="79">
        <v>0</v>
      </c>
      <c r="BB436" s="528" t="s">
        <v>1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idden="1" x14ac:dyDescent="0.2">
      <c r="A437" s="623"/>
      <c r="B437" s="624"/>
      <c r="C437" s="624"/>
      <c r="D437" s="624"/>
      <c r="E437" s="624"/>
      <c r="F437" s="624"/>
      <c r="G437" s="624"/>
      <c r="H437" s="624"/>
      <c r="I437" s="624"/>
      <c r="J437" s="624"/>
      <c r="K437" s="624"/>
      <c r="L437" s="624"/>
      <c r="M437" s="624"/>
      <c r="N437" s="624"/>
      <c r="O437" s="625"/>
      <c r="P437" s="631" t="s">
        <v>71</v>
      </c>
      <c r="Q437" s="632"/>
      <c r="R437" s="632"/>
      <c r="S437" s="632"/>
      <c r="T437" s="632"/>
      <c r="U437" s="632"/>
      <c r="V437" s="633"/>
      <c r="W437" s="40" t="s">
        <v>72</v>
      </c>
      <c r="X437" s="41">
        <f>IFERROR(X435/H435,"0")+IFERROR(X436/H436,"0")</f>
        <v>0</v>
      </c>
      <c r="Y437" s="41">
        <f>IFERROR(Y435/H435,"0")+IFERROR(Y436/H436,"0")</f>
        <v>0</v>
      </c>
      <c r="Z437" s="41">
        <f>IFERROR(IF(Z435="",0,Z435),"0")+IFERROR(IF(Z436="",0,Z436),"0")</f>
        <v>0</v>
      </c>
      <c r="AA437" s="64"/>
      <c r="AB437" s="64"/>
      <c r="AC437" s="64"/>
    </row>
    <row r="438" spans="1:68" hidden="1" x14ac:dyDescent="0.2">
      <c r="A438" s="624"/>
      <c r="B438" s="624"/>
      <c r="C438" s="624"/>
      <c r="D438" s="624"/>
      <c r="E438" s="624"/>
      <c r="F438" s="624"/>
      <c r="G438" s="624"/>
      <c r="H438" s="624"/>
      <c r="I438" s="624"/>
      <c r="J438" s="624"/>
      <c r="K438" s="624"/>
      <c r="L438" s="624"/>
      <c r="M438" s="624"/>
      <c r="N438" s="624"/>
      <c r="O438" s="625"/>
      <c r="P438" s="631" t="s">
        <v>71</v>
      </c>
      <c r="Q438" s="632"/>
      <c r="R438" s="632"/>
      <c r="S438" s="632"/>
      <c r="T438" s="632"/>
      <c r="U438" s="632"/>
      <c r="V438" s="633"/>
      <c r="W438" s="40" t="s">
        <v>66</v>
      </c>
      <c r="X438" s="41">
        <f>IFERROR(SUM(X435:X436),"0")</f>
        <v>0</v>
      </c>
      <c r="Y438" s="41">
        <f>IFERROR(SUM(Y435:Y436),"0")</f>
        <v>0</v>
      </c>
      <c r="Z438" s="40"/>
      <c r="AA438" s="64"/>
      <c r="AB438" s="64"/>
      <c r="AC438" s="64"/>
    </row>
    <row r="439" spans="1:68" ht="16.5" hidden="1" customHeight="1" x14ac:dyDescent="0.25">
      <c r="A439" s="639" t="s">
        <v>712</v>
      </c>
      <c r="B439" s="624"/>
      <c r="C439" s="624"/>
      <c r="D439" s="624"/>
      <c r="E439" s="624"/>
      <c r="F439" s="624"/>
      <c r="G439" s="624"/>
      <c r="H439" s="624"/>
      <c r="I439" s="624"/>
      <c r="J439" s="624"/>
      <c r="K439" s="624"/>
      <c r="L439" s="624"/>
      <c r="M439" s="624"/>
      <c r="N439" s="624"/>
      <c r="O439" s="624"/>
      <c r="P439" s="624"/>
      <c r="Q439" s="624"/>
      <c r="R439" s="624"/>
      <c r="S439" s="624"/>
      <c r="T439" s="624"/>
      <c r="U439" s="624"/>
      <c r="V439" s="624"/>
      <c r="W439" s="624"/>
      <c r="X439" s="624"/>
      <c r="Y439" s="624"/>
      <c r="Z439" s="624"/>
      <c r="AA439" s="62"/>
      <c r="AB439" s="62"/>
      <c r="AC439" s="62"/>
    </row>
    <row r="440" spans="1:68" ht="14.25" hidden="1" customHeight="1" x14ac:dyDescent="0.25">
      <c r="A440" s="628" t="s">
        <v>116</v>
      </c>
      <c r="B440" s="624"/>
      <c r="C440" s="624"/>
      <c r="D440" s="624"/>
      <c r="E440" s="624"/>
      <c r="F440" s="624"/>
      <c r="G440" s="624"/>
      <c r="H440" s="624"/>
      <c r="I440" s="624"/>
      <c r="J440" s="624"/>
      <c r="K440" s="624"/>
      <c r="L440" s="624"/>
      <c r="M440" s="624"/>
      <c r="N440" s="624"/>
      <c r="O440" s="624"/>
      <c r="P440" s="624"/>
      <c r="Q440" s="624"/>
      <c r="R440" s="624"/>
      <c r="S440" s="624"/>
      <c r="T440" s="624"/>
      <c r="U440" s="624"/>
      <c r="V440" s="624"/>
      <c r="W440" s="624"/>
      <c r="X440" s="624"/>
      <c r="Y440" s="624"/>
      <c r="Z440" s="624"/>
      <c r="AA440" s="63"/>
      <c r="AB440" s="63"/>
      <c r="AC440" s="63"/>
    </row>
    <row r="441" spans="1:68" ht="27" hidden="1" customHeight="1" x14ac:dyDescent="0.25">
      <c r="A441" s="60" t="s">
        <v>713</v>
      </c>
      <c r="B441" s="60" t="s">
        <v>714</v>
      </c>
      <c r="C441" s="34">
        <v>4301011875</v>
      </c>
      <c r="D441" s="626">
        <v>4680115884885</v>
      </c>
      <c r="E441" s="627"/>
      <c r="F441" s="59">
        <v>0.8</v>
      </c>
      <c r="G441" s="35">
        <v>15</v>
      </c>
      <c r="H441" s="59">
        <v>12</v>
      </c>
      <c r="I441" s="59">
        <v>12.41</v>
      </c>
      <c r="J441" s="35">
        <v>64</v>
      </c>
      <c r="K441" s="35" t="s">
        <v>119</v>
      </c>
      <c r="L441" s="35"/>
      <c r="M441" s="36" t="s">
        <v>65</v>
      </c>
      <c r="N441" s="36"/>
      <c r="O441" s="35">
        <v>60</v>
      </c>
      <c r="P441" s="73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0"/>
      <c r="R441" s="620"/>
      <c r="S441" s="620"/>
      <c r="T441" s="621"/>
      <c r="U441" s="37"/>
      <c r="V441" s="37"/>
      <c r="W441" s="38" t="s">
        <v>66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/>
      <c r="AB441" s="66"/>
      <c r="AC441" s="529" t="s">
        <v>715</v>
      </c>
      <c r="AG441" s="75"/>
      <c r="AJ441" s="79"/>
      <c r="AK441" s="79">
        <v>0</v>
      </c>
      <c r="BB441" s="530" t="s">
        <v>1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37.5" hidden="1" customHeight="1" x14ac:dyDescent="0.25">
      <c r="A442" s="60" t="s">
        <v>716</v>
      </c>
      <c r="B442" s="60" t="s">
        <v>717</v>
      </c>
      <c r="C442" s="34">
        <v>4301011871</v>
      </c>
      <c r="D442" s="626">
        <v>4680115884908</v>
      </c>
      <c r="E442" s="627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128</v>
      </c>
      <c r="L442" s="35"/>
      <c r="M442" s="36" t="s">
        <v>65</v>
      </c>
      <c r="N442" s="36"/>
      <c r="O442" s="35">
        <v>60</v>
      </c>
      <c r="P442" s="7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0"/>
      <c r="R442" s="620"/>
      <c r="S442" s="620"/>
      <c r="T442" s="621"/>
      <c r="U442" s="37"/>
      <c r="V442" s="37"/>
      <c r="W442" s="38" t="s">
        <v>66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/>
      <c r="AB442" s="66"/>
      <c r="AC442" s="531" t="s">
        <v>715</v>
      </c>
      <c r="AG442" s="75"/>
      <c r="AJ442" s="79"/>
      <c r="AK442" s="79">
        <v>0</v>
      </c>
      <c r="BB442" s="532" t="s">
        <v>1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623"/>
      <c r="B443" s="624"/>
      <c r="C443" s="624"/>
      <c r="D443" s="624"/>
      <c r="E443" s="624"/>
      <c r="F443" s="624"/>
      <c r="G443" s="624"/>
      <c r="H443" s="624"/>
      <c r="I443" s="624"/>
      <c r="J443" s="624"/>
      <c r="K443" s="624"/>
      <c r="L443" s="624"/>
      <c r="M443" s="624"/>
      <c r="N443" s="624"/>
      <c r="O443" s="625"/>
      <c r="P443" s="631" t="s">
        <v>71</v>
      </c>
      <c r="Q443" s="632"/>
      <c r="R443" s="632"/>
      <c r="S443" s="632"/>
      <c r="T443" s="632"/>
      <c r="U443" s="632"/>
      <c r="V443" s="633"/>
      <c r="W443" s="40" t="s">
        <v>72</v>
      </c>
      <c r="X443" s="41">
        <f>IFERROR(X441/H441,"0")+IFERROR(X442/H442,"0")</f>
        <v>0</v>
      </c>
      <c r="Y443" s="41">
        <f>IFERROR(Y441/H441,"0")+IFERROR(Y442/H442,"0")</f>
        <v>0</v>
      </c>
      <c r="Z443" s="41">
        <f>IFERROR(IF(Z441="",0,Z441),"0")+IFERROR(IF(Z442="",0,Z442),"0")</f>
        <v>0</v>
      </c>
      <c r="AA443" s="64"/>
      <c r="AB443" s="64"/>
      <c r="AC443" s="64"/>
    </row>
    <row r="444" spans="1:68" hidden="1" x14ac:dyDescent="0.2">
      <c r="A444" s="624"/>
      <c r="B444" s="624"/>
      <c r="C444" s="624"/>
      <c r="D444" s="624"/>
      <c r="E444" s="624"/>
      <c r="F444" s="624"/>
      <c r="G444" s="624"/>
      <c r="H444" s="624"/>
      <c r="I444" s="624"/>
      <c r="J444" s="624"/>
      <c r="K444" s="624"/>
      <c r="L444" s="624"/>
      <c r="M444" s="624"/>
      <c r="N444" s="624"/>
      <c r="O444" s="625"/>
      <c r="P444" s="631" t="s">
        <v>71</v>
      </c>
      <c r="Q444" s="632"/>
      <c r="R444" s="632"/>
      <c r="S444" s="632"/>
      <c r="T444" s="632"/>
      <c r="U444" s="632"/>
      <c r="V444" s="633"/>
      <c r="W444" s="40" t="s">
        <v>66</v>
      </c>
      <c r="X444" s="41">
        <f>IFERROR(SUM(X441:X442),"0")</f>
        <v>0</v>
      </c>
      <c r="Y444" s="41">
        <f>IFERROR(SUM(Y441:Y442),"0")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628" t="s">
        <v>61</v>
      </c>
      <c r="B445" s="624"/>
      <c r="C445" s="624"/>
      <c r="D445" s="624"/>
      <c r="E445" s="624"/>
      <c r="F445" s="624"/>
      <c r="G445" s="624"/>
      <c r="H445" s="624"/>
      <c r="I445" s="624"/>
      <c r="J445" s="624"/>
      <c r="K445" s="624"/>
      <c r="L445" s="624"/>
      <c r="M445" s="624"/>
      <c r="N445" s="624"/>
      <c r="O445" s="624"/>
      <c r="P445" s="624"/>
      <c r="Q445" s="624"/>
      <c r="R445" s="624"/>
      <c r="S445" s="624"/>
      <c r="T445" s="624"/>
      <c r="U445" s="624"/>
      <c r="V445" s="624"/>
      <c r="W445" s="624"/>
      <c r="X445" s="624"/>
      <c r="Y445" s="624"/>
      <c r="Z445" s="624"/>
      <c r="AA445" s="63"/>
      <c r="AB445" s="63"/>
      <c r="AC445" s="63"/>
    </row>
    <row r="446" spans="1:68" ht="27" hidden="1" customHeight="1" x14ac:dyDescent="0.25">
      <c r="A446" s="60" t="s">
        <v>718</v>
      </c>
      <c r="B446" s="60" t="s">
        <v>719</v>
      </c>
      <c r="C446" s="34">
        <v>4301031457</v>
      </c>
      <c r="D446" s="626">
        <v>4607091384802</v>
      </c>
      <c r="E446" s="627"/>
      <c r="F446" s="59">
        <v>0.7</v>
      </c>
      <c r="G446" s="35">
        <v>6</v>
      </c>
      <c r="H446" s="59">
        <v>4.2</v>
      </c>
      <c r="I446" s="59">
        <v>4.45</v>
      </c>
      <c r="J446" s="35">
        <v>132</v>
      </c>
      <c r="K446" s="35" t="s">
        <v>128</v>
      </c>
      <c r="L446" s="35"/>
      <c r="M446" s="36" t="s">
        <v>65</v>
      </c>
      <c r="N446" s="36"/>
      <c r="O446" s="35">
        <v>50</v>
      </c>
      <c r="P446" s="82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0"/>
      <c r="R446" s="620"/>
      <c r="S446" s="620"/>
      <c r="T446" s="621"/>
      <c r="U446" s="37"/>
      <c r="V446" s="37"/>
      <c r="W446" s="38" t="s">
        <v>66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IFERROR(IF(Y446=0,"",ROUNDUP(Y446/H446,0)*0.00902),"")</f>
        <v/>
      </c>
      <c r="AA446" s="65"/>
      <c r="AB446" s="66"/>
      <c r="AC446" s="533" t="s">
        <v>720</v>
      </c>
      <c r="AG446" s="75"/>
      <c r="AJ446" s="79"/>
      <c r="AK446" s="79">
        <v>0</v>
      </c>
      <c r="BB446" s="534" t="s">
        <v>1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idden="1" x14ac:dyDescent="0.2">
      <c r="A447" s="623"/>
      <c r="B447" s="624"/>
      <c r="C447" s="624"/>
      <c r="D447" s="624"/>
      <c r="E447" s="624"/>
      <c r="F447" s="624"/>
      <c r="G447" s="624"/>
      <c r="H447" s="624"/>
      <c r="I447" s="624"/>
      <c r="J447" s="624"/>
      <c r="K447" s="624"/>
      <c r="L447" s="624"/>
      <c r="M447" s="624"/>
      <c r="N447" s="624"/>
      <c r="O447" s="625"/>
      <c r="P447" s="631" t="s">
        <v>71</v>
      </c>
      <c r="Q447" s="632"/>
      <c r="R447" s="632"/>
      <c r="S447" s="632"/>
      <c r="T447" s="632"/>
      <c r="U447" s="632"/>
      <c r="V447" s="633"/>
      <c r="W447" s="40" t="s">
        <v>72</v>
      </c>
      <c r="X447" s="41">
        <f>IFERROR(X446/H446,"0")</f>
        <v>0</v>
      </c>
      <c r="Y447" s="41">
        <f>IFERROR(Y446/H446,"0")</f>
        <v>0</v>
      </c>
      <c r="Z447" s="41">
        <f>IFERROR(IF(Z446="",0,Z446),"0")</f>
        <v>0</v>
      </c>
      <c r="AA447" s="64"/>
      <c r="AB447" s="64"/>
      <c r="AC447" s="64"/>
    </row>
    <row r="448" spans="1:68" hidden="1" x14ac:dyDescent="0.2">
      <c r="A448" s="624"/>
      <c r="B448" s="624"/>
      <c r="C448" s="624"/>
      <c r="D448" s="624"/>
      <c r="E448" s="624"/>
      <c r="F448" s="624"/>
      <c r="G448" s="624"/>
      <c r="H448" s="624"/>
      <c r="I448" s="624"/>
      <c r="J448" s="624"/>
      <c r="K448" s="624"/>
      <c r="L448" s="624"/>
      <c r="M448" s="624"/>
      <c r="N448" s="624"/>
      <c r="O448" s="625"/>
      <c r="P448" s="631" t="s">
        <v>71</v>
      </c>
      <c r="Q448" s="632"/>
      <c r="R448" s="632"/>
      <c r="S448" s="632"/>
      <c r="T448" s="632"/>
      <c r="U448" s="632"/>
      <c r="V448" s="633"/>
      <c r="W448" s="40" t="s">
        <v>66</v>
      </c>
      <c r="X448" s="41">
        <f>IFERROR(SUM(X446:X446),"0")</f>
        <v>0</v>
      </c>
      <c r="Y448" s="41">
        <f>IFERROR(SUM(Y446:Y446),"0")</f>
        <v>0</v>
      </c>
      <c r="Z448" s="40"/>
      <c r="AA448" s="64"/>
      <c r="AB448" s="64"/>
      <c r="AC448" s="64"/>
    </row>
    <row r="449" spans="1:68" ht="14.25" hidden="1" customHeight="1" x14ac:dyDescent="0.25">
      <c r="A449" s="628" t="s">
        <v>73</v>
      </c>
      <c r="B449" s="624"/>
      <c r="C449" s="624"/>
      <c r="D449" s="624"/>
      <c r="E449" s="624"/>
      <c r="F449" s="624"/>
      <c r="G449" s="624"/>
      <c r="H449" s="624"/>
      <c r="I449" s="624"/>
      <c r="J449" s="624"/>
      <c r="K449" s="624"/>
      <c r="L449" s="624"/>
      <c r="M449" s="624"/>
      <c r="N449" s="624"/>
      <c r="O449" s="624"/>
      <c r="P449" s="624"/>
      <c r="Q449" s="624"/>
      <c r="R449" s="624"/>
      <c r="S449" s="624"/>
      <c r="T449" s="624"/>
      <c r="U449" s="624"/>
      <c r="V449" s="624"/>
      <c r="W449" s="624"/>
      <c r="X449" s="624"/>
      <c r="Y449" s="624"/>
      <c r="Z449" s="624"/>
      <c r="AA449" s="63"/>
      <c r="AB449" s="63"/>
      <c r="AC449" s="63"/>
    </row>
    <row r="450" spans="1:68" ht="27" hidden="1" customHeight="1" x14ac:dyDescent="0.25">
      <c r="A450" s="60" t="s">
        <v>721</v>
      </c>
      <c r="B450" s="60" t="s">
        <v>722</v>
      </c>
      <c r="C450" s="34">
        <v>4301051899</v>
      </c>
      <c r="D450" s="626">
        <v>4607091384246</v>
      </c>
      <c r="E450" s="627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119</v>
      </c>
      <c r="L450" s="35"/>
      <c r="M450" s="36" t="s">
        <v>77</v>
      </c>
      <c r="N450" s="36"/>
      <c r="O450" s="35">
        <v>40</v>
      </c>
      <c r="P450" s="7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0"/>
      <c r="R450" s="620"/>
      <c r="S450" s="620"/>
      <c r="T450" s="621"/>
      <c r="U450" s="37"/>
      <c r="V450" s="37"/>
      <c r="W450" s="38" t="s">
        <v>66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/>
      <c r="AB450" s="66"/>
      <c r="AC450" s="535" t="s">
        <v>723</v>
      </c>
      <c r="AG450" s="75"/>
      <c r="AJ450" s="79"/>
      <c r="AK450" s="79">
        <v>0</v>
      </c>
      <c r="BB450" s="536" t="s">
        <v>1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27" hidden="1" customHeight="1" x14ac:dyDescent="0.25">
      <c r="A451" s="60" t="s">
        <v>724</v>
      </c>
      <c r="B451" s="60" t="s">
        <v>725</v>
      </c>
      <c r="C451" s="34">
        <v>4301051660</v>
      </c>
      <c r="D451" s="626">
        <v>4607091384253</v>
      </c>
      <c r="E451" s="627"/>
      <c r="F451" s="59">
        <v>0.4</v>
      </c>
      <c r="G451" s="35">
        <v>6</v>
      </c>
      <c r="H451" s="59">
        <v>2.4</v>
      </c>
      <c r="I451" s="59">
        <v>2.6640000000000001</v>
      </c>
      <c r="J451" s="35">
        <v>182</v>
      </c>
      <c r="K451" s="35" t="s">
        <v>76</v>
      </c>
      <c r="L451" s="35"/>
      <c r="M451" s="36" t="s">
        <v>77</v>
      </c>
      <c r="N451" s="36"/>
      <c r="O451" s="35">
        <v>40</v>
      </c>
      <c r="P451" s="78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0"/>
      <c r="R451" s="620"/>
      <c r="S451" s="620"/>
      <c r="T451" s="621"/>
      <c r="U451" s="37"/>
      <c r="V451" s="37"/>
      <c r="W451" s="38" t="s">
        <v>66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IFERROR(IF(Y451=0,"",ROUNDUP(Y451/H451,0)*0.00651),"")</f>
        <v/>
      </c>
      <c r="AA451" s="65"/>
      <c r="AB451" s="66"/>
      <c r="AC451" s="537" t="s">
        <v>723</v>
      </c>
      <c r="AG451" s="75"/>
      <c r="AJ451" s="79"/>
      <c r="AK451" s="79">
        <v>0</v>
      </c>
      <c r="BB451" s="538" t="s">
        <v>1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hidden="1" customHeight="1" x14ac:dyDescent="0.25">
      <c r="A452" s="60" t="s">
        <v>724</v>
      </c>
      <c r="B452" s="60" t="s">
        <v>726</v>
      </c>
      <c r="C452" s="34">
        <v>4301052069</v>
      </c>
      <c r="D452" s="626">
        <v>4607091384253</v>
      </c>
      <c r="E452" s="627"/>
      <c r="F452" s="59">
        <v>0.4</v>
      </c>
      <c r="G452" s="35">
        <v>6</v>
      </c>
      <c r="H452" s="59">
        <v>2.4</v>
      </c>
      <c r="I452" s="59">
        <v>2.6640000000000001</v>
      </c>
      <c r="J452" s="35">
        <v>182</v>
      </c>
      <c r="K452" s="35" t="s">
        <v>76</v>
      </c>
      <c r="L452" s="35"/>
      <c r="M452" s="36" t="s">
        <v>77</v>
      </c>
      <c r="N452" s="36"/>
      <c r="O452" s="35">
        <v>40</v>
      </c>
      <c r="P452" s="6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0"/>
      <c r="R452" s="620"/>
      <c r="S452" s="620"/>
      <c r="T452" s="621"/>
      <c r="U452" s="37"/>
      <c r="V452" s="37"/>
      <c r="W452" s="38" t="s">
        <v>66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/>
      <c r="AB452" s="66"/>
      <c r="AC452" s="539" t="s">
        <v>727</v>
      </c>
      <c r="AG452" s="75"/>
      <c r="AJ452" s="79"/>
      <c r="AK452" s="79">
        <v>0</v>
      </c>
      <c r="BB452" s="540" t="s">
        <v>1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idden="1" x14ac:dyDescent="0.2">
      <c r="A453" s="623"/>
      <c r="B453" s="624"/>
      <c r="C453" s="624"/>
      <c r="D453" s="624"/>
      <c r="E453" s="624"/>
      <c r="F453" s="624"/>
      <c r="G453" s="624"/>
      <c r="H453" s="624"/>
      <c r="I453" s="624"/>
      <c r="J453" s="624"/>
      <c r="K453" s="624"/>
      <c r="L453" s="624"/>
      <c r="M453" s="624"/>
      <c r="N453" s="624"/>
      <c r="O453" s="625"/>
      <c r="P453" s="631" t="s">
        <v>71</v>
      </c>
      <c r="Q453" s="632"/>
      <c r="R453" s="632"/>
      <c r="S453" s="632"/>
      <c r="T453" s="632"/>
      <c r="U453" s="632"/>
      <c r="V453" s="633"/>
      <c r="W453" s="40" t="s">
        <v>72</v>
      </c>
      <c r="X453" s="41">
        <f>IFERROR(X450/H450,"0")+IFERROR(X451/H451,"0")+IFERROR(X452/H452,"0")</f>
        <v>0</v>
      </c>
      <c r="Y453" s="41">
        <f>IFERROR(Y450/H450,"0")+IFERROR(Y451/H451,"0")+IFERROR(Y452/H452,"0")</f>
        <v>0</v>
      </c>
      <c r="Z453" s="41">
        <f>IFERROR(IF(Z450="",0,Z450),"0")+IFERROR(IF(Z451="",0,Z451),"0")+IFERROR(IF(Z452="",0,Z452),"0")</f>
        <v>0</v>
      </c>
      <c r="AA453" s="64"/>
      <c r="AB453" s="64"/>
      <c r="AC453" s="64"/>
    </row>
    <row r="454" spans="1:68" hidden="1" x14ac:dyDescent="0.2">
      <c r="A454" s="624"/>
      <c r="B454" s="624"/>
      <c r="C454" s="624"/>
      <c r="D454" s="624"/>
      <c r="E454" s="624"/>
      <c r="F454" s="624"/>
      <c r="G454" s="624"/>
      <c r="H454" s="624"/>
      <c r="I454" s="624"/>
      <c r="J454" s="624"/>
      <c r="K454" s="624"/>
      <c r="L454" s="624"/>
      <c r="M454" s="624"/>
      <c r="N454" s="624"/>
      <c r="O454" s="625"/>
      <c r="P454" s="631" t="s">
        <v>71</v>
      </c>
      <c r="Q454" s="632"/>
      <c r="R454" s="632"/>
      <c r="S454" s="632"/>
      <c r="T454" s="632"/>
      <c r="U454" s="632"/>
      <c r="V454" s="633"/>
      <c r="W454" s="40" t="s">
        <v>66</v>
      </c>
      <c r="X454" s="41">
        <f>IFERROR(SUM(X450:X452),"0")</f>
        <v>0</v>
      </c>
      <c r="Y454" s="41">
        <f>IFERROR(SUM(Y450:Y452),"0")</f>
        <v>0</v>
      </c>
      <c r="Z454" s="40"/>
      <c r="AA454" s="64"/>
      <c r="AB454" s="64"/>
      <c r="AC454" s="64"/>
    </row>
    <row r="455" spans="1:68" ht="27.75" hidden="1" customHeight="1" x14ac:dyDescent="0.2">
      <c r="A455" s="775" t="s">
        <v>728</v>
      </c>
      <c r="B455" s="776"/>
      <c r="C455" s="776"/>
      <c r="D455" s="776"/>
      <c r="E455" s="776"/>
      <c r="F455" s="776"/>
      <c r="G455" s="776"/>
      <c r="H455" s="776"/>
      <c r="I455" s="776"/>
      <c r="J455" s="776"/>
      <c r="K455" s="776"/>
      <c r="L455" s="776"/>
      <c r="M455" s="776"/>
      <c r="N455" s="776"/>
      <c r="O455" s="776"/>
      <c r="P455" s="776"/>
      <c r="Q455" s="776"/>
      <c r="R455" s="776"/>
      <c r="S455" s="776"/>
      <c r="T455" s="776"/>
      <c r="U455" s="776"/>
      <c r="V455" s="776"/>
      <c r="W455" s="776"/>
      <c r="X455" s="776"/>
      <c r="Y455" s="776"/>
      <c r="Z455" s="776"/>
      <c r="AA455" s="52"/>
      <c r="AB455" s="52"/>
      <c r="AC455" s="52"/>
    </row>
    <row r="456" spans="1:68" ht="16.5" hidden="1" customHeight="1" x14ac:dyDescent="0.25">
      <c r="A456" s="639" t="s">
        <v>729</v>
      </c>
      <c r="B456" s="624"/>
      <c r="C456" s="624"/>
      <c r="D456" s="624"/>
      <c r="E456" s="624"/>
      <c r="F456" s="624"/>
      <c r="G456" s="624"/>
      <c r="H456" s="624"/>
      <c r="I456" s="624"/>
      <c r="J456" s="624"/>
      <c r="K456" s="624"/>
      <c r="L456" s="624"/>
      <c r="M456" s="624"/>
      <c r="N456" s="624"/>
      <c r="O456" s="624"/>
      <c r="P456" s="624"/>
      <c r="Q456" s="624"/>
      <c r="R456" s="624"/>
      <c r="S456" s="624"/>
      <c r="T456" s="624"/>
      <c r="U456" s="624"/>
      <c r="V456" s="624"/>
      <c r="W456" s="624"/>
      <c r="X456" s="624"/>
      <c r="Y456" s="624"/>
      <c r="Z456" s="624"/>
      <c r="AA456" s="62"/>
      <c r="AB456" s="62"/>
      <c r="AC456" s="62"/>
    </row>
    <row r="457" spans="1:68" ht="14.25" hidden="1" customHeight="1" x14ac:dyDescent="0.25">
      <c r="A457" s="628" t="s">
        <v>61</v>
      </c>
      <c r="B457" s="624"/>
      <c r="C457" s="624"/>
      <c r="D457" s="624"/>
      <c r="E457" s="624"/>
      <c r="F457" s="624"/>
      <c r="G457" s="624"/>
      <c r="H457" s="624"/>
      <c r="I457" s="624"/>
      <c r="J457" s="624"/>
      <c r="K457" s="624"/>
      <c r="L457" s="624"/>
      <c r="M457" s="624"/>
      <c r="N457" s="624"/>
      <c r="O457" s="624"/>
      <c r="P457" s="624"/>
      <c r="Q457" s="624"/>
      <c r="R457" s="624"/>
      <c r="S457" s="624"/>
      <c r="T457" s="624"/>
      <c r="U457" s="624"/>
      <c r="V457" s="624"/>
      <c r="W457" s="624"/>
      <c r="X457" s="624"/>
      <c r="Y457" s="624"/>
      <c r="Z457" s="624"/>
      <c r="AA457" s="63"/>
      <c r="AB457" s="63"/>
      <c r="AC457" s="63"/>
    </row>
    <row r="458" spans="1:68" ht="27" hidden="1" customHeight="1" x14ac:dyDescent="0.25">
      <c r="A458" s="60" t="s">
        <v>730</v>
      </c>
      <c r="B458" s="60" t="s">
        <v>731</v>
      </c>
      <c r="C458" s="34">
        <v>4301031405</v>
      </c>
      <c r="D458" s="626">
        <v>4680115886100</v>
      </c>
      <c r="E458" s="627"/>
      <c r="F458" s="59">
        <v>0.9</v>
      </c>
      <c r="G458" s="35">
        <v>6</v>
      </c>
      <c r="H458" s="59">
        <v>5.4</v>
      </c>
      <c r="I458" s="59">
        <v>5.59</v>
      </c>
      <c r="J458" s="35">
        <v>132</v>
      </c>
      <c r="K458" s="35" t="s">
        <v>128</v>
      </c>
      <c r="L458" s="35"/>
      <c r="M458" s="36" t="s">
        <v>65</v>
      </c>
      <c r="N458" s="36"/>
      <c r="O458" s="35">
        <v>50</v>
      </c>
      <c r="P458" s="6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0"/>
      <c r="R458" s="620"/>
      <c r="S458" s="620"/>
      <c r="T458" s="621"/>
      <c r="U458" s="37"/>
      <c r="V458" s="37"/>
      <c r="W458" s="38" t="s">
        <v>66</v>
      </c>
      <c r="X458" s="56">
        <v>0</v>
      </c>
      <c r="Y458" s="53">
        <f t="shared" ref="Y458:Y463" si="52">IFERROR(IF(X458="",0,CEILING((X458/$H458),1)*$H458),"")</f>
        <v>0</v>
      </c>
      <c r="Z458" s="39" t="str">
        <f>IFERROR(IF(Y458=0,"",ROUNDUP(Y458/H458,0)*0.00902),"")</f>
        <v/>
      </c>
      <c r="AA458" s="65"/>
      <c r="AB458" s="66"/>
      <c r="AC458" s="541" t="s">
        <v>732</v>
      </c>
      <c r="AG458" s="75"/>
      <c r="AJ458" s="79"/>
      <c r="AK458" s="79">
        <v>0</v>
      </c>
      <c r="BB458" s="542" t="s">
        <v>1</v>
      </c>
      <c r="BM458" s="75">
        <f t="shared" ref="BM458:BM463" si="53">IFERROR(X458*I458/H458,"0")</f>
        <v>0</v>
      </c>
      <c r="BN458" s="75">
        <f t="shared" ref="BN458:BN463" si="54">IFERROR(Y458*I458/H458,"0")</f>
        <v>0</v>
      </c>
      <c r="BO458" s="75">
        <f t="shared" ref="BO458:BO463" si="55">IFERROR(1/J458*(X458/H458),"0")</f>
        <v>0</v>
      </c>
      <c r="BP458" s="75">
        <f t="shared" ref="BP458:BP463" si="56">IFERROR(1/J458*(Y458/H458),"0")</f>
        <v>0</v>
      </c>
    </row>
    <row r="459" spans="1:68" ht="27" hidden="1" customHeight="1" x14ac:dyDescent="0.25">
      <c r="A459" s="60" t="s">
        <v>733</v>
      </c>
      <c r="B459" s="60" t="s">
        <v>734</v>
      </c>
      <c r="C459" s="34">
        <v>4301031402</v>
      </c>
      <c r="D459" s="626">
        <v>4680115886124</v>
      </c>
      <c r="E459" s="627"/>
      <c r="F459" s="59">
        <v>0.9</v>
      </c>
      <c r="G459" s="35">
        <v>6</v>
      </c>
      <c r="H459" s="59">
        <v>5.4</v>
      </c>
      <c r="I459" s="59">
        <v>5.59</v>
      </c>
      <c r="J459" s="35">
        <v>132</v>
      </c>
      <c r="K459" s="35" t="s">
        <v>128</v>
      </c>
      <c r="L459" s="35"/>
      <c r="M459" s="36" t="s">
        <v>65</v>
      </c>
      <c r="N459" s="36"/>
      <c r="O459" s="35">
        <v>50</v>
      </c>
      <c r="P459" s="7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0"/>
      <c r="R459" s="620"/>
      <c r="S459" s="620"/>
      <c r="T459" s="621"/>
      <c r="U459" s="37"/>
      <c r="V459" s="37"/>
      <c r="W459" s="38" t="s">
        <v>66</v>
      </c>
      <c r="X459" s="56">
        <v>0</v>
      </c>
      <c r="Y459" s="53">
        <f t="shared" si="52"/>
        <v>0</v>
      </c>
      <c r="Z459" s="39" t="str">
        <f>IFERROR(IF(Y459=0,"",ROUNDUP(Y459/H459,0)*0.00902),"")</f>
        <v/>
      </c>
      <c r="AA459" s="65"/>
      <c r="AB459" s="66"/>
      <c r="AC459" s="543" t="s">
        <v>735</v>
      </c>
      <c r="AG459" s="75"/>
      <c r="AJ459" s="79"/>
      <c r="AK459" s="79">
        <v>0</v>
      </c>
      <c r="BB459" s="544" t="s">
        <v>1</v>
      </c>
      <c r="BM459" s="75">
        <f t="shared" si="53"/>
        <v>0</v>
      </c>
      <c r="BN459" s="75">
        <f t="shared" si="54"/>
        <v>0</v>
      </c>
      <c r="BO459" s="75">
        <f t="shared" si="55"/>
        <v>0</v>
      </c>
      <c r="BP459" s="75">
        <f t="shared" si="56"/>
        <v>0</v>
      </c>
    </row>
    <row r="460" spans="1:68" ht="27" hidden="1" customHeight="1" x14ac:dyDescent="0.25">
      <c r="A460" s="60" t="s">
        <v>736</v>
      </c>
      <c r="B460" s="60" t="s">
        <v>737</v>
      </c>
      <c r="C460" s="34">
        <v>4301031362</v>
      </c>
      <c r="D460" s="626">
        <v>4607091384338</v>
      </c>
      <c r="E460" s="627"/>
      <c r="F460" s="59">
        <v>0.35</v>
      </c>
      <c r="G460" s="35">
        <v>6</v>
      </c>
      <c r="H460" s="59">
        <v>2.1</v>
      </c>
      <c r="I460" s="59">
        <v>2.23</v>
      </c>
      <c r="J460" s="35">
        <v>234</v>
      </c>
      <c r="K460" s="35" t="s">
        <v>64</v>
      </c>
      <c r="L460" s="35"/>
      <c r="M460" s="36" t="s">
        <v>65</v>
      </c>
      <c r="N460" s="36"/>
      <c r="O460" s="35">
        <v>50</v>
      </c>
      <c r="P460" s="88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0"/>
      <c r="R460" s="620"/>
      <c r="S460" s="620"/>
      <c r="T460" s="621"/>
      <c r="U460" s="37"/>
      <c r="V460" s="37"/>
      <c r="W460" s="38" t="s">
        <v>66</v>
      </c>
      <c r="X460" s="56">
        <v>0</v>
      </c>
      <c r="Y460" s="53">
        <f t="shared" si="52"/>
        <v>0</v>
      </c>
      <c r="Z460" s="39" t="str">
        <f>IFERROR(IF(Y460=0,"",ROUNDUP(Y460/H460,0)*0.00502),"")</f>
        <v/>
      </c>
      <c r="AA460" s="65"/>
      <c r="AB460" s="66"/>
      <c r="AC460" s="545" t="s">
        <v>732</v>
      </c>
      <c r="AG460" s="75"/>
      <c r="AJ460" s="79"/>
      <c r="AK460" s="79">
        <v>0</v>
      </c>
      <c r="BB460" s="546" t="s">
        <v>1</v>
      </c>
      <c r="BM460" s="75">
        <f t="shared" si="53"/>
        <v>0</v>
      </c>
      <c r="BN460" s="75">
        <f t="shared" si="54"/>
        <v>0</v>
      </c>
      <c r="BO460" s="75">
        <f t="shared" si="55"/>
        <v>0</v>
      </c>
      <c r="BP460" s="75">
        <f t="shared" si="56"/>
        <v>0</v>
      </c>
    </row>
    <row r="461" spans="1:68" ht="27" hidden="1" customHeight="1" x14ac:dyDescent="0.25">
      <c r="A461" s="60" t="s">
        <v>738</v>
      </c>
      <c r="B461" s="60" t="s">
        <v>739</v>
      </c>
      <c r="C461" s="34">
        <v>4301031364</v>
      </c>
      <c r="D461" s="626">
        <v>4680115883161</v>
      </c>
      <c r="E461" s="627"/>
      <c r="F461" s="59">
        <v>0.28000000000000003</v>
      </c>
      <c r="G461" s="35">
        <v>6</v>
      </c>
      <c r="H461" s="59">
        <v>1.68</v>
      </c>
      <c r="I461" s="59">
        <v>1.81</v>
      </c>
      <c r="J461" s="35">
        <v>234</v>
      </c>
      <c r="K461" s="35" t="s">
        <v>64</v>
      </c>
      <c r="L461" s="35"/>
      <c r="M461" s="36" t="s">
        <v>65</v>
      </c>
      <c r="N461" s="36"/>
      <c r="O461" s="35">
        <v>50</v>
      </c>
      <c r="P461" s="8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0"/>
      <c r="R461" s="620"/>
      <c r="S461" s="620"/>
      <c r="T461" s="621"/>
      <c r="U461" s="37"/>
      <c r="V461" s="37"/>
      <c r="W461" s="38" t="s">
        <v>66</v>
      </c>
      <c r="X461" s="56">
        <v>0</v>
      </c>
      <c r="Y461" s="53">
        <f t="shared" si="52"/>
        <v>0</v>
      </c>
      <c r="Z461" s="39" t="str">
        <f>IFERROR(IF(Y461=0,"",ROUNDUP(Y461/H461,0)*0.00502),"")</f>
        <v/>
      </c>
      <c r="AA461" s="65"/>
      <c r="AB461" s="66"/>
      <c r="AC461" s="547" t="s">
        <v>740</v>
      </c>
      <c r="AG461" s="75"/>
      <c r="AJ461" s="79"/>
      <c r="AK461" s="79">
        <v>0</v>
      </c>
      <c r="BB461" s="548" t="s">
        <v>1</v>
      </c>
      <c r="BM461" s="75">
        <f t="shared" si="53"/>
        <v>0</v>
      </c>
      <c r="BN461" s="75">
        <f t="shared" si="54"/>
        <v>0</v>
      </c>
      <c r="BO461" s="75">
        <f t="shared" si="55"/>
        <v>0</v>
      </c>
      <c r="BP461" s="75">
        <f t="shared" si="56"/>
        <v>0</v>
      </c>
    </row>
    <row r="462" spans="1:68" ht="27" hidden="1" customHeight="1" x14ac:dyDescent="0.25">
      <c r="A462" s="60" t="s">
        <v>741</v>
      </c>
      <c r="B462" s="60" t="s">
        <v>742</v>
      </c>
      <c r="C462" s="34">
        <v>4301031358</v>
      </c>
      <c r="D462" s="626">
        <v>4607091389531</v>
      </c>
      <c r="E462" s="627"/>
      <c r="F462" s="59">
        <v>0.35</v>
      </c>
      <c r="G462" s="35">
        <v>6</v>
      </c>
      <c r="H462" s="59">
        <v>2.1</v>
      </c>
      <c r="I462" s="59">
        <v>2.23</v>
      </c>
      <c r="J462" s="35">
        <v>234</v>
      </c>
      <c r="K462" s="35" t="s">
        <v>64</v>
      </c>
      <c r="L462" s="35"/>
      <c r="M462" s="36" t="s">
        <v>65</v>
      </c>
      <c r="N462" s="36"/>
      <c r="O462" s="35">
        <v>50</v>
      </c>
      <c r="P462" s="8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0"/>
      <c r="R462" s="620"/>
      <c r="S462" s="620"/>
      <c r="T462" s="621"/>
      <c r="U462" s="37"/>
      <c r="V462" s="37"/>
      <c r="W462" s="38" t="s">
        <v>66</v>
      </c>
      <c r="X462" s="56">
        <v>0</v>
      </c>
      <c r="Y462" s="53">
        <f t="shared" si="52"/>
        <v>0</v>
      </c>
      <c r="Z462" s="39" t="str">
        <f>IFERROR(IF(Y462=0,"",ROUNDUP(Y462/H462,0)*0.00502),"")</f>
        <v/>
      </c>
      <c r="AA462" s="65"/>
      <c r="AB462" s="66"/>
      <c r="AC462" s="549" t="s">
        <v>743</v>
      </c>
      <c r="AG462" s="75"/>
      <c r="AJ462" s="79"/>
      <c r="AK462" s="79">
        <v>0</v>
      </c>
      <c r="BB462" s="550" t="s">
        <v>1</v>
      </c>
      <c r="BM462" s="75">
        <f t="shared" si="53"/>
        <v>0</v>
      </c>
      <c r="BN462" s="75">
        <f t="shared" si="54"/>
        <v>0</v>
      </c>
      <c r="BO462" s="75">
        <f t="shared" si="55"/>
        <v>0</v>
      </c>
      <c r="BP462" s="75">
        <f t="shared" si="56"/>
        <v>0</v>
      </c>
    </row>
    <row r="463" spans="1:68" ht="37.5" hidden="1" customHeight="1" x14ac:dyDescent="0.25">
      <c r="A463" s="60" t="s">
        <v>744</v>
      </c>
      <c r="B463" s="60" t="s">
        <v>745</v>
      </c>
      <c r="C463" s="34">
        <v>4301031360</v>
      </c>
      <c r="D463" s="626">
        <v>4607091384345</v>
      </c>
      <c r="E463" s="627"/>
      <c r="F463" s="59">
        <v>0.35</v>
      </c>
      <c r="G463" s="35">
        <v>6</v>
      </c>
      <c r="H463" s="59">
        <v>2.1</v>
      </c>
      <c r="I463" s="59">
        <v>2.23</v>
      </c>
      <c r="J463" s="35">
        <v>234</v>
      </c>
      <c r="K463" s="35" t="s">
        <v>64</v>
      </c>
      <c r="L463" s="35"/>
      <c r="M463" s="36" t="s">
        <v>65</v>
      </c>
      <c r="N463" s="36"/>
      <c r="O463" s="35">
        <v>50</v>
      </c>
      <c r="P463" s="8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0"/>
      <c r="R463" s="620"/>
      <c r="S463" s="620"/>
      <c r="T463" s="621"/>
      <c r="U463" s="37"/>
      <c r="V463" s="37"/>
      <c r="W463" s="38" t="s">
        <v>66</v>
      </c>
      <c r="X463" s="56">
        <v>0</v>
      </c>
      <c r="Y463" s="53">
        <f t="shared" si="52"/>
        <v>0</v>
      </c>
      <c r="Z463" s="39" t="str">
        <f>IFERROR(IF(Y463=0,"",ROUNDUP(Y463/H463,0)*0.00502),"")</f>
        <v/>
      </c>
      <c r="AA463" s="65"/>
      <c r="AB463" s="66"/>
      <c r="AC463" s="551" t="s">
        <v>740</v>
      </c>
      <c r="AG463" s="75"/>
      <c r="AJ463" s="79"/>
      <c r="AK463" s="79">
        <v>0</v>
      </c>
      <c r="BB463" s="552" t="s">
        <v>1</v>
      </c>
      <c r="BM463" s="75">
        <f t="shared" si="53"/>
        <v>0</v>
      </c>
      <c r="BN463" s="75">
        <f t="shared" si="54"/>
        <v>0</v>
      </c>
      <c r="BO463" s="75">
        <f t="shared" si="55"/>
        <v>0</v>
      </c>
      <c r="BP463" s="75">
        <f t="shared" si="56"/>
        <v>0</v>
      </c>
    </row>
    <row r="464" spans="1:68" hidden="1" x14ac:dyDescent="0.2">
      <c r="A464" s="623"/>
      <c r="B464" s="624"/>
      <c r="C464" s="624"/>
      <c r="D464" s="624"/>
      <c r="E464" s="624"/>
      <c r="F464" s="624"/>
      <c r="G464" s="624"/>
      <c r="H464" s="624"/>
      <c r="I464" s="624"/>
      <c r="J464" s="624"/>
      <c r="K464" s="624"/>
      <c r="L464" s="624"/>
      <c r="M464" s="624"/>
      <c r="N464" s="624"/>
      <c r="O464" s="625"/>
      <c r="P464" s="631" t="s">
        <v>71</v>
      </c>
      <c r="Q464" s="632"/>
      <c r="R464" s="632"/>
      <c r="S464" s="632"/>
      <c r="T464" s="632"/>
      <c r="U464" s="632"/>
      <c r="V464" s="633"/>
      <c r="W464" s="40" t="s">
        <v>72</v>
      </c>
      <c r="X464" s="41">
        <f>IFERROR(X458/H458,"0")+IFERROR(X459/H459,"0")+IFERROR(X460/H460,"0")+IFERROR(X461/H461,"0")+IFERROR(X462/H462,"0")+IFERROR(X463/H463,"0")</f>
        <v>0</v>
      </c>
      <c r="Y464" s="41">
        <f>IFERROR(Y458/H458,"0")+IFERROR(Y459/H459,"0")+IFERROR(Y460/H460,"0")+IFERROR(Y461/H461,"0")+IFERROR(Y462/H462,"0")+IFERROR(Y463/H463,"0")</f>
        <v>0</v>
      </c>
      <c r="Z464" s="41">
        <f>IFERROR(IF(Z458="",0,Z458),"0")+IFERROR(IF(Z459="",0,Z459),"0")+IFERROR(IF(Z460="",0,Z460),"0")+IFERROR(IF(Z461="",0,Z461),"0")+IFERROR(IF(Z462="",0,Z462),"0")+IFERROR(IF(Z463="",0,Z463),"0")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24"/>
      <c r="B465" s="624"/>
      <c r="C465" s="624"/>
      <c r="D465" s="624"/>
      <c r="E465" s="624"/>
      <c r="F465" s="624"/>
      <c r="G465" s="624"/>
      <c r="H465" s="624"/>
      <c r="I465" s="624"/>
      <c r="J465" s="624"/>
      <c r="K465" s="624"/>
      <c r="L465" s="624"/>
      <c r="M465" s="624"/>
      <c r="N465" s="624"/>
      <c r="O465" s="625"/>
      <c r="P465" s="631" t="s">
        <v>71</v>
      </c>
      <c r="Q465" s="632"/>
      <c r="R465" s="632"/>
      <c r="S465" s="632"/>
      <c r="T465" s="632"/>
      <c r="U465" s="632"/>
      <c r="V465" s="633"/>
      <c r="W465" s="40" t="s">
        <v>66</v>
      </c>
      <c r="X465" s="41">
        <f>IFERROR(SUM(X458:X463),"0")</f>
        <v>0</v>
      </c>
      <c r="Y465" s="41">
        <f>IFERROR(SUM(Y458:Y463),"0")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628" t="s">
        <v>73</v>
      </c>
      <c r="B466" s="624"/>
      <c r="C466" s="624"/>
      <c r="D466" s="624"/>
      <c r="E466" s="624"/>
      <c r="F466" s="624"/>
      <c r="G466" s="624"/>
      <c r="H466" s="624"/>
      <c r="I466" s="624"/>
      <c r="J466" s="624"/>
      <c r="K466" s="624"/>
      <c r="L466" s="624"/>
      <c r="M466" s="624"/>
      <c r="N466" s="624"/>
      <c r="O466" s="624"/>
      <c r="P466" s="624"/>
      <c r="Q466" s="624"/>
      <c r="R466" s="624"/>
      <c r="S466" s="624"/>
      <c r="T466" s="624"/>
      <c r="U466" s="624"/>
      <c r="V466" s="624"/>
      <c r="W466" s="624"/>
      <c r="X466" s="624"/>
      <c r="Y466" s="624"/>
      <c r="Z466" s="624"/>
      <c r="AA466" s="63"/>
      <c r="AB466" s="63"/>
      <c r="AC466" s="63"/>
    </row>
    <row r="467" spans="1:68" ht="27" hidden="1" customHeight="1" x14ac:dyDescent="0.25">
      <c r="A467" s="60" t="s">
        <v>746</v>
      </c>
      <c r="B467" s="60" t="s">
        <v>747</v>
      </c>
      <c r="C467" s="34">
        <v>4301051284</v>
      </c>
      <c r="D467" s="626">
        <v>4607091384352</v>
      </c>
      <c r="E467" s="627"/>
      <c r="F467" s="59">
        <v>0.6</v>
      </c>
      <c r="G467" s="35">
        <v>4</v>
      </c>
      <c r="H467" s="59">
        <v>2.4</v>
      </c>
      <c r="I467" s="59">
        <v>2.6259999999999999</v>
      </c>
      <c r="J467" s="35">
        <v>132</v>
      </c>
      <c r="K467" s="35" t="s">
        <v>128</v>
      </c>
      <c r="L467" s="35"/>
      <c r="M467" s="36" t="s">
        <v>77</v>
      </c>
      <c r="N467" s="36"/>
      <c r="O467" s="35">
        <v>45</v>
      </c>
      <c r="P467" s="7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0"/>
      <c r="R467" s="620"/>
      <c r="S467" s="620"/>
      <c r="T467" s="621"/>
      <c r="U467" s="37"/>
      <c r="V467" s="37"/>
      <c r="W467" s="38" t="s">
        <v>66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IFERROR(IF(Y467=0,"",ROUNDUP(Y467/H467,0)*0.00902),"")</f>
        <v/>
      </c>
      <c r="AA467" s="65"/>
      <c r="AB467" s="66"/>
      <c r="AC467" s="553" t="s">
        <v>748</v>
      </c>
      <c r="AG467" s="75"/>
      <c r="AJ467" s="79"/>
      <c r="AK467" s="79">
        <v>0</v>
      </c>
      <c r="BB467" s="554" t="s">
        <v>1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hidden="1" customHeight="1" x14ac:dyDescent="0.25">
      <c r="A468" s="60" t="s">
        <v>749</v>
      </c>
      <c r="B468" s="60" t="s">
        <v>750</v>
      </c>
      <c r="C468" s="34">
        <v>4301051431</v>
      </c>
      <c r="D468" s="626">
        <v>4607091389654</v>
      </c>
      <c r="E468" s="627"/>
      <c r="F468" s="59">
        <v>0.33</v>
      </c>
      <c r="G468" s="35">
        <v>6</v>
      </c>
      <c r="H468" s="59">
        <v>1.98</v>
      </c>
      <c r="I468" s="59">
        <v>2.238</v>
      </c>
      <c r="J468" s="35">
        <v>182</v>
      </c>
      <c r="K468" s="35" t="s">
        <v>76</v>
      </c>
      <c r="L468" s="35"/>
      <c r="M468" s="36" t="s">
        <v>77</v>
      </c>
      <c r="N468" s="36"/>
      <c r="O468" s="35">
        <v>45</v>
      </c>
      <c r="P468" s="6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0"/>
      <c r="R468" s="620"/>
      <c r="S468" s="620"/>
      <c r="T468" s="621"/>
      <c r="U468" s="37"/>
      <c r="V468" s="37"/>
      <c r="W468" s="38" t="s">
        <v>66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IFERROR(IF(Y468=0,"",ROUNDUP(Y468/H468,0)*0.00651),"")</f>
        <v/>
      </c>
      <c r="AA468" s="65"/>
      <c r="AB468" s="66"/>
      <c r="AC468" s="555" t="s">
        <v>751</v>
      </c>
      <c r="AG468" s="75"/>
      <c r="AJ468" s="79"/>
      <c r="AK468" s="79">
        <v>0</v>
      </c>
      <c r="BB468" s="556" t="s">
        <v>1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idden="1" x14ac:dyDescent="0.2">
      <c r="A469" s="623"/>
      <c r="B469" s="624"/>
      <c r="C469" s="624"/>
      <c r="D469" s="624"/>
      <c r="E469" s="624"/>
      <c r="F469" s="624"/>
      <c r="G469" s="624"/>
      <c r="H469" s="624"/>
      <c r="I469" s="624"/>
      <c r="J469" s="624"/>
      <c r="K469" s="624"/>
      <c r="L469" s="624"/>
      <c r="M469" s="624"/>
      <c r="N469" s="624"/>
      <c r="O469" s="625"/>
      <c r="P469" s="631" t="s">
        <v>71</v>
      </c>
      <c r="Q469" s="632"/>
      <c r="R469" s="632"/>
      <c r="S469" s="632"/>
      <c r="T469" s="632"/>
      <c r="U469" s="632"/>
      <c r="V469" s="633"/>
      <c r="W469" s="40" t="s">
        <v>72</v>
      </c>
      <c r="X469" s="41">
        <f>IFERROR(X467/H467,"0")+IFERROR(X468/H468,"0")</f>
        <v>0</v>
      </c>
      <c r="Y469" s="41">
        <f>IFERROR(Y467/H467,"0")+IFERROR(Y468/H468,"0")</f>
        <v>0</v>
      </c>
      <c r="Z469" s="41">
        <f>IFERROR(IF(Z467="",0,Z467),"0")+IFERROR(IF(Z468="",0,Z468),"0")</f>
        <v>0</v>
      </c>
      <c r="AA469" s="64"/>
      <c r="AB469" s="64"/>
      <c r="AC469" s="64"/>
    </row>
    <row r="470" spans="1:68" hidden="1" x14ac:dyDescent="0.2">
      <c r="A470" s="624"/>
      <c r="B470" s="624"/>
      <c r="C470" s="624"/>
      <c r="D470" s="624"/>
      <c r="E470" s="624"/>
      <c r="F470" s="624"/>
      <c r="G470" s="624"/>
      <c r="H470" s="624"/>
      <c r="I470" s="624"/>
      <c r="J470" s="624"/>
      <c r="K470" s="624"/>
      <c r="L470" s="624"/>
      <c r="M470" s="624"/>
      <c r="N470" s="624"/>
      <c r="O470" s="625"/>
      <c r="P470" s="631" t="s">
        <v>71</v>
      </c>
      <c r="Q470" s="632"/>
      <c r="R470" s="632"/>
      <c r="S470" s="632"/>
      <c r="T470" s="632"/>
      <c r="U470" s="632"/>
      <c r="V470" s="633"/>
      <c r="W470" s="40" t="s">
        <v>66</v>
      </c>
      <c r="X470" s="41">
        <f>IFERROR(SUM(X467:X468),"0")</f>
        <v>0</v>
      </c>
      <c r="Y470" s="41">
        <f>IFERROR(SUM(Y467:Y468),"0")</f>
        <v>0</v>
      </c>
      <c r="Z470" s="40"/>
      <c r="AA470" s="64"/>
      <c r="AB470" s="64"/>
      <c r="AC470" s="64"/>
    </row>
    <row r="471" spans="1:68" ht="16.5" hidden="1" customHeight="1" x14ac:dyDescent="0.25">
      <c r="A471" s="639" t="s">
        <v>752</v>
      </c>
      <c r="B471" s="624"/>
      <c r="C471" s="624"/>
      <c r="D471" s="624"/>
      <c r="E471" s="624"/>
      <c r="F471" s="624"/>
      <c r="G471" s="624"/>
      <c r="H471" s="624"/>
      <c r="I471" s="624"/>
      <c r="J471" s="624"/>
      <c r="K471" s="624"/>
      <c r="L471" s="624"/>
      <c r="M471" s="624"/>
      <c r="N471" s="624"/>
      <c r="O471" s="624"/>
      <c r="P471" s="624"/>
      <c r="Q471" s="624"/>
      <c r="R471" s="624"/>
      <c r="S471" s="624"/>
      <c r="T471" s="624"/>
      <c r="U471" s="624"/>
      <c r="V471" s="624"/>
      <c r="W471" s="624"/>
      <c r="X471" s="624"/>
      <c r="Y471" s="624"/>
      <c r="Z471" s="624"/>
      <c r="AA471" s="62"/>
      <c r="AB471" s="62"/>
      <c r="AC471" s="62"/>
    </row>
    <row r="472" spans="1:68" ht="14.25" hidden="1" customHeight="1" x14ac:dyDescent="0.25">
      <c r="A472" s="628" t="s">
        <v>152</v>
      </c>
      <c r="B472" s="624"/>
      <c r="C472" s="624"/>
      <c r="D472" s="624"/>
      <c r="E472" s="624"/>
      <c r="F472" s="624"/>
      <c r="G472" s="624"/>
      <c r="H472" s="624"/>
      <c r="I472" s="624"/>
      <c r="J472" s="624"/>
      <c r="K472" s="624"/>
      <c r="L472" s="624"/>
      <c r="M472" s="624"/>
      <c r="N472" s="624"/>
      <c r="O472" s="624"/>
      <c r="P472" s="624"/>
      <c r="Q472" s="624"/>
      <c r="R472" s="624"/>
      <c r="S472" s="624"/>
      <c r="T472" s="624"/>
      <c r="U472" s="624"/>
      <c r="V472" s="624"/>
      <c r="W472" s="624"/>
      <c r="X472" s="624"/>
      <c r="Y472" s="624"/>
      <c r="Z472" s="624"/>
      <c r="AA472" s="63"/>
      <c r="AB472" s="63"/>
      <c r="AC472" s="63"/>
    </row>
    <row r="473" spans="1:68" ht="27" hidden="1" customHeight="1" x14ac:dyDescent="0.25">
      <c r="A473" s="60" t="s">
        <v>753</v>
      </c>
      <c r="B473" s="60" t="s">
        <v>754</v>
      </c>
      <c r="C473" s="34">
        <v>4301020416</v>
      </c>
      <c r="D473" s="626">
        <v>4680115885240</v>
      </c>
      <c r="E473" s="627"/>
      <c r="F473" s="59">
        <v>0.35</v>
      </c>
      <c r="G473" s="35">
        <v>6</v>
      </c>
      <c r="H473" s="59">
        <v>2.1</v>
      </c>
      <c r="I473" s="59">
        <v>2.31</v>
      </c>
      <c r="J473" s="35">
        <v>182</v>
      </c>
      <c r="K473" s="35" t="s">
        <v>76</v>
      </c>
      <c r="L473" s="35"/>
      <c r="M473" s="36" t="s">
        <v>65</v>
      </c>
      <c r="N473" s="36"/>
      <c r="O473" s="35">
        <v>40</v>
      </c>
      <c r="P473" s="6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0"/>
      <c r="R473" s="620"/>
      <c r="S473" s="620"/>
      <c r="T473" s="621"/>
      <c r="U473" s="37"/>
      <c r="V473" s="37"/>
      <c r="W473" s="38" t="s">
        <v>66</v>
      </c>
      <c r="X473" s="56">
        <v>0</v>
      </c>
      <c r="Y473" s="53">
        <f>IFERROR(IF(X473="",0,CEILING((X473/$H473),1)*$H473),"")</f>
        <v>0</v>
      </c>
      <c r="Z473" s="39" t="str">
        <f>IFERROR(IF(Y473=0,"",ROUNDUP(Y473/H473,0)*0.00651),"")</f>
        <v/>
      </c>
      <c r="AA473" s="65"/>
      <c r="AB473" s="66"/>
      <c r="AC473" s="557" t="s">
        <v>755</v>
      </c>
      <c r="AG473" s="75"/>
      <c r="AJ473" s="79"/>
      <c r="AK473" s="79">
        <v>0</v>
      </c>
      <c r="BB473" s="558" t="s">
        <v>1</v>
      </c>
      <c r="BM473" s="75">
        <f>IFERROR(X473*I473/H473,"0")</f>
        <v>0</v>
      </c>
      <c r="BN473" s="75">
        <f>IFERROR(Y473*I473/H473,"0")</f>
        <v>0</v>
      </c>
      <c r="BO473" s="75">
        <f>IFERROR(1/J473*(X473/H473),"0")</f>
        <v>0</v>
      </c>
      <c r="BP473" s="75">
        <f>IFERROR(1/J473*(Y473/H473),"0")</f>
        <v>0</v>
      </c>
    </row>
    <row r="474" spans="1:68" hidden="1" x14ac:dyDescent="0.2">
      <c r="A474" s="623"/>
      <c r="B474" s="624"/>
      <c r="C474" s="624"/>
      <c r="D474" s="624"/>
      <c r="E474" s="624"/>
      <c r="F474" s="624"/>
      <c r="G474" s="624"/>
      <c r="H474" s="624"/>
      <c r="I474" s="624"/>
      <c r="J474" s="624"/>
      <c r="K474" s="624"/>
      <c r="L474" s="624"/>
      <c r="M474" s="624"/>
      <c r="N474" s="624"/>
      <c r="O474" s="625"/>
      <c r="P474" s="631" t="s">
        <v>71</v>
      </c>
      <c r="Q474" s="632"/>
      <c r="R474" s="632"/>
      <c r="S474" s="632"/>
      <c r="T474" s="632"/>
      <c r="U474" s="632"/>
      <c r="V474" s="633"/>
      <c r="W474" s="40" t="s">
        <v>72</v>
      </c>
      <c r="X474" s="41">
        <f>IFERROR(X473/H473,"0")</f>
        <v>0</v>
      </c>
      <c r="Y474" s="41">
        <f>IFERROR(Y473/H473,"0")</f>
        <v>0</v>
      </c>
      <c r="Z474" s="41">
        <f>IFERROR(IF(Z473="",0,Z473),"0")</f>
        <v>0</v>
      </c>
      <c r="AA474" s="64"/>
      <c r="AB474" s="64"/>
      <c r="AC474" s="64"/>
    </row>
    <row r="475" spans="1:68" hidden="1" x14ac:dyDescent="0.2">
      <c r="A475" s="624"/>
      <c r="B475" s="624"/>
      <c r="C475" s="624"/>
      <c r="D475" s="624"/>
      <c r="E475" s="624"/>
      <c r="F475" s="624"/>
      <c r="G475" s="624"/>
      <c r="H475" s="624"/>
      <c r="I475" s="624"/>
      <c r="J475" s="624"/>
      <c r="K475" s="624"/>
      <c r="L475" s="624"/>
      <c r="M475" s="624"/>
      <c r="N475" s="624"/>
      <c r="O475" s="625"/>
      <c r="P475" s="631" t="s">
        <v>71</v>
      </c>
      <c r="Q475" s="632"/>
      <c r="R475" s="632"/>
      <c r="S475" s="632"/>
      <c r="T475" s="632"/>
      <c r="U475" s="632"/>
      <c r="V475" s="633"/>
      <c r="W475" s="40" t="s">
        <v>66</v>
      </c>
      <c r="X475" s="41">
        <f>IFERROR(SUM(X473:X473),"0")</f>
        <v>0</v>
      </c>
      <c r="Y475" s="41">
        <f>IFERROR(SUM(Y473:Y473),"0")</f>
        <v>0</v>
      </c>
      <c r="Z475" s="40"/>
      <c r="AA475" s="64"/>
      <c r="AB475" s="64"/>
      <c r="AC475" s="64"/>
    </row>
    <row r="476" spans="1:68" ht="14.25" hidden="1" customHeight="1" x14ac:dyDescent="0.25">
      <c r="A476" s="628" t="s">
        <v>61</v>
      </c>
      <c r="B476" s="624"/>
      <c r="C476" s="624"/>
      <c r="D476" s="624"/>
      <c r="E476" s="624"/>
      <c r="F476" s="624"/>
      <c r="G476" s="624"/>
      <c r="H476" s="624"/>
      <c r="I476" s="624"/>
      <c r="J476" s="624"/>
      <c r="K476" s="624"/>
      <c r="L476" s="624"/>
      <c r="M476" s="624"/>
      <c r="N476" s="624"/>
      <c r="O476" s="624"/>
      <c r="P476" s="624"/>
      <c r="Q476" s="624"/>
      <c r="R476" s="624"/>
      <c r="S476" s="624"/>
      <c r="T476" s="624"/>
      <c r="U476" s="624"/>
      <c r="V476" s="624"/>
      <c r="W476" s="624"/>
      <c r="X476" s="624"/>
      <c r="Y476" s="624"/>
      <c r="Z476" s="624"/>
      <c r="AA476" s="63"/>
      <c r="AB476" s="63"/>
      <c r="AC476" s="63"/>
    </row>
    <row r="477" spans="1:68" ht="27" hidden="1" customHeight="1" x14ac:dyDescent="0.25">
      <c r="A477" s="60" t="s">
        <v>756</v>
      </c>
      <c r="B477" s="60" t="s">
        <v>757</v>
      </c>
      <c r="C477" s="34">
        <v>4301031407</v>
      </c>
      <c r="D477" s="626">
        <v>4680115886094</v>
      </c>
      <c r="E477" s="627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128</v>
      </c>
      <c r="L477" s="35"/>
      <c r="M477" s="36" t="s">
        <v>65</v>
      </c>
      <c r="N477" s="36"/>
      <c r="O477" s="35">
        <v>50</v>
      </c>
      <c r="P477" s="74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0"/>
      <c r="R477" s="620"/>
      <c r="S477" s="620"/>
      <c r="T477" s="621"/>
      <c r="U477" s="37"/>
      <c r="V477" s="37"/>
      <c r="W477" s="38" t="s">
        <v>66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IFERROR(IF(Y477=0,"",ROUNDUP(Y477/H477,0)*0.00902),"")</f>
        <v/>
      </c>
      <c r="AA477" s="65"/>
      <c r="AB477" s="66"/>
      <c r="AC477" s="559" t="s">
        <v>758</v>
      </c>
      <c r="AG477" s="75"/>
      <c r="AJ477" s="79"/>
      <c r="AK477" s="79">
        <v>0</v>
      </c>
      <c r="BB477" s="560" t="s">
        <v>1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ht="27" hidden="1" customHeight="1" x14ac:dyDescent="0.25">
      <c r="A478" s="60" t="s">
        <v>759</v>
      </c>
      <c r="B478" s="60" t="s">
        <v>760</v>
      </c>
      <c r="C478" s="34">
        <v>4301031373</v>
      </c>
      <c r="D478" s="626">
        <v>4680115880771</v>
      </c>
      <c r="E478" s="627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64</v>
      </c>
      <c r="L478" s="35"/>
      <c r="M478" s="36" t="s">
        <v>65</v>
      </c>
      <c r="N478" s="36"/>
      <c r="O478" s="35">
        <v>50</v>
      </c>
      <c r="P478" s="85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0"/>
      <c r="R478" s="620"/>
      <c r="S478" s="620"/>
      <c r="T478" s="621"/>
      <c r="U478" s="37"/>
      <c r="V478" s="37"/>
      <c r="W478" s="38" t="s">
        <v>66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IFERROR(IF(Y478=0,"",ROUNDUP(Y478/H478,0)*0.00502),"")</f>
        <v/>
      </c>
      <c r="AA478" s="65"/>
      <c r="AB478" s="66"/>
      <c r="AC478" s="561" t="s">
        <v>761</v>
      </c>
      <c r="AG478" s="75"/>
      <c r="AJ478" s="79"/>
      <c r="AK478" s="79">
        <v>0</v>
      </c>
      <c r="BB478" s="562" t="s">
        <v>1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762</v>
      </c>
      <c r="B479" s="60" t="s">
        <v>763</v>
      </c>
      <c r="C479" s="34">
        <v>4301031359</v>
      </c>
      <c r="D479" s="626">
        <v>4607091389500</v>
      </c>
      <c r="E479" s="627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64</v>
      </c>
      <c r="L479" s="35"/>
      <c r="M479" s="36" t="s">
        <v>65</v>
      </c>
      <c r="N479" s="36"/>
      <c r="O479" s="35">
        <v>50</v>
      </c>
      <c r="P479" s="72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0"/>
      <c r="R479" s="620"/>
      <c r="S479" s="620"/>
      <c r="T479" s="621"/>
      <c r="U479" s="37"/>
      <c r="V479" s="37"/>
      <c r="W479" s="38" t="s">
        <v>66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IFERROR(IF(Y479=0,"",ROUNDUP(Y479/H479,0)*0.00502),"")</f>
        <v/>
      </c>
      <c r="AA479" s="65"/>
      <c r="AB479" s="66"/>
      <c r="AC479" s="563" t="s">
        <v>761</v>
      </c>
      <c r="AG479" s="75"/>
      <c r="AJ479" s="79"/>
      <c r="AK479" s="79">
        <v>0</v>
      </c>
      <c r="BB479" s="564" t="s">
        <v>1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623"/>
      <c r="B480" s="624"/>
      <c r="C480" s="624"/>
      <c r="D480" s="624"/>
      <c r="E480" s="624"/>
      <c r="F480" s="624"/>
      <c r="G480" s="624"/>
      <c r="H480" s="624"/>
      <c r="I480" s="624"/>
      <c r="J480" s="624"/>
      <c r="K480" s="624"/>
      <c r="L480" s="624"/>
      <c r="M480" s="624"/>
      <c r="N480" s="624"/>
      <c r="O480" s="625"/>
      <c r="P480" s="631" t="s">
        <v>71</v>
      </c>
      <c r="Q480" s="632"/>
      <c r="R480" s="632"/>
      <c r="S480" s="632"/>
      <c r="T480" s="632"/>
      <c r="U480" s="632"/>
      <c r="V480" s="633"/>
      <c r="W480" s="40" t="s">
        <v>72</v>
      </c>
      <c r="X480" s="41">
        <f>IFERROR(X477/H477,"0")+IFERROR(X478/H478,"0")+IFERROR(X479/H479,"0")</f>
        <v>0</v>
      </c>
      <c r="Y480" s="41">
        <f>IFERROR(Y477/H477,"0")+IFERROR(Y478/H478,"0")+IFERROR(Y479/H479,"0")</f>
        <v>0</v>
      </c>
      <c r="Z480" s="41">
        <f>IFERROR(IF(Z477="",0,Z477),"0")+IFERROR(IF(Z478="",0,Z478),"0")+IFERROR(IF(Z479="",0,Z479),"0")</f>
        <v>0</v>
      </c>
      <c r="AA480" s="64"/>
      <c r="AB480" s="64"/>
      <c r="AC480" s="64"/>
    </row>
    <row r="481" spans="1:68" hidden="1" x14ac:dyDescent="0.2">
      <c r="A481" s="624"/>
      <c r="B481" s="624"/>
      <c r="C481" s="624"/>
      <c r="D481" s="624"/>
      <c r="E481" s="624"/>
      <c r="F481" s="624"/>
      <c r="G481" s="624"/>
      <c r="H481" s="624"/>
      <c r="I481" s="624"/>
      <c r="J481" s="624"/>
      <c r="K481" s="624"/>
      <c r="L481" s="624"/>
      <c r="M481" s="624"/>
      <c r="N481" s="624"/>
      <c r="O481" s="625"/>
      <c r="P481" s="631" t="s">
        <v>71</v>
      </c>
      <c r="Q481" s="632"/>
      <c r="R481" s="632"/>
      <c r="S481" s="632"/>
      <c r="T481" s="632"/>
      <c r="U481" s="632"/>
      <c r="V481" s="633"/>
      <c r="W481" s="40" t="s">
        <v>66</v>
      </c>
      <c r="X481" s="41">
        <f>IFERROR(SUM(X477:X479),"0")</f>
        <v>0</v>
      </c>
      <c r="Y481" s="41">
        <f>IFERROR(SUM(Y477:Y479),"0")</f>
        <v>0</v>
      </c>
      <c r="Z481" s="40"/>
      <c r="AA481" s="64"/>
      <c r="AB481" s="64"/>
      <c r="AC481" s="64"/>
    </row>
    <row r="482" spans="1:68" ht="27.75" hidden="1" customHeight="1" x14ac:dyDescent="0.2">
      <c r="A482" s="775" t="s">
        <v>764</v>
      </c>
      <c r="B482" s="776"/>
      <c r="C482" s="776"/>
      <c r="D482" s="776"/>
      <c r="E482" s="776"/>
      <c r="F482" s="776"/>
      <c r="G482" s="776"/>
      <c r="H482" s="776"/>
      <c r="I482" s="776"/>
      <c r="J482" s="776"/>
      <c r="K482" s="776"/>
      <c r="L482" s="776"/>
      <c r="M482" s="776"/>
      <c r="N482" s="776"/>
      <c r="O482" s="776"/>
      <c r="P482" s="776"/>
      <c r="Q482" s="776"/>
      <c r="R482" s="776"/>
      <c r="S482" s="776"/>
      <c r="T482" s="776"/>
      <c r="U482" s="776"/>
      <c r="V482" s="776"/>
      <c r="W482" s="776"/>
      <c r="X482" s="776"/>
      <c r="Y482" s="776"/>
      <c r="Z482" s="776"/>
      <c r="AA482" s="52"/>
      <c r="AB482" s="52"/>
      <c r="AC482" s="52"/>
    </row>
    <row r="483" spans="1:68" ht="16.5" hidden="1" customHeight="1" x14ac:dyDescent="0.25">
      <c r="A483" s="639" t="s">
        <v>764</v>
      </c>
      <c r="B483" s="624"/>
      <c r="C483" s="624"/>
      <c r="D483" s="624"/>
      <c r="E483" s="624"/>
      <c r="F483" s="624"/>
      <c r="G483" s="624"/>
      <c r="H483" s="624"/>
      <c r="I483" s="624"/>
      <c r="J483" s="624"/>
      <c r="K483" s="624"/>
      <c r="L483" s="624"/>
      <c r="M483" s="624"/>
      <c r="N483" s="624"/>
      <c r="O483" s="624"/>
      <c r="P483" s="624"/>
      <c r="Q483" s="624"/>
      <c r="R483" s="624"/>
      <c r="S483" s="624"/>
      <c r="T483" s="624"/>
      <c r="U483" s="624"/>
      <c r="V483" s="624"/>
      <c r="W483" s="624"/>
      <c r="X483" s="624"/>
      <c r="Y483" s="624"/>
      <c r="Z483" s="624"/>
      <c r="AA483" s="62"/>
      <c r="AB483" s="62"/>
      <c r="AC483" s="62"/>
    </row>
    <row r="484" spans="1:68" ht="14.25" hidden="1" customHeight="1" x14ac:dyDescent="0.25">
      <c r="A484" s="628" t="s">
        <v>116</v>
      </c>
      <c r="B484" s="624"/>
      <c r="C484" s="624"/>
      <c r="D484" s="624"/>
      <c r="E484" s="624"/>
      <c r="F484" s="624"/>
      <c r="G484" s="624"/>
      <c r="H484" s="624"/>
      <c r="I484" s="624"/>
      <c r="J484" s="624"/>
      <c r="K484" s="624"/>
      <c r="L484" s="624"/>
      <c r="M484" s="624"/>
      <c r="N484" s="624"/>
      <c r="O484" s="624"/>
      <c r="P484" s="624"/>
      <c r="Q484" s="624"/>
      <c r="R484" s="624"/>
      <c r="S484" s="624"/>
      <c r="T484" s="624"/>
      <c r="U484" s="624"/>
      <c r="V484" s="624"/>
      <c r="W484" s="624"/>
      <c r="X484" s="624"/>
      <c r="Y484" s="624"/>
      <c r="Z484" s="624"/>
      <c r="AA484" s="63"/>
      <c r="AB484" s="63"/>
      <c r="AC484" s="63"/>
    </row>
    <row r="485" spans="1:68" ht="27" hidden="1" customHeight="1" x14ac:dyDescent="0.25">
      <c r="A485" s="60" t="s">
        <v>765</v>
      </c>
      <c r="B485" s="60" t="s">
        <v>766</v>
      </c>
      <c r="C485" s="34">
        <v>4301011769</v>
      </c>
      <c r="D485" s="626">
        <v>4607091389067</v>
      </c>
      <c r="E485" s="627"/>
      <c r="F485" s="59">
        <v>0.88</v>
      </c>
      <c r="G485" s="35">
        <v>6</v>
      </c>
      <c r="H485" s="59">
        <v>5.28</v>
      </c>
      <c r="I485" s="59">
        <v>5.63</v>
      </c>
      <c r="J485" s="35">
        <v>104</v>
      </c>
      <c r="K485" s="35" t="s">
        <v>119</v>
      </c>
      <c r="L485" s="35"/>
      <c r="M485" s="36" t="s">
        <v>77</v>
      </c>
      <c r="N485" s="36"/>
      <c r="O485" s="35">
        <v>60</v>
      </c>
      <c r="P485" s="8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0"/>
      <c r="R485" s="620"/>
      <c r="S485" s="620"/>
      <c r="T485" s="621"/>
      <c r="U485" s="37"/>
      <c r="V485" s="37"/>
      <c r="W485" s="38" t="s">
        <v>66</v>
      </c>
      <c r="X485" s="56">
        <v>0</v>
      </c>
      <c r="Y485" s="53">
        <f t="shared" ref="Y485:Y493" si="57">IFERROR(IF(X485="",0,CEILING((X485/$H485),1)*$H485),"")</f>
        <v>0</v>
      </c>
      <c r="Z485" s="39" t="str">
        <f t="shared" ref="Z485:Z490" si="58">IFERROR(IF(Y485=0,"",ROUNDUP(Y485/H485,0)*0.01196),"")</f>
        <v/>
      </c>
      <c r="AA485" s="65"/>
      <c r="AB485" s="66"/>
      <c r="AC485" s="565" t="s">
        <v>121</v>
      </c>
      <c r="AG485" s="75"/>
      <c r="AJ485" s="79"/>
      <c r="AK485" s="79">
        <v>0</v>
      </c>
      <c r="BB485" s="566" t="s">
        <v>1</v>
      </c>
      <c r="BM485" s="75">
        <f t="shared" ref="BM485:BM493" si="59">IFERROR(X485*I485/H485,"0")</f>
        <v>0</v>
      </c>
      <c r="BN485" s="75">
        <f t="shared" ref="BN485:BN493" si="60">IFERROR(Y485*I485/H485,"0")</f>
        <v>0</v>
      </c>
      <c r="BO485" s="75">
        <f t="shared" ref="BO485:BO493" si="61">IFERROR(1/J485*(X485/H485),"0")</f>
        <v>0</v>
      </c>
      <c r="BP485" s="75">
        <f t="shared" ref="BP485:BP493" si="62">IFERROR(1/J485*(Y485/H485),"0")</f>
        <v>0</v>
      </c>
    </row>
    <row r="486" spans="1:68" ht="16.5" hidden="1" customHeight="1" x14ac:dyDescent="0.25">
      <c r="A486" s="60" t="s">
        <v>767</v>
      </c>
      <c r="B486" s="60" t="s">
        <v>768</v>
      </c>
      <c r="C486" s="34">
        <v>4301012380</v>
      </c>
      <c r="D486" s="626">
        <v>4680115889576</v>
      </c>
      <c r="E486" s="627"/>
      <c r="F486" s="59">
        <v>0.88</v>
      </c>
      <c r="G486" s="35">
        <v>6</v>
      </c>
      <c r="H486" s="59">
        <v>5.28</v>
      </c>
      <c r="I486" s="59">
        <v>5.63</v>
      </c>
      <c r="J486" s="35">
        <v>104</v>
      </c>
      <c r="K486" s="35" t="s">
        <v>119</v>
      </c>
      <c r="L486" s="35"/>
      <c r="M486" s="36" t="s">
        <v>120</v>
      </c>
      <c r="N486" s="36"/>
      <c r="O486" s="35">
        <v>60</v>
      </c>
      <c r="P486" s="93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0"/>
      <c r="R486" s="620"/>
      <c r="S486" s="620"/>
      <c r="T486" s="621"/>
      <c r="U486" s="37"/>
      <c r="V486" s="37"/>
      <c r="W486" s="38" t="s">
        <v>66</v>
      </c>
      <c r="X486" s="56">
        <v>0</v>
      </c>
      <c r="Y486" s="53">
        <f t="shared" si="57"/>
        <v>0</v>
      </c>
      <c r="Z486" s="39" t="str">
        <f t="shared" si="58"/>
        <v/>
      </c>
      <c r="AA486" s="65"/>
      <c r="AB486" s="66"/>
      <c r="AC486" s="567" t="s">
        <v>769</v>
      </c>
      <c r="AG486" s="75"/>
      <c r="AJ486" s="79"/>
      <c r="AK486" s="79">
        <v>0</v>
      </c>
      <c r="BB486" s="568" t="s">
        <v>1</v>
      </c>
      <c r="BM486" s="75">
        <f t="shared" si="59"/>
        <v>0</v>
      </c>
      <c r="BN486" s="75">
        <f t="shared" si="60"/>
        <v>0</v>
      </c>
      <c r="BO486" s="75">
        <f t="shared" si="61"/>
        <v>0</v>
      </c>
      <c r="BP486" s="75">
        <f t="shared" si="62"/>
        <v>0</v>
      </c>
    </row>
    <row r="487" spans="1:68" ht="27" hidden="1" customHeight="1" x14ac:dyDescent="0.25">
      <c r="A487" s="60" t="s">
        <v>770</v>
      </c>
      <c r="B487" s="60" t="s">
        <v>771</v>
      </c>
      <c r="C487" s="34">
        <v>4301011961</v>
      </c>
      <c r="D487" s="626">
        <v>4680115885271</v>
      </c>
      <c r="E487" s="627"/>
      <c r="F487" s="59">
        <v>0.88</v>
      </c>
      <c r="G487" s="35">
        <v>6</v>
      </c>
      <c r="H487" s="59">
        <v>5.28</v>
      </c>
      <c r="I487" s="59">
        <v>5.63</v>
      </c>
      <c r="J487" s="35">
        <v>104</v>
      </c>
      <c r="K487" s="35" t="s">
        <v>119</v>
      </c>
      <c r="L487" s="35"/>
      <c r="M487" s="36" t="s">
        <v>120</v>
      </c>
      <c r="N487" s="36"/>
      <c r="O487" s="35">
        <v>60</v>
      </c>
      <c r="P487" s="8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0"/>
      <c r="R487" s="620"/>
      <c r="S487" s="620"/>
      <c r="T487" s="621"/>
      <c r="U487" s="37"/>
      <c r="V487" s="37"/>
      <c r="W487" s="38" t="s">
        <v>66</v>
      </c>
      <c r="X487" s="56">
        <v>0</v>
      </c>
      <c r="Y487" s="53">
        <f t="shared" si="57"/>
        <v>0</v>
      </c>
      <c r="Z487" s="39" t="str">
        <f t="shared" si="58"/>
        <v/>
      </c>
      <c r="AA487" s="65"/>
      <c r="AB487" s="66"/>
      <c r="AC487" s="569" t="s">
        <v>772</v>
      </c>
      <c r="AG487" s="75"/>
      <c r="AJ487" s="79"/>
      <c r="AK487" s="79">
        <v>0</v>
      </c>
      <c r="BB487" s="570" t="s">
        <v>1</v>
      </c>
      <c r="BM487" s="75">
        <f t="shared" si="59"/>
        <v>0</v>
      </c>
      <c r="BN487" s="75">
        <f t="shared" si="60"/>
        <v>0</v>
      </c>
      <c r="BO487" s="75">
        <f t="shared" si="61"/>
        <v>0</v>
      </c>
      <c r="BP487" s="75">
        <f t="shared" si="62"/>
        <v>0</v>
      </c>
    </row>
    <row r="488" spans="1:68" ht="27" hidden="1" customHeight="1" x14ac:dyDescent="0.25">
      <c r="A488" s="60" t="s">
        <v>773</v>
      </c>
      <c r="B488" s="60" t="s">
        <v>774</v>
      </c>
      <c r="C488" s="34">
        <v>4301011369</v>
      </c>
      <c r="D488" s="626">
        <v>4680115885226</v>
      </c>
      <c r="E488" s="627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119</v>
      </c>
      <c r="L488" s="35"/>
      <c r="M488" s="36" t="s">
        <v>120</v>
      </c>
      <c r="N488" s="36"/>
      <c r="O488" s="35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0"/>
      <c r="R488" s="620"/>
      <c r="S488" s="620"/>
      <c r="T488" s="621"/>
      <c r="U488" s="37"/>
      <c r="V488" s="37"/>
      <c r="W488" s="38" t="s">
        <v>66</v>
      </c>
      <c r="X488" s="56">
        <v>0</v>
      </c>
      <c r="Y488" s="53">
        <f t="shared" si="57"/>
        <v>0</v>
      </c>
      <c r="Z488" s="39" t="str">
        <f t="shared" si="58"/>
        <v/>
      </c>
      <c r="AA488" s="65"/>
      <c r="AB488" s="66"/>
      <c r="AC488" s="571" t="s">
        <v>775</v>
      </c>
      <c r="AG488" s="75"/>
      <c r="AJ488" s="79"/>
      <c r="AK488" s="79">
        <v>0</v>
      </c>
      <c r="BB488" s="572" t="s">
        <v>1</v>
      </c>
      <c r="BM488" s="75">
        <f t="shared" si="59"/>
        <v>0</v>
      </c>
      <c r="BN488" s="75">
        <f t="shared" si="60"/>
        <v>0</v>
      </c>
      <c r="BO488" s="75">
        <f t="shared" si="61"/>
        <v>0</v>
      </c>
      <c r="BP488" s="75">
        <f t="shared" si="62"/>
        <v>0</v>
      </c>
    </row>
    <row r="489" spans="1:68" ht="16.5" hidden="1" customHeight="1" x14ac:dyDescent="0.25">
      <c r="A489" s="60" t="s">
        <v>776</v>
      </c>
      <c r="B489" s="60" t="s">
        <v>777</v>
      </c>
      <c r="C489" s="34">
        <v>4301011797</v>
      </c>
      <c r="D489" s="626">
        <v>4680115884502</v>
      </c>
      <c r="E489" s="627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119</v>
      </c>
      <c r="L489" s="35"/>
      <c r="M489" s="36" t="s">
        <v>77</v>
      </c>
      <c r="N489" s="36"/>
      <c r="O489" s="35">
        <v>60</v>
      </c>
      <c r="P489" s="7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0"/>
      <c r="R489" s="620"/>
      <c r="S489" s="620"/>
      <c r="T489" s="621"/>
      <c r="U489" s="37"/>
      <c r="V489" s="37"/>
      <c r="W489" s="38" t="s">
        <v>66</v>
      </c>
      <c r="X489" s="56">
        <v>0</v>
      </c>
      <c r="Y489" s="53">
        <f t="shared" si="57"/>
        <v>0</v>
      </c>
      <c r="Z489" s="39" t="str">
        <f t="shared" si="58"/>
        <v/>
      </c>
      <c r="AA489" s="65"/>
      <c r="AB489" s="66"/>
      <c r="AC489" s="573" t="s">
        <v>778</v>
      </c>
      <c r="AG489" s="75"/>
      <c r="AJ489" s="79"/>
      <c r="AK489" s="79">
        <v>0</v>
      </c>
      <c r="BB489" s="574" t="s">
        <v>1</v>
      </c>
      <c r="BM489" s="75">
        <f t="shared" si="59"/>
        <v>0</v>
      </c>
      <c r="BN489" s="75">
        <f t="shared" si="60"/>
        <v>0</v>
      </c>
      <c r="BO489" s="75">
        <f t="shared" si="61"/>
        <v>0</v>
      </c>
      <c r="BP489" s="75">
        <f t="shared" si="62"/>
        <v>0</v>
      </c>
    </row>
    <row r="490" spans="1:68" ht="27" hidden="1" customHeight="1" x14ac:dyDescent="0.25">
      <c r="A490" s="60" t="s">
        <v>779</v>
      </c>
      <c r="B490" s="60" t="s">
        <v>780</v>
      </c>
      <c r="C490" s="34">
        <v>4301011771</v>
      </c>
      <c r="D490" s="626">
        <v>4607091389104</v>
      </c>
      <c r="E490" s="627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119</v>
      </c>
      <c r="L490" s="35"/>
      <c r="M490" s="36" t="s">
        <v>120</v>
      </c>
      <c r="N490" s="36"/>
      <c r="O490" s="35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0"/>
      <c r="R490" s="620"/>
      <c r="S490" s="620"/>
      <c r="T490" s="621"/>
      <c r="U490" s="37"/>
      <c r="V490" s="37"/>
      <c r="W490" s="38" t="s">
        <v>66</v>
      </c>
      <c r="X490" s="56">
        <v>0</v>
      </c>
      <c r="Y490" s="53">
        <f t="shared" si="57"/>
        <v>0</v>
      </c>
      <c r="Z490" s="39" t="str">
        <f t="shared" si="58"/>
        <v/>
      </c>
      <c r="AA490" s="65"/>
      <c r="AB490" s="66"/>
      <c r="AC490" s="575" t="s">
        <v>781</v>
      </c>
      <c r="AG490" s="75"/>
      <c r="AJ490" s="79"/>
      <c r="AK490" s="79">
        <v>0</v>
      </c>
      <c r="BB490" s="576" t="s">
        <v>1</v>
      </c>
      <c r="BM490" s="75">
        <f t="shared" si="59"/>
        <v>0</v>
      </c>
      <c r="BN490" s="75">
        <f t="shared" si="60"/>
        <v>0</v>
      </c>
      <c r="BO490" s="75">
        <f t="shared" si="61"/>
        <v>0</v>
      </c>
      <c r="BP490" s="75">
        <f t="shared" si="62"/>
        <v>0</v>
      </c>
    </row>
    <row r="491" spans="1:68" ht="27" hidden="1" customHeight="1" x14ac:dyDescent="0.25">
      <c r="A491" s="60" t="s">
        <v>782</v>
      </c>
      <c r="B491" s="60" t="s">
        <v>783</v>
      </c>
      <c r="C491" s="34">
        <v>4301012125</v>
      </c>
      <c r="D491" s="626">
        <v>4680115886391</v>
      </c>
      <c r="E491" s="627"/>
      <c r="F491" s="59">
        <v>0.4</v>
      </c>
      <c r="G491" s="35">
        <v>6</v>
      </c>
      <c r="H491" s="59">
        <v>2.4</v>
      </c>
      <c r="I491" s="59">
        <v>2.58</v>
      </c>
      <c r="J491" s="35">
        <v>182</v>
      </c>
      <c r="K491" s="35" t="s">
        <v>76</v>
      </c>
      <c r="L491" s="35"/>
      <c r="M491" s="36" t="s">
        <v>77</v>
      </c>
      <c r="N491" s="36"/>
      <c r="O491" s="35">
        <v>60</v>
      </c>
      <c r="P491" s="7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0"/>
      <c r="R491" s="620"/>
      <c r="S491" s="620"/>
      <c r="T491" s="621"/>
      <c r="U491" s="37"/>
      <c r="V491" s="37"/>
      <c r="W491" s="38" t="s">
        <v>66</v>
      </c>
      <c r="X491" s="56">
        <v>0</v>
      </c>
      <c r="Y491" s="53">
        <f t="shared" si="57"/>
        <v>0</v>
      </c>
      <c r="Z491" s="39" t="str">
        <f>IFERROR(IF(Y491=0,"",ROUNDUP(Y491/H491,0)*0.00651),"")</f>
        <v/>
      </c>
      <c r="AA491" s="65"/>
      <c r="AB491" s="66"/>
      <c r="AC491" s="577" t="s">
        <v>121</v>
      </c>
      <c r="AG491" s="75"/>
      <c r="AJ491" s="79"/>
      <c r="AK491" s="79">
        <v>0</v>
      </c>
      <c r="BB491" s="578" t="s">
        <v>1</v>
      </c>
      <c r="BM491" s="75">
        <f t="shared" si="59"/>
        <v>0</v>
      </c>
      <c r="BN491" s="75">
        <f t="shared" si="60"/>
        <v>0</v>
      </c>
      <c r="BO491" s="75">
        <f t="shared" si="61"/>
        <v>0</v>
      </c>
      <c r="BP491" s="75">
        <f t="shared" si="62"/>
        <v>0</v>
      </c>
    </row>
    <row r="492" spans="1:68" ht="27" hidden="1" customHeight="1" x14ac:dyDescent="0.25">
      <c r="A492" s="60" t="s">
        <v>784</v>
      </c>
      <c r="B492" s="60" t="s">
        <v>785</v>
      </c>
      <c r="C492" s="34">
        <v>4301012048</v>
      </c>
      <c r="D492" s="626">
        <v>4680115880603</v>
      </c>
      <c r="E492" s="627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128</v>
      </c>
      <c r="L492" s="35"/>
      <c r="M492" s="36" t="s">
        <v>77</v>
      </c>
      <c r="N492" s="36"/>
      <c r="O492" s="35">
        <v>60</v>
      </c>
      <c r="P492" s="7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0"/>
      <c r="R492" s="620"/>
      <c r="S492" s="620"/>
      <c r="T492" s="621"/>
      <c r="U492" s="37"/>
      <c r="V492" s="37"/>
      <c r="W492" s="38" t="s">
        <v>66</v>
      </c>
      <c r="X492" s="56">
        <v>0</v>
      </c>
      <c r="Y492" s="53">
        <f t="shared" si="57"/>
        <v>0</v>
      </c>
      <c r="Z492" s="39" t="str">
        <f>IFERROR(IF(Y492=0,"",ROUNDUP(Y492/H492,0)*0.00902),"")</f>
        <v/>
      </c>
      <c r="AA492" s="65"/>
      <c r="AB492" s="66"/>
      <c r="AC492" s="579" t="s">
        <v>121</v>
      </c>
      <c r="AG492" s="75"/>
      <c r="AJ492" s="79"/>
      <c r="AK492" s="79">
        <v>0</v>
      </c>
      <c r="BB492" s="580" t="s">
        <v>1</v>
      </c>
      <c r="BM492" s="75">
        <f t="shared" si="59"/>
        <v>0</v>
      </c>
      <c r="BN492" s="75">
        <f t="shared" si="60"/>
        <v>0</v>
      </c>
      <c r="BO492" s="75">
        <f t="shared" si="61"/>
        <v>0</v>
      </c>
      <c r="BP492" s="75">
        <f t="shared" si="62"/>
        <v>0</v>
      </c>
    </row>
    <row r="493" spans="1:68" ht="27" hidden="1" customHeight="1" x14ac:dyDescent="0.25">
      <c r="A493" s="60" t="s">
        <v>786</v>
      </c>
      <c r="B493" s="60" t="s">
        <v>787</v>
      </c>
      <c r="C493" s="34">
        <v>4301012034</v>
      </c>
      <c r="D493" s="626">
        <v>4607091389982</v>
      </c>
      <c r="E493" s="627"/>
      <c r="F493" s="59">
        <v>0.6</v>
      </c>
      <c r="G493" s="35">
        <v>8</v>
      </c>
      <c r="H493" s="59">
        <v>4.8</v>
      </c>
      <c r="I493" s="59">
        <v>6.91</v>
      </c>
      <c r="J493" s="35">
        <v>132</v>
      </c>
      <c r="K493" s="35" t="s">
        <v>128</v>
      </c>
      <c r="L493" s="35"/>
      <c r="M493" s="36" t="s">
        <v>120</v>
      </c>
      <c r="N493" s="36"/>
      <c r="O493" s="35">
        <v>60</v>
      </c>
      <c r="P493" s="7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0"/>
      <c r="R493" s="620"/>
      <c r="S493" s="620"/>
      <c r="T493" s="621"/>
      <c r="U493" s="37"/>
      <c r="V493" s="37"/>
      <c r="W493" s="38" t="s">
        <v>66</v>
      </c>
      <c r="X493" s="56">
        <v>0</v>
      </c>
      <c r="Y493" s="53">
        <f t="shared" si="57"/>
        <v>0</v>
      </c>
      <c r="Z493" s="39" t="str">
        <f>IFERROR(IF(Y493=0,"",ROUNDUP(Y493/H493,0)*0.00902),"")</f>
        <v/>
      </c>
      <c r="AA493" s="65"/>
      <c r="AB493" s="66"/>
      <c r="AC493" s="581" t="s">
        <v>781</v>
      </c>
      <c r="AG493" s="75"/>
      <c r="AJ493" s="79"/>
      <c r="AK493" s="79">
        <v>0</v>
      </c>
      <c r="BB493" s="582" t="s">
        <v>1</v>
      </c>
      <c r="BM493" s="75">
        <f t="shared" si="59"/>
        <v>0</v>
      </c>
      <c r="BN493" s="75">
        <f t="shared" si="60"/>
        <v>0</v>
      </c>
      <c r="BO493" s="75">
        <f t="shared" si="61"/>
        <v>0</v>
      </c>
      <c r="BP493" s="75">
        <f t="shared" si="62"/>
        <v>0</v>
      </c>
    </row>
    <row r="494" spans="1:68" hidden="1" x14ac:dyDescent="0.2">
      <c r="A494" s="623"/>
      <c r="B494" s="624"/>
      <c r="C494" s="624"/>
      <c r="D494" s="624"/>
      <c r="E494" s="624"/>
      <c r="F494" s="624"/>
      <c r="G494" s="624"/>
      <c r="H494" s="624"/>
      <c r="I494" s="624"/>
      <c r="J494" s="624"/>
      <c r="K494" s="624"/>
      <c r="L494" s="624"/>
      <c r="M494" s="624"/>
      <c r="N494" s="624"/>
      <c r="O494" s="625"/>
      <c r="P494" s="631" t="s">
        <v>71</v>
      </c>
      <c r="Q494" s="632"/>
      <c r="R494" s="632"/>
      <c r="S494" s="632"/>
      <c r="T494" s="632"/>
      <c r="U494" s="632"/>
      <c r="V494" s="633"/>
      <c r="W494" s="40" t="s">
        <v>72</v>
      </c>
      <c r="X494" s="41">
        <f>IFERROR(X485/H485,"0")+IFERROR(X486/H486,"0")+IFERROR(X487/H487,"0")+IFERROR(X488/H488,"0")+IFERROR(X489/H489,"0")+IFERROR(X490/H490,"0")+IFERROR(X491/H491,"0")+IFERROR(X492/H492,"0")+IFERROR(X493/H493,"0")</f>
        <v>0</v>
      </c>
      <c r="Y494" s="41">
        <f>IFERROR(Y485/H485,"0")+IFERROR(Y486/H486,"0")+IFERROR(Y487/H487,"0")+IFERROR(Y488/H488,"0")+IFERROR(Y489/H489,"0")+IFERROR(Y490/H490,"0")+IFERROR(Y491/H491,"0")+IFERROR(Y492/H492,"0")+IFERROR(Y493/H493,"0")</f>
        <v>0</v>
      </c>
      <c r="Z494" s="41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624"/>
      <c r="B495" s="624"/>
      <c r="C495" s="624"/>
      <c r="D495" s="624"/>
      <c r="E495" s="624"/>
      <c r="F495" s="624"/>
      <c r="G495" s="624"/>
      <c r="H495" s="624"/>
      <c r="I495" s="624"/>
      <c r="J495" s="624"/>
      <c r="K495" s="624"/>
      <c r="L495" s="624"/>
      <c r="M495" s="624"/>
      <c r="N495" s="624"/>
      <c r="O495" s="625"/>
      <c r="P495" s="631" t="s">
        <v>71</v>
      </c>
      <c r="Q495" s="632"/>
      <c r="R495" s="632"/>
      <c r="S495" s="632"/>
      <c r="T495" s="632"/>
      <c r="U495" s="632"/>
      <c r="V495" s="633"/>
      <c r="W495" s="40" t="s">
        <v>66</v>
      </c>
      <c r="X495" s="41">
        <f>IFERROR(SUM(X485:X493),"0")</f>
        <v>0</v>
      </c>
      <c r="Y495" s="41">
        <f>IFERROR(SUM(Y485:Y493),"0")</f>
        <v>0</v>
      </c>
      <c r="Z495" s="40"/>
      <c r="AA495" s="64"/>
      <c r="AB495" s="64"/>
      <c r="AC495" s="64"/>
    </row>
    <row r="496" spans="1:68" ht="14.25" hidden="1" customHeight="1" x14ac:dyDescent="0.25">
      <c r="A496" s="628" t="s">
        <v>152</v>
      </c>
      <c r="B496" s="624"/>
      <c r="C496" s="624"/>
      <c r="D496" s="624"/>
      <c r="E496" s="624"/>
      <c r="F496" s="624"/>
      <c r="G496" s="624"/>
      <c r="H496" s="624"/>
      <c r="I496" s="624"/>
      <c r="J496" s="624"/>
      <c r="K496" s="624"/>
      <c r="L496" s="624"/>
      <c r="M496" s="624"/>
      <c r="N496" s="624"/>
      <c r="O496" s="624"/>
      <c r="P496" s="624"/>
      <c r="Q496" s="624"/>
      <c r="R496" s="624"/>
      <c r="S496" s="624"/>
      <c r="T496" s="624"/>
      <c r="U496" s="624"/>
      <c r="V496" s="624"/>
      <c r="W496" s="624"/>
      <c r="X496" s="624"/>
      <c r="Y496" s="624"/>
      <c r="Z496" s="624"/>
      <c r="AA496" s="63"/>
      <c r="AB496" s="63"/>
      <c r="AC496" s="63"/>
    </row>
    <row r="497" spans="1:68" ht="16.5" hidden="1" customHeight="1" x14ac:dyDescent="0.25">
      <c r="A497" s="60" t="s">
        <v>788</v>
      </c>
      <c r="B497" s="60" t="s">
        <v>789</v>
      </c>
      <c r="C497" s="34">
        <v>4301020334</v>
      </c>
      <c r="D497" s="626">
        <v>4607091388930</v>
      </c>
      <c r="E497" s="627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119</v>
      </c>
      <c r="L497" s="35"/>
      <c r="M497" s="36" t="s">
        <v>77</v>
      </c>
      <c r="N497" s="36"/>
      <c r="O497" s="35">
        <v>70</v>
      </c>
      <c r="P497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0"/>
      <c r="R497" s="620"/>
      <c r="S497" s="620"/>
      <c r="T497" s="621"/>
      <c r="U497" s="37"/>
      <c r="V497" s="37"/>
      <c r="W497" s="38" t="s">
        <v>66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IFERROR(IF(Y497=0,"",ROUNDUP(Y497/H497,0)*0.01196),"")</f>
        <v/>
      </c>
      <c r="AA497" s="65"/>
      <c r="AB497" s="66"/>
      <c r="AC497" s="583" t="s">
        <v>790</v>
      </c>
      <c r="AG497" s="75"/>
      <c r="AJ497" s="79"/>
      <c r="AK497" s="79">
        <v>0</v>
      </c>
      <c r="BB497" s="584" t="s">
        <v>1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16.5" hidden="1" customHeight="1" x14ac:dyDescent="0.25">
      <c r="A498" s="60" t="s">
        <v>791</v>
      </c>
      <c r="B498" s="60" t="s">
        <v>792</v>
      </c>
      <c r="C498" s="34">
        <v>4301020374</v>
      </c>
      <c r="D498" s="626">
        <v>4680115886407</v>
      </c>
      <c r="E498" s="627"/>
      <c r="F498" s="59">
        <v>0.4</v>
      </c>
      <c r="G498" s="35">
        <v>6</v>
      </c>
      <c r="H498" s="59">
        <v>2.4</v>
      </c>
      <c r="I498" s="59">
        <v>2.58</v>
      </c>
      <c r="J498" s="35">
        <v>182</v>
      </c>
      <c r="K498" s="35" t="s">
        <v>76</v>
      </c>
      <c r="L498" s="35"/>
      <c r="M498" s="36" t="s">
        <v>120</v>
      </c>
      <c r="N498" s="36"/>
      <c r="O498" s="35">
        <v>70</v>
      </c>
      <c r="P498" s="73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0"/>
      <c r="R498" s="620"/>
      <c r="S498" s="620"/>
      <c r="T498" s="621"/>
      <c r="U498" s="37"/>
      <c r="V498" s="37"/>
      <c r="W498" s="38" t="s">
        <v>66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IFERROR(IF(Y498=0,"",ROUNDUP(Y498/H498,0)*0.00651),"")</f>
        <v/>
      </c>
      <c r="AA498" s="65"/>
      <c r="AB498" s="66"/>
      <c r="AC498" s="585" t="s">
        <v>790</v>
      </c>
      <c r="AG498" s="75"/>
      <c r="AJ498" s="79"/>
      <c r="AK498" s="79">
        <v>0</v>
      </c>
      <c r="BB498" s="586" t="s">
        <v>1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16.5" hidden="1" customHeight="1" x14ac:dyDescent="0.25">
      <c r="A499" s="60" t="s">
        <v>793</v>
      </c>
      <c r="B499" s="60" t="s">
        <v>794</v>
      </c>
      <c r="C499" s="34">
        <v>4301020385</v>
      </c>
      <c r="D499" s="626">
        <v>4680115880054</v>
      </c>
      <c r="E499" s="627"/>
      <c r="F499" s="59">
        <v>0.6</v>
      </c>
      <c r="G499" s="35">
        <v>8</v>
      </c>
      <c r="H499" s="59">
        <v>4.8</v>
      </c>
      <c r="I499" s="59">
        <v>6.91</v>
      </c>
      <c r="J499" s="35">
        <v>132</v>
      </c>
      <c r="K499" s="35" t="s">
        <v>128</v>
      </c>
      <c r="L499" s="35"/>
      <c r="M499" s="36" t="s">
        <v>120</v>
      </c>
      <c r="N499" s="36"/>
      <c r="O499" s="35">
        <v>70</v>
      </c>
      <c r="P499" s="9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0"/>
      <c r="R499" s="620"/>
      <c r="S499" s="620"/>
      <c r="T499" s="621"/>
      <c r="U499" s="37"/>
      <c r="V499" s="37"/>
      <c r="W499" s="38" t="s">
        <v>66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IFERROR(IF(Y499=0,"",ROUNDUP(Y499/H499,0)*0.00902),"")</f>
        <v/>
      </c>
      <c r="AA499" s="65"/>
      <c r="AB499" s="66"/>
      <c r="AC499" s="587" t="s">
        <v>790</v>
      </c>
      <c r="AG499" s="75"/>
      <c r="AJ499" s="79"/>
      <c r="AK499" s="79">
        <v>0</v>
      </c>
      <c r="BB499" s="588" t="s">
        <v>1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idden="1" x14ac:dyDescent="0.2">
      <c r="A500" s="623"/>
      <c r="B500" s="624"/>
      <c r="C500" s="624"/>
      <c r="D500" s="624"/>
      <c r="E500" s="624"/>
      <c r="F500" s="624"/>
      <c r="G500" s="624"/>
      <c r="H500" s="624"/>
      <c r="I500" s="624"/>
      <c r="J500" s="624"/>
      <c r="K500" s="624"/>
      <c r="L500" s="624"/>
      <c r="M500" s="624"/>
      <c r="N500" s="624"/>
      <c r="O500" s="625"/>
      <c r="P500" s="631" t="s">
        <v>71</v>
      </c>
      <c r="Q500" s="632"/>
      <c r="R500" s="632"/>
      <c r="S500" s="632"/>
      <c r="T500" s="632"/>
      <c r="U500" s="632"/>
      <c r="V500" s="633"/>
      <c r="W500" s="40" t="s">
        <v>72</v>
      </c>
      <c r="X500" s="41">
        <f>IFERROR(X497/H497,"0")+IFERROR(X498/H498,"0")+IFERROR(X499/H499,"0")</f>
        <v>0</v>
      </c>
      <c r="Y500" s="41">
        <f>IFERROR(Y497/H497,"0")+IFERROR(Y498/H498,"0")+IFERROR(Y499/H499,"0")</f>
        <v>0</v>
      </c>
      <c r="Z500" s="41">
        <f>IFERROR(IF(Z497="",0,Z497),"0")+IFERROR(IF(Z498="",0,Z498),"0")+IFERROR(IF(Z499="",0,Z499),"0")</f>
        <v>0</v>
      </c>
      <c r="AA500" s="64"/>
      <c r="AB500" s="64"/>
      <c r="AC500" s="64"/>
    </row>
    <row r="501" spans="1:68" hidden="1" x14ac:dyDescent="0.2">
      <c r="A501" s="624"/>
      <c r="B501" s="624"/>
      <c r="C501" s="624"/>
      <c r="D501" s="624"/>
      <c r="E501" s="624"/>
      <c r="F501" s="624"/>
      <c r="G501" s="624"/>
      <c r="H501" s="624"/>
      <c r="I501" s="624"/>
      <c r="J501" s="624"/>
      <c r="K501" s="624"/>
      <c r="L501" s="624"/>
      <c r="M501" s="624"/>
      <c r="N501" s="624"/>
      <c r="O501" s="625"/>
      <c r="P501" s="631" t="s">
        <v>71</v>
      </c>
      <c r="Q501" s="632"/>
      <c r="R501" s="632"/>
      <c r="S501" s="632"/>
      <c r="T501" s="632"/>
      <c r="U501" s="632"/>
      <c r="V501" s="633"/>
      <c r="W501" s="40" t="s">
        <v>66</v>
      </c>
      <c r="X501" s="41">
        <f>IFERROR(SUM(X497:X499),"0")</f>
        <v>0</v>
      </c>
      <c r="Y501" s="41">
        <f>IFERROR(SUM(Y497:Y499),"0")</f>
        <v>0</v>
      </c>
      <c r="Z501" s="40"/>
      <c r="AA501" s="64"/>
      <c r="AB501" s="64"/>
      <c r="AC501" s="64"/>
    </row>
    <row r="502" spans="1:68" ht="14.25" hidden="1" customHeight="1" x14ac:dyDescent="0.25">
      <c r="A502" s="628" t="s">
        <v>61</v>
      </c>
      <c r="B502" s="624"/>
      <c r="C502" s="624"/>
      <c r="D502" s="624"/>
      <c r="E502" s="624"/>
      <c r="F502" s="624"/>
      <c r="G502" s="624"/>
      <c r="H502" s="624"/>
      <c r="I502" s="624"/>
      <c r="J502" s="624"/>
      <c r="K502" s="624"/>
      <c r="L502" s="624"/>
      <c r="M502" s="624"/>
      <c r="N502" s="624"/>
      <c r="O502" s="624"/>
      <c r="P502" s="624"/>
      <c r="Q502" s="624"/>
      <c r="R502" s="624"/>
      <c r="S502" s="624"/>
      <c r="T502" s="624"/>
      <c r="U502" s="624"/>
      <c r="V502" s="624"/>
      <c r="W502" s="624"/>
      <c r="X502" s="624"/>
      <c r="Y502" s="624"/>
      <c r="Z502" s="624"/>
      <c r="AA502" s="63"/>
      <c r="AB502" s="63"/>
      <c r="AC502" s="63"/>
    </row>
    <row r="503" spans="1:68" ht="27" hidden="1" customHeight="1" x14ac:dyDescent="0.25">
      <c r="A503" s="60" t="s">
        <v>795</v>
      </c>
      <c r="B503" s="60" t="s">
        <v>796</v>
      </c>
      <c r="C503" s="34">
        <v>4301031349</v>
      </c>
      <c r="D503" s="626">
        <v>4680115883116</v>
      </c>
      <c r="E503" s="627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119</v>
      </c>
      <c r="L503" s="35"/>
      <c r="M503" s="36" t="s">
        <v>120</v>
      </c>
      <c r="N503" s="36"/>
      <c r="O503" s="35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0"/>
      <c r="R503" s="620"/>
      <c r="S503" s="620"/>
      <c r="T503" s="621"/>
      <c r="U503" s="37"/>
      <c r="V503" s="37"/>
      <c r="W503" s="38" t="s">
        <v>66</v>
      </c>
      <c r="X503" s="56">
        <v>0</v>
      </c>
      <c r="Y503" s="53">
        <f t="shared" ref="Y503:Y509" si="63">IFERROR(IF(X503="",0,CEILING((X503/$H503),1)*$H503),"")</f>
        <v>0</v>
      </c>
      <c r="Z503" s="39" t="str">
        <f>IFERROR(IF(Y503=0,"",ROUNDUP(Y503/H503,0)*0.01196),"")</f>
        <v/>
      </c>
      <c r="AA503" s="65"/>
      <c r="AB503" s="66"/>
      <c r="AC503" s="589" t="s">
        <v>797</v>
      </c>
      <c r="AG503" s="75"/>
      <c r="AJ503" s="79"/>
      <c r="AK503" s="79">
        <v>0</v>
      </c>
      <c r="BB503" s="590" t="s">
        <v>1</v>
      </c>
      <c r="BM503" s="75">
        <f t="shared" ref="BM503:BM509" si="64">IFERROR(X503*I503/H503,"0")</f>
        <v>0</v>
      </c>
      <c r="BN503" s="75">
        <f t="shared" ref="BN503:BN509" si="65">IFERROR(Y503*I503/H503,"0")</f>
        <v>0</v>
      </c>
      <c r="BO503" s="75">
        <f t="shared" ref="BO503:BO509" si="66">IFERROR(1/J503*(X503/H503),"0")</f>
        <v>0</v>
      </c>
      <c r="BP503" s="75">
        <f t="shared" ref="BP503:BP509" si="67">IFERROR(1/J503*(Y503/H503),"0")</f>
        <v>0</v>
      </c>
    </row>
    <row r="504" spans="1:68" ht="27" hidden="1" customHeight="1" x14ac:dyDescent="0.25">
      <c r="A504" s="60" t="s">
        <v>798</v>
      </c>
      <c r="B504" s="60" t="s">
        <v>799</v>
      </c>
      <c r="C504" s="34">
        <v>4301031350</v>
      </c>
      <c r="D504" s="626">
        <v>4680115883093</v>
      </c>
      <c r="E504" s="627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119</v>
      </c>
      <c r="L504" s="35"/>
      <c r="M504" s="36" t="s">
        <v>65</v>
      </c>
      <c r="N504" s="36"/>
      <c r="O504" s="35">
        <v>70</v>
      </c>
      <c r="P50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0"/>
      <c r="R504" s="620"/>
      <c r="S504" s="620"/>
      <c r="T504" s="621"/>
      <c r="U504" s="37"/>
      <c r="V504" s="37"/>
      <c r="W504" s="38" t="s">
        <v>66</v>
      </c>
      <c r="X504" s="56">
        <v>0</v>
      </c>
      <c r="Y504" s="53">
        <f t="shared" si="63"/>
        <v>0</v>
      </c>
      <c r="Z504" s="39" t="str">
        <f>IFERROR(IF(Y504=0,"",ROUNDUP(Y504/H504,0)*0.01196),"")</f>
        <v/>
      </c>
      <c r="AA504" s="65"/>
      <c r="AB504" s="66"/>
      <c r="AC504" s="591" t="s">
        <v>800</v>
      </c>
      <c r="AG504" s="75"/>
      <c r="AJ504" s="79"/>
      <c r="AK504" s="79">
        <v>0</v>
      </c>
      <c r="BB504" s="592" t="s">
        <v>1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t="27" hidden="1" customHeight="1" x14ac:dyDescent="0.25">
      <c r="A505" s="60" t="s">
        <v>801</v>
      </c>
      <c r="B505" s="60" t="s">
        <v>802</v>
      </c>
      <c r="C505" s="34">
        <v>4301031353</v>
      </c>
      <c r="D505" s="626">
        <v>4680115883109</v>
      </c>
      <c r="E505" s="627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119</v>
      </c>
      <c r="L505" s="35"/>
      <c r="M505" s="36" t="s">
        <v>65</v>
      </c>
      <c r="N505" s="36"/>
      <c r="O505" s="35">
        <v>70</v>
      </c>
      <c r="P505" s="93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0"/>
      <c r="R505" s="620"/>
      <c r="S505" s="620"/>
      <c r="T505" s="621"/>
      <c r="U505" s="37"/>
      <c r="V505" s="37"/>
      <c r="W505" s="38" t="s">
        <v>66</v>
      </c>
      <c r="X505" s="56">
        <v>0</v>
      </c>
      <c r="Y505" s="53">
        <f t="shared" si="63"/>
        <v>0</v>
      </c>
      <c r="Z505" s="39" t="str">
        <f>IFERROR(IF(Y505=0,"",ROUNDUP(Y505/H505,0)*0.01196),"")</f>
        <v/>
      </c>
      <c r="AA505" s="65"/>
      <c r="AB505" s="66"/>
      <c r="AC505" s="593" t="s">
        <v>803</v>
      </c>
      <c r="AG505" s="75"/>
      <c r="AJ505" s="79"/>
      <c r="AK505" s="79">
        <v>0</v>
      </c>
      <c r="BB505" s="594" t="s">
        <v>1</v>
      </c>
      <c r="BM505" s="75">
        <f t="shared" si="64"/>
        <v>0</v>
      </c>
      <c r="BN505" s="75">
        <f t="shared" si="65"/>
        <v>0</v>
      </c>
      <c r="BO505" s="75">
        <f t="shared" si="66"/>
        <v>0</v>
      </c>
      <c r="BP505" s="75">
        <f t="shared" si="67"/>
        <v>0</v>
      </c>
    </row>
    <row r="506" spans="1:68" ht="27" hidden="1" customHeight="1" x14ac:dyDescent="0.25">
      <c r="A506" s="60" t="s">
        <v>804</v>
      </c>
      <c r="B506" s="60" t="s">
        <v>805</v>
      </c>
      <c r="C506" s="34">
        <v>4301031419</v>
      </c>
      <c r="D506" s="626">
        <v>4680115882072</v>
      </c>
      <c r="E506" s="627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128</v>
      </c>
      <c r="L506" s="35"/>
      <c r="M506" s="36" t="s">
        <v>120</v>
      </c>
      <c r="N506" s="36"/>
      <c r="O506" s="35">
        <v>70</v>
      </c>
      <c r="P506" s="7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0"/>
      <c r="R506" s="620"/>
      <c r="S506" s="620"/>
      <c r="T506" s="621"/>
      <c r="U506" s="37"/>
      <c r="V506" s="37"/>
      <c r="W506" s="38" t="s">
        <v>66</v>
      </c>
      <c r="X506" s="56">
        <v>0</v>
      </c>
      <c r="Y506" s="53">
        <f t="shared" si="63"/>
        <v>0</v>
      </c>
      <c r="Z506" s="39" t="str">
        <f>IFERROR(IF(Y506=0,"",ROUNDUP(Y506/H506,0)*0.00902),"")</f>
        <v/>
      </c>
      <c r="AA506" s="65"/>
      <c r="AB506" s="66"/>
      <c r="AC506" s="595" t="s">
        <v>797</v>
      </c>
      <c r="AG506" s="75"/>
      <c r="AJ506" s="79"/>
      <c r="AK506" s="79">
        <v>0</v>
      </c>
      <c r="BB506" s="596" t="s">
        <v>1</v>
      </c>
      <c r="BM506" s="75">
        <f t="shared" si="64"/>
        <v>0</v>
      </c>
      <c r="BN506" s="75">
        <f t="shared" si="65"/>
        <v>0</v>
      </c>
      <c r="BO506" s="75">
        <f t="shared" si="66"/>
        <v>0</v>
      </c>
      <c r="BP506" s="75">
        <f t="shared" si="67"/>
        <v>0</v>
      </c>
    </row>
    <row r="507" spans="1:68" ht="27" hidden="1" customHeight="1" x14ac:dyDescent="0.25">
      <c r="A507" s="60" t="s">
        <v>806</v>
      </c>
      <c r="B507" s="60" t="s">
        <v>807</v>
      </c>
      <c r="C507" s="34">
        <v>4301031352</v>
      </c>
      <c r="D507" s="626">
        <v>4680115882102</v>
      </c>
      <c r="E507" s="627"/>
      <c r="F507" s="59">
        <v>0.6</v>
      </c>
      <c r="G507" s="35">
        <v>6</v>
      </c>
      <c r="H507" s="59">
        <v>3.6</v>
      </c>
      <c r="I507" s="59">
        <v>3.79</v>
      </c>
      <c r="J507" s="35">
        <v>132</v>
      </c>
      <c r="K507" s="35" t="s">
        <v>128</v>
      </c>
      <c r="L507" s="35"/>
      <c r="M507" s="36" t="s">
        <v>65</v>
      </c>
      <c r="N507" s="36"/>
      <c r="O507" s="35">
        <v>70</v>
      </c>
      <c r="P507" s="94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0"/>
      <c r="R507" s="620"/>
      <c r="S507" s="620"/>
      <c r="T507" s="621"/>
      <c r="U507" s="37"/>
      <c r="V507" s="37"/>
      <c r="W507" s="38" t="s">
        <v>66</v>
      </c>
      <c r="X507" s="56">
        <v>0</v>
      </c>
      <c r="Y507" s="53">
        <f t="shared" si="63"/>
        <v>0</v>
      </c>
      <c r="Z507" s="39" t="str">
        <f>IFERROR(IF(Y507=0,"",ROUNDUP(Y507/H507,0)*0.00902),"")</f>
        <v/>
      </c>
      <c r="AA507" s="65"/>
      <c r="AB507" s="66"/>
      <c r="AC507" s="597" t="s">
        <v>800</v>
      </c>
      <c r="AG507" s="75"/>
      <c r="AJ507" s="79"/>
      <c r="AK507" s="79">
        <v>0</v>
      </c>
      <c r="BB507" s="598" t="s">
        <v>1</v>
      </c>
      <c r="BM507" s="75">
        <f t="shared" si="64"/>
        <v>0</v>
      </c>
      <c r="BN507" s="75">
        <f t="shared" si="65"/>
        <v>0</v>
      </c>
      <c r="BO507" s="75">
        <f t="shared" si="66"/>
        <v>0</v>
      </c>
      <c r="BP507" s="75">
        <f t="shared" si="67"/>
        <v>0</v>
      </c>
    </row>
    <row r="508" spans="1:68" ht="27" hidden="1" customHeight="1" x14ac:dyDescent="0.25">
      <c r="A508" s="60" t="s">
        <v>806</v>
      </c>
      <c r="B508" s="60" t="s">
        <v>808</v>
      </c>
      <c r="C508" s="34">
        <v>4301031418</v>
      </c>
      <c r="D508" s="626">
        <v>4680115882102</v>
      </c>
      <c r="E508" s="627"/>
      <c r="F508" s="59">
        <v>0.6</v>
      </c>
      <c r="G508" s="35">
        <v>8</v>
      </c>
      <c r="H508" s="59">
        <v>4.8</v>
      </c>
      <c r="I508" s="59">
        <v>6.67</v>
      </c>
      <c r="J508" s="35">
        <v>132</v>
      </c>
      <c r="K508" s="35" t="s">
        <v>128</v>
      </c>
      <c r="L508" s="35"/>
      <c r="M508" s="36" t="s">
        <v>65</v>
      </c>
      <c r="N508" s="36"/>
      <c r="O508" s="35">
        <v>70</v>
      </c>
      <c r="P508" s="7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0"/>
      <c r="R508" s="620"/>
      <c r="S508" s="620"/>
      <c r="T508" s="621"/>
      <c r="U508" s="37"/>
      <c r="V508" s="37"/>
      <c r="W508" s="38" t="s">
        <v>66</v>
      </c>
      <c r="X508" s="56">
        <v>0</v>
      </c>
      <c r="Y508" s="53">
        <f t="shared" si="63"/>
        <v>0</v>
      </c>
      <c r="Z508" s="39" t="str">
        <f>IFERROR(IF(Y508=0,"",ROUNDUP(Y508/H508,0)*0.00902),"")</f>
        <v/>
      </c>
      <c r="AA508" s="65"/>
      <c r="AB508" s="66"/>
      <c r="AC508" s="599" t="s">
        <v>800</v>
      </c>
      <c r="AG508" s="75"/>
      <c r="AJ508" s="79"/>
      <c r="AK508" s="79">
        <v>0</v>
      </c>
      <c r="BB508" s="600" t="s">
        <v>1</v>
      </c>
      <c r="BM508" s="75">
        <f t="shared" si="64"/>
        <v>0</v>
      </c>
      <c r="BN508" s="75">
        <f t="shared" si="65"/>
        <v>0</v>
      </c>
      <c r="BO508" s="75">
        <f t="shared" si="66"/>
        <v>0</v>
      </c>
      <c r="BP508" s="75">
        <f t="shared" si="67"/>
        <v>0</v>
      </c>
    </row>
    <row r="509" spans="1:68" ht="27" hidden="1" customHeight="1" x14ac:dyDescent="0.25">
      <c r="A509" s="60" t="s">
        <v>809</v>
      </c>
      <c r="B509" s="60" t="s">
        <v>810</v>
      </c>
      <c r="C509" s="34">
        <v>4301031417</v>
      </c>
      <c r="D509" s="626">
        <v>4680115882096</v>
      </c>
      <c r="E509" s="627"/>
      <c r="F509" s="59">
        <v>0.6</v>
      </c>
      <c r="G509" s="35">
        <v>8</v>
      </c>
      <c r="H509" s="59">
        <v>4.8</v>
      </c>
      <c r="I509" s="59">
        <v>6.67</v>
      </c>
      <c r="J509" s="35">
        <v>132</v>
      </c>
      <c r="K509" s="35" t="s">
        <v>128</v>
      </c>
      <c r="L509" s="35"/>
      <c r="M509" s="36" t="s">
        <v>65</v>
      </c>
      <c r="N509" s="36"/>
      <c r="O509" s="35">
        <v>70</v>
      </c>
      <c r="P509" s="9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0"/>
      <c r="R509" s="620"/>
      <c r="S509" s="620"/>
      <c r="T509" s="621"/>
      <c r="U509" s="37"/>
      <c r="V509" s="37"/>
      <c r="W509" s="38" t="s">
        <v>66</v>
      </c>
      <c r="X509" s="56">
        <v>0</v>
      </c>
      <c r="Y509" s="53">
        <f t="shared" si="63"/>
        <v>0</v>
      </c>
      <c r="Z509" s="39" t="str">
        <f>IFERROR(IF(Y509=0,"",ROUNDUP(Y509/H509,0)*0.00902),"")</f>
        <v/>
      </c>
      <c r="AA509" s="65"/>
      <c r="AB509" s="66"/>
      <c r="AC509" s="601" t="s">
        <v>803</v>
      </c>
      <c r="AG509" s="75"/>
      <c r="AJ509" s="79"/>
      <c r="AK509" s="79">
        <v>0</v>
      </c>
      <c r="BB509" s="602" t="s">
        <v>1</v>
      </c>
      <c r="BM509" s="75">
        <f t="shared" si="64"/>
        <v>0</v>
      </c>
      <c r="BN509" s="75">
        <f t="shared" si="65"/>
        <v>0</v>
      </c>
      <c r="BO509" s="75">
        <f t="shared" si="66"/>
        <v>0</v>
      </c>
      <c r="BP509" s="75">
        <f t="shared" si="67"/>
        <v>0</v>
      </c>
    </row>
    <row r="510" spans="1:68" hidden="1" x14ac:dyDescent="0.2">
      <c r="A510" s="623"/>
      <c r="B510" s="624"/>
      <c r="C510" s="624"/>
      <c r="D510" s="624"/>
      <c r="E510" s="624"/>
      <c r="F510" s="624"/>
      <c r="G510" s="624"/>
      <c r="H510" s="624"/>
      <c r="I510" s="624"/>
      <c r="J510" s="624"/>
      <c r="K510" s="624"/>
      <c r="L510" s="624"/>
      <c r="M510" s="624"/>
      <c r="N510" s="624"/>
      <c r="O510" s="625"/>
      <c r="P510" s="631" t="s">
        <v>71</v>
      </c>
      <c r="Q510" s="632"/>
      <c r="R510" s="632"/>
      <c r="S510" s="632"/>
      <c r="T510" s="632"/>
      <c r="U510" s="632"/>
      <c r="V510" s="633"/>
      <c r="W510" s="40" t="s">
        <v>72</v>
      </c>
      <c r="X510" s="41">
        <f>IFERROR(X503/H503,"0")+IFERROR(X504/H504,"0")+IFERROR(X505/H505,"0")+IFERROR(X506/H506,"0")+IFERROR(X507/H507,"0")+IFERROR(X508/H508,"0")+IFERROR(X509/H509,"0")</f>
        <v>0</v>
      </c>
      <c r="Y510" s="41">
        <f>IFERROR(Y503/H503,"0")+IFERROR(Y504/H504,"0")+IFERROR(Y505/H505,"0")+IFERROR(Y506/H506,"0")+IFERROR(Y507/H507,"0")+IFERROR(Y508/H508,"0")+IFERROR(Y509/H509,"0")</f>
        <v>0</v>
      </c>
      <c r="Z510" s="41">
        <f>IFERROR(IF(Z503="",0,Z503),"0")+IFERROR(IF(Z504="",0,Z504),"0")+IFERROR(IF(Z505="",0,Z505),"0")+IFERROR(IF(Z506="",0,Z506),"0")+IFERROR(IF(Z507="",0,Z507),"0")+IFERROR(IF(Z508="",0,Z508),"0")+IFERROR(IF(Z509="",0,Z509),"0")</f>
        <v>0</v>
      </c>
      <c r="AA510" s="64"/>
      <c r="AB510" s="64"/>
      <c r="AC510" s="64"/>
    </row>
    <row r="511" spans="1:68" hidden="1" x14ac:dyDescent="0.2">
      <c r="A511" s="624"/>
      <c r="B511" s="624"/>
      <c r="C511" s="624"/>
      <c r="D511" s="624"/>
      <c r="E511" s="624"/>
      <c r="F511" s="624"/>
      <c r="G511" s="624"/>
      <c r="H511" s="624"/>
      <c r="I511" s="624"/>
      <c r="J511" s="624"/>
      <c r="K511" s="624"/>
      <c r="L511" s="624"/>
      <c r="M511" s="624"/>
      <c r="N511" s="624"/>
      <c r="O511" s="625"/>
      <c r="P511" s="631" t="s">
        <v>71</v>
      </c>
      <c r="Q511" s="632"/>
      <c r="R511" s="632"/>
      <c r="S511" s="632"/>
      <c r="T511" s="632"/>
      <c r="U511" s="632"/>
      <c r="V511" s="633"/>
      <c r="W511" s="40" t="s">
        <v>66</v>
      </c>
      <c r="X511" s="41">
        <f>IFERROR(SUM(X503:X509),"0")</f>
        <v>0</v>
      </c>
      <c r="Y511" s="41">
        <f>IFERROR(SUM(Y503:Y509),"0")</f>
        <v>0</v>
      </c>
      <c r="Z511" s="40"/>
      <c r="AA511" s="64"/>
      <c r="AB511" s="64"/>
      <c r="AC511" s="64"/>
    </row>
    <row r="512" spans="1:68" ht="27.75" hidden="1" customHeight="1" x14ac:dyDescent="0.2">
      <c r="A512" s="775" t="s">
        <v>811</v>
      </c>
      <c r="B512" s="776"/>
      <c r="C512" s="776"/>
      <c r="D512" s="776"/>
      <c r="E512" s="776"/>
      <c r="F512" s="776"/>
      <c r="G512" s="776"/>
      <c r="H512" s="776"/>
      <c r="I512" s="776"/>
      <c r="J512" s="776"/>
      <c r="K512" s="776"/>
      <c r="L512" s="776"/>
      <c r="M512" s="776"/>
      <c r="N512" s="776"/>
      <c r="O512" s="776"/>
      <c r="P512" s="776"/>
      <c r="Q512" s="776"/>
      <c r="R512" s="776"/>
      <c r="S512" s="776"/>
      <c r="T512" s="776"/>
      <c r="U512" s="776"/>
      <c r="V512" s="776"/>
      <c r="W512" s="776"/>
      <c r="X512" s="776"/>
      <c r="Y512" s="776"/>
      <c r="Z512" s="776"/>
      <c r="AA512" s="52"/>
      <c r="AB512" s="52"/>
      <c r="AC512" s="52"/>
    </row>
    <row r="513" spans="1:68" ht="16.5" hidden="1" customHeight="1" x14ac:dyDescent="0.25">
      <c r="A513" s="639" t="s">
        <v>811</v>
      </c>
      <c r="B513" s="624"/>
      <c r="C513" s="624"/>
      <c r="D513" s="624"/>
      <c r="E513" s="624"/>
      <c r="F513" s="624"/>
      <c r="G513" s="624"/>
      <c r="H513" s="624"/>
      <c r="I513" s="624"/>
      <c r="J513" s="624"/>
      <c r="K513" s="624"/>
      <c r="L513" s="624"/>
      <c r="M513" s="624"/>
      <c r="N513" s="624"/>
      <c r="O513" s="624"/>
      <c r="P513" s="624"/>
      <c r="Q513" s="624"/>
      <c r="R513" s="624"/>
      <c r="S513" s="624"/>
      <c r="T513" s="624"/>
      <c r="U513" s="624"/>
      <c r="V513" s="624"/>
      <c r="W513" s="624"/>
      <c r="X513" s="624"/>
      <c r="Y513" s="624"/>
      <c r="Z513" s="624"/>
      <c r="AA513" s="62"/>
      <c r="AB513" s="62"/>
      <c r="AC513" s="62"/>
    </row>
    <row r="514" spans="1:68" ht="14.25" hidden="1" customHeight="1" x14ac:dyDescent="0.25">
      <c r="A514" s="628" t="s">
        <v>116</v>
      </c>
      <c r="B514" s="624"/>
      <c r="C514" s="624"/>
      <c r="D514" s="624"/>
      <c r="E514" s="624"/>
      <c r="F514" s="624"/>
      <c r="G514" s="624"/>
      <c r="H514" s="624"/>
      <c r="I514" s="624"/>
      <c r="J514" s="624"/>
      <c r="K514" s="624"/>
      <c r="L514" s="624"/>
      <c r="M514" s="624"/>
      <c r="N514" s="624"/>
      <c r="O514" s="624"/>
      <c r="P514" s="624"/>
      <c r="Q514" s="624"/>
      <c r="R514" s="624"/>
      <c r="S514" s="624"/>
      <c r="T514" s="624"/>
      <c r="U514" s="624"/>
      <c r="V514" s="624"/>
      <c r="W514" s="624"/>
      <c r="X514" s="624"/>
      <c r="Y514" s="624"/>
      <c r="Z514" s="624"/>
      <c r="AA514" s="63"/>
      <c r="AB514" s="63"/>
      <c r="AC514" s="63"/>
    </row>
    <row r="515" spans="1:68" ht="27" hidden="1" customHeight="1" x14ac:dyDescent="0.25">
      <c r="A515" s="60" t="s">
        <v>812</v>
      </c>
      <c r="B515" s="60" t="s">
        <v>813</v>
      </c>
      <c r="C515" s="34">
        <v>4301011584</v>
      </c>
      <c r="D515" s="626">
        <v>4640242180564</v>
      </c>
      <c r="E515" s="627"/>
      <c r="F515" s="59">
        <v>1.5</v>
      </c>
      <c r="G515" s="35">
        <v>8</v>
      </c>
      <c r="H515" s="59">
        <v>12</v>
      </c>
      <c r="I515" s="59">
        <v>12.41</v>
      </c>
      <c r="J515" s="35">
        <v>64</v>
      </c>
      <c r="K515" s="35" t="s">
        <v>119</v>
      </c>
      <c r="L515" s="35"/>
      <c r="M515" s="36" t="s">
        <v>120</v>
      </c>
      <c r="N515" s="36"/>
      <c r="O515" s="35">
        <v>50</v>
      </c>
      <c r="P515" s="91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0"/>
      <c r="R515" s="620"/>
      <c r="S515" s="620"/>
      <c r="T515" s="621"/>
      <c r="U515" s="37"/>
      <c r="V515" s="37"/>
      <c r="W515" s="38" t="s">
        <v>66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IFERROR(IF(Y515=0,"",ROUNDUP(Y515/H515,0)*0.01898),"")</f>
        <v/>
      </c>
      <c r="AA515" s="65"/>
      <c r="AB515" s="66"/>
      <c r="AC515" s="603" t="s">
        <v>814</v>
      </c>
      <c r="AG515" s="75"/>
      <c r="AJ515" s="79"/>
      <c r="AK515" s="79">
        <v>0</v>
      </c>
      <c r="BB515" s="604" t="s">
        <v>1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idden="1" x14ac:dyDescent="0.2">
      <c r="A516" s="623"/>
      <c r="B516" s="624"/>
      <c r="C516" s="624"/>
      <c r="D516" s="624"/>
      <c r="E516" s="624"/>
      <c r="F516" s="624"/>
      <c r="G516" s="624"/>
      <c r="H516" s="624"/>
      <c r="I516" s="624"/>
      <c r="J516" s="624"/>
      <c r="K516" s="624"/>
      <c r="L516" s="624"/>
      <c r="M516" s="624"/>
      <c r="N516" s="624"/>
      <c r="O516" s="625"/>
      <c r="P516" s="631" t="s">
        <v>71</v>
      </c>
      <c r="Q516" s="632"/>
      <c r="R516" s="632"/>
      <c r="S516" s="632"/>
      <c r="T516" s="632"/>
      <c r="U516" s="632"/>
      <c r="V516" s="633"/>
      <c r="W516" s="40" t="s">
        <v>72</v>
      </c>
      <c r="X516" s="41">
        <f>IFERROR(X515/H515,"0")</f>
        <v>0</v>
      </c>
      <c r="Y516" s="41">
        <f>IFERROR(Y515/H515,"0")</f>
        <v>0</v>
      </c>
      <c r="Z516" s="41">
        <f>IFERROR(IF(Z515="",0,Z515),"0")</f>
        <v>0</v>
      </c>
      <c r="AA516" s="64"/>
      <c r="AB516" s="64"/>
      <c r="AC516" s="64"/>
    </row>
    <row r="517" spans="1:68" hidden="1" x14ac:dyDescent="0.2">
      <c r="A517" s="624"/>
      <c r="B517" s="624"/>
      <c r="C517" s="624"/>
      <c r="D517" s="624"/>
      <c r="E517" s="624"/>
      <c r="F517" s="624"/>
      <c r="G517" s="624"/>
      <c r="H517" s="624"/>
      <c r="I517" s="624"/>
      <c r="J517" s="624"/>
      <c r="K517" s="624"/>
      <c r="L517" s="624"/>
      <c r="M517" s="624"/>
      <c r="N517" s="624"/>
      <c r="O517" s="625"/>
      <c r="P517" s="631" t="s">
        <v>71</v>
      </c>
      <c r="Q517" s="632"/>
      <c r="R517" s="632"/>
      <c r="S517" s="632"/>
      <c r="T517" s="632"/>
      <c r="U517" s="632"/>
      <c r="V517" s="633"/>
      <c r="W517" s="40" t="s">
        <v>66</v>
      </c>
      <c r="X517" s="41">
        <f>IFERROR(SUM(X515:X515),"0")</f>
        <v>0</v>
      </c>
      <c r="Y517" s="41">
        <f>IFERROR(SUM(Y515:Y515),"0")</f>
        <v>0</v>
      </c>
      <c r="Z517" s="40"/>
      <c r="AA517" s="64"/>
      <c r="AB517" s="64"/>
      <c r="AC517" s="64"/>
    </row>
    <row r="518" spans="1:68" ht="14.25" hidden="1" customHeight="1" x14ac:dyDescent="0.25">
      <c r="A518" s="628" t="s">
        <v>152</v>
      </c>
      <c r="B518" s="624"/>
      <c r="C518" s="624"/>
      <c r="D518" s="624"/>
      <c r="E518" s="624"/>
      <c r="F518" s="624"/>
      <c r="G518" s="624"/>
      <c r="H518" s="624"/>
      <c r="I518" s="624"/>
      <c r="J518" s="624"/>
      <c r="K518" s="624"/>
      <c r="L518" s="624"/>
      <c r="M518" s="624"/>
      <c r="N518" s="624"/>
      <c r="O518" s="624"/>
      <c r="P518" s="624"/>
      <c r="Q518" s="624"/>
      <c r="R518" s="624"/>
      <c r="S518" s="624"/>
      <c r="T518" s="624"/>
      <c r="U518" s="624"/>
      <c r="V518" s="624"/>
      <c r="W518" s="624"/>
      <c r="X518" s="624"/>
      <c r="Y518" s="624"/>
      <c r="Z518" s="624"/>
      <c r="AA518" s="63"/>
      <c r="AB518" s="63"/>
      <c r="AC518" s="63"/>
    </row>
    <row r="519" spans="1:68" ht="27" hidden="1" customHeight="1" x14ac:dyDescent="0.25">
      <c r="A519" s="60" t="s">
        <v>815</v>
      </c>
      <c r="B519" s="60" t="s">
        <v>816</v>
      </c>
      <c r="C519" s="34">
        <v>4301020400</v>
      </c>
      <c r="D519" s="626">
        <v>4640242180519</v>
      </c>
      <c r="E519" s="627"/>
      <c r="F519" s="59">
        <v>1.5</v>
      </c>
      <c r="G519" s="35">
        <v>8</v>
      </c>
      <c r="H519" s="59">
        <v>12</v>
      </c>
      <c r="I519" s="59">
        <v>12.41</v>
      </c>
      <c r="J519" s="35">
        <v>64</v>
      </c>
      <c r="K519" s="35" t="s">
        <v>119</v>
      </c>
      <c r="L519" s="35"/>
      <c r="M519" s="36" t="s">
        <v>120</v>
      </c>
      <c r="N519" s="36"/>
      <c r="O519" s="35">
        <v>50</v>
      </c>
      <c r="P519" s="7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0"/>
      <c r="R519" s="620"/>
      <c r="S519" s="620"/>
      <c r="T519" s="621"/>
      <c r="U519" s="37"/>
      <c r="V519" s="37"/>
      <c r="W519" s="38" t="s">
        <v>66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/>
      <c r="AB519" s="66"/>
      <c r="AC519" s="605" t="s">
        <v>817</v>
      </c>
      <c r="AG519" s="75"/>
      <c r="AJ519" s="79"/>
      <c r="AK519" s="79">
        <v>0</v>
      </c>
      <c r="BB519" s="606" t="s">
        <v>1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23"/>
      <c r="B520" s="624"/>
      <c r="C520" s="624"/>
      <c r="D520" s="624"/>
      <c r="E520" s="624"/>
      <c r="F520" s="624"/>
      <c r="G520" s="624"/>
      <c r="H520" s="624"/>
      <c r="I520" s="624"/>
      <c r="J520" s="624"/>
      <c r="K520" s="624"/>
      <c r="L520" s="624"/>
      <c r="M520" s="624"/>
      <c r="N520" s="624"/>
      <c r="O520" s="625"/>
      <c r="P520" s="631" t="s">
        <v>71</v>
      </c>
      <c r="Q520" s="632"/>
      <c r="R520" s="632"/>
      <c r="S520" s="632"/>
      <c r="T520" s="632"/>
      <c r="U520" s="632"/>
      <c r="V520" s="633"/>
      <c r="W520" s="40" t="s">
        <v>72</v>
      </c>
      <c r="X520" s="41">
        <f>IFERROR(X519/H519,"0")</f>
        <v>0</v>
      </c>
      <c r="Y520" s="41">
        <f>IFERROR(Y519/H519,"0")</f>
        <v>0</v>
      </c>
      <c r="Z520" s="41">
        <f>IFERROR(IF(Z519="",0,Z519),"0")</f>
        <v>0</v>
      </c>
      <c r="AA520" s="64"/>
      <c r="AB520" s="64"/>
      <c r="AC520" s="64"/>
    </row>
    <row r="521" spans="1:68" hidden="1" x14ac:dyDescent="0.2">
      <c r="A521" s="624"/>
      <c r="B521" s="624"/>
      <c r="C521" s="624"/>
      <c r="D521" s="624"/>
      <c r="E521" s="624"/>
      <c r="F521" s="624"/>
      <c r="G521" s="624"/>
      <c r="H521" s="624"/>
      <c r="I521" s="624"/>
      <c r="J521" s="624"/>
      <c r="K521" s="624"/>
      <c r="L521" s="624"/>
      <c r="M521" s="624"/>
      <c r="N521" s="624"/>
      <c r="O521" s="625"/>
      <c r="P521" s="631" t="s">
        <v>71</v>
      </c>
      <c r="Q521" s="632"/>
      <c r="R521" s="632"/>
      <c r="S521" s="632"/>
      <c r="T521" s="632"/>
      <c r="U521" s="632"/>
      <c r="V521" s="633"/>
      <c r="W521" s="40" t="s">
        <v>66</v>
      </c>
      <c r="X521" s="41">
        <f>IFERROR(SUM(X519:X519),"0")</f>
        <v>0</v>
      </c>
      <c r="Y521" s="41">
        <f>IFERROR(SUM(Y519:Y519),"0")</f>
        <v>0</v>
      </c>
      <c r="Z521" s="40"/>
      <c r="AA521" s="64"/>
      <c r="AB521" s="64"/>
      <c r="AC521" s="64"/>
    </row>
    <row r="522" spans="1:68" ht="14.25" hidden="1" customHeight="1" x14ac:dyDescent="0.25">
      <c r="A522" s="628" t="s">
        <v>61</v>
      </c>
      <c r="B522" s="624"/>
      <c r="C522" s="624"/>
      <c r="D522" s="624"/>
      <c r="E522" s="624"/>
      <c r="F522" s="624"/>
      <c r="G522" s="624"/>
      <c r="H522" s="624"/>
      <c r="I522" s="624"/>
      <c r="J522" s="624"/>
      <c r="K522" s="624"/>
      <c r="L522" s="624"/>
      <c r="M522" s="624"/>
      <c r="N522" s="624"/>
      <c r="O522" s="624"/>
      <c r="P522" s="624"/>
      <c r="Q522" s="624"/>
      <c r="R522" s="624"/>
      <c r="S522" s="624"/>
      <c r="T522" s="624"/>
      <c r="U522" s="624"/>
      <c r="V522" s="624"/>
      <c r="W522" s="624"/>
      <c r="X522" s="624"/>
      <c r="Y522" s="624"/>
      <c r="Z522" s="624"/>
      <c r="AA522" s="63"/>
      <c r="AB522" s="63"/>
      <c r="AC522" s="63"/>
    </row>
    <row r="523" spans="1:68" ht="27" hidden="1" customHeight="1" x14ac:dyDescent="0.25">
      <c r="A523" s="60" t="s">
        <v>818</v>
      </c>
      <c r="B523" s="60" t="s">
        <v>819</v>
      </c>
      <c r="C523" s="34">
        <v>4301031467</v>
      </c>
      <c r="D523" s="626">
        <v>4640242180595</v>
      </c>
      <c r="E523" s="627"/>
      <c r="F523" s="59">
        <v>0.8</v>
      </c>
      <c r="G523" s="35">
        <v>6</v>
      </c>
      <c r="H523" s="59">
        <v>4.8</v>
      </c>
      <c r="I523" s="59">
        <v>5.05</v>
      </c>
      <c r="J523" s="35">
        <v>132</v>
      </c>
      <c r="K523" s="35" t="s">
        <v>128</v>
      </c>
      <c r="L523" s="35"/>
      <c r="M523" s="36" t="s">
        <v>65</v>
      </c>
      <c r="N523" s="36"/>
      <c r="O523" s="35">
        <v>40</v>
      </c>
      <c r="P523" s="73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0"/>
      <c r="R523" s="620"/>
      <c r="S523" s="620"/>
      <c r="T523" s="621"/>
      <c r="U523" s="37"/>
      <c r="V523" s="37"/>
      <c r="W523" s="38" t="s">
        <v>66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IFERROR(IF(Y523=0,"",ROUNDUP(Y523/H523,0)*0.00902),"")</f>
        <v/>
      </c>
      <c r="AA523" s="65"/>
      <c r="AB523" s="66"/>
      <c r="AC523" s="607" t="s">
        <v>820</v>
      </c>
      <c r="AG523" s="75"/>
      <c r="AJ523" s="79"/>
      <c r="AK523" s="79">
        <v>0</v>
      </c>
      <c r="BB523" s="608" t="s">
        <v>1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ht="27" hidden="1" customHeight="1" x14ac:dyDescent="0.25">
      <c r="A524" s="60" t="s">
        <v>818</v>
      </c>
      <c r="B524" s="60" t="s">
        <v>821</v>
      </c>
      <c r="C524" s="34">
        <v>4301031500</v>
      </c>
      <c r="D524" s="626">
        <v>4640242180595</v>
      </c>
      <c r="E524" s="627"/>
      <c r="F524" s="59">
        <v>0.7</v>
      </c>
      <c r="G524" s="35">
        <v>6</v>
      </c>
      <c r="H524" s="59">
        <v>4.2</v>
      </c>
      <c r="I524" s="59">
        <v>4.45</v>
      </c>
      <c r="J524" s="35">
        <v>132</v>
      </c>
      <c r="K524" s="35" t="s">
        <v>128</v>
      </c>
      <c r="L524" s="35"/>
      <c r="M524" s="36" t="s">
        <v>65</v>
      </c>
      <c r="N524" s="36"/>
      <c r="O524" s="35">
        <v>40</v>
      </c>
      <c r="P524" s="7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0"/>
      <c r="R524" s="620"/>
      <c r="S524" s="620"/>
      <c r="T524" s="621"/>
      <c r="U524" s="37"/>
      <c r="V524" s="37"/>
      <c r="W524" s="38" t="s">
        <v>66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IFERROR(IF(Y524=0,"",ROUNDUP(Y524/H524,0)*0.00902),"")</f>
        <v/>
      </c>
      <c r="AA524" s="65"/>
      <c r="AB524" s="66"/>
      <c r="AC524" s="609" t="s">
        <v>822</v>
      </c>
      <c r="AG524" s="75"/>
      <c r="AJ524" s="79"/>
      <c r="AK524" s="79">
        <v>0</v>
      </c>
      <c r="BB524" s="610" t="s">
        <v>1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idden="1" x14ac:dyDescent="0.2">
      <c r="A525" s="623"/>
      <c r="B525" s="624"/>
      <c r="C525" s="624"/>
      <c r="D525" s="624"/>
      <c r="E525" s="624"/>
      <c r="F525" s="624"/>
      <c r="G525" s="624"/>
      <c r="H525" s="624"/>
      <c r="I525" s="624"/>
      <c r="J525" s="624"/>
      <c r="K525" s="624"/>
      <c r="L525" s="624"/>
      <c r="M525" s="624"/>
      <c r="N525" s="624"/>
      <c r="O525" s="625"/>
      <c r="P525" s="631" t="s">
        <v>71</v>
      </c>
      <c r="Q525" s="632"/>
      <c r="R525" s="632"/>
      <c r="S525" s="632"/>
      <c r="T525" s="632"/>
      <c r="U525" s="632"/>
      <c r="V525" s="633"/>
      <c r="W525" s="40" t="s">
        <v>72</v>
      </c>
      <c r="X525" s="41">
        <f>IFERROR(X523/H523,"0")+IFERROR(X524/H524,"0")</f>
        <v>0</v>
      </c>
      <c r="Y525" s="41">
        <f>IFERROR(Y523/H523,"0")+IFERROR(Y524/H524,"0")</f>
        <v>0</v>
      </c>
      <c r="Z525" s="41">
        <f>IFERROR(IF(Z523="",0,Z523),"0")+IFERROR(IF(Z524="",0,Z524),"0")</f>
        <v>0</v>
      </c>
      <c r="AA525" s="64"/>
      <c r="AB525" s="64"/>
      <c r="AC525" s="64"/>
    </row>
    <row r="526" spans="1:68" hidden="1" x14ac:dyDescent="0.2">
      <c r="A526" s="624"/>
      <c r="B526" s="624"/>
      <c r="C526" s="624"/>
      <c r="D526" s="624"/>
      <c r="E526" s="624"/>
      <c r="F526" s="624"/>
      <c r="G526" s="624"/>
      <c r="H526" s="624"/>
      <c r="I526" s="624"/>
      <c r="J526" s="624"/>
      <c r="K526" s="624"/>
      <c r="L526" s="624"/>
      <c r="M526" s="624"/>
      <c r="N526" s="624"/>
      <c r="O526" s="625"/>
      <c r="P526" s="631" t="s">
        <v>71</v>
      </c>
      <c r="Q526" s="632"/>
      <c r="R526" s="632"/>
      <c r="S526" s="632"/>
      <c r="T526" s="632"/>
      <c r="U526" s="632"/>
      <c r="V526" s="633"/>
      <c r="W526" s="40" t="s">
        <v>66</v>
      </c>
      <c r="X526" s="41">
        <f>IFERROR(SUM(X523:X524),"0")</f>
        <v>0</v>
      </c>
      <c r="Y526" s="41">
        <f>IFERROR(SUM(Y523:Y524),"0")</f>
        <v>0</v>
      </c>
      <c r="Z526" s="40"/>
      <c r="AA526" s="64"/>
      <c r="AB526" s="64"/>
      <c r="AC526" s="64"/>
    </row>
    <row r="527" spans="1:68" ht="14.25" hidden="1" customHeight="1" x14ac:dyDescent="0.25">
      <c r="A527" s="628" t="s">
        <v>73</v>
      </c>
      <c r="B527" s="624"/>
      <c r="C527" s="624"/>
      <c r="D527" s="624"/>
      <c r="E527" s="624"/>
      <c r="F527" s="624"/>
      <c r="G527" s="624"/>
      <c r="H527" s="624"/>
      <c r="I527" s="624"/>
      <c r="J527" s="624"/>
      <c r="K527" s="624"/>
      <c r="L527" s="624"/>
      <c r="M527" s="624"/>
      <c r="N527" s="624"/>
      <c r="O527" s="624"/>
      <c r="P527" s="624"/>
      <c r="Q527" s="624"/>
      <c r="R527" s="624"/>
      <c r="S527" s="624"/>
      <c r="T527" s="624"/>
      <c r="U527" s="624"/>
      <c r="V527" s="624"/>
      <c r="W527" s="624"/>
      <c r="X527" s="624"/>
      <c r="Y527" s="624"/>
      <c r="Z527" s="624"/>
      <c r="AA527" s="63"/>
      <c r="AB527" s="63"/>
      <c r="AC527" s="63"/>
    </row>
    <row r="528" spans="1:68" ht="27" hidden="1" customHeight="1" x14ac:dyDescent="0.25">
      <c r="A528" s="60" t="s">
        <v>823</v>
      </c>
      <c r="B528" s="60" t="s">
        <v>824</v>
      </c>
      <c r="C528" s="34">
        <v>4301052043</v>
      </c>
      <c r="D528" s="626">
        <v>4640242180533</v>
      </c>
      <c r="E528" s="627"/>
      <c r="F528" s="59">
        <v>1.5</v>
      </c>
      <c r="G528" s="35">
        <v>6</v>
      </c>
      <c r="H528" s="59">
        <v>9</v>
      </c>
      <c r="I528" s="59">
        <v>9.4939999999999998</v>
      </c>
      <c r="J528" s="35">
        <v>64</v>
      </c>
      <c r="K528" s="35" t="s">
        <v>119</v>
      </c>
      <c r="L528" s="35"/>
      <c r="M528" s="36" t="s">
        <v>77</v>
      </c>
      <c r="N528" s="36"/>
      <c r="O528" s="35">
        <v>45</v>
      </c>
      <c r="P528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0"/>
      <c r="R528" s="620"/>
      <c r="S528" s="620"/>
      <c r="T528" s="621"/>
      <c r="U528" s="37"/>
      <c r="V528" s="37"/>
      <c r="W528" s="38" t="s">
        <v>66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IFERROR(IF(Y528=0,"",ROUNDUP(Y528/H528,0)*0.01898),"")</f>
        <v/>
      </c>
      <c r="AA528" s="65"/>
      <c r="AB528" s="66"/>
      <c r="AC528" s="611" t="s">
        <v>825</v>
      </c>
      <c r="AG528" s="75"/>
      <c r="AJ528" s="79"/>
      <c r="AK528" s="79">
        <v>0</v>
      </c>
      <c r="BB528" s="612" t="s">
        <v>1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hidden="1" x14ac:dyDescent="0.2">
      <c r="A529" s="623"/>
      <c r="B529" s="624"/>
      <c r="C529" s="624"/>
      <c r="D529" s="624"/>
      <c r="E529" s="624"/>
      <c r="F529" s="624"/>
      <c r="G529" s="624"/>
      <c r="H529" s="624"/>
      <c r="I529" s="624"/>
      <c r="J529" s="624"/>
      <c r="K529" s="624"/>
      <c r="L529" s="624"/>
      <c r="M529" s="624"/>
      <c r="N529" s="624"/>
      <c r="O529" s="625"/>
      <c r="P529" s="631" t="s">
        <v>71</v>
      </c>
      <c r="Q529" s="632"/>
      <c r="R529" s="632"/>
      <c r="S529" s="632"/>
      <c r="T529" s="632"/>
      <c r="U529" s="632"/>
      <c r="V529" s="633"/>
      <c r="W529" s="40" t="s">
        <v>72</v>
      </c>
      <c r="X529" s="41">
        <f>IFERROR(X528/H528,"0")</f>
        <v>0</v>
      </c>
      <c r="Y529" s="41">
        <f>IFERROR(Y528/H528,"0")</f>
        <v>0</v>
      </c>
      <c r="Z529" s="41">
        <f>IFERROR(IF(Z528="",0,Z528),"0")</f>
        <v>0</v>
      </c>
      <c r="AA529" s="64"/>
      <c r="AB529" s="64"/>
      <c r="AC529" s="64"/>
    </row>
    <row r="530" spans="1:68" hidden="1" x14ac:dyDescent="0.2">
      <c r="A530" s="624"/>
      <c r="B530" s="624"/>
      <c r="C530" s="624"/>
      <c r="D530" s="624"/>
      <c r="E530" s="624"/>
      <c r="F530" s="624"/>
      <c r="G530" s="624"/>
      <c r="H530" s="624"/>
      <c r="I530" s="624"/>
      <c r="J530" s="624"/>
      <c r="K530" s="624"/>
      <c r="L530" s="624"/>
      <c r="M530" s="624"/>
      <c r="N530" s="624"/>
      <c r="O530" s="625"/>
      <c r="P530" s="631" t="s">
        <v>71</v>
      </c>
      <c r="Q530" s="632"/>
      <c r="R530" s="632"/>
      <c r="S530" s="632"/>
      <c r="T530" s="632"/>
      <c r="U530" s="632"/>
      <c r="V530" s="633"/>
      <c r="W530" s="40" t="s">
        <v>66</v>
      </c>
      <c r="X530" s="41">
        <f>IFERROR(SUM(X528:X528),"0")</f>
        <v>0</v>
      </c>
      <c r="Y530" s="41">
        <f>IFERROR(SUM(Y528:Y528),"0")</f>
        <v>0</v>
      </c>
      <c r="Z530" s="40"/>
      <c r="AA530" s="64"/>
      <c r="AB530" s="64"/>
      <c r="AC530" s="64"/>
    </row>
    <row r="531" spans="1:68" ht="14.25" hidden="1" customHeight="1" x14ac:dyDescent="0.25">
      <c r="A531" s="628" t="s">
        <v>169</v>
      </c>
      <c r="B531" s="624"/>
      <c r="C531" s="624"/>
      <c r="D531" s="624"/>
      <c r="E531" s="624"/>
      <c r="F531" s="624"/>
      <c r="G531" s="624"/>
      <c r="H531" s="624"/>
      <c r="I531" s="624"/>
      <c r="J531" s="624"/>
      <c r="K531" s="624"/>
      <c r="L531" s="624"/>
      <c r="M531" s="624"/>
      <c r="N531" s="624"/>
      <c r="O531" s="624"/>
      <c r="P531" s="624"/>
      <c r="Q531" s="624"/>
      <c r="R531" s="624"/>
      <c r="S531" s="624"/>
      <c r="T531" s="624"/>
      <c r="U531" s="624"/>
      <c r="V531" s="624"/>
      <c r="W531" s="624"/>
      <c r="X531" s="624"/>
      <c r="Y531" s="624"/>
      <c r="Z531" s="624"/>
      <c r="AA531" s="63"/>
      <c r="AB531" s="63"/>
      <c r="AC531" s="63"/>
    </row>
    <row r="532" spans="1:68" ht="27" hidden="1" customHeight="1" x14ac:dyDescent="0.25">
      <c r="A532" s="60" t="s">
        <v>826</v>
      </c>
      <c r="B532" s="60" t="s">
        <v>827</v>
      </c>
      <c r="C532" s="34">
        <v>4301060535</v>
      </c>
      <c r="D532" s="626">
        <v>4640242180120</v>
      </c>
      <c r="E532" s="627"/>
      <c r="F532" s="59">
        <v>1.5</v>
      </c>
      <c r="G532" s="35">
        <v>6</v>
      </c>
      <c r="H532" s="59">
        <v>9</v>
      </c>
      <c r="I532" s="59">
        <v>9.41</v>
      </c>
      <c r="J532" s="35">
        <v>64</v>
      </c>
      <c r="K532" s="35" t="s">
        <v>119</v>
      </c>
      <c r="L532" s="35"/>
      <c r="M532" s="36" t="s">
        <v>77</v>
      </c>
      <c r="N532" s="36"/>
      <c r="O532" s="35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0"/>
      <c r="R532" s="620"/>
      <c r="S532" s="620"/>
      <c r="T532" s="621"/>
      <c r="U532" s="37"/>
      <c r="V532" s="37"/>
      <c r="W532" s="38" t="s">
        <v>66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/>
      <c r="AB532" s="66"/>
      <c r="AC532" s="613" t="s">
        <v>828</v>
      </c>
      <c r="AG532" s="75"/>
      <c r="AJ532" s="79"/>
      <c r="AK532" s="79">
        <v>0</v>
      </c>
      <c r="BB532" s="614" t="s">
        <v>1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t="27" hidden="1" customHeight="1" x14ac:dyDescent="0.25">
      <c r="A533" s="60" t="s">
        <v>829</v>
      </c>
      <c r="B533" s="60" t="s">
        <v>830</v>
      </c>
      <c r="C533" s="34">
        <v>4301060536</v>
      </c>
      <c r="D533" s="626">
        <v>4640242180137</v>
      </c>
      <c r="E533" s="627"/>
      <c r="F533" s="59">
        <v>1.5</v>
      </c>
      <c r="G533" s="35">
        <v>6</v>
      </c>
      <c r="H533" s="59">
        <v>9</v>
      </c>
      <c r="I533" s="59">
        <v>9.41</v>
      </c>
      <c r="J533" s="35">
        <v>64</v>
      </c>
      <c r="K533" s="35" t="s">
        <v>119</v>
      </c>
      <c r="L533" s="35"/>
      <c r="M533" s="36" t="s">
        <v>77</v>
      </c>
      <c r="N533" s="36"/>
      <c r="O533" s="35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0"/>
      <c r="R533" s="620"/>
      <c r="S533" s="620"/>
      <c r="T533" s="621"/>
      <c r="U533" s="37"/>
      <c r="V533" s="37"/>
      <c r="W533" s="38" t="s">
        <v>66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/>
      <c r="AB533" s="66"/>
      <c r="AC533" s="615" t="s">
        <v>831</v>
      </c>
      <c r="AG533" s="75"/>
      <c r="AJ533" s="79"/>
      <c r="AK533" s="79">
        <v>0</v>
      </c>
      <c r="BB533" s="616" t="s">
        <v>1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23"/>
      <c r="B534" s="624"/>
      <c r="C534" s="624"/>
      <c r="D534" s="624"/>
      <c r="E534" s="624"/>
      <c r="F534" s="624"/>
      <c r="G534" s="624"/>
      <c r="H534" s="624"/>
      <c r="I534" s="624"/>
      <c r="J534" s="624"/>
      <c r="K534" s="624"/>
      <c r="L534" s="624"/>
      <c r="M534" s="624"/>
      <c r="N534" s="624"/>
      <c r="O534" s="625"/>
      <c r="P534" s="631" t="s">
        <v>71</v>
      </c>
      <c r="Q534" s="632"/>
      <c r="R534" s="632"/>
      <c r="S534" s="632"/>
      <c r="T534" s="632"/>
      <c r="U534" s="632"/>
      <c r="V534" s="633"/>
      <c r="W534" s="40" t="s">
        <v>72</v>
      </c>
      <c r="X534" s="41">
        <f>IFERROR(X532/H532,"0")+IFERROR(X533/H533,"0")</f>
        <v>0</v>
      </c>
      <c r="Y534" s="41">
        <f>IFERROR(Y532/H532,"0")+IFERROR(Y533/H533,"0")</f>
        <v>0</v>
      </c>
      <c r="Z534" s="41">
        <f>IFERROR(IF(Z532="",0,Z532),"0")+IFERROR(IF(Z533="",0,Z533),"0")</f>
        <v>0</v>
      </c>
      <c r="AA534" s="64"/>
      <c r="AB534" s="64"/>
      <c r="AC534" s="64"/>
    </row>
    <row r="535" spans="1:68" hidden="1" x14ac:dyDescent="0.2">
      <c r="A535" s="624"/>
      <c r="B535" s="624"/>
      <c r="C535" s="624"/>
      <c r="D535" s="624"/>
      <c r="E535" s="624"/>
      <c r="F535" s="624"/>
      <c r="G535" s="624"/>
      <c r="H535" s="624"/>
      <c r="I535" s="624"/>
      <c r="J535" s="624"/>
      <c r="K535" s="624"/>
      <c r="L535" s="624"/>
      <c r="M535" s="624"/>
      <c r="N535" s="624"/>
      <c r="O535" s="625"/>
      <c r="P535" s="631" t="s">
        <v>71</v>
      </c>
      <c r="Q535" s="632"/>
      <c r="R535" s="632"/>
      <c r="S535" s="632"/>
      <c r="T535" s="632"/>
      <c r="U535" s="632"/>
      <c r="V535" s="633"/>
      <c r="W535" s="40" t="s">
        <v>66</v>
      </c>
      <c r="X535" s="41">
        <f>IFERROR(SUM(X532:X533),"0")</f>
        <v>0</v>
      </c>
      <c r="Y535" s="41">
        <f>IFERROR(SUM(Y532:Y533),"0")</f>
        <v>0</v>
      </c>
      <c r="Z535" s="40"/>
      <c r="AA535" s="64"/>
      <c r="AB535" s="64"/>
      <c r="AC535" s="64"/>
    </row>
    <row r="536" spans="1:68" ht="16.5" hidden="1" customHeight="1" x14ac:dyDescent="0.25">
      <c r="A536" s="639" t="s">
        <v>832</v>
      </c>
      <c r="B536" s="624"/>
      <c r="C536" s="624"/>
      <c r="D536" s="624"/>
      <c r="E536" s="624"/>
      <c r="F536" s="624"/>
      <c r="G536" s="624"/>
      <c r="H536" s="624"/>
      <c r="I536" s="624"/>
      <c r="J536" s="624"/>
      <c r="K536" s="624"/>
      <c r="L536" s="624"/>
      <c r="M536" s="624"/>
      <c r="N536" s="624"/>
      <c r="O536" s="624"/>
      <c r="P536" s="624"/>
      <c r="Q536" s="624"/>
      <c r="R536" s="624"/>
      <c r="S536" s="624"/>
      <c r="T536" s="624"/>
      <c r="U536" s="624"/>
      <c r="V536" s="624"/>
      <c r="W536" s="624"/>
      <c r="X536" s="624"/>
      <c r="Y536" s="624"/>
      <c r="Z536" s="624"/>
      <c r="AA536" s="62"/>
      <c r="AB536" s="62"/>
      <c r="AC536" s="62"/>
    </row>
    <row r="537" spans="1:68" ht="14.25" hidden="1" customHeight="1" x14ac:dyDescent="0.25">
      <c r="A537" s="628" t="s">
        <v>152</v>
      </c>
      <c r="B537" s="624"/>
      <c r="C537" s="624"/>
      <c r="D537" s="624"/>
      <c r="E537" s="624"/>
      <c r="F537" s="624"/>
      <c r="G537" s="624"/>
      <c r="H537" s="624"/>
      <c r="I537" s="624"/>
      <c r="J537" s="624"/>
      <c r="K537" s="624"/>
      <c r="L537" s="624"/>
      <c r="M537" s="624"/>
      <c r="N537" s="624"/>
      <c r="O537" s="624"/>
      <c r="P537" s="624"/>
      <c r="Q537" s="624"/>
      <c r="R537" s="624"/>
      <c r="S537" s="624"/>
      <c r="T537" s="624"/>
      <c r="U537" s="624"/>
      <c r="V537" s="624"/>
      <c r="W537" s="624"/>
      <c r="X537" s="624"/>
      <c r="Y537" s="624"/>
      <c r="Z537" s="624"/>
      <c r="AA537" s="63"/>
      <c r="AB537" s="63"/>
      <c r="AC537" s="63"/>
    </row>
    <row r="538" spans="1:68" ht="27" hidden="1" customHeight="1" x14ac:dyDescent="0.25">
      <c r="A538" s="60" t="s">
        <v>833</v>
      </c>
      <c r="B538" s="60" t="s">
        <v>834</v>
      </c>
      <c r="C538" s="34">
        <v>4301020428</v>
      </c>
      <c r="D538" s="626">
        <v>4640242180090</v>
      </c>
      <c r="E538" s="627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119</v>
      </c>
      <c r="L538" s="35"/>
      <c r="M538" s="36" t="s">
        <v>120</v>
      </c>
      <c r="N538" s="36"/>
      <c r="O538" s="35">
        <v>50</v>
      </c>
      <c r="P538" s="82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0"/>
      <c r="R538" s="620"/>
      <c r="S538" s="620"/>
      <c r="T538" s="621"/>
      <c r="U538" s="37"/>
      <c r="V538" s="37"/>
      <c r="W538" s="38" t="s">
        <v>66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/>
      <c r="AB538" s="66"/>
      <c r="AC538" s="617" t="s">
        <v>835</v>
      </c>
      <c r="AG538" s="75"/>
      <c r="AJ538" s="79"/>
      <c r="AK538" s="79">
        <v>0</v>
      </c>
      <c r="BB538" s="618" t="s">
        <v>1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23"/>
      <c r="B539" s="624"/>
      <c r="C539" s="624"/>
      <c r="D539" s="624"/>
      <c r="E539" s="624"/>
      <c r="F539" s="624"/>
      <c r="G539" s="624"/>
      <c r="H539" s="624"/>
      <c r="I539" s="624"/>
      <c r="J539" s="624"/>
      <c r="K539" s="624"/>
      <c r="L539" s="624"/>
      <c r="M539" s="624"/>
      <c r="N539" s="624"/>
      <c r="O539" s="625"/>
      <c r="P539" s="631" t="s">
        <v>71</v>
      </c>
      <c r="Q539" s="632"/>
      <c r="R539" s="632"/>
      <c r="S539" s="632"/>
      <c r="T539" s="632"/>
      <c r="U539" s="632"/>
      <c r="V539" s="633"/>
      <c r="W539" s="40" t="s">
        <v>72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24"/>
      <c r="B540" s="624"/>
      <c r="C540" s="624"/>
      <c r="D540" s="624"/>
      <c r="E540" s="624"/>
      <c r="F540" s="624"/>
      <c r="G540" s="624"/>
      <c r="H540" s="624"/>
      <c r="I540" s="624"/>
      <c r="J540" s="624"/>
      <c r="K540" s="624"/>
      <c r="L540" s="624"/>
      <c r="M540" s="624"/>
      <c r="N540" s="624"/>
      <c r="O540" s="625"/>
      <c r="P540" s="631" t="s">
        <v>71</v>
      </c>
      <c r="Q540" s="632"/>
      <c r="R540" s="632"/>
      <c r="S540" s="632"/>
      <c r="T540" s="632"/>
      <c r="U540" s="632"/>
      <c r="V540" s="633"/>
      <c r="W540" s="40" t="s">
        <v>66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5" customHeight="1" x14ac:dyDescent="0.2">
      <c r="A541" s="702"/>
      <c r="B541" s="624"/>
      <c r="C541" s="624"/>
      <c r="D541" s="624"/>
      <c r="E541" s="624"/>
      <c r="F541" s="624"/>
      <c r="G541" s="624"/>
      <c r="H541" s="624"/>
      <c r="I541" s="624"/>
      <c r="J541" s="624"/>
      <c r="K541" s="624"/>
      <c r="L541" s="624"/>
      <c r="M541" s="624"/>
      <c r="N541" s="624"/>
      <c r="O541" s="703"/>
      <c r="P541" s="634" t="s">
        <v>836</v>
      </c>
      <c r="Q541" s="635"/>
      <c r="R541" s="635"/>
      <c r="S541" s="635"/>
      <c r="T541" s="635"/>
      <c r="U541" s="635"/>
      <c r="V541" s="636"/>
      <c r="W541" s="40" t="s">
        <v>66</v>
      </c>
      <c r="X541" s="41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700</v>
      </c>
      <c r="Y541" s="41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720</v>
      </c>
      <c r="Z541" s="40"/>
      <c r="AA541" s="64"/>
      <c r="AB541" s="64"/>
      <c r="AC541" s="64"/>
    </row>
    <row r="542" spans="1:68" x14ac:dyDescent="0.2">
      <c r="A542" s="624"/>
      <c r="B542" s="624"/>
      <c r="C542" s="624"/>
      <c r="D542" s="624"/>
      <c r="E542" s="624"/>
      <c r="F542" s="624"/>
      <c r="G542" s="624"/>
      <c r="H542" s="624"/>
      <c r="I542" s="624"/>
      <c r="J542" s="624"/>
      <c r="K542" s="624"/>
      <c r="L542" s="624"/>
      <c r="M542" s="624"/>
      <c r="N542" s="624"/>
      <c r="O542" s="703"/>
      <c r="P542" s="634" t="s">
        <v>837</v>
      </c>
      <c r="Q542" s="635"/>
      <c r="R542" s="635"/>
      <c r="S542" s="635"/>
      <c r="T542" s="635"/>
      <c r="U542" s="635"/>
      <c r="V542" s="636"/>
      <c r="W542" s="40" t="s">
        <v>66</v>
      </c>
      <c r="X542" s="41">
        <f>IFERROR(SUM(BM22:BM538),"0")</f>
        <v>721.93333333333339</v>
      </c>
      <c r="Y542" s="41">
        <f>IFERROR(SUM(BN22:BN538),"0")</f>
        <v>742.56</v>
      </c>
      <c r="Z542" s="40"/>
      <c r="AA542" s="64"/>
      <c r="AB542" s="64"/>
      <c r="AC542" s="64"/>
    </row>
    <row r="543" spans="1:68" x14ac:dyDescent="0.2">
      <c r="A543" s="624"/>
      <c r="B543" s="624"/>
      <c r="C543" s="624"/>
      <c r="D543" s="624"/>
      <c r="E543" s="624"/>
      <c r="F543" s="624"/>
      <c r="G543" s="624"/>
      <c r="H543" s="624"/>
      <c r="I543" s="624"/>
      <c r="J543" s="624"/>
      <c r="K543" s="624"/>
      <c r="L543" s="624"/>
      <c r="M543" s="624"/>
      <c r="N543" s="624"/>
      <c r="O543" s="703"/>
      <c r="P543" s="634" t="s">
        <v>838</v>
      </c>
      <c r="Q543" s="635"/>
      <c r="R543" s="635"/>
      <c r="S543" s="635"/>
      <c r="T543" s="635"/>
      <c r="U543" s="635"/>
      <c r="V543" s="636"/>
      <c r="W543" s="40" t="s">
        <v>839</v>
      </c>
      <c r="X543" s="42">
        <f>ROUNDUP(SUM(BO22:BO538),0)</f>
        <v>1</v>
      </c>
      <c r="Y543" s="42">
        <f>ROUNDUP(SUM(BP22:BP538),0)</f>
        <v>1</v>
      </c>
      <c r="Z543" s="40"/>
      <c r="AA543" s="64"/>
      <c r="AB543" s="64"/>
      <c r="AC543" s="64"/>
    </row>
    <row r="544" spans="1:68" x14ac:dyDescent="0.2">
      <c r="A544" s="624"/>
      <c r="B544" s="624"/>
      <c r="C544" s="624"/>
      <c r="D544" s="624"/>
      <c r="E544" s="624"/>
      <c r="F544" s="624"/>
      <c r="G544" s="624"/>
      <c r="H544" s="624"/>
      <c r="I544" s="624"/>
      <c r="J544" s="624"/>
      <c r="K544" s="624"/>
      <c r="L544" s="624"/>
      <c r="M544" s="624"/>
      <c r="N544" s="624"/>
      <c r="O544" s="703"/>
      <c r="P544" s="634" t="s">
        <v>840</v>
      </c>
      <c r="Q544" s="635"/>
      <c r="R544" s="635"/>
      <c r="S544" s="635"/>
      <c r="T544" s="635"/>
      <c r="U544" s="635"/>
      <c r="V544" s="636"/>
      <c r="W544" s="40" t="s">
        <v>66</v>
      </c>
      <c r="X544" s="41">
        <f>GrossWeightTotal+PalletQtyTotal*25</f>
        <v>746.93333333333339</v>
      </c>
      <c r="Y544" s="41">
        <f>GrossWeightTotalR+PalletQtyTotalR*25</f>
        <v>767.56</v>
      </c>
      <c r="Z544" s="40"/>
      <c r="AA544" s="64"/>
      <c r="AB544" s="64"/>
      <c r="AC544" s="64"/>
    </row>
    <row r="545" spans="1:32" x14ac:dyDescent="0.2">
      <c r="A545" s="624"/>
      <c r="B545" s="624"/>
      <c r="C545" s="624"/>
      <c r="D545" s="624"/>
      <c r="E545" s="624"/>
      <c r="F545" s="624"/>
      <c r="G545" s="624"/>
      <c r="H545" s="624"/>
      <c r="I545" s="624"/>
      <c r="J545" s="624"/>
      <c r="K545" s="624"/>
      <c r="L545" s="624"/>
      <c r="M545" s="624"/>
      <c r="N545" s="624"/>
      <c r="O545" s="703"/>
      <c r="P545" s="634" t="s">
        <v>841</v>
      </c>
      <c r="Q545" s="635"/>
      <c r="R545" s="635"/>
      <c r="S545" s="635"/>
      <c r="T545" s="635"/>
      <c r="U545" s="635"/>
      <c r="V545" s="636"/>
      <c r="W545" s="40" t="s">
        <v>839</v>
      </c>
      <c r="X545" s="41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46.666666666666664</v>
      </c>
      <c r="Y545" s="41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48</v>
      </c>
      <c r="Z545" s="40"/>
      <c r="AA545" s="64"/>
      <c r="AB545" s="64"/>
      <c r="AC545" s="64"/>
    </row>
    <row r="546" spans="1:32" ht="14.25" hidden="1" customHeight="1" x14ac:dyDescent="0.2">
      <c r="A546" s="624"/>
      <c r="B546" s="624"/>
      <c r="C546" s="624"/>
      <c r="D546" s="624"/>
      <c r="E546" s="624"/>
      <c r="F546" s="624"/>
      <c r="G546" s="624"/>
      <c r="H546" s="624"/>
      <c r="I546" s="624"/>
      <c r="J546" s="624"/>
      <c r="K546" s="624"/>
      <c r="L546" s="624"/>
      <c r="M546" s="624"/>
      <c r="N546" s="624"/>
      <c r="O546" s="703"/>
      <c r="P546" s="634" t="s">
        <v>842</v>
      </c>
      <c r="Q546" s="635"/>
      <c r="R546" s="635"/>
      <c r="S546" s="635"/>
      <c r="T546" s="635"/>
      <c r="U546" s="635"/>
      <c r="V546" s="636"/>
      <c r="W546" s="43" t="s">
        <v>843</v>
      </c>
      <c r="X546" s="40"/>
      <c r="Y546" s="40"/>
      <c r="Z546" s="40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1.044</v>
      </c>
      <c r="AA546" s="64"/>
      <c r="AB546" s="64"/>
      <c r="AC546" s="64"/>
    </row>
    <row r="547" spans="1:32" ht="13.5" customHeight="1" thickBot="1" x14ac:dyDescent="0.25"/>
    <row r="548" spans="1:32" ht="27" customHeight="1" thickTop="1" thickBot="1" x14ac:dyDescent="0.25">
      <c r="A548" s="44" t="s">
        <v>844</v>
      </c>
      <c r="B548" s="80" t="s">
        <v>60</v>
      </c>
      <c r="C548" s="80" t="s">
        <v>97</v>
      </c>
      <c r="D548" s="645" t="s">
        <v>114</v>
      </c>
      <c r="E548" s="743"/>
      <c r="F548" s="743"/>
      <c r="G548" s="743"/>
      <c r="H548" s="743"/>
      <c r="I548" s="743"/>
      <c r="J548" s="701"/>
      <c r="K548" s="645" t="s">
        <v>326</v>
      </c>
      <c r="L548" s="743"/>
      <c r="M548" s="743"/>
      <c r="N548" s="743"/>
      <c r="O548" s="743"/>
      <c r="P548" s="743"/>
      <c r="Q548" s="743"/>
      <c r="R548" s="743"/>
      <c r="S548" s="743"/>
      <c r="T548" s="743"/>
      <c r="U548" s="701"/>
      <c r="V548" s="645" t="s">
        <v>662</v>
      </c>
      <c r="W548" s="701"/>
      <c r="X548" s="645" t="s">
        <v>728</v>
      </c>
      <c r="Y548" s="701"/>
      <c r="Z548" s="80" t="s">
        <v>764</v>
      </c>
      <c r="AA548" s="645" t="s">
        <v>811</v>
      </c>
      <c r="AB548" s="701"/>
      <c r="AC548" s="9"/>
      <c r="AF548" s="1"/>
    </row>
    <row r="549" spans="1:32" ht="14.25" customHeight="1" thickTop="1" x14ac:dyDescent="0.2">
      <c r="A549" s="808" t="s">
        <v>845</v>
      </c>
      <c r="B549" s="645" t="s">
        <v>60</v>
      </c>
      <c r="C549" s="645" t="s">
        <v>98</v>
      </c>
      <c r="D549" s="645" t="s">
        <v>115</v>
      </c>
      <c r="E549" s="645" t="s">
        <v>131</v>
      </c>
      <c r="F549" s="645" t="s">
        <v>176</v>
      </c>
      <c r="G549" s="645" t="s">
        <v>197</v>
      </c>
      <c r="H549" s="645" t="s">
        <v>236</v>
      </c>
      <c r="I549" s="645" t="s">
        <v>248</v>
      </c>
      <c r="J549" s="645" t="s">
        <v>114</v>
      </c>
      <c r="K549" s="645" t="s">
        <v>327</v>
      </c>
      <c r="L549" s="645" t="s">
        <v>348</v>
      </c>
      <c r="M549" s="645" t="s">
        <v>415</v>
      </c>
      <c r="N549" s="1"/>
      <c r="O549" s="645" t="s">
        <v>483</v>
      </c>
      <c r="P549" s="645" t="s">
        <v>516</v>
      </c>
      <c r="Q549" s="645" t="s">
        <v>532</v>
      </c>
      <c r="R549" s="645" t="s">
        <v>541</v>
      </c>
      <c r="S549" s="645" t="s">
        <v>562</v>
      </c>
      <c r="T549" s="645" t="s">
        <v>571</v>
      </c>
      <c r="U549" s="645" t="s">
        <v>652</v>
      </c>
      <c r="V549" s="645" t="s">
        <v>663</v>
      </c>
      <c r="W549" s="645" t="s">
        <v>712</v>
      </c>
      <c r="X549" s="645" t="s">
        <v>729</v>
      </c>
      <c r="Y549" s="645" t="s">
        <v>752</v>
      </c>
      <c r="Z549" s="645" t="s">
        <v>764</v>
      </c>
      <c r="AA549" s="645" t="s">
        <v>811</v>
      </c>
      <c r="AB549" s="645" t="s">
        <v>832</v>
      </c>
      <c r="AC549" s="9"/>
      <c r="AF549" s="1"/>
    </row>
    <row r="550" spans="1:32" ht="13.5" customHeight="1" thickBot="1" x14ac:dyDescent="0.25">
      <c r="A550" s="809"/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1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46"/>
      <c r="AB550" s="646"/>
      <c r="AC550" s="9"/>
      <c r="AF550" s="1"/>
    </row>
    <row r="551" spans="1:32" ht="18" customHeight="1" thickTop="1" thickBot="1" x14ac:dyDescent="0.25">
      <c r="A551" s="44" t="s">
        <v>846</v>
      </c>
      <c r="B551" s="50">
        <f>IFERROR(Y22*1,"0")+IFERROR(Y23*1,"0")+IFERROR(Y27*1,"0")+IFERROR(Y28*1,"0")+IFERROR(Y29*1,"0")+IFERROR(Y30*1,"0")+IFERROR(Y31*1,"0")+IFERROR(Y35*1,"0")</f>
        <v>0</v>
      </c>
      <c r="C551" s="50">
        <f>IFERROR(Y41*1,"0")+IFERROR(Y42*1,"0")+IFERROR(Y43*1,"0")+IFERROR(Y44*1,"0")+IFERROR(Y45*1,"0")</f>
        <v>0</v>
      </c>
      <c r="D551" s="50">
        <f>IFERROR(Y51*1,"0")+IFERROR(Y52*1,"0")+IFERROR(Y53*1,"0")+IFERROR(Y54*1,"0")</f>
        <v>0</v>
      </c>
      <c r="E55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1" s="50">
        <f>IFERROR(Y88*1,"0")+IFERROR(Y89*1,"0")+IFERROR(Y90*1,"0")+IFERROR(Y91*1,"0")+IFERROR(Y95*1,"0")+IFERROR(Y96*1,"0")+IFERROR(Y97*1,"0")+IFERROR(Y98*1,"0")</f>
        <v>0</v>
      </c>
      <c r="G55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1" s="50">
        <f>IFERROR(Y132*1,"0")+IFERROR(Y133*1,"0")+IFERROR(Y137*1,"0")+IFERROR(Y138*1,"0")+IFERROR(Y142*1,"0")+IFERROR(Y143*1,"0")</f>
        <v>0</v>
      </c>
      <c r="I551" s="50">
        <f>IFERROR(Y148*1,"0")+IFERROR(Y149*1,"0")+IFERROR(Y150*1,"0")+IFERROR(Y151*1,"0")</f>
        <v>0</v>
      </c>
      <c r="J551" s="50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1" s="50">
        <f>IFERROR(Y198*1,"0")+IFERROR(Y199*1,"0")+IFERROR(Y200*1,"0")+IFERROR(Y201*1,"0")+IFERROR(Y202*1,"0")+IFERROR(Y203*1,"0")+IFERROR(Y204*1,"0")</f>
        <v>0</v>
      </c>
      <c r="L551" s="50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1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1" s="1"/>
      <c r="O551" s="50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50">
        <f>IFERROR(Y316*1,"0")+IFERROR(Y317*1,"0")+IFERROR(Y318*1,"0")+IFERROR(Y319*1,"0")+IFERROR(Y320*1,"0")</f>
        <v>0</v>
      </c>
      <c r="Q551" s="50">
        <f>IFERROR(Y325*1,"0")+IFERROR(Y326*1,"0")+IFERROR(Y327*1,"0")</f>
        <v>0</v>
      </c>
      <c r="R551" s="50">
        <f>IFERROR(Y332*1,"0")+IFERROR(Y333*1,"0")+IFERROR(Y334*1,"0")+IFERROR(Y335*1,"0")+IFERROR(Y336*1,"0")+IFERROR(Y340*1,"0")+IFERROR(Y341*1,"0")</f>
        <v>0</v>
      </c>
      <c r="S551" s="50">
        <f>IFERROR(Y346*1,"0")+IFERROR(Y347*1,"0")+IFERROR(Y348*1,"0")</f>
        <v>0</v>
      </c>
      <c r="T551" s="50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0</v>
      </c>
      <c r="U551" s="50">
        <f>IFERROR(Y404*1,"0")+IFERROR(Y405*1,"0")+IFERROR(Y406*1,"0")</f>
        <v>0</v>
      </c>
      <c r="V551" s="50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720</v>
      </c>
      <c r="W551" s="50">
        <f>IFERROR(Y441*1,"0")+IFERROR(Y442*1,"0")+IFERROR(Y446*1,"0")+IFERROR(Y450*1,"0")+IFERROR(Y451*1,"0")+IFERROR(Y452*1,"0")</f>
        <v>0</v>
      </c>
      <c r="X551" s="50">
        <f>IFERROR(Y458*1,"0")+IFERROR(Y459*1,"0")+IFERROR(Y460*1,"0")+IFERROR(Y461*1,"0")+IFERROR(Y462*1,"0")+IFERROR(Y463*1,"0")+IFERROR(Y467*1,"0")+IFERROR(Y468*1,"0")</f>
        <v>0</v>
      </c>
      <c r="Y551" s="50">
        <f>IFERROR(Y473*1,"0")+IFERROR(Y477*1,"0")+IFERROR(Y478*1,"0")+IFERROR(Y479*1,"0")</f>
        <v>0</v>
      </c>
      <c r="Z551" s="50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0</v>
      </c>
      <c r="AA551" s="50">
        <f>IFERROR(Y515*1,"0")+IFERROR(Y519*1,"0")+IFERROR(Y523*1,"0")+IFERROR(Y524*1,"0")+IFERROR(Y528*1,"0")+IFERROR(Y532*1,"0")+IFERROR(Y533*1,"0")</f>
        <v>0</v>
      </c>
      <c r="AB551" s="50">
        <f>IFERROR(Y538*1,"0")</f>
        <v>0</v>
      </c>
      <c r="AC551" s="9"/>
      <c r="AF551" s="1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00,00"/>
        <filter val="200,00"/>
        <filter val="400,00"/>
        <filter val="46,67"/>
        <filter val="700,00"/>
        <filter val="721,93"/>
        <filter val="746,93"/>
      </filters>
    </filterColumn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M17:M18"/>
    <mergeCell ref="A152:O153"/>
    <mergeCell ref="A207:Z207"/>
    <mergeCell ref="P188:T188"/>
    <mergeCell ref="Z17:Z18"/>
    <mergeCell ref="D217:E217"/>
    <mergeCell ref="D65:E65"/>
    <mergeCell ref="P22:T22"/>
    <mergeCell ref="A437:O438"/>
    <mergeCell ref="P236:V236"/>
    <mergeCell ref="P92:V92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123:T123"/>
    <mergeCell ref="A426:O427"/>
    <mergeCell ref="P194:V194"/>
    <mergeCell ref="P415:T415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D215:E215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D506:E506"/>
    <mergeCell ref="P106:T106"/>
    <mergeCell ref="P177:T177"/>
    <mergeCell ref="P226:T226"/>
    <mergeCell ref="P184:V184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242:V242"/>
    <mergeCell ref="P407:V407"/>
    <mergeCell ref="A403:Z403"/>
    <mergeCell ref="P382:V382"/>
    <mergeCell ref="P474:V474"/>
    <mergeCell ref="A400:O401"/>
    <mergeCell ref="P270:T270"/>
    <mergeCell ref="P521:V521"/>
    <mergeCell ref="A456:Z456"/>
    <mergeCell ref="A512:Z512"/>
    <mergeCell ref="P461:T461"/>
    <mergeCell ref="P460:T460"/>
    <mergeCell ref="D497:E497"/>
    <mergeCell ref="P222:T222"/>
    <mergeCell ref="P320:T320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390:Z390"/>
    <mergeCell ref="P225:T225"/>
    <mergeCell ref="D6:M6"/>
    <mergeCell ref="P175:T175"/>
    <mergeCell ref="P162:T162"/>
    <mergeCell ref="D83:E83"/>
    <mergeCell ref="D143:E143"/>
    <mergeCell ref="D441:E441"/>
    <mergeCell ref="V6:W9"/>
    <mergeCell ref="D199:E199"/>
    <mergeCell ref="D364:E364"/>
    <mergeCell ref="D435:E435"/>
    <mergeCell ref="P274:T274"/>
    <mergeCell ref="D413:E413"/>
    <mergeCell ref="P35:T35"/>
    <mergeCell ref="G17:G18"/>
    <mergeCell ref="A9:C9"/>
    <mergeCell ref="P32:V32"/>
    <mergeCell ref="P214:T214"/>
    <mergeCell ref="A13:M13"/>
    <mergeCell ref="A119:Z119"/>
    <mergeCell ref="A94:Z94"/>
    <mergeCell ref="P79:V79"/>
    <mergeCell ref="A69:Z69"/>
    <mergeCell ref="A12:M12"/>
    <mergeCell ref="D91:E91"/>
    <mergeCell ref="D162:E162"/>
    <mergeCell ref="P23:T23"/>
    <mergeCell ref="D156:E156"/>
    <mergeCell ref="Q11:R11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180:Z180"/>
    <mergeCell ref="D116:E116"/>
    <mergeCell ref="D414:E414"/>
    <mergeCell ref="P419:T419"/>
    <mergeCell ref="P219:T219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P15:T16"/>
    <mergeCell ref="P450:T450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230:T230"/>
    <mergeCell ref="A109:O110"/>
    <mergeCell ref="D187:E187"/>
    <mergeCell ref="P231:T231"/>
    <mergeCell ref="A432:O433"/>
    <mergeCell ref="D423:E423"/>
    <mergeCell ref="D174:E174"/>
    <mergeCell ref="A352:Z352"/>
    <mergeCell ref="P235:V235"/>
    <mergeCell ref="D415:E415"/>
    <mergeCell ref="P394:V394"/>
    <mergeCell ref="P398:T398"/>
    <mergeCell ref="D319:E319"/>
    <mergeCell ref="P272:T272"/>
    <mergeCell ref="D327:E327"/>
    <mergeCell ref="D398:E398"/>
    <mergeCell ref="A267:O268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A26:Z26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P413:T413"/>
    <mergeCell ref="D524:E524"/>
    <mergeCell ref="A464:O465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D30:E30"/>
    <mergeCell ref="D353:E353"/>
    <mergeCell ref="D5:E5"/>
    <mergeCell ref="P42:T42"/>
    <mergeCell ref="A32:O33"/>
    <mergeCell ref="R1:T1"/>
    <mergeCell ref="P172:T172"/>
    <mergeCell ref="A34:Z34"/>
    <mergeCell ref="P245:V245"/>
    <mergeCell ref="P244:T244"/>
    <mergeCell ref="P73:T7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P30:T30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P392:T392"/>
    <mergeCell ref="P326:T326"/>
    <mergeCell ref="A516:O517"/>
    <mergeCell ref="F549:F550"/>
    <mergeCell ref="P386:T386"/>
    <mergeCell ref="D332:E332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P150:T150"/>
    <mergeCell ref="D71:E71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103:T103"/>
    <mergeCell ref="P107:T107"/>
    <mergeCell ref="A128:O129"/>
    <mergeCell ref="D386:E386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A227:O228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847</v>
      </c>
      <c r="H1" s="9"/>
    </row>
    <row r="3" spans="2:8" x14ac:dyDescent="0.2">
      <c r="B3" s="51" t="s">
        <v>848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849</v>
      </c>
      <c r="C6" s="51" t="s">
        <v>850</v>
      </c>
      <c r="D6" s="51" t="s">
        <v>851</v>
      </c>
      <c r="E6" s="51"/>
    </row>
    <row r="7" spans="2:8" x14ac:dyDescent="0.2">
      <c r="B7" s="51" t="s">
        <v>852</v>
      </c>
      <c r="C7" s="51" t="s">
        <v>853</v>
      </c>
      <c r="D7" s="51" t="s">
        <v>854</v>
      </c>
      <c r="E7" s="51"/>
    </row>
    <row r="8" spans="2:8" x14ac:dyDescent="0.2">
      <c r="B8" s="51" t="s">
        <v>855</v>
      </c>
      <c r="C8" s="51" t="s">
        <v>856</v>
      </c>
      <c r="D8" s="51" t="s">
        <v>857</v>
      </c>
      <c r="E8" s="51"/>
    </row>
    <row r="9" spans="2:8" x14ac:dyDescent="0.2">
      <c r="B9" s="51" t="s">
        <v>858</v>
      </c>
      <c r="C9" s="51" t="s">
        <v>859</v>
      </c>
      <c r="D9" s="51" t="s">
        <v>860</v>
      </c>
      <c r="E9" s="51"/>
    </row>
    <row r="10" spans="2:8" x14ac:dyDescent="0.2">
      <c r="B10" s="51" t="s">
        <v>861</v>
      </c>
      <c r="C10" s="51" t="s">
        <v>862</v>
      </c>
      <c r="D10" s="51" t="s">
        <v>863</v>
      </c>
      <c r="E10" s="51"/>
    </row>
    <row r="11" spans="2:8" x14ac:dyDescent="0.2">
      <c r="B11" s="51" t="s">
        <v>864</v>
      </c>
      <c r="C11" s="51" t="s">
        <v>865</v>
      </c>
      <c r="D11" s="51" t="s">
        <v>866</v>
      </c>
      <c r="E11" s="51"/>
    </row>
    <row r="12" spans="2:8" x14ac:dyDescent="0.2">
      <c r="B12" s="51" t="s">
        <v>867</v>
      </c>
      <c r="C12" s="51" t="s">
        <v>868</v>
      </c>
      <c r="D12" s="51" t="s">
        <v>869</v>
      </c>
      <c r="E12" s="51"/>
    </row>
    <row r="14" spans="2:8" x14ac:dyDescent="0.2">
      <c r="B14" s="51" t="s">
        <v>870</v>
      </c>
      <c r="C14" s="51" t="s">
        <v>850</v>
      </c>
      <c r="D14" s="51"/>
      <c r="E14" s="51"/>
    </row>
    <row r="16" spans="2:8" x14ac:dyDescent="0.2">
      <c r="B16" s="51" t="s">
        <v>871</v>
      </c>
      <c r="C16" s="51" t="s">
        <v>853</v>
      </c>
      <c r="D16" s="51"/>
      <c r="E16" s="51"/>
    </row>
    <row r="18" spans="2:5" x14ac:dyDescent="0.2">
      <c r="B18" s="51" t="s">
        <v>872</v>
      </c>
      <c r="C18" s="51" t="s">
        <v>856</v>
      </c>
      <c r="D18" s="51"/>
      <c r="E18" s="51"/>
    </row>
    <row r="20" spans="2:5" x14ac:dyDescent="0.2">
      <c r="B20" s="51" t="s">
        <v>873</v>
      </c>
      <c r="C20" s="51" t="s">
        <v>859</v>
      </c>
      <c r="D20" s="51"/>
      <c r="E20" s="51"/>
    </row>
    <row r="22" spans="2:5" x14ac:dyDescent="0.2">
      <c r="B22" s="51" t="s">
        <v>874</v>
      </c>
      <c r="C22" s="51" t="s">
        <v>862</v>
      </c>
      <c r="D22" s="51"/>
      <c r="E22" s="51"/>
    </row>
    <row r="24" spans="2:5" x14ac:dyDescent="0.2">
      <c r="B24" s="51" t="s">
        <v>875</v>
      </c>
      <c r="C24" s="51" t="s">
        <v>865</v>
      </c>
      <c r="D24" s="51"/>
      <c r="E24" s="51"/>
    </row>
    <row r="26" spans="2:5" x14ac:dyDescent="0.2">
      <c r="B26" s="51" t="s">
        <v>876</v>
      </c>
      <c r="C26" s="51" t="s">
        <v>868</v>
      </c>
      <c r="D26" s="51"/>
      <c r="E26" s="51"/>
    </row>
    <row r="28" spans="2:5" x14ac:dyDescent="0.2">
      <c r="B28" s="51" t="s">
        <v>877</v>
      </c>
      <c r="C28" s="51"/>
      <c r="D28" s="51"/>
      <c r="E28" s="51"/>
    </row>
    <row r="29" spans="2:5" x14ac:dyDescent="0.2">
      <c r="B29" s="51" t="s">
        <v>878</v>
      </c>
      <c r="C29" s="51"/>
      <c r="D29" s="51"/>
      <c r="E29" s="51"/>
    </row>
    <row r="30" spans="2:5" x14ac:dyDescent="0.2">
      <c r="B30" s="51" t="s">
        <v>879</v>
      </c>
      <c r="C30" s="51"/>
      <c r="D30" s="51"/>
      <c r="E30" s="51"/>
    </row>
    <row r="31" spans="2:5" x14ac:dyDescent="0.2">
      <c r="B31" s="51" t="s">
        <v>880</v>
      </c>
      <c r="C31" s="51"/>
      <c r="D31" s="51"/>
      <c r="E31" s="51"/>
    </row>
    <row r="32" spans="2:5" x14ac:dyDescent="0.2">
      <c r="B32" s="51" t="s">
        <v>881</v>
      </c>
      <c r="C32" s="51"/>
      <c r="D32" s="51"/>
      <c r="E32" s="51"/>
    </row>
    <row r="33" spans="2:5" x14ac:dyDescent="0.2">
      <c r="B33" s="51" t="s">
        <v>882</v>
      </c>
      <c r="C33" s="51"/>
      <c r="D33" s="51"/>
      <c r="E33" s="51"/>
    </row>
    <row r="34" spans="2:5" x14ac:dyDescent="0.2">
      <c r="B34" s="51" t="s">
        <v>883</v>
      </c>
      <c r="C34" s="51"/>
      <c r="D34" s="51"/>
      <c r="E34" s="51"/>
    </row>
    <row r="35" spans="2:5" x14ac:dyDescent="0.2">
      <c r="B35" s="51" t="s">
        <v>884</v>
      </c>
      <c r="C35" s="51"/>
      <c r="D35" s="51"/>
      <c r="E35" s="51"/>
    </row>
    <row r="36" spans="2:5" x14ac:dyDescent="0.2">
      <c r="B36" s="51" t="s">
        <v>885</v>
      </c>
      <c r="C36" s="51"/>
      <c r="D36" s="51"/>
      <c r="E36" s="51"/>
    </row>
    <row r="37" spans="2:5" x14ac:dyDescent="0.2">
      <c r="B37" s="51" t="s">
        <v>886</v>
      </c>
      <c r="C37" s="51"/>
      <c r="D37" s="51"/>
      <c r="E37" s="51"/>
    </row>
    <row r="38" spans="2:5" x14ac:dyDescent="0.2">
      <c r="B38" s="51" t="s">
        <v>887</v>
      </c>
      <c r="C38" s="51"/>
      <c r="D38" s="51"/>
      <c r="E38" s="51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2026-07-18T06:31:09Z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