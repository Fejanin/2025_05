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2744762-12CC-4493-B39A-893FBFAAC9D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2" i="1"/>
  <c r="X401" i="1"/>
  <c r="BO400" i="1"/>
  <c r="BM400" i="1"/>
  <c r="Y400" i="1"/>
  <c r="BP400" i="1" s="1"/>
  <c r="P400" i="1"/>
  <c r="BO399" i="1"/>
  <c r="BM399" i="1"/>
  <c r="Y399" i="1"/>
  <c r="P399" i="1"/>
  <c r="BO398" i="1"/>
  <c r="BM398" i="1"/>
  <c r="Y398" i="1"/>
  <c r="P398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Y394" i="1" s="1"/>
  <c r="P391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Y376" i="1" s="1"/>
  <c r="P371" i="1"/>
  <c r="X369" i="1"/>
  <c r="X368" i="1"/>
  <c r="BO367" i="1"/>
  <c r="BM367" i="1"/>
  <c r="Y367" i="1"/>
  <c r="BP367" i="1" s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BP357" i="1" s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Y312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Y250" i="1"/>
  <c r="P250" i="1"/>
  <c r="BO249" i="1"/>
  <c r="BN249" i="1"/>
  <c r="BM249" i="1"/>
  <c r="Z249" i="1"/>
  <c r="Z251" i="1" s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K543" i="1" s="1"/>
  <c r="P198" i="1"/>
  <c r="X194" i="1"/>
  <c r="X193" i="1"/>
  <c r="BO192" i="1"/>
  <c r="BM192" i="1"/>
  <c r="Y192" i="1"/>
  <c r="Y194" i="1" s="1"/>
  <c r="P192" i="1"/>
  <c r="X190" i="1"/>
  <c r="X189" i="1"/>
  <c r="BO188" i="1"/>
  <c r="BM188" i="1"/>
  <c r="Y188" i="1"/>
  <c r="Y190" i="1" s="1"/>
  <c r="P188" i="1"/>
  <c r="BP187" i="1"/>
  <c r="BO187" i="1"/>
  <c r="BN187" i="1"/>
  <c r="BM187" i="1"/>
  <c r="Z187" i="1"/>
  <c r="Y187" i="1"/>
  <c r="P187" i="1"/>
  <c r="X185" i="1"/>
  <c r="X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N169" i="1" s="1"/>
  <c r="P169" i="1"/>
  <c r="BO168" i="1"/>
  <c r="BM168" i="1"/>
  <c r="Y168" i="1"/>
  <c r="P168" i="1"/>
  <c r="BO167" i="1"/>
  <c r="BM167" i="1"/>
  <c r="Y167" i="1"/>
  <c r="BN167" i="1" s="1"/>
  <c r="P167" i="1"/>
  <c r="X165" i="1"/>
  <c r="X164" i="1"/>
  <c r="BO163" i="1"/>
  <c r="BM163" i="1"/>
  <c r="Z163" i="1"/>
  <c r="Z164" i="1" s="1"/>
  <c r="Y163" i="1"/>
  <c r="Y165" i="1" s="1"/>
  <c r="P163" i="1"/>
  <c r="X161" i="1"/>
  <c r="X160" i="1"/>
  <c r="BO159" i="1"/>
  <c r="BM159" i="1"/>
  <c r="Y159" i="1"/>
  <c r="P159" i="1"/>
  <c r="BO158" i="1"/>
  <c r="BM158" i="1"/>
  <c r="Y158" i="1"/>
  <c r="P158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2" i="1"/>
  <c r="X141" i="1"/>
  <c r="BO140" i="1"/>
  <c r="BM140" i="1"/>
  <c r="Y140" i="1"/>
  <c r="P140" i="1"/>
  <c r="BO139" i="1"/>
  <c r="BM139" i="1"/>
  <c r="Y139" i="1"/>
  <c r="Y141" i="1" s="1"/>
  <c r="P139" i="1"/>
  <c r="X137" i="1"/>
  <c r="X136" i="1"/>
  <c r="BO135" i="1"/>
  <c r="BM135" i="1"/>
  <c r="Z135" i="1"/>
  <c r="Y135" i="1"/>
  <c r="BN135" i="1" s="1"/>
  <c r="P135" i="1"/>
  <c r="BO134" i="1"/>
  <c r="BM134" i="1"/>
  <c r="Y134" i="1"/>
  <c r="P134" i="1"/>
  <c r="X131" i="1"/>
  <c r="X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BN124" i="1" s="1"/>
  <c r="P124" i="1"/>
  <c r="BO123" i="1"/>
  <c r="BM123" i="1"/>
  <c r="Y123" i="1"/>
  <c r="P123" i="1"/>
  <c r="BO122" i="1"/>
  <c r="BM122" i="1"/>
  <c r="Y122" i="1"/>
  <c r="BN122" i="1" s="1"/>
  <c r="P122" i="1"/>
  <c r="X120" i="1"/>
  <c r="X119" i="1"/>
  <c r="BO118" i="1"/>
  <c r="BM118" i="1"/>
  <c r="Y118" i="1"/>
  <c r="BN118" i="1" s="1"/>
  <c r="P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P112" i="1"/>
  <c r="BO112" i="1"/>
  <c r="BM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Z106" i="1"/>
  <c r="Y106" i="1"/>
  <c r="BN106" i="1" s="1"/>
  <c r="P106" i="1"/>
  <c r="BO105" i="1"/>
  <c r="BM105" i="1"/>
  <c r="Y105" i="1"/>
  <c r="P105" i="1"/>
  <c r="BO104" i="1"/>
  <c r="BM104" i="1"/>
  <c r="Y104" i="1"/>
  <c r="BN104" i="1" s="1"/>
  <c r="P104" i="1"/>
  <c r="BO103" i="1"/>
  <c r="BM103" i="1"/>
  <c r="Y103" i="1"/>
  <c r="P103" i="1"/>
  <c r="X100" i="1"/>
  <c r="X99" i="1"/>
  <c r="BO98" i="1"/>
  <c r="BM98" i="1"/>
  <c r="Y98" i="1"/>
  <c r="P98" i="1"/>
  <c r="BO97" i="1"/>
  <c r="BM97" i="1"/>
  <c r="Z97" i="1"/>
  <c r="Y97" i="1"/>
  <c r="BN97" i="1" s="1"/>
  <c r="P97" i="1"/>
  <c r="BO96" i="1"/>
  <c r="BM96" i="1"/>
  <c r="Y96" i="1"/>
  <c r="Z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Y84" i="1" s="1"/>
  <c r="P82" i="1"/>
  <c r="X80" i="1"/>
  <c r="X79" i="1"/>
  <c r="BO78" i="1"/>
  <c r="BM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N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O65" i="1"/>
  <c r="BM65" i="1"/>
  <c r="Y65" i="1"/>
  <c r="BN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Y33" i="1" s="1"/>
  <c r="P27" i="1"/>
  <c r="X25" i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F10" i="1" s="1"/>
  <c r="D7" i="1"/>
  <c r="Q6" i="1"/>
  <c r="P2" i="1"/>
  <c r="BP22" i="1" l="1"/>
  <c r="BP30" i="1"/>
  <c r="BP65" i="1"/>
  <c r="BP73" i="1"/>
  <c r="BN83" i="1"/>
  <c r="BP90" i="1"/>
  <c r="BN90" i="1"/>
  <c r="BP114" i="1"/>
  <c r="BN114" i="1"/>
  <c r="Z114" i="1"/>
  <c r="BP150" i="1"/>
  <c r="BN150" i="1"/>
  <c r="Z150" i="1"/>
  <c r="BP159" i="1"/>
  <c r="BN159" i="1"/>
  <c r="Z159" i="1"/>
  <c r="BP181" i="1"/>
  <c r="BN181" i="1"/>
  <c r="Z181" i="1"/>
  <c r="BP218" i="1"/>
  <c r="BN218" i="1"/>
  <c r="Z218" i="1"/>
  <c r="BP238" i="1"/>
  <c r="BN238" i="1"/>
  <c r="Z238" i="1"/>
  <c r="BP272" i="1"/>
  <c r="BN272" i="1"/>
  <c r="Z272" i="1"/>
  <c r="BP297" i="1"/>
  <c r="BN297" i="1"/>
  <c r="Z297" i="1"/>
  <c r="BP334" i="1"/>
  <c r="BN334" i="1"/>
  <c r="Z334" i="1"/>
  <c r="BP366" i="1"/>
  <c r="BN366" i="1"/>
  <c r="Z366" i="1"/>
  <c r="BP399" i="1"/>
  <c r="BN399" i="1"/>
  <c r="Z399" i="1"/>
  <c r="BP451" i="1"/>
  <c r="BN451" i="1"/>
  <c r="Z451" i="1"/>
  <c r="BP484" i="1"/>
  <c r="BN484" i="1"/>
  <c r="Z484" i="1"/>
  <c r="Z22" i="1"/>
  <c r="Z30" i="1"/>
  <c r="Z42" i="1"/>
  <c r="BN42" i="1"/>
  <c r="BN44" i="1"/>
  <c r="Z52" i="1"/>
  <c r="BN52" i="1"/>
  <c r="BN54" i="1"/>
  <c r="Z59" i="1"/>
  <c r="BN59" i="1"/>
  <c r="BN61" i="1"/>
  <c r="Z65" i="1"/>
  <c r="Z73" i="1"/>
  <c r="BN112" i="1"/>
  <c r="Z112" i="1"/>
  <c r="Y178" i="1"/>
  <c r="BP171" i="1"/>
  <c r="BN171" i="1"/>
  <c r="Z171" i="1"/>
  <c r="BP201" i="1"/>
  <c r="BN201" i="1"/>
  <c r="Z201" i="1"/>
  <c r="BP226" i="1"/>
  <c r="BN226" i="1"/>
  <c r="Z226" i="1"/>
  <c r="BP262" i="1"/>
  <c r="BN262" i="1"/>
  <c r="Z262" i="1"/>
  <c r="BP280" i="1"/>
  <c r="BN280" i="1"/>
  <c r="Z280" i="1"/>
  <c r="BP320" i="1"/>
  <c r="BN320" i="1"/>
  <c r="Z320" i="1"/>
  <c r="BP354" i="1"/>
  <c r="BN354" i="1"/>
  <c r="Z354" i="1"/>
  <c r="BP380" i="1"/>
  <c r="BN380" i="1"/>
  <c r="Z380" i="1"/>
  <c r="BP412" i="1"/>
  <c r="BN412" i="1"/>
  <c r="Z412" i="1"/>
  <c r="BP470" i="1"/>
  <c r="BN470" i="1"/>
  <c r="Z470" i="1"/>
  <c r="BP500" i="1"/>
  <c r="BN500" i="1"/>
  <c r="Z500" i="1"/>
  <c r="BP97" i="1"/>
  <c r="BP106" i="1"/>
  <c r="BN116" i="1"/>
  <c r="BP135" i="1"/>
  <c r="BN145" i="1"/>
  <c r="BN152" i="1"/>
  <c r="BP163" i="1"/>
  <c r="Y184" i="1"/>
  <c r="Y241" i="1"/>
  <c r="BP169" i="1"/>
  <c r="BN177" i="1"/>
  <c r="BP177" i="1"/>
  <c r="Z177" i="1"/>
  <c r="BN216" i="1"/>
  <c r="BP216" i="1"/>
  <c r="Z216" i="1"/>
  <c r="BP260" i="1"/>
  <c r="Z260" i="1"/>
  <c r="BN260" i="1"/>
  <c r="BN270" i="1"/>
  <c r="BP270" i="1"/>
  <c r="Z270" i="1"/>
  <c r="BN295" i="1"/>
  <c r="BP295" i="1"/>
  <c r="Z295" i="1"/>
  <c r="BN332" i="1"/>
  <c r="BP332" i="1"/>
  <c r="Z332" i="1"/>
  <c r="BN364" i="1"/>
  <c r="BP364" i="1"/>
  <c r="Z364" i="1"/>
  <c r="BN392" i="1"/>
  <c r="BP392" i="1"/>
  <c r="Z392" i="1"/>
  <c r="BN443" i="1"/>
  <c r="BP443" i="1"/>
  <c r="Z443" i="1"/>
  <c r="X537" i="1"/>
  <c r="Z28" i="1"/>
  <c r="BP28" i="1"/>
  <c r="Z63" i="1"/>
  <c r="BP63" i="1"/>
  <c r="Z71" i="1"/>
  <c r="BP71" i="1"/>
  <c r="Z77" i="1"/>
  <c r="BP77" i="1"/>
  <c r="Z104" i="1"/>
  <c r="BP104" i="1"/>
  <c r="Z118" i="1"/>
  <c r="BP118" i="1"/>
  <c r="Y126" i="1"/>
  <c r="Z124" i="1"/>
  <c r="BP124" i="1"/>
  <c r="Z139" i="1"/>
  <c r="BP139" i="1"/>
  <c r="Y155" i="1"/>
  <c r="Y179" i="1"/>
  <c r="Z169" i="1"/>
  <c r="BP173" i="1"/>
  <c r="Z173" i="1"/>
  <c r="BN173" i="1"/>
  <c r="BN183" i="1"/>
  <c r="BP183" i="1"/>
  <c r="Z183" i="1"/>
  <c r="BP203" i="1"/>
  <c r="Z203" i="1"/>
  <c r="BN203" i="1"/>
  <c r="BP291" i="1"/>
  <c r="Z291" i="1"/>
  <c r="BN291" i="1"/>
  <c r="Y303" i="1"/>
  <c r="Y302" i="1"/>
  <c r="BN301" i="1"/>
  <c r="BP301" i="1"/>
  <c r="Z301" i="1"/>
  <c r="Z302" i="1" s="1"/>
  <c r="Y313" i="1"/>
  <c r="BN309" i="1"/>
  <c r="BP309" i="1"/>
  <c r="Z309" i="1"/>
  <c r="BN372" i="1"/>
  <c r="BP372" i="1"/>
  <c r="Z372" i="1"/>
  <c r="BN453" i="1"/>
  <c r="BP453" i="1"/>
  <c r="Z453" i="1"/>
  <c r="X533" i="1"/>
  <c r="C543" i="1"/>
  <c r="Z44" i="1"/>
  <c r="D543" i="1"/>
  <c r="Z54" i="1"/>
  <c r="Z61" i="1"/>
  <c r="Z83" i="1"/>
  <c r="Z90" i="1"/>
  <c r="Y99" i="1"/>
  <c r="Y119" i="1"/>
  <c r="Z116" i="1"/>
  <c r="Z122" i="1"/>
  <c r="BP122" i="1"/>
  <c r="Z145" i="1"/>
  <c r="Z152" i="1"/>
  <c r="J543" i="1"/>
  <c r="BN163" i="1"/>
  <c r="Y164" i="1"/>
  <c r="Z167" i="1"/>
  <c r="BP167" i="1"/>
  <c r="BN199" i="1"/>
  <c r="BP199" i="1"/>
  <c r="Z199" i="1"/>
  <c r="BN224" i="1"/>
  <c r="BP224" i="1"/>
  <c r="Z224" i="1"/>
  <c r="BP234" i="1"/>
  <c r="Z234" i="1"/>
  <c r="BN234" i="1"/>
  <c r="BN278" i="1"/>
  <c r="BP278" i="1"/>
  <c r="Z278" i="1"/>
  <c r="BN318" i="1"/>
  <c r="BP318" i="1"/>
  <c r="Z318" i="1"/>
  <c r="BN347" i="1"/>
  <c r="BP347" i="1"/>
  <c r="Z347" i="1"/>
  <c r="Y382" i="1"/>
  <c r="BN378" i="1"/>
  <c r="BP378" i="1"/>
  <c r="Z378" i="1"/>
  <c r="BN410" i="1"/>
  <c r="BP410" i="1"/>
  <c r="Z410" i="1"/>
  <c r="BN459" i="1"/>
  <c r="BP459" i="1"/>
  <c r="Z459" i="1"/>
  <c r="BN77" i="1"/>
  <c r="Y80" i="1"/>
  <c r="H543" i="1"/>
  <c r="BN139" i="1"/>
  <c r="Y142" i="1"/>
  <c r="BP220" i="1"/>
  <c r="Z220" i="1"/>
  <c r="BN220" i="1"/>
  <c r="Y236" i="1"/>
  <c r="BN230" i="1"/>
  <c r="BP230" i="1"/>
  <c r="Z230" i="1"/>
  <c r="BP240" i="1"/>
  <c r="Z240" i="1"/>
  <c r="BN240" i="1"/>
  <c r="BN264" i="1"/>
  <c r="BP264" i="1"/>
  <c r="Z264" i="1"/>
  <c r="BP274" i="1"/>
  <c r="Z274" i="1"/>
  <c r="BN274" i="1"/>
  <c r="BN286" i="1"/>
  <c r="BP286" i="1"/>
  <c r="Z286" i="1"/>
  <c r="Y307" i="1"/>
  <c r="BP305" i="1"/>
  <c r="Z305" i="1"/>
  <c r="Z306" i="1" s="1"/>
  <c r="Y306" i="1"/>
  <c r="BN305" i="1"/>
  <c r="BN325" i="1"/>
  <c r="BP325" i="1"/>
  <c r="Z325" i="1"/>
  <c r="BP336" i="1"/>
  <c r="Z336" i="1"/>
  <c r="BN336" i="1"/>
  <c r="BN356" i="1"/>
  <c r="BP356" i="1"/>
  <c r="Z356" i="1"/>
  <c r="Y388" i="1"/>
  <c r="BN384" i="1"/>
  <c r="BP384" i="1"/>
  <c r="Z384" i="1"/>
  <c r="BP406" i="1"/>
  <c r="Z406" i="1"/>
  <c r="BN406" i="1"/>
  <c r="BN418" i="1"/>
  <c r="BP418" i="1"/>
  <c r="Z418" i="1"/>
  <c r="BN478" i="1"/>
  <c r="BP478" i="1"/>
  <c r="Z478" i="1"/>
  <c r="Y522" i="1"/>
  <c r="Y521" i="1"/>
  <c r="BN520" i="1"/>
  <c r="BP520" i="1"/>
  <c r="Z520" i="1"/>
  <c r="Z521" i="1" s="1"/>
  <c r="Y185" i="1"/>
  <c r="Y189" i="1"/>
  <c r="Y227" i="1"/>
  <c r="Y298" i="1"/>
  <c r="T543" i="1"/>
  <c r="Y368" i="1"/>
  <c r="U543" i="1"/>
  <c r="BN482" i="1"/>
  <c r="BN490" i="1"/>
  <c r="BN498" i="1"/>
  <c r="BN516" i="1"/>
  <c r="BN524" i="1"/>
  <c r="L543" i="1"/>
  <c r="Y235" i="1"/>
  <c r="Y242" i="1"/>
  <c r="Y283" i="1"/>
  <c r="Y328" i="1"/>
  <c r="Y342" i="1"/>
  <c r="Z482" i="1"/>
  <c r="Z490" i="1"/>
  <c r="Z498" i="1"/>
  <c r="Z516" i="1"/>
  <c r="Z524" i="1"/>
  <c r="Z92" i="1"/>
  <c r="H9" i="1"/>
  <c r="A10" i="1"/>
  <c r="B543" i="1"/>
  <c r="X534" i="1"/>
  <c r="X536" i="1" s="1"/>
  <c r="X535" i="1"/>
  <c r="Z23" i="1"/>
  <c r="Z24" i="1" s="1"/>
  <c r="BN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43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BN78" i="1"/>
  <c r="BP78" i="1"/>
  <c r="Z82" i="1"/>
  <c r="Z84" i="1" s="1"/>
  <c r="BN82" i="1"/>
  <c r="BP82" i="1"/>
  <c r="Y85" i="1"/>
  <c r="F543" i="1"/>
  <c r="Z89" i="1"/>
  <c r="BN89" i="1"/>
  <c r="Z91" i="1"/>
  <c r="BN91" i="1"/>
  <c r="Y92" i="1"/>
  <c r="Z95" i="1"/>
  <c r="Z99" i="1" s="1"/>
  <c r="BN95" i="1"/>
  <c r="BP95" i="1"/>
  <c r="BP96" i="1"/>
  <c r="BN96" i="1"/>
  <c r="BP98" i="1"/>
  <c r="BN98" i="1"/>
  <c r="Z98" i="1"/>
  <c r="Y100" i="1"/>
  <c r="G543" i="1"/>
  <c r="Y110" i="1"/>
  <c r="BP103" i="1"/>
  <c r="BN103" i="1"/>
  <c r="Z103" i="1"/>
  <c r="BP107" i="1"/>
  <c r="BN107" i="1"/>
  <c r="Z107" i="1"/>
  <c r="Y120" i="1"/>
  <c r="BP115" i="1"/>
  <c r="BN115" i="1"/>
  <c r="Z115" i="1"/>
  <c r="Y127" i="1"/>
  <c r="BP123" i="1"/>
  <c r="BN123" i="1"/>
  <c r="Z123" i="1"/>
  <c r="F9" i="1"/>
  <c r="J9" i="1"/>
  <c r="Y25" i="1"/>
  <c r="Y47" i="1"/>
  <c r="Y55" i="1"/>
  <c r="Y68" i="1"/>
  <c r="Y93" i="1"/>
  <c r="BP105" i="1"/>
  <c r="BN105" i="1"/>
  <c r="Z105" i="1"/>
  <c r="Y109" i="1"/>
  <c r="BP113" i="1"/>
  <c r="BN113" i="1"/>
  <c r="Z113" i="1"/>
  <c r="BP117" i="1"/>
  <c r="BN117" i="1"/>
  <c r="Z117" i="1"/>
  <c r="Z125" i="1"/>
  <c r="BN125" i="1"/>
  <c r="Z129" i="1"/>
  <c r="Z130" i="1" s="1"/>
  <c r="BN129" i="1"/>
  <c r="BP129" i="1"/>
  <c r="Y130" i="1"/>
  <c r="Z134" i="1"/>
  <c r="Z136" i="1" s="1"/>
  <c r="BN134" i="1"/>
  <c r="BP134" i="1"/>
  <c r="Y137" i="1"/>
  <c r="Z140" i="1"/>
  <c r="Z141" i="1" s="1"/>
  <c r="BN140" i="1"/>
  <c r="BP140" i="1"/>
  <c r="Z144" i="1"/>
  <c r="BN144" i="1"/>
  <c r="BP144" i="1"/>
  <c r="Y147" i="1"/>
  <c r="I543" i="1"/>
  <c r="Z151" i="1"/>
  <c r="Z154" i="1" s="1"/>
  <c r="BN151" i="1"/>
  <c r="BP151" i="1"/>
  <c r="Z153" i="1"/>
  <c r="BN153" i="1"/>
  <c r="Y154" i="1"/>
  <c r="Z158" i="1"/>
  <c r="Z160" i="1" s="1"/>
  <c r="BN158" i="1"/>
  <c r="BP158" i="1"/>
  <c r="Y161" i="1"/>
  <c r="Z168" i="1"/>
  <c r="BN168" i="1"/>
  <c r="BP168" i="1"/>
  <c r="Z170" i="1"/>
  <c r="BN170" i="1"/>
  <c r="Z172" i="1"/>
  <c r="BN172" i="1"/>
  <c r="Z174" i="1"/>
  <c r="BN174" i="1"/>
  <c r="Z176" i="1"/>
  <c r="BN176" i="1"/>
  <c r="Z182" i="1"/>
  <c r="Z184" i="1" s="1"/>
  <c r="BN182" i="1"/>
  <c r="BP182" i="1"/>
  <c r="Z188" i="1"/>
  <c r="Z189" i="1" s="1"/>
  <c r="BN188" i="1"/>
  <c r="BP188" i="1"/>
  <c r="Z192" i="1"/>
  <c r="Z193" i="1" s="1"/>
  <c r="BN192" i="1"/>
  <c r="BP192" i="1"/>
  <c r="Y193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Y228" i="1"/>
  <c r="Z231" i="1"/>
  <c r="BN231" i="1"/>
  <c r="BP231" i="1"/>
  <c r="Z233" i="1"/>
  <c r="Z235" i="1" s="1"/>
  <c r="BN233" i="1"/>
  <c r="Z239" i="1"/>
  <c r="Z241" i="1" s="1"/>
  <c r="BN239" i="1"/>
  <c r="BP239" i="1"/>
  <c r="M543" i="1"/>
  <c r="Y252" i="1"/>
  <c r="BP249" i="1"/>
  <c r="Y256" i="1"/>
  <c r="BP261" i="1"/>
  <c r="BN261" i="1"/>
  <c r="Z261" i="1"/>
  <c r="BP265" i="1"/>
  <c r="BN265" i="1"/>
  <c r="Z265" i="1"/>
  <c r="Y282" i="1"/>
  <c r="BP273" i="1"/>
  <c r="BN273" i="1"/>
  <c r="Z273" i="1"/>
  <c r="BP277" i="1"/>
  <c r="BN277" i="1"/>
  <c r="Z277" i="1"/>
  <c r="BP281" i="1"/>
  <c r="BN281" i="1"/>
  <c r="Z281" i="1"/>
  <c r="Y288" i="1"/>
  <c r="BP285" i="1"/>
  <c r="BN285" i="1"/>
  <c r="Z285" i="1"/>
  <c r="Z287" i="1" s="1"/>
  <c r="Y299" i="1"/>
  <c r="BP294" i="1"/>
  <c r="BN294" i="1"/>
  <c r="Z294" i="1"/>
  <c r="BP310" i="1"/>
  <c r="BN310" i="1"/>
  <c r="Z310" i="1"/>
  <c r="BP319" i="1"/>
  <c r="BN319" i="1"/>
  <c r="Z319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Y350" i="1"/>
  <c r="Y136" i="1"/>
  <c r="Y160" i="1"/>
  <c r="Y206" i="1"/>
  <c r="Y21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BP317" i="1"/>
  <c r="BN317" i="1"/>
  <c r="Z317" i="1"/>
  <c r="Z321" i="1" s="1"/>
  <c r="Y321" i="1"/>
  <c r="BP326" i="1"/>
  <c r="BN326" i="1"/>
  <c r="Z326" i="1"/>
  <c r="Z328" i="1" s="1"/>
  <c r="BP335" i="1"/>
  <c r="BN335" i="1"/>
  <c r="Z335" i="1"/>
  <c r="BP348" i="1"/>
  <c r="BN348" i="1"/>
  <c r="Z348" i="1"/>
  <c r="Y359" i="1"/>
  <c r="Y369" i="1"/>
  <c r="Y375" i="1"/>
  <c r="Y381" i="1"/>
  <c r="Y389" i="1"/>
  <c r="Y395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BP452" i="1"/>
  <c r="BN452" i="1"/>
  <c r="Z452" i="1"/>
  <c r="Y456" i="1"/>
  <c r="BP460" i="1"/>
  <c r="BN460" i="1"/>
  <c r="Z460" i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Y527" i="1"/>
  <c r="AB543" i="1"/>
  <c r="Y531" i="1"/>
  <c r="BP530" i="1"/>
  <c r="BN530" i="1"/>
  <c r="Z530" i="1"/>
  <c r="Z531" i="1" s="1"/>
  <c r="Y532" i="1"/>
  <c r="O543" i="1"/>
  <c r="W543" i="1"/>
  <c r="P543" i="1"/>
  <c r="Y322" i="1"/>
  <c r="Q543" i="1"/>
  <c r="Y329" i="1"/>
  <c r="R543" i="1"/>
  <c r="Y338" i="1"/>
  <c r="Z353" i="1"/>
  <c r="BN353" i="1"/>
  <c r="BP353" i="1"/>
  <c r="Z355" i="1"/>
  <c r="BN355" i="1"/>
  <c r="Z357" i="1"/>
  <c r="BN357" i="1"/>
  <c r="Y358" i="1"/>
  <c r="Z361" i="1"/>
  <c r="BN361" i="1"/>
  <c r="BP361" i="1"/>
  <c r="Z363" i="1"/>
  <c r="BN363" i="1"/>
  <c r="Z365" i="1"/>
  <c r="BN365" i="1"/>
  <c r="Z367" i="1"/>
  <c r="BN367" i="1"/>
  <c r="Z371" i="1"/>
  <c r="BN371" i="1"/>
  <c r="BP371" i="1"/>
  <c r="Z373" i="1"/>
  <c r="BN373" i="1"/>
  <c r="Z379" i="1"/>
  <c r="Z381" i="1" s="1"/>
  <c r="BN379" i="1"/>
  <c r="Z385" i="1"/>
  <c r="BN385" i="1"/>
  <c r="Z387" i="1"/>
  <c r="BN387" i="1"/>
  <c r="Z391" i="1"/>
  <c r="BN391" i="1"/>
  <c r="BP391" i="1"/>
  <c r="Z393" i="1"/>
  <c r="BN393" i="1"/>
  <c r="Z398" i="1"/>
  <c r="BN398" i="1"/>
  <c r="BP398" i="1"/>
  <c r="Z400" i="1"/>
  <c r="BN400" i="1"/>
  <c r="Y401" i="1"/>
  <c r="BP407" i="1"/>
  <c r="BN407" i="1"/>
  <c r="Z407" i="1"/>
  <c r="BP411" i="1"/>
  <c r="BN411" i="1"/>
  <c r="Z411" i="1"/>
  <c r="BP419" i="1"/>
  <c r="BN419" i="1"/>
  <c r="Z419" i="1"/>
  <c r="Y421" i="1"/>
  <c r="Y426" i="1"/>
  <c r="BP423" i="1"/>
  <c r="BN423" i="1"/>
  <c r="Z423" i="1"/>
  <c r="Z425" i="1" s="1"/>
  <c r="Y435" i="1"/>
  <c r="BP444" i="1"/>
  <c r="BN444" i="1"/>
  <c r="Z444" i="1"/>
  <c r="Y446" i="1"/>
  <c r="X543" i="1"/>
  <c r="Y457" i="1"/>
  <c r="BP450" i="1"/>
  <c r="BN450" i="1"/>
  <c r="Z450" i="1"/>
  <c r="BP454" i="1"/>
  <c r="BN454" i="1"/>
  <c r="Z454" i="1"/>
  <c r="Y461" i="1"/>
  <c r="AA543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388" i="1" l="1"/>
  <c r="Z126" i="1"/>
  <c r="Z67" i="1"/>
  <c r="Z414" i="1"/>
  <c r="Z401" i="1"/>
  <c r="Z375" i="1"/>
  <c r="Z337" i="1"/>
  <c r="Z282" i="1"/>
  <c r="Z312" i="1"/>
  <c r="Z146" i="1"/>
  <c r="Y535" i="1"/>
  <c r="Z492" i="1"/>
  <c r="Z79" i="1"/>
  <c r="Z461" i="1"/>
  <c r="Z178" i="1"/>
  <c r="Z119" i="1"/>
  <c r="Z298" i="1"/>
  <c r="Y534" i="1"/>
  <c r="Y536" i="1" s="1"/>
  <c r="Z486" i="1"/>
  <c r="Z502" i="1"/>
  <c r="Z420" i="1"/>
  <c r="Y533" i="1"/>
  <c r="Y537" i="1"/>
  <c r="Z456" i="1"/>
  <c r="Z394" i="1"/>
  <c r="Z368" i="1"/>
  <c r="Z358" i="1"/>
  <c r="Z472" i="1"/>
  <c r="Z445" i="1"/>
  <c r="Z267" i="1"/>
  <c r="Z349" i="1"/>
  <c r="Z227" i="1"/>
  <c r="Z205" i="1"/>
  <c r="Z109" i="1"/>
  <c r="Z74" i="1"/>
  <c r="Z55" i="1"/>
  <c r="Z46" i="1"/>
  <c r="Z32" i="1"/>
  <c r="Z538" i="1" l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<sst xmlns="http://schemas.openxmlformats.org/spreadsheetml/2006/main" count="2409" uniqueCount="873">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</sst>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59" sqref="AA59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46221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851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Суббота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7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0.45833333333333331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hidden="1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hidden="1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0</v>
      </c>
      <c r="Y51" s="60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0</v>
      </c>
      <c r="Y55" s="607">
        <f>IFERROR(Y51/H51,"0")+IFERROR(Y52/H52,"0")+IFERROR(Y53/H53,"0")+IFERROR(Y54/H54,"0")</f>
        <v>0</v>
      </c>
      <c r="Z55" s="607">
        <f>IFERROR(IF(Z51="",0,Z51),"0")+IFERROR(IF(Z52="",0,Z52),"0")+IFERROR(IF(Z53="",0,Z53),"0")+IFERROR(IF(Z54="",0,Z54),"0")</f>
        <v>0</v>
      </c>
      <c r="AA55" s="608"/>
      <c r="AB55" s="608"/>
      <c r="AC55" s="608"/>
    </row>
    <row r="56" spans="1:68" hidden="1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0</v>
      </c>
      <c r="Y56" s="607">
        <f>IFERROR(SUM(Y51:Y54),"0")</f>
        <v>0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6</v>
      </c>
      <c r="Y59" s="606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6.2196428571428575</v>
      </c>
      <c r="BN59" s="64">
        <f t="shared" ref="BN59:BN66" si="2">IFERROR(Y59*I59/H59,"0")</f>
        <v>11.61</v>
      </c>
      <c r="BO59" s="64">
        <f t="shared" ref="BO59:BO66" si="3">IFERROR(1/J59*(X59/H59),"0")</f>
        <v>8.370535714285714E-3</v>
      </c>
      <c r="BP59" s="64">
        <f t="shared" ref="BP59:BP66" si="4">IFERROR(1/J59*(Y59/H59),"0")</f>
        <v>1.5625E-2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19</v>
      </c>
      <c r="Y64" s="606">
        <f t="shared" si="0"/>
        <v>20</v>
      </c>
      <c r="Z64" s="36">
        <f>IFERROR(IF(Y64=0,"",ROUNDUP(Y64/H64,0)*0.00902),"")</f>
        <v>4.5100000000000001E-2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19.902500000000003</v>
      </c>
      <c r="BN64" s="64">
        <f t="shared" si="2"/>
        <v>20.950000000000003</v>
      </c>
      <c r="BO64" s="64">
        <f t="shared" si="3"/>
        <v>3.5984848484848488E-2</v>
      </c>
      <c r="BP64" s="64">
        <f t="shared" si="4"/>
        <v>3.787878787878788E-2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11</v>
      </c>
      <c r="Y66" s="606">
        <f t="shared" si="0"/>
        <v>13.5</v>
      </c>
      <c r="Z66" s="36">
        <f>IFERROR(IF(Y66=0,"",ROUNDUP(Y66/H66,0)*0.00902),"")</f>
        <v>2.7060000000000001E-2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11.464444444444446</v>
      </c>
      <c r="BN66" s="64">
        <f t="shared" si="2"/>
        <v>14.07</v>
      </c>
      <c r="BO66" s="64">
        <f t="shared" si="3"/>
        <v>1.8518518518518521E-2</v>
      </c>
      <c r="BP66" s="64">
        <f t="shared" si="4"/>
        <v>2.2727272727272728E-2</v>
      </c>
    </row>
    <row r="67" spans="1:68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7.7301587301587302</v>
      </c>
      <c r="Y67" s="607">
        <f>IFERROR(Y59/H59,"0")+IFERROR(Y60/H60,"0")+IFERROR(Y61/H61,"0")+IFERROR(Y62/H62,"0")+IFERROR(Y63/H63,"0")+IFERROR(Y64/H64,"0")+IFERROR(Y65/H65,"0")+IFERROR(Y66/H66,"0")</f>
        <v>9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9.1139999999999999E-2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36</v>
      </c>
      <c r="Y68" s="607">
        <f>IFERROR(SUM(Y59:Y66),"0")</f>
        <v>44.7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62</v>
      </c>
      <c r="Y70" s="606">
        <f>IFERROR(IF(X70="",0,CEILING((X70/$H70),1)*$H70),"")</f>
        <v>64.800000000000011</v>
      </c>
      <c r="Z70" s="36">
        <f>IFERROR(IF(Y70=0,"",ROUNDUP(Y70/H70,0)*0.01898),"")</f>
        <v>0.11388000000000001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64.353703703703715</v>
      </c>
      <c r="BN70" s="64">
        <f>IFERROR(Y70*I70/H70,"0")</f>
        <v>67.260000000000005</v>
      </c>
      <c r="BO70" s="64">
        <f>IFERROR(1/J70*(X70/H70),"0")</f>
        <v>8.969907407407407E-2</v>
      </c>
      <c r="BP70" s="64">
        <f>IFERROR(1/J70*(Y70/H70),"0")</f>
        <v>9.3750000000000014E-2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5.7407407407407405</v>
      </c>
      <c r="Y74" s="607">
        <f>IFERROR(Y70/H70,"0")+IFERROR(Y71/H71,"0")+IFERROR(Y72/H72,"0")+IFERROR(Y73/H73,"0")</f>
        <v>6.0000000000000009</v>
      </c>
      <c r="Z74" s="607">
        <f>IFERROR(IF(Z70="",0,Z70),"0")+IFERROR(IF(Z71="",0,Z71),"0")+IFERROR(IF(Z72="",0,Z72),"0")+IFERROR(IF(Z73="",0,Z73),"0")</f>
        <v>0.11388000000000001</v>
      </c>
      <c r="AA74" s="608"/>
      <c r="AB74" s="608"/>
      <c r="AC74" s="608"/>
    </row>
    <row r="75" spans="1:68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62</v>
      </c>
      <c r="Y75" s="607">
        <f>IFERROR(SUM(Y70:Y73),"0")</f>
        <v>64.800000000000011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hidden="1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124</v>
      </c>
      <c r="Y88" s="606">
        <f>IFERROR(IF(X88="",0,CEILING((X88/$H88),1)*$H88),"")</f>
        <v>129.60000000000002</v>
      </c>
      <c r="Z88" s="36">
        <f>IFERROR(IF(Y88=0,"",ROUNDUP(Y88/H88,0)*0.01898),"")</f>
        <v>0.22776000000000002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128.70740740740743</v>
      </c>
      <c r="BN88" s="64">
        <f>IFERROR(Y88*I88/H88,"0")</f>
        <v>134.52000000000001</v>
      </c>
      <c r="BO88" s="64">
        <f>IFERROR(1/J88*(X88/H88),"0")</f>
        <v>0.17939814814814814</v>
      </c>
      <c r="BP88" s="64">
        <f>IFERROR(1/J88*(Y88/H88),"0")</f>
        <v>0.18750000000000003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74</v>
      </c>
      <c r="Y91" s="606">
        <f>IFERROR(IF(X91="",0,CEILING((X91/$H91),1)*$H91),"")</f>
        <v>76.5</v>
      </c>
      <c r="Z91" s="36">
        <f>IFERROR(IF(Y91=0,"",ROUNDUP(Y91/H91,0)*0.00902),"")</f>
        <v>0.15334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77.12444444444445</v>
      </c>
      <c r="BN91" s="64">
        <f>IFERROR(Y91*I91/H91,"0")</f>
        <v>79.73</v>
      </c>
      <c r="BO91" s="64">
        <f>IFERROR(1/J91*(X91/H91),"0")</f>
        <v>0.12457912457912457</v>
      </c>
      <c r="BP91" s="64">
        <f>IFERROR(1/J91*(Y91/H91),"0")</f>
        <v>0.12878787878787878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27.925925925925924</v>
      </c>
      <c r="Y92" s="607">
        <f>IFERROR(Y88/H88,"0")+IFERROR(Y89/H89,"0")+IFERROR(Y90/H90,"0")+IFERROR(Y91/H91,"0")</f>
        <v>29</v>
      </c>
      <c r="Z92" s="607">
        <f>IFERROR(IF(Z88="",0,Z88),"0")+IFERROR(IF(Z89="",0,Z89),"0")+IFERROR(IF(Z90="",0,Z90),"0")+IFERROR(IF(Z91="",0,Z91),"0")</f>
        <v>0.38109999999999999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198</v>
      </c>
      <c r="Y93" s="607">
        <f>IFERROR(SUM(Y88:Y91),"0")</f>
        <v>206.10000000000002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332</v>
      </c>
      <c r="Y95" s="606">
        <f>IFERROR(IF(X95="",0,CEILING((X95/$H95),1)*$H95),"")</f>
        <v>332.09999999999997</v>
      </c>
      <c r="Z95" s="36">
        <f>IFERROR(IF(Y95=0,"",ROUNDUP(Y95/H95,0)*0.01898),"")</f>
        <v>0.77817999999999998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352.24790123456785</v>
      </c>
      <c r="BN95" s="64">
        <f>IFERROR(Y95*I95/H95,"0")</f>
        <v>352.35399999999993</v>
      </c>
      <c r="BO95" s="64">
        <f>IFERROR(1/J95*(X95/H95),"0")</f>
        <v>0.64043209876543217</v>
      </c>
      <c r="BP95" s="64">
        <f>IFERROR(1/J95*(Y95/H95),"0")</f>
        <v>0.640625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96</v>
      </c>
      <c r="Y97" s="606">
        <f>IFERROR(IF(X97="",0,CEILING((X97/$H97),1)*$H97),"")</f>
        <v>97.2</v>
      </c>
      <c r="Z97" s="36">
        <f>IFERROR(IF(Y97=0,"",ROUNDUP(Y97/H97,0)*0.00651),"")</f>
        <v>0.23436000000000001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104.96</v>
      </c>
      <c r="BN97" s="64">
        <f>IFERROR(Y97*I97/H97,"0")</f>
        <v>106.27199999999999</v>
      </c>
      <c r="BO97" s="64">
        <f>IFERROR(1/J97*(X97/H97),"0")</f>
        <v>0.19536019536019533</v>
      </c>
      <c r="BP97" s="64">
        <f>IFERROR(1/J97*(Y97/H97),"0")</f>
        <v>0.19780219780219782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76.543209876543216</v>
      </c>
      <c r="Y99" s="607">
        <f>IFERROR(Y95/H95,"0")+IFERROR(Y96/H96,"0")+IFERROR(Y97/H97,"0")+IFERROR(Y98/H98,"0")</f>
        <v>77</v>
      </c>
      <c r="Z99" s="607">
        <f>IFERROR(IF(Z95="",0,Z95),"0")+IFERROR(IF(Z96="",0,Z96),"0")+IFERROR(IF(Z97="",0,Z97),"0")+IFERROR(IF(Z98="",0,Z98),"0")</f>
        <v>1.01254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428</v>
      </c>
      <c r="Y100" s="607">
        <f>IFERROR(SUM(Y95:Y98),"0")</f>
        <v>429.29999999999995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73</v>
      </c>
      <c r="Y103" s="606">
        <f t="shared" ref="Y103:Y108" si="5">IFERROR(IF(X103="",0,CEILING((X103/$H103),1)*$H103),"")</f>
        <v>75.600000000000009</v>
      </c>
      <c r="Z103" s="36">
        <f>IFERROR(IF(Y103=0,"",ROUNDUP(Y103/H103,0)*0.01898),"")</f>
        <v>0.13286000000000001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75.771296296296299</v>
      </c>
      <c r="BN103" s="64">
        <f t="shared" ref="BN103:BN108" si="7">IFERROR(Y103*I103/H103,"0")</f>
        <v>78.47</v>
      </c>
      <c r="BO103" s="64">
        <f t="shared" ref="BO103:BO108" si="8">IFERROR(1/J103*(X103/H103),"0")</f>
        <v>0.10561342592592592</v>
      </c>
      <c r="BP103" s="64">
        <f t="shared" ref="BP103:BP108" si="9">IFERROR(1/J103*(Y103/H103),"0")</f>
        <v>0.109375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6.7592592592592586</v>
      </c>
      <c r="Y109" s="607">
        <f>IFERROR(Y103/H103,"0")+IFERROR(Y104/H104,"0")+IFERROR(Y105/H105,"0")+IFERROR(Y106/H106,"0")+IFERROR(Y107/H107,"0")+IFERROR(Y108/H108,"0")</f>
        <v>7</v>
      </c>
      <c r="Z109" s="607">
        <f>IFERROR(IF(Z103="",0,Z103),"0")+IFERROR(IF(Z104="",0,Z104),"0")+IFERROR(IF(Z105="",0,Z105),"0")+IFERROR(IF(Z106="",0,Z106),"0")+IFERROR(IF(Z107="",0,Z107),"0")+IFERROR(IF(Z108="",0,Z108),"0")</f>
        <v>0.13286000000000001</v>
      </c>
      <c r="AA109" s="608"/>
      <c r="AB109" s="608"/>
      <c r="AC109" s="608"/>
    </row>
    <row r="110" spans="1:68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73</v>
      </c>
      <c r="Y110" s="607">
        <f>IFERROR(SUM(Y103:Y108),"0")</f>
        <v>75.600000000000009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22</v>
      </c>
      <c r="Y112" s="606">
        <f t="shared" ref="Y112:Y118" si="10">IFERROR(IF(X112="",0,CEILING((X112/$H112),1)*$H112),"")</f>
        <v>32.400000000000006</v>
      </c>
      <c r="Z112" s="36">
        <f>IFERROR(IF(Y112=0,"",ROUNDUP(Y112/H112,0)*0.01898),"")</f>
        <v>5.6940000000000004E-2</v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22.835185185185185</v>
      </c>
      <c r="BN112" s="64">
        <f t="shared" ref="BN112:BN118" si="12">IFERROR(Y112*I112/H112,"0")</f>
        <v>33.630000000000003</v>
      </c>
      <c r="BO112" s="64">
        <f t="shared" ref="BO112:BO118" si="13">IFERROR(1/J112*(X112/H112),"0")</f>
        <v>3.1828703703703699E-2</v>
      </c>
      <c r="BP112" s="64">
        <f t="shared" ref="BP112:BP118" si="14">IFERROR(1/J112*(Y112/H112),"0")</f>
        <v>4.6875000000000007E-2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hidden="1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2.0370370370370368</v>
      </c>
      <c r="Y119" s="607">
        <f>IFERROR(Y112/H112,"0")+IFERROR(Y113/H113,"0")+IFERROR(Y114/H114,"0")+IFERROR(Y115/H115,"0")+IFERROR(Y116/H116,"0")+IFERROR(Y117/H117,"0")+IFERROR(Y118/H118,"0")</f>
        <v>3.0000000000000004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5.6940000000000004E-2</v>
      </c>
      <c r="AA119" s="608"/>
      <c r="AB119" s="608"/>
      <c r="AC119" s="608"/>
    </row>
    <row r="120" spans="1:68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22</v>
      </c>
      <c r="Y120" s="607">
        <f>IFERROR(SUM(Y112:Y118),"0")</f>
        <v>32.400000000000006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362</v>
      </c>
      <c r="Y122" s="606">
        <f>IFERROR(IF(X122="",0,CEILING((X122/$H122),1)*$H122),"")</f>
        <v>364.5</v>
      </c>
      <c r="Z122" s="36">
        <f>IFERROR(IF(Y122=0,"",ROUNDUP(Y122/H122,0)*0.01898),"")</f>
        <v>0.85409999999999997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383.80938271604936</v>
      </c>
      <c r="BN122" s="64">
        <f>IFERROR(Y122*I122/H122,"0")</f>
        <v>386.46</v>
      </c>
      <c r="BO122" s="64">
        <f>IFERROR(1/J122*(X122/H122),"0")</f>
        <v>0.69830246913580252</v>
      </c>
      <c r="BP122" s="64">
        <f>IFERROR(1/J122*(Y122/H122),"0")</f>
        <v>0.703125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121</v>
      </c>
      <c r="Y124" s="606">
        <f>IFERROR(IF(X124="",0,CEILING((X124/$H124),1)*$H124),"")</f>
        <v>121.50000000000001</v>
      </c>
      <c r="Z124" s="36">
        <f>IFERROR(IF(Y124=0,"",ROUNDUP(Y124/H124,0)*0.00651),"")</f>
        <v>0.29294999999999999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132.29333333333332</v>
      </c>
      <c r="BN124" s="64">
        <f>IFERROR(Y124*I124/H124,"0")</f>
        <v>132.84</v>
      </c>
      <c r="BO124" s="64">
        <f>IFERROR(1/J124*(X124/H124),"0")</f>
        <v>0.24623524623524623</v>
      </c>
      <c r="BP124" s="64">
        <f>IFERROR(1/J124*(Y124/H124),"0")</f>
        <v>0.24725274725274726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89.506172839506178</v>
      </c>
      <c r="Y126" s="607">
        <f>IFERROR(Y122/H122,"0")+IFERROR(Y123/H123,"0")+IFERROR(Y124/H124,"0")+IFERROR(Y125/H125,"0")</f>
        <v>90</v>
      </c>
      <c r="Z126" s="607">
        <f>IFERROR(IF(Z122="",0,Z122),"0")+IFERROR(IF(Z123="",0,Z123),"0")+IFERROR(IF(Z124="",0,Z124),"0")+IFERROR(IF(Z125="",0,Z125),"0")</f>
        <v>1.1470499999999999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483</v>
      </c>
      <c r="Y127" s="607">
        <f>IFERROR(SUM(Y122:Y125),"0")</f>
        <v>486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hidden="1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hidden="1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14</v>
      </c>
      <c r="Y134" s="606">
        <f>IFERROR(IF(X134="",0,CEILING((X134/$H134),1)*$H134),"")</f>
        <v>16</v>
      </c>
      <c r="Z134" s="36">
        <f>IFERROR(IF(Y134=0,"",ROUNDUP(Y134/H134,0)*0.00651),"")</f>
        <v>3.2550000000000003E-2</v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14.7875</v>
      </c>
      <c r="BN134" s="64">
        <f>IFERROR(Y134*I134/H134,"0")</f>
        <v>16.899999999999999</v>
      </c>
      <c r="BO134" s="64">
        <f>IFERROR(1/J134*(X134/H134),"0")</f>
        <v>2.403846153846154E-2</v>
      </c>
      <c r="BP134" s="64">
        <f>IFERROR(1/J134*(Y134/H134),"0")</f>
        <v>2.7472527472527476E-2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4.375</v>
      </c>
      <c r="Y136" s="607">
        <f>IFERROR(Y134/H134,"0")+IFERROR(Y135/H135,"0")</f>
        <v>5</v>
      </c>
      <c r="Z136" s="607">
        <f>IFERROR(IF(Z134="",0,Z134),"0")+IFERROR(IF(Z135="",0,Z135),"0")</f>
        <v>3.2550000000000003E-2</v>
      </c>
      <c r="AA136" s="608"/>
      <c r="AB136" s="608"/>
      <c r="AC136" s="608"/>
    </row>
    <row r="137" spans="1:68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14</v>
      </c>
      <c r="Y137" s="607">
        <f>IFERROR(SUM(Y134:Y135),"0")</f>
        <v>16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hidden="1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hidden="1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hidden="1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hidden="1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hidden="1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hidden="1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163</v>
      </c>
      <c r="Y167" s="606">
        <f t="shared" ref="Y167:Y177" si="15">IFERROR(IF(X167="",0,CEILING((X167/$H167),1)*$H167),"")</f>
        <v>164.5</v>
      </c>
      <c r="Z167" s="36">
        <f>IFERROR(IF(Y167=0,"",ROUNDUP(Y167/H167,0)*0.00902),"")</f>
        <v>0.42393999999999998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171.84857142857143</v>
      </c>
      <c r="BN167" s="64">
        <f t="shared" ref="BN167:BN177" si="17">IFERROR(Y167*I167/H167,"0")</f>
        <v>173.43</v>
      </c>
      <c r="BO167" s="64">
        <f t="shared" ref="BO167:BO177" si="18">IFERROR(1/J167*(X167/H167),"0")</f>
        <v>0.3528138528138528</v>
      </c>
      <c r="BP167" s="64">
        <f t="shared" ref="BP167:BP177" si="19">IFERROR(1/J167*(Y167/H167),"0")</f>
        <v>0.35606060606060608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165</v>
      </c>
      <c r="Y169" s="606">
        <f t="shared" si="15"/>
        <v>168</v>
      </c>
      <c r="Z169" s="36">
        <f>IFERROR(IF(Y169=0,"",ROUNDUP(Y169/H169,0)*0.00902),"")</f>
        <v>0.43296000000000001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173.95714285714286</v>
      </c>
      <c r="BN169" s="64">
        <f t="shared" si="17"/>
        <v>177.11999999999998</v>
      </c>
      <c r="BO169" s="64">
        <f t="shared" si="18"/>
        <v>0.35714285714285715</v>
      </c>
      <c r="BP169" s="64">
        <f t="shared" si="19"/>
        <v>0.36363636363636365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92</v>
      </c>
      <c r="Y170" s="606">
        <f t="shared" si="15"/>
        <v>94.5</v>
      </c>
      <c r="Z170" s="36">
        <f>IFERROR(IF(Y170=0,"",ROUNDUP(Y170/H170,0)*0.00902),"")</f>
        <v>0.24354000000000001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96.994285714285724</v>
      </c>
      <c r="BN170" s="64">
        <f t="shared" si="17"/>
        <v>99.63</v>
      </c>
      <c r="BO170" s="64">
        <f t="shared" si="18"/>
        <v>0.19913419913419914</v>
      </c>
      <c r="BP170" s="64">
        <f t="shared" si="19"/>
        <v>0.20454545454545456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80</v>
      </c>
      <c r="Y172" s="606">
        <f t="shared" si="15"/>
        <v>80.64</v>
      </c>
      <c r="Z172" s="36">
        <f>IFERROR(IF(Y172=0,"",ROUNDUP(Y172/H172,0)*0.00502),"")</f>
        <v>0.24096000000000001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84.761904761904773</v>
      </c>
      <c r="BN172" s="64">
        <f t="shared" si="17"/>
        <v>85.44</v>
      </c>
      <c r="BO172" s="64">
        <f t="shared" si="18"/>
        <v>0.20350020350020354</v>
      </c>
      <c r="BP172" s="64">
        <f t="shared" si="19"/>
        <v>0.20512820512820515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29</v>
      </c>
      <c r="Y177" s="606">
        <f t="shared" si="15"/>
        <v>30.24</v>
      </c>
      <c r="Z177" s="36">
        <f>IFERROR(IF(Y177=0,"",ROUNDUP(Y177/H177,0)*0.00502),"")</f>
        <v>9.0359999999999996E-2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30.726190476190474</v>
      </c>
      <c r="BN177" s="64">
        <f t="shared" si="17"/>
        <v>32.04</v>
      </c>
      <c r="BO177" s="64">
        <f t="shared" si="18"/>
        <v>7.376882376882378E-2</v>
      </c>
      <c r="BP177" s="64">
        <f t="shared" si="19"/>
        <v>7.6923076923076927E-2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184.88095238095238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188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1.4317600000000001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529</v>
      </c>
      <c r="Y179" s="607">
        <f>IFERROR(SUM(Y167:Y177),"0")</f>
        <v>537.88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hidden="1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153</v>
      </c>
      <c r="Y213" s="606">
        <f t="shared" ref="Y213:Y226" si="26">IFERROR(IF(X213="",0,CEILING((X213/$H213),1)*$H213),"")</f>
        <v>155.4</v>
      </c>
      <c r="Z213" s="36">
        <f>IFERROR(IF(Y213=0,"",ROUNDUP(Y213/H213,0)*0.00902),"")</f>
        <v>0.33374000000000004</v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162.10714285714286</v>
      </c>
      <c r="BN213" s="64">
        <f t="shared" ref="BN213:BN226" si="28">IFERROR(Y213*I213/H213,"0")</f>
        <v>164.65</v>
      </c>
      <c r="BO213" s="64">
        <f t="shared" ref="BO213:BO226" si="29">IFERROR(1/J213*(X213/H213),"0")</f>
        <v>0.27597402597402593</v>
      </c>
      <c r="BP213" s="64">
        <f t="shared" ref="BP213:BP226" si="30">IFERROR(1/J213*(Y213/H213),"0")</f>
        <v>0.28030303030303033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135</v>
      </c>
      <c r="Y215" s="606">
        <f t="shared" si="26"/>
        <v>138.6</v>
      </c>
      <c r="Z215" s="36">
        <f>IFERROR(IF(Y215=0,"",ROUNDUP(Y215/H215,0)*0.00902),"")</f>
        <v>0.29766000000000004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141.10714285714283</v>
      </c>
      <c r="BN215" s="64">
        <f t="shared" si="28"/>
        <v>144.86999999999998</v>
      </c>
      <c r="BO215" s="64">
        <f t="shared" si="29"/>
        <v>0.24350649350649348</v>
      </c>
      <c r="BP215" s="64">
        <f t="shared" si="30"/>
        <v>0.25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8</v>
      </c>
      <c r="Y216" s="606">
        <f t="shared" si="26"/>
        <v>8</v>
      </c>
      <c r="Z216" s="36">
        <f>IFERROR(IF(Y216=0,"",ROUNDUP(Y216/H216,0)*0.00556),"")</f>
        <v>5.5599999999999997E-2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9.3000000000000007</v>
      </c>
      <c r="BN216" s="64">
        <f t="shared" si="28"/>
        <v>9.3000000000000007</v>
      </c>
      <c r="BO216" s="64">
        <f t="shared" si="29"/>
        <v>3.968253968253968E-2</v>
      </c>
      <c r="BP216" s="64">
        <f t="shared" si="30"/>
        <v>3.968253968253968E-2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83</v>
      </c>
      <c r="Y222" s="606">
        <f t="shared" si="26"/>
        <v>84.600000000000009</v>
      </c>
      <c r="Z222" s="36">
        <f t="shared" si="31"/>
        <v>0.23594000000000001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88.99444444444444</v>
      </c>
      <c r="BN222" s="64">
        <f t="shared" si="28"/>
        <v>90.710000000000008</v>
      </c>
      <c r="BO222" s="64">
        <f t="shared" si="29"/>
        <v>0.19705603038936373</v>
      </c>
      <c r="BP222" s="64">
        <f t="shared" si="30"/>
        <v>0.20085470085470092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5</v>
      </c>
      <c r="Y223" s="606">
        <f t="shared" si="26"/>
        <v>5.6000000000000005</v>
      </c>
      <c r="Z223" s="36">
        <f>IFERROR(IF(Y223=0,"",ROUNDUP(Y223/H223,0)*0.00417),"")</f>
        <v>2.9190000000000001E-2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6.3124999999999991</v>
      </c>
      <c r="BN223" s="64">
        <f t="shared" si="28"/>
        <v>7.07</v>
      </c>
      <c r="BO223" s="64">
        <f t="shared" si="29"/>
        <v>1.8601190476190476E-2</v>
      </c>
      <c r="BP223" s="64">
        <f t="shared" si="30"/>
        <v>2.0833333333333332E-2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55</v>
      </c>
      <c r="Y224" s="606">
        <f t="shared" si="26"/>
        <v>56.7</v>
      </c>
      <c r="Z224" s="36">
        <f>IFERROR(IF(Y224=0,"",ROUNDUP(Y224/H224,0)*0.00502),"")</f>
        <v>0.13553999999999999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57.61904761904762</v>
      </c>
      <c r="BN224" s="64">
        <f t="shared" si="28"/>
        <v>59.400000000000006</v>
      </c>
      <c r="BO224" s="64">
        <f t="shared" si="29"/>
        <v>0.11192511192511194</v>
      </c>
      <c r="BP224" s="64">
        <f t="shared" si="30"/>
        <v>0.11538461538461539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157.12301587301585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161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1.0876700000000001</v>
      </c>
      <c r="AA227" s="608"/>
      <c r="AB227" s="608"/>
      <c r="AC227" s="608"/>
    </row>
    <row r="228" spans="1:68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439</v>
      </c>
      <c r="Y228" s="607">
        <f>IFERROR(SUM(Y213:Y226),"0")</f>
        <v>448.90000000000003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5</v>
      </c>
      <c r="Y239" s="606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5.753968253968254</v>
      </c>
      <c r="BN239" s="64">
        <f>IFERROR(Y239*I239/H239,"0")</f>
        <v>5.8</v>
      </c>
      <c r="BO239" s="64">
        <f>IFERROR(1/J239*(X239/H239),"0")</f>
        <v>1.8371546149323927E-2</v>
      </c>
      <c r="BP239" s="64">
        <f>IFERROR(1/J239*(Y239/H239),"0")</f>
        <v>1.8518518518518517E-2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5</v>
      </c>
      <c r="Y240" s="606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5.753968253968254</v>
      </c>
      <c r="BN240" s="64">
        <f>IFERROR(Y240*I240/H240,"0")</f>
        <v>5.8</v>
      </c>
      <c r="BO240" s="64">
        <f>IFERROR(1/J240*(X240/H240),"0")</f>
        <v>1.8371546149323927E-2</v>
      </c>
      <c r="BP240" s="64">
        <f>IFERROR(1/J240*(Y240/H240),"0")</f>
        <v>1.8518518518518517E-2</v>
      </c>
    </row>
    <row r="241" spans="1:68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7.9365079365079367</v>
      </c>
      <c r="Y241" s="607">
        <f>IFERROR(Y238/H238,"0")+IFERROR(Y239/H239,"0")+IFERROR(Y240/H240,"0")</f>
        <v>8</v>
      </c>
      <c r="Z241" s="607">
        <f>IFERROR(IF(Z238="",0,Z238),"0")+IFERROR(IF(Z239="",0,Z239),"0")+IFERROR(IF(Z240="",0,Z240),"0")</f>
        <v>4.7199999999999999E-2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10</v>
      </c>
      <c r="Y242" s="607">
        <f>IFERROR(SUM(Y238:Y240),"0")</f>
        <v>10.08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198</v>
      </c>
      <c r="Y259" s="606">
        <f t="shared" ref="Y259:Y266" si="32">IFERROR(IF(X259="",0,CEILING((X259/$H259),1)*$H259),"")</f>
        <v>199.8</v>
      </c>
      <c r="Z259" s="36">
        <f>IFERROR(IF(Y259=0,"",ROUNDUP(Y259/H259,0)*0.00902),"")</f>
        <v>0.33374000000000004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204.96666666666664</v>
      </c>
      <c r="BN259" s="64">
        <f t="shared" ref="BN259:BN266" si="34">IFERROR(Y259*I259/H259,"0")</f>
        <v>206.82999999999998</v>
      </c>
      <c r="BO259" s="64">
        <f t="shared" ref="BO259:BO266" si="35">IFERROR(1/J259*(X259/H259),"0")</f>
        <v>0.27777777777777779</v>
      </c>
      <c r="BP259" s="64">
        <f t="shared" ref="BP259:BP266" si="36">IFERROR(1/J259*(Y259/H259),"0")</f>
        <v>0.28030303030303033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186</v>
      </c>
      <c r="Y260" s="606">
        <f t="shared" si="32"/>
        <v>189</v>
      </c>
      <c r="Z260" s="36">
        <f>IFERROR(IF(Y260=0,"",ROUNDUP(Y260/H260,0)*0.00902),"")</f>
        <v>0.31569999999999998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192.54444444444442</v>
      </c>
      <c r="BN260" s="64">
        <f t="shared" si="34"/>
        <v>195.64999999999998</v>
      </c>
      <c r="BO260" s="64">
        <f t="shared" si="35"/>
        <v>0.26094276094276092</v>
      </c>
      <c r="BP260" s="64">
        <f t="shared" si="36"/>
        <v>0.26515151515151514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141</v>
      </c>
      <c r="Y262" s="606">
        <f t="shared" si="32"/>
        <v>145.80000000000001</v>
      </c>
      <c r="Z262" s="36">
        <f>IFERROR(IF(Y262=0,"",ROUNDUP(Y262/H262,0)*0.00902),"")</f>
        <v>0.24354000000000001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145.96111111111108</v>
      </c>
      <c r="BN262" s="64">
        <f t="shared" si="34"/>
        <v>150.93</v>
      </c>
      <c r="BO262" s="64">
        <f t="shared" si="35"/>
        <v>0.19781144781144783</v>
      </c>
      <c r="BP262" s="64">
        <f t="shared" si="36"/>
        <v>0.20454545454545456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31</v>
      </c>
      <c r="Y263" s="606">
        <f t="shared" si="32"/>
        <v>32.4</v>
      </c>
      <c r="Z263" s="36">
        <f>IFERROR(IF(Y263=0,"",ROUNDUP(Y263/H263,0)*0.00502),"")</f>
        <v>9.0359999999999996E-2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33.238888888888887</v>
      </c>
      <c r="BN263" s="64">
        <f t="shared" si="34"/>
        <v>34.739999999999995</v>
      </c>
      <c r="BO263" s="64">
        <f t="shared" si="35"/>
        <v>7.3599240265906932E-2</v>
      </c>
      <c r="BP263" s="64">
        <f t="shared" si="36"/>
        <v>7.6923076923076927E-2</v>
      </c>
    </row>
    <row r="264" spans="1:68" ht="27" hidden="1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35</v>
      </c>
      <c r="Y266" s="606">
        <f t="shared" si="32"/>
        <v>36</v>
      </c>
      <c r="Z266" s="36">
        <f>IFERROR(IF(Y266=0,"",ROUNDUP(Y266/H266,0)*0.00502),"")</f>
        <v>0.1004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36.944444444444443</v>
      </c>
      <c r="BN266" s="64">
        <f t="shared" si="34"/>
        <v>37.999999999999993</v>
      </c>
      <c r="BO266" s="64">
        <f t="shared" si="35"/>
        <v>8.3095916429249767E-2</v>
      </c>
      <c r="BP266" s="64">
        <f t="shared" si="36"/>
        <v>8.5470085470085472E-2</v>
      </c>
    </row>
    <row r="267" spans="1:68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133.88888888888891</v>
      </c>
      <c r="Y267" s="607">
        <f>IFERROR(Y259/H259,"0")+IFERROR(Y260/H260,"0")+IFERROR(Y261/H261,"0")+IFERROR(Y262/H262,"0")+IFERROR(Y263/H263,"0")+IFERROR(Y264/H264,"0")+IFERROR(Y265/H265,"0")+IFERROR(Y266/H266,"0")</f>
        <v>137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1.0837399999999999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591</v>
      </c>
      <c r="Y268" s="607">
        <f>IFERROR(SUM(Y259:Y266),"0")</f>
        <v>603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8</v>
      </c>
      <c r="Y270" s="606">
        <f t="shared" ref="Y270:Y281" si="37">IFERROR(IF(X270="",0,CEILING((X270/$H270),1)*$H270),"")</f>
        <v>8.1</v>
      </c>
      <c r="Z270" s="36">
        <f>IFERROR(IF(Y270=0,"",ROUNDUP(Y270/H270,0)*0.01898),"")</f>
        <v>1.898E-2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8.4879012345679019</v>
      </c>
      <c r="BN270" s="64">
        <f t="shared" ref="BN270:BN281" si="39">IFERROR(Y270*I270/H270,"0")</f>
        <v>8.5939999999999994</v>
      </c>
      <c r="BO270" s="64">
        <f t="shared" ref="BO270:BO281" si="40">IFERROR(1/J270*(X270/H270),"0")</f>
        <v>1.54320987654321E-2</v>
      </c>
      <c r="BP270" s="64">
        <f t="shared" ref="BP270:BP281" si="41">IFERROR(1/J270*(Y270/H270),"0")</f>
        <v>1.5625E-2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124</v>
      </c>
      <c r="Y273" s="606">
        <f t="shared" si="37"/>
        <v>124.8</v>
      </c>
      <c r="Z273" s="36">
        <f>IFERROR(IF(Y273=0,"",ROUNDUP(Y273/H273,0)*0.00651),"")</f>
        <v>0.33851999999999999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137.94999999999999</v>
      </c>
      <c r="BN273" s="64">
        <f t="shared" si="39"/>
        <v>138.84</v>
      </c>
      <c r="BO273" s="64">
        <f t="shared" si="40"/>
        <v>0.28388278388278393</v>
      </c>
      <c r="BP273" s="64">
        <f t="shared" si="41"/>
        <v>0.28571428571428575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150</v>
      </c>
      <c r="Y276" s="606">
        <f t="shared" si="37"/>
        <v>151.19999999999999</v>
      </c>
      <c r="Z276" s="36">
        <f>IFERROR(IF(Y276=0,"",ROUNDUP(Y276/H276,0)*0.00651),"")</f>
        <v>0.41012999999999999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165.75</v>
      </c>
      <c r="BN276" s="64">
        <f t="shared" si="39"/>
        <v>167.07599999999999</v>
      </c>
      <c r="BO276" s="64">
        <f t="shared" si="40"/>
        <v>0.34340659340659341</v>
      </c>
      <c r="BP276" s="64">
        <f t="shared" si="41"/>
        <v>0.3461538461538462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163</v>
      </c>
      <c r="Y278" s="606">
        <f t="shared" si="37"/>
        <v>163.19999999999999</v>
      </c>
      <c r="Z278" s="36">
        <f>IFERROR(IF(Y278=0,"",ROUNDUP(Y278/H278,0)*0.00651),"")</f>
        <v>0.44268000000000002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180.11500000000001</v>
      </c>
      <c r="BN278" s="64">
        <f t="shared" si="39"/>
        <v>180.33600000000001</v>
      </c>
      <c r="BO278" s="64">
        <f t="shared" si="40"/>
        <v>0.37316849816849823</v>
      </c>
      <c r="BP278" s="64">
        <f t="shared" si="41"/>
        <v>0.37362637362637363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128</v>
      </c>
      <c r="Y279" s="606">
        <f t="shared" si="37"/>
        <v>129.6</v>
      </c>
      <c r="Z279" s="36">
        <f>IFERROR(IF(Y279=0,"",ROUNDUP(Y279/H279,0)*0.00651),"")</f>
        <v>0.35154000000000002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141.44000000000003</v>
      </c>
      <c r="BN279" s="64">
        <f t="shared" si="39"/>
        <v>143.20800000000003</v>
      </c>
      <c r="BO279" s="64">
        <f t="shared" si="40"/>
        <v>0.29304029304029305</v>
      </c>
      <c r="BP279" s="64">
        <f t="shared" si="41"/>
        <v>0.2967032967032967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87</v>
      </c>
      <c r="Y280" s="606">
        <f t="shared" si="37"/>
        <v>88.8</v>
      </c>
      <c r="Z280" s="36">
        <f>IFERROR(IF(Y280=0,"",ROUNDUP(Y280/H280,0)*0.00651),"")</f>
        <v>0.24087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96.352499999999992</v>
      </c>
      <c r="BN280" s="64">
        <f t="shared" si="39"/>
        <v>98.346000000000004</v>
      </c>
      <c r="BO280" s="64">
        <f t="shared" si="40"/>
        <v>0.19917582417582419</v>
      </c>
      <c r="BP280" s="64">
        <f t="shared" si="41"/>
        <v>0.20329670329670332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272.65432098765439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275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1.8027199999999999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660</v>
      </c>
      <c r="Y283" s="607">
        <f>IFERROR(SUM(Y270:Y281),"0")</f>
        <v>665.69999999999993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hidden="1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hidden="1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hidden="1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hidden="1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hidden="1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66</v>
      </c>
      <c r="Y326" s="606">
        <f>IFERROR(IF(X326="",0,CEILING((X326/$H326),1)*$H326),"")</f>
        <v>67.2</v>
      </c>
      <c r="Z326" s="36">
        <f>IFERROR(IF(Y326=0,"",ROUNDUP(Y326/H326,0)*0.00651),"")</f>
        <v>0.18228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72.930000000000007</v>
      </c>
      <c r="BN326" s="64">
        <f>IFERROR(Y326*I326/H326,"0")</f>
        <v>74.256000000000014</v>
      </c>
      <c r="BO326" s="64">
        <f>IFERROR(1/J326*(X326/H326),"0")</f>
        <v>0.15109890109890112</v>
      </c>
      <c r="BP326" s="64">
        <f>IFERROR(1/J326*(Y326/H326),"0")</f>
        <v>0.15384615384615388</v>
      </c>
    </row>
    <row r="327" spans="1:68" ht="27" hidden="1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27.5</v>
      </c>
      <c r="Y328" s="607">
        <f>IFERROR(Y325/H325,"0")+IFERROR(Y326/H326,"0")+IFERROR(Y327/H327,"0")</f>
        <v>28.000000000000004</v>
      </c>
      <c r="Z328" s="607">
        <f>IFERROR(IF(Z325="",0,Z325),"0")+IFERROR(IF(Z326="",0,Z326),"0")+IFERROR(IF(Z327="",0,Z327),"0")</f>
        <v>0.18228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66</v>
      </c>
      <c r="Y329" s="607">
        <f>IFERROR(SUM(Y325:Y327),"0")</f>
        <v>67.2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151</v>
      </c>
      <c r="Y346" s="606">
        <f>IFERROR(IF(X346="",0,CEILING((X346/$H346),1)*$H346),"")</f>
        <v>156</v>
      </c>
      <c r="Z346" s="36">
        <f>IFERROR(IF(Y346=0,"",ROUNDUP(Y346/H346,0)*0.01898),"")</f>
        <v>0.37959999999999999</v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158.93717948717949</v>
      </c>
      <c r="BN346" s="64">
        <f>IFERROR(Y346*I346/H346,"0")</f>
        <v>164.20000000000005</v>
      </c>
      <c r="BO346" s="64">
        <f>IFERROR(1/J346*(X346/H346),"0")</f>
        <v>0.30248397435897434</v>
      </c>
      <c r="BP346" s="64">
        <f>IFERROR(1/J346*(Y346/H346),"0")</f>
        <v>0.3125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54</v>
      </c>
      <c r="Y347" s="606">
        <f>IFERROR(IF(X347="",0,CEILING((X347/$H347),1)*$H347),"")</f>
        <v>54.6</v>
      </c>
      <c r="Z347" s="36">
        <f>IFERROR(IF(Y347=0,"",ROUNDUP(Y347/H347,0)*0.01898),"")</f>
        <v>0.13286000000000001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56.838461538461544</v>
      </c>
      <c r="BN347" s="64">
        <f>IFERROR(Y347*I347/H347,"0")</f>
        <v>57.470000000000013</v>
      </c>
      <c r="BO347" s="64">
        <f>IFERROR(1/J347*(X347/H347),"0")</f>
        <v>0.10817307692307693</v>
      </c>
      <c r="BP347" s="64">
        <f>IFERROR(1/J347*(Y347/H347),"0")</f>
        <v>0.109375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26.282051282051281</v>
      </c>
      <c r="Y349" s="607">
        <f>IFERROR(Y346/H346,"0")+IFERROR(Y347/H347,"0")+IFERROR(Y348/H348,"0")</f>
        <v>27</v>
      </c>
      <c r="Z349" s="607">
        <f>IFERROR(IF(Z346="",0,Z346),"0")+IFERROR(IF(Z347="",0,Z347),"0")+IFERROR(IF(Z348="",0,Z348),"0")</f>
        <v>0.51246000000000003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205</v>
      </c>
      <c r="Y350" s="607">
        <f>IFERROR(SUM(Y346:Y348),"0")</f>
        <v>210.6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25</v>
      </c>
      <c r="Y361" s="606">
        <f t="shared" ref="Y361:Y367" si="47">IFERROR(IF(X361="",0,CEILING((X361/$H361),1)*$H361),"")</f>
        <v>25.200000000000003</v>
      </c>
      <c r="Z361" s="36">
        <f>IFERROR(IF(Y361=0,"",ROUNDUP(Y361/H361,0)*0.00902),"")</f>
        <v>5.4120000000000001E-2</v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26.488095238095237</v>
      </c>
      <c r="BN361" s="64">
        <f t="shared" ref="BN361:BN367" si="49">IFERROR(Y361*I361/H361,"0")</f>
        <v>26.700000000000003</v>
      </c>
      <c r="BO361" s="64">
        <f t="shared" ref="BO361:BO367" si="50">IFERROR(1/J361*(X361/H361),"0")</f>
        <v>4.5093795093795096E-2</v>
      </c>
      <c r="BP361" s="64">
        <f t="shared" ref="BP361:BP367" si="51">IFERROR(1/J361*(Y361/H361),"0")</f>
        <v>4.5454545454545456E-2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16</v>
      </c>
      <c r="Y367" s="606">
        <f t="shared" si="47"/>
        <v>16.2</v>
      </c>
      <c r="Z367" s="36">
        <f>IFERROR(IF(Y367=0,"",ROUNDUP(Y367/H367,0)*0.00651),"")</f>
        <v>5.8590000000000003E-2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18.026666666666667</v>
      </c>
      <c r="BN367" s="64">
        <f t="shared" si="49"/>
        <v>18.251999999999999</v>
      </c>
      <c r="BO367" s="64">
        <f t="shared" si="50"/>
        <v>4.8840048840048847E-2</v>
      </c>
      <c r="BP367" s="64">
        <f t="shared" si="51"/>
        <v>4.9450549450549455E-2</v>
      </c>
    </row>
    <row r="368" spans="1:68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14.841269841269842</v>
      </c>
      <c r="Y368" s="607">
        <f>IFERROR(Y361/H361,"0")+IFERROR(Y362/H362,"0")+IFERROR(Y363/H363,"0")+IFERROR(Y364/H364,"0")+IFERROR(Y365/H365,"0")+IFERROR(Y366/H366,"0")+IFERROR(Y367/H367,"0")</f>
        <v>15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0.11271</v>
      </c>
      <c r="AA368" s="608"/>
      <c r="AB368" s="608"/>
      <c r="AC368" s="608"/>
    </row>
    <row r="369" spans="1:68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41</v>
      </c>
      <c r="Y369" s="607">
        <f>IFERROR(SUM(Y361:Y367),"0")</f>
        <v>41.400000000000006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210</v>
      </c>
      <c r="Y378" s="606">
        <f>IFERROR(IF(X378="",0,CEILING((X378/$H378),1)*$H378),"")</f>
        <v>210</v>
      </c>
      <c r="Z378" s="36">
        <f>IFERROR(IF(Y378=0,"",ROUNDUP(Y378/H378,0)*0.01898),"")</f>
        <v>0.47450000000000003</v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222.35</v>
      </c>
      <c r="BN378" s="64">
        <f>IFERROR(Y378*I378/H378,"0")</f>
        <v>222.35</v>
      </c>
      <c r="BO378" s="64">
        <f>IFERROR(1/J378*(X378/H378),"0")</f>
        <v>0.390625</v>
      </c>
      <c r="BP378" s="64">
        <f>IFERROR(1/J378*(Y378/H378),"0")</f>
        <v>0.390625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199</v>
      </c>
      <c r="Y379" s="606">
        <f>IFERROR(IF(X379="",0,CEILING((X379/$H379),1)*$H379),"")</f>
        <v>202.79999999999998</v>
      </c>
      <c r="Z379" s="36">
        <f>IFERROR(IF(Y379=0,"",ROUNDUP(Y379/H379,0)*0.01898),"")</f>
        <v>0.49348000000000003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211.60333333333335</v>
      </c>
      <c r="BN379" s="64">
        <f>IFERROR(Y379*I379/H379,"0")</f>
        <v>215.64399999999998</v>
      </c>
      <c r="BO379" s="64">
        <f>IFERROR(1/J379*(X379/H379),"0")</f>
        <v>0.39863782051282054</v>
      </c>
      <c r="BP379" s="64">
        <f>IFERROR(1/J379*(Y379/H379),"0")</f>
        <v>0.40625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50.512820512820511</v>
      </c>
      <c r="Y381" s="607">
        <f>IFERROR(Y378/H378,"0")+IFERROR(Y379/H379,"0")+IFERROR(Y380/H380,"0")</f>
        <v>51</v>
      </c>
      <c r="Z381" s="607">
        <f>IFERROR(IF(Z378="",0,Z378),"0")+IFERROR(IF(Z379="",0,Z379),"0")+IFERROR(IF(Z380="",0,Z380),"0")</f>
        <v>0.96798000000000006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409</v>
      </c>
      <c r="Y382" s="607">
        <f>IFERROR(SUM(Y378:Y380),"0")</f>
        <v>412.79999999999995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26</v>
      </c>
      <c r="Y384" s="606">
        <f>IFERROR(IF(X384="",0,CEILING((X384/$H384),1)*$H384),"")</f>
        <v>27.36</v>
      </c>
      <c r="Z384" s="36">
        <f>IFERROR(IF(Y384=0,"",ROUNDUP(Y384/H384,0)*0.00902),"")</f>
        <v>8.1180000000000002E-2</v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28.309210526315791</v>
      </c>
      <c r="BN384" s="64">
        <f>IFERROR(Y384*I384/H384,"0")</f>
        <v>29.79</v>
      </c>
      <c r="BO384" s="64">
        <f>IFERROR(1/J384*(X384/H384),"0")</f>
        <v>6.4792663476873999E-2</v>
      </c>
      <c r="BP384" s="64">
        <f>IFERROR(1/J384*(Y384/H384),"0")</f>
        <v>6.8181818181818177E-2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4</v>
      </c>
      <c r="Y385" s="606">
        <f>IFERROR(IF(X385="",0,CEILING((X385/$H385),1)*$H385),"")</f>
        <v>6.08</v>
      </c>
      <c r="Z385" s="36">
        <f>IFERROR(IF(Y385=0,"",ROUNDUP(Y385/H385,0)*0.00902),"")</f>
        <v>1.804E-2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4.3026315789473681</v>
      </c>
      <c r="BN385" s="64">
        <f>IFERROR(Y385*I385/H385,"0")</f>
        <v>6.5399999999999991</v>
      </c>
      <c r="BO385" s="64">
        <f>IFERROR(1/J385*(X385/H385),"0")</f>
        <v>9.9681020733652318E-3</v>
      </c>
      <c r="BP385" s="64">
        <f>IFERROR(1/J385*(Y385/H385),"0")</f>
        <v>1.5151515151515152E-2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9.8684210526315788</v>
      </c>
      <c r="Y388" s="607">
        <f>IFERROR(Y384/H384,"0")+IFERROR(Y385/H385,"0")+IFERROR(Y386/H386,"0")+IFERROR(Y387/H387,"0")</f>
        <v>11</v>
      </c>
      <c r="Z388" s="607">
        <f>IFERROR(IF(Z384="",0,Z384),"0")+IFERROR(IF(Z385="",0,Z385),"0")+IFERROR(IF(Z386="",0,Z386),"0")+IFERROR(IF(Z387="",0,Z387),"0")</f>
        <v>9.9220000000000003E-2</v>
      </c>
      <c r="AA388" s="608"/>
      <c r="AB388" s="608"/>
      <c r="AC388" s="608"/>
    </row>
    <row r="389" spans="1:68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30</v>
      </c>
      <c r="Y389" s="607">
        <f>IFERROR(SUM(Y384:Y387),"0")</f>
        <v>33.44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3</v>
      </c>
      <c r="Y391" s="606">
        <f>IFERROR(IF(X391="",0,CEILING((X391/$H391),1)*$H391),"")</f>
        <v>4</v>
      </c>
      <c r="Z391" s="36">
        <f>IFERROR(IF(Y391=0,"",ROUNDUP(Y391/H391,0)*0.00474),"")</f>
        <v>9.4800000000000006E-3</v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3.3600000000000003</v>
      </c>
      <c r="BN391" s="64">
        <f>IFERROR(Y391*I391/H391,"0")</f>
        <v>4.4800000000000004</v>
      </c>
      <c r="BO391" s="64">
        <f>IFERROR(1/J391*(X391/H391),"0")</f>
        <v>6.3025210084033615E-3</v>
      </c>
      <c r="BP391" s="64">
        <f>IFERROR(1/J391*(Y391/H391),"0")</f>
        <v>8.4033613445378148E-3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2</v>
      </c>
      <c r="Y392" s="606">
        <f>IFERROR(IF(X392="",0,CEILING((X392/$H392),1)*$H392),"")</f>
        <v>2</v>
      </c>
      <c r="Z392" s="36">
        <f>IFERROR(IF(Y392=0,"",ROUNDUP(Y392/H392,0)*0.00474),"")</f>
        <v>4.7400000000000003E-3</v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2.2400000000000002</v>
      </c>
      <c r="BN392" s="64">
        <f>IFERROR(Y392*I392/H392,"0")</f>
        <v>2.2400000000000002</v>
      </c>
      <c r="BO392" s="64">
        <f>IFERROR(1/J392*(X392/H392),"0")</f>
        <v>4.2016806722689074E-3</v>
      </c>
      <c r="BP392" s="64">
        <f>IFERROR(1/J392*(Y392/H392),"0")</f>
        <v>4.2016806722689074E-3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2.5</v>
      </c>
      <c r="Y394" s="607">
        <f>IFERROR(Y391/H391,"0")+IFERROR(Y392/H392,"0")+IFERROR(Y393/H393,"0")</f>
        <v>3</v>
      </c>
      <c r="Z394" s="607">
        <f>IFERROR(IF(Z391="",0,Z391),"0")+IFERROR(IF(Z392="",0,Z392),"0")+IFERROR(IF(Z393="",0,Z393),"0")</f>
        <v>1.422E-2</v>
      </c>
      <c r="AA394" s="608"/>
      <c r="AB394" s="608"/>
      <c r="AC394" s="608"/>
    </row>
    <row r="395" spans="1:68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5</v>
      </c>
      <c r="Y395" s="607">
        <f>IFERROR(SUM(Y391:Y393),"0")</f>
        <v>6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hidden="1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1529</v>
      </c>
      <c r="Y407" s="606">
        <f t="shared" si="52"/>
        <v>1530</v>
      </c>
      <c r="Z407" s="36">
        <f>IFERROR(IF(Y407=0,"",ROUNDUP(Y407/H407,0)*0.02175),"")</f>
        <v>2.2184999999999997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1576.9086666666667</v>
      </c>
      <c r="BN407" s="64">
        <f t="shared" si="54"/>
        <v>1577.94</v>
      </c>
      <c r="BO407" s="64">
        <f t="shared" si="55"/>
        <v>2.1236111111111109</v>
      </c>
      <c r="BP407" s="64">
        <f t="shared" si="56"/>
        <v>2.125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1506</v>
      </c>
      <c r="Y408" s="606">
        <f t="shared" si="52"/>
        <v>1515</v>
      </c>
      <c r="Z408" s="36">
        <f>IFERROR(IF(Y408=0,"",ROUNDUP(Y408/H408,0)*0.02175),"")</f>
        <v>2.1967499999999998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1553.1879999999999</v>
      </c>
      <c r="BN408" s="64">
        <f t="shared" si="54"/>
        <v>1562.47</v>
      </c>
      <c r="BO408" s="64">
        <f t="shared" si="55"/>
        <v>2.0916666666666668</v>
      </c>
      <c r="BP408" s="64">
        <f t="shared" si="56"/>
        <v>2.1041666666666665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1300</v>
      </c>
      <c r="Y409" s="606">
        <f t="shared" si="52"/>
        <v>1305</v>
      </c>
      <c r="Z409" s="36">
        <f>IFERROR(IF(Y409=0,"",ROUNDUP(Y409/H409,0)*0.02175),"")</f>
        <v>1.8922499999999998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1340.7333333333333</v>
      </c>
      <c r="BN409" s="64">
        <f t="shared" si="54"/>
        <v>1345.89</v>
      </c>
      <c r="BO409" s="64">
        <f t="shared" si="55"/>
        <v>1.8055555555555556</v>
      </c>
      <c r="BP409" s="64">
        <f t="shared" si="56"/>
        <v>1.8125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289</v>
      </c>
      <c r="Y414" s="607">
        <f>IFERROR(Y406/H406,"0")+IFERROR(Y407/H407,"0")+IFERROR(Y408/H408,"0")+IFERROR(Y409/H409,"0")+IFERROR(Y410/H410,"0")+IFERROR(Y411/H411,"0")+IFERROR(Y412/H412,"0")+IFERROR(Y413/H413,"0")</f>
        <v>290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6.3074999999999992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4335</v>
      </c>
      <c r="Y415" s="607">
        <f>IFERROR(SUM(Y406:Y413),"0")</f>
        <v>4350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306</v>
      </c>
      <c r="Y417" s="606">
        <f>IFERROR(IF(X417="",0,CEILING((X417/$H417),1)*$H417),"")</f>
        <v>315</v>
      </c>
      <c r="Z417" s="36">
        <f>IFERROR(IF(Y417=0,"",ROUNDUP(Y417/H417,0)*0.02175),"")</f>
        <v>0.45674999999999999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315.58800000000002</v>
      </c>
      <c r="BN417" s="64">
        <f>IFERROR(Y417*I417/H417,"0")</f>
        <v>324.87</v>
      </c>
      <c r="BO417" s="64">
        <f>IFERROR(1/J417*(X417/H417),"0")</f>
        <v>0.42499999999999993</v>
      </c>
      <c r="BP417" s="64">
        <f>IFERROR(1/J417*(Y417/H417),"0")</f>
        <v>0.4375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47</v>
      </c>
      <c r="Y418" s="606">
        <f>IFERROR(IF(X418="",0,CEILING((X418/$H418),1)*$H418),"")</f>
        <v>60</v>
      </c>
      <c r="Z418" s="36">
        <f>IFERROR(IF(Y418=0,"",ROUNDUP(Y418/H418,0)*0.02175),"")</f>
        <v>8.6999999999999994E-2</v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48.472666666666669</v>
      </c>
      <c r="BN418" s="64">
        <f>IFERROR(Y418*I418/H418,"0")</f>
        <v>61.88</v>
      </c>
      <c r="BO418" s="64">
        <f>IFERROR(1/J418*(X418/H418),"0")</f>
        <v>6.5277777777777768E-2</v>
      </c>
      <c r="BP418" s="64">
        <f>IFERROR(1/J418*(Y418/H418),"0")</f>
        <v>8.3333333333333329E-2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23.533333333333331</v>
      </c>
      <c r="Y420" s="607">
        <f>IFERROR(Y417/H417,"0")+IFERROR(Y418/H418,"0")+IFERROR(Y419/H419,"0")</f>
        <v>25</v>
      </c>
      <c r="Z420" s="607">
        <f>IFERROR(IF(Z417="",0,Z417),"0")+IFERROR(IF(Z418="",0,Z418),"0")+IFERROR(IF(Z419="",0,Z419),"0")</f>
        <v>0.54374999999999996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353</v>
      </c>
      <c r="Y421" s="607">
        <f>IFERROR(SUM(Y417:Y419),"0")</f>
        <v>375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448</v>
      </c>
      <c r="Y428" s="606">
        <f>IFERROR(IF(X428="",0,CEILING((X428/$H428),1)*$H428),"")</f>
        <v>450</v>
      </c>
      <c r="Z428" s="36">
        <f>IFERROR(IF(Y428=0,"",ROUNDUP(Y428/H428,0)*0.01898),"")</f>
        <v>0.94900000000000007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472.59022222222222</v>
      </c>
      <c r="BN428" s="64">
        <f>IFERROR(Y428*I428/H428,"0")</f>
        <v>474.70000000000005</v>
      </c>
      <c r="BO428" s="64">
        <f>IFERROR(1/J428*(X428/H428),"0")</f>
        <v>0.77777777777777779</v>
      </c>
      <c r="BP428" s="64">
        <f>IFERROR(1/J428*(Y428/H428),"0")</f>
        <v>0.78125</v>
      </c>
    </row>
    <row r="429" spans="1:68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49.777777777777779</v>
      </c>
      <c r="Y429" s="607">
        <f>IFERROR(Y428/H428,"0")</f>
        <v>50</v>
      </c>
      <c r="Z429" s="607">
        <f>IFERROR(IF(Z428="",0,Z428),"0")</f>
        <v>0.94900000000000007</v>
      </c>
      <c r="AA429" s="608"/>
      <c r="AB429" s="608"/>
      <c r="AC429" s="608"/>
    </row>
    <row r="430" spans="1:68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448</v>
      </c>
      <c r="Y430" s="607">
        <f>IFERROR(SUM(Y428:Y428),"0")</f>
        <v>450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663</v>
      </c>
      <c r="Y442" s="606">
        <f>IFERROR(IF(X442="",0,CEILING((X442/$H442),1)*$H442),"")</f>
        <v>666</v>
      </c>
      <c r="Z442" s="36">
        <f>IFERROR(IF(Y442=0,"",ROUNDUP(Y442/H442,0)*0.01898),"")</f>
        <v>1.40452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699.39133333333336</v>
      </c>
      <c r="BN442" s="64">
        <f>IFERROR(Y442*I442/H442,"0")</f>
        <v>702.55600000000004</v>
      </c>
      <c r="BO442" s="64">
        <f>IFERROR(1/J442*(X442/H442),"0")</f>
        <v>1.1510416666666667</v>
      </c>
      <c r="BP442" s="64">
        <f>IFERROR(1/J442*(Y442/H442),"0")</f>
        <v>1.15625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73.666666666666671</v>
      </c>
      <c r="Y445" s="607">
        <f>IFERROR(Y442/H442,"0")+IFERROR(Y443/H443,"0")+IFERROR(Y444/H444,"0")</f>
        <v>74</v>
      </c>
      <c r="Z445" s="607">
        <f>IFERROR(IF(Z442="",0,Z442),"0")+IFERROR(IF(Z443="",0,Z443),"0")+IFERROR(IF(Z444="",0,Z444),"0")</f>
        <v>1.40452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663</v>
      </c>
      <c r="Y446" s="607">
        <f>IFERROR(SUM(Y442:Y444),"0")</f>
        <v>666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hidden="1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70</v>
      </c>
      <c r="Y477" s="606">
        <f t="shared" ref="Y477:Y485" si="62">IFERROR(IF(X477="",0,CEILING((X477/$H477),1)*$H477),"")</f>
        <v>73.92</v>
      </c>
      <c r="Z477" s="36">
        <f t="shared" ref="Z477:Z482" si="63">IFERROR(IF(Y477=0,"",ROUNDUP(Y477/H477,0)*0.01196),"")</f>
        <v>0.16744000000000001</v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74.640151515151501</v>
      </c>
      <c r="BN477" s="64">
        <f t="shared" ref="BN477:BN485" si="65">IFERROR(Y477*I477/H477,"0")</f>
        <v>78.819999999999993</v>
      </c>
      <c r="BO477" s="64">
        <f t="shared" ref="BO477:BO485" si="66">IFERROR(1/J477*(X477/H477),"0")</f>
        <v>0.12747668997668998</v>
      </c>
      <c r="BP477" s="64">
        <f t="shared" ref="BP477:BP485" si="67">IFERROR(1/J477*(Y477/H477),"0")</f>
        <v>0.13461538461538464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323</v>
      </c>
      <c r="Y480" s="606">
        <f t="shared" si="62"/>
        <v>327.36</v>
      </c>
      <c r="Z480" s="36">
        <f t="shared" si="63"/>
        <v>0.74151999999999996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344.41098484848482</v>
      </c>
      <c r="BN480" s="64">
        <f t="shared" si="65"/>
        <v>349.06</v>
      </c>
      <c r="BO480" s="64">
        <f t="shared" si="66"/>
        <v>0.58821386946386944</v>
      </c>
      <c r="BP480" s="64">
        <f t="shared" si="67"/>
        <v>0.59615384615384615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475</v>
      </c>
      <c r="Y482" s="606">
        <f t="shared" si="62"/>
        <v>475.20000000000005</v>
      </c>
      <c r="Z482" s="36">
        <f t="shared" si="63"/>
        <v>1.0764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506.48674242424238</v>
      </c>
      <c r="BN482" s="64">
        <f t="shared" si="65"/>
        <v>506.7</v>
      </c>
      <c r="BO482" s="64">
        <f t="shared" si="66"/>
        <v>0.86502039627039629</v>
      </c>
      <c r="BP482" s="64">
        <f t="shared" si="67"/>
        <v>0.86538461538461542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hidden="1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hidden="1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0</v>
      </c>
      <c r="Y485" s="606">
        <f t="shared" si="62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0</v>
      </c>
      <c r="BN485" s="64">
        <f t="shared" si="65"/>
        <v>0</v>
      </c>
      <c r="BO485" s="64">
        <f t="shared" si="66"/>
        <v>0</v>
      </c>
      <c r="BP485" s="64">
        <f t="shared" si="67"/>
        <v>0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164.39393939393938</v>
      </c>
      <c r="Y486" s="607">
        <f>IFERROR(Y477/H477,"0")+IFERROR(Y478/H478,"0")+IFERROR(Y479/H479,"0")+IFERROR(Y480/H480,"0")+IFERROR(Y481/H481,"0")+IFERROR(Y482/H482,"0")+IFERROR(Y483/H483,"0")+IFERROR(Y484/H484,"0")+IFERROR(Y485/H485,"0")</f>
        <v>166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1.98536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868</v>
      </c>
      <c r="Y487" s="607">
        <f>IFERROR(SUM(Y477:Y485),"0")</f>
        <v>876.48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hidden="1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0</v>
      </c>
      <c r="Y489" s="606">
        <f>IFERROR(IF(X489="",0,CEILING((X489/$H489),1)*$H489),"")</f>
        <v>0</v>
      </c>
      <c r="Z489" s="36" t="str">
        <f>IFERROR(IF(Y489=0,"",ROUNDUP(Y489/H489,0)*0.01196),"")</f>
        <v/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0</v>
      </c>
      <c r="Y492" s="607">
        <f>IFERROR(Y489/H489,"0")+IFERROR(Y490/H490,"0")+IFERROR(Y491/H491,"0")</f>
        <v>0</v>
      </c>
      <c r="Z492" s="607">
        <f>IFERROR(IF(Z489="",0,Z489),"0")+IFERROR(IF(Z490="",0,Z490),"0")+IFERROR(IF(Z491="",0,Z491),"0")</f>
        <v>0</v>
      </c>
      <c r="AA492" s="608"/>
      <c r="AB492" s="608"/>
      <c r="AC492" s="608"/>
    </row>
    <row r="493" spans="1:68" hidden="1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0</v>
      </c>
      <c r="Y493" s="607">
        <f>IFERROR(SUM(Y489:Y491),"0")</f>
        <v>0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132</v>
      </c>
      <c r="Y495" s="606">
        <f t="shared" ref="Y495:Y501" si="68">IFERROR(IF(X495="",0,CEILING((X495/$H495),1)*$H495),"")</f>
        <v>132</v>
      </c>
      <c r="Z495" s="36">
        <f>IFERROR(IF(Y495=0,"",ROUNDUP(Y495/H495,0)*0.01196),"")</f>
        <v>0.29899999999999999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140.75</v>
      </c>
      <c r="BN495" s="64">
        <f t="shared" ref="BN495:BN501" si="70">IFERROR(Y495*I495/H495,"0")</f>
        <v>140.75</v>
      </c>
      <c r="BO495" s="64">
        <f t="shared" ref="BO495:BO501" si="71">IFERROR(1/J495*(X495/H495),"0")</f>
        <v>0.24038461538461539</v>
      </c>
      <c r="BP495" s="64">
        <f t="shared" ref="BP495:BP501" si="72">IFERROR(1/J495*(Y495/H495),"0")</f>
        <v>0.24038461538461539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163</v>
      </c>
      <c r="Y496" s="606">
        <f t="shared" si="68"/>
        <v>163.68</v>
      </c>
      <c r="Z496" s="36">
        <f>IFERROR(IF(Y496=0,"",ROUNDUP(Y496/H496,0)*0.01196),"")</f>
        <v>0.37075999999999998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173.80492424242422</v>
      </c>
      <c r="BN496" s="64">
        <f t="shared" si="70"/>
        <v>174.53</v>
      </c>
      <c r="BO496" s="64">
        <f t="shared" si="71"/>
        <v>0.29683857808857811</v>
      </c>
      <c r="BP496" s="64">
        <f t="shared" si="72"/>
        <v>0.29807692307692307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115</v>
      </c>
      <c r="Y497" s="606">
        <f t="shared" si="68"/>
        <v>116.16000000000001</v>
      </c>
      <c r="Z497" s="36">
        <f>IFERROR(IF(Y497=0,"",ROUNDUP(Y497/H497,0)*0.01196),"")</f>
        <v>0.26312000000000002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122.62310606060605</v>
      </c>
      <c r="BN497" s="64">
        <f t="shared" si="70"/>
        <v>123.86</v>
      </c>
      <c r="BO497" s="64">
        <f t="shared" si="71"/>
        <v>0.20942599067599066</v>
      </c>
      <c r="BP497" s="64">
        <f t="shared" si="72"/>
        <v>0.21153846153846156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21</v>
      </c>
      <c r="Y501" s="606">
        <f t="shared" si="68"/>
        <v>24</v>
      </c>
      <c r="Z501" s="36">
        <f>IFERROR(IF(Y501=0,"",ROUNDUP(Y501/H501,0)*0.00902),"")</f>
        <v>4.5100000000000001E-2</v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29.181249999999999</v>
      </c>
      <c r="BN501" s="64">
        <f t="shared" si="70"/>
        <v>33.35</v>
      </c>
      <c r="BO501" s="64">
        <f t="shared" si="71"/>
        <v>3.3143939393939392E-2</v>
      </c>
      <c r="BP501" s="64">
        <f t="shared" si="72"/>
        <v>3.787878787878788E-2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82.026515151515156</v>
      </c>
      <c r="Y502" s="607">
        <f>IFERROR(Y495/H495,"0")+IFERROR(Y496/H496,"0")+IFERROR(Y497/H497,"0")+IFERROR(Y498/H498,"0")+IFERROR(Y499/H499,"0")+IFERROR(Y500/H500,"0")+IFERROR(Y501/H501,"0")</f>
        <v>83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0.97797999999999996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431</v>
      </c>
      <c r="Y503" s="607">
        <f>IFERROR(SUM(Y495:Y501),"0")</f>
        <v>435.84000000000003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38</v>
      </c>
      <c r="Y520" s="606">
        <f>IFERROR(IF(X520="",0,CEILING((X520/$H520),1)*$H520),"")</f>
        <v>45</v>
      </c>
      <c r="Z520" s="36">
        <f>IFERROR(IF(Y520=0,"",ROUNDUP(Y520/H520,0)*0.01898),"")</f>
        <v>9.4899999999999998E-2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40.085777777777778</v>
      </c>
      <c r="BN520" s="64">
        <f>IFERROR(Y520*I520/H520,"0")</f>
        <v>47.47</v>
      </c>
      <c r="BO520" s="64">
        <f>IFERROR(1/J520*(X520/H520),"0")</f>
        <v>6.5972222222222224E-2</v>
      </c>
      <c r="BP520" s="64">
        <f>IFERROR(1/J520*(Y520/H520),"0")</f>
        <v>7.8125E-2</v>
      </c>
    </row>
    <row r="521" spans="1:68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4.2222222222222223</v>
      </c>
      <c r="Y521" s="607">
        <f>IFERROR(Y520/H520,"0")</f>
        <v>5</v>
      </c>
      <c r="Z521" s="607">
        <f>IFERROR(IF(Z520="",0,Z520),"0")</f>
        <v>9.4899999999999998E-2</v>
      </c>
      <c r="AA521" s="608"/>
      <c r="AB521" s="608"/>
      <c r="AC521" s="608"/>
    </row>
    <row r="522" spans="1:68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38</v>
      </c>
      <c r="Y522" s="607">
        <f>IFERROR(SUM(Y520:Y520),"0")</f>
        <v>45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11437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11590.22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12017.704745396417</v>
      </c>
      <c r="Y534" s="607">
        <f>IFERROR(SUM(BN22:BN530),"0")</f>
        <v>12179.644000000004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20</v>
      </c>
      <c r="Y535" s="38">
        <f>ROUNDUP(SUM(BP22:BP530),0)</f>
        <v>20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12517.704745396417</v>
      </c>
      <c r="Y536" s="607">
        <f>GrossWeightTotalR+PalletQtyTotalR*25</f>
        <v>12679.644000000004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1795.2262077104185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1823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22.573030000000003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0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109.50000000000001</v>
      </c>
      <c r="F543" s="46">
        <f>IFERROR(Y88*1,"0")+IFERROR(Y89*1,"0")+IFERROR(Y90*1,"0")+IFERROR(Y91*1,"0")+IFERROR(Y95*1,"0")+IFERROR(Y96*1,"0")+IFERROR(Y97*1,"0")+IFERROR(Y98*1,"0")</f>
        <v>635.40000000000009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594</v>
      </c>
      <c r="H543" s="46">
        <f>IFERROR(Y134*1,"0")+IFERROR(Y135*1,"0")+IFERROR(Y139*1,"0")+IFERROR(Y140*1,"0")+IFERROR(Y144*1,"0")+IFERROR(Y145*1,"0")</f>
        <v>16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537.88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458.98000000000008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1268.6999999999998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67.2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210.6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493.64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5175</v>
      </c>
      <c r="W543" s="46">
        <f>IFERROR(Y433*1,"0")+IFERROR(Y434*1,"0")+IFERROR(Y438*1,"0")+IFERROR(Y442*1,"0")+IFERROR(Y443*1,"0")+IFERROR(Y444*1,"0")</f>
        <v>666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1312.3200000000002</v>
      </c>
      <c r="AA543" s="46">
        <f>IFERROR(Y507*1,"0")+IFERROR(Y511*1,"0")+IFERROR(Y515*1,"0")+IFERROR(Y516*1,"0")+IFERROR(Y520*1,"0")+IFERROR(Y524*1,"0")+IFERROR(Y525*1,"0")</f>
        <v>45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506,00"/>
        <filter val="1 529,00"/>
        <filter val="1 795,23"/>
        <filter val="10,00"/>
        <filter val="11 437,00"/>
        <filter val="11,00"/>
        <filter val="115,00"/>
        <filter val="12 017,70"/>
        <filter val="12 517,70"/>
        <filter val="121,00"/>
        <filter val="124,00"/>
        <filter val="128,00"/>
        <filter val="132,00"/>
        <filter val="133,89"/>
        <filter val="135,00"/>
        <filter val="14,00"/>
        <filter val="14,84"/>
        <filter val="141,00"/>
        <filter val="150,00"/>
        <filter val="151,00"/>
        <filter val="153,00"/>
        <filter val="157,12"/>
        <filter val="16,00"/>
        <filter val="163,00"/>
        <filter val="164,39"/>
        <filter val="165,00"/>
        <filter val="184,88"/>
        <filter val="186,00"/>
        <filter val="19,00"/>
        <filter val="198,00"/>
        <filter val="199,00"/>
        <filter val="2,00"/>
        <filter val="2,04"/>
        <filter val="2,50"/>
        <filter val="20"/>
        <filter val="205,00"/>
        <filter val="21,00"/>
        <filter val="210,00"/>
        <filter val="22,00"/>
        <filter val="23,53"/>
        <filter val="25,00"/>
        <filter val="26,00"/>
        <filter val="26,28"/>
        <filter val="27,50"/>
        <filter val="27,93"/>
        <filter val="272,65"/>
        <filter val="289,00"/>
        <filter val="29,00"/>
        <filter val="3,00"/>
        <filter val="30,00"/>
        <filter val="306,00"/>
        <filter val="31,00"/>
        <filter val="323,00"/>
        <filter val="332,00"/>
        <filter val="35,00"/>
        <filter val="353,00"/>
        <filter val="36,00"/>
        <filter val="362,00"/>
        <filter val="38,00"/>
        <filter val="4 335,00"/>
        <filter val="4,00"/>
        <filter val="4,22"/>
        <filter val="4,38"/>
        <filter val="409,00"/>
        <filter val="41,00"/>
        <filter val="428,00"/>
        <filter val="431,00"/>
        <filter val="439,00"/>
        <filter val="448,00"/>
        <filter val="47,00"/>
        <filter val="475,00"/>
        <filter val="483,00"/>
        <filter val="49,78"/>
        <filter val="5,00"/>
        <filter val="5,74"/>
        <filter val="50,51"/>
        <filter val="529,00"/>
        <filter val="54,00"/>
        <filter val="55,00"/>
        <filter val="591,00"/>
        <filter val="6,00"/>
        <filter val="6,76"/>
        <filter val="62,00"/>
        <filter val="66,00"/>
        <filter val="660,00"/>
        <filter val="663,00"/>
        <filter val="7,73"/>
        <filter val="7,94"/>
        <filter val="70,00"/>
        <filter val="73,00"/>
        <filter val="73,67"/>
        <filter val="74,00"/>
        <filter val="76,54"/>
        <filter val="8,00"/>
        <filter val="80,00"/>
        <filter val="82,03"/>
        <filter val="83,00"/>
        <filter val="868,00"/>
        <filter val="87,00"/>
        <filter val="89,51"/>
        <filter val="9,87"/>
        <filter val="92,00"/>
        <filter val="96,00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