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9F4FC75-6CE3-4BFD-B292-B062F008DB5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Z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N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Z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N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N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P431" i="2"/>
  <c r="BO431" i="2"/>
  <c r="BM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P425" i="2"/>
  <c r="BO425" i="2"/>
  <c r="BN425" i="2"/>
  <c r="BM425" i="2"/>
  <c r="Y425" i="2"/>
  <c r="Z425" i="2" s="1"/>
  <c r="P425" i="2"/>
  <c r="BO424" i="2"/>
  <c r="BM424" i="2"/>
  <c r="Y424" i="2"/>
  <c r="Y428" i="2" s="1"/>
  <c r="P424" i="2"/>
  <c r="X422" i="2"/>
  <c r="X421" i="2"/>
  <c r="BO420" i="2"/>
  <c r="BN420" i="2"/>
  <c r="BM420" i="2"/>
  <c r="Y420" i="2"/>
  <c r="BP420" i="2" s="1"/>
  <c r="P420" i="2"/>
  <c r="BP419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N416" i="2"/>
  <c r="BM416" i="2"/>
  <c r="Y416" i="2"/>
  <c r="Z416" i="2" s="1"/>
  <c r="P416" i="2"/>
  <c r="BO415" i="2"/>
  <c r="BM415" i="2"/>
  <c r="Y415" i="2"/>
  <c r="P415" i="2"/>
  <c r="BO414" i="2"/>
  <c r="BN414" i="2"/>
  <c r="BM414" i="2"/>
  <c r="Y414" i="2"/>
  <c r="Z414" i="2" s="1"/>
  <c r="P414" i="2"/>
  <c r="BO413" i="2"/>
  <c r="BM413" i="2"/>
  <c r="Z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Y394" i="2"/>
  <c r="BN394" i="2" s="1"/>
  <c r="P394" i="2"/>
  <c r="BO393" i="2"/>
  <c r="BM393" i="2"/>
  <c r="Y393" i="2"/>
  <c r="BN393" i="2" s="1"/>
  <c r="P393" i="2"/>
  <c r="BO392" i="2"/>
  <c r="BN392" i="2"/>
  <c r="BM392" i="2"/>
  <c r="Y392" i="2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N386" i="2"/>
  <c r="BM386" i="2"/>
  <c r="Y386" i="2"/>
  <c r="BP386" i="2" s="1"/>
  <c r="P386" i="2"/>
  <c r="BO385" i="2"/>
  <c r="BM385" i="2"/>
  <c r="Z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Z333" i="2"/>
  <c r="Y333" i="2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N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N261" i="2"/>
  <c r="BM261" i="2"/>
  <c r="Y261" i="2"/>
  <c r="Z261" i="2" s="1"/>
  <c r="P261" i="2"/>
  <c r="BP260" i="2"/>
  <c r="BO260" i="2"/>
  <c r="BM260" i="2"/>
  <c r="Z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Z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N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P188" i="2"/>
  <c r="BO188" i="2"/>
  <c r="BM188" i="2"/>
  <c r="Z188" i="2"/>
  <c r="Y188" i="2"/>
  <c r="BN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Z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P170" i="2"/>
  <c r="BO170" i="2"/>
  <c r="BM170" i="2"/>
  <c r="Y170" i="2"/>
  <c r="BN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N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N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Z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N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N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N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N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N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N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N41" i="2"/>
  <c r="BM41" i="2"/>
  <c r="Y41" i="2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BN29" i="2" s="1"/>
  <c r="P29" i="2"/>
  <c r="BO28" i="2"/>
  <c r="BM28" i="2"/>
  <c r="Y28" i="2"/>
  <c r="BP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Z52" i="2" l="1"/>
  <c r="BN325" i="2"/>
  <c r="Z372" i="2"/>
  <c r="BN447" i="2"/>
  <c r="BN474" i="2"/>
  <c r="BN520" i="2"/>
  <c r="Z115" i="2"/>
  <c r="BN115" i="2"/>
  <c r="BN172" i="2"/>
  <c r="BN183" i="2"/>
  <c r="Z509" i="2"/>
  <c r="BN273" i="2"/>
  <c r="Z301" i="2"/>
  <c r="Z302" i="2" s="1"/>
  <c r="Z310" i="2"/>
  <c r="BN353" i="2"/>
  <c r="Y521" i="2"/>
  <c r="BN151" i="2"/>
  <c r="BN222" i="2"/>
  <c r="BN318" i="2"/>
  <c r="Y382" i="2"/>
  <c r="Y476" i="2"/>
  <c r="Z498" i="2"/>
  <c r="BP509" i="2"/>
  <c r="BN28" i="2"/>
  <c r="BN97" i="2"/>
  <c r="BN255" i="2"/>
  <c r="BP413" i="2"/>
  <c r="Z431" i="2"/>
  <c r="BN491" i="2"/>
  <c r="Z262" i="2"/>
  <c r="BP301" i="2"/>
  <c r="Z394" i="2"/>
  <c r="Z28" i="2"/>
  <c r="BP52" i="2"/>
  <c r="BN218" i="2"/>
  <c r="Y470" i="2"/>
  <c r="BN83" i="2"/>
  <c r="Z113" i="2"/>
  <c r="Y163" i="2"/>
  <c r="Z170" i="2"/>
  <c r="BN223" i="2"/>
  <c r="BP394" i="2"/>
  <c r="BN381" i="2"/>
  <c r="BN499" i="2"/>
  <c r="Z138" i="2"/>
  <c r="Y536" i="2"/>
  <c r="BN62" i="2"/>
  <c r="Y84" i="2"/>
  <c r="BP113" i="2"/>
  <c r="BN275" i="2"/>
  <c r="BN305" i="2"/>
  <c r="BN336" i="2"/>
  <c r="Z30" i="2"/>
  <c r="Y56" i="2"/>
  <c r="BN175" i="2"/>
  <c r="BN215" i="2"/>
  <c r="BN271" i="2"/>
  <c r="Z316" i="2"/>
  <c r="BN363" i="2"/>
  <c r="BN375" i="2"/>
  <c r="Y390" i="2"/>
  <c r="BN426" i="2"/>
  <c r="BN462" i="2"/>
  <c r="BN182" i="2"/>
  <c r="Y306" i="2"/>
  <c r="BN489" i="2"/>
  <c r="Y396" i="2"/>
  <c r="Y445" i="2"/>
  <c r="Y471" i="2"/>
  <c r="BP30" i="2"/>
  <c r="Z59" i="2"/>
  <c r="BN121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Z342" i="2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28" i="2" s="1"/>
  <c r="Z336" i="2"/>
  <c r="Z337" i="2" s="1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Z389" i="2" s="1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X545" i="2" s="1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Z152" i="2" s="1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5" i="2" s="1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267" i="2" l="1"/>
  <c r="Z349" i="2"/>
  <c r="Z433" i="2"/>
  <c r="Z46" i="2"/>
  <c r="Z287" i="2"/>
  <c r="Z526" i="2"/>
  <c r="Z67" i="2"/>
  <c r="Z144" i="2"/>
  <c r="Z421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<sst xmlns="http://schemas.openxmlformats.org/spreadsheetml/2006/main" count="4110" uniqueCount="873">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</sst>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5" sqref="AA41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66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67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872</v>
      </c>
      <c r="I5" s="626"/>
      <c r="J5" s="626"/>
      <c r="K5" s="626"/>
      <c r="L5" s="626"/>
      <c r="M5" s="626"/>
      <c r="N5" s="69"/>
      <c r="P5" s="26" t="s">
        <v>4</v>
      </c>
      <c r="Q5" s="628">
        <v>46221</v>
      </c>
      <c r="R5" s="628"/>
      <c r="T5" s="629" t="s">
        <v>3</v>
      </c>
      <c r="U5" s="630"/>
      <c r="V5" s="631" t="s">
        <v>852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853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Суббота</v>
      </c>
      <c r="R6" s="634"/>
      <c r="T6" s="635" t="s">
        <v>5</v>
      </c>
      <c r="U6" s="636"/>
      <c r="V6" s="637" t="s">
        <v>69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57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0.375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70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871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71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72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73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74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60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58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65</v>
      </c>
      <c r="L17" s="667" t="s">
        <v>63</v>
      </c>
      <c r="M17" s="667" t="s">
        <v>2</v>
      </c>
      <c r="N17" s="667" t="s">
        <v>62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55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59</v>
      </c>
      <c r="AB17" s="681" t="s">
        <v>19</v>
      </c>
      <c r="AC17" s="681" t="s">
        <v>64</v>
      </c>
      <c r="AD17" s="683" t="s">
        <v>56</v>
      </c>
      <c r="AE17" s="684"/>
      <c r="AF17" s="685"/>
      <c r="AG17" s="77"/>
      <c r="BD17" s="76" t="s">
        <v>61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75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75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76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92">
        <v>4680115886643</v>
      </c>
      <c r="E22" s="69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92">
        <v>4680115889071</v>
      </c>
      <c r="E23" s="69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6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4"/>
      <c r="R23" s="694"/>
      <c r="S23" s="694"/>
      <c r="T23" s="69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1"/>
      <c r="P24" s="697" t="s">
        <v>40</v>
      </c>
      <c r="Q24" s="698"/>
      <c r="R24" s="698"/>
      <c r="S24" s="698"/>
      <c r="T24" s="698"/>
      <c r="U24" s="698"/>
      <c r="V24" s="69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1"/>
      <c r="P25" s="697" t="s">
        <v>40</v>
      </c>
      <c r="Q25" s="698"/>
      <c r="R25" s="698"/>
      <c r="S25" s="698"/>
      <c r="T25" s="698"/>
      <c r="U25" s="698"/>
      <c r="V25" s="69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91" t="s">
        <v>85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92">
        <v>4680115885912</v>
      </c>
      <c r="E27" s="69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92">
        <v>4607091388237</v>
      </c>
      <c r="E28" s="69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92">
        <v>4680115887350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92">
        <v>4680115885905</v>
      </c>
      <c r="E30" s="69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92">
        <v>4680115887619</v>
      </c>
      <c r="E31" s="69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4"/>
      <c r="R31" s="694"/>
      <c r="S31" s="694"/>
      <c r="T31" s="69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1"/>
      <c r="P32" s="697" t="s">
        <v>40</v>
      </c>
      <c r="Q32" s="698"/>
      <c r="R32" s="698"/>
      <c r="S32" s="698"/>
      <c r="T32" s="698"/>
      <c r="U32" s="698"/>
      <c r="V32" s="69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1"/>
      <c r="P33" s="697" t="s">
        <v>40</v>
      </c>
      <c r="Q33" s="698"/>
      <c r="R33" s="698"/>
      <c r="S33" s="698"/>
      <c r="T33" s="698"/>
      <c r="U33" s="698"/>
      <c r="V33" s="69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91" t="s">
        <v>103</v>
      </c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92">
        <v>4607091388503</v>
      </c>
      <c r="E35" s="69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4"/>
      <c r="R35" s="694"/>
      <c r="S35" s="694"/>
      <c r="T35" s="69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0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1"/>
      <c r="P36" s="697" t="s">
        <v>40</v>
      </c>
      <c r="Q36" s="698"/>
      <c r="R36" s="698"/>
      <c r="S36" s="698"/>
      <c r="T36" s="698"/>
      <c r="U36" s="698"/>
      <c r="V36" s="69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0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1"/>
      <c r="P37" s="697" t="s">
        <v>40</v>
      </c>
      <c r="Q37" s="698"/>
      <c r="R37" s="698"/>
      <c r="S37" s="698"/>
      <c r="T37" s="698"/>
      <c r="U37" s="698"/>
      <c r="V37" s="69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9" t="s">
        <v>45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52"/>
      <c r="AB38" s="52"/>
      <c r="AC38" s="52"/>
    </row>
    <row r="39" spans="1:68" ht="16.5" hidden="1" customHeight="1" x14ac:dyDescent="0.25">
      <c r="A39" s="690" t="s">
        <v>109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690"/>
      <c r="Y39" s="690"/>
      <c r="Z39" s="690"/>
      <c r="AA39" s="62"/>
      <c r="AB39" s="62"/>
      <c r="AC39" s="62"/>
    </row>
    <row r="40" spans="1:68" ht="14.25" hidden="1" customHeight="1" x14ac:dyDescent="0.25">
      <c r="A40" s="691" t="s">
        <v>85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92">
        <v>4680115889354</v>
      </c>
      <c r="E41" s="69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4"/>
      <c r="R41" s="694"/>
      <c r="S41" s="694"/>
      <c r="T41" s="69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92">
        <v>4680115888463</v>
      </c>
      <c r="E42" s="69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4"/>
      <c r="R42" s="694"/>
      <c r="S42" s="694"/>
      <c r="T42" s="69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92">
        <v>4680115888494</v>
      </c>
      <c r="E43" s="69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1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4"/>
      <c r="R43" s="694"/>
      <c r="S43" s="694"/>
      <c r="T43" s="69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92">
        <v>4680115888272</v>
      </c>
      <c r="E44" s="69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4"/>
      <c r="R44" s="694"/>
      <c r="S44" s="694"/>
      <c r="T44" s="69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92">
        <v>4680115888364</v>
      </c>
      <c r="E45" s="69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1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4"/>
      <c r="R45" s="694"/>
      <c r="S45" s="694"/>
      <c r="T45" s="69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0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1"/>
      <c r="P46" s="697" t="s">
        <v>40</v>
      </c>
      <c r="Q46" s="698"/>
      <c r="R46" s="698"/>
      <c r="S46" s="698"/>
      <c r="T46" s="698"/>
      <c r="U46" s="698"/>
      <c r="V46" s="69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0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1"/>
      <c r="P47" s="697" t="s">
        <v>40</v>
      </c>
      <c r="Q47" s="698"/>
      <c r="R47" s="698"/>
      <c r="S47" s="698"/>
      <c r="T47" s="698"/>
      <c r="U47" s="698"/>
      <c r="V47" s="69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89" t="s">
        <v>125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52"/>
      <c r="AB48" s="52"/>
      <c r="AC48" s="52"/>
    </row>
    <row r="49" spans="1:68" ht="16.5" hidden="1" customHeight="1" x14ac:dyDescent="0.25">
      <c r="A49" s="690" t="s">
        <v>126</v>
      </c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2"/>
      <c r="AB49" s="62"/>
      <c r="AC49" s="62"/>
    </row>
    <row r="50" spans="1:68" ht="14.25" hidden="1" customHeight="1" x14ac:dyDescent="0.25">
      <c r="A50" s="691" t="s">
        <v>127</v>
      </c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92">
        <v>4607091385670</v>
      </c>
      <c r="E51" s="69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4"/>
      <c r="R51" s="694"/>
      <c r="S51" s="694"/>
      <c r="T51" s="69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92">
        <v>4680115887725</v>
      </c>
      <c r="E52" s="69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4"/>
      <c r="R52" s="694"/>
      <c r="S52" s="694"/>
      <c r="T52" s="69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92">
        <v>4607091385687</v>
      </c>
      <c r="E53" s="69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4"/>
      <c r="R53" s="694"/>
      <c r="S53" s="694"/>
      <c r="T53" s="69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92">
        <v>4680115882539</v>
      </c>
      <c r="E54" s="69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0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1"/>
      <c r="P55" s="697" t="s">
        <v>40</v>
      </c>
      <c r="Q55" s="698"/>
      <c r="R55" s="698"/>
      <c r="S55" s="698"/>
      <c r="T55" s="698"/>
      <c r="U55" s="698"/>
      <c r="V55" s="69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0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1"/>
      <c r="P56" s="697" t="s">
        <v>40</v>
      </c>
      <c r="Q56" s="698"/>
      <c r="R56" s="698"/>
      <c r="S56" s="698"/>
      <c r="T56" s="698"/>
      <c r="U56" s="698"/>
      <c r="V56" s="69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90" t="s">
        <v>142</v>
      </c>
      <c r="B57" s="690"/>
      <c r="C57" s="690"/>
      <c r="D57" s="690"/>
      <c r="E57" s="690"/>
      <c r="F57" s="690"/>
      <c r="G57" s="690"/>
      <c r="H57" s="690"/>
      <c r="I57" s="690"/>
      <c r="J57" s="690"/>
      <c r="K57" s="690"/>
      <c r="L57" s="690"/>
      <c r="M57" s="690"/>
      <c r="N57" s="690"/>
      <c r="O57" s="690"/>
      <c r="P57" s="690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2"/>
      <c r="AB57" s="62"/>
      <c r="AC57" s="62"/>
    </row>
    <row r="58" spans="1:68" ht="14.25" hidden="1" customHeight="1" x14ac:dyDescent="0.25">
      <c r="A58" s="691" t="s">
        <v>127</v>
      </c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92">
        <v>4680115885882</v>
      </c>
      <c r="E59" s="69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92">
        <v>4680115885882</v>
      </c>
      <c r="E60" s="69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1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92">
        <v>4680115881426</v>
      </c>
      <c r="E61" s="69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92">
        <v>4680115880283</v>
      </c>
      <c r="E62" s="69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4"/>
      <c r="R62" s="694"/>
      <c r="S62" s="694"/>
      <c r="T62" s="69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92">
        <v>4680115880283</v>
      </c>
      <c r="E63" s="69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4"/>
      <c r="R63" s="694"/>
      <c r="S63" s="694"/>
      <c r="T63" s="69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92">
        <v>4680115881525</v>
      </c>
      <c r="E64" s="69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4"/>
      <c r="R64" s="694"/>
      <c r="S64" s="694"/>
      <c r="T64" s="69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92">
        <v>4680115885899</v>
      </c>
      <c r="E65" s="69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92">
        <v>4680115881419</v>
      </c>
      <c r="E66" s="69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0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1"/>
      <c r="P67" s="697" t="s">
        <v>40</v>
      </c>
      <c r="Q67" s="698"/>
      <c r="R67" s="698"/>
      <c r="S67" s="698"/>
      <c r="T67" s="698"/>
      <c r="U67" s="698"/>
      <c r="V67" s="69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0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1"/>
      <c r="P68" s="697" t="s">
        <v>40</v>
      </c>
      <c r="Q68" s="698"/>
      <c r="R68" s="698"/>
      <c r="S68" s="698"/>
      <c r="T68" s="698"/>
      <c r="U68" s="698"/>
      <c r="V68" s="69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91" t="s">
        <v>163</v>
      </c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92">
        <v>4680115881440</v>
      </c>
      <c r="E70" s="69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4"/>
      <c r="R70" s="694"/>
      <c r="S70" s="694"/>
      <c r="T70" s="69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92">
        <v>4680115885950</v>
      </c>
      <c r="E71" s="69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4"/>
      <c r="R71" s="694"/>
      <c r="S71" s="694"/>
      <c r="T71" s="69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92">
        <v>4680115887688</v>
      </c>
      <c r="E72" s="69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2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92">
        <v>4680115881433</v>
      </c>
      <c r="E73" s="69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0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1"/>
      <c r="P74" s="697" t="s">
        <v>40</v>
      </c>
      <c r="Q74" s="698"/>
      <c r="R74" s="698"/>
      <c r="S74" s="698"/>
      <c r="T74" s="698"/>
      <c r="U74" s="698"/>
      <c r="V74" s="69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0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1"/>
      <c r="P75" s="697" t="s">
        <v>40</v>
      </c>
      <c r="Q75" s="698"/>
      <c r="R75" s="698"/>
      <c r="S75" s="698"/>
      <c r="T75" s="698"/>
      <c r="U75" s="698"/>
      <c r="V75" s="69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91" t="s">
        <v>85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92">
        <v>4680115884311</v>
      </c>
      <c r="E77" s="69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92">
        <v>4680115884403</v>
      </c>
      <c r="E78" s="69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0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1"/>
      <c r="P79" s="697" t="s">
        <v>40</v>
      </c>
      <c r="Q79" s="698"/>
      <c r="R79" s="698"/>
      <c r="S79" s="698"/>
      <c r="T79" s="698"/>
      <c r="U79" s="698"/>
      <c r="V79" s="69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0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1"/>
      <c r="P80" s="697" t="s">
        <v>40</v>
      </c>
      <c r="Q80" s="698"/>
      <c r="R80" s="698"/>
      <c r="S80" s="698"/>
      <c r="T80" s="698"/>
      <c r="U80" s="698"/>
      <c r="V80" s="69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91" t="s">
        <v>180</v>
      </c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92">
        <v>4680115881532</v>
      </c>
      <c r="E82" s="69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4"/>
      <c r="R82" s="694"/>
      <c r="S82" s="694"/>
      <c r="T82" s="69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92">
        <v>4680115881464</v>
      </c>
      <c r="E83" s="69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4"/>
      <c r="R83" s="694"/>
      <c r="S83" s="694"/>
      <c r="T83" s="69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0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1"/>
      <c r="P84" s="697" t="s">
        <v>40</v>
      </c>
      <c r="Q84" s="698"/>
      <c r="R84" s="698"/>
      <c r="S84" s="698"/>
      <c r="T84" s="698"/>
      <c r="U84" s="698"/>
      <c r="V84" s="69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0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1"/>
      <c r="P85" s="697" t="s">
        <v>40</v>
      </c>
      <c r="Q85" s="698"/>
      <c r="R85" s="698"/>
      <c r="S85" s="698"/>
      <c r="T85" s="698"/>
      <c r="U85" s="698"/>
      <c r="V85" s="69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90" t="s">
        <v>187</v>
      </c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62"/>
      <c r="AB86" s="62"/>
      <c r="AC86" s="62"/>
    </row>
    <row r="87" spans="1:68" ht="14.25" hidden="1" customHeight="1" x14ac:dyDescent="0.25">
      <c r="A87" s="691" t="s">
        <v>127</v>
      </c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92">
        <v>4680115881327</v>
      </c>
      <c r="E88" s="69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92">
        <v>4680115887732</v>
      </c>
      <c r="E89" s="69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92">
        <v>4680115881518</v>
      </c>
      <c r="E90" s="69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4"/>
      <c r="R90" s="694"/>
      <c r="S90" s="694"/>
      <c r="T90" s="69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92">
        <v>4680115881303</v>
      </c>
      <c r="E91" s="69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4"/>
      <c r="R91" s="694"/>
      <c r="S91" s="694"/>
      <c r="T91" s="69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0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1"/>
      <c r="P92" s="697" t="s">
        <v>40</v>
      </c>
      <c r="Q92" s="698"/>
      <c r="R92" s="698"/>
      <c r="S92" s="698"/>
      <c r="T92" s="698"/>
      <c r="U92" s="698"/>
      <c r="V92" s="69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0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1"/>
      <c r="P93" s="697" t="s">
        <v>40</v>
      </c>
      <c r="Q93" s="698"/>
      <c r="R93" s="698"/>
      <c r="S93" s="698"/>
      <c r="T93" s="698"/>
      <c r="U93" s="698"/>
      <c r="V93" s="69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91" t="s">
        <v>85</v>
      </c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92">
        <v>4607091386967</v>
      </c>
      <c r="E95" s="69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92">
        <v>4680115884953</v>
      </c>
      <c r="E96" s="69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92">
        <v>4607091385731</v>
      </c>
      <c r="E97" s="69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4"/>
      <c r="R97" s="694"/>
      <c r="S97" s="694"/>
      <c r="T97" s="69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92">
        <v>4680115880894</v>
      </c>
      <c r="E98" s="69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4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4"/>
      <c r="R98" s="694"/>
      <c r="S98" s="694"/>
      <c r="T98" s="69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0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1"/>
      <c r="P99" s="697" t="s">
        <v>40</v>
      </c>
      <c r="Q99" s="698"/>
      <c r="R99" s="698"/>
      <c r="S99" s="698"/>
      <c r="T99" s="698"/>
      <c r="U99" s="698"/>
      <c r="V99" s="69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0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1"/>
      <c r="P100" s="697" t="s">
        <v>40</v>
      </c>
      <c r="Q100" s="698"/>
      <c r="R100" s="698"/>
      <c r="S100" s="698"/>
      <c r="T100" s="698"/>
      <c r="U100" s="698"/>
      <c r="V100" s="69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90" t="s">
        <v>208</v>
      </c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  <c r="N101" s="690"/>
      <c r="O101" s="690"/>
      <c r="P101" s="690"/>
      <c r="Q101" s="690"/>
      <c r="R101" s="690"/>
      <c r="S101" s="690"/>
      <c r="T101" s="690"/>
      <c r="U101" s="690"/>
      <c r="V101" s="690"/>
      <c r="W101" s="690"/>
      <c r="X101" s="690"/>
      <c r="Y101" s="690"/>
      <c r="Z101" s="690"/>
      <c r="AA101" s="62"/>
      <c r="AB101" s="62"/>
      <c r="AC101" s="62"/>
    </row>
    <row r="102" spans="1:68" ht="14.25" hidden="1" customHeight="1" x14ac:dyDescent="0.25">
      <c r="A102" s="691" t="s">
        <v>127</v>
      </c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92">
        <v>4680115882133</v>
      </c>
      <c r="E103" s="69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92">
        <v>4680115887718</v>
      </c>
      <c r="E104" s="69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92">
        <v>4680115887718</v>
      </c>
      <c r="E105" s="69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92">
        <v>4680115880269</v>
      </c>
      <c r="E106" s="69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92">
        <v>4680115880429</v>
      </c>
      <c r="E107" s="69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92">
        <v>4680115881457</v>
      </c>
      <c r="E108" s="69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4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4"/>
      <c r="R108" s="694"/>
      <c r="S108" s="694"/>
      <c r="T108" s="69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0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1"/>
      <c r="P109" s="697" t="s">
        <v>40</v>
      </c>
      <c r="Q109" s="698"/>
      <c r="R109" s="698"/>
      <c r="S109" s="698"/>
      <c r="T109" s="698"/>
      <c r="U109" s="698"/>
      <c r="V109" s="69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0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1"/>
      <c r="P110" s="697" t="s">
        <v>40</v>
      </c>
      <c r="Q110" s="698"/>
      <c r="R110" s="698"/>
      <c r="S110" s="698"/>
      <c r="T110" s="698"/>
      <c r="U110" s="698"/>
      <c r="V110" s="69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91" t="s">
        <v>163</v>
      </c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92">
        <v>4680115881488</v>
      </c>
      <c r="E112" s="69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4"/>
      <c r="R112" s="694"/>
      <c r="S112" s="694"/>
      <c r="T112" s="69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92">
        <v>4680115887664</v>
      </c>
      <c r="E113" s="69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92">
        <v>4680115887664</v>
      </c>
      <c r="E114" s="69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92">
        <v>4680115882775</v>
      </c>
      <c r="E115" s="69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92">
        <v>4680115880658</v>
      </c>
      <c r="E116" s="69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5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4"/>
      <c r="R116" s="694"/>
      <c r="S116" s="694"/>
      <c r="T116" s="69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0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1"/>
      <c r="P117" s="697" t="s">
        <v>40</v>
      </c>
      <c r="Q117" s="698"/>
      <c r="R117" s="698"/>
      <c r="S117" s="698"/>
      <c r="T117" s="698"/>
      <c r="U117" s="698"/>
      <c r="V117" s="69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0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1"/>
      <c r="P118" s="697" t="s">
        <v>40</v>
      </c>
      <c r="Q118" s="698"/>
      <c r="R118" s="698"/>
      <c r="S118" s="698"/>
      <c r="T118" s="698"/>
      <c r="U118" s="698"/>
      <c r="V118" s="69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91" t="s">
        <v>85</v>
      </c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92">
        <v>4607091385168</v>
      </c>
      <c r="E120" s="69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92">
        <v>4607091383256</v>
      </c>
      <c r="E121" s="69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92">
        <v>4607091385748</v>
      </c>
      <c r="E122" s="69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92">
        <v>4680115884533</v>
      </c>
      <c r="E123" s="69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4"/>
      <c r="R123" s="694"/>
      <c r="S123" s="694"/>
      <c r="T123" s="69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0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1"/>
      <c r="P124" s="697" t="s">
        <v>40</v>
      </c>
      <c r="Q124" s="698"/>
      <c r="R124" s="698"/>
      <c r="S124" s="698"/>
      <c r="T124" s="698"/>
      <c r="U124" s="698"/>
      <c r="V124" s="69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0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1"/>
      <c r="P125" s="697" t="s">
        <v>40</v>
      </c>
      <c r="Q125" s="698"/>
      <c r="R125" s="698"/>
      <c r="S125" s="698"/>
      <c r="T125" s="698"/>
      <c r="U125" s="698"/>
      <c r="V125" s="69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91" t="s">
        <v>180</v>
      </c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92">
        <v>4680115880238</v>
      </c>
      <c r="E127" s="69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4"/>
      <c r="R127" s="694"/>
      <c r="S127" s="694"/>
      <c r="T127" s="69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0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1"/>
      <c r="P128" s="697" t="s">
        <v>40</v>
      </c>
      <c r="Q128" s="698"/>
      <c r="R128" s="698"/>
      <c r="S128" s="698"/>
      <c r="T128" s="698"/>
      <c r="U128" s="698"/>
      <c r="V128" s="69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0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1"/>
      <c r="P129" s="697" t="s">
        <v>40</v>
      </c>
      <c r="Q129" s="698"/>
      <c r="R129" s="698"/>
      <c r="S129" s="698"/>
      <c r="T129" s="698"/>
      <c r="U129" s="698"/>
      <c r="V129" s="69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90" t="s">
        <v>247</v>
      </c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2"/>
      <c r="AB130" s="62"/>
      <c r="AC130" s="62"/>
    </row>
    <row r="131" spans="1:68" ht="14.25" hidden="1" customHeight="1" x14ac:dyDescent="0.25">
      <c r="A131" s="691" t="s">
        <v>127</v>
      </c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4301011562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108</v>
      </c>
      <c r="N132" s="36"/>
      <c r="O132" s="35">
        <v>90</v>
      </c>
      <c r="P132" s="7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248</v>
      </c>
      <c r="B133" s="60" t="s">
        <v>251</v>
      </c>
      <c r="C133" s="34">
        <v>4301011564</v>
      </c>
      <c r="D133" s="692">
        <v>4680115882577</v>
      </c>
      <c r="E133" s="69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108</v>
      </c>
      <c r="N133" s="36"/>
      <c r="O133" s="35">
        <v>90</v>
      </c>
      <c r="P133" s="7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4"/>
      <c r="R133" s="694"/>
      <c r="S133" s="694"/>
      <c r="T133" s="69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0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1"/>
      <c r="P134" s="697" t="s">
        <v>40</v>
      </c>
      <c r="Q134" s="698"/>
      <c r="R134" s="698"/>
      <c r="S134" s="698"/>
      <c r="T134" s="698"/>
      <c r="U134" s="698"/>
      <c r="V134" s="699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0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1"/>
      <c r="P135" s="697" t="s">
        <v>40</v>
      </c>
      <c r="Q135" s="698"/>
      <c r="R135" s="698"/>
      <c r="S135" s="698"/>
      <c r="T135" s="698"/>
      <c r="U135" s="698"/>
      <c r="V135" s="699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91" t="s">
        <v>76</v>
      </c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3"/>
      <c r="AB136" s="63"/>
      <c r="AC136" s="63"/>
    </row>
    <row r="137" spans="1:68" ht="27" hidden="1" customHeight="1" x14ac:dyDescent="0.25">
      <c r="A137" s="60" t="s">
        <v>252</v>
      </c>
      <c r="B137" s="60" t="s">
        <v>253</v>
      </c>
      <c r="C137" s="34">
        <v>4301031234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108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199" t="s">
        <v>254</v>
      </c>
      <c r="AG137" s="75"/>
      <c r="AJ137" s="79" t="s">
        <v>46</v>
      </c>
      <c r="AK137" s="79">
        <v>0</v>
      </c>
      <c r="BB137" s="20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252</v>
      </c>
      <c r="B138" s="60" t="s">
        <v>255</v>
      </c>
      <c r="C138" s="34">
        <v>4301031235</v>
      </c>
      <c r="D138" s="692">
        <v>4680115883444</v>
      </c>
      <c r="E138" s="69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108</v>
      </c>
      <c r="N138" s="36"/>
      <c r="O138" s="35">
        <v>90</v>
      </c>
      <c r="P138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4"/>
      <c r="R138" s="694"/>
      <c r="S138" s="694"/>
      <c r="T138" s="69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254</v>
      </c>
      <c r="AG138" s="75"/>
      <c r="AJ138" s="79" t="s">
        <v>46</v>
      </c>
      <c r="AK138" s="79">
        <v>0</v>
      </c>
      <c r="BB138" s="20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0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1"/>
      <c r="P139" s="697" t="s">
        <v>40</v>
      </c>
      <c r="Q139" s="698"/>
      <c r="R139" s="698"/>
      <c r="S139" s="698"/>
      <c r="T139" s="698"/>
      <c r="U139" s="698"/>
      <c r="V139" s="69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0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1"/>
      <c r="P140" s="697" t="s">
        <v>40</v>
      </c>
      <c r="Q140" s="698"/>
      <c r="R140" s="698"/>
      <c r="S140" s="698"/>
      <c r="T140" s="698"/>
      <c r="U140" s="698"/>
      <c r="V140" s="69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91" t="s">
        <v>85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3"/>
      <c r="AB141" s="63"/>
      <c r="AC141" s="63"/>
    </row>
    <row r="142" spans="1:68" ht="16.5" hidden="1" customHeight="1" x14ac:dyDescent="0.25">
      <c r="A142" s="60" t="s">
        <v>256</v>
      </c>
      <c r="B142" s="60" t="s">
        <v>257</v>
      </c>
      <c r="C142" s="34">
        <v>4301051476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60</v>
      </c>
      <c r="P142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3" t="s">
        <v>250</v>
      </c>
      <c r="AG142" s="75"/>
      <c r="AJ142" s="79" t="s">
        <v>46</v>
      </c>
      <c r="AK142" s="79">
        <v>0</v>
      </c>
      <c r="BB142" s="20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256</v>
      </c>
      <c r="B143" s="60" t="s">
        <v>258</v>
      </c>
      <c r="C143" s="34">
        <v>4301051477</v>
      </c>
      <c r="D143" s="692">
        <v>4680115882584</v>
      </c>
      <c r="E143" s="69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108</v>
      </c>
      <c r="N143" s="36"/>
      <c r="O143" s="35">
        <v>60</v>
      </c>
      <c r="P143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4"/>
      <c r="R143" s="694"/>
      <c r="S143" s="694"/>
      <c r="T143" s="69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250</v>
      </c>
      <c r="AG143" s="75"/>
      <c r="AJ143" s="79" t="s">
        <v>46</v>
      </c>
      <c r="AK143" s="79">
        <v>0</v>
      </c>
      <c r="BB143" s="20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0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697" t="s">
        <v>40</v>
      </c>
      <c r="Q144" s="698"/>
      <c r="R144" s="698"/>
      <c r="S144" s="698"/>
      <c r="T144" s="698"/>
      <c r="U144" s="698"/>
      <c r="V144" s="69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0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697" t="s">
        <v>40</v>
      </c>
      <c r="Q145" s="698"/>
      <c r="R145" s="698"/>
      <c r="S145" s="698"/>
      <c r="T145" s="698"/>
      <c r="U145" s="698"/>
      <c r="V145" s="69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90" t="s">
        <v>259</v>
      </c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62"/>
      <c r="AB146" s="62"/>
      <c r="AC146" s="62"/>
    </row>
    <row r="147" spans="1:68" ht="14.25" hidden="1" customHeight="1" x14ac:dyDescent="0.25">
      <c r="A147" s="691" t="s">
        <v>85</v>
      </c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3"/>
      <c r="AB147" s="63"/>
      <c r="AC147" s="63"/>
    </row>
    <row r="148" spans="1:68" ht="27" hidden="1" customHeight="1" x14ac:dyDescent="0.25">
      <c r="A148" s="60" t="s">
        <v>260</v>
      </c>
      <c r="B148" s="60" t="s">
        <v>261</v>
      </c>
      <c r="C148" s="34">
        <v>4301052174</v>
      </c>
      <c r="D148" s="692">
        <v>4680115888203</v>
      </c>
      <c r="E148" s="692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6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262</v>
      </c>
      <c r="AG148" s="75"/>
      <c r="AJ148" s="79" t="s">
        <v>46</v>
      </c>
      <c r="AK148" s="79">
        <v>0</v>
      </c>
      <c r="BB148" s="208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263</v>
      </c>
      <c r="B149" s="60" t="s">
        <v>264</v>
      </c>
      <c r="C149" s="34">
        <v>4301052172</v>
      </c>
      <c r="D149" s="692">
        <v>4680115888180</v>
      </c>
      <c r="E149" s="69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265</v>
      </c>
      <c r="AG149" s="75"/>
      <c r="AJ149" s="79" t="s">
        <v>46</v>
      </c>
      <c r="AK149" s="79">
        <v>0</v>
      </c>
      <c r="BB149" s="210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4301052173</v>
      </c>
      <c r="D150" s="692">
        <v>4680115888197</v>
      </c>
      <c r="E150" s="69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4301052175</v>
      </c>
      <c r="D151" s="692">
        <v>4680115888210</v>
      </c>
      <c r="E151" s="69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4"/>
      <c r="R151" s="694"/>
      <c r="S151" s="694"/>
      <c r="T151" s="69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0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697" t="s">
        <v>40</v>
      </c>
      <c r="Q152" s="698"/>
      <c r="R152" s="698"/>
      <c r="S152" s="698"/>
      <c r="T152" s="698"/>
      <c r="U152" s="698"/>
      <c r="V152" s="699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70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697" t="s">
        <v>40</v>
      </c>
      <c r="Q153" s="698"/>
      <c r="R153" s="698"/>
      <c r="S153" s="698"/>
      <c r="T153" s="698"/>
      <c r="U153" s="698"/>
      <c r="V153" s="699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90" t="s">
        <v>125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62"/>
      <c r="AB154" s="62"/>
      <c r="AC154" s="62"/>
    </row>
    <row r="155" spans="1:68" ht="14.25" hidden="1" customHeight="1" x14ac:dyDescent="0.25">
      <c r="A155" s="691" t="s">
        <v>127</v>
      </c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3"/>
      <c r="AB155" s="63"/>
      <c r="AC155" s="63"/>
    </row>
    <row r="156" spans="1:68" ht="16.5" hidden="1" customHeight="1" x14ac:dyDescent="0.25">
      <c r="A156" s="60" t="s">
        <v>272</v>
      </c>
      <c r="B156" s="60" t="s">
        <v>273</v>
      </c>
      <c r="C156" s="34">
        <v>4301012344</v>
      </c>
      <c r="D156" s="692">
        <v>4680115888876</v>
      </c>
      <c r="E156" s="692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90</v>
      </c>
      <c r="L156" s="35" t="s">
        <v>46</v>
      </c>
      <c r="M156" s="36" t="s">
        <v>89</v>
      </c>
      <c r="N156" s="36"/>
      <c r="O156" s="35">
        <v>55</v>
      </c>
      <c r="P156" s="7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4"/>
      <c r="R156" s="694"/>
      <c r="S156" s="694"/>
      <c r="T156" s="69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275</v>
      </c>
      <c r="AC156" s="215" t="s">
        <v>274</v>
      </c>
      <c r="AG156" s="75"/>
      <c r="AJ156" s="79" t="s">
        <v>46</v>
      </c>
      <c r="AK156" s="79">
        <v>0</v>
      </c>
      <c r="BB156" s="216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92">
        <v>4680115887374</v>
      </c>
      <c r="E157" s="69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132</v>
      </c>
      <c r="L157" s="35" t="s">
        <v>46</v>
      </c>
      <c r="M157" s="36" t="s">
        <v>131</v>
      </c>
      <c r="N157" s="36"/>
      <c r="O157" s="35">
        <v>55</v>
      </c>
      <c r="P157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4"/>
      <c r="R157" s="694"/>
      <c r="S157" s="694"/>
      <c r="T157" s="69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92">
        <v>4607091384604</v>
      </c>
      <c r="E158" s="69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139</v>
      </c>
      <c r="L158" s="35" t="s">
        <v>46</v>
      </c>
      <c r="M158" s="36" t="s">
        <v>131</v>
      </c>
      <c r="N158" s="36"/>
      <c r="O158" s="35">
        <v>50</v>
      </c>
      <c r="P158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4"/>
      <c r="R158" s="694"/>
      <c r="S158" s="694"/>
      <c r="T158" s="69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0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697" t="s">
        <v>40</v>
      </c>
      <c r="Q159" s="698"/>
      <c r="R159" s="698"/>
      <c r="S159" s="698"/>
      <c r="T159" s="698"/>
      <c r="U159" s="698"/>
      <c r="V159" s="699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70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697" t="s">
        <v>40</v>
      </c>
      <c r="Q160" s="698"/>
      <c r="R160" s="698"/>
      <c r="S160" s="698"/>
      <c r="T160" s="698"/>
      <c r="U160" s="698"/>
      <c r="V160" s="699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91" t="s">
        <v>163</v>
      </c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92">
        <v>4680115887695</v>
      </c>
      <c r="E162" s="69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81</v>
      </c>
      <c r="L162" s="35" t="s">
        <v>46</v>
      </c>
      <c r="M162" s="36" t="s">
        <v>80</v>
      </c>
      <c r="N162" s="36"/>
      <c r="O162" s="35">
        <v>30</v>
      </c>
      <c r="P162" s="7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70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697" t="s">
        <v>40</v>
      </c>
      <c r="Q163" s="698"/>
      <c r="R163" s="698"/>
      <c r="S163" s="698"/>
      <c r="T163" s="698"/>
      <c r="U163" s="698"/>
      <c r="V163" s="699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70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697" t="s">
        <v>40</v>
      </c>
      <c r="Q164" s="698"/>
      <c r="R164" s="698"/>
      <c r="S164" s="698"/>
      <c r="T164" s="698"/>
      <c r="U164" s="698"/>
      <c r="V164" s="699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76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92">
        <v>4680115887428</v>
      </c>
      <c r="E166" s="69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139</v>
      </c>
      <c r="L166" s="35" t="s">
        <v>46</v>
      </c>
      <c r="M166" s="36" t="s">
        <v>80</v>
      </c>
      <c r="N166" s="36"/>
      <c r="O166" s="35">
        <v>40</v>
      </c>
      <c r="P166" s="7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66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92">
        <v>4607091382426</v>
      </c>
      <c r="E167" s="69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132</v>
      </c>
      <c r="L167" s="35" t="s">
        <v>46</v>
      </c>
      <c r="M167" s="36" t="s">
        <v>80</v>
      </c>
      <c r="N167" s="36"/>
      <c r="O167" s="35">
        <v>40</v>
      </c>
      <c r="P167" s="7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66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4301031509</v>
      </c>
      <c r="D168" s="692">
        <v>4680115889170</v>
      </c>
      <c r="E168" s="692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139</v>
      </c>
      <c r="L168" s="35" t="s">
        <v>46</v>
      </c>
      <c r="M168" s="36" t="s">
        <v>80</v>
      </c>
      <c r="N168" s="36"/>
      <c r="O168" s="35">
        <v>45</v>
      </c>
      <c r="P168" s="7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4"/>
      <c r="R168" s="694"/>
      <c r="S168" s="694"/>
      <c r="T168" s="69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66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4301031498</v>
      </c>
      <c r="D169" s="692">
        <v>4680115887398</v>
      </c>
      <c r="E169" s="69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139</v>
      </c>
      <c r="L169" s="35" t="s">
        <v>46</v>
      </c>
      <c r="M169" s="36" t="s">
        <v>80</v>
      </c>
      <c r="N169" s="36"/>
      <c r="O169" s="35">
        <v>40</v>
      </c>
      <c r="P169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4"/>
      <c r="R169" s="694"/>
      <c r="S169" s="694"/>
      <c r="T169" s="69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66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297</v>
      </c>
      <c r="B170" s="60" t="s">
        <v>298</v>
      </c>
      <c r="C170" s="34">
        <v>4301031497</v>
      </c>
      <c r="D170" s="692">
        <v>4680115887336</v>
      </c>
      <c r="E170" s="69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139</v>
      </c>
      <c r="L170" s="35" t="s">
        <v>46</v>
      </c>
      <c r="M170" s="36" t="s">
        <v>80</v>
      </c>
      <c r="N170" s="36"/>
      <c r="O170" s="35">
        <v>40</v>
      </c>
      <c r="P170" s="7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4"/>
      <c r="R170" s="694"/>
      <c r="S170" s="694"/>
      <c r="T170" s="69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66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300</v>
      </c>
      <c r="B171" s="60" t="s">
        <v>301</v>
      </c>
      <c r="C171" s="34">
        <v>4301032049</v>
      </c>
      <c r="D171" s="692">
        <v>4680115887787</v>
      </c>
      <c r="E171" s="69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136</v>
      </c>
      <c r="L171" s="35" t="s">
        <v>46</v>
      </c>
      <c r="M171" s="36" t="s">
        <v>80</v>
      </c>
      <c r="N171" s="36"/>
      <c r="O171" s="35">
        <v>45</v>
      </c>
      <c r="P171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302</v>
      </c>
      <c r="AG171" s="75"/>
      <c r="AJ171" s="79" t="s">
        <v>46</v>
      </c>
      <c r="AK171" s="79">
        <v>0</v>
      </c>
      <c r="BB171" s="234" t="s">
        <v>66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303</v>
      </c>
      <c r="B172" s="60" t="s">
        <v>304</v>
      </c>
      <c r="C172" s="34">
        <v>4301031448</v>
      </c>
      <c r="D172" s="692">
        <v>4680115887503</v>
      </c>
      <c r="E172" s="69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81</v>
      </c>
      <c r="L172" s="35" t="s">
        <v>46</v>
      </c>
      <c r="M172" s="36" t="s">
        <v>80</v>
      </c>
      <c r="N172" s="36"/>
      <c r="O172" s="35">
        <v>40</v>
      </c>
      <c r="P172" s="7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287</v>
      </c>
      <c r="AG172" s="75"/>
      <c r="AJ172" s="79" t="s">
        <v>46</v>
      </c>
      <c r="AK172" s="79">
        <v>0</v>
      </c>
      <c r="BB172" s="236" t="s">
        <v>66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4301031389</v>
      </c>
      <c r="D173" s="692">
        <v>4680115887763</v>
      </c>
      <c r="E173" s="69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136</v>
      </c>
      <c r="L173" s="35" t="s">
        <v>46</v>
      </c>
      <c r="M173" s="36" t="s">
        <v>80</v>
      </c>
      <c r="N173" s="36"/>
      <c r="O173" s="35">
        <v>45</v>
      </c>
      <c r="P173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307</v>
      </c>
      <c r="AG173" s="75"/>
      <c r="AJ173" s="79" t="s">
        <v>46</v>
      </c>
      <c r="AK173" s="79">
        <v>0</v>
      </c>
      <c r="BB173" s="238" t="s">
        <v>66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305</v>
      </c>
      <c r="B174" s="60" t="s">
        <v>308</v>
      </c>
      <c r="C174" s="34">
        <v>4301031510</v>
      </c>
      <c r="D174" s="692">
        <v>4680115887763</v>
      </c>
      <c r="E174" s="69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136</v>
      </c>
      <c r="L174" s="35" t="s">
        <v>46</v>
      </c>
      <c r="M174" s="36" t="s">
        <v>80</v>
      </c>
      <c r="N174" s="36"/>
      <c r="O174" s="35">
        <v>45</v>
      </c>
      <c r="P174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307</v>
      </c>
      <c r="AG174" s="75"/>
      <c r="AJ174" s="79" t="s">
        <v>46</v>
      </c>
      <c r="AK174" s="79">
        <v>0</v>
      </c>
      <c r="BB174" s="240" t="s">
        <v>66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309</v>
      </c>
      <c r="B175" s="60" t="s">
        <v>310</v>
      </c>
      <c r="C175" s="34">
        <v>4301031454</v>
      </c>
      <c r="D175" s="692">
        <v>4680115887480</v>
      </c>
      <c r="E175" s="69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81</v>
      </c>
      <c r="L175" s="35" t="s">
        <v>46</v>
      </c>
      <c r="M175" s="36" t="s">
        <v>80</v>
      </c>
      <c r="N175" s="36"/>
      <c r="O175" s="35">
        <v>40</v>
      </c>
      <c r="P175" s="7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66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311</v>
      </c>
      <c r="B176" s="60" t="s">
        <v>312</v>
      </c>
      <c r="C176" s="34">
        <v>4301031434</v>
      </c>
      <c r="D176" s="692">
        <v>4680115888067</v>
      </c>
      <c r="E176" s="69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136</v>
      </c>
      <c r="L176" s="35" t="s">
        <v>46</v>
      </c>
      <c r="M176" s="36" t="s">
        <v>80</v>
      </c>
      <c r="N176" s="36"/>
      <c r="O176" s="35">
        <v>45</v>
      </c>
      <c r="P176" s="78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313</v>
      </c>
      <c r="AG176" s="75"/>
      <c r="AJ176" s="79" t="s">
        <v>46</v>
      </c>
      <c r="AK176" s="79">
        <v>0</v>
      </c>
      <c r="BB176" s="244" t="s">
        <v>66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4301031451</v>
      </c>
      <c r="D177" s="692">
        <v>4680115887435</v>
      </c>
      <c r="E177" s="69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81</v>
      </c>
      <c r="L177" s="35" t="s">
        <v>46</v>
      </c>
      <c r="M177" s="36" t="s">
        <v>80</v>
      </c>
      <c r="N177" s="36"/>
      <c r="O177" s="35">
        <v>40</v>
      </c>
      <c r="P177" s="7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299</v>
      </c>
      <c r="AG177" s="75"/>
      <c r="AJ177" s="79" t="s">
        <v>46</v>
      </c>
      <c r="AK177" s="79">
        <v>0</v>
      </c>
      <c r="BB177" s="246" t="s">
        <v>66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70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697" t="s">
        <v>40</v>
      </c>
      <c r="Q178" s="698"/>
      <c r="R178" s="698"/>
      <c r="S178" s="698"/>
      <c r="T178" s="698"/>
      <c r="U178" s="698"/>
      <c r="V178" s="699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70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697" t="s">
        <v>40</v>
      </c>
      <c r="Q179" s="698"/>
      <c r="R179" s="698"/>
      <c r="S179" s="698"/>
      <c r="T179" s="698"/>
      <c r="U179" s="698"/>
      <c r="V179" s="699"/>
      <c r="W179" s="40" t="s">
        <v>0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91" t="s">
        <v>85</v>
      </c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3"/>
      <c r="AB180" s="63"/>
      <c r="AC180" s="63"/>
    </row>
    <row r="181" spans="1:68" ht="16.5" hidden="1" customHeight="1" x14ac:dyDescent="0.25">
      <c r="A181" s="60" t="s">
        <v>316</v>
      </c>
      <c r="B181" s="60" t="s">
        <v>317</v>
      </c>
      <c r="C181" s="34">
        <v>4301052193</v>
      </c>
      <c r="D181" s="692">
        <v>4680115888395</v>
      </c>
      <c r="E181" s="69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90</v>
      </c>
      <c r="L181" s="35" t="s">
        <v>46</v>
      </c>
      <c r="M181" s="36" t="s">
        <v>96</v>
      </c>
      <c r="N181" s="36"/>
      <c r="O181" s="35">
        <v>40</v>
      </c>
      <c r="P181" s="78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4"/>
      <c r="R181" s="694"/>
      <c r="S181" s="694"/>
      <c r="T181" s="69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318</v>
      </c>
      <c r="AG181" s="75"/>
      <c r="AJ181" s="79" t="s">
        <v>46</v>
      </c>
      <c r="AK181" s="79">
        <v>0</v>
      </c>
      <c r="BB181" s="248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319</v>
      </c>
      <c r="B182" s="60" t="s">
        <v>320</v>
      </c>
      <c r="C182" s="34">
        <v>4301052191</v>
      </c>
      <c r="D182" s="692">
        <v>4680115888371</v>
      </c>
      <c r="E182" s="69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90</v>
      </c>
      <c r="L182" s="35" t="s">
        <v>46</v>
      </c>
      <c r="M182" s="36" t="s">
        <v>96</v>
      </c>
      <c r="N182" s="36"/>
      <c r="O182" s="35">
        <v>40</v>
      </c>
      <c r="P182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4"/>
      <c r="R182" s="694"/>
      <c r="S182" s="694"/>
      <c r="T182" s="69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321</v>
      </c>
      <c r="AG182" s="75"/>
      <c r="AJ182" s="79" t="s">
        <v>46</v>
      </c>
      <c r="AK182" s="79">
        <v>0</v>
      </c>
      <c r="BB182" s="250" t="s">
        <v>66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322</v>
      </c>
      <c r="B183" s="60" t="s">
        <v>323</v>
      </c>
      <c r="C183" s="34">
        <v>4301052064</v>
      </c>
      <c r="D183" s="692">
        <v>4680115887459</v>
      </c>
      <c r="E183" s="69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90</v>
      </c>
      <c r="L183" s="35" t="s">
        <v>46</v>
      </c>
      <c r="M183" s="36" t="s">
        <v>89</v>
      </c>
      <c r="N183" s="36"/>
      <c r="O183" s="35">
        <v>45</v>
      </c>
      <c r="P183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4"/>
      <c r="R183" s="694"/>
      <c r="S183" s="694"/>
      <c r="T183" s="69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324</v>
      </c>
      <c r="AG183" s="75"/>
      <c r="AJ183" s="79" t="s">
        <v>46</v>
      </c>
      <c r="AK183" s="79">
        <v>0</v>
      </c>
      <c r="BB183" s="252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70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697" t="s">
        <v>40</v>
      </c>
      <c r="Q184" s="698"/>
      <c r="R184" s="698"/>
      <c r="S184" s="698"/>
      <c r="T184" s="698"/>
      <c r="U184" s="698"/>
      <c r="V184" s="69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0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697" t="s">
        <v>40</v>
      </c>
      <c r="Q185" s="698"/>
      <c r="R185" s="698"/>
      <c r="S185" s="698"/>
      <c r="T185" s="698"/>
      <c r="U185" s="698"/>
      <c r="V185" s="69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91" t="s">
        <v>103</v>
      </c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3"/>
      <c r="AB186" s="63"/>
      <c r="AC186" s="63"/>
    </row>
    <row r="187" spans="1:68" ht="16.5" hidden="1" customHeight="1" x14ac:dyDescent="0.25">
      <c r="A187" s="60" t="s">
        <v>325</v>
      </c>
      <c r="B187" s="60" t="s">
        <v>326</v>
      </c>
      <c r="C187" s="34">
        <v>4301032058</v>
      </c>
      <c r="D187" s="692">
        <v>4680115889026</v>
      </c>
      <c r="E187" s="69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329</v>
      </c>
      <c r="L187" s="35" t="s">
        <v>46</v>
      </c>
      <c r="M187" s="36" t="s">
        <v>328</v>
      </c>
      <c r="N187" s="36"/>
      <c r="O187" s="35">
        <v>60</v>
      </c>
      <c r="P187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4"/>
      <c r="R187" s="694"/>
      <c r="S187" s="694"/>
      <c r="T187" s="69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327</v>
      </c>
      <c r="AG187" s="75"/>
      <c r="AJ187" s="79" t="s">
        <v>46</v>
      </c>
      <c r="AK187" s="79">
        <v>0</v>
      </c>
      <c r="BB187" s="254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330</v>
      </c>
      <c r="B188" s="60" t="s">
        <v>331</v>
      </c>
      <c r="C188" s="34">
        <v>4301032057</v>
      </c>
      <c r="D188" s="692">
        <v>4680115889088</v>
      </c>
      <c r="E188" s="69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329</v>
      </c>
      <c r="L188" s="35" t="s">
        <v>46</v>
      </c>
      <c r="M188" s="36" t="s">
        <v>328</v>
      </c>
      <c r="N188" s="36"/>
      <c r="O188" s="35">
        <v>45</v>
      </c>
      <c r="P188" s="78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4"/>
      <c r="R188" s="694"/>
      <c r="S188" s="694"/>
      <c r="T188" s="69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332</v>
      </c>
      <c r="AG188" s="75"/>
      <c r="AJ188" s="79" t="s">
        <v>46</v>
      </c>
      <c r="AK188" s="79">
        <v>0</v>
      </c>
      <c r="BB188" s="256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70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1"/>
      <c r="P189" s="697" t="s">
        <v>40</v>
      </c>
      <c r="Q189" s="698"/>
      <c r="R189" s="698"/>
      <c r="S189" s="698"/>
      <c r="T189" s="698"/>
      <c r="U189" s="698"/>
      <c r="V189" s="69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70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1"/>
      <c r="P190" s="697" t="s">
        <v>40</v>
      </c>
      <c r="Q190" s="698"/>
      <c r="R190" s="698"/>
      <c r="S190" s="698"/>
      <c r="T190" s="698"/>
      <c r="U190" s="698"/>
      <c r="V190" s="69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91" t="s">
        <v>333</v>
      </c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3"/>
      <c r="AB191" s="63"/>
      <c r="AC191" s="63"/>
    </row>
    <row r="192" spans="1:68" ht="27" hidden="1" customHeight="1" x14ac:dyDescent="0.25">
      <c r="A192" s="60" t="s">
        <v>334</v>
      </c>
      <c r="B192" s="60" t="s">
        <v>335</v>
      </c>
      <c r="C192" s="34">
        <v>4301041009</v>
      </c>
      <c r="D192" s="692">
        <v>4680115889033</v>
      </c>
      <c r="E192" s="69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329</v>
      </c>
      <c r="L192" s="35" t="s">
        <v>46</v>
      </c>
      <c r="M192" s="36" t="s">
        <v>328</v>
      </c>
      <c r="N192" s="36"/>
      <c r="O192" s="35">
        <v>60</v>
      </c>
      <c r="P192" s="7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4"/>
      <c r="R192" s="694"/>
      <c r="S192" s="694"/>
      <c r="T192" s="69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336</v>
      </c>
      <c r="AG192" s="75"/>
      <c r="AJ192" s="79" t="s">
        <v>46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0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1"/>
      <c r="P193" s="697" t="s">
        <v>40</v>
      </c>
      <c r="Q193" s="698"/>
      <c r="R193" s="698"/>
      <c r="S193" s="698"/>
      <c r="T193" s="698"/>
      <c r="U193" s="698"/>
      <c r="V193" s="69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70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1"/>
      <c r="P194" s="697" t="s">
        <v>40</v>
      </c>
      <c r="Q194" s="698"/>
      <c r="R194" s="698"/>
      <c r="S194" s="698"/>
      <c r="T194" s="698"/>
      <c r="U194" s="698"/>
      <c r="V194" s="69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9" t="s">
        <v>337</v>
      </c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52"/>
      <c r="AB195" s="52"/>
      <c r="AC195" s="52"/>
    </row>
    <row r="196" spans="1:68" ht="16.5" hidden="1" customHeight="1" x14ac:dyDescent="0.25">
      <c r="A196" s="690" t="s">
        <v>338</v>
      </c>
      <c r="B196" s="690"/>
      <c r="C196" s="690"/>
      <c r="D196" s="690"/>
      <c r="E196" s="690"/>
      <c r="F196" s="690"/>
      <c r="G196" s="690"/>
      <c r="H196" s="690"/>
      <c r="I196" s="690"/>
      <c r="J196" s="690"/>
      <c r="K196" s="690"/>
      <c r="L196" s="690"/>
      <c r="M196" s="690"/>
      <c r="N196" s="690"/>
      <c r="O196" s="690"/>
      <c r="P196" s="690"/>
      <c r="Q196" s="690"/>
      <c r="R196" s="690"/>
      <c r="S196" s="690"/>
      <c r="T196" s="690"/>
      <c r="U196" s="690"/>
      <c r="V196" s="690"/>
      <c r="W196" s="690"/>
      <c r="X196" s="690"/>
      <c r="Y196" s="690"/>
      <c r="Z196" s="690"/>
      <c r="AA196" s="62"/>
      <c r="AB196" s="62"/>
      <c r="AC196" s="62"/>
    </row>
    <row r="197" spans="1:68" ht="14.25" hidden="1" customHeight="1" x14ac:dyDescent="0.25">
      <c r="A197" s="691" t="s">
        <v>127</v>
      </c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3"/>
      <c r="AB197" s="63"/>
      <c r="AC197" s="63"/>
    </row>
    <row r="198" spans="1:68" ht="27" hidden="1" customHeight="1" x14ac:dyDescent="0.25">
      <c r="A198" s="60" t="s">
        <v>339</v>
      </c>
      <c r="B198" s="60" t="s">
        <v>340</v>
      </c>
      <c r="C198" s="34">
        <v>4301011223</v>
      </c>
      <c r="D198" s="692">
        <v>4607091383423</v>
      </c>
      <c r="E198" s="692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132</v>
      </c>
      <c r="L198" s="35" t="s">
        <v>46</v>
      </c>
      <c r="M198" s="36" t="s">
        <v>89</v>
      </c>
      <c r="N198" s="36"/>
      <c r="O198" s="35">
        <v>35</v>
      </c>
      <c r="P198" s="78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4"/>
      <c r="R198" s="694"/>
      <c r="S198" s="694"/>
      <c r="T198" s="69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130</v>
      </c>
      <c r="AG198" s="75"/>
      <c r="AJ198" s="79" t="s">
        <v>46</v>
      </c>
      <c r="AK198" s="79">
        <v>0</v>
      </c>
      <c r="BB198" s="260" t="s">
        <v>66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4301012340</v>
      </c>
      <c r="D199" s="692">
        <v>4680115888760</v>
      </c>
      <c r="E199" s="69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132</v>
      </c>
      <c r="L199" s="35" t="s">
        <v>46</v>
      </c>
      <c r="M199" s="36" t="s">
        <v>89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343</v>
      </c>
      <c r="AG199" s="75"/>
      <c r="AJ199" s="79" t="s">
        <v>46</v>
      </c>
      <c r="AK199" s="79">
        <v>0</v>
      </c>
      <c r="BB199" s="262" t="s">
        <v>66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4301012341</v>
      </c>
      <c r="D200" s="692">
        <v>4680115888807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132</v>
      </c>
      <c r="L200" s="35" t="s">
        <v>46</v>
      </c>
      <c r="M200" s="36" t="s">
        <v>89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346</v>
      </c>
      <c r="AG200" s="75"/>
      <c r="AJ200" s="79" t="s">
        <v>46</v>
      </c>
      <c r="AK200" s="79">
        <v>0</v>
      </c>
      <c r="BB200" s="264" t="s">
        <v>66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4301012342</v>
      </c>
      <c r="D201" s="692">
        <v>4680115888852</v>
      </c>
      <c r="E201" s="692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132</v>
      </c>
      <c r="L201" s="35" t="s">
        <v>46</v>
      </c>
      <c r="M201" s="36" t="s">
        <v>89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349</v>
      </c>
      <c r="AG201" s="75"/>
      <c r="AJ201" s="79" t="s">
        <v>46</v>
      </c>
      <c r="AK201" s="79">
        <v>0</v>
      </c>
      <c r="BB201" s="266" t="s">
        <v>66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350</v>
      </c>
      <c r="B202" s="60" t="s">
        <v>351</v>
      </c>
      <c r="C202" s="34">
        <v>4301012370</v>
      </c>
      <c r="D202" s="692">
        <v>4680115886957</v>
      </c>
      <c r="E202" s="69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132</v>
      </c>
      <c r="L202" s="35" t="s">
        <v>46</v>
      </c>
      <c r="M202" s="36" t="s">
        <v>89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352</v>
      </c>
      <c r="AG202" s="75"/>
      <c r="AJ202" s="79" t="s">
        <v>46</v>
      </c>
      <c r="AK202" s="79">
        <v>0</v>
      </c>
      <c r="BB202" s="268" t="s">
        <v>66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4301012098</v>
      </c>
      <c r="D203" s="692">
        <v>4680115885660</v>
      </c>
      <c r="E203" s="69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132</v>
      </c>
      <c r="L203" s="35" t="s">
        <v>46</v>
      </c>
      <c r="M203" s="36" t="s">
        <v>89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355</v>
      </c>
      <c r="AG203" s="75"/>
      <c r="AJ203" s="79" t="s">
        <v>46</v>
      </c>
      <c r="AK203" s="79">
        <v>0</v>
      </c>
      <c r="BB203" s="270" t="s">
        <v>66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356</v>
      </c>
      <c r="B204" s="60" t="s">
        <v>357</v>
      </c>
      <c r="C204" s="34">
        <v>4301012369</v>
      </c>
      <c r="D204" s="692">
        <v>4680115886773</v>
      </c>
      <c r="E204" s="69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132</v>
      </c>
      <c r="L204" s="35" t="s">
        <v>46</v>
      </c>
      <c r="M204" s="36" t="s">
        <v>89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358</v>
      </c>
      <c r="AG204" s="75"/>
      <c r="AJ204" s="79" t="s">
        <v>46</v>
      </c>
      <c r="AK204" s="79">
        <v>0</v>
      </c>
      <c r="BB204" s="272" t="s">
        <v>66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70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1"/>
      <c r="P205" s="697" t="s">
        <v>40</v>
      </c>
      <c r="Q205" s="698"/>
      <c r="R205" s="698"/>
      <c r="S205" s="698"/>
      <c r="T205" s="698"/>
      <c r="U205" s="698"/>
      <c r="V205" s="69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70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1"/>
      <c r="P206" s="697" t="s">
        <v>40</v>
      </c>
      <c r="Q206" s="698"/>
      <c r="R206" s="698"/>
      <c r="S206" s="698"/>
      <c r="T206" s="698"/>
      <c r="U206" s="698"/>
      <c r="V206" s="69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90" t="s">
        <v>359</v>
      </c>
      <c r="B207" s="690"/>
      <c r="C207" s="690"/>
      <c r="D207" s="690"/>
      <c r="E207" s="690"/>
      <c r="F207" s="690"/>
      <c r="G207" s="690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  <c r="AA207" s="62"/>
      <c r="AB207" s="62"/>
      <c r="AC207" s="62"/>
    </row>
    <row r="208" spans="1:68" ht="14.25" hidden="1" customHeight="1" x14ac:dyDescent="0.25">
      <c r="A208" s="691" t="s">
        <v>163</v>
      </c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3"/>
      <c r="AB208" s="63"/>
      <c r="AC208" s="63"/>
    </row>
    <row r="209" spans="1:68" ht="27" hidden="1" customHeight="1" x14ac:dyDescent="0.25">
      <c r="A209" s="60" t="s">
        <v>360</v>
      </c>
      <c r="B209" s="60" t="s">
        <v>361</v>
      </c>
      <c r="C209" s="34">
        <v>4301020323</v>
      </c>
      <c r="D209" s="692">
        <v>4680115886223</v>
      </c>
      <c r="E209" s="69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81</v>
      </c>
      <c r="L209" s="35" t="s">
        <v>46</v>
      </c>
      <c r="M209" s="36" t="s">
        <v>80</v>
      </c>
      <c r="N209" s="36"/>
      <c r="O209" s="35">
        <v>40</v>
      </c>
      <c r="P20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4"/>
      <c r="R209" s="694"/>
      <c r="S209" s="694"/>
      <c r="T209" s="69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362</v>
      </c>
      <c r="AG209" s="75"/>
      <c r="AJ209" s="79" t="s">
        <v>46</v>
      </c>
      <c r="AK209" s="79">
        <v>0</v>
      </c>
      <c r="BB209" s="274" t="s">
        <v>66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0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1"/>
      <c r="P210" s="697" t="s">
        <v>40</v>
      </c>
      <c r="Q210" s="698"/>
      <c r="R210" s="698"/>
      <c r="S210" s="698"/>
      <c r="T210" s="698"/>
      <c r="U210" s="698"/>
      <c r="V210" s="69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0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1"/>
      <c r="P211" s="697" t="s">
        <v>40</v>
      </c>
      <c r="Q211" s="698"/>
      <c r="R211" s="698"/>
      <c r="S211" s="698"/>
      <c r="T211" s="698"/>
      <c r="U211" s="698"/>
      <c r="V211" s="69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91" t="s">
        <v>76</v>
      </c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3"/>
      <c r="AB212" s="63"/>
      <c r="AC212" s="63"/>
    </row>
    <row r="213" spans="1:68" ht="27" hidden="1" customHeight="1" x14ac:dyDescent="0.25">
      <c r="A213" s="60" t="s">
        <v>363</v>
      </c>
      <c r="B213" s="60" t="s">
        <v>364</v>
      </c>
      <c r="C213" s="34">
        <v>4301031191</v>
      </c>
      <c r="D213" s="692">
        <v>4680115880993</v>
      </c>
      <c r="E213" s="69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139</v>
      </c>
      <c r="L213" s="35" t="s">
        <v>46</v>
      </c>
      <c r="M213" s="36" t="s">
        <v>80</v>
      </c>
      <c r="N213" s="36"/>
      <c r="O213" s="35">
        <v>40</v>
      </c>
      <c r="P213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4"/>
      <c r="R213" s="694"/>
      <c r="S213" s="694"/>
      <c r="T213" s="69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365</v>
      </c>
      <c r="AG213" s="75"/>
      <c r="AJ213" s="79" t="s">
        <v>46</v>
      </c>
      <c r="AK213" s="79">
        <v>0</v>
      </c>
      <c r="BB213" s="276" t="s">
        <v>66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366</v>
      </c>
      <c r="B214" s="60" t="s">
        <v>367</v>
      </c>
      <c r="C214" s="34">
        <v>4301031204</v>
      </c>
      <c r="D214" s="692">
        <v>4680115881761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139</v>
      </c>
      <c r="L214" s="35" t="s">
        <v>46</v>
      </c>
      <c r="M214" s="36" t="s">
        <v>80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66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4301031201</v>
      </c>
      <c r="D215" s="692">
        <v>4680115881563</v>
      </c>
      <c r="E215" s="69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139</v>
      </c>
      <c r="L215" s="35" t="s">
        <v>46</v>
      </c>
      <c r="M215" s="36" t="s">
        <v>80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66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372</v>
      </c>
      <c r="B216" s="60" t="s">
        <v>373</v>
      </c>
      <c r="C216" s="34">
        <v>4301031447</v>
      </c>
      <c r="D216" s="692">
        <v>4680115887565</v>
      </c>
      <c r="E216" s="69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81</v>
      </c>
      <c r="L216" s="35" t="s">
        <v>46</v>
      </c>
      <c r="M216" s="36" t="s">
        <v>80</v>
      </c>
      <c r="N216" s="36"/>
      <c r="O216" s="35">
        <v>45</v>
      </c>
      <c r="P216" s="8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66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4301031199</v>
      </c>
      <c r="D217" s="692">
        <v>4680115880986</v>
      </c>
      <c r="E217" s="69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81</v>
      </c>
      <c r="L217" s="35" t="s">
        <v>46</v>
      </c>
      <c r="M217" s="36" t="s">
        <v>80</v>
      </c>
      <c r="N217" s="36"/>
      <c r="O217" s="35">
        <v>40</v>
      </c>
      <c r="P217" s="8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 t="s">
        <v>46</v>
      </c>
      <c r="AB217" s="66" t="s">
        <v>46</v>
      </c>
      <c r="AC217" s="283" t="s">
        <v>365</v>
      </c>
      <c r="AG217" s="75"/>
      <c r="AJ217" s="79" t="s">
        <v>46</v>
      </c>
      <c r="AK217" s="79">
        <v>0</v>
      </c>
      <c r="BB217" s="284" t="s">
        <v>66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377</v>
      </c>
      <c r="B218" s="60" t="s">
        <v>378</v>
      </c>
      <c r="C218" s="34">
        <v>4301031443</v>
      </c>
      <c r="D218" s="692">
        <v>4680115887213</v>
      </c>
      <c r="E218" s="69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379</v>
      </c>
      <c r="AG218" s="75"/>
      <c r="AJ218" s="79" t="s">
        <v>46</v>
      </c>
      <c r="AK218" s="79">
        <v>0</v>
      </c>
      <c r="BB218" s="286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380</v>
      </c>
      <c r="B219" s="60" t="s">
        <v>381</v>
      </c>
      <c r="C219" s="34">
        <v>4301031205</v>
      </c>
      <c r="D219" s="692">
        <v>4680115881785</v>
      </c>
      <c r="E219" s="69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1"/>
        <v>0</v>
      </c>
      <c r="Z219" s="39" t="str">
        <f t="shared" si="26"/>
        <v/>
      </c>
      <c r="AA219" s="65" t="s">
        <v>46</v>
      </c>
      <c r="AB219" s="66" t="s">
        <v>46</v>
      </c>
      <c r="AC219" s="287" t="s">
        <v>368</v>
      </c>
      <c r="AG219" s="75"/>
      <c r="AJ219" s="79" t="s">
        <v>46</v>
      </c>
      <c r="AK219" s="79">
        <v>0</v>
      </c>
      <c r="BB219" s="288" t="s">
        <v>66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382</v>
      </c>
      <c r="B220" s="60" t="s">
        <v>383</v>
      </c>
      <c r="C220" s="34">
        <v>4301031499</v>
      </c>
      <c r="D220" s="692">
        <v>4680115888432</v>
      </c>
      <c r="E220" s="69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0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384</v>
      </c>
      <c r="AG220" s="75"/>
      <c r="AJ220" s="79" t="s">
        <v>46</v>
      </c>
      <c r="AK220" s="79">
        <v>0</v>
      </c>
      <c r="BB220" s="290" t="s">
        <v>66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4301031427</v>
      </c>
      <c r="D221" s="692">
        <v>4680115888104</v>
      </c>
      <c r="E221" s="69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4301031399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390</v>
      </c>
      <c r="AG222" s="75"/>
      <c r="AJ222" s="79" t="s">
        <v>46</v>
      </c>
      <c r="AK222" s="79">
        <v>0</v>
      </c>
      <c r="BB222" s="294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136</v>
      </c>
      <c r="L223" s="35" t="s">
        <v>46</v>
      </c>
      <c r="M223" s="36" t="s">
        <v>80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393</v>
      </c>
      <c r="AG223" s="75"/>
      <c r="AJ223" s="79" t="s">
        <v>46</v>
      </c>
      <c r="AK223" s="79">
        <v>0</v>
      </c>
      <c r="BB223" s="296" t="s">
        <v>66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394</v>
      </c>
      <c r="B224" s="60" t="s">
        <v>395</v>
      </c>
      <c r="C224" s="34">
        <v>4301031202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371</v>
      </c>
      <c r="AG224" s="75"/>
      <c r="AJ224" s="79" t="s">
        <v>46</v>
      </c>
      <c r="AK224" s="79">
        <v>0</v>
      </c>
      <c r="BB224" s="298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396</v>
      </c>
      <c r="B225" s="60" t="s">
        <v>397</v>
      </c>
      <c r="C225" s="34">
        <v>4301031158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90</v>
      </c>
      <c r="L225" s="35" t="s">
        <v>46</v>
      </c>
      <c r="M225" s="36" t="s">
        <v>80</v>
      </c>
      <c r="N225" s="36"/>
      <c r="O225" s="35">
        <v>40</v>
      </c>
      <c r="P225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371</v>
      </c>
      <c r="AG225" s="75"/>
      <c r="AJ225" s="79" t="s">
        <v>46</v>
      </c>
      <c r="AK225" s="79">
        <v>0</v>
      </c>
      <c r="BB225" s="300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398</v>
      </c>
      <c r="B226" s="60" t="s">
        <v>399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400</v>
      </c>
      <c r="AG226" s="75"/>
      <c r="AJ226" s="79" t="s">
        <v>46</v>
      </c>
      <c r="AK226" s="79">
        <v>0</v>
      </c>
      <c r="BB226" s="30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70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1"/>
      <c r="P227" s="697" t="s">
        <v>40</v>
      </c>
      <c r="Q227" s="698"/>
      <c r="R227" s="698"/>
      <c r="S227" s="698"/>
      <c r="T227" s="698"/>
      <c r="U227" s="698"/>
      <c r="V227" s="69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70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1"/>
      <c r="P228" s="697" t="s">
        <v>40</v>
      </c>
      <c r="Q228" s="698"/>
      <c r="R228" s="698"/>
      <c r="S228" s="698"/>
      <c r="T228" s="698"/>
      <c r="U228" s="698"/>
      <c r="V228" s="699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91" t="s">
        <v>85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27" hidden="1" customHeight="1" x14ac:dyDescent="0.25">
      <c r="A230" s="60" t="s">
        <v>401</v>
      </c>
      <c r="B230" s="60" t="s">
        <v>402</v>
      </c>
      <c r="C230" s="34">
        <v>4301052178</v>
      </c>
      <c r="D230" s="692">
        <v>4680115888975</v>
      </c>
      <c r="E230" s="69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139</v>
      </c>
      <c r="L230" s="35" t="s">
        <v>46</v>
      </c>
      <c r="M230" s="36" t="s">
        <v>96</v>
      </c>
      <c r="N230" s="36"/>
      <c r="O230" s="35">
        <v>35</v>
      </c>
      <c r="P230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275</v>
      </c>
      <c r="AC230" s="303" t="s">
        <v>403</v>
      </c>
      <c r="AG230" s="75"/>
      <c r="AJ230" s="79" t="s">
        <v>46</v>
      </c>
      <c r="AK230" s="79">
        <v>0</v>
      </c>
      <c r="BB230" s="304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404</v>
      </c>
      <c r="B231" s="60" t="s">
        <v>405</v>
      </c>
      <c r="C231" s="34">
        <v>4301052209</v>
      </c>
      <c r="D231" s="692">
        <v>4680115888692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132</v>
      </c>
      <c r="L231" s="35" t="s">
        <v>46</v>
      </c>
      <c r="M231" s="36" t="s">
        <v>96</v>
      </c>
      <c r="N231" s="36"/>
      <c r="O231" s="35">
        <v>35</v>
      </c>
      <c r="P231" s="81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406</v>
      </c>
      <c r="AG231" s="75"/>
      <c r="AJ231" s="79" t="s">
        <v>46</v>
      </c>
      <c r="AK231" s="79">
        <v>0</v>
      </c>
      <c r="BB231" s="306" t="s">
        <v>66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407</v>
      </c>
      <c r="B232" s="60" t="s">
        <v>408</v>
      </c>
      <c r="C232" s="34">
        <v>4301052213</v>
      </c>
      <c r="D232" s="692">
        <v>4680115888722</v>
      </c>
      <c r="E232" s="69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132</v>
      </c>
      <c r="L232" s="35" t="s">
        <v>46</v>
      </c>
      <c r="M232" s="36" t="s">
        <v>96</v>
      </c>
      <c r="N232" s="36"/>
      <c r="O232" s="35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409</v>
      </c>
      <c r="AG232" s="75"/>
      <c r="AJ232" s="79" t="s">
        <v>46</v>
      </c>
      <c r="AK232" s="79">
        <v>0</v>
      </c>
      <c r="BB232" s="308" t="s">
        <v>66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410</v>
      </c>
      <c r="B233" s="60" t="s">
        <v>411</v>
      </c>
      <c r="C233" s="34">
        <v>4301052177</v>
      </c>
      <c r="D233" s="692">
        <v>4680115888951</v>
      </c>
      <c r="E233" s="69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139</v>
      </c>
      <c r="L233" s="35" t="s">
        <v>46</v>
      </c>
      <c r="M233" s="36" t="s">
        <v>96</v>
      </c>
      <c r="N233" s="36"/>
      <c r="O233" s="35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412</v>
      </c>
      <c r="AG233" s="75"/>
      <c r="AJ233" s="79" t="s">
        <v>46</v>
      </c>
      <c r="AK233" s="79">
        <v>0</v>
      </c>
      <c r="BB233" s="310" t="s">
        <v>66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413</v>
      </c>
      <c r="B234" s="60" t="s">
        <v>414</v>
      </c>
      <c r="C234" s="34">
        <v>4301052176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139</v>
      </c>
      <c r="L234" s="35" t="s">
        <v>46</v>
      </c>
      <c r="M234" s="36" t="s">
        <v>96</v>
      </c>
      <c r="N234" s="36"/>
      <c r="O234" s="35">
        <v>35</v>
      </c>
      <c r="P234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409</v>
      </c>
      <c r="AG234" s="75"/>
      <c r="AJ234" s="79" t="s">
        <v>46</v>
      </c>
      <c r="AK234" s="79">
        <v>0</v>
      </c>
      <c r="BB234" s="312" t="s">
        <v>66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70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1"/>
      <c r="P235" s="697" t="s">
        <v>40</v>
      </c>
      <c r="Q235" s="698"/>
      <c r="R235" s="698"/>
      <c r="S235" s="698"/>
      <c r="T235" s="698"/>
      <c r="U235" s="698"/>
      <c r="V235" s="69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0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1"/>
      <c r="P236" s="697" t="s">
        <v>40</v>
      </c>
      <c r="Q236" s="698"/>
      <c r="R236" s="698"/>
      <c r="S236" s="698"/>
      <c r="T236" s="698"/>
      <c r="U236" s="698"/>
      <c r="V236" s="69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103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hidden="1" customHeight="1" x14ac:dyDescent="0.25">
      <c r="A238" s="60" t="s">
        <v>415</v>
      </c>
      <c r="B238" s="60" t="s">
        <v>416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329</v>
      </c>
      <c r="L238" s="35" t="s">
        <v>46</v>
      </c>
      <c r="M238" s="36" t="s">
        <v>328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417</v>
      </c>
      <c r="AG238" s="75"/>
      <c r="AJ238" s="79" t="s">
        <v>46</v>
      </c>
      <c r="AK238" s="79">
        <v>0</v>
      </c>
      <c r="BB238" s="314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418</v>
      </c>
      <c r="B239" s="60" t="s">
        <v>419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329</v>
      </c>
      <c r="L239" s="35" t="s">
        <v>46</v>
      </c>
      <c r="M239" s="36" t="s">
        <v>328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420</v>
      </c>
      <c r="AG239" s="75"/>
      <c r="AJ239" s="79" t="s">
        <v>46</v>
      </c>
      <c r="AK239" s="79">
        <v>0</v>
      </c>
      <c r="BB239" s="316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421</v>
      </c>
      <c r="B240" s="60" t="s">
        <v>422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329</v>
      </c>
      <c r="L240" s="35" t="s">
        <v>46</v>
      </c>
      <c r="M240" s="36" t="s">
        <v>328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420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0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1"/>
      <c r="P241" s="697" t="s">
        <v>40</v>
      </c>
      <c r="Q241" s="698"/>
      <c r="R241" s="698"/>
      <c r="S241" s="698"/>
      <c r="T241" s="698"/>
      <c r="U241" s="698"/>
      <c r="V241" s="699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0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1"/>
      <c r="P242" s="697" t="s">
        <v>40</v>
      </c>
      <c r="Q242" s="698"/>
      <c r="R242" s="698"/>
      <c r="S242" s="698"/>
      <c r="T242" s="698"/>
      <c r="U242" s="698"/>
      <c r="V242" s="699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91" t="s">
        <v>423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hidden="1" customHeight="1" x14ac:dyDescent="0.25">
      <c r="A244" s="60" t="s">
        <v>424</v>
      </c>
      <c r="B244" s="60" t="s">
        <v>425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329</v>
      </c>
      <c r="L244" s="35" t="s">
        <v>46</v>
      </c>
      <c r="M244" s="36" t="s">
        <v>328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420</v>
      </c>
      <c r="AG244" s="75"/>
      <c r="AJ244" s="79" t="s">
        <v>46</v>
      </c>
      <c r="AK244" s="79">
        <v>0</v>
      </c>
      <c r="BB244" s="320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0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1"/>
      <c r="P245" s="697" t="s">
        <v>40</v>
      </c>
      <c r="Q245" s="698"/>
      <c r="R245" s="698"/>
      <c r="S245" s="698"/>
      <c r="T245" s="698"/>
      <c r="U245" s="698"/>
      <c r="V245" s="699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70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1"/>
      <c r="P246" s="697" t="s">
        <v>40</v>
      </c>
      <c r="Q246" s="698"/>
      <c r="R246" s="698"/>
      <c r="S246" s="698"/>
      <c r="T246" s="698"/>
      <c r="U246" s="698"/>
      <c r="V246" s="699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90" t="s">
        <v>426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127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427</v>
      </c>
      <c r="B249" s="60" t="s">
        <v>428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132</v>
      </c>
      <c r="L249" s="35" t="s">
        <v>46</v>
      </c>
      <c r="M249" s="36" t="s">
        <v>131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429</v>
      </c>
      <c r="AG249" s="75"/>
      <c r="AJ249" s="79" t="s">
        <v>46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430</v>
      </c>
      <c r="B250" s="60" t="s">
        <v>431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90</v>
      </c>
      <c r="L250" s="35" t="s">
        <v>46</v>
      </c>
      <c r="M250" s="36" t="s">
        <v>131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429</v>
      </c>
      <c r="AG250" s="75"/>
      <c r="AJ250" s="79" t="s">
        <v>46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0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1"/>
      <c r="P251" s="697" t="s">
        <v>40</v>
      </c>
      <c r="Q251" s="698"/>
      <c r="R251" s="698"/>
      <c r="S251" s="698"/>
      <c r="T251" s="698"/>
      <c r="U251" s="698"/>
      <c r="V251" s="69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70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1"/>
      <c r="P252" s="697" t="s">
        <v>40</v>
      </c>
      <c r="Q252" s="698"/>
      <c r="R252" s="698"/>
      <c r="S252" s="698"/>
      <c r="T252" s="698"/>
      <c r="U252" s="698"/>
      <c r="V252" s="69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163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432</v>
      </c>
      <c r="B254" s="60" t="s">
        <v>433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132</v>
      </c>
      <c r="L254" s="35" t="s">
        <v>46</v>
      </c>
      <c r="M254" s="36" t="s">
        <v>131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434</v>
      </c>
      <c r="AG254" s="75"/>
      <c r="AJ254" s="79" t="s">
        <v>46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435</v>
      </c>
      <c r="B255" s="60" t="s">
        <v>436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90</v>
      </c>
      <c r="L255" s="35" t="s">
        <v>46</v>
      </c>
      <c r="M255" s="36" t="s">
        <v>131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434</v>
      </c>
      <c r="AG255" s="75"/>
      <c r="AJ255" s="79" t="s">
        <v>46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0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1"/>
      <c r="P256" s="697" t="s">
        <v>40</v>
      </c>
      <c r="Q256" s="698"/>
      <c r="R256" s="698"/>
      <c r="S256" s="698"/>
      <c r="T256" s="698"/>
      <c r="U256" s="698"/>
      <c r="V256" s="69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0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1"/>
      <c r="P257" s="697" t="s">
        <v>40</v>
      </c>
      <c r="Q257" s="698"/>
      <c r="R257" s="698"/>
      <c r="S257" s="698"/>
      <c r="T257" s="698"/>
      <c r="U257" s="698"/>
      <c r="V257" s="69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76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hidden="1" customHeight="1" x14ac:dyDescent="0.25">
      <c r="A259" s="60" t="s">
        <v>437</v>
      </c>
      <c r="B259" s="60" t="s">
        <v>438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139</v>
      </c>
      <c r="L259" s="35" t="s">
        <v>46</v>
      </c>
      <c r="M259" s="36" t="s">
        <v>80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439</v>
      </c>
      <c r="AG259" s="75"/>
      <c r="AJ259" s="79" t="s">
        <v>46</v>
      </c>
      <c r="AK259" s="79">
        <v>0</v>
      </c>
      <c r="BB259" s="330" t="s">
        <v>66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440</v>
      </c>
      <c r="B260" s="60" t="s">
        <v>441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139</v>
      </c>
      <c r="L260" s="35" t="s">
        <v>46</v>
      </c>
      <c r="M260" s="36" t="s">
        <v>80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442</v>
      </c>
      <c r="AG260" s="75"/>
      <c r="AJ260" s="79" t="s">
        <v>46</v>
      </c>
      <c r="AK260" s="79">
        <v>0</v>
      </c>
      <c r="BB260" s="332" t="s">
        <v>66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443</v>
      </c>
      <c r="B261" s="60" t="s">
        <v>444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139</v>
      </c>
      <c r="L261" s="35" t="s">
        <v>46</v>
      </c>
      <c r="M261" s="36" t="s">
        <v>80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445</v>
      </c>
      <c r="AG261" s="75"/>
      <c r="AJ261" s="79" t="s">
        <v>46</v>
      </c>
      <c r="AK261" s="79">
        <v>0</v>
      </c>
      <c r="BB261" s="334" t="s">
        <v>66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446</v>
      </c>
      <c r="B262" s="60" t="s">
        <v>447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139</v>
      </c>
      <c r="L262" s="35" t="s">
        <v>46</v>
      </c>
      <c r="M262" s="36" t="s">
        <v>80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448</v>
      </c>
      <c r="AG262" s="75"/>
      <c r="AJ262" s="79" t="s">
        <v>46</v>
      </c>
      <c r="AK262" s="79">
        <v>0</v>
      </c>
      <c r="BB262" s="336" t="s">
        <v>66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449</v>
      </c>
      <c r="B263" s="60" t="s">
        <v>450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81</v>
      </c>
      <c r="L263" s="35" t="s">
        <v>46</v>
      </c>
      <c r="M263" s="36" t="s">
        <v>80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439</v>
      </c>
      <c r="AG263" s="75"/>
      <c r="AJ263" s="79" t="s">
        <v>46</v>
      </c>
      <c r="AK263" s="79">
        <v>0</v>
      </c>
      <c r="BB263" s="338" t="s">
        <v>66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451</v>
      </c>
      <c r="B264" s="60" t="s">
        <v>452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81</v>
      </c>
      <c r="L264" s="35" t="s">
        <v>46</v>
      </c>
      <c r="M264" s="36" t="s">
        <v>80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442</v>
      </c>
      <c r="AG264" s="75"/>
      <c r="AJ264" s="79" t="s">
        <v>46</v>
      </c>
      <c r="AK264" s="79">
        <v>0</v>
      </c>
      <c r="BB264" s="340" t="s">
        <v>66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453</v>
      </c>
      <c r="B265" s="60" t="s">
        <v>454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81</v>
      </c>
      <c r="L265" s="35" t="s">
        <v>46</v>
      </c>
      <c r="M265" s="36" t="s">
        <v>80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445</v>
      </c>
      <c r="AG265" s="75"/>
      <c r="AJ265" s="79" t="s">
        <v>46</v>
      </c>
      <c r="AK265" s="79">
        <v>0</v>
      </c>
      <c r="BB265" s="342" t="s">
        <v>66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455</v>
      </c>
      <c r="B266" s="60" t="s">
        <v>456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81</v>
      </c>
      <c r="L266" s="35" t="s">
        <v>46</v>
      </c>
      <c r="M266" s="36" t="s">
        <v>80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448</v>
      </c>
      <c r="AG266" s="75"/>
      <c r="AJ266" s="79" t="s">
        <v>46</v>
      </c>
      <c r="AK266" s="79">
        <v>0</v>
      </c>
      <c r="BB266" s="344" t="s">
        <v>66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70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1"/>
      <c r="P267" s="697" t="s">
        <v>40</v>
      </c>
      <c r="Q267" s="698"/>
      <c r="R267" s="698"/>
      <c r="S267" s="698"/>
      <c r="T267" s="698"/>
      <c r="U267" s="698"/>
      <c r="V267" s="69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70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1"/>
      <c r="P268" s="697" t="s">
        <v>40</v>
      </c>
      <c r="Q268" s="698"/>
      <c r="R268" s="698"/>
      <c r="S268" s="698"/>
      <c r="T268" s="698"/>
      <c r="U268" s="698"/>
      <c r="V268" s="699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91" t="s">
        <v>85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hidden="1" customHeight="1" x14ac:dyDescent="0.25">
      <c r="A270" s="60" t="s">
        <v>457</v>
      </c>
      <c r="B270" s="60" t="s">
        <v>458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132</v>
      </c>
      <c r="L270" s="35" t="s">
        <v>46</v>
      </c>
      <c r="M270" s="36" t="s">
        <v>89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459</v>
      </c>
      <c r="AG270" s="75"/>
      <c r="AJ270" s="79" t="s">
        <v>46</v>
      </c>
      <c r="AK270" s="79">
        <v>0</v>
      </c>
      <c r="BB270" s="346" t="s">
        <v>66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460</v>
      </c>
      <c r="B271" s="60" t="s">
        <v>461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132</v>
      </c>
      <c r="L271" s="35" t="s">
        <v>46</v>
      </c>
      <c r="M271" s="36" t="s">
        <v>89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462</v>
      </c>
      <c r="AG271" s="75"/>
      <c r="AJ271" s="79" t="s">
        <v>46</v>
      </c>
      <c r="AK271" s="79">
        <v>0</v>
      </c>
      <c r="BB271" s="348" t="s">
        <v>66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463</v>
      </c>
      <c r="B272" s="60" t="s">
        <v>464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132</v>
      </c>
      <c r="L272" s="35" t="s">
        <v>46</v>
      </c>
      <c r="M272" s="36" t="s">
        <v>89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465</v>
      </c>
      <c r="AG272" s="75"/>
      <c r="AJ272" s="79" t="s">
        <v>46</v>
      </c>
      <c r="AK272" s="79">
        <v>0</v>
      </c>
      <c r="BB272" s="350" t="s">
        <v>66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hidden="1" customHeight="1" x14ac:dyDescent="0.25">
      <c r="A273" s="60" t="s">
        <v>466</v>
      </c>
      <c r="B273" s="60" t="s">
        <v>467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90</v>
      </c>
      <c r="L273" s="35" t="s">
        <v>46</v>
      </c>
      <c r="M273" s="36" t="s">
        <v>89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hidden="1" customHeight="1" x14ac:dyDescent="0.25">
      <c r="A274" s="60" t="s">
        <v>468</v>
      </c>
      <c r="B274" s="60" t="s">
        <v>469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90</v>
      </c>
      <c r="L274" s="35" t="s">
        <v>46</v>
      </c>
      <c r="M274" s="36" t="s">
        <v>96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465</v>
      </c>
      <c r="AG274" s="75"/>
      <c r="AJ274" s="79" t="s">
        <v>46</v>
      </c>
      <c r="AK274" s="79">
        <v>0</v>
      </c>
      <c r="BB274" s="354" t="s">
        <v>66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470</v>
      </c>
      <c r="B275" s="60" t="s">
        <v>471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139</v>
      </c>
      <c r="L275" s="35" t="s">
        <v>46</v>
      </c>
      <c r="M275" s="36" t="s">
        <v>89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472</v>
      </c>
      <c r="AG275" s="75"/>
      <c r="AJ275" s="79" t="s">
        <v>46</v>
      </c>
      <c r="AK275" s="79">
        <v>0</v>
      </c>
      <c r="BB275" s="356" t="s">
        <v>66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hidden="1" customHeight="1" x14ac:dyDescent="0.25">
      <c r="A276" s="60" t="s">
        <v>473</v>
      </c>
      <c r="B276" s="60" t="s">
        <v>474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90</v>
      </c>
      <c r="L276" s="35" t="s">
        <v>46</v>
      </c>
      <c r="M276" s="36" t="s">
        <v>89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465</v>
      </c>
      <c r="AG276" s="75"/>
      <c r="AJ276" s="79" t="s">
        <v>46</v>
      </c>
      <c r="AK276" s="79">
        <v>0</v>
      </c>
      <c r="BB276" s="358" t="s">
        <v>66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hidden="1" customHeight="1" x14ac:dyDescent="0.25">
      <c r="A277" s="60" t="s">
        <v>475</v>
      </c>
      <c r="B277" s="60" t="s">
        <v>476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132</v>
      </c>
      <c r="L277" s="35" t="s">
        <v>46</v>
      </c>
      <c r="M277" s="36" t="s">
        <v>89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472</v>
      </c>
      <c r="AG277" s="75"/>
      <c r="AJ277" s="79" t="s">
        <v>46</v>
      </c>
      <c r="AK277" s="79">
        <v>0</v>
      </c>
      <c r="BB277" s="360" t="s">
        <v>66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477</v>
      </c>
      <c r="B278" s="60" t="s">
        <v>478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90</v>
      </c>
      <c r="L278" s="35" t="s">
        <v>46</v>
      </c>
      <c r="M278" s="36" t="s">
        <v>89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465</v>
      </c>
      <c r="AG278" s="75"/>
      <c r="AJ278" s="79" t="s">
        <v>46</v>
      </c>
      <c r="AK278" s="79">
        <v>0</v>
      </c>
      <c r="BB278" s="362" t="s">
        <v>66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479</v>
      </c>
      <c r="B279" s="60" t="s">
        <v>480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90</v>
      </c>
      <c r="L279" s="35" t="s">
        <v>46</v>
      </c>
      <c r="M279" s="36" t="s">
        <v>96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481</v>
      </c>
      <c r="AG279" s="75"/>
      <c r="AJ279" s="79" t="s">
        <v>46</v>
      </c>
      <c r="AK279" s="79">
        <v>0</v>
      </c>
      <c r="BB279" s="364" t="s">
        <v>66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484</v>
      </c>
      <c r="AG280" s="75"/>
      <c r="AJ280" s="79" t="s">
        <v>46</v>
      </c>
      <c r="AK280" s="79">
        <v>0</v>
      </c>
      <c r="BB280" s="366" t="s">
        <v>66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hidden="1" customHeight="1" x14ac:dyDescent="0.25">
      <c r="A281" s="60" t="s">
        <v>485</v>
      </c>
      <c r="B281" s="60" t="s">
        <v>486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90</v>
      </c>
      <c r="L281" s="35" t="s">
        <v>46</v>
      </c>
      <c r="M281" s="36" t="s">
        <v>89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487</v>
      </c>
      <c r="AG281" s="75"/>
      <c r="AJ281" s="79" t="s">
        <v>46</v>
      </c>
      <c r="AK281" s="79">
        <v>0</v>
      </c>
      <c r="BB281" s="368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idden="1" x14ac:dyDescent="0.2">
      <c r="A282" s="70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1"/>
      <c r="P282" s="697" t="s">
        <v>40</v>
      </c>
      <c r="Q282" s="698"/>
      <c r="R282" s="698"/>
      <c r="S282" s="698"/>
      <c r="T282" s="698"/>
      <c r="U282" s="698"/>
      <c r="V282" s="69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0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1"/>
      <c r="P283" s="697" t="s">
        <v>40</v>
      </c>
      <c r="Q283" s="698"/>
      <c r="R283" s="698"/>
      <c r="S283" s="698"/>
      <c r="T283" s="698"/>
      <c r="U283" s="698"/>
      <c r="V283" s="699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91" t="s">
        <v>180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hidden="1" customHeight="1" x14ac:dyDescent="0.25">
      <c r="A285" s="60" t="s">
        <v>488</v>
      </c>
      <c r="B285" s="60" t="s">
        <v>489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490</v>
      </c>
      <c r="AG285" s="75"/>
      <c r="AJ285" s="79" t="s">
        <v>46</v>
      </c>
      <c r="AK285" s="79">
        <v>0</v>
      </c>
      <c r="BB285" s="370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491</v>
      </c>
      <c r="B286" s="60" t="s">
        <v>492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493</v>
      </c>
      <c r="AG286" s="75"/>
      <c r="AJ286" s="79" t="s">
        <v>46</v>
      </c>
      <c r="AK286" s="79">
        <v>0</v>
      </c>
      <c r="BB286" s="37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0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1"/>
      <c r="P287" s="697" t="s">
        <v>40</v>
      </c>
      <c r="Q287" s="698"/>
      <c r="R287" s="698"/>
      <c r="S287" s="698"/>
      <c r="T287" s="698"/>
      <c r="U287" s="698"/>
      <c r="V287" s="699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70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1"/>
      <c r="P288" s="697" t="s">
        <v>40</v>
      </c>
      <c r="Q288" s="698"/>
      <c r="R288" s="698"/>
      <c r="S288" s="698"/>
      <c r="T288" s="698"/>
      <c r="U288" s="698"/>
      <c r="V288" s="699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90" t="s">
        <v>494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127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495</v>
      </c>
      <c r="B291" s="60" t="s">
        <v>496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132</v>
      </c>
      <c r="L291" s="35" t="s">
        <v>46</v>
      </c>
      <c r="M291" s="36" t="s">
        <v>131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497</v>
      </c>
      <c r="AG291" s="75"/>
      <c r="AJ291" s="79" t="s">
        <v>46</v>
      </c>
      <c r="AK291" s="79">
        <v>0</v>
      </c>
      <c r="BB291" s="374" t="s">
        <v>66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498</v>
      </c>
      <c r="B292" s="60" t="s">
        <v>499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132</v>
      </c>
      <c r="L292" s="35" t="s">
        <v>46</v>
      </c>
      <c r="M292" s="36" t="s">
        <v>131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500</v>
      </c>
      <c r="AG292" s="75"/>
      <c r="AJ292" s="79" t="s">
        <v>46</v>
      </c>
      <c r="AK292" s="79">
        <v>0</v>
      </c>
      <c r="BB292" s="376" t="s">
        <v>66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501</v>
      </c>
      <c r="B293" s="60" t="s">
        <v>502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132</v>
      </c>
      <c r="L293" s="35" t="s">
        <v>46</v>
      </c>
      <c r="M293" s="36" t="s">
        <v>131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355</v>
      </c>
      <c r="AG293" s="75"/>
      <c r="AJ293" s="79" t="s">
        <v>46</v>
      </c>
      <c r="AK293" s="79">
        <v>0</v>
      </c>
      <c r="BB293" s="378" t="s">
        <v>66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503</v>
      </c>
      <c r="B294" s="60" t="s">
        <v>504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139</v>
      </c>
      <c r="L294" s="35" t="s">
        <v>46</v>
      </c>
      <c r="M294" s="36" t="s">
        <v>131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497</v>
      </c>
      <c r="AG294" s="75"/>
      <c r="AJ294" s="79" t="s">
        <v>46</v>
      </c>
      <c r="AK294" s="79">
        <v>0</v>
      </c>
      <c r="BB294" s="380" t="s">
        <v>66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505</v>
      </c>
      <c r="B295" s="60" t="s">
        <v>506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139</v>
      </c>
      <c r="L295" s="35" t="s">
        <v>46</v>
      </c>
      <c r="M295" s="36" t="s">
        <v>131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507</v>
      </c>
      <c r="AG295" s="75"/>
      <c r="AJ295" s="79" t="s">
        <v>46</v>
      </c>
      <c r="AK295" s="79">
        <v>0</v>
      </c>
      <c r="BB295" s="382" t="s">
        <v>66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508</v>
      </c>
      <c r="B296" s="60" t="s">
        <v>509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90</v>
      </c>
      <c r="L296" s="35" t="s">
        <v>46</v>
      </c>
      <c r="M296" s="36" t="s">
        <v>131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510</v>
      </c>
      <c r="AG296" s="75"/>
      <c r="AJ296" s="79" t="s">
        <v>46</v>
      </c>
      <c r="AK296" s="79">
        <v>0</v>
      </c>
      <c r="BB296" s="384" t="s">
        <v>66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511</v>
      </c>
      <c r="B297" s="60" t="s">
        <v>512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139</v>
      </c>
      <c r="L297" s="35" t="s">
        <v>46</v>
      </c>
      <c r="M297" s="36" t="s">
        <v>131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355</v>
      </c>
      <c r="AG297" s="75"/>
      <c r="AJ297" s="79" t="s">
        <v>46</v>
      </c>
      <c r="AK297" s="79">
        <v>0</v>
      </c>
      <c r="BB297" s="386" t="s">
        <v>66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70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1"/>
      <c r="P298" s="697" t="s">
        <v>40</v>
      </c>
      <c r="Q298" s="698"/>
      <c r="R298" s="698"/>
      <c r="S298" s="698"/>
      <c r="T298" s="698"/>
      <c r="U298" s="698"/>
      <c r="V298" s="699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70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1"/>
      <c r="P299" s="697" t="s">
        <v>40</v>
      </c>
      <c r="Q299" s="698"/>
      <c r="R299" s="698"/>
      <c r="S299" s="698"/>
      <c r="T299" s="698"/>
      <c r="U299" s="698"/>
      <c r="V299" s="699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91" t="s">
        <v>163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513</v>
      </c>
      <c r="B301" s="60" t="s">
        <v>514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81</v>
      </c>
      <c r="L301" s="35" t="s">
        <v>46</v>
      </c>
      <c r="M301" s="36" t="s">
        <v>89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515</v>
      </c>
      <c r="AG301" s="75"/>
      <c r="AJ301" s="79" t="s">
        <v>46</v>
      </c>
      <c r="AK301" s="79">
        <v>0</v>
      </c>
      <c r="BB301" s="38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70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1"/>
      <c r="P302" s="697" t="s">
        <v>40</v>
      </c>
      <c r="Q302" s="698"/>
      <c r="R302" s="698"/>
      <c r="S302" s="698"/>
      <c r="T302" s="698"/>
      <c r="U302" s="698"/>
      <c r="V302" s="69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70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1"/>
      <c r="P303" s="697" t="s">
        <v>40</v>
      </c>
      <c r="Q303" s="698"/>
      <c r="R303" s="698"/>
      <c r="S303" s="698"/>
      <c r="T303" s="698"/>
      <c r="U303" s="698"/>
      <c r="V303" s="69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516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hidden="1" customHeight="1" x14ac:dyDescent="0.25">
      <c r="A305" s="60" t="s">
        <v>517</v>
      </c>
      <c r="B305" s="60" t="s">
        <v>518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329</v>
      </c>
      <c r="L305" s="35" t="s">
        <v>46</v>
      </c>
      <c r="M305" s="36" t="s">
        <v>328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519</v>
      </c>
      <c r="AG305" s="75"/>
      <c r="AJ305" s="79" t="s">
        <v>46</v>
      </c>
      <c r="AK305" s="79">
        <v>0</v>
      </c>
      <c r="BB305" s="390" t="s">
        <v>66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70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1"/>
      <c r="P306" s="697" t="s">
        <v>40</v>
      </c>
      <c r="Q306" s="698"/>
      <c r="R306" s="698"/>
      <c r="S306" s="698"/>
      <c r="T306" s="698"/>
      <c r="U306" s="698"/>
      <c r="V306" s="699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70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1"/>
      <c r="P307" s="697" t="s">
        <v>40</v>
      </c>
      <c r="Q307" s="698"/>
      <c r="R307" s="698"/>
      <c r="S307" s="698"/>
      <c r="T307" s="698"/>
      <c r="U307" s="698"/>
      <c r="V307" s="699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91" t="s">
        <v>333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520</v>
      </c>
      <c r="B309" s="60" t="s">
        <v>521</v>
      </c>
      <c r="C309" s="34">
        <v>4301041004</v>
      </c>
      <c r="D309" s="692">
        <v>4680115886704</v>
      </c>
      <c r="E309" s="69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329</v>
      </c>
      <c r="L309" s="35" t="s">
        <v>46</v>
      </c>
      <c r="M309" s="36" t="s">
        <v>328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522</v>
      </c>
      <c r="AG309" s="75"/>
      <c r="AJ309" s="79" t="s">
        <v>46</v>
      </c>
      <c r="AK309" s="79">
        <v>0</v>
      </c>
      <c r="BB309" s="39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523</v>
      </c>
      <c r="B310" s="60" t="s">
        <v>524</v>
      </c>
      <c r="C310" s="34">
        <v>4301041008</v>
      </c>
      <c r="D310" s="692">
        <v>4680115886681</v>
      </c>
      <c r="E310" s="69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329</v>
      </c>
      <c r="L310" s="35" t="s">
        <v>46</v>
      </c>
      <c r="M310" s="36" t="s">
        <v>328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522</v>
      </c>
      <c r="AG310" s="75"/>
      <c r="AJ310" s="79" t="s">
        <v>46</v>
      </c>
      <c r="AK310" s="79">
        <v>0</v>
      </c>
      <c r="BB310" s="39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525</v>
      </c>
      <c r="B311" s="60" t="s">
        <v>526</v>
      </c>
      <c r="C311" s="34">
        <v>4301041007</v>
      </c>
      <c r="D311" s="692">
        <v>4680115886735</v>
      </c>
      <c r="E311" s="69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329</v>
      </c>
      <c r="L311" s="35" t="s">
        <v>46</v>
      </c>
      <c r="M311" s="36" t="s">
        <v>328</v>
      </c>
      <c r="N311" s="36"/>
      <c r="O311" s="35">
        <v>90</v>
      </c>
      <c r="P311" s="8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4"/>
      <c r="R311" s="694"/>
      <c r="S311" s="694"/>
      <c r="T311" s="69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522</v>
      </c>
      <c r="AG311" s="75"/>
      <c r="AJ311" s="79" t="s">
        <v>46</v>
      </c>
      <c r="AK311" s="79">
        <v>0</v>
      </c>
      <c r="BB311" s="39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0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1"/>
      <c r="P312" s="697" t="s">
        <v>40</v>
      </c>
      <c r="Q312" s="698"/>
      <c r="R312" s="698"/>
      <c r="S312" s="698"/>
      <c r="T312" s="698"/>
      <c r="U312" s="698"/>
      <c r="V312" s="699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70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1"/>
      <c r="P313" s="697" t="s">
        <v>40</v>
      </c>
      <c r="Q313" s="698"/>
      <c r="R313" s="698"/>
      <c r="S313" s="698"/>
      <c r="T313" s="698"/>
      <c r="U313" s="698"/>
      <c r="V313" s="699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90" t="s">
        <v>527</v>
      </c>
      <c r="B314" s="690"/>
      <c r="C314" s="690"/>
      <c r="D314" s="690"/>
      <c r="E314" s="690"/>
      <c r="F314" s="690"/>
      <c r="G314" s="690"/>
      <c r="H314" s="690"/>
      <c r="I314" s="690"/>
      <c r="J314" s="690"/>
      <c r="K314" s="690"/>
      <c r="L314" s="690"/>
      <c r="M314" s="690"/>
      <c r="N314" s="690"/>
      <c r="O314" s="690"/>
      <c r="P314" s="690"/>
      <c r="Q314" s="690"/>
      <c r="R314" s="690"/>
      <c r="S314" s="690"/>
      <c r="T314" s="690"/>
      <c r="U314" s="690"/>
      <c r="V314" s="690"/>
      <c r="W314" s="690"/>
      <c r="X314" s="690"/>
      <c r="Y314" s="690"/>
      <c r="Z314" s="690"/>
      <c r="AA314" s="62"/>
      <c r="AB314" s="62"/>
      <c r="AC314" s="62"/>
    </row>
    <row r="315" spans="1:68" ht="14.25" hidden="1" customHeight="1" x14ac:dyDescent="0.25">
      <c r="A315" s="691" t="s">
        <v>127</v>
      </c>
      <c r="B315" s="691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  <c r="AA315" s="63"/>
      <c r="AB315" s="63"/>
      <c r="AC315" s="63"/>
    </row>
    <row r="316" spans="1:68" ht="27" hidden="1" customHeight="1" x14ac:dyDescent="0.25">
      <c r="A316" s="60" t="s">
        <v>528</v>
      </c>
      <c r="B316" s="60" t="s">
        <v>529</v>
      </c>
      <c r="C316" s="34">
        <v>4301011855</v>
      </c>
      <c r="D316" s="692">
        <v>4680115885837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132</v>
      </c>
      <c r="L316" s="35" t="s">
        <v>46</v>
      </c>
      <c r="M316" s="36" t="s">
        <v>131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530</v>
      </c>
      <c r="AG316" s="75"/>
      <c r="AJ316" s="79" t="s">
        <v>46</v>
      </c>
      <c r="AK316" s="79">
        <v>0</v>
      </c>
      <c r="BB316" s="398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531</v>
      </c>
      <c r="B317" s="60" t="s">
        <v>532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132</v>
      </c>
      <c r="L317" s="35" t="s">
        <v>46</v>
      </c>
      <c r="M317" s="36" t="s">
        <v>131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533</v>
      </c>
      <c r="AG317" s="75"/>
      <c r="AJ317" s="79" t="s">
        <v>46</v>
      </c>
      <c r="AK317" s="79">
        <v>0</v>
      </c>
      <c r="BB317" s="400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534</v>
      </c>
      <c r="B318" s="60" t="s">
        <v>535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132</v>
      </c>
      <c r="L318" s="35" t="s">
        <v>46</v>
      </c>
      <c r="M318" s="36" t="s">
        <v>131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536</v>
      </c>
      <c r="AG318" s="75"/>
      <c r="AJ318" s="79" t="s">
        <v>46</v>
      </c>
      <c r="AK318" s="79">
        <v>0</v>
      </c>
      <c r="BB318" s="402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537</v>
      </c>
      <c r="B319" s="60" t="s">
        <v>538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139</v>
      </c>
      <c r="L319" s="35" t="s">
        <v>46</v>
      </c>
      <c r="M319" s="36" t="s">
        <v>131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539</v>
      </c>
      <c r="AG319" s="75"/>
      <c r="AJ319" s="79" t="s">
        <v>46</v>
      </c>
      <c r="AK319" s="79">
        <v>0</v>
      </c>
      <c r="BB319" s="404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540</v>
      </c>
      <c r="B320" s="60" t="s">
        <v>541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139</v>
      </c>
      <c r="L320" s="35" t="s">
        <v>46</v>
      </c>
      <c r="M320" s="36" t="s">
        <v>131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542</v>
      </c>
      <c r="AG320" s="75"/>
      <c r="AJ320" s="79" t="s">
        <v>46</v>
      </c>
      <c r="AK320" s="79">
        <v>0</v>
      </c>
      <c r="BB320" s="406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70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1"/>
      <c r="P321" s="697" t="s">
        <v>40</v>
      </c>
      <c r="Q321" s="698"/>
      <c r="R321" s="698"/>
      <c r="S321" s="698"/>
      <c r="T321" s="698"/>
      <c r="U321" s="698"/>
      <c r="V321" s="699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70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1"/>
      <c r="P322" s="697" t="s">
        <v>40</v>
      </c>
      <c r="Q322" s="698"/>
      <c r="R322" s="698"/>
      <c r="S322" s="698"/>
      <c r="T322" s="698"/>
      <c r="U322" s="698"/>
      <c r="V322" s="699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543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85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544</v>
      </c>
      <c r="B325" s="60" t="s">
        <v>545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90</v>
      </c>
      <c r="L325" s="35" t="s">
        <v>46</v>
      </c>
      <c r="M325" s="36" t="s">
        <v>89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546</v>
      </c>
      <c r="AG325" s="75"/>
      <c r="AJ325" s="79" t="s">
        <v>46</v>
      </c>
      <c r="AK325" s="79">
        <v>0</v>
      </c>
      <c r="BB325" s="408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547</v>
      </c>
      <c r="B326" s="60" t="s">
        <v>548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90</v>
      </c>
      <c r="L326" s="35" t="s">
        <v>46</v>
      </c>
      <c r="M326" s="36" t="s">
        <v>96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549</v>
      </c>
      <c r="AG326" s="75"/>
      <c r="AJ326" s="79" t="s">
        <v>46</v>
      </c>
      <c r="AK326" s="79">
        <v>0</v>
      </c>
      <c r="BB326" s="410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550</v>
      </c>
      <c r="B327" s="60" t="s">
        <v>551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90</v>
      </c>
      <c r="L327" s="35" t="s">
        <v>46</v>
      </c>
      <c r="M327" s="36" t="s">
        <v>89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546</v>
      </c>
      <c r="AG327" s="75"/>
      <c r="AJ327" s="79" t="s">
        <v>46</v>
      </c>
      <c r="AK327" s="79">
        <v>0</v>
      </c>
      <c r="BB327" s="412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70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1"/>
      <c r="P328" s="697" t="s">
        <v>40</v>
      </c>
      <c r="Q328" s="698"/>
      <c r="R328" s="698"/>
      <c r="S328" s="698"/>
      <c r="T328" s="698"/>
      <c r="U328" s="698"/>
      <c r="V328" s="699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70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1"/>
      <c r="P329" s="697" t="s">
        <v>40</v>
      </c>
      <c r="Q329" s="698"/>
      <c r="R329" s="698"/>
      <c r="S329" s="698"/>
      <c r="T329" s="698"/>
      <c r="U329" s="698"/>
      <c r="V329" s="699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90" t="s">
        <v>552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76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81</v>
      </c>
      <c r="L332" s="35" t="s">
        <v>46</v>
      </c>
      <c r="M332" s="36" t="s">
        <v>80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387</v>
      </c>
      <c r="AG332" s="75"/>
      <c r="AJ332" s="79" t="s">
        <v>46</v>
      </c>
      <c r="AK332" s="79">
        <v>0</v>
      </c>
      <c r="BB332" s="414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555</v>
      </c>
      <c r="B333" s="60" t="s">
        <v>556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81</v>
      </c>
      <c r="L333" s="35" t="s">
        <v>46</v>
      </c>
      <c r="M333" s="36" t="s">
        <v>80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557</v>
      </c>
      <c r="AG333" s="75"/>
      <c r="AJ333" s="79" t="s">
        <v>46</v>
      </c>
      <c r="AK333" s="79">
        <v>0</v>
      </c>
      <c r="BB333" s="416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558</v>
      </c>
      <c r="B334" s="60" t="s">
        <v>559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81</v>
      </c>
      <c r="L334" s="35" t="s">
        <v>46</v>
      </c>
      <c r="M334" s="36" t="s">
        <v>80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560</v>
      </c>
      <c r="AG334" s="75"/>
      <c r="AJ334" s="79" t="s">
        <v>46</v>
      </c>
      <c r="AK334" s="79">
        <v>0</v>
      </c>
      <c r="BB334" s="418" t="s">
        <v>66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561</v>
      </c>
      <c r="B335" s="60" t="s">
        <v>562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90</v>
      </c>
      <c r="L335" s="35" t="s">
        <v>46</v>
      </c>
      <c r="M335" s="36" t="s">
        <v>80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563</v>
      </c>
      <c r="AG335" s="75"/>
      <c r="AJ335" s="79" t="s">
        <v>46</v>
      </c>
      <c r="AK335" s="79">
        <v>0</v>
      </c>
      <c r="BB335" s="420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564</v>
      </c>
      <c r="B336" s="60" t="s">
        <v>565</v>
      </c>
      <c r="C336" s="34">
        <v>4301031246</v>
      </c>
      <c r="D336" s="692">
        <v>4680115883970</v>
      </c>
      <c r="E336" s="69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81</v>
      </c>
      <c r="L336" s="35" t="s">
        <v>46</v>
      </c>
      <c r="M336" s="36" t="s">
        <v>80</v>
      </c>
      <c r="N336" s="36"/>
      <c r="O336" s="35">
        <v>40</v>
      </c>
      <c r="P336" s="8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4"/>
      <c r="R336" s="694"/>
      <c r="S336" s="694"/>
      <c r="T336" s="69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566</v>
      </c>
      <c r="AG336" s="75"/>
      <c r="AJ336" s="79" t="s">
        <v>46</v>
      </c>
      <c r="AK336" s="79">
        <v>0</v>
      </c>
      <c r="BB336" s="422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70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1"/>
      <c r="P337" s="697" t="s">
        <v>40</v>
      </c>
      <c r="Q337" s="698"/>
      <c r="R337" s="698"/>
      <c r="S337" s="698"/>
      <c r="T337" s="698"/>
      <c r="U337" s="698"/>
      <c r="V337" s="69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70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1"/>
      <c r="P338" s="697" t="s">
        <v>40</v>
      </c>
      <c r="Q338" s="698"/>
      <c r="R338" s="698"/>
      <c r="S338" s="698"/>
      <c r="T338" s="698"/>
      <c r="U338" s="698"/>
      <c r="V338" s="69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91" t="s">
        <v>85</v>
      </c>
      <c r="B339" s="691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  <c r="AA339" s="63"/>
      <c r="AB339" s="63"/>
      <c r="AC339" s="63"/>
    </row>
    <row r="340" spans="1:68" ht="27" hidden="1" customHeight="1" x14ac:dyDescent="0.25">
      <c r="A340" s="60" t="s">
        <v>567</v>
      </c>
      <c r="B340" s="60" t="s">
        <v>568</v>
      </c>
      <c r="C340" s="34">
        <v>4301051782</v>
      </c>
      <c r="D340" s="692">
        <v>4680115884618</v>
      </c>
      <c r="E340" s="69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139</v>
      </c>
      <c r="L340" s="35" t="s">
        <v>46</v>
      </c>
      <c r="M340" s="36" t="s">
        <v>89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569</v>
      </c>
      <c r="AG340" s="75"/>
      <c r="AJ340" s="79" t="s">
        <v>46</v>
      </c>
      <c r="AK340" s="79">
        <v>0</v>
      </c>
      <c r="BB340" s="424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570</v>
      </c>
      <c r="B341" s="60" t="s">
        <v>571</v>
      </c>
      <c r="C341" s="34">
        <v>4301052057</v>
      </c>
      <c r="D341" s="692">
        <v>4680115887114</v>
      </c>
      <c r="E341" s="69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139</v>
      </c>
      <c r="L341" s="35" t="s">
        <v>46</v>
      </c>
      <c r="M341" s="36" t="s">
        <v>89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572</v>
      </c>
      <c r="AG341" s="75"/>
      <c r="AJ341" s="79" t="s">
        <v>46</v>
      </c>
      <c r="AK341" s="79">
        <v>0</v>
      </c>
      <c r="BB341" s="426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70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1"/>
      <c r="P342" s="697" t="s">
        <v>40</v>
      </c>
      <c r="Q342" s="698"/>
      <c r="R342" s="698"/>
      <c r="S342" s="698"/>
      <c r="T342" s="698"/>
      <c r="U342" s="698"/>
      <c r="V342" s="69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70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1"/>
      <c r="P343" s="697" t="s">
        <v>40</v>
      </c>
      <c r="Q343" s="698"/>
      <c r="R343" s="698"/>
      <c r="S343" s="698"/>
      <c r="T343" s="698"/>
      <c r="U343" s="698"/>
      <c r="V343" s="69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573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127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132</v>
      </c>
      <c r="L346" s="35" t="s">
        <v>46</v>
      </c>
      <c r="M346" s="36" t="s">
        <v>89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346</v>
      </c>
      <c r="AG346" s="75"/>
      <c r="AJ346" s="79" t="s">
        <v>46</v>
      </c>
      <c r="AK346" s="79">
        <v>0</v>
      </c>
      <c r="BB346" s="42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576</v>
      </c>
      <c r="B347" s="60" t="s">
        <v>577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132</v>
      </c>
      <c r="L347" s="35" t="s">
        <v>46</v>
      </c>
      <c r="M347" s="36" t="s">
        <v>89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578</v>
      </c>
      <c r="AG347" s="75"/>
      <c r="AJ347" s="79" t="s">
        <v>46</v>
      </c>
      <c r="AK347" s="79">
        <v>0</v>
      </c>
      <c r="BB347" s="43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579</v>
      </c>
      <c r="B348" s="60" t="s">
        <v>580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132</v>
      </c>
      <c r="L348" s="35" t="s">
        <v>46</v>
      </c>
      <c r="M348" s="36" t="s">
        <v>89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581</v>
      </c>
      <c r="AG348" s="75"/>
      <c r="AJ348" s="79" t="s">
        <v>46</v>
      </c>
      <c r="AK348" s="79">
        <v>0</v>
      </c>
      <c r="BB348" s="432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0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1"/>
      <c r="P349" s="697" t="s">
        <v>40</v>
      </c>
      <c r="Q349" s="698"/>
      <c r="R349" s="698"/>
      <c r="S349" s="698"/>
      <c r="T349" s="698"/>
      <c r="U349" s="698"/>
      <c r="V349" s="699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0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1"/>
      <c r="P350" s="697" t="s">
        <v>40</v>
      </c>
      <c r="Q350" s="698"/>
      <c r="R350" s="698"/>
      <c r="S350" s="698"/>
      <c r="T350" s="698"/>
      <c r="U350" s="698"/>
      <c r="V350" s="699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90" t="s">
        <v>582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127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hidden="1" customHeight="1" x14ac:dyDescent="0.25">
      <c r="A353" s="60" t="s">
        <v>583</v>
      </c>
      <c r="B353" s="60" t="s">
        <v>584</v>
      </c>
      <c r="C353" s="34">
        <v>4301012126</v>
      </c>
      <c r="D353" s="692">
        <v>4607091386004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132</v>
      </c>
      <c r="L353" s="35" t="s">
        <v>46</v>
      </c>
      <c r="M353" s="36" t="s">
        <v>131</v>
      </c>
      <c r="N353" s="36"/>
      <c r="O353" s="35">
        <v>55</v>
      </c>
      <c r="P353" s="8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2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585</v>
      </c>
      <c r="AG353" s="75"/>
      <c r="AJ353" s="79" t="s">
        <v>46</v>
      </c>
      <c r="AK353" s="79">
        <v>0</v>
      </c>
      <c r="BB353" s="434" t="s">
        <v>66</v>
      </c>
      <c r="BM353" s="75">
        <f t="shared" ref="BM353:BM358" si="43">IFERROR(X353*I353/H353,"0")</f>
        <v>0</v>
      </c>
      <c r="BN353" s="75">
        <f t="shared" ref="BN353:BN358" si="44">IFERROR(Y353*I353/H353,"0")</f>
        <v>0</v>
      </c>
      <c r="BO353" s="75">
        <f t="shared" ref="BO353:BO358" si="45">IFERROR(1/J353*(X353/H353),"0")</f>
        <v>0</v>
      </c>
      <c r="BP353" s="75">
        <f t="shared" ref="BP353:BP358" si="46">IFERROR(1/J353*(Y353/H353),"0")</f>
        <v>0</v>
      </c>
    </row>
    <row r="354" spans="1:68" ht="27" hidden="1" customHeight="1" x14ac:dyDescent="0.25">
      <c r="A354" s="60" t="s">
        <v>586</v>
      </c>
      <c r="B354" s="60" t="s">
        <v>587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132</v>
      </c>
      <c r="L354" s="35" t="s">
        <v>46</v>
      </c>
      <c r="M354" s="36" t="s">
        <v>131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588</v>
      </c>
      <c r="AG354" s="75"/>
      <c r="AJ354" s="79" t="s">
        <v>46</v>
      </c>
      <c r="AK354" s="79">
        <v>0</v>
      </c>
      <c r="BB354" s="436" t="s">
        <v>66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589</v>
      </c>
      <c r="B355" s="60" t="s">
        <v>590</v>
      </c>
      <c r="C355" s="34">
        <v>4301012233</v>
      </c>
      <c r="D355" s="692">
        <v>4680115887138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132</v>
      </c>
      <c r="L355" s="35" t="s">
        <v>46</v>
      </c>
      <c r="M355" s="36" t="s">
        <v>131</v>
      </c>
      <c r="N355" s="36"/>
      <c r="O355" s="35">
        <v>55</v>
      </c>
      <c r="P355" s="87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591</v>
      </c>
      <c r="AG355" s="75"/>
      <c r="AJ355" s="79" t="s">
        <v>46</v>
      </c>
      <c r="AK355" s="79">
        <v>0</v>
      </c>
      <c r="BB355" s="438" t="s">
        <v>66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592</v>
      </c>
      <c r="B356" s="60" t="s">
        <v>593</v>
      </c>
      <c r="C356" s="34">
        <v>4301012016</v>
      </c>
      <c r="D356" s="692">
        <v>4680115885554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55</v>
      </c>
      <c r="P356" s="8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594</v>
      </c>
      <c r="AG356" s="75"/>
      <c r="AJ356" s="79" t="s">
        <v>46</v>
      </c>
      <c r="AK356" s="79">
        <v>0</v>
      </c>
      <c r="BB356" s="440" t="s">
        <v>66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595</v>
      </c>
      <c r="B357" s="60" t="s">
        <v>596</v>
      </c>
      <c r="C357" s="34">
        <v>4301012236</v>
      </c>
      <c r="D357" s="692">
        <v>4680115887220</v>
      </c>
      <c r="E357" s="69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139</v>
      </c>
      <c r="L357" s="35" t="s">
        <v>46</v>
      </c>
      <c r="M357" s="36" t="s">
        <v>131</v>
      </c>
      <c r="N357" s="36"/>
      <c r="O357" s="35">
        <v>55</v>
      </c>
      <c r="P357" s="8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588</v>
      </c>
      <c r="AG357" s="75"/>
      <c r="AJ357" s="79" t="s">
        <v>46</v>
      </c>
      <c r="AK357" s="79">
        <v>0</v>
      </c>
      <c r="BB357" s="442" t="s">
        <v>66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597</v>
      </c>
      <c r="B358" s="60" t="s">
        <v>598</v>
      </c>
      <c r="C358" s="34">
        <v>4301011859</v>
      </c>
      <c r="D358" s="692">
        <v>4680115885608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139</v>
      </c>
      <c r="L358" s="35" t="s">
        <v>46</v>
      </c>
      <c r="M358" s="36" t="s">
        <v>131</v>
      </c>
      <c r="N358" s="36"/>
      <c r="O358" s="35">
        <v>55</v>
      </c>
      <c r="P358" s="8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599</v>
      </c>
      <c r="AG358" s="75"/>
      <c r="AJ358" s="79" t="s">
        <v>46</v>
      </c>
      <c r="AK358" s="79">
        <v>0</v>
      </c>
      <c r="BB358" s="444" t="s">
        <v>66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hidden="1" x14ac:dyDescent="0.2">
      <c r="A359" s="70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1"/>
      <c r="P359" s="697" t="s">
        <v>40</v>
      </c>
      <c r="Q359" s="698"/>
      <c r="R359" s="698"/>
      <c r="S359" s="698"/>
      <c r="T359" s="698"/>
      <c r="U359" s="698"/>
      <c r="V359" s="699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0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1"/>
      <c r="P360" s="697" t="s">
        <v>40</v>
      </c>
      <c r="Q360" s="698"/>
      <c r="R360" s="698"/>
      <c r="S360" s="698"/>
      <c r="T360" s="698"/>
      <c r="U360" s="698"/>
      <c r="V360" s="699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91" t="s">
        <v>76</v>
      </c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  <c r="AA361" s="63"/>
      <c r="AB361" s="63"/>
      <c r="AC361" s="63"/>
    </row>
    <row r="362" spans="1:68" ht="27" hidden="1" customHeight="1" x14ac:dyDescent="0.25">
      <c r="A362" s="60" t="s">
        <v>600</v>
      </c>
      <c r="B362" s="60" t="s">
        <v>601</v>
      </c>
      <c r="C362" s="34">
        <v>4301030878</v>
      </c>
      <c r="D362" s="692">
        <v>4607091387193</v>
      </c>
      <c r="E362" s="69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139</v>
      </c>
      <c r="L362" s="35" t="s">
        <v>46</v>
      </c>
      <c r="M362" s="36" t="s">
        <v>80</v>
      </c>
      <c r="N362" s="36"/>
      <c r="O362" s="35">
        <v>35</v>
      </c>
      <c r="P362" s="8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4"/>
      <c r="R362" s="694"/>
      <c r="S362" s="694"/>
      <c r="T362" s="69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602</v>
      </c>
      <c r="AG362" s="75"/>
      <c r="AJ362" s="79" t="s">
        <v>46</v>
      </c>
      <c r="AK362" s="79">
        <v>0</v>
      </c>
      <c r="BB362" s="446" t="s">
        <v>66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603</v>
      </c>
      <c r="B363" s="60" t="s">
        <v>604</v>
      </c>
      <c r="C363" s="34">
        <v>4301031153</v>
      </c>
      <c r="D363" s="692">
        <v>4607091387230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139</v>
      </c>
      <c r="L363" s="35" t="s">
        <v>46</v>
      </c>
      <c r="M363" s="36" t="s">
        <v>80</v>
      </c>
      <c r="N363" s="36"/>
      <c r="O363" s="35">
        <v>40</v>
      </c>
      <c r="P363" s="8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4301031154</v>
      </c>
      <c r="D364" s="692">
        <v>4607091387292</v>
      </c>
      <c r="E364" s="69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139</v>
      </c>
      <c r="L364" s="35" t="s">
        <v>46</v>
      </c>
      <c r="M364" s="36" t="s">
        <v>80</v>
      </c>
      <c r="N364" s="36"/>
      <c r="O364" s="35">
        <v>45</v>
      </c>
      <c r="P364" s="8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4301031152</v>
      </c>
      <c r="D365" s="692">
        <v>4607091387285</v>
      </c>
      <c r="E365" s="69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81</v>
      </c>
      <c r="L365" s="35" t="s">
        <v>46</v>
      </c>
      <c r="M365" s="36" t="s">
        <v>80</v>
      </c>
      <c r="N365" s="36"/>
      <c r="O365" s="35">
        <v>40</v>
      </c>
      <c r="P365" s="8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605</v>
      </c>
      <c r="AG365" s="75"/>
      <c r="AJ365" s="79" t="s">
        <v>46</v>
      </c>
      <c r="AK365" s="79">
        <v>0</v>
      </c>
      <c r="BB365" s="452" t="s">
        <v>66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hidden="1" customHeight="1" x14ac:dyDescent="0.25">
      <c r="A366" s="60" t="s">
        <v>611</v>
      </c>
      <c r="B366" s="60" t="s">
        <v>612</v>
      </c>
      <c r="C366" s="34">
        <v>4301031305</v>
      </c>
      <c r="D366" s="692">
        <v>4607091389845</v>
      </c>
      <c r="E366" s="69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81</v>
      </c>
      <c r="L366" s="35" t="s">
        <v>46</v>
      </c>
      <c r="M366" s="36" t="s">
        <v>80</v>
      </c>
      <c r="N366" s="36"/>
      <c r="O366" s="35">
        <v>40</v>
      </c>
      <c r="P366" s="8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7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613</v>
      </c>
      <c r="AG366" s="75"/>
      <c r="AJ366" s="79" t="s">
        <v>46</v>
      </c>
      <c r="AK366" s="79">
        <v>0</v>
      </c>
      <c r="BB366" s="454" t="s">
        <v>66</v>
      </c>
      <c r="BM366" s="75">
        <f t="shared" si="48"/>
        <v>0</v>
      </c>
      <c r="BN366" s="75">
        <f t="shared" si="49"/>
        <v>0</v>
      </c>
      <c r="BO366" s="75">
        <f t="shared" si="50"/>
        <v>0</v>
      </c>
      <c r="BP366" s="75">
        <f t="shared" si="51"/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4301031460</v>
      </c>
      <c r="D367" s="692">
        <v>4680115887442</v>
      </c>
      <c r="E367" s="69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139</v>
      </c>
      <c r="L367" s="35" t="s">
        <v>46</v>
      </c>
      <c r="M367" s="36" t="s">
        <v>80</v>
      </c>
      <c r="N367" s="36"/>
      <c r="O367" s="35">
        <v>45</v>
      </c>
      <c r="P367" s="88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hidden="1" customHeight="1" x14ac:dyDescent="0.25">
      <c r="A368" s="60" t="s">
        <v>616</v>
      </c>
      <c r="B368" s="60" t="s">
        <v>617</v>
      </c>
      <c r="C368" s="34">
        <v>4301031066</v>
      </c>
      <c r="D368" s="692">
        <v>4607091383836</v>
      </c>
      <c r="E368" s="69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90</v>
      </c>
      <c r="L368" s="35" t="s">
        <v>46</v>
      </c>
      <c r="M368" s="36" t="s">
        <v>80</v>
      </c>
      <c r="N368" s="36"/>
      <c r="O368" s="35">
        <v>40</v>
      </c>
      <c r="P368" s="88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7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618</v>
      </c>
      <c r="AG368" s="75"/>
      <c r="AJ368" s="79" t="s">
        <v>46</v>
      </c>
      <c r="AK368" s="79">
        <v>0</v>
      </c>
      <c r="BB368" s="458" t="s">
        <v>66</v>
      </c>
      <c r="BM368" s="75">
        <f t="shared" si="48"/>
        <v>0</v>
      </c>
      <c r="BN368" s="75">
        <f t="shared" si="49"/>
        <v>0</v>
      </c>
      <c r="BO368" s="75">
        <f t="shared" si="50"/>
        <v>0</v>
      </c>
      <c r="BP368" s="75">
        <f t="shared" si="51"/>
        <v>0</v>
      </c>
    </row>
    <row r="369" spans="1:68" hidden="1" x14ac:dyDescent="0.2">
      <c r="A369" s="70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1"/>
      <c r="P369" s="697" t="s">
        <v>40</v>
      </c>
      <c r="Q369" s="698"/>
      <c r="R369" s="698"/>
      <c r="S369" s="698"/>
      <c r="T369" s="698"/>
      <c r="U369" s="698"/>
      <c r="V369" s="699"/>
      <c r="W369" s="40" t="s">
        <v>39</v>
      </c>
      <c r="X369" s="41">
        <f>IFERROR(X362/H362,"0")+IFERROR(X363/H363,"0")+IFERROR(X364/H364,"0")+IFERROR(X365/H365,"0")+IFERROR(X366/H366,"0")+IFERROR(X367/H367,"0")+IFERROR(X368/H368,"0")</f>
        <v>0</v>
      </c>
      <c r="Y369" s="41">
        <f>IFERROR(Y362/H362,"0")+IFERROR(Y363/H363,"0")+IFERROR(Y364/H364,"0")+IFERROR(Y365/H365,"0")+IFERROR(Y366/H366,"0")+IFERROR(Y367/H367,"0")+IFERROR(Y368/H368,"0")</f>
        <v>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0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1"/>
      <c r="P370" s="697" t="s">
        <v>40</v>
      </c>
      <c r="Q370" s="698"/>
      <c r="R370" s="698"/>
      <c r="S370" s="698"/>
      <c r="T370" s="698"/>
      <c r="U370" s="698"/>
      <c r="V370" s="699"/>
      <c r="W370" s="40" t="s">
        <v>0</v>
      </c>
      <c r="X370" s="41">
        <f>IFERROR(SUM(X362:X368),"0")</f>
        <v>0</v>
      </c>
      <c r="Y370" s="41">
        <f>IFERROR(SUM(Y362:Y368),"0")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91" t="s">
        <v>85</v>
      </c>
      <c r="B371" s="691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  <c r="AA371" s="63"/>
      <c r="AB371" s="63"/>
      <c r="AC371" s="63"/>
    </row>
    <row r="372" spans="1:68" ht="27" hidden="1" customHeight="1" x14ac:dyDescent="0.25">
      <c r="A372" s="60" t="s">
        <v>619</v>
      </c>
      <c r="B372" s="60" t="s">
        <v>620</v>
      </c>
      <c r="C372" s="34">
        <v>4301051100</v>
      </c>
      <c r="D372" s="692">
        <v>4607091387766</v>
      </c>
      <c r="E372" s="69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132</v>
      </c>
      <c r="L372" s="35" t="s">
        <v>46</v>
      </c>
      <c r="M372" s="36" t="s">
        <v>89</v>
      </c>
      <c r="N372" s="36"/>
      <c r="O372" s="35">
        <v>40</v>
      </c>
      <c r="P372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4"/>
      <c r="R372" s="694"/>
      <c r="S372" s="694"/>
      <c r="T372" s="69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621</v>
      </c>
      <c r="AG372" s="75"/>
      <c r="AJ372" s="79" t="s">
        <v>46</v>
      </c>
      <c r="AK372" s="79">
        <v>0</v>
      </c>
      <c r="BB372" s="460" t="s">
        <v>66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622</v>
      </c>
      <c r="B373" s="60" t="s">
        <v>623</v>
      </c>
      <c r="C373" s="34">
        <v>4301051818</v>
      </c>
      <c r="D373" s="692">
        <v>4607091387957</v>
      </c>
      <c r="E373" s="69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132</v>
      </c>
      <c r="L373" s="35" t="s">
        <v>46</v>
      </c>
      <c r="M373" s="36" t="s">
        <v>89</v>
      </c>
      <c r="N373" s="36"/>
      <c r="O373" s="35">
        <v>40</v>
      </c>
      <c r="P373" s="8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624</v>
      </c>
      <c r="AG373" s="75"/>
      <c r="AJ373" s="79" t="s">
        <v>46</v>
      </c>
      <c r="AK373" s="79">
        <v>0</v>
      </c>
      <c r="BB373" s="46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625</v>
      </c>
      <c r="B374" s="60" t="s">
        <v>626</v>
      </c>
      <c r="C374" s="34">
        <v>4301051819</v>
      </c>
      <c r="D374" s="692">
        <v>4607091387964</v>
      </c>
      <c r="E374" s="69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132</v>
      </c>
      <c r="L374" s="35" t="s">
        <v>46</v>
      </c>
      <c r="M374" s="36" t="s">
        <v>89</v>
      </c>
      <c r="N374" s="36"/>
      <c r="O374" s="35">
        <v>40</v>
      </c>
      <c r="P374" s="8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627</v>
      </c>
      <c r="AG374" s="75"/>
      <c r="AJ374" s="79" t="s">
        <v>46</v>
      </c>
      <c r="AK374" s="79">
        <v>0</v>
      </c>
      <c r="BB374" s="46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4301051734</v>
      </c>
      <c r="D375" s="692">
        <v>4680115884588</v>
      </c>
      <c r="E375" s="69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90</v>
      </c>
      <c r="L375" s="35" t="s">
        <v>46</v>
      </c>
      <c r="M375" s="36" t="s">
        <v>89</v>
      </c>
      <c r="N375" s="36"/>
      <c r="O375" s="35">
        <v>40</v>
      </c>
      <c r="P375" s="8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621</v>
      </c>
      <c r="AG375" s="75"/>
      <c r="AJ375" s="79" t="s">
        <v>46</v>
      </c>
      <c r="AK375" s="79">
        <v>0</v>
      </c>
      <c r="BB375" s="466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70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1"/>
      <c r="P376" s="697" t="s">
        <v>40</v>
      </c>
      <c r="Q376" s="698"/>
      <c r="R376" s="698"/>
      <c r="S376" s="698"/>
      <c r="T376" s="698"/>
      <c r="U376" s="698"/>
      <c r="V376" s="69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0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1"/>
      <c r="P377" s="697" t="s">
        <v>40</v>
      </c>
      <c r="Q377" s="698"/>
      <c r="R377" s="698"/>
      <c r="S377" s="698"/>
      <c r="T377" s="698"/>
      <c r="U377" s="698"/>
      <c r="V377" s="69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91" t="s">
        <v>180</v>
      </c>
      <c r="B378" s="691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  <c r="AA378" s="63"/>
      <c r="AB378" s="63"/>
      <c r="AC378" s="63"/>
    </row>
    <row r="379" spans="1:68" ht="27" hidden="1" customHeight="1" x14ac:dyDescent="0.25">
      <c r="A379" s="60" t="s">
        <v>630</v>
      </c>
      <c r="B379" s="60" t="s">
        <v>631</v>
      </c>
      <c r="C379" s="34">
        <v>4301060387</v>
      </c>
      <c r="D379" s="692">
        <v>4607091380880</v>
      </c>
      <c r="E379" s="69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132</v>
      </c>
      <c r="L379" s="35" t="s">
        <v>46</v>
      </c>
      <c r="M379" s="36" t="s">
        <v>89</v>
      </c>
      <c r="N379" s="36"/>
      <c r="O379" s="35">
        <v>30</v>
      </c>
      <c r="P379" s="8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4"/>
      <c r="R379" s="694"/>
      <c r="S379" s="694"/>
      <c r="T379" s="69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632</v>
      </c>
      <c r="AG379" s="75"/>
      <c r="AJ379" s="79" t="s">
        <v>46</v>
      </c>
      <c r="AK379" s="79">
        <v>0</v>
      </c>
      <c r="BB379" s="468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4301060406</v>
      </c>
      <c r="D380" s="692">
        <v>4607091384482</v>
      </c>
      <c r="E380" s="69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132</v>
      </c>
      <c r="L380" s="35" t="s">
        <v>46</v>
      </c>
      <c r="M380" s="36" t="s">
        <v>89</v>
      </c>
      <c r="N380" s="36"/>
      <c r="O380" s="35">
        <v>30</v>
      </c>
      <c r="P380" s="8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635</v>
      </c>
      <c r="AG380" s="75"/>
      <c r="AJ380" s="79" t="s">
        <v>46</v>
      </c>
      <c r="AK380" s="79">
        <v>0</v>
      </c>
      <c r="BB380" s="470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16.5" hidden="1" customHeight="1" x14ac:dyDescent="0.25">
      <c r="A381" s="60" t="s">
        <v>636</v>
      </c>
      <c r="B381" s="60" t="s">
        <v>637</v>
      </c>
      <c r="C381" s="34">
        <v>4301060484</v>
      </c>
      <c r="D381" s="692">
        <v>4607091380897</v>
      </c>
      <c r="E381" s="69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132</v>
      </c>
      <c r="L381" s="35" t="s">
        <v>46</v>
      </c>
      <c r="M381" s="36" t="s">
        <v>96</v>
      </c>
      <c r="N381" s="36"/>
      <c r="O381" s="35">
        <v>30</v>
      </c>
      <c r="P381" s="8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70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1"/>
      <c r="P382" s="697" t="s">
        <v>40</v>
      </c>
      <c r="Q382" s="698"/>
      <c r="R382" s="698"/>
      <c r="S382" s="698"/>
      <c r="T382" s="698"/>
      <c r="U382" s="698"/>
      <c r="V382" s="699"/>
      <c r="W382" s="40" t="s">
        <v>39</v>
      </c>
      <c r="X382" s="41">
        <f>IFERROR(X379/H379,"0")+IFERROR(X380/H380,"0")+IFERROR(X381/H381,"0")</f>
        <v>0</v>
      </c>
      <c r="Y382" s="41">
        <f>IFERROR(Y379/H379,"0")+IFERROR(Y380/H380,"0")+IFERROR(Y381/H381,"0")</f>
        <v>0</v>
      </c>
      <c r="Z382" s="41">
        <f>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0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1"/>
      <c r="P383" s="697" t="s">
        <v>40</v>
      </c>
      <c r="Q383" s="698"/>
      <c r="R383" s="698"/>
      <c r="S383" s="698"/>
      <c r="T383" s="698"/>
      <c r="U383" s="698"/>
      <c r="V383" s="699"/>
      <c r="W383" s="40" t="s">
        <v>0</v>
      </c>
      <c r="X383" s="41">
        <f>IFERROR(SUM(X379:X381),"0")</f>
        <v>0</v>
      </c>
      <c r="Y383" s="41">
        <f>IFERROR(SUM(Y379:Y381),"0")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91" t="s">
        <v>103</v>
      </c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  <c r="AA384" s="63"/>
      <c r="AB384" s="63"/>
      <c r="AC384" s="63"/>
    </row>
    <row r="385" spans="1:68" ht="27" hidden="1" customHeight="1" x14ac:dyDescent="0.25">
      <c r="A385" s="60" t="s">
        <v>639</v>
      </c>
      <c r="B385" s="60" t="s">
        <v>640</v>
      </c>
      <c r="C385" s="34">
        <v>4301030235</v>
      </c>
      <c r="D385" s="692">
        <v>4607091388381</v>
      </c>
      <c r="E385" s="69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139</v>
      </c>
      <c r="L385" s="35" t="s">
        <v>46</v>
      </c>
      <c r="M385" s="36" t="s">
        <v>108</v>
      </c>
      <c r="N385" s="36"/>
      <c r="O385" s="35">
        <v>180</v>
      </c>
      <c r="P385" s="8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4"/>
      <c r="R385" s="694"/>
      <c r="S385" s="694"/>
      <c r="T385" s="69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641</v>
      </c>
      <c r="AG385" s="75"/>
      <c r="AJ385" s="79" t="s">
        <v>46</v>
      </c>
      <c r="AK385" s="79">
        <v>0</v>
      </c>
      <c r="BB385" s="474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4301030232</v>
      </c>
      <c r="D386" s="692">
        <v>4607091388374</v>
      </c>
      <c r="E386" s="69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139</v>
      </c>
      <c r="L386" s="35" t="s">
        <v>46</v>
      </c>
      <c r="M386" s="36" t="s">
        <v>108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641</v>
      </c>
      <c r="AG386" s="75"/>
      <c r="AJ386" s="79" t="s">
        <v>46</v>
      </c>
      <c r="AK386" s="79">
        <v>0</v>
      </c>
      <c r="BB386" s="476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4301032015</v>
      </c>
      <c r="D387" s="692">
        <v>4607091383102</v>
      </c>
      <c r="E387" s="69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90</v>
      </c>
      <c r="L387" s="35" t="s">
        <v>46</v>
      </c>
      <c r="M387" s="36" t="s">
        <v>108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641</v>
      </c>
      <c r="AG387" s="75"/>
      <c r="AJ387" s="79" t="s">
        <v>46</v>
      </c>
      <c r="AK387" s="79">
        <v>0</v>
      </c>
      <c r="BB387" s="478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4301030233</v>
      </c>
      <c r="D388" s="692">
        <v>4607091388404</v>
      </c>
      <c r="E388" s="69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90</v>
      </c>
      <c r="L388" s="35" t="s">
        <v>46</v>
      </c>
      <c r="M388" s="36" t="s">
        <v>108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641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0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1"/>
      <c r="P389" s="697" t="s">
        <v>40</v>
      </c>
      <c r="Q389" s="698"/>
      <c r="R389" s="698"/>
      <c r="S389" s="698"/>
      <c r="T389" s="698"/>
      <c r="U389" s="698"/>
      <c r="V389" s="699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0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1"/>
      <c r="P390" s="697" t="s">
        <v>40</v>
      </c>
      <c r="Q390" s="698"/>
      <c r="R390" s="698"/>
      <c r="S390" s="698"/>
      <c r="T390" s="698"/>
      <c r="U390" s="698"/>
      <c r="V390" s="699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91" t="s">
        <v>648</v>
      </c>
      <c r="B391" s="691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  <c r="AA391" s="63"/>
      <c r="AB391" s="63"/>
      <c r="AC391" s="63"/>
    </row>
    <row r="392" spans="1:68" ht="16.5" hidden="1" customHeight="1" x14ac:dyDescent="0.25">
      <c r="A392" s="60" t="s">
        <v>649</v>
      </c>
      <c r="B392" s="60" t="s">
        <v>650</v>
      </c>
      <c r="C392" s="34">
        <v>4301180007</v>
      </c>
      <c r="D392" s="692">
        <v>4680115881808</v>
      </c>
      <c r="E392" s="69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90</v>
      </c>
      <c r="L392" s="35" t="s">
        <v>46</v>
      </c>
      <c r="M392" s="36" t="s">
        <v>652</v>
      </c>
      <c r="N392" s="36"/>
      <c r="O392" s="35">
        <v>731</v>
      </c>
      <c r="P392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4"/>
      <c r="R392" s="694"/>
      <c r="S392" s="694"/>
      <c r="T392" s="69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651</v>
      </c>
      <c r="AG392" s="75"/>
      <c r="AJ392" s="79" t="s">
        <v>46</v>
      </c>
      <c r="AK392" s="79">
        <v>0</v>
      </c>
      <c r="BB392" s="482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4301180006</v>
      </c>
      <c r="D393" s="692">
        <v>4680115881822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90</v>
      </c>
      <c r="L393" s="35" t="s">
        <v>46</v>
      </c>
      <c r="M393" s="36" t="s">
        <v>652</v>
      </c>
      <c r="N393" s="36"/>
      <c r="O393" s="35">
        <v>731</v>
      </c>
      <c r="P393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651</v>
      </c>
      <c r="AG393" s="75"/>
      <c r="AJ393" s="79" t="s">
        <v>46</v>
      </c>
      <c r="AK393" s="79">
        <v>0</v>
      </c>
      <c r="BB393" s="48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655</v>
      </c>
      <c r="B394" s="60" t="s">
        <v>656</v>
      </c>
      <c r="C394" s="34">
        <v>4301180001</v>
      </c>
      <c r="D394" s="692">
        <v>4680115880016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90</v>
      </c>
      <c r="L394" s="35" t="s">
        <v>46</v>
      </c>
      <c r="M394" s="36" t="s">
        <v>652</v>
      </c>
      <c r="N394" s="36"/>
      <c r="O394" s="35">
        <v>731</v>
      </c>
      <c r="P394" s="90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651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0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1"/>
      <c r="P395" s="697" t="s">
        <v>40</v>
      </c>
      <c r="Q395" s="698"/>
      <c r="R395" s="698"/>
      <c r="S395" s="698"/>
      <c r="T395" s="698"/>
      <c r="U395" s="698"/>
      <c r="V395" s="699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0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1"/>
      <c r="P396" s="697" t="s">
        <v>40</v>
      </c>
      <c r="Q396" s="698"/>
      <c r="R396" s="698"/>
      <c r="S396" s="698"/>
      <c r="T396" s="698"/>
      <c r="U396" s="698"/>
      <c r="V396" s="699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91" t="s">
        <v>657</v>
      </c>
      <c r="B397" s="691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  <c r="AA397" s="63"/>
      <c r="AB397" s="63"/>
      <c r="AC397" s="63"/>
    </row>
    <row r="398" spans="1:68" ht="27" hidden="1" customHeight="1" x14ac:dyDescent="0.25">
      <c r="A398" s="60" t="s">
        <v>658</v>
      </c>
      <c r="B398" s="60" t="s">
        <v>659</v>
      </c>
      <c r="C398" s="34">
        <v>4301220003</v>
      </c>
      <c r="D398" s="692">
        <v>4680115888678</v>
      </c>
      <c r="E398" s="692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90</v>
      </c>
      <c r="L398" s="35" t="s">
        <v>46</v>
      </c>
      <c r="M398" s="36" t="s">
        <v>652</v>
      </c>
      <c r="N398" s="36"/>
      <c r="O398" s="35">
        <v>1095</v>
      </c>
      <c r="P398" s="9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4"/>
      <c r="R398" s="694"/>
      <c r="S398" s="694"/>
      <c r="T398" s="69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275</v>
      </c>
      <c r="AC398" s="487" t="s">
        <v>660</v>
      </c>
      <c r="AG398" s="75"/>
      <c r="AJ398" s="79" t="s">
        <v>46</v>
      </c>
      <c r="AK398" s="79">
        <v>0</v>
      </c>
      <c r="BB398" s="48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4301220001</v>
      </c>
      <c r="D399" s="692">
        <v>4680115888654</v>
      </c>
      <c r="E399" s="692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139</v>
      </c>
      <c r="L399" s="35" t="s">
        <v>46</v>
      </c>
      <c r="M399" s="36" t="s">
        <v>652</v>
      </c>
      <c r="N399" s="36"/>
      <c r="O399" s="35">
        <v>1095</v>
      </c>
      <c r="P399" s="90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275</v>
      </c>
      <c r="AC399" s="489" t="s">
        <v>663</v>
      </c>
      <c r="AG399" s="75"/>
      <c r="AJ399" s="79" t="s">
        <v>46</v>
      </c>
      <c r="AK399" s="79">
        <v>0</v>
      </c>
      <c r="BB399" s="490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664</v>
      </c>
      <c r="B400" s="60" t="s">
        <v>665</v>
      </c>
      <c r="C400" s="34">
        <v>4301220002</v>
      </c>
      <c r="D400" s="692">
        <v>4680115888753</v>
      </c>
      <c r="E400" s="692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90</v>
      </c>
      <c r="L400" s="35" t="s">
        <v>46</v>
      </c>
      <c r="M400" s="36" t="s">
        <v>652</v>
      </c>
      <c r="N400" s="36"/>
      <c r="O400" s="35">
        <v>1095</v>
      </c>
      <c r="P400" s="90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275</v>
      </c>
      <c r="AC400" s="491" t="s">
        <v>660</v>
      </c>
      <c r="AG400" s="75"/>
      <c r="AJ400" s="79" t="s">
        <v>46</v>
      </c>
      <c r="AK400" s="79">
        <v>0</v>
      </c>
      <c r="BB400" s="492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0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1"/>
      <c r="P401" s="697" t="s">
        <v>40</v>
      </c>
      <c r="Q401" s="698"/>
      <c r="R401" s="698"/>
      <c r="S401" s="698"/>
      <c r="T401" s="698"/>
      <c r="U401" s="698"/>
      <c r="V401" s="69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0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1"/>
      <c r="P402" s="697" t="s">
        <v>40</v>
      </c>
      <c r="Q402" s="698"/>
      <c r="R402" s="698"/>
      <c r="S402" s="698"/>
      <c r="T402" s="698"/>
      <c r="U402" s="698"/>
      <c r="V402" s="69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90" t="s">
        <v>666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0"/>
      <c r="P403" s="690"/>
      <c r="Q403" s="690"/>
      <c r="R403" s="690"/>
      <c r="S403" s="690"/>
      <c r="T403" s="690"/>
      <c r="U403" s="690"/>
      <c r="V403" s="690"/>
      <c r="W403" s="690"/>
      <c r="X403" s="690"/>
      <c r="Y403" s="690"/>
      <c r="Z403" s="690"/>
      <c r="AA403" s="62"/>
      <c r="AB403" s="62"/>
      <c r="AC403" s="62"/>
    </row>
    <row r="404" spans="1:68" ht="14.25" hidden="1" customHeight="1" x14ac:dyDescent="0.25">
      <c r="A404" s="691" t="s">
        <v>85</v>
      </c>
      <c r="B404" s="691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  <c r="AA404" s="63"/>
      <c r="AB404" s="63"/>
      <c r="AC404" s="63"/>
    </row>
    <row r="405" spans="1:68" ht="27" hidden="1" customHeight="1" x14ac:dyDescent="0.25">
      <c r="A405" s="60" t="s">
        <v>667</v>
      </c>
      <c r="B405" s="60" t="s">
        <v>668</v>
      </c>
      <c r="C405" s="34">
        <v>4301051489</v>
      </c>
      <c r="D405" s="692">
        <v>4607091387919</v>
      </c>
      <c r="E405" s="692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132</v>
      </c>
      <c r="L405" s="35" t="s">
        <v>46</v>
      </c>
      <c r="M405" s="36" t="s">
        <v>96</v>
      </c>
      <c r="N405" s="36"/>
      <c r="O405" s="35">
        <v>45</v>
      </c>
      <c r="P405" s="9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4"/>
      <c r="R405" s="694"/>
      <c r="S405" s="694"/>
      <c r="T405" s="69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669</v>
      </c>
      <c r="AG405" s="75"/>
      <c r="AJ405" s="79" t="s">
        <v>46</v>
      </c>
      <c r="AK405" s="79">
        <v>0</v>
      </c>
      <c r="BB405" s="49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4301051461</v>
      </c>
      <c r="D406" s="692">
        <v>4680115883604</v>
      </c>
      <c r="E406" s="692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90</v>
      </c>
      <c r="L406" s="35" t="s">
        <v>46</v>
      </c>
      <c r="M406" s="36" t="s">
        <v>89</v>
      </c>
      <c r="N406" s="36"/>
      <c r="O406" s="35">
        <v>45</v>
      </c>
      <c r="P406" s="9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 t="s">
        <v>46</v>
      </c>
      <c r="AB406" s="66" t="s">
        <v>46</v>
      </c>
      <c r="AC406" s="495" t="s">
        <v>672</v>
      </c>
      <c r="AG406" s="75"/>
      <c r="AJ406" s="79" t="s">
        <v>46</v>
      </c>
      <c r="AK406" s="79">
        <v>0</v>
      </c>
      <c r="BB406" s="49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4301051864</v>
      </c>
      <c r="D407" s="692">
        <v>4680115883567</v>
      </c>
      <c r="E407" s="692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90</v>
      </c>
      <c r="L407" s="35" t="s">
        <v>46</v>
      </c>
      <c r="M407" s="36" t="s">
        <v>96</v>
      </c>
      <c r="N407" s="36"/>
      <c r="O407" s="35">
        <v>40</v>
      </c>
      <c r="P407" s="9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IFERROR(IF(Y407=0,"",ROUNDUP(Y407/H407,0)*0.00651),"")</f>
        <v/>
      </c>
      <c r="AA407" s="65" t="s">
        <v>46</v>
      </c>
      <c r="AB407" s="66" t="s">
        <v>46</v>
      </c>
      <c r="AC407" s="497" t="s">
        <v>675</v>
      </c>
      <c r="AG407" s="75"/>
      <c r="AJ407" s="79" t="s">
        <v>46</v>
      </c>
      <c r="AK407" s="79">
        <v>0</v>
      </c>
      <c r="BB407" s="49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0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1"/>
      <c r="P408" s="697" t="s">
        <v>40</v>
      </c>
      <c r="Q408" s="698"/>
      <c r="R408" s="698"/>
      <c r="S408" s="698"/>
      <c r="T408" s="698"/>
      <c r="U408" s="698"/>
      <c r="V408" s="699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0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1"/>
      <c r="P409" s="697" t="s">
        <v>40</v>
      </c>
      <c r="Q409" s="698"/>
      <c r="R409" s="698"/>
      <c r="S409" s="698"/>
      <c r="T409" s="698"/>
      <c r="U409" s="698"/>
      <c r="V409" s="699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27.75" hidden="1" customHeight="1" x14ac:dyDescent="0.2">
      <c r="A410" s="689" t="s">
        <v>676</v>
      </c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52"/>
      <c r="AB410" s="52"/>
      <c r="AC410" s="52"/>
    </row>
    <row r="411" spans="1:68" ht="16.5" hidden="1" customHeight="1" x14ac:dyDescent="0.25">
      <c r="A411" s="690" t="s">
        <v>677</v>
      </c>
      <c r="B411" s="690"/>
      <c r="C411" s="690"/>
      <c r="D411" s="690"/>
      <c r="E411" s="690"/>
      <c r="F411" s="690"/>
      <c r="G411" s="690"/>
      <c r="H411" s="690"/>
      <c r="I411" s="690"/>
      <c r="J411" s="690"/>
      <c r="K411" s="690"/>
      <c r="L411" s="690"/>
      <c r="M411" s="690"/>
      <c r="N411" s="690"/>
      <c r="O411" s="690"/>
      <c r="P411" s="690"/>
      <c r="Q411" s="690"/>
      <c r="R411" s="690"/>
      <c r="S411" s="690"/>
      <c r="T411" s="690"/>
      <c r="U411" s="690"/>
      <c r="V411" s="690"/>
      <c r="W411" s="690"/>
      <c r="X411" s="690"/>
      <c r="Y411" s="690"/>
      <c r="Z411" s="690"/>
      <c r="AA411" s="62"/>
      <c r="AB411" s="62"/>
      <c r="AC411" s="62"/>
    </row>
    <row r="412" spans="1:68" ht="14.25" hidden="1" customHeight="1" x14ac:dyDescent="0.25">
      <c r="A412" s="691" t="s">
        <v>127</v>
      </c>
      <c r="B412" s="691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  <c r="AA412" s="63"/>
      <c r="AB412" s="63"/>
      <c r="AC412" s="63"/>
    </row>
    <row r="413" spans="1:68" ht="27" hidden="1" customHeight="1" x14ac:dyDescent="0.25">
      <c r="A413" s="60" t="s">
        <v>678</v>
      </c>
      <c r="B413" s="60" t="s">
        <v>679</v>
      </c>
      <c r="C413" s="34">
        <v>4301012332</v>
      </c>
      <c r="D413" s="692">
        <v>4680115888401</v>
      </c>
      <c r="E413" s="692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132</v>
      </c>
      <c r="L413" s="35" t="s">
        <v>46</v>
      </c>
      <c r="M413" s="36" t="s">
        <v>96</v>
      </c>
      <c r="N413" s="36"/>
      <c r="O413" s="35">
        <v>60</v>
      </c>
      <c r="P413" s="90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ref="Y413:Y420" si="52">IFERROR(IF(X413="",0,CEILING((X413/$H413),1)*$H413),"")</f>
        <v>0</v>
      </c>
      <c r="Z413" s="39" t="str">
        <f>IFERROR(IF(Y413=0,"",ROUNDUP(Y413/H413,0)*0.02175),"")</f>
        <v/>
      </c>
      <c r="AA413" s="65" t="s">
        <v>46</v>
      </c>
      <c r="AB413" s="66" t="s">
        <v>46</v>
      </c>
      <c r="AC413" s="499" t="s">
        <v>680</v>
      </c>
      <c r="AG413" s="75"/>
      <c r="AJ413" s="79" t="s">
        <v>46</v>
      </c>
      <c r="AK413" s="79">
        <v>0</v>
      </c>
      <c r="BB413" s="500" t="s">
        <v>66</v>
      </c>
      <c r="BM413" s="75">
        <f t="shared" ref="BM413:BM420" si="53">IFERROR(X413*I413/H413,"0")</f>
        <v>0</v>
      </c>
      <c r="BN413" s="75">
        <f t="shared" ref="BN413:BN420" si="54">IFERROR(Y413*I413/H413,"0")</f>
        <v>0</v>
      </c>
      <c r="BO413" s="75">
        <f t="shared" ref="BO413:BO420" si="55">IFERROR(1/J413*(X413/H413),"0")</f>
        <v>0</v>
      </c>
      <c r="BP413" s="75">
        <f t="shared" ref="BP413:BP420" si="56">IFERROR(1/J413*(Y413/H413),"0")</f>
        <v>0</v>
      </c>
    </row>
    <row r="414" spans="1:68" ht="37.5" hidden="1" customHeight="1" x14ac:dyDescent="0.25">
      <c r="A414" s="60" t="s">
        <v>681</v>
      </c>
      <c r="B414" s="60" t="s">
        <v>682</v>
      </c>
      <c r="C414" s="34">
        <v>4301011869</v>
      </c>
      <c r="D414" s="692">
        <v>4680115884847</v>
      </c>
      <c r="E414" s="692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132</v>
      </c>
      <c r="L414" s="35" t="s">
        <v>46</v>
      </c>
      <c r="M414" s="36" t="s">
        <v>80</v>
      </c>
      <c r="N414" s="36"/>
      <c r="O414" s="35">
        <v>60</v>
      </c>
      <c r="P414" s="9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0</v>
      </c>
      <c r="Y414" s="53">
        <f t="shared" si="52"/>
        <v>0</v>
      </c>
      <c r="Z414" s="39" t="str">
        <f>IFERROR(IF(Y414=0,"",ROUNDUP(Y414/H414,0)*0.02175),"")</f>
        <v/>
      </c>
      <c r="AA414" s="65" t="s">
        <v>46</v>
      </c>
      <c r="AB414" s="66" t="s">
        <v>46</v>
      </c>
      <c r="AC414" s="501" t="s">
        <v>683</v>
      </c>
      <c r="AG414" s="75"/>
      <c r="AJ414" s="79" t="s">
        <v>46</v>
      </c>
      <c r="AK414" s="79">
        <v>0</v>
      </c>
      <c r="BB414" s="502" t="s">
        <v>66</v>
      </c>
      <c r="BM414" s="75">
        <f t="shared" si="53"/>
        <v>0</v>
      </c>
      <c r="BN414" s="75">
        <f t="shared" si="54"/>
        <v>0</v>
      </c>
      <c r="BO414" s="75">
        <f t="shared" si="55"/>
        <v>0</v>
      </c>
      <c r="BP414" s="75">
        <f t="shared" si="56"/>
        <v>0</v>
      </c>
    </row>
    <row r="415" spans="1:68" ht="27" customHeight="1" x14ac:dyDescent="0.25">
      <c r="A415" s="60" t="s">
        <v>684</v>
      </c>
      <c r="B415" s="60" t="s">
        <v>685</v>
      </c>
      <c r="C415" s="34">
        <v>4301012083</v>
      </c>
      <c r="D415" s="692">
        <v>4680115884854</v>
      </c>
      <c r="E415" s="692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132</v>
      </c>
      <c r="L415" s="35" t="s">
        <v>46</v>
      </c>
      <c r="M415" s="36" t="s">
        <v>131</v>
      </c>
      <c r="N415" s="36"/>
      <c r="O415" s="35">
        <v>60</v>
      </c>
      <c r="P415" s="9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4"/>
      <c r="R415" s="694"/>
      <c r="S415" s="694"/>
      <c r="T415" s="695"/>
      <c r="U415" s="37" t="s">
        <v>46</v>
      </c>
      <c r="V415" s="37" t="s">
        <v>46</v>
      </c>
      <c r="W415" s="38" t="s">
        <v>0</v>
      </c>
      <c r="X415" s="56">
        <v>1800</v>
      </c>
      <c r="Y415" s="53">
        <f t="shared" si="52"/>
        <v>1800</v>
      </c>
      <c r="Z415" s="39">
        <f>IFERROR(IF(Y415=0,"",ROUNDUP(Y415/H415,0)*0.02175),"")</f>
        <v>2.61</v>
      </c>
      <c r="AA415" s="65" t="s">
        <v>46</v>
      </c>
      <c r="AB415" s="66" t="s">
        <v>46</v>
      </c>
      <c r="AC415" s="503" t="s">
        <v>686</v>
      </c>
      <c r="AG415" s="75"/>
      <c r="AJ415" s="79" t="s">
        <v>46</v>
      </c>
      <c r="AK415" s="79">
        <v>0</v>
      </c>
      <c r="BB415" s="504" t="s">
        <v>66</v>
      </c>
      <c r="BM415" s="75">
        <f t="shared" si="53"/>
        <v>1856.4</v>
      </c>
      <c r="BN415" s="75">
        <f t="shared" si="54"/>
        <v>1856.4</v>
      </c>
      <c r="BO415" s="75">
        <f t="shared" si="55"/>
        <v>2.5</v>
      </c>
      <c r="BP415" s="75">
        <f t="shared" si="56"/>
        <v>2.5</v>
      </c>
    </row>
    <row r="416" spans="1:68" ht="27" hidden="1" customHeight="1" x14ac:dyDescent="0.25">
      <c r="A416" s="60" t="s">
        <v>687</v>
      </c>
      <c r="B416" s="60" t="s">
        <v>688</v>
      </c>
      <c r="C416" s="34">
        <v>4301011867</v>
      </c>
      <c r="D416" s="692">
        <v>4680115884830</v>
      </c>
      <c r="E416" s="692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132</v>
      </c>
      <c r="L416" s="35" t="s">
        <v>46</v>
      </c>
      <c r="M416" s="36" t="s">
        <v>80</v>
      </c>
      <c r="N416" s="36"/>
      <c r="O416" s="35">
        <v>60</v>
      </c>
      <c r="P416" s="9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4"/>
      <c r="R416" s="694"/>
      <c r="S416" s="694"/>
      <c r="T416" s="695"/>
      <c r="U416" s="37" t="s">
        <v>46</v>
      </c>
      <c r="V416" s="37" t="s">
        <v>46</v>
      </c>
      <c r="W416" s="38" t="s">
        <v>0</v>
      </c>
      <c r="X416" s="56">
        <v>0</v>
      </c>
      <c r="Y416" s="53">
        <f t="shared" si="52"/>
        <v>0</v>
      </c>
      <c r="Z416" s="39" t="str">
        <f>IFERROR(IF(Y416=0,"",ROUNDUP(Y416/H416,0)*0.02175),"")</f>
        <v/>
      </c>
      <c r="AA416" s="65" t="s">
        <v>46</v>
      </c>
      <c r="AB416" s="66" t="s">
        <v>46</v>
      </c>
      <c r="AC416" s="505" t="s">
        <v>689</v>
      </c>
      <c r="AG416" s="75"/>
      <c r="AJ416" s="79" t="s">
        <v>46</v>
      </c>
      <c r="AK416" s="79">
        <v>0</v>
      </c>
      <c r="BB416" s="506" t="s">
        <v>66</v>
      </c>
      <c r="BM416" s="75">
        <f t="shared" si="53"/>
        <v>0</v>
      </c>
      <c r="BN416" s="75">
        <f t="shared" si="54"/>
        <v>0</v>
      </c>
      <c r="BO416" s="75">
        <f t="shared" si="55"/>
        <v>0</v>
      </c>
      <c r="BP416" s="75">
        <f t="shared" si="56"/>
        <v>0</v>
      </c>
    </row>
    <row r="417" spans="1:68" ht="27" hidden="1" customHeight="1" x14ac:dyDescent="0.25">
      <c r="A417" s="60" t="s">
        <v>690</v>
      </c>
      <c r="B417" s="60" t="s">
        <v>691</v>
      </c>
      <c r="C417" s="34">
        <v>4301012356</v>
      </c>
      <c r="D417" s="692">
        <v>4680115889231</v>
      </c>
      <c r="E417" s="692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132</v>
      </c>
      <c r="L417" s="35" t="s">
        <v>46</v>
      </c>
      <c r="M417" s="36" t="s">
        <v>96</v>
      </c>
      <c r="N417" s="36"/>
      <c r="O417" s="35">
        <v>60</v>
      </c>
      <c r="P417" s="9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4"/>
      <c r="R417" s="694"/>
      <c r="S417" s="694"/>
      <c r="T417" s="695"/>
      <c r="U417" s="37" t="s">
        <v>46</v>
      </c>
      <c r="V417" s="37" t="s">
        <v>46</v>
      </c>
      <c r="W417" s="38" t="s">
        <v>0</v>
      </c>
      <c r="X417" s="56">
        <v>0</v>
      </c>
      <c r="Y417" s="53">
        <f t="shared" si="52"/>
        <v>0</v>
      </c>
      <c r="Z417" s="39" t="str">
        <f>IFERROR(IF(Y417=0,"",ROUNDUP(Y417/H417,0)*0.02175),"")</f>
        <v/>
      </c>
      <c r="AA417" s="65" t="s">
        <v>46</v>
      </c>
      <c r="AB417" s="66" t="s">
        <v>46</v>
      </c>
      <c r="AC417" s="507" t="s">
        <v>692</v>
      </c>
      <c r="AG417" s="75"/>
      <c r="AJ417" s="79" t="s">
        <v>46</v>
      </c>
      <c r="AK417" s="79">
        <v>0</v>
      </c>
      <c r="BB417" s="508" t="s">
        <v>66</v>
      </c>
      <c r="BM417" s="75">
        <f t="shared" si="53"/>
        <v>0</v>
      </c>
      <c r="BN417" s="75">
        <f t="shared" si="54"/>
        <v>0</v>
      </c>
      <c r="BO417" s="75">
        <f t="shared" si="55"/>
        <v>0</v>
      </c>
      <c r="BP417" s="75">
        <f t="shared" si="56"/>
        <v>0</v>
      </c>
    </row>
    <row r="418" spans="1:68" ht="27" hidden="1" customHeight="1" x14ac:dyDescent="0.25">
      <c r="A418" s="60" t="s">
        <v>693</v>
      </c>
      <c r="B418" s="60" t="s">
        <v>694</v>
      </c>
      <c r="C418" s="34">
        <v>4301011433</v>
      </c>
      <c r="D418" s="692">
        <v>4680115882638</v>
      </c>
      <c r="E418" s="692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139</v>
      </c>
      <c r="L418" s="35" t="s">
        <v>46</v>
      </c>
      <c r="M418" s="36" t="s">
        <v>131</v>
      </c>
      <c r="N418" s="36"/>
      <c r="O418" s="35">
        <v>90</v>
      </c>
      <c r="P418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4"/>
      <c r="R418" s="694"/>
      <c r="S418" s="694"/>
      <c r="T418" s="695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695</v>
      </c>
      <c r="AG418" s="75"/>
      <c r="AJ418" s="79" t="s">
        <v>46</v>
      </c>
      <c r="AK418" s="79">
        <v>0</v>
      </c>
      <c r="BB418" s="510" t="s">
        <v>66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696</v>
      </c>
      <c r="B419" s="60" t="s">
        <v>697</v>
      </c>
      <c r="C419" s="34">
        <v>4301011952</v>
      </c>
      <c r="D419" s="692">
        <v>4680115884922</v>
      </c>
      <c r="E419" s="692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139</v>
      </c>
      <c r="L419" s="35" t="s">
        <v>46</v>
      </c>
      <c r="M419" s="36" t="s">
        <v>80</v>
      </c>
      <c r="N419" s="36"/>
      <c r="O419" s="35">
        <v>60</v>
      </c>
      <c r="P419" s="9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4"/>
      <c r="R419" s="694"/>
      <c r="S419" s="694"/>
      <c r="T419" s="695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698</v>
      </c>
      <c r="AG419" s="75"/>
      <c r="AJ419" s="79" t="s">
        <v>46</v>
      </c>
      <c r="AK419" s="79">
        <v>0</v>
      </c>
      <c r="BB419" s="512" t="s">
        <v>66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hidden="1" customHeight="1" x14ac:dyDescent="0.25">
      <c r="A420" s="60" t="s">
        <v>699</v>
      </c>
      <c r="B420" s="60" t="s">
        <v>700</v>
      </c>
      <c r="C420" s="34">
        <v>4301011868</v>
      </c>
      <c r="D420" s="692">
        <v>4680115884861</v>
      </c>
      <c r="E420" s="692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139</v>
      </c>
      <c r="L420" s="35" t="s">
        <v>46</v>
      </c>
      <c r="M420" s="36" t="s">
        <v>80</v>
      </c>
      <c r="N420" s="36"/>
      <c r="O420" s="35">
        <v>60</v>
      </c>
      <c r="P420" s="9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si="52"/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701</v>
      </c>
      <c r="AG420" s="75"/>
      <c r="AJ420" s="79" t="s">
        <v>46</v>
      </c>
      <c r="AK420" s="79">
        <v>0</v>
      </c>
      <c r="BB420" s="514" t="s">
        <v>66</v>
      </c>
      <c r="BM420" s="75">
        <f t="shared" si="53"/>
        <v>0</v>
      </c>
      <c r="BN420" s="75">
        <f t="shared" si="54"/>
        <v>0</v>
      </c>
      <c r="BO420" s="75">
        <f t="shared" si="55"/>
        <v>0</v>
      </c>
      <c r="BP420" s="75">
        <f t="shared" si="56"/>
        <v>0</v>
      </c>
    </row>
    <row r="421" spans="1:68" x14ac:dyDescent="0.2">
      <c r="A421" s="70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1"/>
      <c r="P421" s="697" t="s">
        <v>40</v>
      </c>
      <c r="Q421" s="698"/>
      <c r="R421" s="698"/>
      <c r="S421" s="698"/>
      <c r="T421" s="698"/>
      <c r="U421" s="698"/>
      <c r="V421" s="699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120</v>
      </c>
      <c r="Y421" s="41">
        <f>IFERROR(Y413/H413,"0")+IFERROR(Y414/H414,"0")+IFERROR(Y415/H415,"0")+IFERROR(Y416/H416,"0")+IFERROR(Y417/H417,"0")+IFERROR(Y418/H418,"0")+IFERROR(Y419/H419,"0")+IFERROR(Y420/H420,"0")</f>
        <v>120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2.61</v>
      </c>
      <c r="AA421" s="64"/>
      <c r="AB421" s="64"/>
      <c r="AC421" s="64"/>
    </row>
    <row r="422" spans="1:68" x14ac:dyDescent="0.2">
      <c r="A422" s="70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1"/>
      <c r="P422" s="697" t="s">
        <v>40</v>
      </c>
      <c r="Q422" s="698"/>
      <c r="R422" s="698"/>
      <c r="S422" s="698"/>
      <c r="T422" s="698"/>
      <c r="U422" s="698"/>
      <c r="V422" s="699"/>
      <c r="W422" s="40" t="s">
        <v>0</v>
      </c>
      <c r="X422" s="41">
        <f>IFERROR(SUM(X413:X420),"0")</f>
        <v>1800</v>
      </c>
      <c r="Y422" s="41">
        <f>IFERROR(SUM(Y413:Y420),"0")</f>
        <v>1800</v>
      </c>
      <c r="Z422" s="40"/>
      <c r="AA422" s="64"/>
      <c r="AB422" s="64"/>
      <c r="AC422" s="64"/>
    </row>
    <row r="423" spans="1:68" ht="14.25" hidden="1" customHeight="1" x14ac:dyDescent="0.25">
      <c r="A423" s="691" t="s">
        <v>163</v>
      </c>
      <c r="B423" s="691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  <c r="AA423" s="63"/>
      <c r="AB423" s="63"/>
      <c r="AC423" s="63"/>
    </row>
    <row r="424" spans="1:68" ht="27" hidden="1" customHeight="1" x14ac:dyDescent="0.25">
      <c r="A424" s="60" t="s">
        <v>702</v>
      </c>
      <c r="B424" s="60" t="s">
        <v>703</v>
      </c>
      <c r="C424" s="34">
        <v>4301020178</v>
      </c>
      <c r="D424" s="692">
        <v>4607091383980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50</v>
      </c>
      <c r="P424" s="9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4301020355</v>
      </c>
      <c r="D425" s="692">
        <v>4680115888425</v>
      </c>
      <c r="E425" s="69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50</v>
      </c>
      <c r="P425" s="9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4301020179</v>
      </c>
      <c r="D426" s="692">
        <v>4607091384178</v>
      </c>
      <c r="E426" s="692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139</v>
      </c>
      <c r="L426" s="35" t="s">
        <v>46</v>
      </c>
      <c r="M426" s="36" t="s">
        <v>131</v>
      </c>
      <c r="N426" s="36"/>
      <c r="O426" s="35">
        <v>50</v>
      </c>
      <c r="P426" s="9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0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1"/>
      <c r="P427" s="697" t="s">
        <v>40</v>
      </c>
      <c r="Q427" s="698"/>
      <c r="R427" s="698"/>
      <c r="S427" s="698"/>
      <c r="T427" s="698"/>
      <c r="U427" s="698"/>
      <c r="V427" s="699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0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1"/>
      <c r="P428" s="697" t="s">
        <v>40</v>
      </c>
      <c r="Q428" s="698"/>
      <c r="R428" s="698"/>
      <c r="S428" s="698"/>
      <c r="T428" s="698"/>
      <c r="U428" s="698"/>
      <c r="V428" s="699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14.25" hidden="1" customHeight="1" x14ac:dyDescent="0.25">
      <c r="A429" s="691" t="s">
        <v>85</v>
      </c>
      <c r="B429" s="691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  <c r="AA429" s="63"/>
      <c r="AB429" s="63"/>
      <c r="AC429" s="63"/>
    </row>
    <row r="430" spans="1:68" ht="16.5" hidden="1" customHeight="1" x14ac:dyDescent="0.25">
      <c r="A430" s="60" t="s">
        <v>711</v>
      </c>
      <c r="B430" s="60" t="s">
        <v>712</v>
      </c>
      <c r="C430" s="34">
        <v>4301052220</v>
      </c>
      <c r="D430" s="692">
        <v>4680115889538</v>
      </c>
      <c r="E430" s="692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132</v>
      </c>
      <c r="L430" s="35" t="s">
        <v>46</v>
      </c>
      <c r="M430" s="36" t="s">
        <v>89</v>
      </c>
      <c r="N430" s="36"/>
      <c r="O430" s="35">
        <v>45</v>
      </c>
      <c r="P430" s="92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4"/>
      <c r="R430" s="694"/>
      <c r="S430" s="694"/>
      <c r="T430" s="695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275</v>
      </c>
      <c r="AC430" s="521" t="s">
        <v>713</v>
      </c>
      <c r="AG430" s="75"/>
      <c r="AJ430" s="79" t="s">
        <v>46</v>
      </c>
      <c r="AK430" s="79">
        <v>0</v>
      </c>
      <c r="BB430" s="522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714</v>
      </c>
      <c r="B431" s="60" t="s">
        <v>715</v>
      </c>
      <c r="C431" s="34">
        <v>4301051903</v>
      </c>
      <c r="D431" s="692">
        <v>4607091383928</v>
      </c>
      <c r="E431" s="692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132</v>
      </c>
      <c r="L431" s="35" t="s">
        <v>46</v>
      </c>
      <c r="M431" s="36" t="s">
        <v>89</v>
      </c>
      <c r="N431" s="36"/>
      <c r="O431" s="35">
        <v>40</v>
      </c>
      <c r="P431" s="9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716</v>
      </c>
      <c r="AG431" s="75"/>
      <c r="AJ431" s="79" t="s">
        <v>46</v>
      </c>
      <c r="AK431" s="79">
        <v>0</v>
      </c>
      <c r="BB431" s="524" t="s">
        <v>66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717</v>
      </c>
      <c r="B432" s="60" t="s">
        <v>718</v>
      </c>
      <c r="C432" s="34">
        <v>4301051897</v>
      </c>
      <c r="D432" s="692">
        <v>4607091384260</v>
      </c>
      <c r="E432" s="692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132</v>
      </c>
      <c r="L432" s="35" t="s">
        <v>46</v>
      </c>
      <c r="M432" s="36" t="s">
        <v>89</v>
      </c>
      <c r="N432" s="36"/>
      <c r="O432" s="35">
        <v>40</v>
      </c>
      <c r="P432" s="9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719</v>
      </c>
      <c r="AG432" s="75"/>
      <c r="AJ432" s="79" t="s">
        <v>46</v>
      </c>
      <c r="AK432" s="79">
        <v>0</v>
      </c>
      <c r="BB432" s="526" t="s">
        <v>66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70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1"/>
      <c r="P433" s="697" t="s">
        <v>40</v>
      </c>
      <c r="Q433" s="698"/>
      <c r="R433" s="698"/>
      <c r="S433" s="698"/>
      <c r="T433" s="698"/>
      <c r="U433" s="698"/>
      <c r="V433" s="699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70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1"/>
      <c r="P434" s="697" t="s">
        <v>40</v>
      </c>
      <c r="Q434" s="698"/>
      <c r="R434" s="698"/>
      <c r="S434" s="698"/>
      <c r="T434" s="698"/>
      <c r="U434" s="698"/>
      <c r="V434" s="699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91" t="s">
        <v>180</v>
      </c>
      <c r="B435" s="691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  <c r="AA435" s="63"/>
      <c r="AB435" s="63"/>
      <c r="AC435" s="63"/>
    </row>
    <row r="436" spans="1:68" ht="27" hidden="1" customHeight="1" x14ac:dyDescent="0.25">
      <c r="A436" s="60" t="s">
        <v>720</v>
      </c>
      <c r="B436" s="60" t="s">
        <v>721</v>
      </c>
      <c r="C436" s="34">
        <v>4301060537</v>
      </c>
      <c r="D436" s="692">
        <v>4680115889545</v>
      </c>
      <c r="E436" s="692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132</v>
      </c>
      <c r="L436" s="35" t="s">
        <v>46</v>
      </c>
      <c r="M436" s="36" t="s">
        <v>89</v>
      </c>
      <c r="N436" s="36"/>
      <c r="O436" s="35">
        <v>30</v>
      </c>
      <c r="P436" s="9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4"/>
      <c r="R436" s="694"/>
      <c r="S436" s="694"/>
      <c r="T436" s="69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275</v>
      </c>
      <c r="AC436" s="527" t="s">
        <v>722</v>
      </c>
      <c r="AG436" s="75"/>
      <c r="AJ436" s="79" t="s">
        <v>46</v>
      </c>
      <c r="AK436" s="79">
        <v>0</v>
      </c>
      <c r="BB436" s="52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723</v>
      </c>
      <c r="B437" s="60" t="s">
        <v>724</v>
      </c>
      <c r="C437" s="34">
        <v>4301060524</v>
      </c>
      <c r="D437" s="692">
        <v>4607091384673</v>
      </c>
      <c r="E437" s="692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132</v>
      </c>
      <c r="L437" s="35" t="s">
        <v>46</v>
      </c>
      <c r="M437" s="36" t="s">
        <v>89</v>
      </c>
      <c r="N437" s="36"/>
      <c r="O437" s="35">
        <v>40</v>
      </c>
      <c r="P437" s="9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9" t="s">
        <v>725</v>
      </c>
      <c r="AG437" s="75"/>
      <c r="AJ437" s="79" t="s">
        <v>46</v>
      </c>
      <c r="AK437" s="79">
        <v>0</v>
      </c>
      <c r="BB437" s="53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70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1"/>
      <c r="P438" s="697" t="s">
        <v>40</v>
      </c>
      <c r="Q438" s="698"/>
      <c r="R438" s="698"/>
      <c r="S438" s="698"/>
      <c r="T438" s="698"/>
      <c r="U438" s="698"/>
      <c r="V438" s="699"/>
      <c r="W438" s="40" t="s">
        <v>39</v>
      </c>
      <c r="X438" s="41">
        <f>IFERROR(X436/H436,"0")+IFERROR(X437/H437,"0")</f>
        <v>0</v>
      </c>
      <c r="Y438" s="41">
        <f>IFERROR(Y436/H436,"0")+IFERROR(Y437/H437,"0")</f>
        <v>0</v>
      </c>
      <c r="Z438" s="41">
        <f>IFERROR(IF(Z436="",0,Z436),"0")+IFERROR(IF(Z437="",0,Z437),"0")</f>
        <v>0</v>
      </c>
      <c r="AA438" s="64"/>
      <c r="AB438" s="64"/>
      <c r="AC438" s="64"/>
    </row>
    <row r="439" spans="1:68" hidden="1" x14ac:dyDescent="0.2">
      <c r="A439" s="70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1"/>
      <c r="P439" s="697" t="s">
        <v>40</v>
      </c>
      <c r="Q439" s="698"/>
      <c r="R439" s="698"/>
      <c r="S439" s="698"/>
      <c r="T439" s="698"/>
      <c r="U439" s="698"/>
      <c r="V439" s="699"/>
      <c r="W439" s="40" t="s">
        <v>0</v>
      </c>
      <c r="X439" s="41">
        <f>IFERROR(SUM(X436:X437),"0")</f>
        <v>0</v>
      </c>
      <c r="Y439" s="41">
        <f>IFERROR(SUM(Y436:Y437),"0")</f>
        <v>0</v>
      </c>
      <c r="Z439" s="40"/>
      <c r="AA439" s="64"/>
      <c r="AB439" s="64"/>
      <c r="AC439" s="64"/>
    </row>
    <row r="440" spans="1:68" ht="16.5" hidden="1" customHeight="1" x14ac:dyDescent="0.25">
      <c r="A440" s="690" t="s">
        <v>726</v>
      </c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0"/>
      <c r="P440" s="690"/>
      <c r="Q440" s="690"/>
      <c r="R440" s="690"/>
      <c r="S440" s="690"/>
      <c r="T440" s="690"/>
      <c r="U440" s="690"/>
      <c r="V440" s="690"/>
      <c r="W440" s="690"/>
      <c r="X440" s="690"/>
      <c r="Y440" s="690"/>
      <c r="Z440" s="690"/>
      <c r="AA440" s="62"/>
      <c r="AB440" s="62"/>
      <c r="AC440" s="62"/>
    </row>
    <row r="441" spans="1:68" ht="14.25" hidden="1" customHeight="1" x14ac:dyDescent="0.25">
      <c r="A441" s="691" t="s">
        <v>127</v>
      </c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  <c r="AA441" s="63"/>
      <c r="AB441" s="63"/>
      <c r="AC441" s="63"/>
    </row>
    <row r="442" spans="1:68" ht="27" hidden="1" customHeight="1" x14ac:dyDescent="0.25">
      <c r="A442" s="60" t="s">
        <v>727</v>
      </c>
      <c r="B442" s="60" t="s">
        <v>728</v>
      </c>
      <c r="C442" s="34">
        <v>4301011875</v>
      </c>
      <c r="D442" s="692">
        <v>4680115884885</v>
      </c>
      <c r="E442" s="692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132</v>
      </c>
      <c r="L442" s="35" t="s">
        <v>46</v>
      </c>
      <c r="M442" s="36" t="s">
        <v>80</v>
      </c>
      <c r="N442" s="36"/>
      <c r="O442" s="35">
        <v>60</v>
      </c>
      <c r="P442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4"/>
      <c r="R442" s="694"/>
      <c r="S442" s="694"/>
      <c r="T442" s="695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1" t="s">
        <v>729</v>
      </c>
      <c r="AG442" s="75"/>
      <c r="AJ442" s="79" t="s">
        <v>46</v>
      </c>
      <c r="AK442" s="79">
        <v>0</v>
      </c>
      <c r="BB442" s="532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37.5" hidden="1" customHeight="1" x14ac:dyDescent="0.25">
      <c r="A443" s="60" t="s">
        <v>730</v>
      </c>
      <c r="B443" s="60" t="s">
        <v>731</v>
      </c>
      <c r="C443" s="34">
        <v>4301011871</v>
      </c>
      <c r="D443" s="692">
        <v>4680115884908</v>
      </c>
      <c r="E443" s="692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139</v>
      </c>
      <c r="L443" s="35" t="s">
        <v>46</v>
      </c>
      <c r="M443" s="36" t="s">
        <v>80</v>
      </c>
      <c r="N443" s="36"/>
      <c r="O443" s="35">
        <v>60</v>
      </c>
      <c r="P443" s="9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729</v>
      </c>
      <c r="AG443" s="75"/>
      <c r="AJ443" s="79" t="s">
        <v>46</v>
      </c>
      <c r="AK443" s="79">
        <v>0</v>
      </c>
      <c r="BB443" s="534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0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1"/>
      <c r="P444" s="697" t="s">
        <v>40</v>
      </c>
      <c r="Q444" s="698"/>
      <c r="R444" s="698"/>
      <c r="S444" s="698"/>
      <c r="T444" s="698"/>
      <c r="U444" s="698"/>
      <c r="V444" s="699"/>
      <c r="W444" s="40" t="s">
        <v>39</v>
      </c>
      <c r="X444" s="41">
        <f>IFERROR(X442/H442,"0")+IFERROR(X443/H443,"0")</f>
        <v>0</v>
      </c>
      <c r="Y444" s="41">
        <f>IFERROR(Y442/H442,"0")+IFERROR(Y443/H443,"0")</f>
        <v>0</v>
      </c>
      <c r="Z444" s="41">
        <f>IFERROR(IF(Z442="",0,Z442),"0")+IFERROR(IF(Z443="",0,Z443),"0")</f>
        <v>0</v>
      </c>
      <c r="AA444" s="64"/>
      <c r="AB444" s="64"/>
      <c r="AC444" s="64"/>
    </row>
    <row r="445" spans="1:68" hidden="1" x14ac:dyDescent="0.2">
      <c r="A445" s="70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1"/>
      <c r="P445" s="697" t="s">
        <v>40</v>
      </c>
      <c r="Q445" s="698"/>
      <c r="R445" s="698"/>
      <c r="S445" s="698"/>
      <c r="T445" s="698"/>
      <c r="U445" s="698"/>
      <c r="V445" s="699"/>
      <c r="W445" s="40" t="s">
        <v>0</v>
      </c>
      <c r="X445" s="41">
        <f>IFERROR(SUM(X442:X443),"0")</f>
        <v>0</v>
      </c>
      <c r="Y445" s="41">
        <f>IFERROR(SUM(Y442:Y443),"0")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91" t="s">
        <v>76</v>
      </c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  <c r="AA446" s="63"/>
      <c r="AB446" s="63"/>
      <c r="AC446" s="63"/>
    </row>
    <row r="447" spans="1:68" ht="27" hidden="1" customHeight="1" x14ac:dyDescent="0.25">
      <c r="A447" s="60" t="s">
        <v>732</v>
      </c>
      <c r="B447" s="60" t="s">
        <v>733</v>
      </c>
      <c r="C447" s="34">
        <v>4301031457</v>
      </c>
      <c r="D447" s="692">
        <v>4607091384802</v>
      </c>
      <c r="E447" s="692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139</v>
      </c>
      <c r="L447" s="35" t="s">
        <v>46</v>
      </c>
      <c r="M447" s="36" t="s">
        <v>80</v>
      </c>
      <c r="N447" s="36"/>
      <c r="O447" s="35">
        <v>50</v>
      </c>
      <c r="P447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4"/>
      <c r="R447" s="694"/>
      <c r="S447" s="694"/>
      <c r="T447" s="695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734</v>
      </c>
      <c r="AG447" s="75"/>
      <c r="AJ447" s="79" t="s">
        <v>46</v>
      </c>
      <c r="AK447" s="79">
        <v>0</v>
      </c>
      <c r="BB447" s="536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0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1"/>
      <c r="P448" s="697" t="s">
        <v>40</v>
      </c>
      <c r="Q448" s="698"/>
      <c r="R448" s="698"/>
      <c r="S448" s="698"/>
      <c r="T448" s="698"/>
      <c r="U448" s="698"/>
      <c r="V448" s="699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70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1"/>
      <c r="P449" s="697" t="s">
        <v>40</v>
      </c>
      <c r="Q449" s="698"/>
      <c r="R449" s="698"/>
      <c r="S449" s="698"/>
      <c r="T449" s="698"/>
      <c r="U449" s="698"/>
      <c r="V449" s="699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91" t="s">
        <v>85</v>
      </c>
      <c r="B450" s="691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  <c r="AA450" s="63"/>
      <c r="AB450" s="63"/>
      <c r="AC450" s="63"/>
    </row>
    <row r="451" spans="1:68" ht="27" hidden="1" customHeight="1" x14ac:dyDescent="0.25">
      <c r="A451" s="60" t="s">
        <v>735</v>
      </c>
      <c r="B451" s="60" t="s">
        <v>736</v>
      </c>
      <c r="C451" s="34">
        <v>4301051899</v>
      </c>
      <c r="D451" s="692">
        <v>4607091384246</v>
      </c>
      <c r="E451" s="69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132</v>
      </c>
      <c r="L451" s="35" t="s">
        <v>46</v>
      </c>
      <c r="M451" s="36" t="s">
        <v>89</v>
      </c>
      <c r="N451" s="36"/>
      <c r="O451" s="35">
        <v>40</v>
      </c>
      <c r="P451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4"/>
      <c r="R451" s="694"/>
      <c r="S451" s="694"/>
      <c r="T451" s="69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37" t="s">
        <v>737</v>
      </c>
      <c r="AG451" s="75"/>
      <c r="AJ451" s="79" t="s">
        <v>46</v>
      </c>
      <c r="AK451" s="79">
        <v>0</v>
      </c>
      <c r="BB451" s="538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738</v>
      </c>
      <c r="B452" s="60" t="s">
        <v>739</v>
      </c>
      <c r="C452" s="34">
        <v>4301051660</v>
      </c>
      <c r="D452" s="692">
        <v>4607091384253</v>
      </c>
      <c r="E452" s="692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90</v>
      </c>
      <c r="L452" s="35" t="s">
        <v>46</v>
      </c>
      <c r="M452" s="36" t="s">
        <v>89</v>
      </c>
      <c r="N452" s="36"/>
      <c r="O452" s="35">
        <v>40</v>
      </c>
      <c r="P452" s="9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4"/>
      <c r="R452" s="694"/>
      <c r="S452" s="694"/>
      <c r="T452" s="69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737</v>
      </c>
      <c r="AG452" s="75"/>
      <c r="AJ452" s="79" t="s">
        <v>46</v>
      </c>
      <c r="AK452" s="79">
        <v>0</v>
      </c>
      <c r="BB452" s="540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738</v>
      </c>
      <c r="B453" s="60" t="s">
        <v>740</v>
      </c>
      <c r="C453" s="34">
        <v>4301052069</v>
      </c>
      <c r="D453" s="692">
        <v>4607091384253</v>
      </c>
      <c r="E453" s="692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90</v>
      </c>
      <c r="L453" s="35" t="s">
        <v>46</v>
      </c>
      <c r="M453" s="36" t="s">
        <v>89</v>
      </c>
      <c r="N453" s="36"/>
      <c r="O453" s="35">
        <v>40</v>
      </c>
      <c r="P453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4"/>
      <c r="R453" s="694"/>
      <c r="S453" s="694"/>
      <c r="T453" s="69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741</v>
      </c>
      <c r="AG453" s="75"/>
      <c r="AJ453" s="79" t="s">
        <v>46</v>
      </c>
      <c r="AK453" s="79">
        <v>0</v>
      </c>
      <c r="BB453" s="542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0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1"/>
      <c r="P454" s="697" t="s">
        <v>40</v>
      </c>
      <c r="Q454" s="698"/>
      <c r="R454" s="698"/>
      <c r="S454" s="698"/>
      <c r="T454" s="698"/>
      <c r="U454" s="698"/>
      <c r="V454" s="699"/>
      <c r="W454" s="40" t="s">
        <v>39</v>
      </c>
      <c r="X454" s="41">
        <f>IFERROR(X451/H451,"0")+IFERROR(X452/H452,"0")+IFERROR(X453/H453,"0")</f>
        <v>0</v>
      </c>
      <c r="Y454" s="41">
        <f>IFERROR(Y451/H451,"0")+IFERROR(Y452/H452,"0")+IFERROR(Y453/H453,"0")</f>
        <v>0</v>
      </c>
      <c r="Z454" s="41">
        <f>IFERROR(IF(Z451="",0,Z451),"0")+IFERROR(IF(Z452="",0,Z452),"0")+IFERROR(IF(Z453="",0,Z453),"0")</f>
        <v>0</v>
      </c>
      <c r="AA454" s="64"/>
      <c r="AB454" s="64"/>
      <c r="AC454" s="64"/>
    </row>
    <row r="455" spans="1:68" hidden="1" x14ac:dyDescent="0.2">
      <c r="A455" s="70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1"/>
      <c r="P455" s="697" t="s">
        <v>40</v>
      </c>
      <c r="Q455" s="698"/>
      <c r="R455" s="698"/>
      <c r="S455" s="698"/>
      <c r="T455" s="698"/>
      <c r="U455" s="698"/>
      <c r="V455" s="699"/>
      <c r="W455" s="40" t="s">
        <v>0</v>
      </c>
      <c r="X455" s="41">
        <f>IFERROR(SUM(X451:X453),"0")</f>
        <v>0</v>
      </c>
      <c r="Y455" s="41">
        <f>IFERROR(SUM(Y451:Y453),"0")</f>
        <v>0</v>
      </c>
      <c r="Z455" s="40"/>
      <c r="AA455" s="64"/>
      <c r="AB455" s="64"/>
      <c r="AC455" s="64"/>
    </row>
    <row r="456" spans="1:68" ht="27.75" hidden="1" customHeight="1" x14ac:dyDescent="0.2">
      <c r="A456" s="689" t="s">
        <v>742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52"/>
      <c r="AB456" s="52"/>
      <c r="AC456" s="52"/>
    </row>
    <row r="457" spans="1:68" ht="16.5" hidden="1" customHeight="1" x14ac:dyDescent="0.25">
      <c r="A457" s="690" t="s">
        <v>743</v>
      </c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0"/>
      <c r="P457" s="690"/>
      <c r="Q457" s="690"/>
      <c r="R457" s="690"/>
      <c r="S457" s="690"/>
      <c r="T457" s="690"/>
      <c r="U457" s="690"/>
      <c r="V457" s="690"/>
      <c r="W457" s="690"/>
      <c r="X457" s="690"/>
      <c r="Y457" s="690"/>
      <c r="Z457" s="690"/>
      <c r="AA457" s="62"/>
      <c r="AB457" s="62"/>
      <c r="AC457" s="62"/>
    </row>
    <row r="458" spans="1:68" ht="14.25" hidden="1" customHeight="1" x14ac:dyDescent="0.25">
      <c r="A458" s="691" t="s">
        <v>76</v>
      </c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  <c r="AA458" s="63"/>
      <c r="AB458" s="63"/>
      <c r="AC458" s="63"/>
    </row>
    <row r="459" spans="1:68" ht="27" hidden="1" customHeight="1" x14ac:dyDescent="0.25">
      <c r="A459" s="60" t="s">
        <v>744</v>
      </c>
      <c r="B459" s="60" t="s">
        <v>745</v>
      </c>
      <c r="C459" s="34">
        <v>4301031405</v>
      </c>
      <c r="D459" s="692">
        <v>4680115886100</v>
      </c>
      <c r="E459" s="692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139</v>
      </c>
      <c r="L459" s="35" t="s">
        <v>46</v>
      </c>
      <c r="M459" s="36" t="s">
        <v>80</v>
      </c>
      <c r="N459" s="36"/>
      <c r="O459" s="35">
        <v>50</v>
      </c>
      <c r="P459" s="9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746</v>
      </c>
      <c r="AG459" s="75"/>
      <c r="AJ459" s="79" t="s">
        <v>46</v>
      </c>
      <c r="AK459" s="79">
        <v>0</v>
      </c>
      <c r="BB459" s="544" t="s">
        <v>66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4301031402</v>
      </c>
      <c r="D460" s="692">
        <v>4680115886124</v>
      </c>
      <c r="E460" s="692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139</v>
      </c>
      <c r="L460" s="35" t="s">
        <v>46</v>
      </c>
      <c r="M460" s="36" t="s">
        <v>80</v>
      </c>
      <c r="N460" s="36"/>
      <c r="O460" s="35">
        <v>50</v>
      </c>
      <c r="P460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749</v>
      </c>
      <c r="AG460" s="75"/>
      <c r="AJ460" s="79" t="s">
        <v>46</v>
      </c>
      <c r="AK460" s="79">
        <v>0</v>
      </c>
      <c r="BB460" s="546" t="s">
        <v>66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4301031362</v>
      </c>
      <c r="D461" s="692">
        <v>4607091384338</v>
      </c>
      <c r="E461" s="692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81</v>
      </c>
      <c r="L461" s="35" t="s">
        <v>46</v>
      </c>
      <c r="M461" s="36" t="s">
        <v>80</v>
      </c>
      <c r="N461" s="36"/>
      <c r="O461" s="35">
        <v>50</v>
      </c>
      <c r="P461" s="9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4"/>
      <c r="R461" s="694"/>
      <c r="S461" s="694"/>
      <c r="T461" s="69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746</v>
      </c>
      <c r="AG461" s="75"/>
      <c r="AJ461" s="79" t="s">
        <v>46</v>
      </c>
      <c r="AK461" s="79">
        <v>0</v>
      </c>
      <c r="BB461" s="548" t="s">
        <v>66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752</v>
      </c>
      <c r="B462" s="60" t="s">
        <v>753</v>
      </c>
      <c r="C462" s="34">
        <v>4301031364</v>
      </c>
      <c r="D462" s="692">
        <v>4680115883161</v>
      </c>
      <c r="E462" s="692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81</v>
      </c>
      <c r="L462" s="35" t="s">
        <v>46</v>
      </c>
      <c r="M462" s="36" t="s">
        <v>80</v>
      </c>
      <c r="N462" s="36"/>
      <c r="O462" s="35">
        <v>50</v>
      </c>
      <c r="P462" s="9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4"/>
      <c r="R462" s="694"/>
      <c r="S462" s="694"/>
      <c r="T462" s="69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754</v>
      </c>
      <c r="AG462" s="75"/>
      <c r="AJ462" s="79" t="s">
        <v>46</v>
      </c>
      <c r="AK462" s="79">
        <v>0</v>
      </c>
      <c r="BB462" s="550" t="s">
        <v>66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755</v>
      </c>
      <c r="B463" s="60" t="s">
        <v>756</v>
      </c>
      <c r="C463" s="34">
        <v>4301031358</v>
      </c>
      <c r="D463" s="692">
        <v>4607091389531</v>
      </c>
      <c r="E463" s="69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81</v>
      </c>
      <c r="L463" s="35" t="s">
        <v>46</v>
      </c>
      <c r="M463" s="36" t="s">
        <v>80</v>
      </c>
      <c r="N463" s="36"/>
      <c r="O463" s="35">
        <v>50</v>
      </c>
      <c r="P463" s="9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4"/>
      <c r="R463" s="694"/>
      <c r="S463" s="694"/>
      <c r="T463" s="69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757</v>
      </c>
      <c r="AG463" s="75"/>
      <c r="AJ463" s="79" t="s">
        <v>46</v>
      </c>
      <c r="AK463" s="79">
        <v>0</v>
      </c>
      <c r="BB463" s="552" t="s">
        <v>66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758</v>
      </c>
      <c r="B464" s="60" t="s">
        <v>759</v>
      </c>
      <c r="C464" s="34">
        <v>4301031360</v>
      </c>
      <c r="D464" s="692">
        <v>4607091384345</v>
      </c>
      <c r="E464" s="69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81</v>
      </c>
      <c r="L464" s="35" t="s">
        <v>46</v>
      </c>
      <c r="M464" s="36" t="s">
        <v>80</v>
      </c>
      <c r="N464" s="36"/>
      <c r="O464" s="35">
        <v>50</v>
      </c>
      <c r="P464" s="9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4"/>
      <c r="R464" s="694"/>
      <c r="S464" s="694"/>
      <c r="T464" s="69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754</v>
      </c>
      <c r="AG464" s="75"/>
      <c r="AJ464" s="79" t="s">
        <v>46</v>
      </c>
      <c r="AK464" s="79">
        <v>0</v>
      </c>
      <c r="BB464" s="554" t="s">
        <v>66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70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1"/>
      <c r="P465" s="697" t="s">
        <v>40</v>
      </c>
      <c r="Q465" s="698"/>
      <c r="R465" s="698"/>
      <c r="S465" s="698"/>
      <c r="T465" s="698"/>
      <c r="U465" s="698"/>
      <c r="V465" s="699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0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1"/>
      <c r="P466" s="697" t="s">
        <v>40</v>
      </c>
      <c r="Q466" s="698"/>
      <c r="R466" s="698"/>
      <c r="S466" s="698"/>
      <c r="T466" s="698"/>
      <c r="U466" s="698"/>
      <c r="V466" s="699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91" t="s">
        <v>85</v>
      </c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  <c r="AA467" s="63"/>
      <c r="AB467" s="63"/>
      <c r="AC467" s="63"/>
    </row>
    <row r="468" spans="1:68" ht="27" hidden="1" customHeight="1" x14ac:dyDescent="0.25">
      <c r="A468" s="60" t="s">
        <v>760</v>
      </c>
      <c r="B468" s="60" t="s">
        <v>761</v>
      </c>
      <c r="C468" s="34">
        <v>4301051284</v>
      </c>
      <c r="D468" s="692">
        <v>4607091384352</v>
      </c>
      <c r="E468" s="692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139</v>
      </c>
      <c r="L468" s="35" t="s">
        <v>46</v>
      </c>
      <c r="M468" s="36" t="s">
        <v>89</v>
      </c>
      <c r="N468" s="36"/>
      <c r="O468" s="35">
        <v>45</v>
      </c>
      <c r="P468" s="9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762</v>
      </c>
      <c r="AG468" s="75"/>
      <c r="AJ468" s="79" t="s">
        <v>46</v>
      </c>
      <c r="AK468" s="79">
        <v>0</v>
      </c>
      <c r="BB468" s="556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763</v>
      </c>
      <c r="B469" s="60" t="s">
        <v>764</v>
      </c>
      <c r="C469" s="34">
        <v>4301051431</v>
      </c>
      <c r="D469" s="692">
        <v>4607091389654</v>
      </c>
      <c r="E469" s="692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45</v>
      </c>
      <c r="P469" s="9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765</v>
      </c>
      <c r="AG469" s="75"/>
      <c r="AJ469" s="79" t="s">
        <v>46</v>
      </c>
      <c r="AK469" s="79">
        <v>0</v>
      </c>
      <c r="BB469" s="558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0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1"/>
      <c r="P470" s="697" t="s">
        <v>40</v>
      </c>
      <c r="Q470" s="698"/>
      <c r="R470" s="698"/>
      <c r="S470" s="698"/>
      <c r="T470" s="698"/>
      <c r="U470" s="698"/>
      <c r="V470" s="699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70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1"/>
      <c r="P471" s="697" t="s">
        <v>40</v>
      </c>
      <c r="Q471" s="698"/>
      <c r="R471" s="698"/>
      <c r="S471" s="698"/>
      <c r="T471" s="698"/>
      <c r="U471" s="698"/>
      <c r="V471" s="699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90" t="s">
        <v>766</v>
      </c>
      <c r="B472" s="690"/>
      <c r="C472" s="690"/>
      <c r="D472" s="690"/>
      <c r="E472" s="690"/>
      <c r="F472" s="690"/>
      <c r="G472" s="690"/>
      <c r="H472" s="690"/>
      <c r="I472" s="690"/>
      <c r="J472" s="690"/>
      <c r="K472" s="690"/>
      <c r="L472" s="690"/>
      <c r="M472" s="690"/>
      <c r="N472" s="690"/>
      <c r="O472" s="690"/>
      <c r="P472" s="690"/>
      <c r="Q472" s="690"/>
      <c r="R472" s="690"/>
      <c r="S472" s="690"/>
      <c r="T472" s="690"/>
      <c r="U472" s="690"/>
      <c r="V472" s="690"/>
      <c r="W472" s="690"/>
      <c r="X472" s="690"/>
      <c r="Y472" s="690"/>
      <c r="Z472" s="690"/>
      <c r="AA472" s="62"/>
      <c r="AB472" s="62"/>
      <c r="AC472" s="62"/>
    </row>
    <row r="473" spans="1:68" ht="14.25" hidden="1" customHeight="1" x14ac:dyDescent="0.25">
      <c r="A473" s="691" t="s">
        <v>163</v>
      </c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  <c r="AA473" s="63"/>
      <c r="AB473" s="63"/>
      <c r="AC473" s="63"/>
    </row>
    <row r="474" spans="1:68" ht="27" hidden="1" customHeight="1" x14ac:dyDescent="0.25">
      <c r="A474" s="60" t="s">
        <v>767</v>
      </c>
      <c r="B474" s="60" t="s">
        <v>768</v>
      </c>
      <c r="C474" s="34">
        <v>4301020416</v>
      </c>
      <c r="D474" s="692">
        <v>4680115885240</v>
      </c>
      <c r="E474" s="692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90</v>
      </c>
      <c r="L474" s="35" t="s">
        <v>46</v>
      </c>
      <c r="M474" s="36" t="s">
        <v>80</v>
      </c>
      <c r="N474" s="36"/>
      <c r="O474" s="35">
        <v>40</v>
      </c>
      <c r="P474" s="9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4"/>
      <c r="R474" s="694"/>
      <c r="S474" s="694"/>
      <c r="T474" s="695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769</v>
      </c>
      <c r="AG474" s="75"/>
      <c r="AJ474" s="79" t="s">
        <v>46</v>
      </c>
      <c r="AK474" s="79">
        <v>0</v>
      </c>
      <c r="BB474" s="560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0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1"/>
      <c r="P475" s="697" t="s">
        <v>40</v>
      </c>
      <c r="Q475" s="698"/>
      <c r="R475" s="698"/>
      <c r="S475" s="698"/>
      <c r="T475" s="698"/>
      <c r="U475" s="698"/>
      <c r="V475" s="69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0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1"/>
      <c r="P476" s="697" t="s">
        <v>40</v>
      </c>
      <c r="Q476" s="698"/>
      <c r="R476" s="698"/>
      <c r="S476" s="698"/>
      <c r="T476" s="698"/>
      <c r="U476" s="698"/>
      <c r="V476" s="69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91" t="s">
        <v>76</v>
      </c>
      <c r="B477" s="691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  <c r="AA477" s="63"/>
      <c r="AB477" s="63"/>
      <c r="AC477" s="63"/>
    </row>
    <row r="478" spans="1:68" ht="27" hidden="1" customHeight="1" x14ac:dyDescent="0.25">
      <c r="A478" s="60" t="s">
        <v>770</v>
      </c>
      <c r="B478" s="60" t="s">
        <v>771</v>
      </c>
      <c r="C478" s="34">
        <v>4301031407</v>
      </c>
      <c r="D478" s="692">
        <v>4680115886094</v>
      </c>
      <c r="E478" s="692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139</v>
      </c>
      <c r="L478" s="35" t="s">
        <v>46</v>
      </c>
      <c r="M478" s="36" t="s">
        <v>80</v>
      </c>
      <c r="N478" s="36"/>
      <c r="O478" s="35">
        <v>50</v>
      </c>
      <c r="P478" s="9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4"/>
      <c r="R478" s="694"/>
      <c r="S478" s="694"/>
      <c r="T478" s="69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772</v>
      </c>
      <c r="AG478" s="75"/>
      <c r="AJ478" s="79" t="s">
        <v>46</v>
      </c>
      <c r="AK478" s="79">
        <v>0</v>
      </c>
      <c r="BB478" s="562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4301031373</v>
      </c>
      <c r="D479" s="692">
        <v>4680115880771</v>
      </c>
      <c r="E479" s="692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4"/>
      <c r="R479" s="694"/>
      <c r="S479" s="694"/>
      <c r="T479" s="695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775</v>
      </c>
      <c r="AG479" s="75"/>
      <c r="AJ479" s="79" t="s">
        <v>46</v>
      </c>
      <c r="AK479" s="79">
        <v>0</v>
      </c>
      <c r="BB479" s="56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4301031359</v>
      </c>
      <c r="D480" s="692">
        <v>4607091389500</v>
      </c>
      <c r="E480" s="692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775</v>
      </c>
      <c r="AG480" s="75"/>
      <c r="AJ480" s="79" t="s">
        <v>46</v>
      </c>
      <c r="AK480" s="79">
        <v>0</v>
      </c>
      <c r="BB480" s="56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0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1"/>
      <c r="P481" s="697" t="s">
        <v>40</v>
      </c>
      <c r="Q481" s="698"/>
      <c r="R481" s="698"/>
      <c r="S481" s="698"/>
      <c r="T481" s="698"/>
      <c r="U481" s="698"/>
      <c r="V481" s="699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0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1"/>
      <c r="P482" s="697" t="s">
        <v>40</v>
      </c>
      <c r="Q482" s="698"/>
      <c r="R482" s="698"/>
      <c r="S482" s="698"/>
      <c r="T482" s="698"/>
      <c r="U482" s="698"/>
      <c r="V482" s="699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89" t="s">
        <v>778</v>
      </c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52"/>
      <c r="AB483" s="52"/>
      <c r="AC483" s="52"/>
    </row>
    <row r="484" spans="1:68" ht="16.5" hidden="1" customHeight="1" x14ac:dyDescent="0.25">
      <c r="A484" s="690" t="s">
        <v>778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0"/>
      <c r="P484" s="690"/>
      <c r="Q484" s="690"/>
      <c r="R484" s="690"/>
      <c r="S484" s="690"/>
      <c r="T484" s="690"/>
      <c r="U484" s="690"/>
      <c r="V484" s="690"/>
      <c r="W484" s="690"/>
      <c r="X484" s="690"/>
      <c r="Y484" s="690"/>
      <c r="Z484" s="690"/>
      <c r="AA484" s="62"/>
      <c r="AB484" s="62"/>
      <c r="AC484" s="62"/>
    </row>
    <row r="485" spans="1:68" ht="14.25" hidden="1" customHeight="1" x14ac:dyDescent="0.25">
      <c r="A485" s="691" t="s">
        <v>127</v>
      </c>
      <c r="B485" s="691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  <c r="AA485" s="63"/>
      <c r="AB485" s="63"/>
      <c r="AC485" s="63"/>
    </row>
    <row r="486" spans="1:68" ht="27" hidden="1" customHeight="1" x14ac:dyDescent="0.25">
      <c r="A486" s="60" t="s">
        <v>779</v>
      </c>
      <c r="B486" s="60" t="s">
        <v>780</v>
      </c>
      <c r="C486" s="34">
        <v>4301011769</v>
      </c>
      <c r="D486" s="692">
        <v>4607091389067</v>
      </c>
      <c r="E486" s="692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132</v>
      </c>
      <c r="L486" s="35" t="s">
        <v>46</v>
      </c>
      <c r="M486" s="36" t="s">
        <v>89</v>
      </c>
      <c r="N486" s="36"/>
      <c r="O486" s="35">
        <v>60</v>
      </c>
      <c r="P486" s="9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ref="Y486:Y494" si="62">IFERROR(IF(X486="",0,CEILING((X486/$H486),1)*$H486),"")</f>
        <v>0</v>
      </c>
      <c r="Z486" s="39" t="str">
        <f t="shared" ref="Z486:Z491" si="63">IFERROR(IF(Y486=0,"",ROUNDUP(Y486/H486,0)*0.01196),"")</f>
        <v/>
      </c>
      <c r="AA486" s="65" t="s">
        <v>46</v>
      </c>
      <c r="AB486" s="66" t="s">
        <v>46</v>
      </c>
      <c r="AC486" s="567" t="s">
        <v>130</v>
      </c>
      <c r="AG486" s="75"/>
      <c r="AJ486" s="79" t="s">
        <v>46</v>
      </c>
      <c r="AK486" s="79">
        <v>0</v>
      </c>
      <c r="BB486" s="568" t="s">
        <v>66</v>
      </c>
      <c r="BM486" s="75">
        <f t="shared" ref="BM486:BM494" si="64">IFERROR(X486*I486/H486,"0")</f>
        <v>0</v>
      </c>
      <c r="BN486" s="75">
        <f t="shared" ref="BN486:BN494" si="65">IFERROR(Y486*I486/H486,"0")</f>
        <v>0</v>
      </c>
      <c r="BO486" s="75">
        <f t="shared" ref="BO486:BO494" si="66">IFERROR(1/J486*(X486/H486),"0")</f>
        <v>0</v>
      </c>
      <c r="BP486" s="75">
        <f t="shared" ref="BP486:BP494" si="67">IFERROR(1/J486*(Y486/H486),"0")</f>
        <v>0</v>
      </c>
    </row>
    <row r="487" spans="1:68" ht="16.5" hidden="1" customHeight="1" x14ac:dyDescent="0.25">
      <c r="A487" s="60" t="s">
        <v>781</v>
      </c>
      <c r="B487" s="60" t="s">
        <v>782</v>
      </c>
      <c r="C487" s="34">
        <v>4301012380</v>
      </c>
      <c r="D487" s="692">
        <v>4680115889576</v>
      </c>
      <c r="E487" s="692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132</v>
      </c>
      <c r="L487" s="35" t="s">
        <v>46</v>
      </c>
      <c r="M487" s="36" t="s">
        <v>131</v>
      </c>
      <c r="N487" s="36"/>
      <c r="O487" s="35">
        <v>60</v>
      </c>
      <c r="P487" s="94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4"/>
      <c r="R487" s="694"/>
      <c r="S487" s="694"/>
      <c r="T487" s="695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783</v>
      </c>
      <c r="AG487" s="75"/>
      <c r="AJ487" s="79" t="s">
        <v>46</v>
      </c>
      <c r="AK487" s="79">
        <v>0</v>
      </c>
      <c r="BB487" s="570" t="s">
        <v>66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784</v>
      </c>
      <c r="B488" s="60" t="s">
        <v>785</v>
      </c>
      <c r="C488" s="34">
        <v>4301011961</v>
      </c>
      <c r="D488" s="692">
        <v>4680115885271</v>
      </c>
      <c r="E488" s="69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132</v>
      </c>
      <c r="L488" s="35" t="s">
        <v>46</v>
      </c>
      <c r="M488" s="36" t="s">
        <v>131</v>
      </c>
      <c r="N488" s="36"/>
      <c r="O488" s="35">
        <v>60</v>
      </c>
      <c r="P488" s="9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4"/>
      <c r="R488" s="694"/>
      <c r="S488" s="694"/>
      <c r="T488" s="695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786</v>
      </c>
      <c r="AG488" s="75"/>
      <c r="AJ488" s="79" t="s">
        <v>46</v>
      </c>
      <c r="AK488" s="79">
        <v>0</v>
      </c>
      <c r="BB488" s="572" t="s">
        <v>66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hidden="1" customHeight="1" x14ac:dyDescent="0.25">
      <c r="A489" s="60" t="s">
        <v>787</v>
      </c>
      <c r="B489" s="60" t="s">
        <v>788</v>
      </c>
      <c r="C489" s="34">
        <v>4301011369</v>
      </c>
      <c r="D489" s="692">
        <v>4680115885226</v>
      </c>
      <c r="E489" s="69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132</v>
      </c>
      <c r="L489" s="35" t="s">
        <v>46</v>
      </c>
      <c r="M489" s="36" t="s">
        <v>131</v>
      </c>
      <c r="N489" s="36"/>
      <c r="O489" s="35">
        <v>60</v>
      </c>
      <c r="P489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4"/>
      <c r="R489" s="694"/>
      <c r="S489" s="694"/>
      <c r="T489" s="69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2"/>
        <v>0</v>
      </c>
      <c r="Z489" s="39" t="str">
        <f t="shared" si="63"/>
        <v/>
      </c>
      <c r="AA489" s="65" t="s">
        <v>46</v>
      </c>
      <c r="AB489" s="66" t="s">
        <v>46</v>
      </c>
      <c r="AC489" s="573" t="s">
        <v>789</v>
      </c>
      <c r="AG489" s="75"/>
      <c r="AJ489" s="79" t="s">
        <v>46</v>
      </c>
      <c r="AK489" s="79">
        <v>0</v>
      </c>
      <c r="BB489" s="574" t="s">
        <v>66</v>
      </c>
      <c r="BM489" s="75">
        <f t="shared" si="64"/>
        <v>0</v>
      </c>
      <c r="BN489" s="75">
        <f t="shared" si="65"/>
        <v>0</v>
      </c>
      <c r="BO489" s="75">
        <f t="shared" si="66"/>
        <v>0</v>
      </c>
      <c r="BP489" s="75">
        <f t="shared" si="67"/>
        <v>0</v>
      </c>
    </row>
    <row r="490" spans="1:68" ht="16.5" hidden="1" customHeight="1" x14ac:dyDescent="0.25">
      <c r="A490" s="60" t="s">
        <v>790</v>
      </c>
      <c r="B490" s="60" t="s">
        <v>791</v>
      </c>
      <c r="C490" s="34">
        <v>4301011797</v>
      </c>
      <c r="D490" s="692">
        <v>4680115884502</v>
      </c>
      <c r="E490" s="69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132</v>
      </c>
      <c r="L490" s="35" t="s">
        <v>46</v>
      </c>
      <c r="M490" s="36" t="s">
        <v>89</v>
      </c>
      <c r="N490" s="36"/>
      <c r="O490" s="35">
        <v>60</v>
      </c>
      <c r="P490" s="9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4"/>
      <c r="R490" s="694"/>
      <c r="S490" s="694"/>
      <c r="T490" s="69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792</v>
      </c>
      <c r="AG490" s="75"/>
      <c r="AJ490" s="79" t="s">
        <v>46</v>
      </c>
      <c r="AK490" s="79">
        <v>0</v>
      </c>
      <c r="BB490" s="576" t="s">
        <v>66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hidden="1" customHeight="1" x14ac:dyDescent="0.25">
      <c r="A491" s="60" t="s">
        <v>793</v>
      </c>
      <c r="B491" s="60" t="s">
        <v>794</v>
      </c>
      <c r="C491" s="34">
        <v>4301011771</v>
      </c>
      <c r="D491" s="692">
        <v>4607091389104</v>
      </c>
      <c r="E491" s="69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132</v>
      </c>
      <c r="L491" s="35" t="s">
        <v>46</v>
      </c>
      <c r="M491" s="36" t="s">
        <v>131</v>
      </c>
      <c r="N491" s="36"/>
      <c r="O491" s="35">
        <v>60</v>
      </c>
      <c r="P491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4"/>
      <c r="R491" s="694"/>
      <c r="S491" s="694"/>
      <c r="T491" s="69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2"/>
        <v>0</v>
      </c>
      <c r="Z491" s="39" t="str">
        <f t="shared" si="63"/>
        <v/>
      </c>
      <c r="AA491" s="65" t="s">
        <v>46</v>
      </c>
      <c r="AB491" s="66" t="s">
        <v>46</v>
      </c>
      <c r="AC491" s="577" t="s">
        <v>795</v>
      </c>
      <c r="AG491" s="75"/>
      <c r="AJ491" s="79" t="s">
        <v>46</v>
      </c>
      <c r="AK491" s="79">
        <v>0</v>
      </c>
      <c r="BB491" s="578" t="s">
        <v>66</v>
      </c>
      <c r="BM491" s="75">
        <f t="shared" si="64"/>
        <v>0</v>
      </c>
      <c r="BN491" s="75">
        <f t="shared" si="65"/>
        <v>0</v>
      </c>
      <c r="BO491" s="75">
        <f t="shared" si="66"/>
        <v>0</v>
      </c>
      <c r="BP491" s="75">
        <f t="shared" si="67"/>
        <v>0</v>
      </c>
    </row>
    <row r="492" spans="1:68" ht="27" hidden="1" customHeight="1" x14ac:dyDescent="0.25">
      <c r="A492" s="60" t="s">
        <v>796</v>
      </c>
      <c r="B492" s="60" t="s">
        <v>797</v>
      </c>
      <c r="C492" s="34">
        <v>4301012125</v>
      </c>
      <c r="D492" s="692">
        <v>4680115886391</v>
      </c>
      <c r="E492" s="69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90</v>
      </c>
      <c r="L492" s="35" t="s">
        <v>46</v>
      </c>
      <c r="M492" s="36" t="s">
        <v>89</v>
      </c>
      <c r="N492" s="36"/>
      <c r="O492" s="35">
        <v>60</v>
      </c>
      <c r="P492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130</v>
      </c>
      <c r="AG492" s="75"/>
      <c r="AJ492" s="79" t="s">
        <v>46</v>
      </c>
      <c r="AK492" s="79">
        <v>0</v>
      </c>
      <c r="BB492" s="580" t="s">
        <v>66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hidden="1" customHeight="1" x14ac:dyDescent="0.25">
      <c r="A493" s="60" t="s">
        <v>798</v>
      </c>
      <c r="B493" s="60" t="s">
        <v>799</v>
      </c>
      <c r="C493" s="34">
        <v>4301012048</v>
      </c>
      <c r="D493" s="692">
        <v>4680115880603</v>
      </c>
      <c r="E493" s="692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139</v>
      </c>
      <c r="L493" s="35" t="s">
        <v>46</v>
      </c>
      <c r="M493" s="36" t="s">
        <v>89</v>
      </c>
      <c r="N493" s="36"/>
      <c r="O493" s="35">
        <v>60</v>
      </c>
      <c r="P493" s="9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2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81" t="s">
        <v>130</v>
      </c>
      <c r="AG493" s="75"/>
      <c r="AJ493" s="79" t="s">
        <v>46</v>
      </c>
      <c r="AK493" s="79">
        <v>0</v>
      </c>
      <c r="BB493" s="582" t="s">
        <v>66</v>
      </c>
      <c r="BM493" s="75">
        <f t="shared" si="64"/>
        <v>0</v>
      </c>
      <c r="BN493" s="75">
        <f t="shared" si="65"/>
        <v>0</v>
      </c>
      <c r="BO493" s="75">
        <f t="shared" si="66"/>
        <v>0</v>
      </c>
      <c r="BP493" s="75">
        <f t="shared" si="67"/>
        <v>0</v>
      </c>
    </row>
    <row r="494" spans="1:68" ht="27" hidden="1" customHeight="1" x14ac:dyDescent="0.25">
      <c r="A494" s="60" t="s">
        <v>800</v>
      </c>
      <c r="B494" s="60" t="s">
        <v>801</v>
      </c>
      <c r="C494" s="34">
        <v>4301012034</v>
      </c>
      <c r="D494" s="692">
        <v>4607091389982</v>
      </c>
      <c r="E494" s="692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139</v>
      </c>
      <c r="L494" s="35" t="s">
        <v>46</v>
      </c>
      <c r="M494" s="36" t="s">
        <v>131</v>
      </c>
      <c r="N494" s="36"/>
      <c r="O494" s="35">
        <v>60</v>
      </c>
      <c r="P494" s="9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2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3" t="s">
        <v>795</v>
      </c>
      <c r="AG494" s="75"/>
      <c r="AJ494" s="79" t="s">
        <v>46</v>
      </c>
      <c r="AK494" s="79">
        <v>0</v>
      </c>
      <c r="BB494" s="584" t="s">
        <v>66</v>
      </c>
      <c r="BM494" s="75">
        <f t="shared" si="64"/>
        <v>0</v>
      </c>
      <c r="BN494" s="75">
        <f t="shared" si="65"/>
        <v>0</v>
      </c>
      <c r="BO494" s="75">
        <f t="shared" si="66"/>
        <v>0</v>
      </c>
      <c r="BP494" s="75">
        <f t="shared" si="67"/>
        <v>0</v>
      </c>
    </row>
    <row r="495" spans="1:68" hidden="1" x14ac:dyDescent="0.2">
      <c r="A495" s="70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1"/>
      <c r="P495" s="697" t="s">
        <v>40</v>
      </c>
      <c r="Q495" s="698"/>
      <c r="R495" s="698"/>
      <c r="S495" s="698"/>
      <c r="T495" s="698"/>
      <c r="U495" s="698"/>
      <c r="V495" s="699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0</v>
      </c>
      <c r="Y495" s="41">
        <f>IFERROR(Y486/H486,"0")+IFERROR(Y487/H487,"0")+IFERROR(Y488/H488,"0")+IFERROR(Y489/H489,"0")+IFERROR(Y490/H490,"0")+IFERROR(Y491/H491,"0")+IFERROR(Y492/H492,"0")+IFERROR(Y493/H493,"0")+IFERROR(Y494/H494,"0")</f>
        <v>0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0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1"/>
      <c r="P496" s="697" t="s">
        <v>40</v>
      </c>
      <c r="Q496" s="698"/>
      <c r="R496" s="698"/>
      <c r="S496" s="698"/>
      <c r="T496" s="698"/>
      <c r="U496" s="698"/>
      <c r="V496" s="699"/>
      <c r="W496" s="40" t="s">
        <v>0</v>
      </c>
      <c r="X496" s="41">
        <f>IFERROR(SUM(X486:X494),"0")</f>
        <v>0</v>
      </c>
      <c r="Y496" s="41">
        <f>IFERROR(SUM(Y486:Y494),"0")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91" t="s">
        <v>163</v>
      </c>
      <c r="B497" s="691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  <c r="AA497" s="63"/>
      <c r="AB497" s="63"/>
      <c r="AC497" s="63"/>
    </row>
    <row r="498" spans="1:68" ht="16.5" hidden="1" customHeight="1" x14ac:dyDescent="0.25">
      <c r="A498" s="60" t="s">
        <v>802</v>
      </c>
      <c r="B498" s="60" t="s">
        <v>803</v>
      </c>
      <c r="C498" s="34">
        <v>4301020334</v>
      </c>
      <c r="D498" s="692">
        <v>4607091388930</v>
      </c>
      <c r="E498" s="69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89</v>
      </c>
      <c r="N498" s="36"/>
      <c r="O498" s="35">
        <v>70</v>
      </c>
      <c r="P498" s="9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46</v>
      </c>
      <c r="AB498" s="66" t="s">
        <v>46</v>
      </c>
      <c r="AC498" s="585" t="s">
        <v>804</v>
      </c>
      <c r="AG498" s="75"/>
      <c r="AJ498" s="79" t="s">
        <v>46</v>
      </c>
      <c r="AK498" s="79">
        <v>0</v>
      </c>
      <c r="BB498" s="586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805</v>
      </c>
      <c r="B499" s="60" t="s">
        <v>806</v>
      </c>
      <c r="C499" s="34">
        <v>4301020374</v>
      </c>
      <c r="D499" s="692">
        <v>4680115886407</v>
      </c>
      <c r="E499" s="692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90</v>
      </c>
      <c r="L499" s="35" t="s">
        <v>46</v>
      </c>
      <c r="M499" s="36" t="s">
        <v>131</v>
      </c>
      <c r="N499" s="36"/>
      <c r="O499" s="35">
        <v>70</v>
      </c>
      <c r="P499" s="9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804</v>
      </c>
      <c r="AG499" s="75"/>
      <c r="AJ499" s="79" t="s">
        <v>46</v>
      </c>
      <c r="AK499" s="79">
        <v>0</v>
      </c>
      <c r="BB499" s="588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807</v>
      </c>
      <c r="B500" s="60" t="s">
        <v>808</v>
      </c>
      <c r="C500" s="34">
        <v>4301020385</v>
      </c>
      <c r="D500" s="692">
        <v>4680115880054</v>
      </c>
      <c r="E500" s="692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139</v>
      </c>
      <c r="L500" s="35" t="s">
        <v>46</v>
      </c>
      <c r="M500" s="36" t="s">
        <v>131</v>
      </c>
      <c r="N500" s="36"/>
      <c r="O500" s="35">
        <v>70</v>
      </c>
      <c r="P500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4"/>
      <c r="R500" s="694"/>
      <c r="S500" s="694"/>
      <c r="T500" s="695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804</v>
      </c>
      <c r="AG500" s="75"/>
      <c r="AJ500" s="79" t="s">
        <v>46</v>
      </c>
      <c r="AK500" s="79">
        <v>0</v>
      </c>
      <c r="BB500" s="590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70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1"/>
      <c r="P501" s="697" t="s">
        <v>40</v>
      </c>
      <c r="Q501" s="698"/>
      <c r="R501" s="698"/>
      <c r="S501" s="698"/>
      <c r="T501" s="698"/>
      <c r="U501" s="698"/>
      <c r="V501" s="699"/>
      <c r="W501" s="40" t="s">
        <v>39</v>
      </c>
      <c r="X501" s="41">
        <f>IFERROR(X498/H498,"0")+IFERROR(X499/H499,"0")+IFERROR(X500/H500,"0")</f>
        <v>0</v>
      </c>
      <c r="Y501" s="41">
        <f>IFERROR(Y498/H498,"0")+IFERROR(Y499/H499,"0")+IFERROR(Y500/H500,"0")</f>
        <v>0</v>
      </c>
      <c r="Z501" s="41">
        <f>IFERROR(IF(Z498="",0,Z498),"0")+IFERROR(IF(Z499="",0,Z499),"0")+IFERROR(IF(Z500="",0,Z500),"0")</f>
        <v>0</v>
      </c>
      <c r="AA501" s="64"/>
      <c r="AB501" s="64"/>
      <c r="AC501" s="64"/>
    </row>
    <row r="502" spans="1:68" hidden="1" x14ac:dyDescent="0.2">
      <c r="A502" s="70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1"/>
      <c r="P502" s="697" t="s">
        <v>40</v>
      </c>
      <c r="Q502" s="698"/>
      <c r="R502" s="698"/>
      <c r="S502" s="698"/>
      <c r="T502" s="698"/>
      <c r="U502" s="698"/>
      <c r="V502" s="699"/>
      <c r="W502" s="40" t="s">
        <v>0</v>
      </c>
      <c r="X502" s="41">
        <f>IFERROR(SUM(X498:X500),"0")</f>
        <v>0</v>
      </c>
      <c r="Y502" s="41">
        <f>IFERROR(SUM(Y498:Y500),"0")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91" t="s">
        <v>76</v>
      </c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  <c r="AA503" s="63"/>
      <c r="AB503" s="63"/>
      <c r="AC503" s="63"/>
    </row>
    <row r="504" spans="1:68" ht="27" hidden="1" customHeight="1" x14ac:dyDescent="0.25">
      <c r="A504" s="60" t="s">
        <v>809</v>
      </c>
      <c r="B504" s="60" t="s">
        <v>810</v>
      </c>
      <c r="C504" s="34">
        <v>4301031349</v>
      </c>
      <c r="D504" s="692">
        <v>4680115883116</v>
      </c>
      <c r="E504" s="69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132</v>
      </c>
      <c r="L504" s="35" t="s">
        <v>46</v>
      </c>
      <c r="M504" s="36" t="s">
        <v>131</v>
      </c>
      <c r="N504" s="36"/>
      <c r="O504" s="35">
        <v>70</v>
      </c>
      <c r="P504" s="9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0" si="68">IFERROR(IF(X504="",0,CEILING((X504/$H504),1)*$H504),"")</f>
        <v>0</v>
      </c>
      <c r="Z504" s="39" t="str">
        <f>IFERROR(IF(Y504=0,"",ROUNDUP(Y504/H504,0)*0.01196),"")</f>
        <v/>
      </c>
      <c r="AA504" s="65" t="s">
        <v>46</v>
      </c>
      <c r="AB504" s="66" t="s">
        <v>46</v>
      </c>
      <c r="AC504" s="591" t="s">
        <v>811</v>
      </c>
      <c r="AG504" s="75"/>
      <c r="AJ504" s="79" t="s">
        <v>46</v>
      </c>
      <c r="AK504" s="79">
        <v>0</v>
      </c>
      <c r="BB504" s="592" t="s">
        <v>66</v>
      </c>
      <c r="BM504" s="75">
        <f t="shared" ref="BM504:BM510" si="69">IFERROR(X504*I504/H504,"0")</f>
        <v>0</v>
      </c>
      <c r="BN504" s="75">
        <f t="shared" ref="BN504:BN510" si="70">IFERROR(Y504*I504/H504,"0")</f>
        <v>0</v>
      </c>
      <c r="BO504" s="75">
        <f t="shared" ref="BO504:BO510" si="71">IFERROR(1/J504*(X504/H504),"0")</f>
        <v>0</v>
      </c>
      <c r="BP504" s="75">
        <f t="shared" ref="BP504:BP510" si="72">IFERROR(1/J504*(Y504/H504),"0")</f>
        <v>0</v>
      </c>
    </row>
    <row r="505" spans="1:68" ht="27" hidden="1" customHeight="1" x14ac:dyDescent="0.25">
      <c r="A505" s="60" t="s">
        <v>812</v>
      </c>
      <c r="B505" s="60" t="s">
        <v>813</v>
      </c>
      <c r="C505" s="34">
        <v>4301031350</v>
      </c>
      <c r="D505" s="692">
        <v>4680115883093</v>
      </c>
      <c r="E505" s="69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132</v>
      </c>
      <c r="L505" s="35" t="s">
        <v>46</v>
      </c>
      <c r="M505" s="36" t="s">
        <v>80</v>
      </c>
      <c r="N505" s="36"/>
      <c r="O505" s="35">
        <v>70</v>
      </c>
      <c r="P505" s="9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>IFERROR(IF(Y505=0,"",ROUNDUP(Y505/H505,0)*0.01196),"")</f>
        <v/>
      </c>
      <c r="AA505" s="65" t="s">
        <v>46</v>
      </c>
      <c r="AB505" s="66" t="s">
        <v>46</v>
      </c>
      <c r="AC505" s="593" t="s">
        <v>814</v>
      </c>
      <c r="AG505" s="75"/>
      <c r="AJ505" s="79" t="s">
        <v>46</v>
      </c>
      <c r="AK505" s="79">
        <v>0</v>
      </c>
      <c r="BB505" s="594" t="s">
        <v>66</v>
      </c>
      <c r="BM505" s="75">
        <f t="shared" si="69"/>
        <v>0</v>
      </c>
      <c r="BN505" s="75">
        <f t="shared" si="70"/>
        <v>0</v>
      </c>
      <c r="BO505" s="75">
        <f t="shared" si="71"/>
        <v>0</v>
      </c>
      <c r="BP505" s="75">
        <f t="shared" si="72"/>
        <v>0</v>
      </c>
    </row>
    <row r="506" spans="1:68" ht="27" hidden="1" customHeight="1" x14ac:dyDescent="0.25">
      <c r="A506" s="60" t="s">
        <v>815</v>
      </c>
      <c r="B506" s="60" t="s">
        <v>816</v>
      </c>
      <c r="C506" s="34">
        <v>4301031353</v>
      </c>
      <c r="D506" s="692">
        <v>4680115883109</v>
      </c>
      <c r="E506" s="692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132</v>
      </c>
      <c r="L506" s="35" t="s">
        <v>46</v>
      </c>
      <c r="M506" s="36" t="s">
        <v>80</v>
      </c>
      <c r="N506" s="36"/>
      <c r="O506" s="35">
        <v>70</v>
      </c>
      <c r="P506" s="9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4"/>
      <c r="R506" s="694"/>
      <c r="S506" s="694"/>
      <c r="T506" s="69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IFERROR(IF(Y506=0,"",ROUNDUP(Y506/H506,0)*0.01196),"")</f>
        <v/>
      </c>
      <c r="AA506" s="65" t="s">
        <v>46</v>
      </c>
      <c r="AB506" s="66" t="s">
        <v>46</v>
      </c>
      <c r="AC506" s="595" t="s">
        <v>817</v>
      </c>
      <c r="AG506" s="75"/>
      <c r="AJ506" s="79" t="s">
        <v>46</v>
      </c>
      <c r="AK506" s="79">
        <v>0</v>
      </c>
      <c r="BB506" s="596" t="s">
        <v>66</v>
      </c>
      <c r="BM506" s="75">
        <f t="shared" si="69"/>
        <v>0</v>
      </c>
      <c r="BN506" s="75">
        <f t="shared" si="70"/>
        <v>0</v>
      </c>
      <c r="BO506" s="75">
        <f t="shared" si="71"/>
        <v>0</v>
      </c>
      <c r="BP506" s="75">
        <f t="shared" si="72"/>
        <v>0</v>
      </c>
    </row>
    <row r="507" spans="1:68" ht="27" hidden="1" customHeight="1" x14ac:dyDescent="0.25">
      <c r="A507" s="60" t="s">
        <v>818</v>
      </c>
      <c r="B507" s="60" t="s">
        <v>819</v>
      </c>
      <c r="C507" s="34">
        <v>4301031419</v>
      </c>
      <c r="D507" s="692">
        <v>4680115882072</v>
      </c>
      <c r="E507" s="69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139</v>
      </c>
      <c r="L507" s="35" t="s">
        <v>46</v>
      </c>
      <c r="M507" s="36" t="s">
        <v>131</v>
      </c>
      <c r="N507" s="36"/>
      <c r="O507" s="35">
        <v>70</v>
      </c>
      <c r="P507" s="9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4"/>
      <c r="R507" s="694"/>
      <c r="S507" s="694"/>
      <c r="T507" s="695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597" t="s">
        <v>811</v>
      </c>
      <c r="AG507" s="75"/>
      <c r="AJ507" s="79" t="s">
        <v>46</v>
      </c>
      <c r="AK507" s="79">
        <v>0</v>
      </c>
      <c r="BB507" s="598" t="s">
        <v>66</v>
      </c>
      <c r="BM507" s="75">
        <f t="shared" si="69"/>
        <v>0</v>
      </c>
      <c r="BN507" s="75">
        <f t="shared" si="70"/>
        <v>0</v>
      </c>
      <c r="BO507" s="75">
        <f t="shared" si="71"/>
        <v>0</v>
      </c>
      <c r="BP507" s="75">
        <f t="shared" si="72"/>
        <v>0</v>
      </c>
    </row>
    <row r="508" spans="1:68" ht="27" hidden="1" customHeight="1" x14ac:dyDescent="0.25">
      <c r="A508" s="60" t="s">
        <v>820</v>
      </c>
      <c r="B508" s="60" t="s">
        <v>821</v>
      </c>
      <c r="C508" s="34">
        <v>4301031352</v>
      </c>
      <c r="D508" s="692">
        <v>4680115882102</v>
      </c>
      <c r="E508" s="692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139</v>
      </c>
      <c r="L508" s="35" t="s">
        <v>46</v>
      </c>
      <c r="M508" s="36" t="s">
        <v>80</v>
      </c>
      <c r="N508" s="36"/>
      <c r="O508" s="35">
        <v>70</v>
      </c>
      <c r="P508" s="95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4"/>
      <c r="R508" s="694"/>
      <c r="S508" s="694"/>
      <c r="T508" s="695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814</v>
      </c>
      <c r="AG508" s="75"/>
      <c r="AJ508" s="79" t="s">
        <v>46</v>
      </c>
      <c r="AK508" s="79">
        <v>0</v>
      </c>
      <c r="BB508" s="600" t="s">
        <v>66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820</v>
      </c>
      <c r="B509" s="60" t="s">
        <v>822</v>
      </c>
      <c r="C509" s="34">
        <v>4301031418</v>
      </c>
      <c r="D509" s="692">
        <v>4680115882102</v>
      </c>
      <c r="E509" s="692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139</v>
      </c>
      <c r="L509" s="35" t="s">
        <v>46</v>
      </c>
      <c r="M509" s="36" t="s">
        <v>80</v>
      </c>
      <c r="N509" s="36"/>
      <c r="O509" s="35">
        <v>70</v>
      </c>
      <c r="P509" s="9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814</v>
      </c>
      <c r="AG509" s="75"/>
      <c r="AJ509" s="79" t="s">
        <v>46</v>
      </c>
      <c r="AK509" s="79">
        <v>0</v>
      </c>
      <c r="BB509" s="602" t="s">
        <v>66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4301031417</v>
      </c>
      <c r="D510" s="692">
        <v>4680115882096</v>
      </c>
      <c r="E510" s="692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139</v>
      </c>
      <c r="L510" s="35" t="s">
        <v>46</v>
      </c>
      <c r="M510" s="36" t="s">
        <v>80</v>
      </c>
      <c r="N510" s="36"/>
      <c r="O510" s="35">
        <v>70</v>
      </c>
      <c r="P510" s="9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6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817</v>
      </c>
      <c r="AG510" s="75"/>
      <c r="AJ510" s="79" t="s">
        <v>46</v>
      </c>
      <c r="AK510" s="79">
        <v>0</v>
      </c>
      <c r="BB510" s="604" t="s">
        <v>66</v>
      </c>
      <c r="BM510" s="75">
        <f t="shared" si="69"/>
        <v>0</v>
      </c>
      <c r="BN510" s="75">
        <f t="shared" si="70"/>
        <v>0</v>
      </c>
      <c r="BO510" s="75">
        <f t="shared" si="71"/>
        <v>0</v>
      </c>
      <c r="BP510" s="75">
        <f t="shared" si="72"/>
        <v>0</v>
      </c>
    </row>
    <row r="511" spans="1:68" hidden="1" x14ac:dyDescent="0.2">
      <c r="A511" s="70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1"/>
      <c r="P511" s="697" t="s">
        <v>40</v>
      </c>
      <c r="Q511" s="698"/>
      <c r="R511" s="698"/>
      <c r="S511" s="698"/>
      <c r="T511" s="698"/>
      <c r="U511" s="698"/>
      <c r="V511" s="699"/>
      <c r="W511" s="40" t="s">
        <v>39</v>
      </c>
      <c r="X511" s="41">
        <f>IFERROR(X504/H504,"0")+IFERROR(X505/H505,"0")+IFERROR(X506/H506,"0")+IFERROR(X507/H507,"0")+IFERROR(X508/H508,"0")+IFERROR(X509/H509,"0")+IFERROR(X510/H510,"0")</f>
        <v>0</v>
      </c>
      <c r="Y511" s="41">
        <f>IFERROR(Y504/H504,"0")+IFERROR(Y505/H505,"0")+IFERROR(Y506/H506,"0")+IFERROR(Y507/H507,"0")+IFERROR(Y508/H508,"0")+IFERROR(Y509/H509,"0")+IFERROR(Y510/H510,"0")</f>
        <v>0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0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1"/>
      <c r="P512" s="697" t="s">
        <v>40</v>
      </c>
      <c r="Q512" s="698"/>
      <c r="R512" s="698"/>
      <c r="S512" s="698"/>
      <c r="T512" s="698"/>
      <c r="U512" s="698"/>
      <c r="V512" s="699"/>
      <c r="W512" s="40" t="s">
        <v>0</v>
      </c>
      <c r="X512" s="41">
        <f>IFERROR(SUM(X504:X510),"0")</f>
        <v>0</v>
      </c>
      <c r="Y512" s="41">
        <f>IFERROR(SUM(Y504:Y510),"0")</f>
        <v>0</v>
      </c>
      <c r="Z512" s="40"/>
      <c r="AA512" s="64"/>
      <c r="AB512" s="64"/>
      <c r="AC512" s="64"/>
    </row>
    <row r="513" spans="1:68" ht="27.75" hidden="1" customHeight="1" x14ac:dyDescent="0.2">
      <c r="A513" s="689" t="s">
        <v>825</v>
      </c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52"/>
      <c r="AB513" s="52"/>
      <c r="AC513" s="52"/>
    </row>
    <row r="514" spans="1:68" ht="16.5" hidden="1" customHeight="1" x14ac:dyDescent="0.25">
      <c r="A514" s="690" t="s">
        <v>825</v>
      </c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0"/>
      <c r="P514" s="690"/>
      <c r="Q514" s="690"/>
      <c r="R514" s="690"/>
      <c r="S514" s="690"/>
      <c r="T514" s="690"/>
      <c r="U514" s="690"/>
      <c r="V514" s="690"/>
      <c r="W514" s="690"/>
      <c r="X514" s="690"/>
      <c r="Y514" s="690"/>
      <c r="Z514" s="690"/>
      <c r="AA514" s="62"/>
      <c r="AB514" s="62"/>
      <c r="AC514" s="62"/>
    </row>
    <row r="515" spans="1:68" ht="14.25" hidden="1" customHeight="1" x14ac:dyDescent="0.25">
      <c r="A515" s="691" t="s">
        <v>127</v>
      </c>
      <c r="B515" s="691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  <c r="AA515" s="63"/>
      <c r="AB515" s="63"/>
      <c r="AC515" s="63"/>
    </row>
    <row r="516" spans="1:68" ht="27" hidden="1" customHeight="1" x14ac:dyDescent="0.25">
      <c r="A516" s="60" t="s">
        <v>826</v>
      </c>
      <c r="B516" s="60" t="s">
        <v>827</v>
      </c>
      <c r="C516" s="34">
        <v>4301011584</v>
      </c>
      <c r="D516" s="692">
        <v>4640242180564</v>
      </c>
      <c r="E516" s="692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132</v>
      </c>
      <c r="L516" s="35" t="s">
        <v>46</v>
      </c>
      <c r="M516" s="36" t="s">
        <v>131</v>
      </c>
      <c r="N516" s="36"/>
      <c r="O516" s="35">
        <v>50</v>
      </c>
      <c r="P516" s="9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4"/>
      <c r="R516" s="694"/>
      <c r="S516" s="694"/>
      <c r="T516" s="695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605" t="s">
        <v>828</v>
      </c>
      <c r="AG516" s="75"/>
      <c r="AJ516" s="79" t="s">
        <v>46</v>
      </c>
      <c r="AK516" s="79">
        <v>0</v>
      </c>
      <c r="BB516" s="606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0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1"/>
      <c r="P517" s="697" t="s">
        <v>40</v>
      </c>
      <c r="Q517" s="698"/>
      <c r="R517" s="698"/>
      <c r="S517" s="698"/>
      <c r="T517" s="698"/>
      <c r="U517" s="698"/>
      <c r="V517" s="699"/>
      <c r="W517" s="40" t="s">
        <v>39</v>
      </c>
      <c r="X517" s="41">
        <f>IFERROR(X516/H516,"0")</f>
        <v>0</v>
      </c>
      <c r="Y517" s="41">
        <f>IFERROR(Y516/H516,"0")</f>
        <v>0</v>
      </c>
      <c r="Z517" s="41">
        <f>IFERROR(IF(Z516="",0,Z516),"0")</f>
        <v>0</v>
      </c>
      <c r="AA517" s="64"/>
      <c r="AB517" s="64"/>
      <c r="AC517" s="64"/>
    </row>
    <row r="518" spans="1:68" hidden="1" x14ac:dyDescent="0.2">
      <c r="A518" s="70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1"/>
      <c r="P518" s="697" t="s">
        <v>40</v>
      </c>
      <c r="Q518" s="698"/>
      <c r="R518" s="698"/>
      <c r="S518" s="698"/>
      <c r="T518" s="698"/>
      <c r="U518" s="698"/>
      <c r="V518" s="699"/>
      <c r="W518" s="40" t="s">
        <v>0</v>
      </c>
      <c r="X518" s="41">
        <f>IFERROR(SUM(X516:X516),"0")</f>
        <v>0</v>
      </c>
      <c r="Y518" s="41">
        <f>IFERROR(SUM(Y516:Y516),"0")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91" t="s">
        <v>163</v>
      </c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4301020400</v>
      </c>
      <c r="D520" s="692">
        <v>4640242180519</v>
      </c>
      <c r="E520" s="692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132</v>
      </c>
      <c r="L520" s="35" t="s">
        <v>46</v>
      </c>
      <c r="M520" s="36" t="s">
        <v>131</v>
      </c>
      <c r="N520" s="36"/>
      <c r="O520" s="35">
        <v>50</v>
      </c>
      <c r="P520" s="9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4"/>
      <c r="R520" s="694"/>
      <c r="S520" s="694"/>
      <c r="T520" s="695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831</v>
      </c>
      <c r="AG520" s="75"/>
      <c r="AJ520" s="79" t="s">
        <v>46</v>
      </c>
      <c r="AK520" s="79">
        <v>0</v>
      </c>
      <c r="BB520" s="608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70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1"/>
      <c r="P521" s="697" t="s">
        <v>40</v>
      </c>
      <c r="Q521" s="698"/>
      <c r="R521" s="698"/>
      <c r="S521" s="698"/>
      <c r="T521" s="698"/>
      <c r="U521" s="698"/>
      <c r="V521" s="699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70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1"/>
      <c r="P522" s="697" t="s">
        <v>40</v>
      </c>
      <c r="Q522" s="698"/>
      <c r="R522" s="698"/>
      <c r="S522" s="698"/>
      <c r="T522" s="698"/>
      <c r="U522" s="698"/>
      <c r="V522" s="699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91" t="s">
        <v>76</v>
      </c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  <c r="AA523" s="63"/>
      <c r="AB523" s="63"/>
      <c r="AC523" s="63"/>
    </row>
    <row r="524" spans="1:68" ht="27" hidden="1" customHeight="1" x14ac:dyDescent="0.25">
      <c r="A524" s="60" t="s">
        <v>832</v>
      </c>
      <c r="B524" s="60" t="s">
        <v>833</v>
      </c>
      <c r="C524" s="34">
        <v>4301031467</v>
      </c>
      <c r="D524" s="692">
        <v>4640242180595</v>
      </c>
      <c r="E524" s="692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139</v>
      </c>
      <c r="L524" s="35" t="s">
        <v>46</v>
      </c>
      <c r="M524" s="36" t="s">
        <v>80</v>
      </c>
      <c r="N524" s="36"/>
      <c r="O524" s="35">
        <v>40</v>
      </c>
      <c r="P524" s="9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4"/>
      <c r="R524" s="694"/>
      <c r="S524" s="694"/>
      <c r="T524" s="69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834</v>
      </c>
      <c r="AG524" s="75"/>
      <c r="AJ524" s="79" t="s">
        <v>46</v>
      </c>
      <c r="AK524" s="79">
        <v>0</v>
      </c>
      <c r="BB524" s="610" t="s">
        <v>66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832</v>
      </c>
      <c r="B525" s="60" t="s">
        <v>835</v>
      </c>
      <c r="C525" s="34">
        <v>4301031500</v>
      </c>
      <c r="D525" s="692">
        <v>4640242180595</v>
      </c>
      <c r="E525" s="692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139</v>
      </c>
      <c r="L525" s="35" t="s">
        <v>46</v>
      </c>
      <c r="M525" s="36" t="s">
        <v>80</v>
      </c>
      <c r="N525" s="36"/>
      <c r="O525" s="35">
        <v>40</v>
      </c>
      <c r="P525" s="9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836</v>
      </c>
      <c r="AG525" s="75"/>
      <c r="AJ525" s="79" t="s">
        <v>46</v>
      </c>
      <c r="AK525" s="79">
        <v>0</v>
      </c>
      <c r="BB525" s="612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0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1"/>
      <c r="P526" s="697" t="s">
        <v>40</v>
      </c>
      <c r="Q526" s="698"/>
      <c r="R526" s="698"/>
      <c r="S526" s="698"/>
      <c r="T526" s="698"/>
      <c r="U526" s="698"/>
      <c r="V526" s="699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70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1"/>
      <c r="P527" s="697" t="s">
        <v>40</v>
      </c>
      <c r="Q527" s="698"/>
      <c r="R527" s="698"/>
      <c r="S527" s="698"/>
      <c r="T527" s="698"/>
      <c r="U527" s="698"/>
      <c r="V527" s="699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85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4301052043</v>
      </c>
      <c r="D529" s="692">
        <v>4640242180533</v>
      </c>
      <c r="E529" s="692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132</v>
      </c>
      <c r="L529" s="35" t="s">
        <v>46</v>
      </c>
      <c r="M529" s="36" t="s">
        <v>89</v>
      </c>
      <c r="N529" s="36"/>
      <c r="O529" s="35">
        <v>45</v>
      </c>
      <c r="P529" s="9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3" t="s">
        <v>839</v>
      </c>
      <c r="AG529" s="75"/>
      <c r="AJ529" s="79" t="s">
        <v>46</v>
      </c>
      <c r="AK529" s="79">
        <v>0</v>
      </c>
      <c r="BB529" s="614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0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1"/>
      <c r="P530" s="697" t="s">
        <v>40</v>
      </c>
      <c r="Q530" s="698"/>
      <c r="R530" s="698"/>
      <c r="S530" s="698"/>
      <c r="T530" s="698"/>
      <c r="U530" s="698"/>
      <c r="V530" s="69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0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1"/>
      <c r="P531" s="697" t="s">
        <v>40</v>
      </c>
      <c r="Q531" s="698"/>
      <c r="R531" s="698"/>
      <c r="S531" s="698"/>
      <c r="T531" s="698"/>
      <c r="U531" s="698"/>
      <c r="V531" s="69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91" t="s">
        <v>180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4301060535</v>
      </c>
      <c r="D533" s="692">
        <v>4640242180120</v>
      </c>
      <c r="E533" s="692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132</v>
      </c>
      <c r="L533" s="35" t="s">
        <v>46</v>
      </c>
      <c r="M533" s="36" t="s">
        <v>89</v>
      </c>
      <c r="N533" s="36"/>
      <c r="O533" s="35">
        <v>40</v>
      </c>
      <c r="P533" s="9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842</v>
      </c>
      <c r="AG533" s="75"/>
      <c r="AJ533" s="79" t="s">
        <v>46</v>
      </c>
      <c r="AK533" s="79">
        <v>0</v>
      </c>
      <c r="BB533" s="616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843</v>
      </c>
      <c r="B534" s="60" t="s">
        <v>844</v>
      </c>
      <c r="C534" s="34">
        <v>4301060536</v>
      </c>
      <c r="D534" s="692">
        <v>4640242180137</v>
      </c>
      <c r="E534" s="692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132</v>
      </c>
      <c r="L534" s="35" t="s">
        <v>46</v>
      </c>
      <c r="M534" s="36" t="s">
        <v>89</v>
      </c>
      <c r="N534" s="36"/>
      <c r="O534" s="35">
        <v>40</v>
      </c>
      <c r="P534" s="9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4"/>
      <c r="R534" s="694"/>
      <c r="S534" s="694"/>
      <c r="T534" s="69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845</v>
      </c>
      <c r="AG534" s="75"/>
      <c r="AJ534" s="79" t="s">
        <v>46</v>
      </c>
      <c r="AK534" s="79">
        <v>0</v>
      </c>
      <c r="BB534" s="618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0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1"/>
      <c r="P535" s="697" t="s">
        <v>40</v>
      </c>
      <c r="Q535" s="698"/>
      <c r="R535" s="698"/>
      <c r="S535" s="698"/>
      <c r="T535" s="698"/>
      <c r="U535" s="698"/>
      <c r="V535" s="699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70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1"/>
      <c r="P536" s="697" t="s">
        <v>40</v>
      </c>
      <c r="Q536" s="698"/>
      <c r="R536" s="698"/>
      <c r="S536" s="698"/>
      <c r="T536" s="698"/>
      <c r="U536" s="698"/>
      <c r="V536" s="699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90" t="s">
        <v>846</v>
      </c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690"/>
      <c r="P537" s="690"/>
      <c r="Q537" s="690"/>
      <c r="R537" s="690"/>
      <c r="S537" s="690"/>
      <c r="T537" s="690"/>
      <c r="U537" s="690"/>
      <c r="V537" s="690"/>
      <c r="W537" s="690"/>
      <c r="X537" s="690"/>
      <c r="Y537" s="690"/>
      <c r="Z537" s="690"/>
      <c r="AA537" s="62"/>
      <c r="AB537" s="62"/>
      <c r="AC537" s="62"/>
    </row>
    <row r="538" spans="1:68" ht="14.25" hidden="1" customHeight="1" x14ac:dyDescent="0.25">
      <c r="A538" s="691" t="s">
        <v>163</v>
      </c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  <c r="AA538" s="63"/>
      <c r="AB538" s="63"/>
      <c r="AC538" s="63"/>
    </row>
    <row r="539" spans="1:68" ht="27" hidden="1" customHeight="1" x14ac:dyDescent="0.25">
      <c r="A539" s="60" t="s">
        <v>847</v>
      </c>
      <c r="B539" s="60" t="s">
        <v>848</v>
      </c>
      <c r="C539" s="34">
        <v>4301020428</v>
      </c>
      <c r="D539" s="692">
        <v>4640242180090</v>
      </c>
      <c r="E539" s="692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132</v>
      </c>
      <c r="L539" s="35" t="s">
        <v>46</v>
      </c>
      <c r="M539" s="36" t="s">
        <v>131</v>
      </c>
      <c r="N539" s="36"/>
      <c r="O539" s="35">
        <v>50</v>
      </c>
      <c r="P539" s="9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4"/>
      <c r="R539" s="694"/>
      <c r="S539" s="694"/>
      <c r="T539" s="695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849</v>
      </c>
      <c r="AG539" s="75"/>
      <c r="AJ539" s="79" t="s">
        <v>46</v>
      </c>
      <c r="AK539" s="79">
        <v>0</v>
      </c>
      <c r="BB539" s="620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0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1"/>
      <c r="P540" s="697" t="s">
        <v>40</v>
      </c>
      <c r="Q540" s="698"/>
      <c r="R540" s="698"/>
      <c r="S540" s="698"/>
      <c r="T540" s="698"/>
      <c r="U540" s="698"/>
      <c r="V540" s="69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0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1"/>
      <c r="P541" s="697" t="s">
        <v>40</v>
      </c>
      <c r="Q541" s="698"/>
      <c r="R541" s="698"/>
      <c r="S541" s="698"/>
      <c r="T541" s="698"/>
      <c r="U541" s="698"/>
      <c r="V541" s="69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70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973"/>
      <c r="P542" s="970" t="s">
        <v>33</v>
      </c>
      <c r="Q542" s="971"/>
      <c r="R542" s="971"/>
      <c r="S542" s="971"/>
      <c r="T542" s="971"/>
      <c r="U542" s="971"/>
      <c r="V542" s="972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1800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1800</v>
      </c>
      <c r="Z542" s="40"/>
      <c r="AA542" s="64"/>
      <c r="AB542" s="64"/>
      <c r="AC542" s="64"/>
    </row>
    <row r="543" spans="1:68" x14ac:dyDescent="0.2">
      <c r="A543" s="70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973"/>
      <c r="P543" s="970" t="s">
        <v>34</v>
      </c>
      <c r="Q543" s="971"/>
      <c r="R543" s="971"/>
      <c r="S543" s="971"/>
      <c r="T543" s="971"/>
      <c r="U543" s="971"/>
      <c r="V543" s="972"/>
      <c r="W543" s="40" t="s">
        <v>0</v>
      </c>
      <c r="X543" s="41">
        <f>IFERROR(SUM(BM22:BM539),"0")</f>
        <v>1856.4</v>
      </c>
      <c r="Y543" s="41">
        <f>IFERROR(SUM(BN22:BN539),"0")</f>
        <v>1856.4</v>
      </c>
      <c r="Z543" s="40"/>
      <c r="AA543" s="64"/>
      <c r="AB543" s="64"/>
      <c r="AC543" s="64"/>
    </row>
    <row r="544" spans="1:68" x14ac:dyDescent="0.2">
      <c r="A544" s="70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973"/>
      <c r="P544" s="970" t="s">
        <v>35</v>
      </c>
      <c r="Q544" s="971"/>
      <c r="R544" s="971"/>
      <c r="S544" s="971"/>
      <c r="T544" s="971"/>
      <c r="U544" s="971"/>
      <c r="V544" s="972"/>
      <c r="W544" s="40" t="s">
        <v>20</v>
      </c>
      <c r="X544" s="42">
        <f>ROUNDUP(SUM(BO22:BO539),0)</f>
        <v>3</v>
      </c>
      <c r="Y544" s="42">
        <f>ROUNDUP(SUM(BP22:BP539),0)</f>
        <v>3</v>
      </c>
      <c r="Z544" s="40"/>
      <c r="AA544" s="64"/>
      <c r="AB544" s="64"/>
      <c r="AC544" s="64"/>
    </row>
    <row r="545" spans="1:32" x14ac:dyDescent="0.2">
      <c r="A545" s="70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973"/>
      <c r="P545" s="970" t="s">
        <v>36</v>
      </c>
      <c r="Q545" s="971"/>
      <c r="R545" s="971"/>
      <c r="S545" s="971"/>
      <c r="T545" s="971"/>
      <c r="U545" s="971"/>
      <c r="V545" s="972"/>
      <c r="W545" s="40" t="s">
        <v>0</v>
      </c>
      <c r="X545" s="41">
        <f>GrossWeightTotal+PalletQtyTotal*25</f>
        <v>1931.4</v>
      </c>
      <c r="Y545" s="41">
        <f>GrossWeightTotalR+PalletQtyTotalR*25</f>
        <v>1931.4</v>
      </c>
      <c r="Z545" s="40"/>
      <c r="AA545" s="64"/>
      <c r="AB545" s="64"/>
      <c r="AC545" s="64"/>
    </row>
    <row r="546" spans="1:32" x14ac:dyDescent="0.2">
      <c r="A546" s="70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973"/>
      <c r="P546" s="970" t="s">
        <v>37</v>
      </c>
      <c r="Q546" s="971"/>
      <c r="R546" s="971"/>
      <c r="S546" s="971"/>
      <c r="T546" s="971"/>
      <c r="U546" s="971"/>
      <c r="V546" s="972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120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120</v>
      </c>
      <c r="Z546" s="40"/>
      <c r="AA546" s="64"/>
      <c r="AB546" s="64"/>
      <c r="AC546" s="64"/>
    </row>
    <row r="547" spans="1:32" ht="14.25" hidden="1" x14ac:dyDescent="0.2">
      <c r="A547" s="70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973"/>
      <c r="P547" s="970" t="s">
        <v>38</v>
      </c>
      <c r="Q547" s="971"/>
      <c r="R547" s="971"/>
      <c r="S547" s="971"/>
      <c r="T547" s="971"/>
      <c r="U547" s="971"/>
      <c r="V547" s="972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2.61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75</v>
      </c>
      <c r="C549" s="80" t="s">
        <v>45</v>
      </c>
      <c r="D549" s="976" t="s">
        <v>125</v>
      </c>
      <c r="E549" s="976" t="s">
        <v>125</v>
      </c>
      <c r="F549" s="976" t="s">
        <v>125</v>
      </c>
      <c r="G549" s="976" t="s">
        <v>125</v>
      </c>
      <c r="H549" s="976" t="s">
        <v>125</v>
      </c>
      <c r="I549" s="976" t="s">
        <v>125</v>
      </c>
      <c r="J549" s="976" t="s">
        <v>125</v>
      </c>
      <c r="K549" s="976" t="s">
        <v>337</v>
      </c>
      <c r="L549" s="976" t="s">
        <v>337</v>
      </c>
      <c r="M549" s="976" t="s">
        <v>337</v>
      </c>
      <c r="N549" s="977"/>
      <c r="O549" s="976" t="s">
        <v>337</v>
      </c>
      <c r="P549" s="976" t="s">
        <v>337</v>
      </c>
      <c r="Q549" s="976" t="s">
        <v>337</v>
      </c>
      <c r="R549" s="976" t="s">
        <v>337</v>
      </c>
      <c r="S549" s="976" t="s">
        <v>337</v>
      </c>
      <c r="T549" s="976" t="s">
        <v>337</v>
      </c>
      <c r="U549" s="976" t="s">
        <v>337</v>
      </c>
      <c r="V549" s="976" t="s">
        <v>676</v>
      </c>
      <c r="W549" s="976" t="s">
        <v>676</v>
      </c>
      <c r="X549" s="976" t="s">
        <v>742</v>
      </c>
      <c r="Y549" s="976" t="s">
        <v>742</v>
      </c>
      <c r="Z549" s="80" t="s">
        <v>778</v>
      </c>
      <c r="AA549" s="976" t="s">
        <v>825</v>
      </c>
      <c r="AB549" s="976" t="s">
        <v>825</v>
      </c>
      <c r="AC549" s="9"/>
      <c r="AF549" s="1"/>
    </row>
    <row r="550" spans="1:32" ht="14.25" customHeight="1" thickTop="1" x14ac:dyDescent="0.2">
      <c r="A550" s="974" t="s">
        <v>10</v>
      </c>
      <c r="B550" s="976" t="s">
        <v>75</v>
      </c>
      <c r="C550" s="976" t="s">
        <v>109</v>
      </c>
      <c r="D550" s="976" t="s">
        <v>126</v>
      </c>
      <c r="E550" s="976" t="s">
        <v>142</v>
      </c>
      <c r="F550" s="976" t="s">
        <v>187</v>
      </c>
      <c r="G550" s="976" t="s">
        <v>208</v>
      </c>
      <c r="H550" s="976" t="s">
        <v>247</v>
      </c>
      <c r="I550" s="976" t="s">
        <v>259</v>
      </c>
      <c r="J550" s="976" t="s">
        <v>125</v>
      </c>
      <c r="K550" s="976" t="s">
        <v>338</v>
      </c>
      <c r="L550" s="976" t="s">
        <v>359</v>
      </c>
      <c r="M550" s="976" t="s">
        <v>426</v>
      </c>
      <c r="N550" s="1"/>
      <c r="O550" s="976" t="s">
        <v>494</v>
      </c>
      <c r="P550" s="976" t="s">
        <v>527</v>
      </c>
      <c r="Q550" s="976" t="s">
        <v>543</v>
      </c>
      <c r="R550" s="976" t="s">
        <v>552</v>
      </c>
      <c r="S550" s="976" t="s">
        <v>573</v>
      </c>
      <c r="T550" s="976" t="s">
        <v>582</v>
      </c>
      <c r="U550" s="976" t="s">
        <v>666</v>
      </c>
      <c r="V550" s="976" t="s">
        <v>677</v>
      </c>
      <c r="W550" s="976" t="s">
        <v>726</v>
      </c>
      <c r="X550" s="976" t="s">
        <v>743</v>
      </c>
      <c r="Y550" s="976" t="s">
        <v>766</v>
      </c>
      <c r="Z550" s="976" t="s">
        <v>778</v>
      </c>
      <c r="AA550" s="976" t="s">
        <v>825</v>
      </c>
      <c r="AB550" s="976" t="s">
        <v>846</v>
      </c>
      <c r="AC550" s="9"/>
      <c r="AF550" s="1"/>
    </row>
    <row r="551" spans="1:32" ht="13.5" thickBot="1" x14ac:dyDescent="0.25">
      <c r="A551" s="975"/>
      <c r="B551" s="976"/>
      <c r="C551" s="976"/>
      <c r="D551" s="976"/>
      <c r="E551" s="976"/>
      <c r="F551" s="976"/>
      <c r="G551" s="976"/>
      <c r="H551" s="976"/>
      <c r="I551" s="976"/>
      <c r="J551" s="976"/>
      <c r="K551" s="976"/>
      <c r="L551" s="976"/>
      <c r="M551" s="976"/>
      <c r="N551" s="1"/>
      <c r="O551" s="976"/>
      <c r="P551" s="976"/>
      <c r="Q551" s="976"/>
      <c r="R551" s="976"/>
      <c r="S551" s="976"/>
      <c r="T551" s="976"/>
      <c r="U551" s="976"/>
      <c r="V551" s="976"/>
      <c r="W551" s="976"/>
      <c r="X551" s="976"/>
      <c r="Y551" s="976"/>
      <c r="Z551" s="976"/>
      <c r="AA551" s="976"/>
      <c r="AB551" s="976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0</v>
      </c>
      <c r="D552" s="50">
        <f>IFERROR(Y51*1,"0")+IFERROR(Y52*1,"0")+IFERROR(Y53*1,"0")+IFERROR(Y54*1,"0")</f>
        <v>0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0">
        <f>IFERROR(Y88*1,"0")+IFERROR(Y89*1,"0")+IFERROR(Y90*1,"0")+IFERROR(Y91*1,"0")+IFERROR(Y95*1,"0")+IFERROR(Y96*1,"0")+IFERROR(Y97*1,"0")+IFERROR(Y98*1,"0")</f>
        <v>0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0">
        <f>IFERROR(Y132*1,"0")+IFERROR(Y133*1,"0")+IFERROR(Y137*1,"0")+IFERROR(Y138*1,"0")+IFERROR(Y142*1,"0")+IFERROR(Y143*1,"0")</f>
        <v>0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0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0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0">
        <f>IFERROR(Y405*1,"0")+IFERROR(Y406*1,"0")+IFERROR(Y407*1,"0")</f>
        <v>0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1800</v>
      </c>
      <c r="W552" s="50">
        <f>IFERROR(Y442*1,"0")+IFERROR(Y443*1,"0")+IFERROR(Y447*1,"0")+IFERROR(Y451*1,"0")+IFERROR(Y452*1,"0")+IFERROR(Y453*1,"0")</f>
        <v>0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0">
        <f>IFERROR(Y516*1,"0")+IFERROR(Y520*1,"0")+IFERROR(Y524*1,"0")+IFERROR(Y525*1,"0")+IFERROR(Y529*1,"0")+IFERROR(Y533*1,"0")+IFERROR(Y534*1,"0")</f>
        <v>0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00,00"/>
        <filter val="1 856,40"/>
        <filter val="1 931,40"/>
        <filter val="120,00"/>
        <filter val="3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1" t="s">
        <v>851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853</v>
      </c>
      <c r="C6" s="51" t="s">
        <v>854</v>
      </c>
      <c r="D6" s="51" t="s">
        <v>855</v>
      </c>
      <c r="E6" s="51" t="s">
        <v>46</v>
      </c>
    </row>
    <row r="7" spans="2:8" x14ac:dyDescent="0.2">
      <c r="B7" s="51" t="s">
        <v>856</v>
      </c>
      <c r="C7" s="51" t="s">
        <v>857</v>
      </c>
      <c r="D7" s="51" t="s">
        <v>858</v>
      </c>
      <c r="E7" s="51" t="s">
        <v>46</v>
      </c>
    </row>
    <row r="9" spans="2:8" x14ac:dyDescent="0.2">
      <c r="B9" s="51" t="s">
        <v>859</v>
      </c>
      <c r="C9" s="51" t="s">
        <v>854</v>
      </c>
      <c r="D9" s="51" t="s">
        <v>46</v>
      </c>
      <c r="E9" s="51" t="s">
        <v>46</v>
      </c>
    </row>
    <row r="11" spans="2:8" x14ac:dyDescent="0.2">
      <c r="B11" s="51" t="s">
        <v>859</v>
      </c>
      <c r="C11" s="51" t="s">
        <v>857</v>
      </c>
      <c r="D11" s="51" t="s">
        <v>46</v>
      </c>
      <c r="E11" s="51" t="s">
        <v>46</v>
      </c>
    </row>
    <row r="13" spans="2:8" x14ac:dyDescent="0.2">
      <c r="B13" s="51" t="s">
        <v>860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870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