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35E1FA5-B49A-4D1D-B8B4-F55207184FE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Z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P199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P117" i="2"/>
  <c r="BO117" i="2"/>
  <c r="BN117" i="2"/>
  <c r="BM117" i="2"/>
  <c r="Z117" i="2"/>
  <c r="Y117" i="2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Z95" i="2"/>
  <c r="Y95" i="2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42" i="2" l="1"/>
  <c r="BN113" i="2"/>
  <c r="BP129" i="2"/>
  <c r="BN159" i="2"/>
  <c r="BP281" i="2"/>
  <c r="BN357" i="2"/>
  <c r="BN454" i="2"/>
  <c r="BN65" i="2"/>
  <c r="Z89" i="2"/>
  <c r="Z129" i="2"/>
  <c r="Z130" i="2" s="1"/>
  <c r="Y131" i="2"/>
  <c r="BN174" i="2"/>
  <c r="Z176" i="2"/>
  <c r="BN176" i="2"/>
  <c r="Z202" i="2"/>
  <c r="BN225" i="2"/>
  <c r="Z231" i="2"/>
  <c r="Z262" i="2"/>
  <c r="BN262" i="2"/>
  <c r="BN278" i="2"/>
  <c r="Z281" i="2"/>
  <c r="Z309" i="2"/>
  <c r="BN310" i="2"/>
  <c r="Z320" i="2"/>
  <c r="BN320" i="2"/>
  <c r="Z325" i="2"/>
  <c r="BN400" i="2"/>
  <c r="BN445" i="2"/>
  <c r="Z516" i="2"/>
  <c r="Y350" i="2"/>
  <c r="BN346" i="2"/>
  <c r="Z419" i="2"/>
  <c r="Z421" i="2" s="1"/>
  <c r="BN407" i="2"/>
  <c r="BN264" i="2"/>
  <c r="BP294" i="2"/>
  <c r="BN293" i="2"/>
  <c r="Z219" i="2"/>
  <c r="BP418" i="2"/>
  <c r="BP517" i="2"/>
  <c r="Z512" i="2"/>
  <c r="Z513" i="2" s="1"/>
  <c r="BN499" i="2"/>
  <c r="BN497" i="2"/>
  <c r="BN482" i="2"/>
  <c r="Y463" i="2"/>
  <c r="Z460" i="2"/>
  <c r="BP460" i="2"/>
  <c r="BN452" i="2"/>
  <c r="Y430" i="2"/>
  <c r="BN429" i="2"/>
  <c r="BP413" i="2"/>
  <c r="Z413" i="2"/>
  <c r="Z411" i="2"/>
  <c r="BP411" i="2"/>
  <c r="Z409" i="2"/>
  <c r="BP408" i="2"/>
  <c r="Z407" i="2"/>
  <c r="Z399" i="2"/>
  <c r="BP399" i="2"/>
  <c r="BN394" i="2"/>
  <c r="Y396" i="2"/>
  <c r="Z393" i="2"/>
  <c r="BP393" i="2"/>
  <c r="Y395" i="2"/>
  <c r="BN387" i="2"/>
  <c r="Y383" i="2"/>
  <c r="Z381" i="2"/>
  <c r="BN380" i="2"/>
  <c r="Z374" i="2"/>
  <c r="Z376" i="2" s="1"/>
  <c r="BP373" i="2"/>
  <c r="BP372" i="2"/>
  <c r="Z372" i="2"/>
  <c r="Z368" i="2"/>
  <c r="BP368" i="2"/>
  <c r="BN366" i="2"/>
  <c r="Z365" i="2"/>
  <c r="BN362" i="2"/>
  <c r="BP356" i="2"/>
  <c r="Z356" i="2"/>
  <c r="BP353" i="2"/>
  <c r="BN336" i="2"/>
  <c r="Z327" i="2"/>
  <c r="BP327" i="2"/>
  <c r="Z318" i="2"/>
  <c r="BP317" i="2"/>
  <c r="BP309" i="2"/>
  <c r="BP297" i="2"/>
  <c r="Z297" i="2"/>
  <c r="Z295" i="2"/>
  <c r="Z293" i="2"/>
  <c r="BN276" i="2"/>
  <c r="Z271" i="2"/>
  <c r="Z264" i="2"/>
  <c r="Y268" i="2"/>
  <c r="Z255" i="2"/>
  <c r="Z254" i="2"/>
  <c r="BP231" i="2"/>
  <c r="Z222" i="2"/>
  <c r="BP221" i="2"/>
  <c r="Z221" i="2"/>
  <c r="BP219" i="2"/>
  <c r="Z218" i="2"/>
  <c r="BN217" i="2"/>
  <c r="Y228" i="2"/>
  <c r="Z209" i="2"/>
  <c r="Z210" i="2" s="1"/>
  <c r="BP209" i="2"/>
  <c r="Y211" i="2"/>
  <c r="BN209" i="2"/>
  <c r="BN203" i="2"/>
  <c r="BP202" i="2"/>
  <c r="Z201" i="2"/>
  <c r="BN192" i="2"/>
  <c r="Y193" i="2"/>
  <c r="Z192" i="2"/>
  <c r="Z193" i="2" s="1"/>
  <c r="BP192" i="2"/>
  <c r="Z174" i="2"/>
  <c r="BN170" i="2"/>
  <c r="Z163" i="2"/>
  <c r="Z164" i="2" s="1"/>
  <c r="Y165" i="2"/>
  <c r="Z139" i="2"/>
  <c r="BN129" i="2"/>
  <c r="BN123" i="2"/>
  <c r="BP108" i="2"/>
  <c r="BN91" i="2"/>
  <c r="Y92" i="2"/>
  <c r="BN73" i="2"/>
  <c r="Z73" i="2"/>
  <c r="Z65" i="2"/>
  <c r="BN63" i="2"/>
  <c r="Z63" i="2"/>
  <c r="BP53" i="2"/>
  <c r="Z42" i="2"/>
  <c r="X534" i="2"/>
  <c r="Y37" i="2"/>
  <c r="X535" i="2"/>
  <c r="X536" i="2"/>
  <c r="X538" i="2"/>
  <c r="Z27" i="2"/>
  <c r="BP2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Z235" i="2" s="1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BP249" i="2"/>
  <c r="Y252" i="2"/>
  <c r="Z250" i="2"/>
  <c r="BN250" i="2"/>
  <c r="Z367" i="2"/>
  <c r="BN367" i="2"/>
  <c r="BN401" i="2"/>
  <c r="BP401" i="2"/>
  <c r="Z401" i="2"/>
  <c r="Z402" i="2" s="1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Z256" i="2"/>
  <c r="Y257" i="2"/>
  <c r="BP265" i="2"/>
  <c r="Z270" i="2"/>
  <c r="BP273" i="2"/>
  <c r="Z276" i="2"/>
  <c r="Z296" i="2"/>
  <c r="BP310" i="2"/>
  <c r="P544" i="2"/>
  <c r="BP318" i="2"/>
  <c r="Z326" i="2"/>
  <c r="Z328" i="2" s="1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Z160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241" i="2"/>
  <c r="Z312" i="2"/>
  <c r="Z321" i="2"/>
  <c r="BN61" i="2"/>
  <c r="Y32" i="2"/>
  <c r="Z53" i="2"/>
  <c r="Z55" i="2" s="1"/>
  <c r="Z64" i="2"/>
  <c r="BP66" i="2"/>
  <c r="Y79" i="2"/>
  <c r="BP89" i="2"/>
  <c r="Z97" i="2"/>
  <c r="Z99" i="2" s="1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Z349" i="2" s="1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Z382" i="2" s="1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Z395" i="2" s="1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426" i="2" l="1"/>
  <c r="Z184" i="2"/>
  <c r="Z154" i="2"/>
  <c r="Z359" i="2"/>
  <c r="Z92" i="2"/>
  <c r="Z415" i="2"/>
  <c r="Z298" i="2"/>
  <c r="Z527" i="2"/>
  <c r="Z473" i="2"/>
  <c r="Z389" i="2"/>
  <c r="Z369" i="2"/>
  <c r="Z282" i="2"/>
  <c r="Z267" i="2"/>
  <c r="Z205" i="2"/>
  <c r="X537" i="2"/>
  <c r="Z46" i="2"/>
  <c r="Z32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<sst xmlns="http://schemas.openxmlformats.org/spreadsheetml/2006/main" count="4040" uniqueCount="856">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</sst>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46221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16</v>
      </c>
      <c r="Y44" s="55">
        <f>IFERROR(IF(X44="",0,CEILING((X44/$H44),1)*$H44),"")</f>
        <v>17.28</v>
      </c>
      <c r="Z44" s="41">
        <f>IFERROR(IF(Y44=0,"",ROUNDUP(Y44/H44,0)*0.00651),"")</f>
        <v>5.8590000000000003E-2</v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17.5</v>
      </c>
      <c r="BN44" s="78">
        <f>IFERROR(Y44*I44/H44,"0")</f>
        <v>18.900000000000002</v>
      </c>
      <c r="BO44" s="78">
        <f>IFERROR(1/J44*(X44/H44),"0")</f>
        <v>4.5787545787545791E-2</v>
      </c>
      <c r="BP44" s="78">
        <f>IFERROR(1/J44*(Y44/H44),"0")</f>
        <v>4.9450549450549462E-2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16</v>
      </c>
      <c r="Y45" s="55">
        <f>IFERROR(IF(X45="",0,CEILING((X45/$H45),1)*$H45),"")</f>
        <v>17.28</v>
      </c>
      <c r="Z45" s="41">
        <f>IFERROR(IF(Y45=0,"",ROUNDUP(Y45/H45,0)*0.00651),"")</f>
        <v>5.8590000000000003E-2</v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17.5</v>
      </c>
      <c r="BN45" s="78">
        <f>IFERROR(Y45*I45/H45,"0")</f>
        <v>18.900000000000002</v>
      </c>
      <c r="BO45" s="78">
        <f>IFERROR(1/J45*(X45/H45),"0")</f>
        <v>4.5787545787545791E-2</v>
      </c>
      <c r="BP45" s="78">
        <f>IFERROR(1/J45*(Y45/H45),"0")</f>
        <v>4.9450549450549462E-2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18.000000000000004</v>
      </c>
      <c r="Z46" s="43">
        <f>IFERROR(IF(Z41="",0,Z41),"0")+IFERROR(IF(Z42="",0,Z42),"0")+IFERROR(IF(Z43="",0,Z43),"0")+IFERROR(IF(Z44="",0,Z44),"0")+IFERROR(IF(Z45="",0,Z45),"0")</f>
        <v>0.11718000000000001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32</v>
      </c>
      <c r="Y47" s="43">
        <f>IFERROR(SUM(Y41:Y45),"0")</f>
        <v>34.56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250</v>
      </c>
      <c r="Y51" s="55">
        <f>IFERROR(IF(X51="",0,CEILING((X51/$H51),1)*$H51),"")</f>
        <v>259.20000000000005</v>
      </c>
      <c r="Z51" s="41">
        <f>IFERROR(IF(Y51=0,"",ROUNDUP(Y51/H51,0)*0.01898),"")</f>
        <v>0.45552000000000004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259.4907407407407</v>
      </c>
      <c r="BN51" s="78">
        <f>IFERROR(Y51*I51/H51,"0")</f>
        <v>269.04000000000002</v>
      </c>
      <c r="BO51" s="78">
        <f>IFERROR(1/J51*(X51/H51),"0")</f>
        <v>0.36168981481481477</v>
      </c>
      <c r="BP51" s="78">
        <f>IFERROR(1/J51*(Y51/H51),"0")</f>
        <v>0.37500000000000006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240</v>
      </c>
      <c r="Y53" s="55">
        <f>IFERROR(IF(X53="",0,CEILING((X53/$H53),1)*$H53),"")</f>
        <v>240</v>
      </c>
      <c r="Z53" s="41">
        <f>IFERROR(IF(Y53=0,"",ROUNDUP(Y53/H53,0)*0.00902),"")</f>
        <v>0.54120000000000001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251.40000000000003</v>
      </c>
      <c r="BN53" s="78">
        <f>IFERROR(Y53*I53/H53,"0")</f>
        <v>251.40000000000003</v>
      </c>
      <c r="BO53" s="78">
        <f>IFERROR(1/J53*(X53/H53),"0")</f>
        <v>0.45454545454545459</v>
      </c>
      <c r="BP53" s="78">
        <f>IFERROR(1/J53*(Y53/H53),"0")</f>
        <v>0.45454545454545459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83.148148148148152</v>
      </c>
      <c r="Y55" s="43">
        <f>IFERROR(Y51/H51,"0")+IFERROR(Y52/H52,"0")+IFERROR(Y53/H53,"0")+IFERROR(Y54/H54,"0")</f>
        <v>84</v>
      </c>
      <c r="Z55" s="43">
        <f>IFERROR(IF(Z51="",0,Z51),"0")+IFERROR(IF(Z52="",0,Z52),"0")+IFERROR(IF(Z53="",0,Z53),"0")+IFERROR(IF(Z54="",0,Z54),"0")</f>
        <v>0.99672000000000005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490</v>
      </c>
      <c r="Y56" s="43">
        <f>IFERROR(SUM(Y51:Y54),"0")</f>
        <v>499.20000000000005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150</v>
      </c>
      <c r="Y61" s="55">
        <f t="shared" si="0"/>
        <v>151.20000000000002</v>
      </c>
      <c r="Z61" s="41">
        <f>IFERROR(IF(Y61=0,"",ROUNDUP(Y61/H61,0)*0.01898),"")</f>
        <v>0.26572000000000001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155.69444444444446</v>
      </c>
      <c r="BN61" s="78">
        <f t="shared" si="2"/>
        <v>156.94</v>
      </c>
      <c r="BO61" s="78">
        <f t="shared" si="3"/>
        <v>0.21701388888888887</v>
      </c>
      <c r="BP61" s="78">
        <f t="shared" si="4"/>
        <v>0.21875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270</v>
      </c>
      <c r="Y66" s="55">
        <f t="shared" si="0"/>
        <v>270</v>
      </c>
      <c r="Z66" s="41">
        <f>IFERROR(IF(Y66=0,"",ROUNDUP(Y66/H66,0)*0.00902),"")</f>
        <v>0.54120000000000001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281.40000000000003</v>
      </c>
      <c r="BN66" s="78">
        <f t="shared" si="2"/>
        <v>281.40000000000003</v>
      </c>
      <c r="BO66" s="78">
        <f t="shared" si="3"/>
        <v>0.45454545454545459</v>
      </c>
      <c r="BP66" s="78">
        <f t="shared" si="4"/>
        <v>0.45454545454545459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73.888888888888886</v>
      </c>
      <c r="Y67" s="43">
        <f>IFERROR(Y59/H59,"0")+IFERROR(Y60/H60,"0")+IFERROR(Y61/H61,"0")+IFERROR(Y62/H62,"0")+IFERROR(Y63/H63,"0")+IFERROR(Y64/H64,"0")+IFERROR(Y65/H65,"0")+IFERROR(Y66/H66,"0")</f>
        <v>74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0.80692000000000008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420</v>
      </c>
      <c r="Y68" s="43">
        <f>IFERROR(SUM(Y59:Y66),"0")</f>
        <v>421.20000000000005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33.333333333333329</v>
      </c>
      <c r="Y74" s="43">
        <f>IFERROR(Y70/H70,"0")+IFERROR(Y71/H71,"0")+IFERROR(Y72/H72,"0")+IFERROR(Y73/H73,"0")</f>
        <v>34</v>
      </c>
      <c r="Z74" s="43">
        <f>IFERROR(IF(Z70="",0,Z70),"0")+IFERROR(IF(Z71="",0,Z71),"0")+IFERROR(IF(Z72="",0,Z72),"0")+IFERROR(IF(Z73="",0,Z73),"0")</f>
        <v>0.22134000000000001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90</v>
      </c>
      <c r="Y75" s="43">
        <f>IFERROR(SUM(Y70:Y73),"0")</f>
        <v>91.800000000000011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100</v>
      </c>
      <c r="Y88" s="55">
        <f>IFERROR(IF(X88="",0,CEILING((X88/$H88),1)*$H88),"")</f>
        <v>108</v>
      </c>
      <c r="Z88" s="41">
        <f>IFERROR(IF(Y88=0,"",ROUNDUP(Y88/H88,0)*0.01898),"")</f>
        <v>0.1898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103.79629629629629</v>
      </c>
      <c r="BN88" s="78">
        <f>IFERROR(Y88*I88/H88,"0")</f>
        <v>112.1</v>
      </c>
      <c r="BO88" s="78">
        <f>IFERROR(1/J88*(X88/H88),"0")</f>
        <v>0.14467592592592593</v>
      </c>
      <c r="BP88" s="78">
        <f>IFERROR(1/J88*(Y88/H88),"0")</f>
        <v>0.15625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450</v>
      </c>
      <c r="Y91" s="55">
        <f>IFERROR(IF(X91="",0,CEILING((X91/$H91),1)*$H91),"")</f>
        <v>450</v>
      </c>
      <c r="Z91" s="41">
        <f>IFERROR(IF(Y91=0,"",ROUNDUP(Y91/H91,0)*0.00902),"")</f>
        <v>0.90200000000000002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469</v>
      </c>
      <c r="BN91" s="78">
        <f>IFERROR(Y91*I91/H91,"0")</f>
        <v>469</v>
      </c>
      <c r="BO91" s="78">
        <f>IFERROR(1/J91*(X91/H91),"0")</f>
        <v>0.75757575757575757</v>
      </c>
      <c r="BP91" s="78">
        <f>IFERROR(1/J91*(Y91/H91),"0")</f>
        <v>0.75757575757575757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109.25925925925927</v>
      </c>
      <c r="Y92" s="43">
        <f>IFERROR(Y88/H88,"0")+IFERROR(Y89/H89,"0")+IFERROR(Y90/H90,"0")+IFERROR(Y91/H91,"0")</f>
        <v>110</v>
      </c>
      <c r="Z92" s="43">
        <f>IFERROR(IF(Z88="",0,Z88),"0")+IFERROR(IF(Z89="",0,Z89),"0")+IFERROR(IF(Z90="",0,Z90),"0")+IFERROR(IF(Z91="",0,Z91),"0")</f>
        <v>1.0918000000000001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550</v>
      </c>
      <c r="Y93" s="43">
        <f>IFERROR(SUM(Y88:Y91),"0")</f>
        <v>558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495</v>
      </c>
      <c r="Y97" s="55">
        <f>IFERROR(IF(X97="",0,CEILING((X97/$H97),1)*$H97),"")</f>
        <v>496.8</v>
      </c>
      <c r="Z97" s="41">
        <f>IFERROR(IF(Y97=0,"",ROUNDUP(Y97/H97,0)*0.00651),"")</f>
        <v>1.19784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541.19999999999993</v>
      </c>
      <c r="BN97" s="78">
        <f>IFERROR(Y97*I97/H97,"0")</f>
        <v>543.16800000000001</v>
      </c>
      <c r="BO97" s="78">
        <f>IFERROR(1/J97*(X97/H97),"0")</f>
        <v>1.0073260073260073</v>
      </c>
      <c r="BP97" s="78">
        <f>IFERROR(1/J97*(Y97/H97),"0")</f>
        <v>1.0109890109890112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208.02469135802468</v>
      </c>
      <c r="Y99" s="43">
        <f>IFERROR(Y95/H95,"0")+IFERROR(Y96/H96,"0")+IFERROR(Y97/H97,"0")+IFERROR(Y98/H98,"0")</f>
        <v>209</v>
      </c>
      <c r="Z99" s="43">
        <f>IFERROR(IF(Z95="",0,Z95),"0")+IFERROR(IF(Z96="",0,Z96),"0")+IFERROR(IF(Z97="",0,Z97),"0")+IFERROR(IF(Z98="",0,Z98),"0")</f>
        <v>1.6723400000000002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695</v>
      </c>
      <c r="Y100" s="43">
        <f>IFERROR(SUM(Y95:Y98),"0")</f>
        <v>699.3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405</v>
      </c>
      <c r="Y107" s="55">
        <f t="shared" si="5"/>
        <v>405</v>
      </c>
      <c r="Z107" s="41">
        <f>IFERROR(IF(Y107=0,"",ROUNDUP(Y107/H107,0)*0.00902),"")</f>
        <v>0.81180000000000008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422.1</v>
      </c>
      <c r="BN107" s="78">
        <f t="shared" si="7"/>
        <v>422.1</v>
      </c>
      <c r="BO107" s="78">
        <f t="shared" si="8"/>
        <v>0.68181818181818188</v>
      </c>
      <c r="BP107" s="78">
        <f t="shared" si="9"/>
        <v>0.68181818181818188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92.777777777777771</v>
      </c>
      <c r="Y109" s="43">
        <f>IFERROR(Y103/H103,"0")+IFERROR(Y104/H104,"0")+IFERROR(Y105/H105,"0")+IFERROR(Y106/H106,"0")+IFERROR(Y107/H107,"0")+IFERROR(Y108/H108,"0")</f>
        <v>93</v>
      </c>
      <c r="Z109" s="43">
        <f>IFERROR(IF(Z103="",0,Z103),"0")+IFERROR(IF(Z104="",0,Z104),"0")+IFERROR(IF(Z105="",0,Z105),"0")+IFERROR(IF(Z106="",0,Z106),"0")+IFERROR(IF(Z107="",0,Z107),"0")+IFERROR(IF(Z108="",0,Z108),"0")</f>
        <v>0.86874000000000007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435</v>
      </c>
      <c r="Y110" s="43">
        <f>IFERROR(SUM(Y103:Y108),"0")</f>
        <v>437.4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453.59999999999997</v>
      </c>
      <c r="Z122" s="41">
        <f>IFERROR(IF(Y122=0,"",ROUNDUP(Y122/H122,0)*0.01898),"")</f>
        <v>1.06288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477.11111111111109</v>
      </c>
      <c r="BN122" s="78">
        <f>IFERROR(Y122*I122/H122,"0")</f>
        <v>480.92799999999994</v>
      </c>
      <c r="BO122" s="78">
        <f>IFERROR(1/J122*(X122/H122),"0")</f>
        <v>0.86805555555555558</v>
      </c>
      <c r="BP122" s="78">
        <f>IFERROR(1/J122*(Y122/H122),"0")</f>
        <v>0.875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495</v>
      </c>
      <c r="Y124" s="55">
        <f>IFERROR(IF(X124="",0,CEILING((X124/$H124),1)*$H124),"")</f>
        <v>496.8</v>
      </c>
      <c r="Z124" s="41">
        <f>IFERROR(IF(Y124=0,"",ROUNDUP(Y124/H124,0)*0.00651),"")</f>
        <v>1.19784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541.19999999999993</v>
      </c>
      <c r="BN124" s="78">
        <f>IFERROR(Y124*I124/H124,"0")</f>
        <v>543.16800000000001</v>
      </c>
      <c r="BO124" s="78">
        <f>IFERROR(1/J124*(X124/H124),"0")</f>
        <v>1.0073260073260073</v>
      </c>
      <c r="BP124" s="78">
        <f>IFERROR(1/J124*(Y124/H124),"0")</f>
        <v>1.0109890109890112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30</v>
      </c>
      <c r="Y125" s="55">
        <f>IFERROR(IF(X125="",0,CEILING((X125/$H125),1)*$H125),"")</f>
        <v>30.6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33</v>
      </c>
      <c r="BN125" s="78">
        <f>IFERROR(Y125*I125/H125,"0")</f>
        <v>33.659999999999997</v>
      </c>
      <c r="BO125" s="78">
        <f>IFERROR(1/J125*(X125/H125),"0")</f>
        <v>9.1575091575091583E-2</v>
      </c>
      <c r="BP125" s="78">
        <f>IFERROR(1/J125*(Y125/H125),"0")</f>
        <v>9.3406593406593408E-2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255.55555555555551</v>
      </c>
      <c r="Y126" s="43">
        <f>IFERROR(Y122/H122,"0")+IFERROR(Y123/H123,"0")+IFERROR(Y124/H124,"0")+IFERROR(Y125/H125,"0")</f>
        <v>257</v>
      </c>
      <c r="Z126" s="43">
        <f>IFERROR(IF(Z122="",0,Z122),"0")+IFERROR(IF(Z123="",0,Z123),"0")+IFERROR(IF(Z124="",0,Z124),"0")+IFERROR(IF(Z125="",0,Z125),"0")</f>
        <v>2.3713899999999999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975</v>
      </c>
      <c r="Y127" s="43">
        <f>IFERROR(SUM(Y122:Y125),"0")</f>
        <v>981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6</v>
      </c>
      <c r="Y163" s="55">
        <f>IFERROR(IF(X163="",0,CEILING((X163/$H163),1)*$H163),"")</f>
        <v>6.4799999999999995</v>
      </c>
      <c r="Z163" s="41">
        <f>IFERROR(IF(Y163=0,"",ROUNDUP(Y163/H163,0)*0.00556),"")</f>
        <v>5.0040000000000001E-2</v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7.083333333333333</v>
      </c>
      <c r="BN163" s="78">
        <f>IFERROR(Y163*I163/H163,"0")</f>
        <v>7.6499999999999995</v>
      </c>
      <c r="BO163" s="78">
        <f>IFERROR(1/J163*(X163/H163),"0")</f>
        <v>3.3068783068783067E-2</v>
      </c>
      <c r="BP163" s="78">
        <f>IFERROR(1/J163*(Y163/H163),"0")</f>
        <v>3.5714285714285712E-2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8.3333333333333339</v>
      </c>
      <c r="Y164" s="43">
        <f>IFERROR(Y163/H163,"0")</f>
        <v>9</v>
      </c>
      <c r="Z164" s="43">
        <f>IFERROR(IF(Z163="",0,Z163),"0")</f>
        <v>5.0040000000000001E-2</v>
      </c>
      <c r="AA164" s="67"/>
      <c r="AB164" s="67"/>
      <c r="AC164" s="67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6</v>
      </c>
      <c r="Y165" s="43">
        <f>IFERROR(SUM(Y163:Y163),"0")</f>
        <v>6.4799999999999995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140</v>
      </c>
      <c r="Y167" s="55">
        <f t="shared" ref="Y167:Y177" si="15">IFERROR(IF(X167="",0,CEILING((X167/$H167),1)*$H167),"")</f>
        <v>140</v>
      </c>
      <c r="Z167" s="41">
        <f>IFERROR(IF(Y167=0,"",ROUNDUP(Y167/H167,0)*0.00902),"")</f>
        <v>0.36080000000000001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147.6</v>
      </c>
      <c r="BN167" s="78">
        <f t="shared" ref="BN167:BN177" si="17">IFERROR(Y167*I167/H167,"0")</f>
        <v>147.6</v>
      </c>
      <c r="BO167" s="78">
        <f t="shared" ref="BO167:BO177" si="18">IFERROR(1/J167*(X167/H167),"0")</f>
        <v>0.30303030303030304</v>
      </c>
      <c r="BP167" s="78">
        <f t="shared" ref="BP167:BP177" si="19">IFERROR(1/J167*(Y167/H167),"0")</f>
        <v>0.30303030303030304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180</v>
      </c>
      <c r="Y169" s="55">
        <f t="shared" si="15"/>
        <v>182</v>
      </c>
      <c r="Z169" s="41">
        <f>IFERROR(IF(Y169=0,"",ROUNDUP(Y169/H169,0)*0.00902),"")</f>
        <v>0.46904000000000001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189.77142857142857</v>
      </c>
      <c r="BN169" s="78">
        <f t="shared" si="17"/>
        <v>191.88000000000002</v>
      </c>
      <c r="BO169" s="78">
        <f t="shared" si="18"/>
        <v>0.38961038961038963</v>
      </c>
      <c r="BP169" s="78">
        <f t="shared" si="19"/>
        <v>0.39393939393939392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150</v>
      </c>
      <c r="Y170" s="55">
        <f t="shared" si="15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158.14285714285714</v>
      </c>
      <c r="BN170" s="78">
        <f t="shared" si="17"/>
        <v>158.67000000000002</v>
      </c>
      <c r="BO170" s="78">
        <f t="shared" si="18"/>
        <v>0.32467532467532467</v>
      </c>
      <c r="BP170" s="78">
        <f t="shared" si="19"/>
        <v>0.32575757575757575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4.5</v>
      </c>
      <c r="Y171" s="55">
        <f t="shared" si="15"/>
        <v>4.5</v>
      </c>
      <c r="Z171" s="41">
        <f>IFERROR(IF(Y171=0,"",ROUNDUP(Y171/H171,0)*0.00417),"")</f>
        <v>2.085E-2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5.55</v>
      </c>
      <c r="BN171" s="78">
        <f t="shared" si="17"/>
        <v>5.55</v>
      </c>
      <c r="BO171" s="78">
        <f t="shared" si="18"/>
        <v>1.488095238095238E-2</v>
      </c>
      <c r="BP171" s="78">
        <f t="shared" si="19"/>
        <v>1.488095238095238E-2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70</v>
      </c>
      <c r="Y172" s="55">
        <f t="shared" si="15"/>
        <v>70.56</v>
      </c>
      <c r="Z172" s="41">
        <f>IFERROR(IF(Y172=0,"",ROUNDUP(Y172/H172,0)*0.00502),"")</f>
        <v>0.21084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74.166666666666671</v>
      </c>
      <c r="BN172" s="78">
        <f t="shared" si="17"/>
        <v>74.760000000000005</v>
      </c>
      <c r="BO172" s="78">
        <f t="shared" si="18"/>
        <v>0.17806267806267811</v>
      </c>
      <c r="BP172" s="78">
        <f t="shared" si="19"/>
        <v>0.17948717948717952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1.7999999999999998</v>
      </c>
      <c r="Y173" s="55">
        <f t="shared" si="15"/>
        <v>1.8</v>
      </c>
      <c r="Z173" s="41">
        <f>IFERROR(IF(Y173=0,"",ROUNDUP(Y173/H173,0)*0.00417),"")</f>
        <v>8.3400000000000002E-3</v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2.2199999999999998</v>
      </c>
      <c r="BN173" s="78">
        <f t="shared" si="17"/>
        <v>2.2200000000000002</v>
      </c>
      <c r="BO173" s="78">
        <f t="shared" si="18"/>
        <v>5.9523809523809512E-3</v>
      </c>
      <c r="BP173" s="78">
        <f t="shared" si="19"/>
        <v>5.9523809523809521E-3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50.400000000000006</v>
      </c>
      <c r="Y175" s="55">
        <f t="shared" si="15"/>
        <v>50.4</v>
      </c>
      <c r="Z175" s="41">
        <f>IFERROR(IF(Y175=0,"",ROUNDUP(Y175/H175,0)*0.00502),"")</f>
        <v>0.15060000000000001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53.400000000000013</v>
      </c>
      <c r="BN175" s="78">
        <f t="shared" si="17"/>
        <v>53.400000000000006</v>
      </c>
      <c r="BO175" s="78">
        <f t="shared" si="18"/>
        <v>0.12820512820512822</v>
      </c>
      <c r="BP175" s="78">
        <f t="shared" si="19"/>
        <v>0.12820512820512822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44.800000000000004</v>
      </c>
      <c r="Y177" s="55">
        <f t="shared" si="15"/>
        <v>45.36</v>
      </c>
      <c r="Z177" s="41">
        <f>IFERROR(IF(Y177=0,"",ROUNDUP(Y177/H177,0)*0.00502),"")</f>
        <v>0.13553999999999999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47.466666666666676</v>
      </c>
      <c r="BN177" s="78">
        <f t="shared" si="17"/>
        <v>48.060000000000009</v>
      </c>
      <c r="BO177" s="78">
        <f t="shared" si="18"/>
        <v>0.11396011396011399</v>
      </c>
      <c r="BP177" s="78">
        <f t="shared" si="19"/>
        <v>0.11538461538461539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239.61904761904765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241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1.74387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641.49999999999989</v>
      </c>
      <c r="Y179" s="43">
        <f>IFERROR(SUM(Y167:Y177),"0")</f>
        <v>645.11999999999989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30</v>
      </c>
      <c r="Y213" s="55">
        <f t="shared" ref="Y213:Y226" si="26">IFERROR(IF(X213="",0,CEILING((X213/$H213),1)*$H213),"")</f>
        <v>33.6</v>
      </c>
      <c r="Z213" s="41">
        <f>IFERROR(IF(Y213=0,"",ROUNDUP(Y213/H213,0)*0.00902),"")</f>
        <v>7.2160000000000002E-2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31.785714285714285</v>
      </c>
      <c r="BN213" s="78">
        <f t="shared" ref="BN213:BN226" si="28">IFERROR(Y213*I213/H213,"0")</f>
        <v>35.6</v>
      </c>
      <c r="BO213" s="78">
        <f t="shared" ref="BO213:BO226" si="29">IFERROR(1/J213*(X213/H213),"0")</f>
        <v>5.4112554112554112E-2</v>
      </c>
      <c r="BP213" s="78">
        <f t="shared" ref="BP213:BP226" si="30">IFERROR(1/J213*(Y213/H213),"0")</f>
        <v>6.0606060606060608E-2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40</v>
      </c>
      <c r="Y215" s="55">
        <f t="shared" si="26"/>
        <v>42</v>
      </c>
      <c r="Z215" s="41">
        <f>IFERROR(IF(Y215=0,"",ROUNDUP(Y215/H215,0)*0.00902),"")</f>
        <v>9.0200000000000002E-2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41.809523809523803</v>
      </c>
      <c r="BN215" s="78">
        <f t="shared" si="28"/>
        <v>43.9</v>
      </c>
      <c r="BO215" s="78">
        <f t="shared" si="29"/>
        <v>7.2150072150072145E-2</v>
      </c>
      <c r="BP215" s="78">
        <f t="shared" si="30"/>
        <v>7.575757575757576E-2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4.8</v>
      </c>
      <c r="Y216" s="55">
        <f t="shared" si="26"/>
        <v>4.8000000000000007</v>
      </c>
      <c r="Z216" s="41">
        <f>IFERROR(IF(Y216=0,"",ROUNDUP(Y216/H216,0)*0.00556),"")</f>
        <v>3.3360000000000001E-2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5.58</v>
      </c>
      <c r="BN216" s="78">
        <f t="shared" si="28"/>
        <v>5.580000000000001</v>
      </c>
      <c r="BO216" s="78">
        <f t="shared" si="29"/>
        <v>2.3809523809523805E-2</v>
      </c>
      <c r="BP216" s="78">
        <f t="shared" si="30"/>
        <v>2.3809523809523812E-2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70</v>
      </c>
      <c r="Y217" s="55">
        <f t="shared" si="26"/>
        <v>71.400000000000006</v>
      </c>
      <c r="Z217" s="41">
        <f t="shared" ref="Z217:Z222" si="31">IFERROR(IF(Y217=0,"",ROUNDUP(Y217/H217,0)*0.00502),"")</f>
        <v>0.17068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74.333333333333329</v>
      </c>
      <c r="BN217" s="78">
        <f t="shared" si="28"/>
        <v>75.820000000000007</v>
      </c>
      <c r="BO217" s="78">
        <f t="shared" si="29"/>
        <v>0.14245014245014245</v>
      </c>
      <c r="BP217" s="78">
        <f t="shared" si="30"/>
        <v>0.14529914529914531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105</v>
      </c>
      <c r="Y219" s="55">
        <f t="shared" si="26"/>
        <v>105</v>
      </c>
      <c r="Z219" s="41">
        <f t="shared" si="31"/>
        <v>0.251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111.5</v>
      </c>
      <c r="BN219" s="78">
        <f t="shared" si="28"/>
        <v>111.5</v>
      </c>
      <c r="BO219" s="78">
        <f t="shared" si="29"/>
        <v>0.21367521367521369</v>
      </c>
      <c r="BP219" s="78">
        <f t="shared" si="30"/>
        <v>0.21367521367521369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6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5.05</v>
      </c>
      <c r="BN223" s="78">
        <f t="shared" si="28"/>
        <v>5.05</v>
      </c>
      <c r="BO223" s="78">
        <f t="shared" si="29"/>
        <v>1.488095238095238E-2</v>
      </c>
      <c r="BP223" s="78">
        <f t="shared" si="30"/>
        <v>1.488095238095238E-2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105</v>
      </c>
      <c r="Y224" s="55">
        <f t="shared" si="26"/>
        <v>105</v>
      </c>
      <c r="Z224" s="41">
        <f>IFERROR(IF(Y224=0,"",ROUNDUP(Y224/H224,0)*0.00502),"")</f>
        <v>0.251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110.00000000000001</v>
      </c>
      <c r="BN224" s="78">
        <f t="shared" si="28"/>
        <v>110.00000000000001</v>
      </c>
      <c r="BO224" s="78">
        <f t="shared" si="29"/>
        <v>0.21367521367521369</v>
      </c>
      <c r="BP224" s="78">
        <f t="shared" si="30"/>
        <v>0.21367521367521369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161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163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0.88924999999999998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358.8</v>
      </c>
      <c r="Y228" s="43">
        <f>IFERROR(SUM(Y213:Y226),"0")</f>
        <v>365.8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9.1000000000000014</v>
      </c>
      <c r="Y239" s="55">
        <f>IFERROR(IF(X239="",0,CEILING((X239/$H239),1)*$H239),"")</f>
        <v>10.08</v>
      </c>
      <c r="Z239" s="41">
        <f>IFERROR(IF(Y239=0,"",ROUNDUP(Y239/H239,0)*0.0059),"")</f>
        <v>4.7199999999999999E-2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10.472222222222223</v>
      </c>
      <c r="BN239" s="78">
        <f>IFERROR(Y239*I239/H239,"0")</f>
        <v>11.6</v>
      </c>
      <c r="BO239" s="78">
        <f>IFERROR(1/J239*(X239/H239),"0")</f>
        <v>3.3436213991769548E-2</v>
      </c>
      <c r="BP239" s="78">
        <f>IFERROR(1/J239*(Y239/H239),"0")</f>
        <v>3.7037037037037035E-2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12.777777777777779</v>
      </c>
      <c r="Y241" s="43">
        <f>IFERROR(Y238/H238,"0")+IFERROR(Y239/H239,"0")+IFERROR(Y240/H240,"0")</f>
        <v>14</v>
      </c>
      <c r="Z241" s="43">
        <f>IFERROR(IF(Z238="",0,Z238),"0")+IFERROR(IF(Z239="",0,Z239),"0")+IFERROR(IF(Z240="",0,Z240),"0")</f>
        <v>8.2600000000000007E-2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16.100000000000001</v>
      </c>
      <c r="Y242" s="43">
        <f>IFERROR(SUM(Y238:Y240),"0")</f>
        <v>17.64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5.6000000000000005</v>
      </c>
      <c r="Y244" s="55">
        <f>IFERROR(IF(X244="",0,CEILING((X244/$H244),1)*$H244),"")</f>
        <v>6.3</v>
      </c>
      <c r="Z244" s="41">
        <f>IFERROR(IF(Y244=0,"",ROUNDUP(Y244/H244,0)*0.0059),"")</f>
        <v>2.9499999999999998E-2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6.4444444444444455</v>
      </c>
      <c r="BN244" s="78">
        <f>IFERROR(Y244*I244/H244,"0")</f>
        <v>7.25</v>
      </c>
      <c r="BO244" s="78">
        <f>IFERROR(1/J244*(X244/H244),"0")</f>
        <v>2.0576131687242798E-2</v>
      </c>
      <c r="BP244" s="78">
        <f>IFERROR(1/J244*(Y244/H244),"0")</f>
        <v>2.3148148148148147E-2</v>
      </c>
    </row>
    <row r="245" spans="1:68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4.4444444444444446</v>
      </c>
      <c r="Y245" s="43">
        <f>IFERROR(Y244/H244,"0")</f>
        <v>5</v>
      </c>
      <c r="Z245" s="43">
        <f>IFERROR(IF(Z244="",0,Z244),"0")</f>
        <v>2.9499999999999998E-2</v>
      </c>
      <c r="AA245" s="67"/>
      <c r="AB245" s="67"/>
      <c r="AC245" s="67"/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5.6000000000000005</v>
      </c>
      <c r="Y246" s="43">
        <f>IFERROR(SUM(Y244:Y244),"0")</f>
        <v>6.3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2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207.03703703703701</v>
      </c>
      <c r="BN259" s="78">
        <f t="shared" ref="BN259:BN266" si="34">IFERROR(Y259*I259/H259,"0")</f>
        <v>212.42</v>
      </c>
      <c r="BO259" s="78">
        <f t="shared" ref="BO259:BO266" si="35">IFERROR(1/J259*(X259/H259),"0")</f>
        <v>0.28058361391694725</v>
      </c>
      <c r="BP259" s="78">
        <f t="shared" ref="BP259:BP266" si="36">IFERROR(1/J259*(Y259/H259),"0")</f>
        <v>0.2878787878787879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40</v>
      </c>
      <c r="Y260" s="55">
        <f t="shared" si="32"/>
        <v>43.2</v>
      </c>
      <c r="Z260" s="41">
        <f>IFERROR(IF(Y260=0,"",ROUNDUP(Y260/H260,0)*0.00902),"")</f>
        <v>7.2160000000000002E-2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41.407407407407405</v>
      </c>
      <c r="BN260" s="78">
        <f t="shared" si="34"/>
        <v>44.72</v>
      </c>
      <c r="BO260" s="78">
        <f t="shared" si="35"/>
        <v>5.6116722783389444E-2</v>
      </c>
      <c r="BP260" s="78">
        <f t="shared" si="36"/>
        <v>6.0606060606060608E-2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90</v>
      </c>
      <c r="Y261" s="55">
        <f t="shared" si="32"/>
        <v>91.800000000000011</v>
      </c>
      <c r="Z261" s="41">
        <f>IFERROR(IF(Y261=0,"",ROUNDUP(Y261/H261,0)*0.00902),"")</f>
        <v>0.15334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93.166666666666657</v>
      </c>
      <c r="BN261" s="78">
        <f t="shared" si="34"/>
        <v>95.03</v>
      </c>
      <c r="BO261" s="78">
        <f t="shared" si="35"/>
        <v>0.12626262626262624</v>
      </c>
      <c r="BP261" s="78">
        <f t="shared" si="36"/>
        <v>0.12878787878787878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2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96.499999999999986</v>
      </c>
      <c r="BN263" s="78">
        <f t="shared" si="34"/>
        <v>96.499999999999986</v>
      </c>
      <c r="BO263" s="78">
        <f t="shared" si="35"/>
        <v>0.21367521367521369</v>
      </c>
      <c r="BP263" s="78">
        <f t="shared" si="36"/>
        <v>0.21367521367521369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45</v>
      </c>
      <c r="Y264" s="55">
        <f t="shared" si="32"/>
        <v>45</v>
      </c>
      <c r="Z264" s="41">
        <f>IFERROR(IF(Y264=0,"",ROUNDUP(Y264/H264,0)*0.00502),"")</f>
        <v>0.1255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47.5</v>
      </c>
      <c r="BN264" s="78">
        <f t="shared" si="34"/>
        <v>47.5</v>
      </c>
      <c r="BO264" s="78">
        <f t="shared" si="35"/>
        <v>0.10683760683760685</v>
      </c>
      <c r="BP264" s="78">
        <f t="shared" si="36"/>
        <v>0.10683760683760685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66</v>
      </c>
      <c r="Y265" s="55">
        <f t="shared" si="32"/>
        <v>66.600000000000009</v>
      </c>
      <c r="Z265" s="41">
        <f>IFERROR(IF(Y265=0,"",ROUNDUP(Y265/H265,0)*0.00502),"")</f>
        <v>0.18574000000000002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69.666666666666657</v>
      </c>
      <c r="BN265" s="78">
        <f t="shared" si="34"/>
        <v>70.3</v>
      </c>
      <c r="BO265" s="78">
        <f t="shared" si="35"/>
        <v>0.15669515669515671</v>
      </c>
      <c r="BP265" s="78">
        <f t="shared" si="36"/>
        <v>0.15811965811965817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36</v>
      </c>
      <c r="Y266" s="55">
        <f t="shared" si="32"/>
        <v>36</v>
      </c>
      <c r="Z266" s="41">
        <f>IFERROR(IF(Y266=0,"",ROUNDUP(Y266/H266,0)*0.00502),"")</f>
        <v>0.1004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37.999999999999993</v>
      </c>
      <c r="BN266" s="78">
        <f t="shared" si="34"/>
        <v>37.999999999999993</v>
      </c>
      <c r="BO266" s="78">
        <f t="shared" si="35"/>
        <v>8.5470085470085472E-2</v>
      </c>
      <c r="BP266" s="78">
        <f t="shared" si="36"/>
        <v>8.5470085470085472E-2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192.77777777777777</v>
      </c>
      <c r="Y267" s="43">
        <f>IFERROR(Y259/H259,"0")+IFERROR(Y260/H260,"0")+IFERROR(Y261/H261,"0")+IFERROR(Y262/H262,"0")+IFERROR(Y263/H263,"0")+IFERROR(Y264/H264,"0")+IFERROR(Y265/H265,"0")+IFERROR(Y266/H266,"0")</f>
        <v>195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1.2309000000000001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567</v>
      </c>
      <c r="Y268" s="43">
        <f>IFERROR(SUM(Y259:Y266),"0")</f>
        <v>577.80000000000007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250</v>
      </c>
      <c r="Y272" s="55">
        <f t="shared" si="37"/>
        <v>252.29999999999998</v>
      </c>
      <c r="Z272" s="41">
        <f>IFERROR(IF(Y272=0,"",ROUNDUP(Y272/H272,0)*0.01898),"")</f>
        <v>0.55042000000000002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264.19540229885058</v>
      </c>
      <c r="BN272" s="78">
        <f t="shared" si="39"/>
        <v>266.62600000000003</v>
      </c>
      <c r="BO272" s="78">
        <f t="shared" si="40"/>
        <v>0.44899425287356326</v>
      </c>
      <c r="BP272" s="78">
        <f t="shared" si="41"/>
        <v>0.453125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360</v>
      </c>
      <c r="Y273" s="55">
        <f t="shared" si="37"/>
        <v>360</v>
      </c>
      <c r="Z273" s="41">
        <f>IFERROR(IF(Y273=0,"",ROUNDUP(Y273/H273,0)*0.00651),"")</f>
        <v>0.97650000000000003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400.5</v>
      </c>
      <c r="BN273" s="78">
        <f t="shared" si="39"/>
        <v>400.5</v>
      </c>
      <c r="BO273" s="78">
        <f t="shared" si="40"/>
        <v>0.82417582417582425</v>
      </c>
      <c r="BP273" s="78">
        <f t="shared" si="41"/>
        <v>0.82417582417582425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320</v>
      </c>
      <c r="Y276" s="55">
        <f t="shared" si="37"/>
        <v>321.59999999999997</v>
      </c>
      <c r="Z276" s="41">
        <f>IFERROR(IF(Y276=0,"",ROUNDUP(Y276/H276,0)*0.00651),"")</f>
        <v>0.87234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353.60000000000008</v>
      </c>
      <c r="BN276" s="78">
        <f t="shared" si="39"/>
        <v>355.36799999999999</v>
      </c>
      <c r="BO276" s="78">
        <f t="shared" si="40"/>
        <v>0.73260073260073266</v>
      </c>
      <c r="BP276" s="78">
        <f t="shared" si="41"/>
        <v>0.73626373626373631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320</v>
      </c>
      <c r="Y280" s="55">
        <f t="shared" si="37"/>
        <v>321.59999999999997</v>
      </c>
      <c r="Z280" s="41">
        <f>IFERROR(IF(Y280=0,"",ROUNDUP(Y280/H280,0)*0.00651),"")</f>
        <v>0.87234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354.4</v>
      </c>
      <c r="BN280" s="78">
        <f t="shared" si="39"/>
        <v>356.17199999999997</v>
      </c>
      <c r="BO280" s="78">
        <f t="shared" si="40"/>
        <v>0.73260073260073266</v>
      </c>
      <c r="BP280" s="78">
        <f t="shared" si="41"/>
        <v>0.73626373626373631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470.40229885057477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3.4343499999999998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1310</v>
      </c>
      <c r="Y283" s="43">
        <f>IFERROR(SUM(Y270:Y281),"0")</f>
        <v>1315.4999999999998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100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110.5</v>
      </c>
      <c r="BN286" s="78">
        <f>IFERROR(Y286*I286/H286,"0")</f>
        <v>111.384</v>
      </c>
      <c r="BO286" s="78">
        <f>IFERROR(1/J286*(X286/H286),"0")</f>
        <v>0.22893772893772898</v>
      </c>
      <c r="BP286" s="78">
        <f>IFERROR(1/J286*(Y286/H286),"0")</f>
        <v>0.23076923076923078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50.000000000000007</v>
      </c>
      <c r="Y287" s="43">
        <f>IFERROR(Y285/H285,"0")+IFERROR(Y286/H286,"0")</f>
        <v>51</v>
      </c>
      <c r="Z287" s="43">
        <f>IFERROR(IF(Z285="",0,Z285),"0")+IFERROR(IF(Z286="",0,Z286),"0")</f>
        <v>0.33201000000000003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120</v>
      </c>
      <c r="Y288" s="43">
        <f>IFERROR(SUM(Y285:Y286),"0")</f>
        <v>122.39999999999999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10</v>
      </c>
      <c r="Y291" s="55">
        <f t="shared" ref="Y291:Y297" si="42">IFERROR(IF(X291="",0,CEILING((X291/$H291),1)*$H291),"")</f>
        <v>11.6</v>
      </c>
      <c r="Z291" s="41">
        <f>IFERROR(IF(Y291=0,"",ROUNDUP(Y291/H291,0)*0.01898),"")</f>
        <v>1.898E-2</v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10.353448275862069</v>
      </c>
      <c r="BN291" s="78">
        <f t="shared" ref="BN291:BN297" si="44">IFERROR(Y291*I291/H291,"0")</f>
        <v>12.01</v>
      </c>
      <c r="BO291" s="78">
        <f t="shared" ref="BO291:BO297" si="45">IFERROR(1/J291*(X291/H291),"0")</f>
        <v>1.3469827586206897E-2</v>
      </c>
      <c r="BP291" s="78">
        <f t="shared" ref="BP291:BP297" si="46">IFERROR(1/J291*(Y291/H291),"0")</f>
        <v>1.5625E-2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40</v>
      </c>
      <c r="Y293" s="55">
        <f t="shared" si="42"/>
        <v>46.4</v>
      </c>
      <c r="Z293" s="41">
        <f>IFERROR(IF(Y293=0,"",ROUNDUP(Y293/H293,0)*0.01898),"")</f>
        <v>7.5920000000000001E-2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41.413793103448278</v>
      </c>
      <c r="BN293" s="78">
        <f t="shared" si="44"/>
        <v>48.04</v>
      </c>
      <c r="BO293" s="78">
        <f t="shared" si="45"/>
        <v>5.387931034482759E-2</v>
      </c>
      <c r="BP293" s="78">
        <f t="shared" si="46"/>
        <v>6.25E-2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2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20.950000000000003</v>
      </c>
      <c r="BN294" s="78">
        <f t="shared" si="44"/>
        <v>20.950000000000003</v>
      </c>
      <c r="BO294" s="78">
        <f t="shared" si="45"/>
        <v>3.787878787878788E-2</v>
      </c>
      <c r="BP294" s="78">
        <f t="shared" si="46"/>
        <v>3.787878787878788E-2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60</v>
      </c>
      <c r="Y297" s="55">
        <f t="shared" si="42"/>
        <v>60</v>
      </c>
      <c r="Z297" s="41">
        <f>IFERROR(IF(Y297=0,"",ROUNDUP(Y297/H297,0)*0.00902),"")</f>
        <v>0.1353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62.850000000000009</v>
      </c>
      <c r="BN297" s="78">
        <f t="shared" si="44"/>
        <v>62.850000000000009</v>
      </c>
      <c r="BO297" s="78">
        <f t="shared" si="45"/>
        <v>0.11363636363636365</v>
      </c>
      <c r="BP297" s="78">
        <f t="shared" si="46"/>
        <v>0.11363636363636365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24.310344827586206</v>
      </c>
      <c r="Y298" s="43">
        <f>IFERROR(Y291/H291,"0")+IFERROR(Y292/H292,"0")+IFERROR(Y293/H293,"0")+IFERROR(Y294/H294,"0")+IFERROR(Y295/H295,"0")+IFERROR(Y296/H296,"0")+IFERROR(Y297/H297,"0")</f>
        <v>25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0.27529999999999999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130</v>
      </c>
      <c r="Y299" s="43">
        <f>IFERROR(SUM(Y291:Y297),"0")</f>
        <v>138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0.87234000000000012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160</v>
      </c>
      <c r="Y346" s="55">
        <f>IFERROR(IF(X346="",0,CEILING((X346/$H346),1)*$H346),"")</f>
        <v>163.79999999999998</v>
      </c>
      <c r="Z346" s="41">
        <f>IFERROR(IF(Y346=0,"",ROUNDUP(Y346/H346,0)*0.01898),"")</f>
        <v>0.39857999999999999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168.41025641025644</v>
      </c>
      <c r="BN346" s="78">
        <f>IFERROR(Y346*I346/H346,"0")</f>
        <v>172.41</v>
      </c>
      <c r="BO346" s="78">
        <f>IFERROR(1/J346*(X346/H346),"0")</f>
        <v>0.32051282051282054</v>
      </c>
      <c r="BP346" s="78">
        <f>IFERROR(1/J346*(Y346/H346),"0")</f>
        <v>0.328125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70</v>
      </c>
      <c r="Y348" s="55">
        <f>IFERROR(IF(X348="",0,CEILING((X348/$H348),1)*$H348),"")</f>
        <v>70.2</v>
      </c>
      <c r="Z348" s="41">
        <f>IFERROR(IF(Y348=0,"",ROUNDUP(Y348/H348,0)*0.01898),"")</f>
        <v>0.17082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73.679487179487182</v>
      </c>
      <c r="BN348" s="78">
        <f>IFERROR(Y348*I348/H348,"0")</f>
        <v>73.890000000000015</v>
      </c>
      <c r="BO348" s="78">
        <f>IFERROR(1/J348*(X348/H348),"0")</f>
        <v>0.14022435897435898</v>
      </c>
      <c r="BP348" s="78">
        <f>IFERROR(1/J348*(Y348/H348),"0")</f>
        <v>0.140625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55.128205128205138</v>
      </c>
      <c r="Y349" s="43">
        <f>IFERROR(Y346/H346,"0")+IFERROR(Y347/H347,"0")+IFERROR(Y348/H348,"0")</f>
        <v>56</v>
      </c>
      <c r="Z349" s="43">
        <f>IFERROR(IF(Z346="",0,Z346),"0")+IFERROR(IF(Z347="",0,Z347),"0")+IFERROR(IF(Z348="",0,Z348),"0")</f>
        <v>1.06288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430</v>
      </c>
      <c r="Y350" s="43">
        <f>IFERROR(SUM(Y346:Y348),"0")</f>
        <v>436.79999999999995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40</v>
      </c>
      <c r="Y353" s="55">
        <f t="shared" ref="Y353:Y358" si="47">IFERROR(IF(X353="",0,CEILING((X353/$H353),1)*$H353),"")</f>
        <v>43.2</v>
      </c>
      <c r="Z353" s="41">
        <f>IFERROR(IF(Y353=0,"",ROUNDUP(Y353/H353,0)*0.01898),"")</f>
        <v>7.5920000000000001E-2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41.518518518518519</v>
      </c>
      <c r="BN353" s="78">
        <f t="shared" ref="BN353:BN358" si="49">IFERROR(Y353*I353/H353,"0")</f>
        <v>44.84</v>
      </c>
      <c r="BO353" s="78">
        <f t="shared" ref="BO353:BO358" si="50">IFERROR(1/J353*(X353/H353),"0")</f>
        <v>5.7870370370370364E-2</v>
      </c>
      <c r="BP353" s="78">
        <f t="shared" ref="BP353:BP358" si="51">IFERROR(1/J353*(Y353/H353),"0")</f>
        <v>6.25E-2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3.7037037037037033</v>
      </c>
      <c r="Y359" s="43">
        <f>IFERROR(Y353/H353,"0")+IFERROR(Y354/H354,"0")+IFERROR(Y355/H355,"0")+IFERROR(Y356/H356,"0")+IFERROR(Y357/H357,"0")+IFERROR(Y358/H358,"0")</f>
        <v>4</v>
      </c>
      <c r="Z359" s="43">
        <f>IFERROR(IF(Z353="",0,Z353),"0")+IFERROR(IF(Z354="",0,Z354),"0")+IFERROR(IF(Z355="",0,Z355),"0")+IFERROR(IF(Z356="",0,Z356),"0")+IFERROR(IF(Z357="",0,Z357),"0")+IFERROR(IF(Z358="",0,Z358),"0")</f>
        <v>7.5920000000000001E-2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40</v>
      </c>
      <c r="Y360" s="43">
        <f>IFERROR(SUM(Y353:Y358),"0")</f>
        <v>43.2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52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146.66666666666666</v>
      </c>
      <c r="BN366" s="78">
        <f t="shared" si="54"/>
        <v>147.40000000000003</v>
      </c>
      <c r="BO366" s="78">
        <f t="shared" si="55"/>
        <v>0.28490028490028491</v>
      </c>
      <c r="BP366" s="78">
        <f t="shared" si="56"/>
        <v>0.28632478632478636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66.666666666666657</v>
      </c>
      <c r="Y369" s="43">
        <f>IFERROR(Y362/H362,"0")+IFERROR(Y363/H363,"0")+IFERROR(Y364/H364,"0")+IFERROR(Y365/H365,"0")+IFERROR(Y366/H366,"0")+IFERROR(Y367/H367,"0")+IFERROR(Y368/H368,"0")</f>
        <v>67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0.33634000000000003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140</v>
      </c>
      <c r="Y370" s="43">
        <f>IFERROR(SUM(Y362:Y368),"0")</f>
        <v>140.70000000000002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350</v>
      </c>
      <c r="Y380" s="55">
        <f>IFERROR(IF(X380="",0,CEILING((X380/$H380),1)*$H380),"")</f>
        <v>351</v>
      </c>
      <c r="Z380" s="41">
        <f>IFERROR(IF(Y380=0,"",ROUNDUP(Y380/H380,0)*0.01898),"")</f>
        <v>0.85409999999999997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372.16666666666669</v>
      </c>
      <c r="BN380" s="78">
        <f>IFERROR(Y380*I380/H380,"0")</f>
        <v>373.23</v>
      </c>
      <c r="BO380" s="78">
        <f>IFERROR(1/J380*(X380/H380),"0")</f>
        <v>0.70112179487179493</v>
      </c>
      <c r="BP380" s="78">
        <f>IFERROR(1/J380*(Y380/H380),"0")</f>
        <v>0.703125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90</v>
      </c>
      <c r="Y381" s="55">
        <f>IFERROR(IF(X381="",0,CEILING((X381/$H381),1)*$H381),"")</f>
        <v>92.4</v>
      </c>
      <c r="Z381" s="41">
        <f>IFERROR(IF(Y381=0,"",ROUNDUP(Y381/H381,0)*0.01898),"")</f>
        <v>0.20877999999999999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95.292857142857144</v>
      </c>
      <c r="BN381" s="78">
        <f>IFERROR(Y381*I381/H381,"0")</f>
        <v>97.834000000000003</v>
      </c>
      <c r="BO381" s="78">
        <f>IFERROR(1/J381*(X381/H381),"0")</f>
        <v>0.16741071428571427</v>
      </c>
      <c r="BP381" s="78">
        <f>IFERROR(1/J381*(Y381/H381),"0")</f>
        <v>0.171875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91.300366300366292</v>
      </c>
      <c r="Y382" s="43">
        <f>IFERROR(Y379/H379,"0")+IFERROR(Y380/H380,"0")+IFERROR(Y381/H381,"0")</f>
        <v>92</v>
      </c>
      <c r="Z382" s="43">
        <f>IFERROR(IF(Z379="",0,Z379),"0")+IFERROR(IF(Z380="",0,Z380),"0")+IFERROR(IF(Z381="",0,Z381),"0")</f>
        <v>1.7461599999999999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740</v>
      </c>
      <c r="Y383" s="43">
        <f>IFERROR(SUM(Y379:Y381),"0")</f>
        <v>745.80000000000007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525</v>
      </c>
      <c r="Y400" s="55">
        <f>IFERROR(IF(X400="",0,CEILING((X400/$H400),1)*$H400),"")</f>
        <v>525</v>
      </c>
      <c r="Z400" s="41">
        <f>IFERROR(IF(Y400=0,"",ROUNDUP(Y400/H400,0)*0.00651),"")</f>
        <v>1.6274999999999999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588</v>
      </c>
      <c r="BN400" s="78">
        <f>IFERROR(Y400*I400/H400,"0")</f>
        <v>588</v>
      </c>
      <c r="BO400" s="78">
        <f>IFERROR(1/J400*(X400/H400),"0")</f>
        <v>1.3736263736263736</v>
      </c>
      <c r="BP400" s="78">
        <f>IFERROR(1/J400*(Y400/H400),"0")</f>
        <v>1.3736263736263736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350</v>
      </c>
      <c r="Y401" s="55">
        <f>IFERROR(IF(X401="",0,CEILING((X401/$H401),1)*$H401),"")</f>
        <v>350.7</v>
      </c>
      <c r="Z401" s="41">
        <f>IFERROR(IF(Y401=0,"",ROUNDUP(Y401/H401,0)*0.00651),"")</f>
        <v>1.08717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390</v>
      </c>
      <c r="BN401" s="78">
        <f>IFERROR(Y401*I401/H401,"0")</f>
        <v>390.78</v>
      </c>
      <c r="BO401" s="78">
        <f>IFERROR(1/J401*(X401/H401),"0")</f>
        <v>0.91575091575091572</v>
      </c>
      <c r="BP401" s="78">
        <f>IFERROR(1/J401*(Y401/H401),"0")</f>
        <v>0.91758241758241765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416.66666666666663</v>
      </c>
      <c r="Y402" s="43">
        <f>IFERROR(Y399/H399,"0")+IFERROR(Y400/H400,"0")+IFERROR(Y401/H401,"0")</f>
        <v>417</v>
      </c>
      <c r="Z402" s="43">
        <f>IFERROR(IF(Z399="",0,Z399),"0")+IFERROR(IF(Z400="",0,Z400),"0")+IFERROR(IF(Z401="",0,Z401),"0")</f>
        <v>2.7146699999999999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875</v>
      </c>
      <c r="Y403" s="43">
        <f>IFERROR(SUM(Y399:Y401),"0")</f>
        <v>875.7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120</v>
      </c>
      <c r="Y407" s="55">
        <f t="shared" ref="Y407:Y414" si="57">IFERROR(IF(X407="",0,CEILING((X407/$H407),1)*$H407),"")</f>
        <v>120</v>
      </c>
      <c r="Z407" s="41">
        <f>IFERROR(IF(Y407=0,"",ROUNDUP(Y407/H407,0)*0.02175),"")</f>
        <v>0.17399999999999999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123.76</v>
      </c>
      <c r="BN407" s="78">
        <f t="shared" ref="BN407:BN414" si="59">IFERROR(Y407*I407/H407,"0")</f>
        <v>123.76</v>
      </c>
      <c r="BO407" s="78">
        <f t="shared" ref="BO407:BO414" si="60">IFERROR(1/J407*(X407/H407),"0")</f>
        <v>0.16666666666666666</v>
      </c>
      <c r="BP407" s="78">
        <f t="shared" ref="BP407:BP414" si="61">IFERROR(1/J407*(Y407/H407),"0")</f>
        <v>0.16666666666666666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1500</v>
      </c>
      <c r="Y408" s="55">
        <f t="shared" si="57"/>
        <v>1500</v>
      </c>
      <c r="Z408" s="41">
        <f>IFERROR(IF(Y408=0,"",ROUNDUP(Y408/H408,0)*0.02175),"")</f>
        <v>2.1749999999999998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1547</v>
      </c>
      <c r="BN408" s="78">
        <f t="shared" si="59"/>
        <v>1547</v>
      </c>
      <c r="BO408" s="78">
        <f t="shared" si="60"/>
        <v>2.083333333333333</v>
      </c>
      <c r="BP408" s="78">
        <f t="shared" si="61"/>
        <v>2.083333333333333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1000</v>
      </c>
      <c r="Y409" s="55">
        <f t="shared" si="57"/>
        <v>1005</v>
      </c>
      <c r="Z409" s="41">
        <f>IFERROR(IF(Y409=0,"",ROUNDUP(Y409/H409,0)*0.02175),"")</f>
        <v>1.4572499999999999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1031.3333333333333</v>
      </c>
      <c r="BN409" s="78">
        <f t="shared" si="59"/>
        <v>1036.49</v>
      </c>
      <c r="BO409" s="78">
        <f t="shared" si="60"/>
        <v>1.3888888888888888</v>
      </c>
      <c r="BP409" s="78">
        <f t="shared" si="61"/>
        <v>1.3958333333333333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1300</v>
      </c>
      <c r="Y410" s="55">
        <f t="shared" si="57"/>
        <v>1305</v>
      </c>
      <c r="Z410" s="41">
        <f>IFERROR(IF(Y410=0,"",ROUNDUP(Y410/H410,0)*0.02175),"")</f>
        <v>1.8922499999999998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1340.7333333333333</v>
      </c>
      <c r="BN410" s="78">
        <f t="shared" si="59"/>
        <v>1345.89</v>
      </c>
      <c r="BO410" s="78">
        <f t="shared" si="60"/>
        <v>1.8055555555555556</v>
      </c>
      <c r="BP410" s="78">
        <f t="shared" si="61"/>
        <v>1.8125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160</v>
      </c>
      <c r="Y411" s="55">
        <f t="shared" si="57"/>
        <v>165</v>
      </c>
      <c r="Z411" s="41">
        <f>IFERROR(IF(Y411=0,"",ROUNDUP(Y411/H411,0)*0.02175),"")</f>
        <v>0.23924999999999999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165.01333333333335</v>
      </c>
      <c r="BN411" s="78">
        <f t="shared" si="59"/>
        <v>170.17000000000002</v>
      </c>
      <c r="BO411" s="78">
        <f t="shared" si="60"/>
        <v>0.22222222222222221</v>
      </c>
      <c r="BP411" s="78">
        <f t="shared" si="61"/>
        <v>0.22916666666666666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272.00000000000006</v>
      </c>
      <c r="Y415" s="43">
        <f>IFERROR(Y407/H407,"0")+IFERROR(Y408/H408,"0")+IFERROR(Y409/H409,"0")+IFERROR(Y410/H410,"0")+IFERROR(Y411/H411,"0")+IFERROR(Y412/H412,"0")+IFERROR(Y413/H413,"0")+IFERROR(Y414/H414,"0")</f>
        <v>273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5.9377499999999994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4080</v>
      </c>
      <c r="Y416" s="43">
        <f>IFERROR(SUM(Y407:Y414),"0")</f>
        <v>4095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1500</v>
      </c>
      <c r="Y418" s="55">
        <f>IFERROR(IF(X418="",0,CEILING((X418/$H418),1)*$H418),"")</f>
        <v>1500</v>
      </c>
      <c r="Z418" s="41">
        <f>IFERROR(IF(Y418=0,"",ROUNDUP(Y418/H418,0)*0.02175),"")</f>
        <v>2.1749999999999998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1547</v>
      </c>
      <c r="BN418" s="78">
        <f>IFERROR(Y418*I418/H418,"0")</f>
        <v>1547</v>
      </c>
      <c r="BO418" s="78">
        <f>IFERROR(1/J418*(X418/H418),"0")</f>
        <v>2.083333333333333</v>
      </c>
      <c r="BP418" s="78">
        <f>IFERROR(1/J418*(Y418/H418),"0")</f>
        <v>2.083333333333333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60</v>
      </c>
      <c r="Y419" s="55">
        <f>IFERROR(IF(X419="",0,CEILING((X419/$H419),1)*$H419),"")</f>
        <v>60</v>
      </c>
      <c r="Z419" s="41">
        <f>IFERROR(IF(Y419=0,"",ROUNDUP(Y419/H419,0)*0.02175),"")</f>
        <v>8.6999999999999994E-2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61.88</v>
      </c>
      <c r="BN419" s="78">
        <f>IFERROR(Y419*I419/H419,"0")</f>
        <v>61.88</v>
      </c>
      <c r="BO419" s="78">
        <f>IFERROR(1/J419*(X419/H419),"0")</f>
        <v>8.3333333333333329E-2</v>
      </c>
      <c r="BP419" s="78">
        <f>IFERROR(1/J419*(Y419/H419),"0")</f>
        <v>8.3333333333333329E-2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104</v>
      </c>
      <c r="Y421" s="43">
        <f>IFERROR(Y418/H418,"0")+IFERROR(Y419/H419,"0")+IFERROR(Y420/H420,"0")</f>
        <v>104</v>
      </c>
      <c r="Z421" s="43">
        <f>IFERROR(IF(Z418="",0,Z418),"0")+IFERROR(IF(Z419="",0,Z419),"0")+IFERROR(IF(Z420="",0,Z420),"0")</f>
        <v>2.262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1560</v>
      </c>
      <c r="Y422" s="43">
        <f>IFERROR(SUM(Y418:Y420),"0")</f>
        <v>1560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20</v>
      </c>
      <c r="Y429" s="55">
        <f>IFERROR(IF(X429="",0,CEILING((X429/$H429),1)*$H429),"")</f>
        <v>27</v>
      </c>
      <c r="Z429" s="41">
        <f>IFERROR(IF(Y429=0,"",ROUNDUP(Y429/H429,0)*0.01898),"")</f>
        <v>5.6940000000000004E-2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21.097777777777779</v>
      </c>
      <c r="BN429" s="78">
        <f>IFERROR(Y429*I429/H429,"0")</f>
        <v>28.481999999999996</v>
      </c>
      <c r="BO429" s="78">
        <f>IFERROR(1/J429*(X429/H429),"0")</f>
        <v>3.4722222222222224E-2</v>
      </c>
      <c r="BP429" s="78">
        <f>IFERROR(1/J429*(Y429/H429),"0")</f>
        <v>4.6875E-2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2.2222222222222223</v>
      </c>
      <c r="Y430" s="43">
        <f>IFERROR(Y429/H429,"0")</f>
        <v>3</v>
      </c>
      <c r="Z430" s="43">
        <f>IFERROR(IF(Z429="",0,Z429),"0")</f>
        <v>5.6940000000000004E-2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20</v>
      </c>
      <c r="Y431" s="43">
        <f>IFERROR(SUM(Y429:Y429),"0")</f>
        <v>27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20</v>
      </c>
      <c r="Y434" s="55">
        <f>IFERROR(IF(X434="",0,CEILING((X434/$H434),1)*$H434),"")</f>
        <v>24</v>
      </c>
      <c r="Z434" s="41">
        <f>IFERROR(IF(Y434=0,"",ROUNDUP(Y434/H434,0)*0.01898),"")</f>
        <v>3.7960000000000001E-2</v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20.683333333333334</v>
      </c>
      <c r="BN434" s="78">
        <f>IFERROR(Y434*I434/H434,"0")</f>
        <v>24.820000000000004</v>
      </c>
      <c r="BO434" s="78">
        <f>IFERROR(1/J434*(X434/H434),"0")</f>
        <v>2.6041666666666668E-2</v>
      </c>
      <c r="BP434" s="78">
        <f>IFERROR(1/J434*(Y434/H434),"0")</f>
        <v>3.125E-2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1.6666666666666667</v>
      </c>
      <c r="Y436" s="43">
        <f>IFERROR(Y434/H434,"0")+IFERROR(Y435/H435,"0")</f>
        <v>2</v>
      </c>
      <c r="Z436" s="43">
        <f>IFERROR(IF(Z434="",0,Z434),"0")+IFERROR(IF(Z435="",0,Z435),"0")</f>
        <v>3.7960000000000001E-2</v>
      </c>
      <c r="AA436" s="67"/>
      <c r="AB436" s="67"/>
      <c r="AC436" s="67"/>
    </row>
    <row r="437" spans="1:68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20</v>
      </c>
      <c r="Y437" s="43">
        <f>IFERROR(SUM(Y434:Y435),"0")</f>
        <v>24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40</v>
      </c>
      <c r="Y443" s="55">
        <f>IFERROR(IF(X443="",0,CEILING((X443/$H443),1)*$H443),"")</f>
        <v>45</v>
      </c>
      <c r="Z443" s="41">
        <f>IFERROR(IF(Y443=0,"",ROUNDUP(Y443/H443,0)*0.01898),"")</f>
        <v>9.4899999999999998E-2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42.195555555555558</v>
      </c>
      <c r="BN443" s="78">
        <f>IFERROR(Y443*I443/H443,"0")</f>
        <v>47.47</v>
      </c>
      <c r="BO443" s="78">
        <f>IFERROR(1/J443*(X443/H443),"0")</f>
        <v>6.9444444444444448E-2</v>
      </c>
      <c r="BP443" s="78">
        <f>IFERROR(1/J443*(Y443/H443),"0")</f>
        <v>7.8125E-2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4.4444444444444446</v>
      </c>
      <c r="Y446" s="43">
        <f>IFERROR(Y443/H443,"0")+IFERROR(Y444/H444,"0")+IFERROR(Y445/H445,"0")</f>
        <v>5</v>
      </c>
      <c r="Z446" s="43">
        <f>IFERROR(IF(Z443="",0,Z443),"0")+IFERROR(IF(Z444="",0,Z444),"0")+IFERROR(IF(Z445="",0,Z445),"0")</f>
        <v>9.4899999999999998E-2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40</v>
      </c>
      <c r="Y447" s="43">
        <f>IFERROR(SUM(Y443:Y445),"0")</f>
        <v>45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80</v>
      </c>
      <c r="Y478" s="55">
        <f t="shared" ref="Y478:Y486" si="67">IFERROR(IF(X478="",0,CEILING((X478/$H478),1)*$H478),"")</f>
        <v>84.48</v>
      </c>
      <c r="Z478" s="41">
        <f t="shared" ref="Z478:Z483" si="68">IFERROR(IF(Y478=0,"",ROUNDUP(Y478/H478,0)*0.01196),"")</f>
        <v>0.19136</v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85.303030303030297</v>
      </c>
      <c r="BN478" s="78">
        <f t="shared" ref="BN478:BN486" si="70">IFERROR(Y478*I478/H478,"0")</f>
        <v>90.08</v>
      </c>
      <c r="BO478" s="78">
        <f t="shared" ref="BO478:BO486" si="71">IFERROR(1/J478*(X478/H478),"0")</f>
        <v>0.14568764568764569</v>
      </c>
      <c r="BP478" s="78">
        <f t="shared" ref="BP478:BP486" si="72">IFERROR(1/J478*(Y478/H478),"0")</f>
        <v>0.15384615384615385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70</v>
      </c>
      <c r="Y481" s="55">
        <f t="shared" si="67"/>
        <v>73.92</v>
      </c>
      <c r="Z481" s="41">
        <f t="shared" si="68"/>
        <v>0.16744000000000001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74.640151515151501</v>
      </c>
      <c r="BN481" s="78">
        <f t="shared" si="70"/>
        <v>78.819999999999993</v>
      </c>
      <c r="BO481" s="78">
        <f t="shared" si="71"/>
        <v>0.12747668997668998</v>
      </c>
      <c r="BP481" s="78">
        <f t="shared" si="72"/>
        <v>0.13461538461538464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200</v>
      </c>
      <c r="Y483" s="55">
        <f t="shared" si="67"/>
        <v>200.64000000000001</v>
      </c>
      <c r="Z483" s="41">
        <f t="shared" si="68"/>
        <v>0.45448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213.25757575757575</v>
      </c>
      <c r="BN483" s="78">
        <f t="shared" si="70"/>
        <v>213.94</v>
      </c>
      <c r="BO483" s="78">
        <f t="shared" si="71"/>
        <v>0.36421911421911418</v>
      </c>
      <c r="BP483" s="78">
        <f t="shared" si="72"/>
        <v>0.36538461538461542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108</v>
      </c>
      <c r="Y485" s="55">
        <f t="shared" si="67"/>
        <v>110.39999999999999</v>
      </c>
      <c r="Z485" s="41">
        <f>IFERROR(IF(Y485=0,"",ROUNDUP(Y485/H485,0)*0.00902),"")</f>
        <v>0.20746000000000001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155.47499999999999</v>
      </c>
      <c r="BN485" s="78">
        <f t="shared" si="70"/>
        <v>158.92999999999998</v>
      </c>
      <c r="BO485" s="78">
        <f t="shared" si="71"/>
        <v>0.17045454545454547</v>
      </c>
      <c r="BP485" s="78">
        <f t="shared" si="72"/>
        <v>0.17424242424242425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240</v>
      </c>
      <c r="Y486" s="55">
        <f t="shared" si="67"/>
        <v>240</v>
      </c>
      <c r="Z486" s="41">
        <f>IFERROR(IF(Y486=0,"",ROUNDUP(Y486/H486,0)*0.00902),"")</f>
        <v>0.45100000000000001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345.50000000000006</v>
      </c>
      <c r="BN486" s="78">
        <f t="shared" si="70"/>
        <v>345.50000000000006</v>
      </c>
      <c r="BO486" s="78">
        <f t="shared" si="71"/>
        <v>0.37878787878787878</v>
      </c>
      <c r="BP486" s="78">
        <f t="shared" si="72"/>
        <v>0.37878787878787878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138.78787878787878</v>
      </c>
      <c r="Y487" s="43">
        <f>IFERROR(Y478/H478,"0")+IFERROR(Y479/H479,"0")+IFERROR(Y480/H480,"0")+IFERROR(Y481/H481,"0")+IFERROR(Y482/H482,"0")+IFERROR(Y483/H483,"0")+IFERROR(Y484/H484,"0")+IFERROR(Y485/H485,"0")+IFERROR(Y486/H486,"0")</f>
        <v>141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1.47174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698</v>
      </c>
      <c r="Y488" s="43">
        <f>IFERROR(SUM(Y478:Y486),"0")</f>
        <v>709.44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300</v>
      </c>
      <c r="Y490" s="55">
        <f>IFERROR(IF(X490="",0,CEILING((X490/$H490),1)*$H490),"")</f>
        <v>300.96000000000004</v>
      </c>
      <c r="Z490" s="41">
        <f>IFERROR(IF(Y490=0,"",ROUNDUP(Y490/H490,0)*0.01196),"")</f>
        <v>0.68171999999999999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319.88636363636363</v>
      </c>
      <c r="BN490" s="78">
        <f>IFERROR(Y490*I490/H490,"0")</f>
        <v>320.91000000000003</v>
      </c>
      <c r="BO490" s="78">
        <f>IFERROR(1/J490*(X490/H490),"0")</f>
        <v>0.54632867132867136</v>
      </c>
      <c r="BP490" s="78">
        <f>IFERROR(1/J490*(Y490/H490),"0")</f>
        <v>0.54807692307692313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69.318181818181813</v>
      </c>
      <c r="Y493" s="43">
        <f>IFERROR(Y490/H490,"0")+IFERROR(Y491/H491,"0")+IFERROR(Y492/H492,"0")</f>
        <v>70</v>
      </c>
      <c r="Z493" s="43">
        <f>IFERROR(IF(Z490="",0,Z490),"0")+IFERROR(IF(Z491="",0,Z491),"0")+IFERROR(IF(Z492="",0,Z492),"0")</f>
        <v>0.79898000000000002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360</v>
      </c>
      <c r="Y494" s="43">
        <f>IFERROR(SUM(Y490:Y492),"0")</f>
        <v>363.36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20</v>
      </c>
      <c r="Y496" s="55">
        <f t="shared" ref="Y496:Y502" si="73">IFERROR(IF(X496="",0,CEILING((X496/$H496),1)*$H496),"")</f>
        <v>21.12</v>
      </c>
      <c r="Z496" s="41">
        <f>IFERROR(IF(Y496=0,"",ROUNDUP(Y496/H496,0)*0.01196),"")</f>
        <v>4.7840000000000001E-2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21.325757575757574</v>
      </c>
      <c r="BN496" s="78">
        <f t="shared" ref="BN496:BN502" si="75">IFERROR(Y496*I496/H496,"0")</f>
        <v>22.52</v>
      </c>
      <c r="BO496" s="78">
        <f t="shared" ref="BO496:BO502" si="76">IFERROR(1/J496*(X496/H496),"0")</f>
        <v>3.6421911421911424E-2</v>
      </c>
      <c r="BP496" s="78">
        <f t="shared" ref="BP496:BP502" si="77">IFERROR(1/J496*(Y496/H496),"0")</f>
        <v>3.8461538461538464E-2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73"/>
        <v>31.68</v>
      </c>
      <c r="Z497" s="41">
        <f>IFERROR(IF(Y497=0,"",ROUNDUP(Y497/H497,0)*0.01196),"")</f>
        <v>7.1760000000000004E-2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31.988636363636363</v>
      </c>
      <c r="BN497" s="78">
        <f t="shared" si="75"/>
        <v>33.779999999999994</v>
      </c>
      <c r="BO497" s="78">
        <f t="shared" si="76"/>
        <v>5.4632867132867136E-2</v>
      </c>
      <c r="BP497" s="78">
        <f t="shared" si="77"/>
        <v>5.7692307692307696E-2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120</v>
      </c>
      <c r="Y498" s="55">
        <f t="shared" si="73"/>
        <v>121.44000000000001</v>
      </c>
      <c r="Z498" s="41">
        <f>IFERROR(IF(Y498=0,"",ROUNDUP(Y498/H498,0)*0.01196),"")</f>
        <v>0.27507999999999999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127.95454545454545</v>
      </c>
      <c r="BN498" s="78">
        <f t="shared" si="75"/>
        <v>129.49</v>
      </c>
      <c r="BO498" s="78">
        <f t="shared" si="76"/>
        <v>0.21853146853146854</v>
      </c>
      <c r="BP498" s="78">
        <f t="shared" si="77"/>
        <v>0.22115384615384617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60</v>
      </c>
      <c r="Y499" s="55">
        <f t="shared" si="73"/>
        <v>62.4</v>
      </c>
      <c r="Z499" s="41">
        <f>IFERROR(IF(Y499=0,"",ROUNDUP(Y499/H499,0)*0.00902),"")</f>
        <v>0.11726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86.375000000000014</v>
      </c>
      <c r="BN499" s="78">
        <f t="shared" si="75"/>
        <v>89.830000000000013</v>
      </c>
      <c r="BO499" s="78">
        <f t="shared" si="76"/>
        <v>9.4696969696969696E-2</v>
      </c>
      <c r="BP499" s="78">
        <f t="shared" si="77"/>
        <v>9.8484848484848481E-2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73"/>
        <v>120</v>
      </c>
      <c r="Z502" s="41">
        <f>IFERROR(IF(Y502=0,"",ROUNDUP(Y502/H502,0)*0.00902),"")</f>
        <v>0.22550000000000001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166.75</v>
      </c>
      <c r="BN502" s="78">
        <f t="shared" si="75"/>
        <v>166.75</v>
      </c>
      <c r="BO502" s="78">
        <f t="shared" si="76"/>
        <v>0.18939393939393939</v>
      </c>
      <c r="BP502" s="78">
        <f t="shared" si="77"/>
        <v>0.18939393939393939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69.696969696969688</v>
      </c>
      <c r="Y503" s="43">
        <f>IFERROR(Y496/H496,"0")+IFERROR(Y497/H497,"0")+IFERROR(Y498/H498,"0")+IFERROR(Y499/H499,"0")+IFERROR(Y500/H500,"0")+IFERROR(Y501/H501,"0")+IFERROR(Y502/H502,"0")</f>
        <v>71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0.7374400000000001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350</v>
      </c>
      <c r="Y504" s="43">
        <f>IFERROR(SUM(Y496:Y502),"0")</f>
        <v>356.64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70</v>
      </c>
      <c r="Y508" s="55">
        <f>IFERROR(IF(X508="",0,CEILING((X508/$H508),1)*$H508),"")</f>
        <v>72</v>
      </c>
      <c r="Z508" s="41">
        <f>IFERROR(IF(Y508=0,"",ROUNDUP(Y508/H508,0)*0.01898),"")</f>
        <v>0.11388000000000001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72.391666666666666</v>
      </c>
      <c r="BN508" s="78">
        <f>IFERROR(Y508*I508/H508,"0")</f>
        <v>74.459999999999994</v>
      </c>
      <c r="BO508" s="78">
        <f>IFERROR(1/J508*(X508/H508),"0")</f>
        <v>9.1145833333333329E-2</v>
      </c>
      <c r="BP508" s="78">
        <f>IFERROR(1/J508*(Y508/H508),"0")</f>
        <v>9.375E-2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5.833333333333333</v>
      </c>
      <c r="Y509" s="43">
        <f>IFERROR(Y508/H508,"0")</f>
        <v>6</v>
      </c>
      <c r="Z509" s="43">
        <f>IFERROR(IF(Z508="",0,Z508),"0")</f>
        <v>0.11388000000000001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70</v>
      </c>
      <c r="Y510" s="43">
        <f>IFERROR(SUM(Y508:Y508),"0")</f>
        <v>72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1000</v>
      </c>
      <c r="Y521" s="55">
        <f>IFERROR(IF(X521="",0,CEILING((X521/$H521),1)*$H521),"")</f>
        <v>1008</v>
      </c>
      <c r="Z521" s="41">
        <f>IFERROR(IF(Y521=0,"",ROUNDUP(Y521/H521,0)*0.01898),"")</f>
        <v>2.1257600000000001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1054.8888888888889</v>
      </c>
      <c r="BN521" s="78">
        <f>IFERROR(Y521*I521/H521,"0")</f>
        <v>1063.328</v>
      </c>
      <c r="BO521" s="78">
        <f>IFERROR(1/J521*(X521/H521),"0")</f>
        <v>1.7361111111111112</v>
      </c>
      <c r="BP521" s="78">
        <f>IFERROR(1/J521*(Y521/H521),"0")</f>
        <v>1.75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111.11111111111111</v>
      </c>
      <c r="Y522" s="43">
        <f>IFERROR(Y521/H521,"0")</f>
        <v>112</v>
      </c>
      <c r="Z522" s="43">
        <f>IFERROR(IF(Z521="",0,Z521),"0")</f>
        <v>2.1257600000000001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1000</v>
      </c>
      <c r="Y523" s="43">
        <f>IFERROR(SUM(Y521:Y521),"0")</f>
        <v>1008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17585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17741.740000000002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18792.499592901775</v>
      </c>
      <c r="Y535" s="43">
        <f>IFERROR(SUM(BN22:BN531),"0")</f>
        <v>18960.534000000003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32</v>
      </c>
      <c r="Y536" s="44">
        <f>ROUNDUP(SUM(BP22:BP531),0)</f>
        <v>32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19592.499592901775</v>
      </c>
      <c r="Y537" s="43">
        <f>GrossWeightTotalR+PalletQtyTotalR*25</f>
        <v>19760.534000000003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3582.1990954979465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3611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36.659910000000004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34.56</v>
      </c>
      <c r="D544" s="52">
        <f>IFERROR(Y51*1,"0")+IFERROR(Y52*1,"0")+IFERROR(Y53*1,"0")+IFERROR(Y54*1,"0")</f>
        <v>499.20000000000005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513</v>
      </c>
      <c r="F544" s="52">
        <f>IFERROR(Y88*1,"0")+IFERROR(Y89*1,"0")+IFERROR(Y90*1,"0")+IFERROR(Y91*1,"0")+IFERROR(Y95*1,"0")+IFERROR(Y96*1,"0")+IFERROR(Y97*1,"0")+IFERROR(Y98*1,"0")</f>
        <v>1257.3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1418.3999999999999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651.59999999999991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389.74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2015.6999999999996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138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321.60000000000002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436.79999999999995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929.7</v>
      </c>
      <c r="U544" s="52">
        <f>IFERROR(Y399*1,"0")+IFERROR(Y400*1,"0")+IFERROR(Y401*1,"0")</f>
        <v>875.7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5682</v>
      </c>
      <c r="W544" s="52">
        <f>IFERROR(Y434*1,"0")+IFERROR(Y435*1,"0")+IFERROR(Y439*1,"0")+IFERROR(Y443*1,"0")+IFERROR(Y444*1,"0")+IFERROR(Y445*1,"0")</f>
        <v>69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1429.4400000000003</v>
      </c>
      <c r="AA544" s="52">
        <f>IFERROR(Y508*1,"0")+IFERROR(Y512*1,"0")+IFERROR(Y516*1,"0")+IFERROR(Y517*1,"0")+IFERROR(Y521*1,"0")+IFERROR(Y525*1,"0")+IFERROR(Y526*1,"0")</f>
        <v>1080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300,00"/>
        <filter val="1 310,00"/>
        <filter val="1 500,00"/>
        <filter val="1 560,00"/>
        <filter val="1,67"/>
        <filter val="1,80"/>
        <filter val="10,00"/>
        <filter val="100,00"/>
        <filter val="104,00"/>
        <filter val="105,00"/>
        <filter val="108,00"/>
        <filter val="109,26"/>
        <filter val="111,11"/>
        <filter val="12,78"/>
        <filter val="120,00"/>
        <filter val="130,00"/>
        <filter val="133,33"/>
        <filter val="138,79"/>
        <filter val="140,00"/>
        <filter val="150,00"/>
        <filter val="16,00"/>
        <filter val="16,10"/>
        <filter val="16,67"/>
        <filter val="160,00"/>
        <filter val="161,00"/>
        <filter val="17 585,00"/>
        <filter val="18 792,50"/>
        <filter val="180,00"/>
        <filter val="19 592,50"/>
        <filter val="192,78"/>
        <filter val="2,22"/>
        <filter val="20,00"/>
        <filter val="200,00"/>
        <filter val="208,02"/>
        <filter val="239,62"/>
        <filter val="24,31"/>
        <filter val="240,00"/>
        <filter val="250,00"/>
        <filter val="255,56"/>
        <filter val="270,00"/>
        <filter val="272,00"/>
        <filter val="280,00"/>
        <filter val="3 582,20"/>
        <filter val="3,70"/>
        <filter val="30,00"/>
        <filter val="300,00"/>
        <filter val="32"/>
        <filter val="32,00"/>
        <filter val="320,00"/>
        <filter val="33,33"/>
        <filter val="350,00"/>
        <filter val="358,80"/>
        <filter val="36,00"/>
        <filter val="360,00"/>
        <filter val="4 080,00"/>
        <filter val="4,00"/>
        <filter val="4,44"/>
        <filter val="4,50"/>
        <filter val="4,80"/>
        <filter val="40,00"/>
        <filter val="405,00"/>
        <filter val="416,67"/>
        <filter val="420,00"/>
        <filter val="430,00"/>
        <filter val="435,00"/>
        <filter val="44,80"/>
        <filter val="45,00"/>
        <filter val="450,00"/>
        <filter val="470,40"/>
        <filter val="490,00"/>
        <filter val="495,00"/>
        <filter val="5,60"/>
        <filter val="5,83"/>
        <filter val="50,00"/>
        <filter val="50,40"/>
        <filter val="525,00"/>
        <filter val="55,13"/>
        <filter val="550,00"/>
        <filter val="567,00"/>
        <filter val="6,00"/>
        <filter val="60,00"/>
        <filter val="641,50"/>
        <filter val="66,00"/>
        <filter val="66,67"/>
        <filter val="69,32"/>
        <filter val="69,70"/>
        <filter val="695,00"/>
        <filter val="698,00"/>
        <filter val="7,00"/>
        <filter val="70,00"/>
        <filter val="73,89"/>
        <filter val="740,00"/>
        <filter val="8,33"/>
        <filter val="80,00"/>
        <filter val="83,15"/>
        <filter val="875,00"/>
        <filter val="9,10"/>
        <filter val="90,00"/>
        <filter val="91,30"/>
        <filter val="92,78"/>
        <filter val="975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