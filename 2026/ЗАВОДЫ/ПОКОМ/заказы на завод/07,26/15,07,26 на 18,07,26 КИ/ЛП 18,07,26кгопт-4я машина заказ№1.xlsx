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48A80A-7671-4415-A4D1-928098F1DF2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E544" i="2" s="1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383" i="2" l="1"/>
  <c r="Z264" i="2"/>
  <c r="Z29" i="2"/>
  <c r="BN29" i="2"/>
  <c r="Z365" i="2"/>
  <c r="Z159" i="2"/>
  <c r="Z311" i="2"/>
  <c r="Z223" i="2"/>
  <c r="Z412" i="2"/>
  <c r="Z490" i="2"/>
  <c r="Y493" i="2"/>
  <c r="Z44" i="2"/>
  <c r="BN44" i="2"/>
  <c r="Z103" i="2"/>
  <c r="Y155" i="2"/>
  <c r="Z160" i="2"/>
  <c r="Z203" i="2"/>
  <c r="BP244" i="2"/>
  <c r="Y251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Y74" i="2"/>
  <c r="BN61" i="2"/>
  <c r="BN98" i="2"/>
  <c r="Z98" i="2"/>
  <c r="BN112" i="2"/>
  <c r="BN117" i="2"/>
  <c r="Z129" i="2"/>
  <c r="Z130" i="2" s="1"/>
  <c r="Y130" i="2"/>
  <c r="BN129" i="2"/>
  <c r="Y161" i="2"/>
  <c r="BN176" i="2"/>
  <c r="Z176" i="2"/>
  <c r="Y189" i="2"/>
  <c r="BP187" i="2"/>
  <c r="BN187" i="2"/>
  <c r="Z187" i="2"/>
  <c r="BN214" i="2"/>
  <c r="BN224" i="2"/>
  <c r="Z224" i="2"/>
  <c r="BN262" i="2"/>
  <c r="BN272" i="2"/>
  <c r="BP280" i="2"/>
  <c r="BN280" i="2"/>
  <c r="Z280" i="2"/>
  <c r="Z305" i="2"/>
  <c r="Z306" i="2" s="1"/>
  <c r="Y306" i="2"/>
  <c r="BN305" i="2"/>
  <c r="BN31" i="2"/>
  <c r="BN45" i="2"/>
  <c r="BN90" i="2"/>
  <c r="BN125" i="2"/>
  <c r="BP209" i="2"/>
  <c r="Y210" i="2"/>
  <c r="BN209" i="2"/>
  <c r="BN221" i="2"/>
  <c r="Z221" i="2"/>
  <c r="BP224" i="2"/>
  <c r="BP225" i="2"/>
  <c r="BN225" i="2"/>
  <c r="Z225" i="2"/>
  <c r="BN231" i="2"/>
  <c r="Z231" i="2"/>
  <c r="BN278" i="2"/>
  <c r="Z278" i="2"/>
  <c r="BN293" i="2"/>
  <c r="Z301" i="2"/>
  <c r="Z302" i="2" s="1"/>
  <c r="Y302" i="2"/>
  <c r="BN301" i="2"/>
  <c r="BN325" i="2"/>
  <c r="Z340" i="2"/>
  <c r="Y343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BN107" i="2"/>
  <c r="BN122" i="2"/>
  <c r="Y126" i="2"/>
  <c r="BP159" i="2"/>
  <c r="BN170" i="2"/>
  <c r="BN174" i="2"/>
  <c r="BN182" i="2"/>
  <c r="Y190" i="2"/>
  <c r="BP203" i="2"/>
  <c r="BN204" i="2"/>
  <c r="BN217" i="2"/>
  <c r="BN250" i="2"/>
  <c r="BP311" i="2"/>
  <c r="BN320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36" i="2" l="1"/>
  <c r="Z421" i="2"/>
  <c r="Z376" i="2"/>
  <c r="Z473" i="2"/>
  <c r="Z457" i="2"/>
  <c r="Z527" i="2"/>
  <c r="Z46" i="2"/>
  <c r="Z24" i="2"/>
  <c r="Z146" i="2"/>
  <c r="Z189" i="2"/>
  <c r="Z359" i="2"/>
  <c r="Z395" i="2"/>
  <c r="X537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<sst xmlns="http://schemas.openxmlformats.org/spreadsheetml/2006/main" count="4048" uniqueCount="861">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</sst>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70" sqref="AA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46221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Суббота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0.5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18.518518518518519</v>
      </c>
      <c r="Y74" s="43">
        <f>IFERROR(Y70/H70,"0")+IFERROR(Y71/H71,"0")+IFERROR(Y72/H72,"0")+IFERROR(Y73/H73,"0")</f>
        <v>19</v>
      </c>
      <c r="Z74" s="43">
        <f>IFERROR(IF(Z70="",0,Z70),"0")+IFERROR(IF(Z71="",0,Z71),"0")+IFERROR(IF(Z72="",0,Z72),"0")+IFERROR(IF(Z73="",0,Z73),"0")</f>
        <v>0.36062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200</v>
      </c>
      <c r="Y75" s="43">
        <f>IFERROR(SUM(Y70:Y73),"0")</f>
        <v>205.20000000000002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20.904761904761902</v>
      </c>
      <c r="BN215" s="78">
        <f t="shared" si="28"/>
        <v>21.95</v>
      </c>
      <c r="BO215" s="78">
        <f t="shared" si="29"/>
        <v>3.6075036075036072E-2</v>
      </c>
      <c r="BP215" s="78">
        <f t="shared" si="30"/>
        <v>3.787878787878788E-2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4.7619047619047619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4.5100000000000001E-2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20</v>
      </c>
      <c r="Y228" s="43">
        <f>IFERROR(SUM(Y213:Y226),"0")</f>
        <v>21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30</v>
      </c>
      <c r="Y259" s="55">
        <f t="shared" ref="Y259:Y266" si="32">IFERROR(IF(X259="",0,CEILING((X259/$H259),1)*$H259),"")</f>
        <v>32.400000000000006</v>
      </c>
      <c r="Z259" s="41">
        <f>IFERROR(IF(Y259=0,"",ROUNDUP(Y259/H259,0)*0.00902),"")</f>
        <v>5.4120000000000001E-2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31.05555555555555</v>
      </c>
      <c r="BN259" s="78">
        <f t="shared" ref="BN259:BN266" si="34">IFERROR(Y259*I259/H259,"0")</f>
        <v>33.54</v>
      </c>
      <c r="BO259" s="78">
        <f t="shared" ref="BO259:BO266" si="35">IFERROR(1/J259*(X259/H259),"0")</f>
        <v>4.208754208754209E-2</v>
      </c>
      <c r="BP259" s="78">
        <f t="shared" ref="BP259:BP266" si="36">IFERROR(1/J259*(Y259/H259),"0")</f>
        <v>4.5454545454545463E-2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32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155.27777777777777</v>
      </c>
      <c r="BN261" s="78">
        <f t="shared" si="34"/>
        <v>156.52000000000001</v>
      </c>
      <c r="BO261" s="78">
        <f t="shared" si="35"/>
        <v>0.21043771043771042</v>
      </c>
      <c r="BP261" s="78">
        <f t="shared" si="36"/>
        <v>0.21212121212121213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33.333333333333329</v>
      </c>
      <c r="Y267" s="43">
        <f>IFERROR(Y259/H259,"0")+IFERROR(Y260/H260,"0")+IFERROR(Y261/H261,"0")+IFERROR(Y262/H262,"0")+IFERROR(Y263/H263,"0")+IFERROR(Y264/H264,"0")+IFERROR(Y265/H265,"0")+IFERROR(Y266/H266,"0")</f>
        <v>34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0.30668000000000001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180</v>
      </c>
      <c r="Y268" s="43">
        <f>IFERROR(SUM(Y259:Y266),"0")</f>
        <v>183.60000000000002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300</v>
      </c>
      <c r="Y356" s="55">
        <f t="shared" si="47"/>
        <v>302.40000000000003</v>
      </c>
      <c r="Z356" s="41">
        <f>IFERROR(IF(Y356=0,"",ROUNDUP(Y356/H356,0)*0.01898),"")</f>
        <v>0.53144000000000002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311.38888888888891</v>
      </c>
      <c r="BN356" s="78">
        <f t="shared" si="49"/>
        <v>313.88</v>
      </c>
      <c r="BO356" s="78">
        <f t="shared" si="50"/>
        <v>0.43402777777777773</v>
      </c>
      <c r="BP356" s="78">
        <f t="shared" si="51"/>
        <v>0.4375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27.777777777777775</v>
      </c>
      <c r="Y359" s="43">
        <f>IFERROR(Y353/H353,"0")+IFERROR(Y354/H354,"0")+IFERROR(Y355/H355,"0")+IFERROR(Y356/H356,"0")+IFERROR(Y357/H357,"0")+IFERROR(Y358/H358,"0")</f>
        <v>28</v>
      </c>
      <c r="Z359" s="43">
        <f>IFERROR(IF(Z353="",0,Z353),"0")+IFERROR(IF(Z354="",0,Z354),"0")+IFERROR(IF(Z355="",0,Z355),"0")+IFERROR(IF(Z356="",0,Z356),"0")+IFERROR(IF(Z357="",0,Z357),"0")+IFERROR(IF(Z358="",0,Z358),"0")</f>
        <v>0.53144000000000002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300</v>
      </c>
      <c r="Y360" s="43">
        <f>IFERROR(SUM(Y353:Y358),"0")</f>
        <v>302.40000000000003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450</v>
      </c>
      <c r="Y363" s="55">
        <f t="shared" si="52"/>
        <v>453.6</v>
      </c>
      <c r="Z363" s="41">
        <f>IFERROR(IF(Y363=0,"",ROUNDUP(Y363/H363,0)*0.00902),"")</f>
        <v>0.97416000000000003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476.78571428571428</v>
      </c>
      <c r="BN363" s="78">
        <f t="shared" si="54"/>
        <v>480.6</v>
      </c>
      <c r="BO363" s="78">
        <f t="shared" si="55"/>
        <v>0.81168831168831168</v>
      </c>
      <c r="BP363" s="78">
        <f t="shared" si="56"/>
        <v>0.81818181818181823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107.14285714285714</v>
      </c>
      <c r="Y369" s="43">
        <f>IFERROR(Y362/H362,"0")+IFERROR(Y363/H363,"0")+IFERROR(Y364/H364,"0")+IFERROR(Y365/H365,"0")+IFERROR(Y366/H366,"0")+IFERROR(Y367/H367,"0")+IFERROR(Y368/H368,"0")</f>
        <v>108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0.97416000000000003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450</v>
      </c>
      <c r="Y370" s="43">
        <f>IFERROR(SUM(Y362:Y368),"0")</f>
        <v>453.6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1500</v>
      </c>
      <c r="Y372" s="55">
        <f>IFERROR(IF(X372="",0,CEILING((X372/$H372),1)*$H372),"")</f>
        <v>1505.3999999999999</v>
      </c>
      <c r="Z372" s="41">
        <f>IFERROR(IF(Y372=0,"",ROUNDUP(Y372/H372,0)*0.01898),"")</f>
        <v>3.6631400000000003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1593.8461538461538</v>
      </c>
      <c r="BN372" s="78">
        <f>IFERROR(Y372*I372/H372,"0")</f>
        <v>1599.5840000000001</v>
      </c>
      <c r="BO372" s="78">
        <f>IFERROR(1/J372*(X372/H372),"0")</f>
        <v>3.0048076923076925</v>
      </c>
      <c r="BP372" s="78">
        <f>IFERROR(1/J372*(Y372/H372),"0")</f>
        <v>3.015625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192.30769230769232</v>
      </c>
      <c r="Y376" s="43">
        <f>IFERROR(Y372/H372,"0")+IFERROR(Y373/H373,"0")+IFERROR(Y374/H374,"0")+IFERROR(Y375/H375,"0")</f>
        <v>193</v>
      </c>
      <c r="Z376" s="43">
        <f>IFERROR(IF(Z372="",0,Z372),"0")+IFERROR(IF(Z373="",0,Z373),"0")+IFERROR(IF(Z374="",0,Z374),"0")+IFERROR(IF(Z375="",0,Z375),"0")</f>
        <v>3.6631400000000003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1500</v>
      </c>
      <c r="Y377" s="43">
        <f>IFERROR(SUM(Y372:Y375),"0")</f>
        <v>1505.3999999999999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120</v>
      </c>
      <c r="Y380" s="55">
        <f>IFERROR(IF(X380="",0,CEILING((X380/$H380),1)*$H380),"")</f>
        <v>124.8</v>
      </c>
      <c r="Z380" s="41">
        <f>IFERROR(IF(Y380=0,"",ROUNDUP(Y380/H380,0)*0.01898),"")</f>
        <v>0.30368000000000001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127.60000000000001</v>
      </c>
      <c r="BN380" s="78">
        <f>IFERROR(Y380*I380/H380,"0")</f>
        <v>132.70400000000001</v>
      </c>
      <c r="BO380" s="78">
        <f>IFERROR(1/J380*(X380/H380),"0")</f>
        <v>0.24038461538461539</v>
      </c>
      <c r="BP380" s="78">
        <f>IFERROR(1/J380*(Y380/H380),"0")</f>
        <v>0.25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15.384615384615385</v>
      </c>
      <c r="Y382" s="43">
        <f>IFERROR(Y379/H379,"0")+IFERROR(Y380/H380,"0")+IFERROR(Y381/H381,"0")</f>
        <v>16</v>
      </c>
      <c r="Z382" s="43">
        <f>IFERROR(IF(Z379="",0,Z379),"0")+IFERROR(IF(Z380="",0,Z380),"0")+IFERROR(IF(Z381="",0,Z381),"0")</f>
        <v>0.30368000000000001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120</v>
      </c>
      <c r="Y383" s="43">
        <f>IFERROR(SUM(Y379:Y381),"0")</f>
        <v>124.8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90</v>
      </c>
      <c r="Y408" s="55">
        <f t="shared" si="57"/>
        <v>90</v>
      </c>
      <c r="Z408" s="41">
        <f>IFERROR(IF(Y408=0,"",ROUNDUP(Y408/H408,0)*0.02175),"")</f>
        <v>0.1305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92.82</v>
      </c>
      <c r="BN408" s="78">
        <f t="shared" si="59"/>
        <v>92.82</v>
      </c>
      <c r="BO408" s="78">
        <f t="shared" si="60"/>
        <v>0.125</v>
      </c>
      <c r="BP408" s="78">
        <f t="shared" si="61"/>
        <v>0.125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1200</v>
      </c>
      <c r="Y411" s="55">
        <f t="shared" si="57"/>
        <v>1200</v>
      </c>
      <c r="Z411" s="41">
        <f>IFERROR(IF(Y411=0,"",ROUNDUP(Y411/H411,0)*0.02175),"")</f>
        <v>1.7399999999999998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1237.5999999999999</v>
      </c>
      <c r="BN411" s="78">
        <f t="shared" si="59"/>
        <v>1237.5999999999999</v>
      </c>
      <c r="BO411" s="78">
        <f t="shared" si="60"/>
        <v>1.6666666666666665</v>
      </c>
      <c r="BP411" s="78">
        <f t="shared" si="61"/>
        <v>1.6666666666666665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86</v>
      </c>
      <c r="Y415" s="43">
        <f>IFERROR(Y407/H407,"0")+IFERROR(Y408/H408,"0")+IFERROR(Y409/H409,"0")+IFERROR(Y410/H410,"0")+IFERROR(Y411/H411,"0")+IFERROR(Y412/H412,"0")+IFERROR(Y413/H413,"0")+IFERROR(Y414/H414,"0")</f>
        <v>86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1.8704999999999998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1290</v>
      </c>
      <c r="Y416" s="43">
        <f>IFERROR(SUM(Y407:Y414),"0")</f>
        <v>1290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500</v>
      </c>
      <c r="Y418" s="55">
        <f>IFERROR(IF(X418="",0,CEILING((X418/$H418),1)*$H418),"")</f>
        <v>510</v>
      </c>
      <c r="Z418" s="41">
        <f>IFERROR(IF(Y418=0,"",ROUNDUP(Y418/H418,0)*0.02175),"")</f>
        <v>0.73949999999999994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515.66666666666663</v>
      </c>
      <c r="BN418" s="78">
        <f>IFERROR(Y418*I418/H418,"0")</f>
        <v>525.98</v>
      </c>
      <c r="BO418" s="78">
        <f>IFERROR(1/J418*(X418/H418),"0")</f>
        <v>0.69444444444444442</v>
      </c>
      <c r="BP418" s="78">
        <f>IFERROR(1/J418*(Y418/H418),"0")</f>
        <v>0.70833333333333326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33.333333333333336</v>
      </c>
      <c r="Y421" s="43">
        <f>IFERROR(Y418/H418,"0")+IFERROR(Y419/H419,"0")+IFERROR(Y420/H420,"0")</f>
        <v>34</v>
      </c>
      <c r="Z421" s="43">
        <f>IFERROR(IF(Z418="",0,Z418),"0")+IFERROR(IF(Z419="",0,Z419),"0")+IFERROR(IF(Z420="",0,Z420),"0")</f>
        <v>0.73949999999999994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500</v>
      </c>
      <c r="Y422" s="43">
        <f>IFERROR(SUM(Y418:Y420),"0")</f>
        <v>510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150</v>
      </c>
      <c r="Y443" s="55">
        <f>IFERROR(IF(X443="",0,CEILING((X443/$H443),1)*$H443),"")</f>
        <v>153</v>
      </c>
      <c r="Z443" s="41">
        <f>IFERROR(IF(Y443=0,"",ROUNDUP(Y443/H443,0)*0.01898),"")</f>
        <v>0.32266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158.23333333333332</v>
      </c>
      <c r="BN443" s="78">
        <f>IFERROR(Y443*I443/H443,"0")</f>
        <v>161.398</v>
      </c>
      <c r="BO443" s="78">
        <f>IFERROR(1/J443*(X443/H443),"0")</f>
        <v>0.26041666666666669</v>
      </c>
      <c r="BP443" s="78">
        <f>IFERROR(1/J443*(Y443/H443),"0")</f>
        <v>0.265625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16.666666666666668</v>
      </c>
      <c r="Y446" s="43">
        <f>IFERROR(Y443/H443,"0")+IFERROR(Y444/H444,"0")+IFERROR(Y445/H445,"0")</f>
        <v>17</v>
      </c>
      <c r="Z446" s="43">
        <f>IFERROR(IF(Z443="",0,Z443),"0")+IFERROR(IF(Z444="",0,Z444),"0")+IFERROR(IF(Z445="",0,Z445),"0")</f>
        <v>0.32266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150</v>
      </c>
      <c r="Y447" s="43">
        <f>IFERROR(SUM(Y443:Y445),"0")</f>
        <v>153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100</v>
      </c>
      <c r="Y490" s="55">
        <f>IFERROR(IF(X490="",0,CEILING((X490/$H490),1)*$H490),"")</f>
        <v>100.32000000000001</v>
      </c>
      <c r="Z490" s="41">
        <f>IFERROR(IF(Y490=0,"",ROUNDUP(Y490/H490,0)*0.01196),"")</f>
        <v>0.22724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106.62878787878788</v>
      </c>
      <c r="BN490" s="78">
        <f>IFERROR(Y490*I490/H490,"0")</f>
        <v>106.97</v>
      </c>
      <c r="BO490" s="78">
        <f>IFERROR(1/J490*(X490/H490),"0")</f>
        <v>0.18210955710955709</v>
      </c>
      <c r="BP490" s="78">
        <f>IFERROR(1/J490*(Y490/H490),"0")</f>
        <v>0.18269230769230771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18.939393939393938</v>
      </c>
      <c r="Y493" s="43">
        <f>IFERROR(Y490/H490,"0")+IFERROR(Y491/H491,"0")+IFERROR(Y492/H492,"0")</f>
        <v>19</v>
      </c>
      <c r="Z493" s="43">
        <f>IFERROR(IF(Z490="",0,Z490),"0")+IFERROR(IF(Z491="",0,Z491),"0")+IFERROR(IF(Z492="",0,Z492),"0")</f>
        <v>0.22724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100</v>
      </c>
      <c r="Y494" s="43">
        <f>IFERROR(SUM(Y490:Y492),"0")</f>
        <v>100.32000000000001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3"/>
        <v>31.68</v>
      </c>
      <c r="Z498" s="41">
        <f>IFERROR(IF(Y498=0,"",ROUNDUP(Y498/H498,0)*0.01196),"")</f>
        <v>7.1760000000000004E-2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31.988636363636363</v>
      </c>
      <c r="BN498" s="78">
        <f t="shared" si="75"/>
        <v>33.779999999999994</v>
      </c>
      <c r="BO498" s="78">
        <f t="shared" si="76"/>
        <v>5.4632867132867136E-2</v>
      </c>
      <c r="BP498" s="78">
        <f t="shared" si="77"/>
        <v>5.7692307692307696E-2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5.6818181818181817</v>
      </c>
      <c r="Y503" s="43">
        <f>IFERROR(Y496/H496,"0")+IFERROR(Y497/H497,"0")+IFERROR(Y498/H498,"0")+IFERROR(Y499/H499,"0")+IFERROR(Y500/H500,"0")+IFERROR(Y501/H501,"0")+IFERROR(Y502/H502,"0")</f>
        <v>6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7.1760000000000004E-2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30</v>
      </c>
      <c r="Y504" s="43">
        <f>IFERROR(SUM(Y496:Y502),"0")</f>
        <v>31.68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80</v>
      </c>
      <c r="Y516" s="55">
        <f>IFERROR(IF(X516="",0,CEILING((X516/$H516),1)*$H516),"")</f>
        <v>81.599999999999994</v>
      </c>
      <c r="Z516" s="41">
        <f>IFERROR(IF(Y516=0,"",ROUNDUP(Y516/H516,0)*0.00902),"")</f>
        <v>0.15334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84.166666666666671</v>
      </c>
      <c r="BN516" s="78">
        <f>IFERROR(Y516*I516/H516,"0")</f>
        <v>85.85</v>
      </c>
      <c r="BO516" s="78">
        <f>IFERROR(1/J516*(X516/H516),"0")</f>
        <v>0.12626262626262627</v>
      </c>
      <c r="BP516" s="78">
        <f>IFERROR(1/J516*(Y516/H516),"0")</f>
        <v>0.12878787878787878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16.666666666666668</v>
      </c>
      <c r="Y518" s="43">
        <f>IFERROR(Y516/H516,"0")+IFERROR(Y517/H517,"0")</f>
        <v>17</v>
      </c>
      <c r="Z518" s="43">
        <f>IFERROR(IF(Z516="",0,Z516),"0")+IFERROR(IF(Z517="",0,Z517),"0")</f>
        <v>0.15334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80</v>
      </c>
      <c r="Y519" s="43">
        <f>IFERROR(SUM(Y516:Y517),"0")</f>
        <v>81.599999999999994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4920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4962.6000000000004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5151.5555357605363</v>
      </c>
      <c r="Y535" s="43">
        <f>IFERROR(SUM(BN22:BN531),"0")</f>
        <v>5196.1660000000002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9</v>
      </c>
      <c r="Y536" s="44">
        <f>ROUNDUP(SUM(BP22:BP531),0)</f>
        <v>9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5376.5555357605363</v>
      </c>
      <c r="Y537" s="43">
        <f>GrossWeightTotalR+PalletQtyTotalR*25</f>
        <v>5421.1660000000002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576.51457801457786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582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9.56982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205.20000000000002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183.60000000000002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2386.1999999999998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1800</v>
      </c>
      <c r="W544" s="52">
        <f>IFERROR(Y434*1,"0")+IFERROR(Y435*1,"0")+IFERROR(Y439*1,"0")+IFERROR(Y443*1,"0")+IFERROR(Y444*1,"0")+IFERROR(Y445*1,"0")</f>
        <v>153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132</v>
      </c>
      <c r="AA544" s="52">
        <f>IFERROR(Y508*1,"0")+IFERROR(Y512*1,"0")+IFERROR(Y516*1,"0")+IFERROR(Y517*1,"0")+IFERROR(Y521*1,"0")+IFERROR(Y525*1,"0")+IFERROR(Y526*1,"0")</f>
        <v>81.599999999999994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90,00"/>
        <filter val="1 500,00"/>
        <filter val="100,00"/>
        <filter val="107,14"/>
        <filter val="120,00"/>
        <filter val="15,38"/>
        <filter val="150,00"/>
        <filter val="16,67"/>
        <filter val="18,52"/>
        <filter val="18,94"/>
        <filter val="180,00"/>
        <filter val="192,31"/>
        <filter val="20,00"/>
        <filter val="200,00"/>
        <filter val="27,78"/>
        <filter val="30,00"/>
        <filter val="300,00"/>
        <filter val="33,33"/>
        <filter val="4 920,00"/>
        <filter val="4,76"/>
        <filter val="450,00"/>
        <filter val="5 151,56"/>
        <filter val="5 376,56"/>
        <filter val="5,68"/>
        <filter val="500,00"/>
        <filter val="576,51"/>
        <filter val="80,00"/>
        <filter val="86,00"/>
        <filter val="9"/>
        <filter val="90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