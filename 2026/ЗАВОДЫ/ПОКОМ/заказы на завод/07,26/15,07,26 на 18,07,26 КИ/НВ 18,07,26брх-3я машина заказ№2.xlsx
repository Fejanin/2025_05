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B56D41-514E-449E-9F60-5E05464F589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AB543" i="1" s="1"/>
  <c r="P530" i="1"/>
  <c r="X527" i="1"/>
  <c r="X526" i="1"/>
  <c r="BO525" i="1"/>
  <c r="BM525" i="1"/>
  <c r="Y525" i="1"/>
  <c r="BP525" i="1" s="1"/>
  <c r="P525" i="1"/>
  <c r="BO524" i="1"/>
  <c r="BM524" i="1"/>
  <c r="Y524" i="1"/>
  <c r="Y526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Y518" i="1" s="1"/>
  <c r="P515" i="1"/>
  <c r="X513" i="1"/>
  <c r="X512" i="1"/>
  <c r="BO511" i="1"/>
  <c r="BM511" i="1"/>
  <c r="Y511" i="1"/>
  <c r="Y512" i="1" s="1"/>
  <c r="P511" i="1"/>
  <c r="X509" i="1"/>
  <c r="X508" i="1"/>
  <c r="BO507" i="1"/>
  <c r="BM507" i="1"/>
  <c r="Y507" i="1"/>
  <c r="Y508" i="1" s="1"/>
  <c r="P507" i="1"/>
  <c r="X503" i="1"/>
  <c r="X502" i="1"/>
  <c r="BO501" i="1"/>
  <c r="BM501" i="1"/>
  <c r="Y501" i="1"/>
  <c r="BP501" i="1" s="1"/>
  <c r="P501" i="1"/>
  <c r="BO500" i="1"/>
  <c r="BM500" i="1"/>
  <c r="Y500" i="1"/>
  <c r="BP500" i="1" s="1"/>
  <c r="P500" i="1"/>
  <c r="BO499" i="1"/>
  <c r="BM499" i="1"/>
  <c r="Y499" i="1"/>
  <c r="BP499" i="1" s="1"/>
  <c r="P499" i="1"/>
  <c r="BP498" i="1"/>
  <c r="BO498" i="1"/>
  <c r="BN498" i="1"/>
  <c r="BM498" i="1"/>
  <c r="Z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BP491" i="1" s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BP485" i="1" s="1"/>
  <c r="P485" i="1"/>
  <c r="BO484" i="1"/>
  <c r="BM484" i="1"/>
  <c r="Y484" i="1"/>
  <c r="BP484" i="1" s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BP460" i="1" s="1"/>
  <c r="P460" i="1"/>
  <c r="BO459" i="1"/>
  <c r="BM459" i="1"/>
  <c r="Y459" i="1"/>
  <c r="BN459" i="1" s="1"/>
  <c r="P459" i="1"/>
  <c r="X457" i="1"/>
  <c r="X456" i="1"/>
  <c r="BO455" i="1"/>
  <c r="BM455" i="1"/>
  <c r="Y455" i="1"/>
  <c r="P455" i="1"/>
  <c r="BO454" i="1"/>
  <c r="BM454" i="1"/>
  <c r="Y454" i="1"/>
  <c r="BP454" i="1" s="1"/>
  <c r="P454" i="1"/>
  <c r="BO453" i="1"/>
  <c r="BM453" i="1"/>
  <c r="Y453" i="1"/>
  <c r="P453" i="1"/>
  <c r="BO452" i="1"/>
  <c r="BM452" i="1"/>
  <c r="Y452" i="1"/>
  <c r="BP452" i="1" s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P442" i="1"/>
  <c r="X440" i="1"/>
  <c r="X439" i="1"/>
  <c r="BO438" i="1"/>
  <c r="BM438" i="1"/>
  <c r="Y438" i="1"/>
  <c r="Y439" i="1" s="1"/>
  <c r="P438" i="1"/>
  <c r="X436" i="1"/>
  <c r="X435" i="1"/>
  <c r="BO434" i="1"/>
  <c r="BM434" i="1"/>
  <c r="Y434" i="1"/>
  <c r="BP434" i="1" s="1"/>
  <c r="P434" i="1"/>
  <c r="BO433" i="1"/>
  <c r="BM433" i="1"/>
  <c r="Y433" i="1"/>
  <c r="BP433" i="1" s="1"/>
  <c r="P433" i="1"/>
  <c r="X430" i="1"/>
  <c r="X429" i="1"/>
  <c r="BO428" i="1"/>
  <c r="BM428" i="1"/>
  <c r="Y428" i="1"/>
  <c r="P428" i="1"/>
  <c r="X426" i="1"/>
  <c r="X425" i="1"/>
  <c r="BO424" i="1"/>
  <c r="BM424" i="1"/>
  <c r="Y424" i="1"/>
  <c r="P424" i="1"/>
  <c r="BO423" i="1"/>
  <c r="BM423" i="1"/>
  <c r="Y423" i="1"/>
  <c r="Y426" i="1" s="1"/>
  <c r="P423" i="1"/>
  <c r="X421" i="1"/>
  <c r="X420" i="1"/>
  <c r="BO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P417" i="1"/>
  <c r="X415" i="1"/>
  <c r="X414" i="1"/>
  <c r="BO413" i="1"/>
  <c r="BM413" i="1"/>
  <c r="Y413" i="1"/>
  <c r="BP413" i="1" s="1"/>
  <c r="P413" i="1"/>
  <c r="BO412" i="1"/>
  <c r="BM412" i="1"/>
  <c r="Y412" i="1"/>
  <c r="BP412" i="1" s="1"/>
  <c r="P412" i="1"/>
  <c r="BO411" i="1"/>
  <c r="BM411" i="1"/>
  <c r="Y411" i="1"/>
  <c r="BP411" i="1" s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BP407" i="1" s="1"/>
  <c r="P407" i="1"/>
  <c r="BO406" i="1"/>
  <c r="BM406" i="1"/>
  <c r="Y406" i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P393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Y389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BP364" i="1" s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BN361" i="1" s="1"/>
  <c r="P361" i="1"/>
  <c r="X359" i="1"/>
  <c r="X358" i="1"/>
  <c r="BO357" i="1"/>
  <c r="BM357" i="1"/>
  <c r="Y357" i="1"/>
  <c r="P357" i="1"/>
  <c r="BO356" i="1"/>
  <c r="BM356" i="1"/>
  <c r="Y356" i="1"/>
  <c r="BP356" i="1" s="1"/>
  <c r="P356" i="1"/>
  <c r="BO355" i="1"/>
  <c r="BM355" i="1"/>
  <c r="Y355" i="1"/>
  <c r="BP355" i="1" s="1"/>
  <c r="P355" i="1"/>
  <c r="BO354" i="1"/>
  <c r="BM354" i="1"/>
  <c r="Y354" i="1"/>
  <c r="BP354" i="1" s="1"/>
  <c r="P354" i="1"/>
  <c r="BO353" i="1"/>
  <c r="BM353" i="1"/>
  <c r="Y353" i="1"/>
  <c r="BP353" i="1" s="1"/>
  <c r="P353" i="1"/>
  <c r="X350" i="1"/>
  <c r="X349" i="1"/>
  <c r="BO348" i="1"/>
  <c r="BM348" i="1"/>
  <c r="Y348" i="1"/>
  <c r="BP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BP297" i="1" s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Z232" i="1" s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O213" i="1"/>
  <c r="BM213" i="1"/>
  <c r="Y213" i="1"/>
  <c r="BN213" i="1" s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Y185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Y165" i="1" s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I543" i="1" s="1"/>
  <c r="P150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2" i="1"/>
  <c r="X141" i="1"/>
  <c r="BO140" i="1"/>
  <c r="BM140" i="1"/>
  <c r="Y140" i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20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537" i="1" s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P88" i="1" l="1"/>
  <c r="BN88" i="1"/>
  <c r="Z88" i="1"/>
  <c r="BP115" i="1"/>
  <c r="BN115" i="1"/>
  <c r="Z115" i="1"/>
  <c r="BP153" i="1"/>
  <c r="BN153" i="1"/>
  <c r="Z153" i="1"/>
  <c r="BP188" i="1"/>
  <c r="BN188" i="1"/>
  <c r="Z188" i="1"/>
  <c r="BP219" i="1"/>
  <c r="BN219" i="1"/>
  <c r="Z219" i="1"/>
  <c r="BP254" i="1"/>
  <c r="BN254" i="1"/>
  <c r="Z254" i="1"/>
  <c r="Z256" i="1" s="1"/>
  <c r="BP276" i="1"/>
  <c r="BN276" i="1"/>
  <c r="Z276" i="1"/>
  <c r="Y302" i="1"/>
  <c r="BP301" i="1"/>
  <c r="BN301" i="1"/>
  <c r="Z301" i="1"/>
  <c r="Z302" i="1" s="1"/>
  <c r="BN333" i="1"/>
  <c r="BN353" i="1"/>
  <c r="BN387" i="1"/>
  <c r="Z387" i="1"/>
  <c r="BN400" i="1"/>
  <c r="Z400" i="1"/>
  <c r="BN424" i="1"/>
  <c r="Z424" i="1"/>
  <c r="BP453" i="1"/>
  <c r="BN453" i="1"/>
  <c r="Z453" i="1"/>
  <c r="BN478" i="1"/>
  <c r="BP490" i="1"/>
  <c r="BN490" i="1"/>
  <c r="Z490" i="1"/>
  <c r="B543" i="1"/>
  <c r="X535" i="1"/>
  <c r="Z31" i="1"/>
  <c r="BN31" i="1"/>
  <c r="Y46" i="1"/>
  <c r="Z51" i="1"/>
  <c r="BN51" i="1"/>
  <c r="Z64" i="1"/>
  <c r="BN64" i="1"/>
  <c r="BP70" i="1"/>
  <c r="BN70" i="1"/>
  <c r="Z70" i="1"/>
  <c r="BP103" i="1"/>
  <c r="BN103" i="1"/>
  <c r="Z103" i="1"/>
  <c r="Y131" i="1"/>
  <c r="Y130" i="1"/>
  <c r="BP129" i="1"/>
  <c r="BN129" i="1"/>
  <c r="Z129" i="1"/>
  <c r="Z130" i="1" s="1"/>
  <c r="BP134" i="1"/>
  <c r="BN134" i="1"/>
  <c r="Z134" i="1"/>
  <c r="BP172" i="1"/>
  <c r="BN172" i="1"/>
  <c r="Z172" i="1"/>
  <c r="BP204" i="1"/>
  <c r="BN204" i="1"/>
  <c r="Z204" i="1"/>
  <c r="BP231" i="1"/>
  <c r="BN231" i="1"/>
  <c r="Z231" i="1"/>
  <c r="BP266" i="1"/>
  <c r="BN266" i="1"/>
  <c r="Z266" i="1"/>
  <c r="BP291" i="1"/>
  <c r="BN291" i="1"/>
  <c r="Z291" i="1"/>
  <c r="BN319" i="1"/>
  <c r="Z319" i="1"/>
  <c r="BN346" i="1"/>
  <c r="Y375" i="1"/>
  <c r="BP371" i="1"/>
  <c r="BN371" i="1"/>
  <c r="Z371" i="1"/>
  <c r="BP387" i="1"/>
  <c r="BN393" i="1"/>
  <c r="Z393" i="1"/>
  <c r="BP400" i="1"/>
  <c r="BP408" i="1"/>
  <c r="BN408" i="1"/>
  <c r="Z408" i="1"/>
  <c r="BN412" i="1"/>
  <c r="BP424" i="1"/>
  <c r="BN433" i="1"/>
  <c r="BP516" i="1"/>
  <c r="BN516" i="1"/>
  <c r="Z516" i="1"/>
  <c r="Y137" i="1"/>
  <c r="Y257" i="1"/>
  <c r="Y313" i="1"/>
  <c r="BN341" i="1"/>
  <c r="BN348" i="1"/>
  <c r="BN355" i="1"/>
  <c r="Y381" i="1"/>
  <c r="BN410" i="1"/>
  <c r="Y420" i="1"/>
  <c r="BN418" i="1"/>
  <c r="BN443" i="1"/>
  <c r="Y502" i="1"/>
  <c r="BN125" i="1"/>
  <c r="BP125" i="1"/>
  <c r="Z125" i="1"/>
  <c r="BN170" i="1"/>
  <c r="BP170" i="1"/>
  <c r="Z170" i="1"/>
  <c r="BN202" i="1"/>
  <c r="BP202" i="1"/>
  <c r="Z202" i="1"/>
  <c r="BN225" i="1"/>
  <c r="BP225" i="1"/>
  <c r="Z225" i="1"/>
  <c r="BN264" i="1"/>
  <c r="BP264" i="1"/>
  <c r="Z264" i="1"/>
  <c r="BN286" i="1"/>
  <c r="BP286" i="1"/>
  <c r="Z286" i="1"/>
  <c r="BN357" i="1"/>
  <c r="BP357" i="1"/>
  <c r="Z357" i="1"/>
  <c r="Y430" i="1"/>
  <c r="Y429" i="1"/>
  <c r="BN428" i="1"/>
  <c r="BP428" i="1"/>
  <c r="Z428" i="1"/>
  <c r="Z429" i="1" s="1"/>
  <c r="BN470" i="1"/>
  <c r="BP470" i="1"/>
  <c r="Z470" i="1"/>
  <c r="X534" i="1"/>
  <c r="X536" i="1" s="1"/>
  <c r="Z23" i="1"/>
  <c r="BP23" i="1"/>
  <c r="Y33" i="1"/>
  <c r="Z29" i="1"/>
  <c r="BP29" i="1"/>
  <c r="Z35" i="1"/>
  <c r="Z36" i="1" s="1"/>
  <c r="BP35" i="1"/>
  <c r="BN41" i="1"/>
  <c r="Z45" i="1"/>
  <c r="BP45" i="1"/>
  <c r="Z53" i="1"/>
  <c r="BP53" i="1"/>
  <c r="E543" i="1"/>
  <c r="Z62" i="1"/>
  <c r="BP62" i="1"/>
  <c r="BN66" i="1"/>
  <c r="BN72" i="1"/>
  <c r="BN83" i="1"/>
  <c r="BN90" i="1"/>
  <c r="BN98" i="1"/>
  <c r="BN105" i="1"/>
  <c r="BN113" i="1"/>
  <c r="Z117" i="1"/>
  <c r="BP117" i="1"/>
  <c r="Y126" i="1"/>
  <c r="BN140" i="1"/>
  <c r="BP140" i="1"/>
  <c r="Z140" i="1"/>
  <c r="Y210" i="1"/>
  <c r="BN209" i="1"/>
  <c r="BP209" i="1"/>
  <c r="Z209" i="1"/>
  <c r="Z210" i="1" s="1"/>
  <c r="BN233" i="1"/>
  <c r="BP233" i="1"/>
  <c r="Z233" i="1"/>
  <c r="Y283" i="1"/>
  <c r="BN270" i="1"/>
  <c r="BP270" i="1"/>
  <c r="Z270" i="1"/>
  <c r="BN293" i="1"/>
  <c r="BP293" i="1"/>
  <c r="Z293" i="1"/>
  <c r="BN335" i="1"/>
  <c r="BP335" i="1"/>
  <c r="Z335" i="1"/>
  <c r="BN455" i="1"/>
  <c r="BP455" i="1"/>
  <c r="Z455" i="1"/>
  <c r="BN496" i="1"/>
  <c r="BP496" i="1"/>
  <c r="Z496" i="1"/>
  <c r="BN217" i="1"/>
  <c r="BP217" i="1"/>
  <c r="Z217" i="1"/>
  <c r="BN250" i="1"/>
  <c r="BP250" i="1"/>
  <c r="Z250" i="1"/>
  <c r="BN317" i="1"/>
  <c r="BP317" i="1"/>
  <c r="Z317" i="1"/>
  <c r="BN326" i="1"/>
  <c r="BP326" i="1"/>
  <c r="Z326" i="1"/>
  <c r="BN385" i="1"/>
  <c r="BP385" i="1"/>
  <c r="Z385" i="1"/>
  <c r="Y395" i="1"/>
  <c r="BN391" i="1"/>
  <c r="BP391" i="1"/>
  <c r="Z391" i="1"/>
  <c r="BN398" i="1"/>
  <c r="BP398" i="1"/>
  <c r="Z398" i="1"/>
  <c r="BN406" i="1"/>
  <c r="BP406" i="1"/>
  <c r="Z406" i="1"/>
  <c r="X533" i="1"/>
  <c r="BN35" i="1"/>
  <c r="Y36" i="1"/>
  <c r="Z41" i="1"/>
  <c r="BP41" i="1"/>
  <c r="Z66" i="1"/>
  <c r="Y74" i="1"/>
  <c r="Z72" i="1"/>
  <c r="Z83" i="1"/>
  <c r="Z90" i="1"/>
  <c r="Z98" i="1"/>
  <c r="Z105" i="1"/>
  <c r="Z113" i="1"/>
  <c r="Y194" i="1"/>
  <c r="Y193" i="1"/>
  <c r="BN192" i="1"/>
  <c r="BP192" i="1"/>
  <c r="Z192" i="1"/>
  <c r="Z193" i="1" s="1"/>
  <c r="BN278" i="1"/>
  <c r="BP278" i="1"/>
  <c r="Z278" i="1"/>
  <c r="BN363" i="1"/>
  <c r="BP363" i="1"/>
  <c r="Z363" i="1"/>
  <c r="BN480" i="1"/>
  <c r="BP480" i="1"/>
  <c r="Z480" i="1"/>
  <c r="Y522" i="1"/>
  <c r="Y521" i="1"/>
  <c r="BN520" i="1"/>
  <c r="BP520" i="1"/>
  <c r="Z520" i="1"/>
  <c r="Z521" i="1" s="1"/>
  <c r="Y146" i="1"/>
  <c r="BN151" i="1"/>
  <c r="BN158" i="1"/>
  <c r="Y161" i="1"/>
  <c r="Y179" i="1"/>
  <c r="BN174" i="1"/>
  <c r="BN182" i="1"/>
  <c r="BN198" i="1"/>
  <c r="BN221" i="1"/>
  <c r="Y235" i="1"/>
  <c r="Y242" i="1"/>
  <c r="Y256" i="1"/>
  <c r="BN260" i="1"/>
  <c r="BN274" i="1"/>
  <c r="BN297" i="1"/>
  <c r="Y369" i="1"/>
  <c r="BN367" i="1"/>
  <c r="BN373" i="1"/>
  <c r="Y445" i="1"/>
  <c r="BN451" i="1"/>
  <c r="Y461" i="1"/>
  <c r="BN484" i="1"/>
  <c r="BN500" i="1"/>
  <c r="BN524" i="1"/>
  <c r="Y228" i="1"/>
  <c r="Y267" i="1"/>
  <c r="Z333" i="1"/>
  <c r="Z341" i="1"/>
  <c r="Z348" i="1"/>
  <c r="Z355" i="1"/>
  <c r="Z361" i="1"/>
  <c r="BP361" i="1"/>
  <c r="Z412" i="1"/>
  <c r="Z443" i="1"/>
  <c r="X543" i="1"/>
  <c r="Z459" i="1"/>
  <c r="BP459" i="1"/>
  <c r="Y543" i="1"/>
  <c r="Z478" i="1"/>
  <c r="Z151" i="1"/>
  <c r="Z158" i="1"/>
  <c r="Z174" i="1"/>
  <c r="Z182" i="1"/>
  <c r="Z198" i="1"/>
  <c r="Z213" i="1"/>
  <c r="BP213" i="1"/>
  <c r="Z221" i="1"/>
  <c r="Z260" i="1"/>
  <c r="Z274" i="1"/>
  <c r="Z297" i="1"/>
  <c r="Y303" i="1"/>
  <c r="Z346" i="1"/>
  <c r="Z353" i="1"/>
  <c r="Z367" i="1"/>
  <c r="Z373" i="1"/>
  <c r="Z410" i="1"/>
  <c r="Z418" i="1"/>
  <c r="Z433" i="1"/>
  <c r="Z451" i="1"/>
  <c r="Z484" i="1"/>
  <c r="Y492" i="1"/>
  <c r="Z500" i="1"/>
  <c r="Z524" i="1"/>
  <c r="BP524" i="1"/>
  <c r="H9" i="1"/>
  <c r="A10" i="1"/>
  <c r="Y24" i="1"/>
  <c r="Y32" i="1"/>
  <c r="Y56" i="1"/>
  <c r="Y67" i="1"/>
  <c r="Y75" i="1"/>
  <c r="Y80" i="1"/>
  <c r="Y85" i="1"/>
  <c r="BP82" i="1"/>
  <c r="BN82" i="1"/>
  <c r="Z82" i="1"/>
  <c r="Z84" i="1" s="1"/>
  <c r="BP91" i="1"/>
  <c r="BN91" i="1"/>
  <c r="Z91" i="1"/>
  <c r="Y93" i="1"/>
  <c r="Y100" i="1"/>
  <c r="BP95" i="1"/>
  <c r="BN95" i="1"/>
  <c r="Z95" i="1"/>
  <c r="Y99" i="1"/>
  <c r="Y110" i="1"/>
  <c r="BP104" i="1"/>
  <c r="BN104" i="1"/>
  <c r="Z104" i="1"/>
  <c r="F9" i="1"/>
  <c r="J9" i="1"/>
  <c r="Z22" i="1"/>
  <c r="Z24" i="1" s="1"/>
  <c r="BN22" i="1"/>
  <c r="BP22" i="1"/>
  <c r="Y25" i="1"/>
  <c r="Z28" i="1"/>
  <c r="BN28" i="1"/>
  <c r="Z30" i="1"/>
  <c r="BN30" i="1"/>
  <c r="C543" i="1"/>
  <c r="Z42" i="1"/>
  <c r="BN42" i="1"/>
  <c r="Z44" i="1"/>
  <c r="BN44" i="1"/>
  <c r="Y47" i="1"/>
  <c r="D543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BP78" i="1"/>
  <c r="BN78" i="1"/>
  <c r="Y84" i="1"/>
  <c r="BP89" i="1"/>
  <c r="BN89" i="1"/>
  <c r="Z89" i="1"/>
  <c r="Z92" i="1" s="1"/>
  <c r="BP97" i="1"/>
  <c r="BN97" i="1"/>
  <c r="Z97" i="1"/>
  <c r="F543" i="1"/>
  <c r="Y92" i="1"/>
  <c r="G543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Y119" i="1"/>
  <c r="Z122" i="1"/>
  <c r="BN122" i="1"/>
  <c r="BP122" i="1"/>
  <c r="Z124" i="1"/>
  <c r="BN124" i="1"/>
  <c r="Y127" i="1"/>
  <c r="H543" i="1"/>
  <c r="Z135" i="1"/>
  <c r="Z136" i="1" s="1"/>
  <c r="BN135" i="1"/>
  <c r="BP135" i="1"/>
  <c r="Y136" i="1"/>
  <c r="Z139" i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Y155" i="1"/>
  <c r="J543" i="1"/>
  <c r="Z159" i="1"/>
  <c r="Z160" i="1" s="1"/>
  <c r="BN159" i="1"/>
  <c r="BP159" i="1"/>
  <c r="Y160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BN181" i="1"/>
  <c r="BP181" i="1"/>
  <c r="Z183" i="1"/>
  <c r="BN183" i="1"/>
  <c r="Y184" i="1"/>
  <c r="Z187" i="1"/>
  <c r="BN187" i="1"/>
  <c r="BP187" i="1"/>
  <c r="Y190" i="1"/>
  <c r="K543" i="1"/>
  <c r="Z199" i="1"/>
  <c r="BN199" i="1"/>
  <c r="Z201" i="1"/>
  <c r="BN201" i="1"/>
  <c r="Z203" i="1"/>
  <c r="BN203" i="1"/>
  <c r="Y206" i="1"/>
  <c r="L543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BP240" i="1"/>
  <c r="BN240" i="1"/>
  <c r="Z240" i="1"/>
  <c r="Y245" i="1"/>
  <c r="BP244" i="1"/>
  <c r="BN244" i="1"/>
  <c r="Z244" i="1"/>
  <c r="Z245" i="1" s="1"/>
  <c r="Y246" i="1"/>
  <c r="M543" i="1"/>
  <c r="Y251" i="1"/>
  <c r="Y252" i="1"/>
  <c r="BP249" i="1"/>
  <c r="BN249" i="1"/>
  <c r="Z249" i="1"/>
  <c r="Z251" i="1" s="1"/>
  <c r="Y154" i="1"/>
  <c r="Y205" i="1"/>
  <c r="BP232" i="1"/>
  <c r="BN232" i="1"/>
  <c r="BP234" i="1"/>
  <c r="BN234" i="1"/>
  <c r="Z234" i="1"/>
  <c r="Y236" i="1"/>
  <c r="Y241" i="1"/>
  <c r="BP238" i="1"/>
  <c r="BN238" i="1"/>
  <c r="Z238" i="1"/>
  <c r="Z255" i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43" i="1"/>
  <c r="Z292" i="1"/>
  <c r="BN292" i="1"/>
  <c r="Z294" i="1"/>
  <c r="BN294" i="1"/>
  <c r="Z296" i="1"/>
  <c r="BN296" i="1"/>
  <c r="Y299" i="1"/>
  <c r="BP311" i="1"/>
  <c r="BN311" i="1"/>
  <c r="Z311" i="1"/>
  <c r="P543" i="1"/>
  <c r="Y321" i="1"/>
  <c r="BP316" i="1"/>
  <c r="BN316" i="1"/>
  <c r="Z316" i="1"/>
  <c r="BP320" i="1"/>
  <c r="BN320" i="1"/>
  <c r="Z320" i="1"/>
  <c r="Y322" i="1"/>
  <c r="Q543" i="1"/>
  <c r="Y328" i="1"/>
  <c r="BP325" i="1"/>
  <c r="BN325" i="1"/>
  <c r="Z325" i="1"/>
  <c r="BP334" i="1"/>
  <c r="BN334" i="1"/>
  <c r="Z334" i="1"/>
  <c r="Y298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Y329" i="1"/>
  <c r="R543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Y342" i="1"/>
  <c r="Y349" i="1"/>
  <c r="Y358" i="1"/>
  <c r="Y368" i="1"/>
  <c r="Y376" i="1"/>
  <c r="Y382" i="1"/>
  <c r="Y388" i="1"/>
  <c r="Y394" i="1"/>
  <c r="Y401" i="1"/>
  <c r="Y415" i="1"/>
  <c r="Y421" i="1"/>
  <c r="Y425" i="1"/>
  <c r="Y436" i="1"/>
  <c r="Y440" i="1"/>
  <c r="Y446" i="1"/>
  <c r="Y456" i="1"/>
  <c r="Y462" i="1"/>
  <c r="Y467" i="1"/>
  <c r="Y472" i="1"/>
  <c r="BP469" i="1"/>
  <c r="BN469" i="1"/>
  <c r="Z469" i="1"/>
  <c r="BP479" i="1"/>
  <c r="BN479" i="1"/>
  <c r="Z479" i="1"/>
  <c r="BP483" i="1"/>
  <c r="BN483" i="1"/>
  <c r="Z483" i="1"/>
  <c r="S543" i="1"/>
  <c r="Z347" i="1"/>
  <c r="Z349" i="1" s="1"/>
  <c r="BN347" i="1"/>
  <c r="Y350" i="1"/>
  <c r="T543" i="1"/>
  <c r="Z354" i="1"/>
  <c r="BN354" i="1"/>
  <c r="Z356" i="1"/>
  <c r="BN356" i="1"/>
  <c r="Y359" i="1"/>
  <c r="Z362" i="1"/>
  <c r="BN362" i="1"/>
  <c r="Z364" i="1"/>
  <c r="BN364" i="1"/>
  <c r="Z366" i="1"/>
  <c r="BN366" i="1"/>
  <c r="Z372" i="1"/>
  <c r="BN372" i="1"/>
  <c r="Z374" i="1"/>
  <c r="BN374" i="1"/>
  <c r="Z378" i="1"/>
  <c r="BN378" i="1"/>
  <c r="BP378" i="1"/>
  <c r="Z380" i="1"/>
  <c r="BN380" i="1"/>
  <c r="Z384" i="1"/>
  <c r="BN384" i="1"/>
  <c r="BP384" i="1"/>
  <c r="Z386" i="1"/>
  <c r="BN386" i="1"/>
  <c r="Z392" i="1"/>
  <c r="BN392" i="1"/>
  <c r="U543" i="1"/>
  <c r="Z399" i="1"/>
  <c r="Z401" i="1" s="1"/>
  <c r="BN399" i="1"/>
  <c r="Y402" i="1"/>
  <c r="V543" i="1"/>
  <c r="Z407" i="1"/>
  <c r="BN407" i="1"/>
  <c r="Z409" i="1"/>
  <c r="BN409" i="1"/>
  <c r="Z411" i="1"/>
  <c r="BN411" i="1"/>
  <c r="Z413" i="1"/>
  <c r="BN413" i="1"/>
  <c r="Y414" i="1"/>
  <c r="Z417" i="1"/>
  <c r="BN417" i="1"/>
  <c r="BP417" i="1"/>
  <c r="Z419" i="1"/>
  <c r="BN419" i="1"/>
  <c r="Z423" i="1"/>
  <c r="Z425" i="1" s="1"/>
  <c r="BN423" i="1"/>
  <c r="BP423" i="1"/>
  <c r="W543" i="1"/>
  <c r="Z434" i="1"/>
  <c r="Z435" i="1" s="1"/>
  <c r="BN434" i="1"/>
  <c r="Y435" i="1"/>
  <c r="Z438" i="1"/>
  <c r="Z439" i="1" s="1"/>
  <c r="BN438" i="1"/>
  <c r="BP438" i="1"/>
  <c r="Z442" i="1"/>
  <c r="BN442" i="1"/>
  <c r="BP442" i="1"/>
  <c r="Z444" i="1"/>
  <c r="BN444" i="1"/>
  <c r="Z450" i="1"/>
  <c r="BN450" i="1"/>
  <c r="BP450" i="1"/>
  <c r="Z452" i="1"/>
  <c r="BN452" i="1"/>
  <c r="Z454" i="1"/>
  <c r="BN454" i="1"/>
  <c r="Y457" i="1"/>
  <c r="Z460" i="1"/>
  <c r="BN460" i="1"/>
  <c r="Z465" i="1"/>
  <c r="Z466" i="1" s="1"/>
  <c r="BN465" i="1"/>
  <c r="BP465" i="1"/>
  <c r="Y466" i="1"/>
  <c r="BP471" i="1"/>
  <c r="BN471" i="1"/>
  <c r="Z471" i="1"/>
  <c r="Y473" i="1"/>
  <c r="Z543" i="1"/>
  <c r="Y486" i="1"/>
  <c r="BP477" i="1"/>
  <c r="BN477" i="1"/>
  <c r="Z477" i="1"/>
  <c r="Y487" i="1"/>
  <c r="BP481" i="1"/>
  <c r="BN481" i="1"/>
  <c r="Z481" i="1"/>
  <c r="Y493" i="1"/>
  <c r="Y503" i="1"/>
  <c r="Y509" i="1"/>
  <c r="Y513" i="1"/>
  <c r="Y517" i="1"/>
  <c r="Y527" i="1"/>
  <c r="Y532" i="1"/>
  <c r="AA543" i="1"/>
  <c r="Z485" i="1"/>
  <c r="BN485" i="1"/>
  <c r="Z489" i="1"/>
  <c r="Z492" i="1" s="1"/>
  <c r="BN489" i="1"/>
  <c r="BP489" i="1"/>
  <c r="Z491" i="1"/>
  <c r="BN491" i="1"/>
  <c r="Z495" i="1"/>
  <c r="BN495" i="1"/>
  <c r="BP495" i="1"/>
  <c r="Z497" i="1"/>
  <c r="BN497" i="1"/>
  <c r="Z499" i="1"/>
  <c r="BN499" i="1"/>
  <c r="Z501" i="1"/>
  <c r="BN501" i="1"/>
  <c r="Z507" i="1"/>
  <c r="Z508" i="1" s="1"/>
  <c r="BN507" i="1"/>
  <c r="BP507" i="1"/>
  <c r="Z511" i="1"/>
  <c r="Z512" i="1" s="1"/>
  <c r="BN511" i="1"/>
  <c r="BP511" i="1"/>
  <c r="Z515" i="1"/>
  <c r="Z517" i="1" s="1"/>
  <c r="BN515" i="1"/>
  <c r="BP515" i="1"/>
  <c r="Z525" i="1"/>
  <c r="Z526" i="1" s="1"/>
  <c r="BN525" i="1"/>
  <c r="Z530" i="1"/>
  <c r="Z531" i="1" s="1"/>
  <c r="BN530" i="1"/>
  <c r="BP530" i="1"/>
  <c r="Y531" i="1"/>
  <c r="Z358" i="1" l="1"/>
  <c r="Z74" i="1"/>
  <c r="Z461" i="1"/>
  <c r="Z420" i="1"/>
  <c r="Z394" i="1"/>
  <c r="Z375" i="1"/>
  <c r="Z342" i="1"/>
  <c r="Z312" i="1"/>
  <c r="Z189" i="1"/>
  <c r="Z141" i="1"/>
  <c r="Z55" i="1"/>
  <c r="Z46" i="1"/>
  <c r="Z414" i="1"/>
  <c r="Z67" i="1"/>
  <c r="Z32" i="1"/>
  <c r="Z381" i="1"/>
  <c r="Z298" i="1"/>
  <c r="Z267" i="1"/>
  <c r="Z227" i="1"/>
  <c r="Z184" i="1"/>
  <c r="Z205" i="1"/>
  <c r="Z456" i="1"/>
  <c r="Z368" i="1"/>
  <c r="Z282" i="1"/>
  <c r="Z178" i="1"/>
  <c r="Z109" i="1"/>
  <c r="Z486" i="1"/>
  <c r="Z321" i="1"/>
  <c r="Y535" i="1"/>
  <c r="Y537" i="1"/>
  <c r="Z502" i="1"/>
  <c r="Z445" i="1"/>
  <c r="Z388" i="1"/>
  <c r="Z472" i="1"/>
  <c r="Z337" i="1"/>
  <c r="Z328" i="1"/>
  <c r="Z241" i="1"/>
  <c r="Z235" i="1"/>
  <c r="Z154" i="1"/>
  <c r="Z126" i="1"/>
  <c r="Z119" i="1"/>
  <c r="Y533" i="1"/>
  <c r="Y534" i="1"/>
  <c r="Z99" i="1"/>
  <c r="Z538" i="1" l="1"/>
  <c r="Y536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<sst xmlns="http://schemas.openxmlformats.org/spreadsheetml/2006/main" count="2409" uniqueCount="873">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</sst>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64" sqref="AA64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46221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833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0.45833333333333331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hidden="1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hidden="1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6</v>
      </c>
      <c r="Y64" s="606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6.2850000000000001</v>
      </c>
      <c r="BN64" s="64">
        <f t="shared" si="2"/>
        <v>8.3800000000000008</v>
      </c>
      <c r="BO64" s="64">
        <f t="shared" si="3"/>
        <v>1.1363636363636364E-2</v>
      </c>
      <c r="BP64" s="64">
        <f t="shared" si="4"/>
        <v>1.5151515151515152E-2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53</v>
      </c>
      <c r="Y66" s="606">
        <f t="shared" si="0"/>
        <v>54</v>
      </c>
      <c r="Z66" s="36">
        <f>IFERROR(IF(Y66=0,"",ROUNDUP(Y66/H66,0)*0.00902),"")</f>
        <v>0.10824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55.237777777777779</v>
      </c>
      <c r="BN66" s="64">
        <f t="shared" si="2"/>
        <v>56.28</v>
      </c>
      <c r="BO66" s="64">
        <f t="shared" si="3"/>
        <v>8.9225589225589236E-2</v>
      </c>
      <c r="BP66" s="64">
        <f t="shared" si="4"/>
        <v>9.0909090909090912E-2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13.277777777777779</v>
      </c>
      <c r="Y67" s="607">
        <f>IFERROR(Y59/H59,"0")+IFERROR(Y60/H60,"0")+IFERROR(Y61/H61,"0")+IFERROR(Y62/H62,"0")+IFERROR(Y63/H63,"0")+IFERROR(Y64/H64,"0")+IFERROR(Y65/H65,"0")+IFERROR(Y66/H66,"0")</f>
        <v>14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0.12628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59</v>
      </c>
      <c r="Y68" s="607">
        <f>IFERROR(SUM(Y59:Y66),"0")</f>
        <v>62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102</v>
      </c>
      <c r="Y70" s="606">
        <f>IFERROR(IF(X70="",0,CEILING((X70/$H70),1)*$H70),"")</f>
        <v>108</v>
      </c>
      <c r="Z70" s="36">
        <f>IFERROR(IF(Y70=0,"",ROUNDUP(Y70/H70,0)*0.01898),"")</f>
        <v>0.1898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105.87222222222222</v>
      </c>
      <c r="BN70" s="64">
        <f>IFERROR(Y70*I70/H70,"0")</f>
        <v>112.1</v>
      </c>
      <c r="BO70" s="64">
        <f>IFERROR(1/J70*(X70/H70),"0")</f>
        <v>0.14756944444444445</v>
      </c>
      <c r="BP70" s="64">
        <f>IFERROR(1/J70*(Y70/H70),"0")</f>
        <v>0.15625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9.4444444444444446</v>
      </c>
      <c r="Y74" s="607">
        <f>IFERROR(Y70/H70,"0")+IFERROR(Y71/H71,"0")+IFERROR(Y72/H72,"0")+IFERROR(Y73/H73,"0")</f>
        <v>10</v>
      </c>
      <c r="Z74" s="607">
        <f>IFERROR(IF(Z70="",0,Z70),"0")+IFERROR(IF(Z71="",0,Z71),"0")+IFERROR(IF(Z72="",0,Z72),"0")+IFERROR(IF(Z73="",0,Z73),"0")</f>
        <v>0.1898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102</v>
      </c>
      <c r="Y75" s="607">
        <f>IFERROR(SUM(Y70:Y73),"0")</f>
        <v>108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60</v>
      </c>
      <c r="Y82" s="606">
        <f>IFERROR(IF(X82="",0,CEILING((X82/$H82),1)*$H82),"")</f>
        <v>62.4</v>
      </c>
      <c r="Z82" s="36">
        <f>IFERROR(IF(Y82=0,"",ROUNDUP(Y82/H82,0)*0.01898),"")</f>
        <v>0.15184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63.15384615384616</v>
      </c>
      <c r="BN82" s="64">
        <f>IFERROR(Y82*I82/H82,"0")</f>
        <v>65.680000000000007</v>
      </c>
      <c r="BO82" s="64">
        <f>IFERROR(1/J82*(X82/H82),"0")</f>
        <v>0.1201923076923077</v>
      </c>
      <c r="BP82" s="64">
        <f>IFERROR(1/J82*(Y82/H82),"0")</f>
        <v>0.125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7.6923076923076925</v>
      </c>
      <c r="Y84" s="607">
        <f>IFERROR(Y82/H82,"0")+IFERROR(Y83/H83,"0")</f>
        <v>8</v>
      </c>
      <c r="Z84" s="607">
        <f>IFERROR(IF(Z82="",0,Z82),"0")+IFERROR(IF(Z83="",0,Z83),"0")</f>
        <v>0.15184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60</v>
      </c>
      <c r="Y85" s="607">
        <f>IFERROR(SUM(Y82:Y83),"0")</f>
        <v>62.4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131</v>
      </c>
      <c r="Y91" s="606">
        <f>IFERROR(IF(X91="",0,CEILING((X91/$H91),1)*$H91),"")</f>
        <v>135</v>
      </c>
      <c r="Z91" s="36">
        <f>IFERROR(IF(Y91=0,"",ROUNDUP(Y91/H91,0)*0.00902),"")</f>
        <v>0.27060000000000001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136.53111111111113</v>
      </c>
      <c r="BN91" s="64">
        <f>IFERROR(Y91*I91/H91,"0")</f>
        <v>140.70000000000002</v>
      </c>
      <c r="BO91" s="64">
        <f>IFERROR(1/J91*(X91/H91),"0")</f>
        <v>0.22053872053872053</v>
      </c>
      <c r="BP91" s="64">
        <f>IFERROR(1/J91*(Y91/H91),"0")</f>
        <v>0.22727272727272729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29.111111111111111</v>
      </c>
      <c r="Y92" s="607">
        <f>IFERROR(Y88/H88,"0")+IFERROR(Y89/H89,"0")+IFERROR(Y90/H90,"0")+IFERROR(Y91/H91,"0")</f>
        <v>30</v>
      </c>
      <c r="Z92" s="607">
        <f>IFERROR(IF(Z88="",0,Z88),"0")+IFERROR(IF(Z89="",0,Z89),"0")+IFERROR(IF(Z90="",0,Z90),"0")+IFERROR(IF(Z91="",0,Z91),"0")</f>
        <v>0.27060000000000001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131</v>
      </c>
      <c r="Y93" s="607">
        <f>IFERROR(SUM(Y88:Y91),"0")</f>
        <v>135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454</v>
      </c>
      <c r="Y95" s="606">
        <f>IFERROR(IF(X95="",0,CEILING((X95/$H95),1)*$H95),"")</f>
        <v>461.7</v>
      </c>
      <c r="Z95" s="36">
        <f>IFERROR(IF(Y95=0,"",ROUNDUP(Y95/H95,0)*0.01898),"")</f>
        <v>1.08186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481.68839506172839</v>
      </c>
      <c r="BN95" s="64">
        <f>IFERROR(Y95*I95/H95,"0")</f>
        <v>489.85799999999995</v>
      </c>
      <c r="BO95" s="64">
        <f>IFERROR(1/J95*(X95/H95),"0")</f>
        <v>0.87577160493827166</v>
      </c>
      <c r="BP95" s="64">
        <f>IFERROR(1/J95*(Y95/H95),"0")</f>
        <v>0.890625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56.049382716049386</v>
      </c>
      <c r="Y99" s="607">
        <f>IFERROR(Y95/H95,"0")+IFERROR(Y96/H96,"0")+IFERROR(Y97/H97,"0")+IFERROR(Y98/H98,"0")</f>
        <v>57</v>
      </c>
      <c r="Z99" s="607">
        <f>IFERROR(IF(Z95="",0,Z95),"0")+IFERROR(IF(Z96="",0,Z96),"0")+IFERROR(IF(Z97="",0,Z97),"0")+IFERROR(IF(Z98="",0,Z98),"0")</f>
        <v>1.08186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454</v>
      </c>
      <c r="Y100" s="607">
        <f>IFERROR(SUM(Y95:Y98),"0")</f>
        <v>461.7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4</v>
      </c>
      <c r="Y103" s="606">
        <f t="shared" ref="Y103:Y108" si="5">IFERROR(IF(X103="",0,CEILING((X103/$H103),1)*$H103),"")</f>
        <v>10.8</v>
      </c>
      <c r="Z103" s="36">
        <f>IFERROR(IF(Y103=0,"",ROUNDUP(Y103/H103,0)*0.01898),"")</f>
        <v>1.898E-2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4.1518518518518519</v>
      </c>
      <c r="BN103" s="64">
        <f t="shared" ref="BN103:BN108" si="7">IFERROR(Y103*I103/H103,"0")</f>
        <v>11.21</v>
      </c>
      <c r="BO103" s="64">
        <f t="shared" ref="BO103:BO108" si="8">IFERROR(1/J103*(X103/H103),"0")</f>
        <v>5.7870370370370367E-3</v>
      </c>
      <c r="BP103" s="64">
        <f t="shared" ref="BP103:BP108" si="9">IFERROR(1/J103*(Y103/H103),"0")</f>
        <v>1.5625E-2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102</v>
      </c>
      <c r="Y107" s="606">
        <f t="shared" si="5"/>
        <v>103.5</v>
      </c>
      <c r="Z107" s="36">
        <f>IFERROR(IF(Y107=0,"",ROUNDUP(Y107/H107,0)*0.00902),"")</f>
        <v>0.20746000000000001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106.30666666666667</v>
      </c>
      <c r="BN107" s="64">
        <f t="shared" si="7"/>
        <v>107.87</v>
      </c>
      <c r="BO107" s="64">
        <f t="shared" si="8"/>
        <v>0.17171717171717174</v>
      </c>
      <c r="BP107" s="64">
        <f t="shared" si="9"/>
        <v>0.17424242424242425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23.037037037037038</v>
      </c>
      <c r="Y109" s="607">
        <f>IFERROR(Y103/H103,"0")+IFERROR(Y104/H104,"0")+IFERROR(Y105/H105,"0")+IFERROR(Y106/H106,"0")+IFERROR(Y107/H107,"0")+IFERROR(Y108/H108,"0")</f>
        <v>24</v>
      </c>
      <c r="Z109" s="607">
        <f>IFERROR(IF(Z103="",0,Z103),"0")+IFERROR(IF(Z104="",0,Z104),"0")+IFERROR(IF(Z105="",0,Z105),"0")+IFERROR(IF(Z106="",0,Z106),"0")+IFERROR(IF(Z107="",0,Z107),"0")+IFERROR(IF(Z108="",0,Z108),"0")</f>
        <v>0.22644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106</v>
      </c>
      <c r="Y110" s="607">
        <f>IFERROR(SUM(Y103:Y108),"0")</f>
        <v>114.3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44</v>
      </c>
      <c r="Y112" s="606">
        <f t="shared" ref="Y112:Y118" si="10"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45.670370370370371</v>
      </c>
      <c r="BN112" s="64">
        <f t="shared" ref="BN112:BN118" si="12">IFERROR(Y112*I112/H112,"0")</f>
        <v>56.05</v>
      </c>
      <c r="BO112" s="64">
        <f t="shared" ref="BO112:BO118" si="13">IFERROR(1/J112*(X112/H112),"0")</f>
        <v>6.3657407407407399E-2</v>
      </c>
      <c r="BP112" s="64">
        <f t="shared" ref="BP112:BP118" si="14">IFERROR(1/J112*(Y112/H112),"0")</f>
        <v>7.8125E-2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4.0740740740740735</v>
      </c>
      <c r="Y119" s="607">
        <f>IFERROR(Y112/H112,"0")+IFERROR(Y113/H113,"0")+IFERROR(Y114/H114,"0")+IFERROR(Y115/H115,"0")+IFERROR(Y116/H116,"0")+IFERROR(Y117/H117,"0")+IFERROR(Y118/H118,"0")</f>
        <v>5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9.4899999999999998E-2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44</v>
      </c>
      <c r="Y120" s="607">
        <f>IFERROR(SUM(Y112:Y118),"0")</f>
        <v>54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262</v>
      </c>
      <c r="Y122" s="606">
        <f>IFERROR(IF(X122="",0,CEILING((X122/$H122),1)*$H122),"")</f>
        <v>267.3</v>
      </c>
      <c r="Z122" s="36">
        <f>IFERROR(IF(Y122=0,"",ROUNDUP(Y122/H122,0)*0.01898),"")</f>
        <v>0.62634000000000001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277.78469135802465</v>
      </c>
      <c r="BN122" s="64">
        <f>IFERROR(Y122*I122/H122,"0")</f>
        <v>283.404</v>
      </c>
      <c r="BO122" s="64">
        <f>IFERROR(1/J122*(X122/H122),"0")</f>
        <v>0.5054012345679012</v>
      </c>
      <c r="BP122" s="64">
        <f>IFERROR(1/J122*(Y122/H122),"0")</f>
        <v>0.515625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31</v>
      </c>
      <c r="Y124" s="606">
        <f>IFERROR(IF(X124="",0,CEILING((X124/$H124),1)*$H124),"")</f>
        <v>32.400000000000006</v>
      </c>
      <c r="Z124" s="36">
        <f>IFERROR(IF(Y124=0,"",ROUNDUP(Y124/H124,0)*0.00651),"")</f>
        <v>7.8119999999999995E-2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33.893333333333331</v>
      </c>
      <c r="BN124" s="64">
        <f>IFERROR(Y124*I124/H124,"0")</f>
        <v>35.424000000000007</v>
      </c>
      <c r="BO124" s="64">
        <f>IFERROR(1/J124*(X124/H124),"0")</f>
        <v>6.3085063085063092E-2</v>
      </c>
      <c r="BP124" s="64">
        <f>IFERROR(1/J124*(Y124/H124),"0")</f>
        <v>6.593406593406595E-2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43.827160493827158</v>
      </c>
      <c r="Y126" s="607">
        <f>IFERROR(Y122/H122,"0")+IFERROR(Y123/H123,"0")+IFERROR(Y124/H124,"0")+IFERROR(Y125/H125,"0")</f>
        <v>45</v>
      </c>
      <c r="Z126" s="607">
        <f>IFERROR(IF(Z122="",0,Z122),"0")+IFERROR(IF(Z123="",0,Z123),"0")+IFERROR(IF(Z124="",0,Z124),"0")+IFERROR(IF(Z125="",0,Z125),"0")</f>
        <v>0.70445999999999998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293</v>
      </c>
      <c r="Y127" s="607">
        <f>IFERROR(SUM(Y122:Y125),"0")</f>
        <v>299.70000000000005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23</v>
      </c>
      <c r="Y129" s="606">
        <f>IFERROR(IF(X129="",0,CEILING((X129/$H129),1)*$H129),"")</f>
        <v>23.759999999999998</v>
      </c>
      <c r="Z129" s="36">
        <f>IFERROR(IF(Y129=0,"",ROUNDUP(Y129/H129,0)*0.00651),"")</f>
        <v>7.8119999999999995E-2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25.996969696969696</v>
      </c>
      <c r="BN129" s="64">
        <f>IFERROR(Y129*I129/H129,"0")</f>
        <v>26.855999999999998</v>
      </c>
      <c r="BO129" s="64">
        <f>IFERROR(1/J129*(X129/H129),"0")</f>
        <v>6.3825063825063824E-2</v>
      </c>
      <c r="BP129" s="64">
        <f>IFERROR(1/J129*(Y129/H129),"0")</f>
        <v>6.5934065934065936E-2</v>
      </c>
    </row>
    <row r="130" spans="1:68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11.616161616161616</v>
      </c>
      <c r="Y130" s="607">
        <f>IFERROR(Y129/H129,"0")</f>
        <v>11.999999999999998</v>
      </c>
      <c r="Z130" s="607">
        <f>IFERROR(IF(Z129="",0,Z129),"0")</f>
        <v>7.8119999999999995E-2</v>
      </c>
      <c r="AA130" s="608"/>
      <c r="AB130" s="608"/>
      <c r="AC130" s="608"/>
    </row>
    <row r="131" spans="1:68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23</v>
      </c>
      <c r="Y131" s="607">
        <f>IFERROR(SUM(Y129:Y129),"0")</f>
        <v>23.759999999999998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26</v>
      </c>
      <c r="Y144" s="606">
        <f>IFERROR(IF(X144="",0,CEILING((X144/$H144),1)*$H144),"")</f>
        <v>26.400000000000002</v>
      </c>
      <c r="Z144" s="36">
        <f>IFERROR(IF(Y144=0,"",ROUNDUP(Y144/H144,0)*0.00651),"")</f>
        <v>6.5100000000000005E-2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28.639393939393941</v>
      </c>
      <c r="BN144" s="64">
        <f>IFERROR(Y144*I144/H144,"0")</f>
        <v>29.080000000000002</v>
      </c>
      <c r="BO144" s="64">
        <f>IFERROR(1/J144*(X144/H144),"0")</f>
        <v>5.4112554112554112E-2</v>
      </c>
      <c r="BP144" s="64">
        <f>IFERROR(1/J144*(Y144/H144),"0")</f>
        <v>5.4945054945054951E-2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9.8484848484848477</v>
      </c>
      <c r="Y146" s="607">
        <f>IFERROR(Y144/H144,"0")+IFERROR(Y145/H145,"0")</f>
        <v>10</v>
      </c>
      <c r="Z146" s="607">
        <f>IFERROR(IF(Z144="",0,Z144),"0")+IFERROR(IF(Z145="",0,Z145),"0")</f>
        <v>6.5100000000000005E-2</v>
      </c>
      <c r="AA146" s="608"/>
      <c r="AB146" s="608"/>
      <c r="AC146" s="608"/>
    </row>
    <row r="147" spans="1:68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26</v>
      </c>
      <c r="Y147" s="607">
        <f>IFERROR(SUM(Y144:Y145),"0")</f>
        <v>26.400000000000002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156</v>
      </c>
      <c r="Y167" s="606">
        <f t="shared" ref="Y167:Y177" si="15">IFERROR(IF(X167="",0,CEILING((X167/$H167),1)*$H167),"")</f>
        <v>157.5</v>
      </c>
      <c r="Z167" s="36">
        <f>IFERROR(IF(Y167=0,"",ROUNDUP(Y167/H167,0)*0.00902),"")</f>
        <v>0.40590000000000004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164.46857142857144</v>
      </c>
      <c r="BN167" s="64">
        <f t="shared" ref="BN167:BN177" si="17">IFERROR(Y167*I167/H167,"0")</f>
        <v>166.04999999999998</v>
      </c>
      <c r="BO167" s="64">
        <f t="shared" ref="BO167:BO177" si="18">IFERROR(1/J167*(X167/H167),"0")</f>
        <v>0.33766233766233766</v>
      </c>
      <c r="BP167" s="64">
        <f t="shared" ref="BP167:BP177" si="19">IFERROR(1/J167*(Y167/H167),"0")</f>
        <v>0.34090909090909094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111</v>
      </c>
      <c r="Y170" s="606">
        <f t="shared" si="15"/>
        <v>112</v>
      </c>
      <c r="Z170" s="36">
        <f>IFERROR(IF(Y170=0,"",ROUNDUP(Y170/H170,0)*0.00902),"")</f>
        <v>0.28864000000000001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117.02571428571427</v>
      </c>
      <c r="BN170" s="64">
        <f t="shared" si="17"/>
        <v>118.08</v>
      </c>
      <c r="BO170" s="64">
        <f t="shared" si="18"/>
        <v>0.24025974025974028</v>
      </c>
      <c r="BP170" s="64">
        <f t="shared" si="19"/>
        <v>0.24242424242424243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3</v>
      </c>
      <c r="Y171" s="606">
        <f t="shared" si="15"/>
        <v>3.6</v>
      </c>
      <c r="Z171" s="36">
        <f>IFERROR(IF(Y171=0,"",ROUNDUP(Y171/H171,0)*0.00417),"")</f>
        <v>1.668E-2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3.7</v>
      </c>
      <c r="BN171" s="64">
        <f t="shared" si="17"/>
        <v>4.4400000000000004</v>
      </c>
      <c r="BO171" s="64">
        <f t="shared" si="18"/>
        <v>9.9206349206349183E-3</v>
      </c>
      <c r="BP171" s="64">
        <f t="shared" si="19"/>
        <v>1.1904761904761904E-2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2</v>
      </c>
      <c r="Y173" s="606">
        <f t="shared" si="15"/>
        <v>2.7</v>
      </c>
      <c r="Z173" s="36">
        <f>IFERROR(IF(Y173=0,"",ROUNDUP(Y173/H173,0)*0.00417),"")</f>
        <v>1.251E-2</v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2.4666666666666668</v>
      </c>
      <c r="BN173" s="64">
        <f t="shared" si="17"/>
        <v>3.33</v>
      </c>
      <c r="BO173" s="64">
        <f t="shared" si="18"/>
        <v>6.6137566137566134E-3</v>
      </c>
      <c r="BP173" s="64">
        <f t="shared" si="19"/>
        <v>8.9285714285714281E-3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3</v>
      </c>
      <c r="Y176" s="606">
        <f t="shared" si="15"/>
        <v>3.6</v>
      </c>
      <c r="Z176" s="36">
        <f>IFERROR(IF(Y176=0,"",ROUNDUP(Y176/H176,0)*0.00417),"")</f>
        <v>1.668E-2</v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3.333333333333333</v>
      </c>
      <c r="BN176" s="64">
        <f t="shared" si="17"/>
        <v>4</v>
      </c>
      <c r="BO176" s="64">
        <f t="shared" si="18"/>
        <v>9.9206349206349183E-3</v>
      </c>
      <c r="BP176" s="64">
        <f t="shared" si="19"/>
        <v>1.1904761904761904E-2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85.174603174603163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88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0.74041000000000012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275</v>
      </c>
      <c r="Y179" s="607">
        <f>IFERROR(SUM(Y167:Y177),"0")</f>
        <v>279.40000000000003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60</v>
      </c>
      <c r="Y213" s="606">
        <f t="shared" ref="Y213:Y226" si="26">IFERROR(IF(X213="",0,CEILING((X213/$H213),1)*$H213),"")</f>
        <v>63</v>
      </c>
      <c r="Z213" s="36">
        <f>IFERROR(IF(Y213=0,"",ROUNDUP(Y213/H213,0)*0.00902),"")</f>
        <v>0.1353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63.571428571428569</v>
      </c>
      <c r="BN213" s="64">
        <f t="shared" ref="BN213:BN226" si="28">IFERROR(Y213*I213/H213,"0")</f>
        <v>66.75</v>
      </c>
      <c r="BO213" s="64">
        <f t="shared" ref="BO213:BO226" si="29">IFERROR(1/J213*(X213/H213),"0")</f>
        <v>0.10822510822510822</v>
      </c>
      <c r="BP213" s="64">
        <f t="shared" ref="BP213:BP226" si="30">IFERROR(1/J213*(Y213/H213),"0")</f>
        <v>0.11363636363636365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121</v>
      </c>
      <c r="Y215" s="606">
        <f t="shared" si="26"/>
        <v>121.80000000000001</v>
      </c>
      <c r="Z215" s="36">
        <f>IFERROR(IF(Y215=0,"",ROUNDUP(Y215/H215,0)*0.00902),"")</f>
        <v>0.26158000000000003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126.47380952380951</v>
      </c>
      <c r="BN215" s="64">
        <f t="shared" si="28"/>
        <v>127.30999999999999</v>
      </c>
      <c r="BO215" s="64">
        <f t="shared" si="29"/>
        <v>0.21825396825396823</v>
      </c>
      <c r="BP215" s="64">
        <f t="shared" si="30"/>
        <v>0.2196969696969697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1</v>
      </c>
      <c r="Y223" s="606">
        <f t="shared" si="26"/>
        <v>1.6</v>
      </c>
      <c r="Z223" s="36">
        <f>IFERROR(IF(Y223=0,"",ROUNDUP(Y223/H223,0)*0.00417),"")</f>
        <v>8.3400000000000002E-3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1.2625</v>
      </c>
      <c r="BN223" s="64">
        <f t="shared" si="28"/>
        <v>2.02</v>
      </c>
      <c r="BO223" s="64">
        <f t="shared" si="29"/>
        <v>3.720238095238095E-3</v>
      </c>
      <c r="BP223" s="64">
        <f t="shared" si="30"/>
        <v>5.9523809523809521E-3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7</v>
      </c>
      <c r="Y224" s="606">
        <f t="shared" si="26"/>
        <v>8.4</v>
      </c>
      <c r="Z224" s="36">
        <f>IFERROR(IF(Y224=0,"",ROUNDUP(Y224/H224,0)*0.00502),"")</f>
        <v>2.0080000000000001E-2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7.3333333333333339</v>
      </c>
      <c r="BN224" s="64">
        <f t="shared" si="28"/>
        <v>8.8000000000000007</v>
      </c>
      <c r="BO224" s="64">
        <f t="shared" si="29"/>
        <v>1.4245014245014245E-2</v>
      </c>
      <c r="BP224" s="64">
        <f t="shared" si="30"/>
        <v>1.7094017094017096E-2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47.678571428571423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0.42530000000000001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189</v>
      </c>
      <c r="Y228" s="607">
        <f>IFERROR(SUM(Y213:Y226),"0")</f>
        <v>194.8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1</v>
      </c>
      <c r="Y239" s="60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4</v>
      </c>
      <c r="Y240" s="60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3.9682539682539679</v>
      </c>
      <c r="Y241" s="607">
        <f>IFERROR(Y238/H238,"0")+IFERROR(Y239/H239,"0")+IFERROR(Y240/H240,"0")</f>
        <v>5</v>
      </c>
      <c r="Z241" s="607">
        <f>IFERROR(IF(Z238="",0,Z238),"0")+IFERROR(IF(Z239="",0,Z239),"0")+IFERROR(IF(Z240="",0,Z240),"0")</f>
        <v>2.9499999999999998E-2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5</v>
      </c>
      <c r="Y242" s="607">
        <f>IFERROR(SUM(Y238:Y240),"0")</f>
        <v>6.3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66</v>
      </c>
      <c r="Y259" s="606">
        <f t="shared" ref="Y259:Y266" si="32">IFERROR(IF(X259="",0,CEILING((X259/$H259),1)*$H259),"")</f>
        <v>70.2</v>
      </c>
      <c r="Z259" s="36">
        <f>IFERROR(IF(Y259=0,"",ROUNDUP(Y259/H259,0)*0.00902),"")</f>
        <v>0.11726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68.322222222222223</v>
      </c>
      <c r="BN259" s="64">
        <f t="shared" ref="BN259:BN266" si="34">IFERROR(Y259*I259/H259,"0")</f>
        <v>72.67</v>
      </c>
      <c r="BO259" s="64">
        <f t="shared" ref="BO259:BO266" si="35">IFERROR(1/J259*(X259/H259),"0")</f>
        <v>9.2592592592592587E-2</v>
      </c>
      <c r="BP259" s="64">
        <f t="shared" ref="BP259:BP266" si="36">IFERROR(1/J259*(Y259/H259),"0")</f>
        <v>9.8484848484848481E-2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45</v>
      </c>
      <c r="Y260" s="606">
        <f t="shared" si="32"/>
        <v>48.6</v>
      </c>
      <c r="Z260" s="36">
        <f>IFERROR(IF(Y260=0,"",ROUNDUP(Y260/H260,0)*0.00902),"")</f>
        <v>8.1180000000000002E-2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46.583333333333329</v>
      </c>
      <c r="BN260" s="64">
        <f t="shared" si="34"/>
        <v>50.309999999999995</v>
      </c>
      <c r="BO260" s="64">
        <f t="shared" si="35"/>
        <v>6.3131313131313122E-2</v>
      </c>
      <c r="BP260" s="64">
        <f t="shared" si="36"/>
        <v>6.8181818181818177E-2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424</v>
      </c>
      <c r="Y261" s="606">
        <f t="shared" si="32"/>
        <v>426.6</v>
      </c>
      <c r="Z261" s="36">
        <f>IFERROR(IF(Y261=0,"",ROUNDUP(Y261/H261,0)*0.00902),"")</f>
        <v>0.71257999999999999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438.91851851851845</v>
      </c>
      <c r="BN261" s="64">
        <f t="shared" si="34"/>
        <v>441.60999999999996</v>
      </c>
      <c r="BO261" s="64">
        <f t="shared" si="35"/>
        <v>0.59483726150392824</v>
      </c>
      <c r="BP261" s="64">
        <f t="shared" si="36"/>
        <v>0.59848484848484851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71</v>
      </c>
      <c r="Y262" s="606">
        <f t="shared" si="32"/>
        <v>75.600000000000009</v>
      </c>
      <c r="Z262" s="36">
        <f>IFERROR(IF(Y262=0,"",ROUNDUP(Y262/H262,0)*0.00902),"")</f>
        <v>0.12628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73.498148148148147</v>
      </c>
      <c r="BN262" s="64">
        <f t="shared" si="34"/>
        <v>78.260000000000005</v>
      </c>
      <c r="BO262" s="64">
        <f t="shared" si="35"/>
        <v>9.9607182940516265E-2</v>
      </c>
      <c r="BP262" s="64">
        <f t="shared" si="36"/>
        <v>0.10606060606060606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65</v>
      </c>
      <c r="Y263" s="606">
        <f t="shared" si="32"/>
        <v>66.600000000000009</v>
      </c>
      <c r="Z263" s="36">
        <f>IFERROR(IF(Y263=0,"",ROUNDUP(Y263/H263,0)*0.00502),"")</f>
        <v>0.18574000000000002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69.694444444444443</v>
      </c>
      <c r="BN263" s="64">
        <f t="shared" si="34"/>
        <v>71.410000000000011</v>
      </c>
      <c r="BO263" s="64">
        <f t="shared" si="35"/>
        <v>0.15432098765432098</v>
      </c>
      <c r="BP263" s="64">
        <f t="shared" si="36"/>
        <v>0.15811965811965817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64</v>
      </c>
      <c r="Y264" s="606">
        <f t="shared" si="32"/>
        <v>64.8</v>
      </c>
      <c r="Z264" s="36">
        <f>IFERROR(IF(Y264=0,"",ROUNDUP(Y264/H264,0)*0.00502),"")</f>
        <v>0.18071999999999999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67.555555555555557</v>
      </c>
      <c r="BN264" s="64">
        <f t="shared" si="34"/>
        <v>68.399999999999991</v>
      </c>
      <c r="BO264" s="64">
        <f t="shared" si="35"/>
        <v>0.1519468186134853</v>
      </c>
      <c r="BP264" s="64">
        <f t="shared" si="36"/>
        <v>0.15384615384615385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183.88888888888891</v>
      </c>
      <c r="Y267" s="607">
        <f>IFERROR(Y259/H259,"0")+IFERROR(Y260/H260,"0")+IFERROR(Y261/H261,"0")+IFERROR(Y262/H262,"0")+IFERROR(Y263/H263,"0")+IFERROR(Y264/H264,"0")+IFERROR(Y265/H265,"0")+IFERROR(Y266/H266,"0")</f>
        <v>188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1.4037599999999999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735</v>
      </c>
      <c r="Y268" s="607">
        <f>IFERROR(SUM(Y259:Y266),"0")</f>
        <v>752.40000000000009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89</v>
      </c>
      <c r="Y270" s="606">
        <f t="shared" ref="Y270:Y281" si="37">IFERROR(IF(X270="",0,CEILING((X270/$H270),1)*$H270),"")</f>
        <v>89.1</v>
      </c>
      <c r="Z270" s="36">
        <f>IFERROR(IF(Y270=0,"",ROUNDUP(Y270/H270,0)*0.01898),"")</f>
        <v>0.20877999999999999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94.427901234567898</v>
      </c>
      <c r="BN270" s="64">
        <f t="shared" ref="BN270:BN281" si="39">IFERROR(Y270*I270/H270,"0")</f>
        <v>94.533999999999992</v>
      </c>
      <c r="BO270" s="64">
        <f t="shared" ref="BO270:BO281" si="40">IFERROR(1/J270*(X270/H270),"0")</f>
        <v>0.17168209876543211</v>
      </c>
      <c r="BP270" s="64">
        <f t="shared" ref="BP270:BP281" si="41">IFERROR(1/J270*(Y270/H270),"0")</f>
        <v>0.171875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30</v>
      </c>
      <c r="Y272" s="606">
        <f t="shared" si="37"/>
        <v>34.799999999999997</v>
      </c>
      <c r="Z272" s="36">
        <f>IFERROR(IF(Y272=0,"",ROUNDUP(Y272/H272,0)*0.01898),"")</f>
        <v>7.5920000000000001E-2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31.703448275862076</v>
      </c>
      <c r="BN272" s="64">
        <f t="shared" si="39"/>
        <v>36.776000000000003</v>
      </c>
      <c r="BO272" s="64">
        <f t="shared" si="40"/>
        <v>5.387931034482759E-2</v>
      </c>
      <c r="BP272" s="64">
        <f t="shared" si="41"/>
        <v>6.25E-2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0</v>
      </c>
      <c r="Y273" s="606">
        <f t="shared" si="37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39</v>
      </c>
      <c r="Y276" s="606">
        <f t="shared" si="37"/>
        <v>40.799999999999997</v>
      </c>
      <c r="Z276" s="36">
        <f>IFERROR(IF(Y276=0,"",ROUNDUP(Y276/H276,0)*0.00651),"")</f>
        <v>0.11067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43.095000000000006</v>
      </c>
      <c r="BN276" s="64">
        <f t="shared" si="39"/>
        <v>45.084000000000003</v>
      </c>
      <c r="BO276" s="64">
        <f t="shared" si="40"/>
        <v>8.9285714285714288E-2</v>
      </c>
      <c r="BP276" s="64">
        <f t="shared" si="41"/>
        <v>9.3406593406593408E-2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0</v>
      </c>
      <c r="Y278" s="606">
        <f t="shared" si="37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0</v>
      </c>
      <c r="BN278" s="64">
        <f t="shared" si="39"/>
        <v>0</v>
      </c>
      <c r="BO278" s="64">
        <f t="shared" si="40"/>
        <v>0</v>
      </c>
      <c r="BP278" s="64">
        <f t="shared" si="41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62</v>
      </c>
      <c r="Y279" s="606">
        <f t="shared" si="37"/>
        <v>62.4</v>
      </c>
      <c r="Z279" s="36">
        <f>IFERROR(IF(Y279=0,"",ROUNDUP(Y279/H279,0)*0.00651),"")</f>
        <v>0.16925999999999999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68.510000000000005</v>
      </c>
      <c r="BN279" s="64">
        <f t="shared" si="39"/>
        <v>68.952000000000012</v>
      </c>
      <c r="BO279" s="64">
        <f t="shared" si="40"/>
        <v>0.14194139194139196</v>
      </c>
      <c r="BP279" s="64">
        <f t="shared" si="41"/>
        <v>0.14285714285714288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64</v>
      </c>
      <c r="Y280" s="606">
        <f t="shared" si="37"/>
        <v>64.8</v>
      </c>
      <c r="Z280" s="36">
        <f>IFERROR(IF(Y280=0,"",ROUNDUP(Y280/H280,0)*0.00651),"")</f>
        <v>0.17577000000000001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70.88</v>
      </c>
      <c r="BN280" s="64">
        <f t="shared" si="39"/>
        <v>71.765999999999991</v>
      </c>
      <c r="BO280" s="64">
        <f t="shared" si="40"/>
        <v>0.14652014652014653</v>
      </c>
      <c r="BP280" s="64">
        <f t="shared" si="41"/>
        <v>0.14835164835164835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83.185930183056627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85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0.74039999999999995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284</v>
      </c>
      <c r="Y283" s="607">
        <f>IFERROR(SUM(Y270:Y281),"0")</f>
        <v>291.89999999999998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14</v>
      </c>
      <c r="Y285" s="606">
        <f>IFERROR(IF(X285="",0,CEILING((X285/$H285),1)*$H285),"")</f>
        <v>14.399999999999999</v>
      </c>
      <c r="Z285" s="36">
        <f>IFERROR(IF(Y285=0,"",ROUNDUP(Y285/H285,0)*0.00651),"")</f>
        <v>3.9059999999999997E-2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15.47</v>
      </c>
      <c r="BN285" s="64">
        <f>IFERROR(Y285*I285/H285,"0")</f>
        <v>15.912000000000001</v>
      </c>
      <c r="BO285" s="64">
        <f>IFERROR(1/J285*(X285/H285),"0")</f>
        <v>3.2051282051282055E-2</v>
      </c>
      <c r="BP285" s="64">
        <f>IFERROR(1/J285*(Y285/H285),"0")</f>
        <v>3.2967032967032968E-2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5.8333333333333339</v>
      </c>
      <c r="Y287" s="607">
        <f>IFERROR(Y285/H285,"0")+IFERROR(Y286/H286,"0")</f>
        <v>6</v>
      </c>
      <c r="Z287" s="607">
        <f>IFERROR(IF(Z285="",0,Z285),"0")+IFERROR(IF(Z286="",0,Z286),"0")</f>
        <v>3.9059999999999997E-2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14</v>
      </c>
      <c r="Y288" s="607">
        <f>IFERROR(SUM(Y285:Y286),"0")</f>
        <v>14.399999999999999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7</v>
      </c>
      <c r="Y305" s="606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3.8888888888888888</v>
      </c>
      <c r="Y306" s="607">
        <f>IFERROR(Y305/H305,"0")</f>
        <v>4</v>
      </c>
      <c r="Z306" s="607">
        <f>IFERROR(IF(Z305="",0,Z305),"0")</f>
        <v>2.3599999999999999E-2</v>
      </c>
      <c r="AA306" s="608"/>
      <c r="AB306" s="608"/>
      <c r="AC306" s="608"/>
    </row>
    <row r="307" spans="1:68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7</v>
      </c>
      <c r="Y307" s="607">
        <f>IFERROR(SUM(Y305:Y305),"0")</f>
        <v>7.2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1</v>
      </c>
      <c r="Y311" s="606">
        <f>IFERROR(IF(X311="",0,CEILING((X311/$H311),1)*$H311),"")</f>
        <v>1.8</v>
      </c>
      <c r="Z311" s="36">
        <f>IFERROR(IF(Y311=0,"",ROUNDUP(Y311/H311,0)*0.0059),"")</f>
        <v>1.18E-2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1.2111111111111112</v>
      </c>
      <c r="BN311" s="64">
        <f>IFERROR(Y311*I311/H311,"0")</f>
        <v>2.1800000000000002</v>
      </c>
      <c r="BO311" s="64">
        <f>IFERROR(1/J311*(X311/H311),"0")</f>
        <v>5.1440329218106996E-3</v>
      </c>
      <c r="BP311" s="64">
        <f>IFERROR(1/J311*(Y311/H311),"0")</f>
        <v>9.2592592592592587E-3</v>
      </c>
    </row>
    <row r="312" spans="1:68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1.1111111111111112</v>
      </c>
      <c r="Y312" s="607">
        <f>IFERROR(Y309/H309,"0")+IFERROR(Y310/H310,"0")+IFERROR(Y311/H311,"0")</f>
        <v>2</v>
      </c>
      <c r="Z312" s="607">
        <f>IFERROR(IF(Z309="",0,Z309),"0")+IFERROR(IF(Z310="",0,Z310),"0")+IFERROR(IF(Z311="",0,Z311),"0")</f>
        <v>1.18E-2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1</v>
      </c>
      <c r="Y313" s="607">
        <f>IFERROR(SUM(Y309:Y311),"0")</f>
        <v>1.8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98</v>
      </c>
      <c r="Y326" s="606">
        <f>IFERROR(IF(X326="",0,CEILING((X326/$H326),1)*$H326),"")</f>
        <v>98.399999999999991</v>
      </c>
      <c r="Z326" s="36">
        <f>IFERROR(IF(Y326=0,"",ROUNDUP(Y326/H326,0)*0.00651),"")</f>
        <v>0.26690999999999998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108.29</v>
      </c>
      <c r="BN326" s="64">
        <f>IFERROR(Y326*I326/H326,"0")</f>
        <v>108.732</v>
      </c>
      <c r="BO326" s="64">
        <f>IFERROR(1/J326*(X326/H326),"0")</f>
        <v>0.22435897435897439</v>
      </c>
      <c r="BP326" s="64">
        <f>IFERROR(1/J326*(Y326/H326),"0")</f>
        <v>0.22527472527472528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33</v>
      </c>
      <c r="Y327" s="606">
        <f>IFERROR(IF(X327="",0,CEILING((X327/$H327),1)*$H327),"")</f>
        <v>33.6</v>
      </c>
      <c r="Z327" s="36">
        <f>IFERROR(IF(Y327=0,"",ROUNDUP(Y327/H327,0)*0.00651),"")</f>
        <v>9.1139999999999999E-2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35.475000000000001</v>
      </c>
      <c r="BN327" s="64">
        <f>IFERROR(Y327*I327/H327,"0")</f>
        <v>36.120000000000005</v>
      </c>
      <c r="BO327" s="64">
        <f>IFERROR(1/J327*(X327/H327),"0")</f>
        <v>7.5549450549450559E-2</v>
      </c>
      <c r="BP327" s="64">
        <f>IFERROR(1/J327*(Y327/H327),"0")</f>
        <v>7.6923076923076941E-2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54.583333333333336</v>
      </c>
      <c r="Y328" s="607">
        <f>IFERROR(Y325/H325,"0")+IFERROR(Y326/H326,"0")+IFERROR(Y327/H327,"0")</f>
        <v>55</v>
      </c>
      <c r="Z328" s="607">
        <f>IFERROR(IF(Z325="",0,Z325),"0")+IFERROR(IF(Z326="",0,Z326),"0")+IFERROR(IF(Z327="",0,Z327),"0")</f>
        <v>0.35804999999999998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131</v>
      </c>
      <c r="Y329" s="607">
        <f>IFERROR(SUM(Y325:Y327),"0")</f>
        <v>132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109</v>
      </c>
      <c r="Y347" s="606">
        <f>IFERROR(IF(X347="",0,CEILING((X347/$H347),1)*$H347),"")</f>
        <v>109.2</v>
      </c>
      <c r="Z347" s="36">
        <f>IFERROR(IF(Y347=0,"",ROUNDUP(Y347/H347,0)*0.01898),"")</f>
        <v>0.26572000000000001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114.72948717948719</v>
      </c>
      <c r="BN347" s="64">
        <f>IFERROR(Y347*I347/H347,"0")</f>
        <v>114.94000000000003</v>
      </c>
      <c r="BO347" s="64">
        <f>IFERROR(1/J347*(X347/H347),"0")</f>
        <v>0.21834935897435898</v>
      </c>
      <c r="BP347" s="64">
        <f>IFERROR(1/J347*(Y347/H347),"0")</f>
        <v>0.21875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13.974358974358974</v>
      </c>
      <c r="Y349" s="607">
        <f>IFERROR(Y346/H346,"0")+IFERROR(Y347/H347,"0")+IFERROR(Y348/H348,"0")</f>
        <v>14</v>
      </c>
      <c r="Z349" s="607">
        <f>IFERROR(IF(Z346="",0,Z346),"0")+IFERROR(IF(Z347="",0,Z347),"0")+IFERROR(IF(Z348="",0,Z348),"0")</f>
        <v>0.26572000000000001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109</v>
      </c>
      <c r="Y350" s="607">
        <f>IFERROR(SUM(Y346:Y348),"0")</f>
        <v>109.2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hidden="1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590</v>
      </c>
      <c r="Y379" s="606">
        <f>IFERROR(IF(X379="",0,CEILING((X379/$H379),1)*$H379),"")</f>
        <v>592.79999999999995</v>
      </c>
      <c r="Z379" s="36">
        <f>IFERROR(IF(Y379=0,"",ROUNDUP(Y379/H379,0)*0.01898),"")</f>
        <v>1.44248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627.36666666666667</v>
      </c>
      <c r="BN379" s="64">
        <f>IFERROR(Y379*I379/H379,"0")</f>
        <v>630.34399999999994</v>
      </c>
      <c r="BO379" s="64">
        <f>IFERROR(1/J379*(X379/H379),"0")</f>
        <v>1.1818910256410258</v>
      </c>
      <c r="BP379" s="64">
        <f>IFERROR(1/J379*(Y379/H379),"0")</f>
        <v>1.1875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33</v>
      </c>
      <c r="Y380" s="606">
        <f>IFERROR(IF(X380="",0,CEILING((X380/$H380),1)*$H380),"")</f>
        <v>33.6</v>
      </c>
      <c r="Z380" s="36">
        <f>IFERROR(IF(Y380=0,"",ROUNDUP(Y380/H380,0)*0.01898),"")</f>
        <v>7.5920000000000001E-2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34.940714285714286</v>
      </c>
      <c r="BN380" s="64">
        <f>IFERROR(Y380*I380/H380,"0")</f>
        <v>35.576000000000001</v>
      </c>
      <c r="BO380" s="64">
        <f>IFERROR(1/J380*(X380/H380),"0")</f>
        <v>6.1383928571428568E-2</v>
      </c>
      <c r="BP380" s="64">
        <f>IFERROR(1/J380*(Y380/H380),"0")</f>
        <v>6.25E-2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79.56959706959708</v>
      </c>
      <c r="Y381" s="607">
        <f>IFERROR(Y378/H378,"0")+IFERROR(Y379/H379,"0")+IFERROR(Y380/H380,"0")</f>
        <v>80</v>
      </c>
      <c r="Z381" s="607">
        <f>IFERROR(IF(Z378="",0,Z378),"0")+IFERROR(IF(Z379="",0,Z379),"0")+IFERROR(IF(Z380="",0,Z380),"0")</f>
        <v>1.5184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623</v>
      </c>
      <c r="Y382" s="607">
        <f>IFERROR(SUM(Y378:Y380),"0")</f>
        <v>626.4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8</v>
      </c>
      <c r="Y384" s="606">
        <f>IFERROR(IF(X384="",0,CEILING((X384/$H384),1)*$H384),"")</f>
        <v>9.120000000000001</v>
      </c>
      <c r="Z384" s="36">
        <f>IFERROR(IF(Y384=0,"",ROUNDUP(Y384/H384,0)*0.00902),"")</f>
        <v>2.7060000000000001E-2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8.7105263157894743</v>
      </c>
      <c r="BN384" s="64">
        <f>IFERROR(Y384*I384/H384,"0")</f>
        <v>9.9300000000000015</v>
      </c>
      <c r="BO384" s="64">
        <f>IFERROR(1/J384*(X384/H384),"0")</f>
        <v>1.9936204146730464E-2</v>
      </c>
      <c r="BP384" s="64">
        <f>IFERROR(1/J384*(Y384/H384),"0")</f>
        <v>2.2727272727272731E-2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14</v>
      </c>
      <c r="Y385" s="60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15.059210526315789</v>
      </c>
      <c r="BN385" s="64">
        <f>IFERROR(Y385*I385/H385,"0")</f>
        <v>16.350000000000001</v>
      </c>
      <c r="BO385" s="64">
        <f>IFERROR(1/J385*(X385/H385),"0")</f>
        <v>3.4888357256778316E-2</v>
      </c>
      <c r="BP385" s="64">
        <f>IFERROR(1/J385*(Y385/H385),"0")</f>
        <v>3.787878787878788E-2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7.2368421052631584</v>
      </c>
      <c r="Y388" s="607">
        <f>IFERROR(Y384/H384,"0")+IFERROR(Y385/H385,"0")+IFERROR(Y386/H386,"0")+IFERROR(Y387/H387,"0")</f>
        <v>8</v>
      </c>
      <c r="Z388" s="607">
        <f>IFERROR(IF(Z384="",0,Z384),"0")+IFERROR(IF(Z385="",0,Z385),"0")+IFERROR(IF(Z386="",0,Z386),"0")+IFERROR(IF(Z387="",0,Z387),"0")</f>
        <v>7.2160000000000002E-2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22</v>
      </c>
      <c r="Y389" s="607">
        <f>IFERROR(SUM(Y384:Y387),"0")</f>
        <v>24.32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1109</v>
      </c>
      <c r="Y407" s="606">
        <f t="shared" si="52"/>
        <v>1110</v>
      </c>
      <c r="Z407" s="36">
        <f>IFERROR(IF(Y407=0,"",ROUNDUP(Y407/H407,0)*0.02175),"")</f>
        <v>1.6094999999999999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1143.7486666666666</v>
      </c>
      <c r="BN407" s="64">
        <f t="shared" si="54"/>
        <v>1144.78</v>
      </c>
      <c r="BO407" s="64">
        <f t="shared" si="55"/>
        <v>1.5402777777777779</v>
      </c>
      <c r="BP407" s="64">
        <f t="shared" si="56"/>
        <v>1.5416666666666665</v>
      </c>
    </row>
    <row r="408" spans="1:68" ht="27" hidden="1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0</v>
      </c>
      <c r="Y408" s="606">
        <f t="shared" si="52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27" hidden="1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0</v>
      </c>
      <c r="Y409" s="606">
        <f t="shared" si="52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798</v>
      </c>
      <c r="Y410" s="606">
        <f t="shared" si="52"/>
        <v>810</v>
      </c>
      <c r="Z410" s="36">
        <f>IFERROR(IF(Y410=0,"",ROUNDUP(Y410/H410,0)*0.02175),"")</f>
        <v>1.1744999999999999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823.00400000000013</v>
      </c>
      <c r="BN410" s="64">
        <f t="shared" si="54"/>
        <v>835.38</v>
      </c>
      <c r="BO410" s="64">
        <f t="shared" si="55"/>
        <v>1.1083333333333334</v>
      </c>
      <c r="BP410" s="64">
        <f t="shared" si="56"/>
        <v>1.125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127.13333333333334</v>
      </c>
      <c r="Y414" s="607">
        <f>IFERROR(Y406/H406,"0")+IFERROR(Y407/H407,"0")+IFERROR(Y408/H408,"0")+IFERROR(Y409/H409,"0")+IFERROR(Y410/H410,"0")+IFERROR(Y411/H411,"0")+IFERROR(Y412/H412,"0")+IFERROR(Y413/H413,"0")</f>
        <v>128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2.7839999999999998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1907</v>
      </c>
      <c r="Y415" s="607">
        <f>IFERROR(SUM(Y406:Y413),"0")</f>
        <v>1920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hidden="1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hidden="1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hidden="1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18</v>
      </c>
      <c r="Y443" s="606">
        <f>IFERROR(IF(X443="",0,CEILING((X443/$H443),1)*$H443),"")</f>
        <v>19.2</v>
      </c>
      <c r="Z443" s="36">
        <f>IFERROR(IF(Y443=0,"",ROUNDUP(Y443/H443,0)*0.00651),"")</f>
        <v>5.2080000000000001E-2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19.980000000000004</v>
      </c>
      <c r="BN443" s="64">
        <f>IFERROR(Y443*I443/H443,"0")</f>
        <v>21.312000000000001</v>
      </c>
      <c r="BO443" s="64">
        <f>IFERROR(1/J443*(X443/H443),"0")</f>
        <v>4.1208791208791215E-2</v>
      </c>
      <c r="BP443" s="64">
        <f>IFERROR(1/J443*(Y443/H443),"0")</f>
        <v>4.3956043956043959E-2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7.5</v>
      </c>
      <c r="Y445" s="607">
        <f>IFERROR(Y442/H442,"0")+IFERROR(Y443/H443,"0")+IFERROR(Y444/H444,"0")</f>
        <v>8</v>
      </c>
      <c r="Z445" s="607">
        <f>IFERROR(IF(Z442="",0,Z442),"0")+IFERROR(IF(Z443="",0,Z443),"0")+IFERROR(IF(Z444="",0,Z444),"0")</f>
        <v>5.2080000000000001E-2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18</v>
      </c>
      <c r="Y446" s="607">
        <f>IFERROR(SUM(Y442:Y444),"0")</f>
        <v>19.2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95</v>
      </c>
      <c r="Y450" s="606">
        <f t="shared" ref="Y450:Y455" si="57">IFERROR(IF(X450="",0,CEILING((X450/$H450),1)*$H450),"")</f>
        <v>97.2</v>
      </c>
      <c r="Z450" s="36">
        <f>IFERROR(IF(Y450=0,"",ROUNDUP(Y450/H450,0)*0.00902),"")</f>
        <v>0.16236</v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98.342592592592581</v>
      </c>
      <c r="BN450" s="64">
        <f t="shared" ref="BN450:BN455" si="59">IFERROR(Y450*I450/H450,"0")</f>
        <v>100.61999999999999</v>
      </c>
      <c r="BO450" s="64">
        <f t="shared" ref="BO450:BO455" si="60">IFERROR(1/J450*(X450/H450),"0")</f>
        <v>0.13327721661054995</v>
      </c>
      <c r="BP450" s="64">
        <f t="shared" ref="BP450:BP455" si="61">IFERROR(1/J450*(Y450/H450),"0")</f>
        <v>0.13636363636363635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17.592592592592592</v>
      </c>
      <c r="Y456" s="607">
        <f>IFERROR(Y450/H450,"0")+IFERROR(Y451/H451,"0")+IFERROR(Y452/H452,"0")+IFERROR(Y453/H453,"0")+IFERROR(Y454/H454,"0")+IFERROR(Y455/H455,"0")</f>
        <v>18</v>
      </c>
      <c r="Z456" s="607">
        <f>IFERROR(IF(Z450="",0,Z450),"0")+IFERROR(IF(Z451="",0,Z451),"0")+IFERROR(IF(Z452="",0,Z452),"0")+IFERROR(IF(Z453="",0,Z453),"0")+IFERROR(IF(Z454="",0,Z454),"0")+IFERROR(IF(Z455="",0,Z455),"0")</f>
        <v>0.16236</v>
      </c>
      <c r="AA456" s="608"/>
      <c r="AB456" s="608"/>
      <c r="AC456" s="608"/>
    </row>
    <row r="457" spans="1:68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95</v>
      </c>
      <c r="Y457" s="607">
        <f>IFERROR(SUM(Y450:Y455),"0")</f>
        <v>97.2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83</v>
      </c>
      <c r="Y469" s="606">
        <f>IFERROR(IF(X469="",0,CEILING((X469/$H469),1)*$H469),"")</f>
        <v>86.4</v>
      </c>
      <c r="Z469" s="36">
        <f>IFERROR(IF(Y469=0,"",ROUNDUP(Y469/H469,0)*0.00902),"")</f>
        <v>0.14432</v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85.920370370370364</v>
      </c>
      <c r="BN469" s="64">
        <f>IFERROR(Y469*I469/H469,"0")</f>
        <v>89.44</v>
      </c>
      <c r="BO469" s="64">
        <f>IFERROR(1/J469*(X469/H469),"0")</f>
        <v>0.11644219977553311</v>
      </c>
      <c r="BP469" s="64">
        <f>IFERROR(1/J469*(Y469/H469),"0")</f>
        <v>0.12121212121212122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15.37037037037037</v>
      </c>
      <c r="Y472" s="607">
        <f>IFERROR(Y469/H469,"0")+IFERROR(Y470/H470,"0")+IFERROR(Y471/H471,"0")</f>
        <v>16</v>
      </c>
      <c r="Z472" s="607">
        <f>IFERROR(IF(Z469="",0,Z469),"0")+IFERROR(IF(Z470="",0,Z470),"0")+IFERROR(IF(Z471="",0,Z471),"0")</f>
        <v>0.14432</v>
      </c>
      <c r="AA472" s="608"/>
      <c r="AB472" s="608"/>
      <c r="AC472" s="608"/>
    </row>
    <row r="473" spans="1:68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83</v>
      </c>
      <c r="Y473" s="607">
        <f>IFERROR(SUM(Y469:Y471),"0")</f>
        <v>86.4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64</v>
      </c>
      <c r="Y477" s="606">
        <f t="shared" ref="Y477:Y485" si="62">IFERROR(IF(X477="",0,CEILING((X477/$H477),1)*$H477),"")</f>
        <v>68.64</v>
      </c>
      <c r="Z477" s="36">
        <f t="shared" ref="Z477:Z482" si="63">IFERROR(IF(Y477=0,"",ROUNDUP(Y477/H477,0)*0.01196),"")</f>
        <v>0.15548000000000001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68.242424242424235</v>
      </c>
      <c r="BN477" s="64">
        <f t="shared" ref="BN477:BN485" si="65">IFERROR(Y477*I477/H477,"0")</f>
        <v>73.19</v>
      </c>
      <c r="BO477" s="64">
        <f t="shared" ref="BO477:BO485" si="66">IFERROR(1/J477*(X477/H477),"0")</f>
        <v>0.11655011655011656</v>
      </c>
      <c r="BP477" s="64">
        <f t="shared" ref="BP477:BP485" si="67">IFERROR(1/J477*(Y477/H477),"0")</f>
        <v>0.125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38</v>
      </c>
      <c r="Y482" s="606">
        <f t="shared" si="62"/>
        <v>42.24</v>
      </c>
      <c r="Z482" s="36">
        <f t="shared" si="63"/>
        <v>9.5680000000000001E-2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40.518939393939391</v>
      </c>
      <c r="BN482" s="64">
        <f t="shared" si="65"/>
        <v>45.04</v>
      </c>
      <c r="BO482" s="64">
        <f t="shared" si="66"/>
        <v>6.9201631701631697E-2</v>
      </c>
      <c r="BP482" s="64">
        <f t="shared" si="67"/>
        <v>7.6923076923076927E-2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19.318181818181817</v>
      </c>
      <c r="Y486" s="607">
        <f>IFERROR(Y477/H477,"0")+IFERROR(Y478/H478,"0")+IFERROR(Y479/H479,"0")+IFERROR(Y480/H480,"0")+IFERROR(Y481/H481,"0")+IFERROR(Y482/H482,"0")+IFERROR(Y483/H483,"0")+IFERROR(Y484/H484,"0")+IFERROR(Y485/H485,"0")</f>
        <v>21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0.25115999999999999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102</v>
      </c>
      <c r="Y487" s="607">
        <f>IFERROR(SUM(Y477:Y485),"0")</f>
        <v>110.88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61</v>
      </c>
      <c r="Y489" s="606">
        <f>IFERROR(IF(X489="",0,CEILING((X489/$H489),1)*$H489),"")</f>
        <v>63.36</v>
      </c>
      <c r="Z489" s="36">
        <f>IFERROR(IF(Y489=0,"",ROUNDUP(Y489/H489,0)*0.01196),"")</f>
        <v>0.14352000000000001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65.043560606060609</v>
      </c>
      <c r="BN489" s="64">
        <f>IFERROR(Y489*I489/H489,"0")</f>
        <v>67.559999999999988</v>
      </c>
      <c r="BO489" s="64">
        <f>IFERROR(1/J489*(X489/H489),"0")</f>
        <v>0.11108682983682984</v>
      </c>
      <c r="BP489" s="64">
        <f>IFERROR(1/J489*(Y489/H489),"0")</f>
        <v>0.11538461538461539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11.553030303030303</v>
      </c>
      <c r="Y492" s="607">
        <f>IFERROR(Y489/H489,"0")+IFERROR(Y490/H490,"0")+IFERROR(Y491/H491,"0")</f>
        <v>12</v>
      </c>
      <c r="Z492" s="607">
        <f>IFERROR(IF(Z489="",0,Z489),"0")+IFERROR(IF(Z490="",0,Z490),"0")+IFERROR(IF(Z491="",0,Z491),"0")</f>
        <v>0.14352000000000001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61</v>
      </c>
      <c r="Y493" s="607">
        <f>IFERROR(SUM(Y489:Y491),"0")</f>
        <v>63.36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25</v>
      </c>
      <c r="Y495" s="606">
        <f t="shared" ref="Y495:Y501" si="68">IFERROR(IF(X495="",0,CEILING((X495/$H495),1)*$H495),"")</f>
        <v>26.400000000000002</v>
      </c>
      <c r="Z495" s="36">
        <f>IFERROR(IF(Y495=0,"",ROUNDUP(Y495/H495,0)*0.01196),"")</f>
        <v>5.9799999999999999E-2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26.657196969696969</v>
      </c>
      <c r="BN495" s="64">
        <f t="shared" ref="BN495:BN501" si="70">IFERROR(Y495*I495/H495,"0")</f>
        <v>28.15</v>
      </c>
      <c r="BO495" s="64">
        <f t="shared" ref="BO495:BO501" si="71">IFERROR(1/J495*(X495/H495),"0")</f>
        <v>4.5527389277389273E-2</v>
      </c>
      <c r="BP495" s="64">
        <f t="shared" ref="BP495:BP501" si="72">IFERROR(1/J495*(Y495/H495),"0")</f>
        <v>4.807692307692308E-2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4.7348484848484844</v>
      </c>
      <c r="Y502" s="607">
        <f>IFERROR(Y495/H495,"0")+IFERROR(Y496/H496,"0")+IFERROR(Y497/H497,"0")+IFERROR(Y498/H498,"0")+IFERROR(Y499/H499,"0")+IFERROR(Y500/H500,"0")+IFERROR(Y501/H501,"0")</f>
        <v>5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5.9799999999999999E-2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25</v>
      </c>
      <c r="Y503" s="607">
        <f>IFERROR(SUM(Y495:Y501),"0")</f>
        <v>26.400000000000002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5984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6110.8199999999988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6280.180549155164</v>
      </c>
      <c r="Y534" s="607">
        <f>IFERROR(SUM(BN22:BN530),"0")</f>
        <v>6414.1499999999987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11</v>
      </c>
      <c r="Y535" s="38">
        <f>ROUNDUP(SUM(BP22:BP530),0)</f>
        <v>11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6555.180549155164</v>
      </c>
      <c r="Y536" s="607">
        <f>GrossWeightTotalR+PalletQtyTotalR*25</f>
        <v>6689.1499999999987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981.27401117289207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1008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12.2148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232.4</v>
      </c>
      <c r="F543" s="46">
        <f>IFERROR(Y88*1,"0")+IFERROR(Y89*1,"0")+IFERROR(Y90*1,"0")+IFERROR(Y91*1,"0")+IFERROR(Y95*1,"0")+IFERROR(Y96*1,"0")+IFERROR(Y97*1,"0")+IFERROR(Y98*1,"0")</f>
        <v>596.70000000000005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491.76</v>
      </c>
      <c r="H543" s="46">
        <f>IFERROR(Y134*1,"0")+IFERROR(Y135*1,"0")+IFERROR(Y139*1,"0")+IFERROR(Y140*1,"0")+IFERROR(Y144*1,"0")+IFERROR(Y145*1,"0")</f>
        <v>26.400000000000002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279.40000000000003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201.1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1058.7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9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132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109.2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650.72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1920</v>
      </c>
      <c r="W543" s="46">
        <f>IFERROR(Y433*1,"0")+IFERROR(Y434*1,"0")+IFERROR(Y438*1,"0")+IFERROR(Y442*1,"0")+IFERROR(Y443*1,"0")+IFERROR(Y444*1,"0")</f>
        <v>19.2</v>
      </c>
      <c r="X543" s="46">
        <f>IFERROR(Y450*1,"0")+IFERROR(Y451*1,"0")+IFERROR(Y452*1,"0")+IFERROR(Y453*1,"0")+IFERROR(Y454*1,"0")+IFERROR(Y455*1,"0")+IFERROR(Y459*1,"0")+IFERROR(Y460*1,"0")</f>
        <v>97.2</v>
      </c>
      <c r="Y543" s="46">
        <f>IFERROR(Y465*1,"0")+IFERROR(Y469*1,"0")+IFERROR(Y470*1,"0")+IFERROR(Y471*1,"0")</f>
        <v>86.4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200.64000000000001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9,00"/>
        <filter val="1 907,00"/>
        <filter val="1,00"/>
        <filter val="1,11"/>
        <filter val="102,00"/>
        <filter val="106,00"/>
        <filter val="109,00"/>
        <filter val="11"/>
        <filter val="11,55"/>
        <filter val="11,62"/>
        <filter val="111,00"/>
        <filter val="121,00"/>
        <filter val="127,13"/>
        <filter val="13,28"/>
        <filter val="13,97"/>
        <filter val="131,00"/>
        <filter val="14,00"/>
        <filter val="15,37"/>
        <filter val="156,00"/>
        <filter val="17,59"/>
        <filter val="18,00"/>
        <filter val="183,89"/>
        <filter val="189,00"/>
        <filter val="19,32"/>
        <filter val="2,00"/>
        <filter val="22,00"/>
        <filter val="23,00"/>
        <filter val="23,04"/>
        <filter val="25,00"/>
        <filter val="26,00"/>
        <filter val="262,00"/>
        <filter val="275,00"/>
        <filter val="284,00"/>
        <filter val="29,11"/>
        <filter val="293,00"/>
        <filter val="3,00"/>
        <filter val="3,89"/>
        <filter val="3,97"/>
        <filter val="30,00"/>
        <filter val="31,00"/>
        <filter val="33,00"/>
        <filter val="38,00"/>
        <filter val="39,00"/>
        <filter val="4,00"/>
        <filter val="4,07"/>
        <filter val="4,73"/>
        <filter val="424,00"/>
        <filter val="43,83"/>
        <filter val="44,00"/>
        <filter val="45,00"/>
        <filter val="454,00"/>
        <filter val="47,68"/>
        <filter val="5 984,00"/>
        <filter val="5,00"/>
        <filter val="5,83"/>
        <filter val="53,00"/>
        <filter val="54,58"/>
        <filter val="56,05"/>
        <filter val="59,00"/>
        <filter val="590,00"/>
        <filter val="6 280,18"/>
        <filter val="6 555,18"/>
        <filter val="6,00"/>
        <filter val="60,00"/>
        <filter val="61,00"/>
        <filter val="62,00"/>
        <filter val="623,00"/>
        <filter val="64,00"/>
        <filter val="65,00"/>
        <filter val="66,00"/>
        <filter val="7,00"/>
        <filter val="7,24"/>
        <filter val="7,50"/>
        <filter val="7,69"/>
        <filter val="71,00"/>
        <filter val="735,00"/>
        <filter val="79,57"/>
        <filter val="798,00"/>
        <filter val="8,00"/>
        <filter val="83,00"/>
        <filter val="83,19"/>
        <filter val="85,17"/>
        <filter val="89,00"/>
        <filter val="9,44"/>
        <filter val="9,85"/>
        <filter val="95,00"/>
        <filter val="98,00"/>
        <filter val="981,27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