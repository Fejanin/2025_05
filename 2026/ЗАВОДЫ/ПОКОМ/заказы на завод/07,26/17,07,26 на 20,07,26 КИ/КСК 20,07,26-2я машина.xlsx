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5A5FC8-E018-4C77-9586-3353CA913C4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Z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N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N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N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P182" i="2"/>
  <c r="BO182" i="2"/>
  <c r="BM182" i="2"/>
  <c r="Z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N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Z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108" i="2" l="1"/>
  <c r="BN462" i="2"/>
  <c r="BN375" i="2"/>
  <c r="BN59" i="2"/>
  <c r="Z316" i="2"/>
  <c r="BN200" i="2"/>
  <c r="Z394" i="2"/>
  <c r="BN499" i="2"/>
  <c r="Z425" i="2"/>
  <c r="Y428" i="2"/>
  <c r="BP425" i="2"/>
  <c r="Z413" i="2"/>
  <c r="BN175" i="2"/>
  <c r="Y242" i="2"/>
  <c r="BN416" i="2"/>
  <c r="BN494" i="2"/>
  <c r="Z262" i="2"/>
  <c r="Z214" i="2"/>
  <c r="BN381" i="2"/>
  <c r="Y390" i="2"/>
  <c r="Y536" i="2"/>
  <c r="Y521" i="2"/>
  <c r="BN520" i="2"/>
  <c r="BP509" i="2"/>
  <c r="Z509" i="2"/>
  <c r="Z506" i="2"/>
  <c r="Z498" i="2"/>
  <c r="BN491" i="2"/>
  <c r="BN489" i="2"/>
  <c r="BN474" i="2"/>
  <c r="Y476" i="2"/>
  <c r="Y471" i="2"/>
  <c r="BN452" i="2"/>
  <c r="BN447" i="2"/>
  <c r="BN442" i="2"/>
  <c r="Y445" i="2"/>
  <c r="BP431" i="2"/>
  <c r="Z431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9" i="2"/>
  <c r="BN318" i="2"/>
  <c r="Z310" i="2"/>
  <c r="Y306" i="2"/>
  <c r="BN305" i="2"/>
  <c r="BP301" i="2"/>
  <c r="Z301" i="2"/>
  <c r="Z302" i="2" s="1"/>
  <c r="BN275" i="2"/>
  <c r="BN273" i="2"/>
  <c r="BN271" i="2"/>
  <c r="BN261" i="2"/>
  <c r="Z260" i="2"/>
  <c r="BP260" i="2"/>
  <c r="BN255" i="2"/>
  <c r="BN223" i="2"/>
  <c r="BN222" i="2"/>
  <c r="BN218" i="2"/>
  <c r="Z188" i="2"/>
  <c r="BN183" i="2"/>
  <c r="Z176" i="2"/>
  <c r="BN172" i="2"/>
  <c r="BN170" i="2"/>
  <c r="Z170" i="2"/>
  <c r="Y163" i="2"/>
  <c r="BN151" i="2"/>
  <c r="Z138" i="2"/>
  <c r="BP138" i="2"/>
  <c r="Z121" i="2"/>
  <c r="BN121" i="2"/>
  <c r="Z115" i="2"/>
  <c r="BN115" i="2"/>
  <c r="BP113" i="2"/>
  <c r="Z113" i="2"/>
  <c r="BN103" i="2"/>
  <c r="BN97" i="2"/>
  <c r="BN95" i="2"/>
  <c r="Y84" i="2"/>
  <c r="Z77" i="2"/>
  <c r="BN71" i="2"/>
  <c r="BN62" i="2"/>
  <c r="BP52" i="2"/>
  <c r="Z52" i="2"/>
  <c r="BN51" i="2"/>
  <c r="Y56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421" i="2" l="1"/>
  <c r="Z124" i="2"/>
  <c r="Z454" i="2"/>
  <c r="Z189" i="2"/>
  <c r="Z349" i="2"/>
  <c r="Z312" i="2"/>
  <c r="Z267" i="2"/>
  <c r="Z389" i="2"/>
  <c r="Z535" i="2"/>
  <c r="Z526" i="2"/>
  <c r="Z337" i="2"/>
  <c r="Z256" i="2"/>
  <c r="Z152" i="2"/>
  <c r="Z67" i="2"/>
  <c r="X545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<sst xmlns="http://schemas.openxmlformats.org/spreadsheetml/2006/main" count="4110" uniqueCount="873">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</sst>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67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68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46223</v>
      </c>
      <c r="R5" s="628"/>
      <c r="T5" s="629" t="s">
        <v>3</v>
      </c>
      <c r="U5" s="630"/>
      <c r="V5" s="631" t="s">
        <v>853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854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635" t="s">
        <v>5</v>
      </c>
      <c r="U6" s="636"/>
      <c r="V6" s="637" t="s">
        <v>70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58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0.41666666666666669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71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55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72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73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74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75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61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59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66</v>
      </c>
      <c r="L17" s="667" t="s">
        <v>64</v>
      </c>
      <c r="M17" s="667" t="s">
        <v>2</v>
      </c>
      <c r="N17" s="667" t="s">
        <v>63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56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60</v>
      </c>
      <c r="AB17" s="681" t="s">
        <v>19</v>
      </c>
      <c r="AC17" s="681" t="s">
        <v>65</v>
      </c>
      <c r="AD17" s="683" t="s">
        <v>57</v>
      </c>
      <c r="AE17" s="684"/>
      <c r="AF17" s="685"/>
      <c r="AG17" s="77"/>
      <c r="BD17" s="76" t="s">
        <v>62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76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76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77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86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104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110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86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44.800000000000004</v>
      </c>
      <c r="Y45" s="53">
        <f>IFERROR(IF(X45="",0,CEILING((X45/$H45),1)*$H45),"")</f>
        <v>46.08</v>
      </c>
      <c r="Z45" s="39">
        <f>IFERROR(IF(Y45=0,"",ROUNDUP(Y45/H45,0)*0.00651),"")</f>
        <v>0.15623999999999999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49.000000000000007</v>
      </c>
      <c r="BN45" s="75">
        <f>IFERROR(Y45*I45/H45,"0")</f>
        <v>50.400000000000006</v>
      </c>
      <c r="BO45" s="75">
        <f>IFERROR(1/J45*(X45/H45),"0")</f>
        <v>0.12820512820512822</v>
      </c>
      <c r="BP45" s="75">
        <f>IFERROR(1/J45*(Y45/H45),"0")</f>
        <v>0.13186813186813187</v>
      </c>
    </row>
    <row r="46" spans="1:68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40</v>
      </c>
      <c r="Y46" s="41">
        <f>IFERROR(Y41/H41,"0")+IFERROR(Y42/H42,"0")+IFERROR(Y43/H43,"0")+IFERROR(Y44/H44,"0")+IFERROR(Y45/H45,"0")</f>
        <v>41</v>
      </c>
      <c r="Z46" s="41">
        <f>IFERROR(IF(Z41="",0,Z41),"0")+IFERROR(IF(Z42="",0,Z42),"0")+IFERROR(IF(Z43="",0,Z43),"0")+IFERROR(IF(Z44="",0,Z44),"0")+IFERROR(IF(Z45="",0,Z45),"0")</f>
        <v>0.26690999999999998</v>
      </c>
      <c r="AA46" s="64"/>
      <c r="AB46" s="64"/>
      <c r="AC46" s="64"/>
    </row>
    <row r="47" spans="1:68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76.800000000000011</v>
      </c>
      <c r="Y47" s="41">
        <f>IFERROR(SUM(Y41:Y45),"0")</f>
        <v>78.72</v>
      </c>
      <c r="Z47" s="40"/>
      <c r="AA47" s="64"/>
      <c r="AB47" s="64"/>
      <c r="AC47" s="64"/>
    </row>
    <row r="48" spans="1:68" ht="27.75" hidden="1" customHeight="1" x14ac:dyDescent="0.2">
      <c r="A48" s="689" t="s">
        <v>126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127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128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500</v>
      </c>
      <c r="Y51" s="53">
        <f>IFERROR(IF(X51="",0,CEILING((X51/$H51),1)*$H51),"")</f>
        <v>507.6</v>
      </c>
      <c r="Z51" s="39">
        <f>IFERROR(IF(Y51=0,"",ROUNDUP(Y51/H51,0)*0.01898),"")</f>
        <v>0.89205999999999996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518.98148148148141</v>
      </c>
      <c r="BN51" s="75">
        <f>IFERROR(Y51*I51/H51,"0")</f>
        <v>526.87</v>
      </c>
      <c r="BO51" s="75">
        <f>IFERROR(1/J51*(X51/H51),"0")</f>
        <v>0.72337962962962954</v>
      </c>
      <c r="BP51" s="75">
        <f>IFERROR(1/J51*(Y51/H51),"0")</f>
        <v>0.734375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96.296296296296291</v>
      </c>
      <c r="Y55" s="41">
        <f>IFERROR(Y51/H51,"0")+IFERROR(Y52/H52,"0")+IFERROR(Y53/H53,"0")+IFERROR(Y54/H54,"0")</f>
        <v>97</v>
      </c>
      <c r="Z55" s="41">
        <f>IFERROR(IF(Z51="",0,Z51),"0")+IFERROR(IF(Z52="",0,Z52),"0")+IFERROR(IF(Z53="",0,Z53),"0")+IFERROR(IF(Z54="",0,Z54),"0")</f>
        <v>1.3430599999999999</v>
      </c>
      <c r="AA55" s="64"/>
      <c r="AB55" s="64"/>
      <c r="AC55" s="64"/>
    </row>
    <row r="56" spans="1:68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700</v>
      </c>
      <c r="Y56" s="41">
        <f>IFERROR(SUM(Y51:Y54),"0")</f>
        <v>707.6</v>
      </c>
      <c r="Z56" s="40"/>
      <c r="AA56" s="64"/>
      <c r="AB56" s="64"/>
      <c r="AC56" s="64"/>
    </row>
    <row r="57" spans="1:68" ht="16.5" hidden="1" customHeight="1" x14ac:dyDescent="0.25">
      <c r="A57" s="690" t="s">
        <v>143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128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200</v>
      </c>
      <c r="Y61" s="53">
        <f t="shared" si="0"/>
        <v>205.20000000000002</v>
      </c>
      <c r="Z61" s="39">
        <f>IFERROR(IF(Y61=0,"",ROUNDUP(Y61/H61,0)*0.01898),"")</f>
        <v>0.36062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207.59259259259258</v>
      </c>
      <c r="BN61" s="75">
        <f t="shared" si="2"/>
        <v>212.99</v>
      </c>
      <c r="BO61" s="75">
        <f t="shared" si="3"/>
        <v>0.28935185185185186</v>
      </c>
      <c r="BP61" s="75">
        <f t="shared" si="4"/>
        <v>0.296875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450</v>
      </c>
      <c r="Y66" s="53">
        <f t="shared" si="0"/>
        <v>450</v>
      </c>
      <c r="Z66" s="39">
        <f>IFERROR(IF(Y66=0,"",ROUNDUP(Y66/H66,0)*0.00902),"")</f>
        <v>0.90200000000000002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469</v>
      </c>
      <c r="BN66" s="75">
        <f t="shared" si="2"/>
        <v>469</v>
      </c>
      <c r="BO66" s="75">
        <f t="shared" si="3"/>
        <v>0.75757575757575757</v>
      </c>
      <c r="BP66" s="75">
        <f t="shared" si="4"/>
        <v>0.75757575757575757</v>
      </c>
    </row>
    <row r="67" spans="1:68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118.51851851851852</v>
      </c>
      <c r="Y67" s="41">
        <f>IFERROR(Y59/H59,"0")+IFERROR(Y60/H60,"0")+IFERROR(Y61/H61,"0")+IFERROR(Y62/H62,"0")+IFERROR(Y63/H63,"0")+IFERROR(Y64/H64,"0")+IFERROR(Y65/H65,"0")+IFERROR(Y66/H66,"0")</f>
        <v>119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1.2626200000000001</v>
      </c>
      <c r="AA67" s="64"/>
      <c r="AB67" s="64"/>
      <c r="AC67" s="64"/>
    </row>
    <row r="68" spans="1:68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650</v>
      </c>
      <c r="Y68" s="41">
        <f>IFERROR(SUM(Y59:Y66),"0")</f>
        <v>655.20000000000005</v>
      </c>
      <c r="Z68" s="40"/>
      <c r="AA68" s="64"/>
      <c r="AB68" s="64"/>
      <c r="AC68" s="64"/>
    </row>
    <row r="69" spans="1:68" ht="14.25" hidden="1" customHeight="1" x14ac:dyDescent="0.25">
      <c r="A69" s="691" t="s">
        <v>164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100</v>
      </c>
      <c r="Y70" s="53">
        <f>IFERROR(IF(X70="",0,CEILING((X70/$H70),1)*$H70),"")</f>
        <v>108</v>
      </c>
      <c r="Z70" s="39">
        <f>IFERROR(IF(Y70=0,"",ROUNDUP(Y70/H70,0)*0.01898),"")</f>
        <v>0.1898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103.79629629629629</v>
      </c>
      <c r="BN70" s="75">
        <f>IFERROR(Y70*I70/H70,"0")</f>
        <v>112.1</v>
      </c>
      <c r="BO70" s="75">
        <f>IFERROR(1/J70*(X70/H70),"0")</f>
        <v>0.14467592592592593</v>
      </c>
      <c r="BP70" s="75">
        <f>IFERROR(1/J70*(Y70/H70),"0")</f>
        <v>0.15625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9.2592592592592595</v>
      </c>
      <c r="Y74" s="41">
        <f>IFERROR(Y70/H70,"0")+IFERROR(Y71/H71,"0")+IFERROR(Y72/H72,"0")+IFERROR(Y73/H73,"0")</f>
        <v>10</v>
      </c>
      <c r="Z74" s="41">
        <f>IFERROR(IF(Z70="",0,Z70),"0")+IFERROR(IF(Z71="",0,Z71),"0")+IFERROR(IF(Z72="",0,Z72),"0")+IFERROR(IF(Z73="",0,Z73),"0")</f>
        <v>0.1898</v>
      </c>
      <c r="AA74" s="64"/>
      <c r="AB74" s="64"/>
      <c r="AC74" s="64"/>
    </row>
    <row r="75" spans="1:68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100</v>
      </c>
      <c r="Y75" s="41">
        <f>IFERROR(SUM(Y70:Y73),"0")</f>
        <v>108</v>
      </c>
      <c r="Z75" s="40"/>
      <c r="AA75" s="64"/>
      <c r="AB75" s="64"/>
      <c r="AC75" s="64"/>
    </row>
    <row r="76" spans="1:68" ht="14.25" hidden="1" customHeight="1" x14ac:dyDescent="0.25">
      <c r="A76" s="691" t="s">
        <v>86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181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100</v>
      </c>
      <c r="Y82" s="53">
        <f>IFERROR(IF(X82="",0,CEILING((X82/$H82),1)*$H82),"")</f>
        <v>101.39999999999999</v>
      </c>
      <c r="Z82" s="39">
        <f>IFERROR(IF(Y82=0,"",ROUNDUP(Y82/H82,0)*0.01898),"")</f>
        <v>0.24674000000000001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105.25641025641028</v>
      </c>
      <c r="BN82" s="75">
        <f>IFERROR(Y82*I82/H82,"0")</f>
        <v>106.73</v>
      </c>
      <c r="BO82" s="75">
        <f>IFERROR(1/J82*(X82/H82),"0")</f>
        <v>0.20032051282051283</v>
      </c>
      <c r="BP82" s="75">
        <f>IFERROR(1/J82*(Y82/H82),"0")</f>
        <v>0.203125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12.820512820512821</v>
      </c>
      <c r="Y84" s="41">
        <f>IFERROR(Y82/H82,"0")+IFERROR(Y83/H83,"0")</f>
        <v>13</v>
      </c>
      <c r="Z84" s="41">
        <f>IFERROR(IF(Z82="",0,Z82),"0")+IFERROR(IF(Z83="",0,Z83),"0")</f>
        <v>0.24674000000000001</v>
      </c>
      <c r="AA84" s="64"/>
      <c r="AB84" s="64"/>
      <c r="AC84" s="64"/>
    </row>
    <row r="85" spans="1:68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100</v>
      </c>
      <c r="Y85" s="41">
        <f>IFERROR(SUM(Y82:Y83),"0")</f>
        <v>101.39999999999999</v>
      </c>
      <c r="Z85" s="40"/>
      <c r="AA85" s="64"/>
      <c r="AB85" s="64"/>
      <c r="AC85" s="64"/>
    </row>
    <row r="86" spans="1:68" ht="16.5" hidden="1" customHeight="1" x14ac:dyDescent="0.25">
      <c r="A86" s="690" t="s">
        <v>188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128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180</v>
      </c>
      <c r="Y91" s="53">
        <f>IFERROR(IF(X91="",0,CEILING((X91/$H91),1)*$H91),"")</f>
        <v>180</v>
      </c>
      <c r="Z91" s="39">
        <f>IFERROR(IF(Y91=0,"",ROUNDUP(Y91/H91,0)*0.00902),"")</f>
        <v>0.36080000000000001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187.60000000000002</v>
      </c>
      <c r="BN91" s="75">
        <f>IFERROR(Y91*I91/H91,"0")</f>
        <v>187.60000000000002</v>
      </c>
      <c r="BO91" s="75">
        <f>IFERROR(1/J91*(X91/H91),"0")</f>
        <v>0.30303030303030304</v>
      </c>
      <c r="BP91" s="75">
        <f>IFERROR(1/J91*(Y91/H91),"0")</f>
        <v>0.30303030303030304</v>
      </c>
    </row>
    <row r="92" spans="1:68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53.888888888888886</v>
      </c>
      <c r="Y92" s="41">
        <f>IFERROR(Y88/H88,"0")+IFERROR(Y89/H89,"0")+IFERROR(Y90/H90,"0")+IFERROR(Y91/H91,"0")</f>
        <v>54</v>
      </c>
      <c r="Z92" s="41">
        <f>IFERROR(IF(Z88="",0,Z88),"0")+IFERROR(IF(Z89="",0,Z89),"0")+IFERROR(IF(Z90="",0,Z90),"0")+IFERROR(IF(Z91="",0,Z91),"0")</f>
        <v>0.62651999999999997</v>
      </c>
      <c r="AA92" s="64"/>
      <c r="AB92" s="64"/>
      <c r="AC92" s="64"/>
    </row>
    <row r="93" spans="1:68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330</v>
      </c>
      <c r="Y93" s="41">
        <f>IFERROR(SUM(Y88:Y91),"0")</f>
        <v>331.20000000000005</v>
      </c>
      <c r="Z93" s="40"/>
      <c r="AA93" s="64"/>
      <c r="AB93" s="64"/>
      <c r="AC93" s="64"/>
    </row>
    <row r="94" spans="1:68" ht="14.25" hidden="1" customHeight="1" x14ac:dyDescent="0.25">
      <c r="A94" s="691" t="s">
        <v>86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100</v>
      </c>
      <c r="Y95" s="53">
        <f>IFERROR(IF(X95="",0,CEILING((X95/$H95),1)*$H95),"")</f>
        <v>105.3</v>
      </c>
      <c r="Z95" s="39">
        <f>IFERROR(IF(Y95=0,"",ROUNDUP(Y95/H95,0)*0.01898),"")</f>
        <v>0.24674000000000001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106.09876543209877</v>
      </c>
      <c r="BN95" s="75">
        <f>IFERROR(Y95*I95/H95,"0")</f>
        <v>111.72199999999999</v>
      </c>
      <c r="BO95" s="75">
        <f>IFERROR(1/J95*(X95/H95),"0")</f>
        <v>0.19290123456790123</v>
      </c>
      <c r="BP95" s="75">
        <f>IFERROR(1/J95*(Y95/H95),"0")</f>
        <v>0.203125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315</v>
      </c>
      <c r="Y97" s="53">
        <f>IFERROR(IF(X97="",0,CEILING((X97/$H97),1)*$H97),"")</f>
        <v>315.90000000000003</v>
      </c>
      <c r="Z97" s="39">
        <f>IFERROR(IF(Y97=0,"",ROUNDUP(Y97/H97,0)*0.00651),"")</f>
        <v>0.76167000000000007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344.4</v>
      </c>
      <c r="BN97" s="75">
        <f>IFERROR(Y97*I97/H97,"0")</f>
        <v>345.38400000000001</v>
      </c>
      <c r="BO97" s="75">
        <f>IFERROR(1/J97*(X97/H97),"0")</f>
        <v>0.64102564102564097</v>
      </c>
      <c r="BP97" s="75">
        <f>IFERROR(1/J97*(Y97/H97),"0")</f>
        <v>0.6428571428571429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129.01234567901233</v>
      </c>
      <c r="Y99" s="41">
        <f>IFERROR(Y95/H95,"0")+IFERROR(Y96/H96,"0")+IFERROR(Y97/H97,"0")+IFERROR(Y98/H98,"0")</f>
        <v>130</v>
      </c>
      <c r="Z99" s="41">
        <f>IFERROR(IF(Z95="",0,Z95),"0")+IFERROR(IF(Z96="",0,Z96),"0")+IFERROR(IF(Z97="",0,Z97),"0")+IFERROR(IF(Z98="",0,Z98),"0")</f>
        <v>1.00841</v>
      </c>
      <c r="AA99" s="64"/>
      <c r="AB99" s="64"/>
      <c r="AC99" s="64"/>
    </row>
    <row r="100" spans="1:68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415</v>
      </c>
      <c r="Y100" s="41">
        <f>IFERROR(SUM(Y95:Y98),"0")</f>
        <v>421.20000000000005</v>
      </c>
      <c r="Z100" s="40"/>
      <c r="AA100" s="64"/>
      <c r="AB100" s="64"/>
      <c r="AC100" s="64"/>
    </row>
    <row r="101" spans="1:68" ht="16.5" hidden="1" customHeight="1" x14ac:dyDescent="0.25">
      <c r="A101" s="690" t="s">
        <v>209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128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30</v>
      </c>
      <c r="Y103" s="53">
        <f t="shared" ref="Y103:Y108" si="5">IFERROR(IF(X103="",0,CEILING((X103/$H103),1)*$H103),"")</f>
        <v>32.400000000000006</v>
      </c>
      <c r="Z103" s="39">
        <f>IFERROR(IF(Y103=0,"",ROUNDUP(Y103/H103,0)*0.01898),"")</f>
        <v>5.6940000000000004E-2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31.138888888888889</v>
      </c>
      <c r="BN103" s="75">
        <f t="shared" ref="BN103:BN108" si="7">IFERROR(Y103*I103/H103,"0")</f>
        <v>33.630000000000003</v>
      </c>
      <c r="BO103" s="75">
        <f t="shared" ref="BO103:BO108" si="8">IFERROR(1/J103*(X103/H103),"0")</f>
        <v>4.3402777777777776E-2</v>
      </c>
      <c r="BP103" s="75">
        <f t="shared" ref="BP103:BP108" si="9">IFERROR(1/J103*(Y103/H103),"0")</f>
        <v>4.6875000000000007E-2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675</v>
      </c>
      <c r="Y107" s="53">
        <f t="shared" si="5"/>
        <v>675</v>
      </c>
      <c r="Z107" s="39">
        <f>IFERROR(IF(Y107=0,"",ROUNDUP(Y107/H107,0)*0.00902),"")</f>
        <v>1.353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703.50000000000011</v>
      </c>
      <c r="BN107" s="75">
        <f t="shared" si="7"/>
        <v>703.50000000000011</v>
      </c>
      <c r="BO107" s="75">
        <f t="shared" si="8"/>
        <v>1.1363636363636365</v>
      </c>
      <c r="BP107" s="75">
        <f t="shared" si="9"/>
        <v>1.1363636363636365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152.77777777777777</v>
      </c>
      <c r="Y109" s="41">
        <f>IFERROR(Y103/H103,"0")+IFERROR(Y104/H104,"0")+IFERROR(Y105/H105,"0")+IFERROR(Y106/H106,"0")+IFERROR(Y107/H107,"0")+IFERROR(Y108/H108,"0")</f>
        <v>153</v>
      </c>
      <c r="Z109" s="41">
        <f>IFERROR(IF(Z103="",0,Z103),"0")+IFERROR(IF(Z104="",0,Z104),"0")+IFERROR(IF(Z105="",0,Z105),"0")+IFERROR(IF(Z106="",0,Z106),"0")+IFERROR(IF(Z107="",0,Z107),"0")+IFERROR(IF(Z108="",0,Z108),"0")</f>
        <v>1.40994</v>
      </c>
      <c r="AA109" s="64"/>
      <c r="AB109" s="64"/>
      <c r="AC109" s="64"/>
    </row>
    <row r="110" spans="1:68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705</v>
      </c>
      <c r="Y110" s="41">
        <f>IFERROR(SUM(Y103:Y108),"0")</f>
        <v>707.4</v>
      </c>
      <c r="Z110" s="40"/>
      <c r="AA110" s="64"/>
      <c r="AB110" s="64"/>
      <c r="AC110" s="64"/>
    </row>
    <row r="111" spans="1:68" ht="14.25" hidden="1" customHeight="1" x14ac:dyDescent="0.25">
      <c r="A111" s="691" t="s">
        <v>164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86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300</v>
      </c>
      <c r="Y120" s="53">
        <f>IFERROR(IF(X120="",0,CEILING((X120/$H120),1)*$H120),"")</f>
        <v>307.8</v>
      </c>
      <c r="Z120" s="39">
        <f>IFERROR(IF(Y120=0,"",ROUNDUP(Y120/H120,0)*0.01898),"")</f>
        <v>0.72123999999999999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318.07407407407402</v>
      </c>
      <c r="BN120" s="75">
        <f>IFERROR(Y120*I120/H120,"0")</f>
        <v>326.34399999999999</v>
      </c>
      <c r="BO120" s="75">
        <f>IFERROR(1/J120*(X120/H120),"0")</f>
        <v>0.57870370370370372</v>
      </c>
      <c r="BP120" s="75">
        <f>IFERROR(1/J120*(Y120/H120),"0")</f>
        <v>0.59375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360</v>
      </c>
      <c r="Y122" s="53">
        <f>IFERROR(IF(X122="",0,CEILING((X122/$H122),1)*$H122),"")</f>
        <v>361.8</v>
      </c>
      <c r="Z122" s="39">
        <f>IFERROR(IF(Y122=0,"",ROUNDUP(Y122/H122,0)*0.00651),"")</f>
        <v>0.87234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393.59999999999997</v>
      </c>
      <c r="BN122" s="75">
        <f>IFERROR(Y122*I122/H122,"0")</f>
        <v>395.56799999999998</v>
      </c>
      <c r="BO122" s="75">
        <f>IFERROR(1/J122*(X122/H122),"0")</f>
        <v>0.73260073260073255</v>
      </c>
      <c r="BP122" s="75">
        <f>IFERROR(1/J122*(Y122/H122),"0")</f>
        <v>0.73626373626373631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81</v>
      </c>
      <c r="Y123" s="53">
        <f>IFERROR(IF(X123="",0,CEILING((X123/$H123),1)*$H123),"")</f>
        <v>81</v>
      </c>
      <c r="Z123" s="39">
        <f>IFERROR(IF(Y123=0,"",ROUNDUP(Y123/H123,0)*0.00651),"")</f>
        <v>0.29294999999999999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89.1</v>
      </c>
      <c r="BN123" s="75">
        <f>IFERROR(Y123*I123/H123,"0")</f>
        <v>89.1</v>
      </c>
      <c r="BO123" s="75">
        <f>IFERROR(1/J123*(X123/H123),"0")</f>
        <v>0.24725274725274726</v>
      </c>
      <c r="BP123" s="75">
        <f>IFERROR(1/J123*(Y123/H123),"0")</f>
        <v>0.24725274725274726</v>
      </c>
    </row>
    <row r="124" spans="1:68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215.37037037037035</v>
      </c>
      <c r="Y124" s="41">
        <f>IFERROR(Y120/H120,"0")+IFERROR(Y121/H121,"0")+IFERROR(Y122/H122,"0")+IFERROR(Y123/H123,"0")</f>
        <v>217</v>
      </c>
      <c r="Z124" s="41">
        <f>IFERROR(IF(Z120="",0,Z120),"0")+IFERROR(IF(Z121="",0,Z121),"0")+IFERROR(IF(Z122="",0,Z122),"0")+IFERROR(IF(Z123="",0,Z123),"0")</f>
        <v>1.88653</v>
      </c>
      <c r="AA124" s="64"/>
      <c r="AB124" s="64"/>
      <c r="AC124" s="64"/>
    </row>
    <row r="125" spans="1:68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741</v>
      </c>
      <c r="Y125" s="41">
        <f>IFERROR(SUM(Y120:Y123),"0")</f>
        <v>750.6</v>
      </c>
      <c r="Z125" s="40"/>
      <c r="AA125" s="64"/>
      <c r="AB125" s="64"/>
      <c r="AC125" s="64"/>
    </row>
    <row r="126" spans="1:68" ht="14.25" hidden="1" customHeight="1" x14ac:dyDescent="0.25">
      <c r="A126" s="691" t="s">
        <v>181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49.5</v>
      </c>
      <c r="Y127" s="53">
        <f>IFERROR(IF(X127="",0,CEILING((X127/$H127),1)*$H127),"")</f>
        <v>49.5</v>
      </c>
      <c r="Z127" s="39">
        <f>IFERROR(IF(Y127=0,"",ROUNDUP(Y127/H127,0)*0.00651),"")</f>
        <v>0.16275000000000001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55.95</v>
      </c>
      <c r="BN127" s="75">
        <f>IFERROR(Y127*I127/H127,"0")</f>
        <v>55.95</v>
      </c>
      <c r="BO127" s="75">
        <f>IFERROR(1/J127*(X127/H127),"0")</f>
        <v>0.13736263736263737</v>
      </c>
      <c r="BP127" s="75">
        <f>IFERROR(1/J127*(Y127/H127),"0")</f>
        <v>0.13736263736263737</v>
      </c>
    </row>
    <row r="128" spans="1:68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25</v>
      </c>
      <c r="Y128" s="41">
        <f>IFERROR(Y127/H127,"0")</f>
        <v>25</v>
      </c>
      <c r="Z128" s="41">
        <f>IFERROR(IF(Z127="",0,Z127),"0")</f>
        <v>0.16275000000000001</v>
      </c>
      <c r="AA128" s="64"/>
      <c r="AB128" s="64"/>
      <c r="AC128" s="64"/>
    </row>
    <row r="129" spans="1:68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49.5</v>
      </c>
      <c r="Y129" s="41">
        <f>IFERROR(SUM(Y127:Y127),"0")</f>
        <v>49.5</v>
      </c>
      <c r="Z129" s="40"/>
      <c r="AA129" s="64"/>
      <c r="AB129" s="64"/>
      <c r="AC129" s="64"/>
    </row>
    <row r="130" spans="1:68" ht="16.5" hidden="1" customHeight="1" x14ac:dyDescent="0.25">
      <c r="A130" s="690" t="s">
        <v>248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128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109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249</v>
      </c>
      <c r="B133" s="60" t="s">
        <v>252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109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60</v>
      </c>
      <c r="Y133" s="53">
        <f>IFERROR(IF(X133="",0,CEILING((X133/$H133),1)*$H133),"")</f>
        <v>60.800000000000004</v>
      </c>
      <c r="Z133" s="39">
        <f>IFERROR(IF(Y133=0,"",ROUNDUP(Y133/H133,0)*0.00651),"")</f>
        <v>0.12369000000000001</v>
      </c>
      <c r="AA133" s="65" t="s">
        <v>46</v>
      </c>
      <c r="AB133" s="66" t="s">
        <v>46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63.374999999999993</v>
      </c>
      <c r="BN133" s="75">
        <f>IFERROR(Y133*I133/H133,"0")</f>
        <v>64.22</v>
      </c>
      <c r="BO133" s="75">
        <f>IFERROR(1/J133*(X133/H133),"0")</f>
        <v>0.10302197802197803</v>
      </c>
      <c r="BP133" s="75">
        <f>IFERROR(1/J133*(Y133/H133),"0")</f>
        <v>0.1043956043956044</v>
      </c>
    </row>
    <row r="134" spans="1:68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18.75</v>
      </c>
      <c r="Y134" s="41">
        <f>IFERROR(Y132/H132,"0")+IFERROR(Y133/H133,"0")</f>
        <v>19</v>
      </c>
      <c r="Z134" s="41">
        <f>IFERROR(IF(Z132="",0,Z132),"0")+IFERROR(IF(Z133="",0,Z133),"0")</f>
        <v>0.12369000000000001</v>
      </c>
      <c r="AA134" s="64"/>
      <c r="AB134" s="64"/>
      <c r="AC134" s="64"/>
    </row>
    <row r="135" spans="1:68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60</v>
      </c>
      <c r="Y135" s="41">
        <f>IFERROR(SUM(Y132:Y133),"0")</f>
        <v>60.800000000000004</v>
      </c>
      <c r="Z135" s="40"/>
      <c r="AA135" s="64"/>
      <c r="AB135" s="64"/>
      <c r="AC135" s="64"/>
    </row>
    <row r="136" spans="1:68" ht="14.25" hidden="1" customHeight="1" x14ac:dyDescent="0.25">
      <c r="A136" s="691" t="s">
        <v>77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customHeight="1" x14ac:dyDescent="0.25">
      <c r="A137" s="60" t="s">
        <v>253</v>
      </c>
      <c r="B137" s="60" t="s">
        <v>254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109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70</v>
      </c>
      <c r="Y137" s="53">
        <f>IFERROR(IF(X137="",0,CEILING((X137/$H137),1)*$H137),"")</f>
        <v>70</v>
      </c>
      <c r="Z137" s="39">
        <f>IFERROR(IF(Y137=0,"",ROUNDUP(Y137/H137,0)*0.00651),"")</f>
        <v>0.16275000000000001</v>
      </c>
      <c r="AA137" s="65" t="s">
        <v>46</v>
      </c>
      <c r="AB137" s="66" t="s">
        <v>46</v>
      </c>
      <c r="AC137" s="199" t="s">
        <v>255</v>
      </c>
      <c r="AG137" s="75"/>
      <c r="AJ137" s="79" t="s">
        <v>46</v>
      </c>
      <c r="AK137" s="79">
        <v>0</v>
      </c>
      <c r="BB137" s="200" t="s">
        <v>67</v>
      </c>
      <c r="BM137" s="75">
        <f>IFERROR(X137*I137/H137,"0")</f>
        <v>76.7</v>
      </c>
      <c r="BN137" s="75">
        <f>IFERROR(Y137*I137/H137,"0")</f>
        <v>76.7</v>
      </c>
      <c r="BO137" s="75">
        <f>IFERROR(1/J137*(X137/H137),"0")</f>
        <v>0.13736263736263737</v>
      </c>
      <c r="BP137" s="75">
        <f>IFERROR(1/J137*(Y137/H137),"0")</f>
        <v>0.13736263736263737</v>
      </c>
    </row>
    <row r="138" spans="1:68" ht="27" hidden="1" customHeight="1" x14ac:dyDescent="0.25">
      <c r="A138" s="60" t="s">
        <v>253</v>
      </c>
      <c r="B138" s="60" t="s">
        <v>256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109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255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25</v>
      </c>
      <c r="Y139" s="41">
        <f>IFERROR(Y137/H137,"0")+IFERROR(Y138/H138,"0")</f>
        <v>25</v>
      </c>
      <c r="Z139" s="41">
        <f>IFERROR(IF(Z137="",0,Z137),"0")+IFERROR(IF(Z138="",0,Z138),"0")</f>
        <v>0.16275000000000001</v>
      </c>
      <c r="AA139" s="64"/>
      <c r="AB139" s="64"/>
      <c r="AC139" s="64"/>
    </row>
    <row r="140" spans="1:68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70</v>
      </c>
      <c r="Y140" s="41">
        <f>IFERROR(SUM(Y137:Y138),"0")</f>
        <v>70</v>
      </c>
      <c r="Z140" s="40"/>
      <c r="AA140" s="64"/>
      <c r="AB140" s="64"/>
      <c r="AC140" s="64"/>
    </row>
    <row r="141" spans="1:68" ht="14.25" hidden="1" customHeight="1" x14ac:dyDescent="0.25">
      <c r="A141" s="691" t="s">
        <v>86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customHeight="1" x14ac:dyDescent="0.25">
      <c r="A142" s="60" t="s">
        <v>257</v>
      </c>
      <c r="B142" s="60" t="s">
        <v>258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49.5</v>
      </c>
      <c r="Y142" s="53">
        <f>IFERROR(IF(X142="",0,CEILING((X142/$H142),1)*$H142),"")</f>
        <v>50.160000000000004</v>
      </c>
      <c r="Z142" s="39">
        <f>IFERROR(IF(Y142=0,"",ROUNDUP(Y142/H142,0)*0.00651),"")</f>
        <v>0.12369000000000001</v>
      </c>
      <c r="AA142" s="65" t="s">
        <v>46</v>
      </c>
      <c r="AB142" s="66" t="s">
        <v>46</v>
      </c>
      <c r="AC142" s="203" t="s">
        <v>251</v>
      </c>
      <c r="AG142" s="75"/>
      <c r="AJ142" s="79" t="s">
        <v>46</v>
      </c>
      <c r="AK142" s="79">
        <v>0</v>
      </c>
      <c r="BB142" s="204" t="s">
        <v>67</v>
      </c>
      <c r="BM142" s="75">
        <f>IFERROR(X142*I142/H142,"0")</f>
        <v>54.524999999999999</v>
      </c>
      <c r="BN142" s="75">
        <f>IFERROR(Y142*I142/H142,"0")</f>
        <v>55.252000000000002</v>
      </c>
      <c r="BO142" s="75">
        <f>IFERROR(1/J142*(X142/H142),"0")</f>
        <v>0.10302197802197803</v>
      </c>
      <c r="BP142" s="75">
        <f>IFERROR(1/J142*(Y142/H142),"0")</f>
        <v>0.1043956043956044</v>
      </c>
    </row>
    <row r="143" spans="1:68" ht="16.5" hidden="1" customHeight="1" x14ac:dyDescent="0.25">
      <c r="A143" s="60" t="s">
        <v>257</v>
      </c>
      <c r="B143" s="60" t="s">
        <v>259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109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251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18.75</v>
      </c>
      <c r="Y144" s="41">
        <f>IFERROR(Y142/H142,"0")+IFERROR(Y143/H143,"0")</f>
        <v>19</v>
      </c>
      <c r="Z144" s="41">
        <f>IFERROR(IF(Z142="",0,Z142),"0")+IFERROR(IF(Z143="",0,Z143),"0")</f>
        <v>0.12369000000000001</v>
      </c>
      <c r="AA144" s="64"/>
      <c r="AB144" s="64"/>
      <c r="AC144" s="64"/>
    </row>
    <row r="145" spans="1:68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49.5</v>
      </c>
      <c r="Y145" s="41">
        <f>IFERROR(SUM(Y142:Y143),"0")</f>
        <v>50.160000000000004</v>
      </c>
      <c r="Z145" s="40"/>
      <c r="AA145" s="64"/>
      <c r="AB145" s="64"/>
      <c r="AC145" s="64"/>
    </row>
    <row r="146" spans="1:68" ht="16.5" hidden="1" customHeight="1" x14ac:dyDescent="0.25">
      <c r="A146" s="690" t="s">
        <v>260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86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261</v>
      </c>
      <c r="B148" s="60" t="s">
        <v>262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263</v>
      </c>
      <c r="AG148" s="75"/>
      <c r="AJ148" s="79" t="s">
        <v>46</v>
      </c>
      <c r="AK148" s="79">
        <v>0</v>
      </c>
      <c r="BB148" s="208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264</v>
      </c>
      <c r="B149" s="60" t="s">
        <v>265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126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128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273</v>
      </c>
      <c r="B156" s="60" t="s">
        <v>274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91</v>
      </c>
      <c r="L156" s="35" t="s">
        <v>46</v>
      </c>
      <c r="M156" s="36" t="s">
        <v>90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276</v>
      </c>
      <c r="AC156" s="215" t="s">
        <v>275</v>
      </c>
      <c r="AG156" s="75"/>
      <c r="AJ156" s="79" t="s">
        <v>46</v>
      </c>
      <c r="AK156" s="79">
        <v>0</v>
      </c>
      <c r="BB156" s="216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277</v>
      </c>
      <c r="B157" s="60" t="s">
        <v>278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279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280</v>
      </c>
      <c r="B158" s="60" t="s">
        <v>281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282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164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283</v>
      </c>
      <c r="B162" s="60" t="s">
        <v>284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285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77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customHeight="1" x14ac:dyDescent="0.25">
      <c r="A166" s="60" t="s">
        <v>286</v>
      </c>
      <c r="B166" s="60" t="s">
        <v>287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100</v>
      </c>
      <c r="Y166" s="53">
        <f t="shared" ref="Y166:Y177" si="10">IFERROR(IF(X166="",0,CEILING((X166/$H166),1)*$H166),"")</f>
        <v>101.5</v>
      </c>
      <c r="Z166" s="39">
        <f>IFERROR(IF(Y166=0,"",ROUNDUP(Y166/H166,0)*0.00902),"")</f>
        <v>0.26158000000000003</v>
      </c>
      <c r="AA166" s="65" t="s">
        <v>46</v>
      </c>
      <c r="AB166" s="66" t="s">
        <v>46</v>
      </c>
      <c r="AC166" s="223" t="s">
        <v>288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7" si="11">IFERROR(X166*I166/H166,"0")</f>
        <v>105.42857142857143</v>
      </c>
      <c r="BN166" s="75">
        <f t="shared" ref="BN166:BN177" si="12">IFERROR(Y166*I166/H166,"0")</f>
        <v>107.00999999999999</v>
      </c>
      <c r="BO166" s="75">
        <f t="shared" ref="BO166:BO177" si="13">IFERROR(1/J166*(X166/H166),"0")</f>
        <v>0.21645021645021648</v>
      </c>
      <c r="BP166" s="75">
        <f t="shared" ref="BP166:BP177" si="14">IFERROR(1/J166*(Y166/H166),"0")</f>
        <v>0.2196969696969697</v>
      </c>
    </row>
    <row r="167" spans="1:68" ht="27" hidden="1" customHeight="1" x14ac:dyDescent="0.25">
      <c r="A167" s="60" t="s">
        <v>289</v>
      </c>
      <c r="B167" s="60" t="s">
        <v>290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291</v>
      </c>
      <c r="AG167" s="75"/>
      <c r="AJ167" s="79" t="s">
        <v>46</v>
      </c>
      <c r="AK167" s="79">
        <v>0</v>
      </c>
      <c r="BB167" s="226" t="s">
        <v>67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292</v>
      </c>
      <c r="B168" s="60" t="s">
        <v>293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294</v>
      </c>
      <c r="AG168" s="75"/>
      <c r="AJ168" s="79" t="s">
        <v>46</v>
      </c>
      <c r="AK168" s="79">
        <v>0</v>
      </c>
      <c r="BB168" s="228" t="s">
        <v>67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295</v>
      </c>
      <c r="B169" s="60" t="s">
        <v>296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100</v>
      </c>
      <c r="Y169" s="53">
        <f t="shared" si="10"/>
        <v>101.5</v>
      </c>
      <c r="Z169" s="39">
        <f>IFERROR(IF(Y169=0,"",ROUNDUP(Y169/H169,0)*0.00902),"")</f>
        <v>0.26158000000000003</v>
      </c>
      <c r="AA169" s="65" t="s">
        <v>46</v>
      </c>
      <c r="AB169" s="66" t="s">
        <v>46</v>
      </c>
      <c r="AC169" s="229" t="s">
        <v>297</v>
      </c>
      <c r="AG169" s="75"/>
      <c r="AJ169" s="79" t="s">
        <v>46</v>
      </c>
      <c r="AK169" s="79">
        <v>0</v>
      </c>
      <c r="BB169" s="230" t="s">
        <v>67</v>
      </c>
      <c r="BM169" s="75">
        <f t="shared" si="11"/>
        <v>105.42857142857143</v>
      </c>
      <c r="BN169" s="75">
        <f t="shared" si="12"/>
        <v>107.00999999999999</v>
      </c>
      <c r="BO169" s="75">
        <f t="shared" si="13"/>
        <v>0.21645021645021648</v>
      </c>
      <c r="BP169" s="75">
        <f t="shared" si="14"/>
        <v>0.2196969696969697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300</v>
      </c>
      <c r="AG170" s="75"/>
      <c r="AJ170" s="79" t="s">
        <v>46</v>
      </c>
      <c r="AK170" s="79">
        <v>0</v>
      </c>
      <c r="BB170" s="232" t="s">
        <v>67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303</v>
      </c>
      <c r="AG171" s="75"/>
      <c r="AJ171" s="79" t="s">
        <v>46</v>
      </c>
      <c r="AK171" s="79">
        <v>0</v>
      </c>
      <c r="BB171" s="234" t="s">
        <v>67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customHeight="1" x14ac:dyDescent="0.25">
      <c r="A172" s="60" t="s">
        <v>304</v>
      </c>
      <c r="B172" s="60" t="s">
        <v>305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50.400000000000006</v>
      </c>
      <c r="Y172" s="53">
        <f t="shared" si="10"/>
        <v>50.4</v>
      </c>
      <c r="Z172" s="39">
        <f>IFERROR(IF(Y172=0,"",ROUNDUP(Y172/H172,0)*0.00502),"")</f>
        <v>0.15060000000000001</v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11"/>
        <v>53.400000000000013</v>
      </c>
      <c r="BN172" s="75">
        <f t="shared" si="12"/>
        <v>53.400000000000006</v>
      </c>
      <c r="BO172" s="75">
        <f t="shared" si="13"/>
        <v>0.12820512820512822</v>
      </c>
      <c r="BP172" s="75">
        <f t="shared" si="14"/>
        <v>0.12820512820512822</v>
      </c>
    </row>
    <row r="173" spans="1:68" ht="27" customHeight="1" x14ac:dyDescent="0.25">
      <c r="A173" s="60" t="s">
        <v>306</v>
      </c>
      <c r="B173" s="60" t="s">
        <v>307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1.7999999999999998</v>
      </c>
      <c r="Y173" s="53">
        <f t="shared" si="10"/>
        <v>1.8</v>
      </c>
      <c r="Z173" s="39">
        <f>IFERROR(IF(Y173=0,"",ROUNDUP(Y173/H173,0)*0.00417),"")</f>
        <v>8.3400000000000002E-3</v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67</v>
      </c>
      <c r="BM173" s="75">
        <f t="shared" si="11"/>
        <v>2.2199999999999998</v>
      </c>
      <c r="BN173" s="75">
        <f t="shared" si="12"/>
        <v>2.2200000000000002</v>
      </c>
      <c r="BO173" s="75">
        <f t="shared" si="13"/>
        <v>5.9523809523809512E-3</v>
      </c>
      <c r="BP173" s="75">
        <f t="shared" si="14"/>
        <v>5.9523809523809521E-3</v>
      </c>
    </row>
    <row r="174" spans="1:68" ht="27" hidden="1" customHeight="1" x14ac:dyDescent="0.25">
      <c r="A174" s="60" t="s">
        <v>306</v>
      </c>
      <c r="B174" s="60" t="s">
        <v>309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39.200000000000003</v>
      </c>
      <c r="Y175" s="53">
        <f t="shared" si="10"/>
        <v>40.32</v>
      </c>
      <c r="Z175" s="39">
        <f>IFERROR(IF(Y175=0,"",ROUNDUP(Y175/H175,0)*0.00502),"")</f>
        <v>0.12048</v>
      </c>
      <c r="AA175" s="65" t="s">
        <v>46</v>
      </c>
      <c r="AB175" s="66" t="s">
        <v>46</v>
      </c>
      <c r="AC175" s="241" t="s">
        <v>297</v>
      </c>
      <c r="AG175" s="75"/>
      <c r="AJ175" s="79" t="s">
        <v>46</v>
      </c>
      <c r="AK175" s="79">
        <v>0</v>
      </c>
      <c r="BB175" s="242" t="s">
        <v>67</v>
      </c>
      <c r="BM175" s="75">
        <f t="shared" si="11"/>
        <v>41.533333333333339</v>
      </c>
      <c r="BN175" s="75">
        <f t="shared" si="12"/>
        <v>42.72</v>
      </c>
      <c r="BO175" s="75">
        <f t="shared" si="13"/>
        <v>9.9715099715099731E-2</v>
      </c>
      <c r="BP175" s="75">
        <f t="shared" si="14"/>
        <v>0.10256410256410257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314</v>
      </c>
      <c r="AG176" s="75"/>
      <c r="AJ176" s="79" t="s">
        <v>46</v>
      </c>
      <c r="AK176" s="79">
        <v>0</v>
      </c>
      <c r="BB176" s="244" t="s">
        <v>67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customHeight="1" x14ac:dyDescent="0.25">
      <c r="A177" s="60" t="s">
        <v>315</v>
      </c>
      <c r="B177" s="60" t="s">
        <v>316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53.2</v>
      </c>
      <c r="Y177" s="53">
        <f t="shared" si="10"/>
        <v>53.76</v>
      </c>
      <c r="Z177" s="39">
        <f>IFERROR(IF(Y177=0,"",ROUNDUP(Y177/H177,0)*0.00502),"")</f>
        <v>0.16064000000000001</v>
      </c>
      <c r="AA177" s="65" t="s">
        <v>46</v>
      </c>
      <c r="AB177" s="66" t="s">
        <v>46</v>
      </c>
      <c r="AC177" s="245" t="s">
        <v>300</v>
      </c>
      <c r="AG177" s="75"/>
      <c r="AJ177" s="79" t="s">
        <v>46</v>
      </c>
      <c r="AK177" s="79">
        <v>0</v>
      </c>
      <c r="BB177" s="246" t="s">
        <v>67</v>
      </c>
      <c r="BM177" s="75">
        <f t="shared" si="11"/>
        <v>56.366666666666674</v>
      </c>
      <c r="BN177" s="75">
        <f t="shared" si="12"/>
        <v>56.959999999999994</v>
      </c>
      <c r="BO177" s="75">
        <f t="shared" si="13"/>
        <v>0.13532763532763534</v>
      </c>
      <c r="BP177" s="75">
        <f t="shared" si="14"/>
        <v>0.13675213675213677</v>
      </c>
    </row>
    <row r="178" spans="1:68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144.14285714285714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146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0.96322000000000019</v>
      </c>
      <c r="AA178" s="64"/>
      <c r="AB178" s="64"/>
      <c r="AC178" s="64"/>
    </row>
    <row r="179" spans="1:68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344.6</v>
      </c>
      <c r="Y179" s="41">
        <f>IFERROR(SUM(Y166:Y177),"0")</f>
        <v>349.28000000000003</v>
      </c>
      <c r="Z179" s="40"/>
      <c r="AA179" s="64"/>
      <c r="AB179" s="64"/>
      <c r="AC179" s="64"/>
    </row>
    <row r="180" spans="1:68" ht="14.25" hidden="1" customHeight="1" x14ac:dyDescent="0.25">
      <c r="A180" s="691" t="s">
        <v>86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317</v>
      </c>
      <c r="B181" s="60" t="s">
        <v>318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319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320</v>
      </c>
      <c r="B182" s="60" t="s">
        <v>321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322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323</v>
      </c>
      <c r="B183" s="60" t="s">
        <v>324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325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104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330</v>
      </c>
      <c r="L187" s="35" t="s">
        <v>46</v>
      </c>
      <c r="M187" s="36" t="s">
        <v>329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328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331</v>
      </c>
      <c r="B188" s="60" t="s">
        <v>332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330</v>
      </c>
      <c r="L188" s="35" t="s">
        <v>46</v>
      </c>
      <c r="M188" s="36" t="s">
        <v>329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333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334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335</v>
      </c>
      <c r="B192" s="60" t="s">
        <v>336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330</v>
      </c>
      <c r="L192" s="35" t="s">
        <v>46</v>
      </c>
      <c r="M192" s="36" t="s">
        <v>329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337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338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339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128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340</v>
      </c>
      <c r="B198" s="60" t="s">
        <v>341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342</v>
      </c>
      <c r="B199" s="60" t="s">
        <v>343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344</v>
      </c>
      <c r="AG199" s="75"/>
      <c r="AJ199" s="79" t="s">
        <v>46</v>
      </c>
      <c r="AK199" s="79">
        <v>0</v>
      </c>
      <c r="BB199" s="262" t="s">
        <v>67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345</v>
      </c>
      <c r="B200" s="60" t="s">
        <v>346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347</v>
      </c>
      <c r="AG200" s="75"/>
      <c r="AJ200" s="79" t="s">
        <v>46</v>
      </c>
      <c r="AK200" s="79">
        <v>0</v>
      </c>
      <c r="BB200" s="264" t="s">
        <v>67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350</v>
      </c>
      <c r="AG201" s="75"/>
      <c r="AJ201" s="79" t="s">
        <v>46</v>
      </c>
      <c r="AK201" s="79">
        <v>0</v>
      </c>
      <c r="BB201" s="266" t="s">
        <v>67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351</v>
      </c>
      <c r="B202" s="60" t="s">
        <v>352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133</v>
      </c>
      <c r="L202" s="35" t="s">
        <v>46</v>
      </c>
      <c r="M202" s="36" t="s">
        <v>90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353</v>
      </c>
      <c r="AG202" s="75"/>
      <c r="AJ202" s="79" t="s">
        <v>46</v>
      </c>
      <c r="AK202" s="79">
        <v>0</v>
      </c>
      <c r="BB202" s="268" t="s">
        <v>67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133</v>
      </c>
      <c r="L203" s="35" t="s">
        <v>46</v>
      </c>
      <c r="M203" s="36" t="s">
        <v>90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356</v>
      </c>
      <c r="AG203" s="75"/>
      <c r="AJ203" s="79" t="s">
        <v>46</v>
      </c>
      <c r="AK203" s="79">
        <v>0</v>
      </c>
      <c r="BB203" s="270" t="s">
        <v>67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357</v>
      </c>
      <c r="B204" s="60" t="s">
        <v>358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133</v>
      </c>
      <c r="L204" s="35" t="s">
        <v>46</v>
      </c>
      <c r="M204" s="36" t="s">
        <v>90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359</v>
      </c>
      <c r="AG204" s="75"/>
      <c r="AJ204" s="79" t="s">
        <v>46</v>
      </c>
      <c r="AK204" s="79">
        <v>0</v>
      </c>
      <c r="BB204" s="272" t="s">
        <v>67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360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164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361</v>
      </c>
      <c r="B209" s="60" t="s">
        <v>362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363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77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customHeight="1" x14ac:dyDescent="0.25">
      <c r="A213" s="60" t="s">
        <v>364</v>
      </c>
      <c r="B213" s="60" t="s">
        <v>365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140</v>
      </c>
      <c r="L213" s="35" t="s">
        <v>46</v>
      </c>
      <c r="M213" s="36" t="s">
        <v>81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60</v>
      </c>
      <c r="Y213" s="53">
        <f t="shared" ref="Y213:Y226" si="21">IFERROR(IF(X213="",0,CEILING((X213/$H213),1)*$H213),"")</f>
        <v>63</v>
      </c>
      <c r="Z213" s="39">
        <f>IFERROR(IF(Y213=0,"",ROUNDUP(Y213/H213,0)*0.00902),"")</f>
        <v>0.1353</v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2">IFERROR(X213*I213/H213,"0")</f>
        <v>63.571428571428569</v>
      </c>
      <c r="BN213" s="75">
        <f t="shared" ref="BN213:BN226" si="23">IFERROR(Y213*I213/H213,"0")</f>
        <v>66.75</v>
      </c>
      <c r="BO213" s="75">
        <f t="shared" ref="BO213:BO226" si="24">IFERROR(1/J213*(X213/H213),"0")</f>
        <v>0.10822510822510822</v>
      </c>
      <c r="BP213" s="75">
        <f t="shared" ref="BP213:BP226" si="25">IFERROR(1/J213*(Y213/H213),"0")</f>
        <v>0.11363636363636365</v>
      </c>
    </row>
    <row r="214" spans="1:68" ht="27" customHeight="1" x14ac:dyDescent="0.25">
      <c r="A214" s="60" t="s">
        <v>367</v>
      </c>
      <c r="B214" s="60" t="s">
        <v>368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140</v>
      </c>
      <c r="L214" s="35" t="s">
        <v>46</v>
      </c>
      <c r="M214" s="36" t="s">
        <v>81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80</v>
      </c>
      <c r="Y214" s="53">
        <f t="shared" si="21"/>
        <v>84</v>
      </c>
      <c r="Z214" s="39">
        <f>IFERROR(IF(Y214=0,"",ROUNDUP(Y214/H214,0)*0.00902),"")</f>
        <v>0.1804</v>
      </c>
      <c r="AA214" s="65" t="s">
        <v>46</v>
      </c>
      <c r="AB214" s="66" t="s">
        <v>46</v>
      </c>
      <c r="AC214" s="277" t="s">
        <v>369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84.761904761904759</v>
      </c>
      <c r="BN214" s="75">
        <f t="shared" si="23"/>
        <v>89</v>
      </c>
      <c r="BO214" s="75">
        <f t="shared" si="24"/>
        <v>0.14430014430014429</v>
      </c>
      <c r="BP214" s="75">
        <f t="shared" si="25"/>
        <v>0.15151515151515152</v>
      </c>
    </row>
    <row r="215" spans="1:68" ht="27" hidden="1" customHeight="1" x14ac:dyDescent="0.25">
      <c r="A215" s="60" t="s">
        <v>370</v>
      </c>
      <c r="B215" s="60" t="s">
        <v>371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140</v>
      </c>
      <c r="L215" s="35" t="s">
        <v>46</v>
      </c>
      <c r="M215" s="36" t="s">
        <v>81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372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customHeight="1" x14ac:dyDescent="0.25">
      <c r="A216" s="60" t="s">
        <v>373</v>
      </c>
      <c r="B216" s="60" t="s">
        <v>374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12.8</v>
      </c>
      <c r="Y216" s="53">
        <f t="shared" si="21"/>
        <v>12.8</v>
      </c>
      <c r="Z216" s="39">
        <f>IFERROR(IF(Y216=0,"",ROUNDUP(Y216/H216,0)*0.00556),"")</f>
        <v>8.8959999999999997E-2</v>
      </c>
      <c r="AA216" s="65" t="s">
        <v>46</v>
      </c>
      <c r="AB216" s="66" t="s">
        <v>46</v>
      </c>
      <c r="AC216" s="281" t="s">
        <v>375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14.88</v>
      </c>
      <c r="BN216" s="75">
        <f t="shared" si="23"/>
        <v>14.88</v>
      </c>
      <c r="BO216" s="75">
        <f t="shared" si="24"/>
        <v>6.3492063492063489E-2</v>
      </c>
      <c r="BP216" s="75">
        <f t="shared" si="25"/>
        <v>6.3492063492063489E-2</v>
      </c>
    </row>
    <row r="217" spans="1:68" ht="27" customHeight="1" x14ac:dyDescent="0.25">
      <c r="A217" s="60" t="s">
        <v>376</v>
      </c>
      <c r="B217" s="60" t="s">
        <v>377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35</v>
      </c>
      <c r="Y217" s="53">
        <f t="shared" si="21"/>
        <v>35.700000000000003</v>
      </c>
      <c r="Z217" s="39">
        <f t="shared" ref="Z217:Z222" si="26">IFERROR(IF(Y217=0,"",ROUNDUP(Y217/H217,0)*0.00502),"")</f>
        <v>8.5339999999999999E-2</v>
      </c>
      <c r="AA217" s="65" t="s">
        <v>46</v>
      </c>
      <c r="AB217" s="66" t="s">
        <v>46</v>
      </c>
      <c r="AC217" s="283" t="s">
        <v>366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37.166666666666664</v>
      </c>
      <c r="BN217" s="75">
        <f t="shared" si="23"/>
        <v>37.910000000000004</v>
      </c>
      <c r="BO217" s="75">
        <f t="shared" si="24"/>
        <v>7.1225071225071226E-2</v>
      </c>
      <c r="BP217" s="75">
        <f t="shared" si="25"/>
        <v>7.2649572649572655E-2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381</v>
      </c>
      <c r="B219" s="60" t="s">
        <v>382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70</v>
      </c>
      <c r="Y219" s="53">
        <f t="shared" si="21"/>
        <v>71.400000000000006</v>
      </c>
      <c r="Z219" s="39">
        <f t="shared" si="26"/>
        <v>0.17068</v>
      </c>
      <c r="AA219" s="65" t="s">
        <v>46</v>
      </c>
      <c r="AB219" s="66" t="s">
        <v>46</v>
      </c>
      <c r="AC219" s="287" t="s">
        <v>369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74.333333333333329</v>
      </c>
      <c r="BN219" s="75">
        <f t="shared" si="23"/>
        <v>75.820000000000007</v>
      </c>
      <c r="BO219" s="75">
        <f t="shared" si="24"/>
        <v>0.14245014245014245</v>
      </c>
      <c r="BP219" s="75">
        <f t="shared" si="25"/>
        <v>0.14529914529914531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385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388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391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392</v>
      </c>
      <c r="B223" s="60" t="s">
        <v>393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137</v>
      </c>
      <c r="L223" s="35" t="s">
        <v>46</v>
      </c>
      <c r="M223" s="36" t="s">
        <v>81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5.6000000000000005</v>
      </c>
      <c r="Y223" s="53">
        <f t="shared" si="21"/>
        <v>5.6000000000000005</v>
      </c>
      <c r="Z223" s="39">
        <f>IFERROR(IF(Y223=0,"",ROUNDUP(Y223/H223,0)*0.00417),"")</f>
        <v>2.9190000000000001E-2</v>
      </c>
      <c r="AA223" s="65" t="s">
        <v>46</v>
      </c>
      <c r="AB223" s="66" t="s">
        <v>46</v>
      </c>
      <c r="AC223" s="295" t="s">
        <v>394</v>
      </c>
      <c r="AG223" s="75"/>
      <c r="AJ223" s="79" t="s">
        <v>46</v>
      </c>
      <c r="AK223" s="79">
        <v>0</v>
      </c>
      <c r="BB223" s="296" t="s">
        <v>67</v>
      </c>
      <c r="BM223" s="75">
        <f t="shared" si="22"/>
        <v>7.07</v>
      </c>
      <c r="BN223" s="75">
        <f t="shared" si="23"/>
        <v>7.07</v>
      </c>
      <c r="BO223" s="75">
        <f t="shared" si="24"/>
        <v>2.0833333333333332E-2</v>
      </c>
      <c r="BP223" s="75">
        <f t="shared" si="25"/>
        <v>2.0833333333333332E-2</v>
      </c>
    </row>
    <row r="224" spans="1:68" ht="37.5" customHeight="1" x14ac:dyDescent="0.25">
      <c r="A224" s="60" t="s">
        <v>395</v>
      </c>
      <c r="B224" s="60" t="s">
        <v>396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140</v>
      </c>
      <c r="Y224" s="53">
        <f t="shared" si="21"/>
        <v>140.70000000000002</v>
      </c>
      <c r="Z224" s="39">
        <f>IFERROR(IF(Y224=0,"",ROUNDUP(Y224/H224,0)*0.00502),"")</f>
        <v>0.33634000000000003</v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2"/>
        <v>146.66666666666666</v>
      </c>
      <c r="BN224" s="75">
        <f t="shared" si="23"/>
        <v>147.40000000000003</v>
      </c>
      <c r="BO224" s="75">
        <f t="shared" si="24"/>
        <v>0.28490028490028491</v>
      </c>
      <c r="BP224" s="75">
        <f t="shared" si="25"/>
        <v>0.28632478632478636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399</v>
      </c>
      <c r="B226" s="60" t="s">
        <v>400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401</v>
      </c>
      <c r="AG226" s="75"/>
      <c r="AJ226" s="79" t="s">
        <v>46</v>
      </c>
      <c r="AK226" s="79">
        <v>0</v>
      </c>
      <c r="BB226" s="302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173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176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1.0262100000000001</v>
      </c>
      <c r="AA227" s="64"/>
      <c r="AB227" s="64"/>
      <c r="AC227" s="64"/>
    </row>
    <row r="228" spans="1:68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403.40000000000003</v>
      </c>
      <c r="Y228" s="41">
        <f>IFERROR(SUM(Y213:Y226),"0")</f>
        <v>413.20000000000005</v>
      </c>
      <c r="Z228" s="40"/>
      <c r="AA228" s="64"/>
      <c r="AB228" s="64"/>
      <c r="AC228" s="64"/>
    </row>
    <row r="229" spans="1:68" ht="14.25" hidden="1" customHeight="1" x14ac:dyDescent="0.25">
      <c r="A229" s="691" t="s">
        <v>86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402</v>
      </c>
      <c r="B230" s="60" t="s">
        <v>403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276</v>
      </c>
      <c r="AC230" s="303" t="s">
        <v>404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405</v>
      </c>
      <c r="B231" s="60" t="s">
        <v>406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133</v>
      </c>
      <c r="L231" s="35" t="s">
        <v>46</v>
      </c>
      <c r="M231" s="36" t="s">
        <v>97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133</v>
      </c>
      <c r="L232" s="35" t="s">
        <v>46</v>
      </c>
      <c r="M232" s="36" t="s">
        <v>97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140</v>
      </c>
      <c r="L233" s="35" t="s">
        <v>46</v>
      </c>
      <c r="M233" s="36" t="s">
        <v>97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140</v>
      </c>
      <c r="L234" s="35" t="s">
        <v>46</v>
      </c>
      <c r="M234" s="36" t="s">
        <v>97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410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104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customHeight="1" x14ac:dyDescent="0.25">
      <c r="A238" s="60" t="s">
        <v>416</v>
      </c>
      <c r="B238" s="60" t="s">
        <v>417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330</v>
      </c>
      <c r="L238" s="35" t="s">
        <v>46</v>
      </c>
      <c r="M238" s="36" t="s">
        <v>329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14.000000000000002</v>
      </c>
      <c r="Y238" s="53">
        <f>IFERROR(IF(X238="",0,CEILING((X238/$H238),1)*$H238),"")</f>
        <v>15.120000000000001</v>
      </c>
      <c r="Z238" s="39">
        <f>IFERROR(IF(Y238=0,"",ROUNDUP(Y238/H238,0)*0.0059),"")</f>
        <v>7.0800000000000002E-2</v>
      </c>
      <c r="AA238" s="65" t="s">
        <v>46</v>
      </c>
      <c r="AB238" s="66" t="s">
        <v>46</v>
      </c>
      <c r="AC238" s="313" t="s">
        <v>418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16.111111111111111</v>
      </c>
      <c r="BN238" s="75">
        <f>IFERROR(Y238*I238/H238,"0")</f>
        <v>17.399999999999999</v>
      </c>
      <c r="BO238" s="75">
        <f>IFERROR(1/J238*(X238/H238),"0")</f>
        <v>5.1440329218106998E-2</v>
      </c>
      <c r="BP238" s="75">
        <f>IFERROR(1/J238*(Y238/H238),"0")</f>
        <v>5.5555555555555552E-2</v>
      </c>
    </row>
    <row r="239" spans="1:68" ht="27" customHeight="1" x14ac:dyDescent="0.25">
      <c r="A239" s="60" t="s">
        <v>419</v>
      </c>
      <c r="B239" s="60" t="s">
        <v>420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330</v>
      </c>
      <c r="L239" s="35" t="s">
        <v>46</v>
      </c>
      <c r="M239" s="36" t="s">
        <v>329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10.500000000000002</v>
      </c>
      <c r="Y239" s="53">
        <f>IFERROR(IF(X239="",0,CEILING((X239/$H239),1)*$H239),"")</f>
        <v>11.34</v>
      </c>
      <c r="Z239" s="39">
        <f>IFERROR(IF(Y239=0,"",ROUNDUP(Y239/H239,0)*0.0059),"")</f>
        <v>5.3100000000000001E-2</v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12.083333333333334</v>
      </c>
      <c r="BN239" s="75">
        <f>IFERROR(Y239*I239/H239,"0")</f>
        <v>13.049999999999999</v>
      </c>
      <c r="BO239" s="75">
        <f>IFERROR(1/J239*(X239/H239),"0")</f>
        <v>3.8580246913580245E-2</v>
      </c>
      <c r="BP239" s="75">
        <f>IFERROR(1/J239*(Y239/H239),"0")</f>
        <v>4.1666666666666664E-2</v>
      </c>
    </row>
    <row r="240" spans="1:68" ht="27" customHeight="1" x14ac:dyDescent="0.25">
      <c r="A240" s="60" t="s">
        <v>422</v>
      </c>
      <c r="B240" s="60" t="s">
        <v>423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330</v>
      </c>
      <c r="L240" s="35" t="s">
        <v>46</v>
      </c>
      <c r="M240" s="36" t="s">
        <v>329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7.0000000000000009</v>
      </c>
      <c r="Y240" s="53">
        <f>IFERROR(IF(X240="",0,CEILING((X240/$H240),1)*$H240),"")</f>
        <v>7.5600000000000005</v>
      </c>
      <c r="Z240" s="39">
        <f>IFERROR(IF(Y240=0,"",ROUNDUP(Y240/H240,0)*0.0059),"")</f>
        <v>3.5400000000000001E-2</v>
      </c>
      <c r="AA240" s="65" t="s">
        <v>46</v>
      </c>
      <c r="AB240" s="66" t="s">
        <v>46</v>
      </c>
      <c r="AC240" s="317" t="s">
        <v>421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8.0555555555555554</v>
      </c>
      <c r="BN240" s="75">
        <f>IFERROR(Y240*I240/H240,"0")</f>
        <v>8.6999999999999993</v>
      </c>
      <c r="BO240" s="75">
        <f>IFERROR(1/J240*(X240/H240),"0")</f>
        <v>2.5720164609053499E-2</v>
      </c>
      <c r="BP240" s="75">
        <f>IFERROR(1/J240*(Y240/H240),"0")</f>
        <v>2.7777777777777776E-2</v>
      </c>
    </row>
    <row r="241" spans="1:68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25.000000000000004</v>
      </c>
      <c r="Y241" s="41">
        <f>IFERROR(Y238/H238,"0")+IFERROR(Y239/H239,"0")+IFERROR(Y240/H240,"0")</f>
        <v>27</v>
      </c>
      <c r="Z241" s="41">
        <f>IFERROR(IF(Z238="",0,Z238),"0")+IFERROR(IF(Z239="",0,Z239),"0")+IFERROR(IF(Z240="",0,Z240),"0")</f>
        <v>0.1593</v>
      </c>
      <c r="AA241" s="64"/>
      <c r="AB241" s="64"/>
      <c r="AC241" s="64"/>
    </row>
    <row r="242" spans="1:68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31.500000000000004</v>
      </c>
      <c r="Y242" s="41">
        <f>IFERROR(SUM(Y238:Y240),"0")</f>
        <v>34.020000000000003</v>
      </c>
      <c r="Z242" s="40"/>
      <c r="AA242" s="64"/>
      <c r="AB242" s="64"/>
      <c r="AC242" s="64"/>
    </row>
    <row r="243" spans="1:68" ht="14.25" hidden="1" customHeight="1" x14ac:dyDescent="0.25">
      <c r="A243" s="691" t="s">
        <v>424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customHeight="1" x14ac:dyDescent="0.25">
      <c r="A244" s="60" t="s">
        <v>425</v>
      </c>
      <c r="B244" s="60" t="s">
        <v>426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330</v>
      </c>
      <c r="L244" s="35" t="s">
        <v>46</v>
      </c>
      <c r="M244" s="36" t="s">
        <v>329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10.500000000000002</v>
      </c>
      <c r="Y244" s="53">
        <f>IFERROR(IF(X244="",0,CEILING((X244/$H244),1)*$H244),"")</f>
        <v>11.34</v>
      </c>
      <c r="Z244" s="39">
        <f>IFERROR(IF(Y244=0,"",ROUNDUP(Y244/H244,0)*0.0059),"")</f>
        <v>5.3100000000000001E-2</v>
      </c>
      <c r="AA244" s="65" t="s">
        <v>46</v>
      </c>
      <c r="AB244" s="66" t="s">
        <v>46</v>
      </c>
      <c r="AC244" s="319" t="s">
        <v>421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12.083333333333334</v>
      </c>
      <c r="BN244" s="75">
        <f>IFERROR(Y244*I244/H244,"0")</f>
        <v>13.049999999999999</v>
      </c>
      <c r="BO244" s="75">
        <f>IFERROR(1/J244*(X244/H244),"0")</f>
        <v>3.8580246913580245E-2</v>
      </c>
      <c r="BP244" s="75">
        <f>IFERROR(1/J244*(Y244/H244),"0")</f>
        <v>4.1666666666666664E-2</v>
      </c>
    </row>
    <row r="245" spans="1:68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8.3333333333333339</v>
      </c>
      <c r="Y245" s="41">
        <f>IFERROR(Y244/H244,"0")</f>
        <v>9</v>
      </c>
      <c r="Z245" s="41">
        <f>IFERROR(IF(Z244="",0,Z244),"0")</f>
        <v>5.3100000000000001E-2</v>
      </c>
      <c r="AA245" s="64"/>
      <c r="AB245" s="64"/>
      <c r="AC245" s="64"/>
    </row>
    <row r="246" spans="1:68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10.500000000000002</v>
      </c>
      <c r="Y246" s="41">
        <f>IFERROR(SUM(Y244:Y244),"0")</f>
        <v>11.34</v>
      </c>
      <c r="Z246" s="40"/>
      <c r="AA246" s="64"/>
      <c r="AB246" s="64"/>
      <c r="AC246" s="64"/>
    </row>
    <row r="247" spans="1:68" ht="16.5" hidden="1" customHeight="1" x14ac:dyDescent="0.25">
      <c r="A247" s="690" t="s">
        <v>427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128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428</v>
      </c>
      <c r="B249" s="60" t="s">
        <v>429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133</v>
      </c>
      <c r="L249" s="35" t="s">
        <v>46</v>
      </c>
      <c r="M249" s="36" t="s">
        <v>132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430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431</v>
      </c>
      <c r="B250" s="60" t="s">
        <v>432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132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430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164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433</v>
      </c>
      <c r="B254" s="60" t="s">
        <v>434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133</v>
      </c>
      <c r="L254" s="35" t="s">
        <v>46</v>
      </c>
      <c r="M254" s="36" t="s">
        <v>132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435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436</v>
      </c>
      <c r="B255" s="60" t="s">
        <v>437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132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435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77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customHeight="1" x14ac:dyDescent="0.25">
      <c r="A259" s="60" t="s">
        <v>438</v>
      </c>
      <c r="B259" s="60" t="s">
        <v>439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140</v>
      </c>
      <c r="L259" s="35" t="s">
        <v>46</v>
      </c>
      <c r="M259" s="36" t="s">
        <v>81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100</v>
      </c>
      <c r="Y259" s="53">
        <f t="shared" ref="Y259:Y266" si="27">IFERROR(IF(X259="",0,CEILING((X259/$H259),1)*$H259),"")</f>
        <v>102.60000000000001</v>
      </c>
      <c r="Z259" s="39">
        <f>IFERROR(IF(Y259=0,"",ROUNDUP(Y259/H259,0)*0.00902),"")</f>
        <v>0.17138</v>
      </c>
      <c r="AA259" s="65" t="s">
        <v>46</v>
      </c>
      <c r="AB259" s="66" t="s">
        <v>46</v>
      </c>
      <c r="AC259" s="329" t="s">
        <v>440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28">IFERROR(X259*I259/H259,"0")</f>
        <v>103.5185185185185</v>
      </c>
      <c r="BN259" s="75">
        <f t="shared" ref="BN259:BN266" si="29">IFERROR(Y259*I259/H259,"0")</f>
        <v>106.21</v>
      </c>
      <c r="BO259" s="75">
        <f t="shared" ref="BO259:BO266" si="30">IFERROR(1/J259*(X259/H259),"0")</f>
        <v>0.14029180695847362</v>
      </c>
      <c r="BP259" s="75">
        <f t="shared" ref="BP259:BP266" si="31">IFERROR(1/J259*(Y259/H259),"0")</f>
        <v>0.14393939393939395</v>
      </c>
    </row>
    <row r="260" spans="1:68" ht="27" hidden="1" customHeight="1" x14ac:dyDescent="0.25">
      <c r="A260" s="60" t="s">
        <v>441</v>
      </c>
      <c r="B260" s="60" t="s">
        <v>442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140</v>
      </c>
      <c r="L260" s="35" t="s">
        <v>46</v>
      </c>
      <c r="M260" s="36" t="s">
        <v>81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443</v>
      </c>
      <c r="AG260" s="75"/>
      <c r="AJ260" s="79" t="s">
        <v>46</v>
      </c>
      <c r="AK260" s="79">
        <v>0</v>
      </c>
      <c r="BB260" s="332" t="s">
        <v>67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customHeight="1" x14ac:dyDescent="0.25">
      <c r="A261" s="60" t="s">
        <v>444</v>
      </c>
      <c r="B261" s="60" t="s">
        <v>445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140</v>
      </c>
      <c r="L261" s="35" t="s">
        <v>46</v>
      </c>
      <c r="M261" s="36" t="s">
        <v>81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300</v>
      </c>
      <c r="Y261" s="53">
        <f t="shared" si="27"/>
        <v>302.40000000000003</v>
      </c>
      <c r="Z261" s="39">
        <f>IFERROR(IF(Y261=0,"",ROUNDUP(Y261/H261,0)*0.00902),"")</f>
        <v>0.50512000000000001</v>
      </c>
      <c r="AA261" s="65" t="s">
        <v>46</v>
      </c>
      <c r="AB261" s="66" t="s">
        <v>46</v>
      </c>
      <c r="AC261" s="333" t="s">
        <v>446</v>
      </c>
      <c r="AG261" s="75"/>
      <c r="AJ261" s="79" t="s">
        <v>46</v>
      </c>
      <c r="AK261" s="79">
        <v>0</v>
      </c>
      <c r="BB261" s="334" t="s">
        <v>67</v>
      </c>
      <c r="BM261" s="75">
        <f t="shared" si="28"/>
        <v>310.55555555555554</v>
      </c>
      <c r="BN261" s="75">
        <f t="shared" si="29"/>
        <v>313.04000000000002</v>
      </c>
      <c r="BO261" s="75">
        <f t="shared" si="30"/>
        <v>0.42087542087542085</v>
      </c>
      <c r="BP261" s="75">
        <f t="shared" si="31"/>
        <v>0.42424242424242425</v>
      </c>
    </row>
    <row r="262" spans="1:68" ht="27" customHeight="1" x14ac:dyDescent="0.25">
      <c r="A262" s="60" t="s">
        <v>447</v>
      </c>
      <c r="B262" s="60" t="s">
        <v>448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140</v>
      </c>
      <c r="L262" s="35" t="s">
        <v>46</v>
      </c>
      <c r="M262" s="36" t="s">
        <v>81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40</v>
      </c>
      <c r="Y262" s="53">
        <f t="shared" si="27"/>
        <v>43.2</v>
      </c>
      <c r="Z262" s="39">
        <f>IFERROR(IF(Y262=0,"",ROUNDUP(Y262/H262,0)*0.00902),"")</f>
        <v>7.2160000000000002E-2</v>
      </c>
      <c r="AA262" s="65" t="s">
        <v>46</v>
      </c>
      <c r="AB262" s="66" t="s">
        <v>46</v>
      </c>
      <c r="AC262" s="335" t="s">
        <v>449</v>
      </c>
      <c r="AG262" s="75"/>
      <c r="AJ262" s="79" t="s">
        <v>46</v>
      </c>
      <c r="AK262" s="79">
        <v>0</v>
      </c>
      <c r="BB262" s="336" t="s">
        <v>67</v>
      </c>
      <c r="BM262" s="75">
        <f t="shared" si="28"/>
        <v>41.407407407407405</v>
      </c>
      <c r="BN262" s="75">
        <f t="shared" si="29"/>
        <v>44.72</v>
      </c>
      <c r="BO262" s="75">
        <f t="shared" si="30"/>
        <v>5.6116722783389444E-2</v>
      </c>
      <c r="BP262" s="75">
        <f t="shared" si="31"/>
        <v>6.0606060606060608E-2</v>
      </c>
    </row>
    <row r="263" spans="1:68" ht="27" customHeight="1" x14ac:dyDescent="0.25">
      <c r="A263" s="60" t="s">
        <v>450</v>
      </c>
      <c r="B263" s="60" t="s">
        <v>451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45</v>
      </c>
      <c r="Y263" s="53">
        <f t="shared" si="27"/>
        <v>45</v>
      </c>
      <c r="Z263" s="39">
        <f>IFERROR(IF(Y263=0,"",ROUNDUP(Y263/H263,0)*0.00502),"")</f>
        <v>0.1255</v>
      </c>
      <c r="AA263" s="65" t="s">
        <v>46</v>
      </c>
      <c r="AB263" s="66" t="s">
        <v>46</v>
      </c>
      <c r="AC263" s="337" t="s">
        <v>440</v>
      </c>
      <c r="AG263" s="75"/>
      <c r="AJ263" s="79" t="s">
        <v>46</v>
      </c>
      <c r="AK263" s="79">
        <v>0</v>
      </c>
      <c r="BB263" s="338" t="s">
        <v>67</v>
      </c>
      <c r="BM263" s="75">
        <f t="shared" si="28"/>
        <v>48.249999999999993</v>
      </c>
      <c r="BN263" s="75">
        <f t="shared" si="29"/>
        <v>48.249999999999993</v>
      </c>
      <c r="BO263" s="75">
        <f t="shared" si="30"/>
        <v>0.10683760683760685</v>
      </c>
      <c r="BP263" s="75">
        <f t="shared" si="31"/>
        <v>0.10683760683760685</v>
      </c>
    </row>
    <row r="264" spans="1:68" ht="27" customHeight="1" x14ac:dyDescent="0.25">
      <c r="A264" s="60" t="s">
        <v>452</v>
      </c>
      <c r="B264" s="60" t="s">
        <v>453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30</v>
      </c>
      <c r="Y264" s="53">
        <f t="shared" si="27"/>
        <v>30.6</v>
      </c>
      <c r="Z264" s="39">
        <f>IFERROR(IF(Y264=0,"",ROUNDUP(Y264/H264,0)*0.00502),"")</f>
        <v>8.5339999999999999E-2</v>
      </c>
      <c r="AA264" s="65" t="s">
        <v>46</v>
      </c>
      <c r="AB264" s="66" t="s">
        <v>46</v>
      </c>
      <c r="AC264" s="339" t="s">
        <v>443</v>
      </c>
      <c r="AG264" s="75"/>
      <c r="AJ264" s="79" t="s">
        <v>46</v>
      </c>
      <c r="AK264" s="79">
        <v>0</v>
      </c>
      <c r="BB264" s="340" t="s">
        <v>67</v>
      </c>
      <c r="BM264" s="75">
        <f t="shared" si="28"/>
        <v>31.666666666666664</v>
      </c>
      <c r="BN264" s="75">
        <f t="shared" si="29"/>
        <v>32.299999999999997</v>
      </c>
      <c r="BO264" s="75">
        <f t="shared" si="30"/>
        <v>7.122507122507124E-2</v>
      </c>
      <c r="BP264" s="75">
        <f t="shared" si="31"/>
        <v>7.2649572649572655E-2</v>
      </c>
    </row>
    <row r="265" spans="1:68" ht="27" customHeight="1" x14ac:dyDescent="0.25">
      <c r="A265" s="60" t="s">
        <v>454</v>
      </c>
      <c r="B265" s="60" t="s">
        <v>455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60</v>
      </c>
      <c r="Y265" s="53">
        <f t="shared" si="27"/>
        <v>61.2</v>
      </c>
      <c r="Z265" s="39">
        <f>IFERROR(IF(Y265=0,"",ROUNDUP(Y265/H265,0)*0.00502),"")</f>
        <v>0.17068</v>
      </c>
      <c r="AA265" s="65" t="s">
        <v>46</v>
      </c>
      <c r="AB265" s="66" t="s">
        <v>46</v>
      </c>
      <c r="AC265" s="341" t="s">
        <v>446</v>
      </c>
      <c r="AG265" s="75"/>
      <c r="AJ265" s="79" t="s">
        <v>46</v>
      </c>
      <c r="AK265" s="79">
        <v>0</v>
      </c>
      <c r="BB265" s="342" t="s">
        <v>67</v>
      </c>
      <c r="BM265" s="75">
        <f t="shared" si="28"/>
        <v>63.333333333333329</v>
      </c>
      <c r="BN265" s="75">
        <f t="shared" si="29"/>
        <v>64.599999999999994</v>
      </c>
      <c r="BO265" s="75">
        <f t="shared" si="30"/>
        <v>0.14245014245014248</v>
      </c>
      <c r="BP265" s="75">
        <f t="shared" si="31"/>
        <v>0.14529914529914531</v>
      </c>
    </row>
    <row r="266" spans="1:68" ht="27" customHeight="1" x14ac:dyDescent="0.25">
      <c r="A266" s="60" t="s">
        <v>456</v>
      </c>
      <c r="B266" s="60" t="s">
        <v>457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75</v>
      </c>
      <c r="Y266" s="53">
        <f t="shared" si="27"/>
        <v>75.600000000000009</v>
      </c>
      <c r="Z266" s="39">
        <f>IFERROR(IF(Y266=0,"",ROUNDUP(Y266/H266,0)*0.00502),"")</f>
        <v>0.21084</v>
      </c>
      <c r="AA266" s="65" t="s">
        <v>46</v>
      </c>
      <c r="AB266" s="66" t="s">
        <v>46</v>
      </c>
      <c r="AC266" s="343" t="s">
        <v>449</v>
      </c>
      <c r="AG266" s="75"/>
      <c r="AJ266" s="79" t="s">
        <v>46</v>
      </c>
      <c r="AK266" s="79">
        <v>0</v>
      </c>
      <c r="BB266" s="344" t="s">
        <v>67</v>
      </c>
      <c r="BM266" s="75">
        <f t="shared" si="28"/>
        <v>79.166666666666671</v>
      </c>
      <c r="BN266" s="75">
        <f t="shared" si="29"/>
        <v>79.800000000000011</v>
      </c>
      <c r="BO266" s="75">
        <f t="shared" si="30"/>
        <v>0.17806267806267806</v>
      </c>
      <c r="BP266" s="75">
        <f t="shared" si="31"/>
        <v>0.17948717948717954</v>
      </c>
    </row>
    <row r="267" spans="1:68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198.14814814814815</v>
      </c>
      <c r="Y267" s="41">
        <f>IFERROR(Y259/H259,"0")+IFERROR(Y260/H260,"0")+IFERROR(Y261/H261,"0")+IFERROR(Y262/H262,"0")+IFERROR(Y263/H263,"0")+IFERROR(Y264/H264,"0")+IFERROR(Y265/H265,"0")+IFERROR(Y266/H266,"0")</f>
        <v>201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1.3410199999999999</v>
      </c>
      <c r="AA267" s="64"/>
      <c r="AB267" s="64"/>
      <c r="AC267" s="64"/>
    </row>
    <row r="268" spans="1:68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650</v>
      </c>
      <c r="Y268" s="41">
        <f>IFERROR(SUM(Y259:Y266),"0")</f>
        <v>660.60000000000014</v>
      </c>
      <c r="Z268" s="40"/>
      <c r="AA268" s="64"/>
      <c r="AB268" s="64"/>
      <c r="AC268" s="64"/>
    </row>
    <row r="269" spans="1:68" ht="14.25" hidden="1" customHeight="1" x14ac:dyDescent="0.25">
      <c r="A269" s="691" t="s">
        <v>86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458</v>
      </c>
      <c r="B270" s="60" t="s">
        <v>459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133</v>
      </c>
      <c r="L270" s="35" t="s">
        <v>46</v>
      </c>
      <c r="M270" s="36" t="s">
        <v>90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460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461</v>
      </c>
      <c r="B271" s="60" t="s">
        <v>462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133</v>
      </c>
      <c r="L271" s="35" t="s">
        <v>46</v>
      </c>
      <c r="M271" s="36" t="s">
        <v>90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463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customHeight="1" x14ac:dyDescent="0.25">
      <c r="A272" s="60" t="s">
        <v>464</v>
      </c>
      <c r="B272" s="60" t="s">
        <v>465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133</v>
      </c>
      <c r="L272" s="35" t="s">
        <v>46</v>
      </c>
      <c r="M272" s="36" t="s">
        <v>90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300</v>
      </c>
      <c r="Y272" s="53">
        <f t="shared" si="32"/>
        <v>304.5</v>
      </c>
      <c r="Z272" s="39">
        <f>IFERROR(IF(Y272=0,"",ROUNDUP(Y272/H272,0)*0.01898),"")</f>
        <v>0.6643</v>
      </c>
      <c r="AA272" s="65" t="s">
        <v>46</v>
      </c>
      <c r="AB272" s="66" t="s">
        <v>46</v>
      </c>
      <c r="AC272" s="349" t="s">
        <v>466</v>
      </c>
      <c r="AG272" s="75"/>
      <c r="AJ272" s="79" t="s">
        <v>46</v>
      </c>
      <c r="AK272" s="79">
        <v>0</v>
      </c>
      <c r="BB272" s="350" t="s">
        <v>67</v>
      </c>
      <c r="BM272" s="75">
        <f t="shared" si="33"/>
        <v>317.03448275862075</v>
      </c>
      <c r="BN272" s="75">
        <f t="shared" si="34"/>
        <v>321.79000000000008</v>
      </c>
      <c r="BO272" s="75">
        <f t="shared" si="35"/>
        <v>0.53879310344827591</v>
      </c>
      <c r="BP272" s="75">
        <f t="shared" si="36"/>
        <v>0.546875</v>
      </c>
    </row>
    <row r="273" spans="1:68" ht="27" customHeight="1" x14ac:dyDescent="0.25">
      <c r="A273" s="60" t="s">
        <v>467</v>
      </c>
      <c r="B273" s="60" t="s">
        <v>468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80</v>
      </c>
      <c r="Y273" s="53">
        <f t="shared" si="32"/>
        <v>81.599999999999994</v>
      </c>
      <c r="Z273" s="39">
        <f>IFERROR(IF(Y273=0,"",ROUNDUP(Y273/H273,0)*0.00651),"")</f>
        <v>0.22134000000000001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33"/>
        <v>89</v>
      </c>
      <c r="BN273" s="75">
        <f t="shared" si="34"/>
        <v>90.78</v>
      </c>
      <c r="BO273" s="75">
        <f t="shared" si="35"/>
        <v>0.18315018315018317</v>
      </c>
      <c r="BP273" s="75">
        <f t="shared" si="36"/>
        <v>0.18681318681318682</v>
      </c>
    </row>
    <row r="274" spans="1:68" ht="27" hidden="1" customHeight="1" x14ac:dyDescent="0.25">
      <c r="A274" s="60" t="s">
        <v>469</v>
      </c>
      <c r="B274" s="60" t="s">
        <v>470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466</v>
      </c>
      <c r="AG274" s="75"/>
      <c r="AJ274" s="79" t="s">
        <v>46</v>
      </c>
      <c r="AK274" s="79">
        <v>0</v>
      </c>
      <c r="BB274" s="354" t="s">
        <v>67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471</v>
      </c>
      <c r="B275" s="60" t="s">
        <v>472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140</v>
      </c>
      <c r="L275" s="35" t="s">
        <v>46</v>
      </c>
      <c r="M275" s="36" t="s">
        <v>90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473</v>
      </c>
      <c r="AG275" s="75"/>
      <c r="AJ275" s="79" t="s">
        <v>46</v>
      </c>
      <c r="AK275" s="79">
        <v>0</v>
      </c>
      <c r="BB275" s="356" t="s">
        <v>67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474</v>
      </c>
      <c r="B276" s="60" t="s">
        <v>475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800</v>
      </c>
      <c r="Y276" s="53">
        <f t="shared" si="32"/>
        <v>801.6</v>
      </c>
      <c r="Z276" s="39">
        <f>IFERROR(IF(Y276=0,"",ROUNDUP(Y276/H276,0)*0.00651),"")</f>
        <v>2.1743399999999999</v>
      </c>
      <c r="AA276" s="65" t="s">
        <v>46</v>
      </c>
      <c r="AB276" s="66" t="s">
        <v>46</v>
      </c>
      <c r="AC276" s="357" t="s">
        <v>466</v>
      </c>
      <c r="AG276" s="75"/>
      <c r="AJ276" s="79" t="s">
        <v>46</v>
      </c>
      <c r="AK276" s="79">
        <v>0</v>
      </c>
      <c r="BB276" s="358" t="s">
        <v>67</v>
      </c>
      <c r="BM276" s="75">
        <f t="shared" si="33"/>
        <v>884</v>
      </c>
      <c r="BN276" s="75">
        <f t="shared" si="34"/>
        <v>885.76800000000014</v>
      </c>
      <c r="BO276" s="75">
        <f t="shared" si="35"/>
        <v>1.8315018315018319</v>
      </c>
      <c r="BP276" s="75">
        <f t="shared" si="36"/>
        <v>1.8351648351648353</v>
      </c>
    </row>
    <row r="277" spans="1:68" ht="27" hidden="1" customHeight="1" x14ac:dyDescent="0.25">
      <c r="A277" s="60" t="s">
        <v>476</v>
      </c>
      <c r="B277" s="60" t="s">
        <v>477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133</v>
      </c>
      <c r="L277" s="35" t="s">
        <v>46</v>
      </c>
      <c r="M277" s="36" t="s">
        <v>90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67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478</v>
      </c>
      <c r="B278" s="60" t="s">
        <v>479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466</v>
      </c>
      <c r="AG278" s="75"/>
      <c r="AJ278" s="79" t="s">
        <v>46</v>
      </c>
      <c r="AK278" s="79">
        <v>0</v>
      </c>
      <c r="BB278" s="362" t="s">
        <v>67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customHeight="1" x14ac:dyDescent="0.25">
      <c r="A279" s="60" t="s">
        <v>480</v>
      </c>
      <c r="B279" s="60" t="s">
        <v>481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80</v>
      </c>
      <c r="Y279" s="53">
        <f t="shared" si="32"/>
        <v>81.599999999999994</v>
      </c>
      <c r="Z279" s="39">
        <f>IFERROR(IF(Y279=0,"",ROUNDUP(Y279/H279,0)*0.00651),"")</f>
        <v>0.22134000000000001</v>
      </c>
      <c r="AA279" s="65" t="s">
        <v>46</v>
      </c>
      <c r="AB279" s="66" t="s">
        <v>46</v>
      </c>
      <c r="AC279" s="363" t="s">
        <v>482</v>
      </c>
      <c r="AG279" s="75"/>
      <c r="AJ279" s="79" t="s">
        <v>46</v>
      </c>
      <c r="AK279" s="79">
        <v>0</v>
      </c>
      <c r="BB279" s="364" t="s">
        <v>67</v>
      </c>
      <c r="BM279" s="75">
        <f t="shared" si="33"/>
        <v>88.40000000000002</v>
      </c>
      <c r="BN279" s="75">
        <f t="shared" si="34"/>
        <v>90.168000000000006</v>
      </c>
      <c r="BO279" s="75">
        <f t="shared" si="35"/>
        <v>0.18315018315018317</v>
      </c>
      <c r="BP279" s="75">
        <f t="shared" si="36"/>
        <v>0.18681318681318682</v>
      </c>
    </row>
    <row r="280" spans="1:68" ht="27" customHeight="1" x14ac:dyDescent="0.25">
      <c r="A280" s="60" t="s">
        <v>483</v>
      </c>
      <c r="B280" s="60" t="s">
        <v>484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80</v>
      </c>
      <c r="Y280" s="53">
        <f t="shared" si="32"/>
        <v>81.599999999999994</v>
      </c>
      <c r="Z280" s="39">
        <f>IFERROR(IF(Y280=0,"",ROUNDUP(Y280/H280,0)*0.00651),"")</f>
        <v>0.22134000000000001</v>
      </c>
      <c r="AA280" s="65" t="s">
        <v>46</v>
      </c>
      <c r="AB280" s="66" t="s">
        <v>46</v>
      </c>
      <c r="AC280" s="365" t="s">
        <v>485</v>
      </c>
      <c r="AG280" s="75"/>
      <c r="AJ280" s="79" t="s">
        <v>46</v>
      </c>
      <c r="AK280" s="79">
        <v>0</v>
      </c>
      <c r="BB280" s="366" t="s">
        <v>67</v>
      </c>
      <c r="BM280" s="75">
        <f t="shared" si="33"/>
        <v>88.6</v>
      </c>
      <c r="BN280" s="75">
        <f t="shared" si="34"/>
        <v>90.371999999999986</v>
      </c>
      <c r="BO280" s="75">
        <f t="shared" si="35"/>
        <v>0.18315018315018317</v>
      </c>
      <c r="BP280" s="75">
        <f t="shared" si="36"/>
        <v>0.18681318681318682</v>
      </c>
    </row>
    <row r="281" spans="1:68" ht="27" hidden="1" customHeight="1" x14ac:dyDescent="0.25">
      <c r="A281" s="60" t="s">
        <v>486</v>
      </c>
      <c r="B281" s="60" t="s">
        <v>487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488</v>
      </c>
      <c r="AG281" s="75"/>
      <c r="AJ281" s="79" t="s">
        <v>46</v>
      </c>
      <c r="AK281" s="79">
        <v>0</v>
      </c>
      <c r="BB281" s="368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467.81609195402302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471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3.5026600000000001</v>
      </c>
      <c r="AA282" s="64"/>
      <c r="AB282" s="64"/>
      <c r="AC282" s="64"/>
    </row>
    <row r="283" spans="1:68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1340</v>
      </c>
      <c r="Y283" s="41">
        <f>IFERROR(SUM(Y270:Y281),"0")</f>
        <v>1350.8999999999999</v>
      </c>
      <c r="Z283" s="40"/>
      <c r="AA283" s="64"/>
      <c r="AB283" s="64"/>
      <c r="AC283" s="64"/>
    </row>
    <row r="284" spans="1:68" ht="14.25" hidden="1" customHeight="1" x14ac:dyDescent="0.25">
      <c r="A284" s="691" t="s">
        <v>181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customHeight="1" x14ac:dyDescent="0.25">
      <c r="A285" s="60" t="s">
        <v>489</v>
      </c>
      <c r="B285" s="60" t="s">
        <v>490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40</v>
      </c>
      <c r="Y285" s="53">
        <f>IFERROR(IF(X285="",0,CEILING((X285/$H285),1)*$H285),"")</f>
        <v>40.799999999999997</v>
      </c>
      <c r="Z285" s="39">
        <f>IFERROR(IF(Y285=0,"",ROUNDUP(Y285/H285,0)*0.00651),"")</f>
        <v>0.11067</v>
      </c>
      <c r="AA285" s="65" t="s">
        <v>46</v>
      </c>
      <c r="AB285" s="66" t="s">
        <v>46</v>
      </c>
      <c r="AC285" s="369" t="s">
        <v>491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44.20000000000001</v>
      </c>
      <c r="BN285" s="75">
        <f>IFERROR(Y285*I285/H285,"0")</f>
        <v>45.084000000000003</v>
      </c>
      <c r="BO285" s="75">
        <f>IFERROR(1/J285*(X285/H285),"0")</f>
        <v>9.1575091575091583E-2</v>
      </c>
      <c r="BP285" s="75">
        <f>IFERROR(1/J285*(Y285/H285),"0")</f>
        <v>9.3406593406593408E-2</v>
      </c>
    </row>
    <row r="286" spans="1:68" ht="27" customHeight="1" x14ac:dyDescent="0.25">
      <c r="A286" s="60" t="s">
        <v>492</v>
      </c>
      <c r="B286" s="60" t="s">
        <v>493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240</v>
      </c>
      <c r="Y286" s="53">
        <f>IFERROR(IF(X286="",0,CEILING((X286/$H286),1)*$H286),"")</f>
        <v>240</v>
      </c>
      <c r="Z286" s="39">
        <f>IFERROR(IF(Y286=0,"",ROUNDUP(Y286/H286,0)*0.00651),"")</f>
        <v>0.65100000000000002</v>
      </c>
      <c r="AA286" s="65" t="s">
        <v>46</v>
      </c>
      <c r="AB286" s="66" t="s">
        <v>46</v>
      </c>
      <c r="AC286" s="371" t="s">
        <v>494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265.20000000000005</v>
      </c>
      <c r="BN286" s="75">
        <f>IFERROR(Y286*I286/H286,"0")</f>
        <v>265.20000000000005</v>
      </c>
      <c r="BO286" s="75">
        <f>IFERROR(1/J286*(X286/H286),"0")</f>
        <v>0.5494505494505495</v>
      </c>
      <c r="BP286" s="75">
        <f>IFERROR(1/J286*(Y286/H286),"0")</f>
        <v>0.5494505494505495</v>
      </c>
    </row>
    <row r="287" spans="1:68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116.66666666666667</v>
      </c>
      <c r="Y287" s="41">
        <f>IFERROR(Y285/H285,"0")+IFERROR(Y286/H286,"0")</f>
        <v>117</v>
      </c>
      <c r="Z287" s="41">
        <f>IFERROR(IF(Z285="",0,Z285),"0")+IFERROR(IF(Z286="",0,Z286),"0")</f>
        <v>0.76167000000000007</v>
      </c>
      <c r="AA287" s="64"/>
      <c r="AB287" s="64"/>
      <c r="AC287" s="64"/>
    </row>
    <row r="288" spans="1:68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280</v>
      </c>
      <c r="Y288" s="41">
        <f>IFERROR(SUM(Y285:Y286),"0")</f>
        <v>280.8</v>
      </c>
      <c r="Z288" s="40"/>
      <c r="AA288" s="64"/>
      <c r="AB288" s="64"/>
      <c r="AC288" s="64"/>
    </row>
    <row r="289" spans="1:68" ht="16.5" hidden="1" customHeight="1" x14ac:dyDescent="0.25">
      <c r="A289" s="690" t="s">
        <v>495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128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496</v>
      </c>
      <c r="B291" s="60" t="s">
        <v>497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133</v>
      </c>
      <c r="L291" s="35" t="s">
        <v>46</v>
      </c>
      <c r="M291" s="36" t="s">
        <v>132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498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499</v>
      </c>
      <c r="B292" s="60" t="s">
        <v>500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133</v>
      </c>
      <c r="L292" s="35" t="s">
        <v>46</v>
      </c>
      <c r="M292" s="36" t="s">
        <v>132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501</v>
      </c>
      <c r="AG292" s="75"/>
      <c r="AJ292" s="79" t="s">
        <v>46</v>
      </c>
      <c r="AK292" s="79">
        <v>0</v>
      </c>
      <c r="BB292" s="376" t="s">
        <v>67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customHeight="1" x14ac:dyDescent="0.25">
      <c r="A293" s="60" t="s">
        <v>502</v>
      </c>
      <c r="B293" s="60" t="s">
        <v>503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30</v>
      </c>
      <c r="Y293" s="53">
        <f t="shared" si="37"/>
        <v>34.799999999999997</v>
      </c>
      <c r="Z293" s="39">
        <f>IFERROR(IF(Y293=0,"",ROUNDUP(Y293/H293,0)*0.01898),"")</f>
        <v>5.6940000000000004E-2</v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38"/>
        <v>31.06034482758621</v>
      </c>
      <c r="BN293" s="75">
        <f t="shared" si="39"/>
        <v>36.03</v>
      </c>
      <c r="BO293" s="75">
        <f t="shared" si="40"/>
        <v>4.0409482758620691E-2</v>
      </c>
      <c r="BP293" s="75">
        <f t="shared" si="41"/>
        <v>4.6875E-2</v>
      </c>
    </row>
    <row r="294" spans="1:68" ht="27" customHeight="1" x14ac:dyDescent="0.25">
      <c r="A294" s="60" t="s">
        <v>504</v>
      </c>
      <c r="B294" s="60" t="s">
        <v>505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140</v>
      </c>
      <c r="L294" s="35" t="s">
        <v>46</v>
      </c>
      <c r="M294" s="36" t="s">
        <v>132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60</v>
      </c>
      <c r="Y294" s="53">
        <f t="shared" si="37"/>
        <v>60</v>
      </c>
      <c r="Z294" s="39">
        <f>IFERROR(IF(Y294=0,"",ROUNDUP(Y294/H294,0)*0.00902),"")</f>
        <v>0.1353</v>
      </c>
      <c r="AA294" s="65" t="s">
        <v>46</v>
      </c>
      <c r="AB294" s="66" t="s">
        <v>46</v>
      </c>
      <c r="AC294" s="379" t="s">
        <v>498</v>
      </c>
      <c r="AG294" s="75"/>
      <c r="AJ294" s="79" t="s">
        <v>46</v>
      </c>
      <c r="AK294" s="79">
        <v>0</v>
      </c>
      <c r="BB294" s="380" t="s">
        <v>67</v>
      </c>
      <c r="BM294" s="75">
        <f t="shared" si="38"/>
        <v>62.850000000000009</v>
      </c>
      <c r="BN294" s="75">
        <f t="shared" si="39"/>
        <v>62.850000000000009</v>
      </c>
      <c r="BO294" s="75">
        <f t="shared" si="40"/>
        <v>0.11363636363636365</v>
      </c>
      <c r="BP294" s="75">
        <f t="shared" si="41"/>
        <v>0.11363636363636365</v>
      </c>
    </row>
    <row r="295" spans="1:68" ht="27" hidden="1" customHeight="1" x14ac:dyDescent="0.25">
      <c r="A295" s="60" t="s">
        <v>506</v>
      </c>
      <c r="B295" s="60" t="s">
        <v>507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140</v>
      </c>
      <c r="L295" s="35" t="s">
        <v>46</v>
      </c>
      <c r="M295" s="36" t="s">
        <v>132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508</v>
      </c>
      <c r="AG295" s="75"/>
      <c r="AJ295" s="79" t="s">
        <v>46</v>
      </c>
      <c r="AK295" s="79">
        <v>0</v>
      </c>
      <c r="BB295" s="382" t="s">
        <v>67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509</v>
      </c>
      <c r="B296" s="60" t="s">
        <v>510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132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511</v>
      </c>
      <c r="AG296" s="75"/>
      <c r="AJ296" s="79" t="s">
        <v>46</v>
      </c>
      <c r="AK296" s="79">
        <v>0</v>
      </c>
      <c r="BB296" s="384" t="s">
        <v>67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customHeight="1" x14ac:dyDescent="0.25">
      <c r="A297" s="60" t="s">
        <v>512</v>
      </c>
      <c r="B297" s="60" t="s">
        <v>513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80</v>
      </c>
      <c r="Y297" s="53">
        <f t="shared" si="37"/>
        <v>80</v>
      </c>
      <c r="Z297" s="39">
        <f>IFERROR(IF(Y297=0,"",ROUNDUP(Y297/H297,0)*0.00902),"")</f>
        <v>0.1804</v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38"/>
        <v>83.800000000000011</v>
      </c>
      <c r="BN297" s="75">
        <f t="shared" si="39"/>
        <v>83.800000000000011</v>
      </c>
      <c r="BO297" s="75">
        <f t="shared" si="40"/>
        <v>0.15151515151515152</v>
      </c>
      <c r="BP297" s="75">
        <f t="shared" si="41"/>
        <v>0.15151515151515152</v>
      </c>
    </row>
    <row r="298" spans="1:68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37.586206896551722</v>
      </c>
      <c r="Y298" s="41">
        <f>IFERROR(Y291/H291,"0")+IFERROR(Y292/H292,"0")+IFERROR(Y293/H293,"0")+IFERROR(Y294/H294,"0")+IFERROR(Y295/H295,"0")+IFERROR(Y296/H296,"0")+IFERROR(Y297/H297,"0")</f>
        <v>38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0.37264000000000003</v>
      </c>
      <c r="AA298" s="64"/>
      <c r="AB298" s="64"/>
      <c r="AC298" s="64"/>
    </row>
    <row r="299" spans="1:68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170</v>
      </c>
      <c r="Y299" s="41">
        <f>IFERROR(SUM(Y291:Y297),"0")</f>
        <v>174.8</v>
      </c>
      <c r="Z299" s="40"/>
      <c r="AA299" s="64"/>
      <c r="AB299" s="64"/>
      <c r="AC299" s="64"/>
    </row>
    <row r="300" spans="1:68" ht="14.25" hidden="1" customHeight="1" x14ac:dyDescent="0.25">
      <c r="A300" s="691" t="s">
        <v>164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514</v>
      </c>
      <c r="B301" s="60" t="s">
        <v>515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516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517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customHeight="1" x14ac:dyDescent="0.25">
      <c r="A305" s="60" t="s">
        <v>518</v>
      </c>
      <c r="B305" s="60" t="s">
        <v>519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330</v>
      </c>
      <c r="L305" s="35" t="s">
        <v>46</v>
      </c>
      <c r="M305" s="36" t="s">
        <v>329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12</v>
      </c>
      <c r="Y305" s="53">
        <f>IFERROR(IF(X305="",0,CEILING((X305/$H305),1)*$H305),"")</f>
        <v>12.6</v>
      </c>
      <c r="Z305" s="39">
        <f>IFERROR(IF(Y305=0,"",ROUNDUP(Y305/H305,0)*0.0059),"")</f>
        <v>4.1299999999999996E-2</v>
      </c>
      <c r="AA305" s="65" t="s">
        <v>46</v>
      </c>
      <c r="AB305" s="66" t="s">
        <v>46</v>
      </c>
      <c r="AC305" s="389" t="s">
        <v>520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13.166666666666668</v>
      </c>
      <c r="BN305" s="75">
        <f>IFERROR(Y305*I305/H305,"0")</f>
        <v>13.825000000000001</v>
      </c>
      <c r="BO305" s="75">
        <f>IFERROR(1/J305*(X305/H305),"0")</f>
        <v>3.0864197530864192E-2</v>
      </c>
      <c r="BP305" s="75">
        <f>IFERROR(1/J305*(Y305/H305),"0")</f>
        <v>3.2407407407407406E-2</v>
      </c>
    </row>
    <row r="306" spans="1:68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6.6666666666666661</v>
      </c>
      <c r="Y306" s="41">
        <f>IFERROR(Y305/H305,"0")</f>
        <v>7</v>
      </c>
      <c r="Z306" s="41">
        <f>IFERROR(IF(Z305="",0,Z305),"0")</f>
        <v>4.1299999999999996E-2</v>
      </c>
      <c r="AA306" s="64"/>
      <c r="AB306" s="64"/>
      <c r="AC306" s="64"/>
    </row>
    <row r="307" spans="1:68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12</v>
      </c>
      <c r="Y307" s="41">
        <f>IFERROR(SUM(Y305:Y305),"0")</f>
        <v>12.6</v>
      </c>
      <c r="Z307" s="40"/>
      <c r="AA307" s="64"/>
      <c r="AB307" s="64"/>
      <c r="AC307" s="64"/>
    </row>
    <row r="308" spans="1:68" ht="14.25" hidden="1" customHeight="1" x14ac:dyDescent="0.25">
      <c r="A308" s="691" t="s">
        <v>334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521</v>
      </c>
      <c r="B309" s="60" t="s">
        <v>522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330</v>
      </c>
      <c r="L309" s="35" t="s">
        <v>46</v>
      </c>
      <c r="M309" s="36" t="s">
        <v>329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523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524</v>
      </c>
      <c r="B310" s="60" t="s">
        <v>525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330</v>
      </c>
      <c r="L310" s="35" t="s">
        <v>46</v>
      </c>
      <c r="M310" s="36" t="s">
        <v>329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12</v>
      </c>
      <c r="Y310" s="53">
        <f>IFERROR(IF(X310="",0,CEILING((X310/$H310),1)*$H310),"")</f>
        <v>12.6</v>
      </c>
      <c r="Z310" s="39">
        <f>IFERROR(IF(Y310=0,"",ROUNDUP(Y310/H310,0)*0.0059),"")</f>
        <v>4.1299999999999996E-2</v>
      </c>
      <c r="AA310" s="65" t="s">
        <v>46</v>
      </c>
      <c r="AB310" s="66" t="s">
        <v>46</v>
      </c>
      <c r="AC310" s="393" t="s">
        <v>523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13.166666666666668</v>
      </c>
      <c r="BN310" s="75">
        <f>IFERROR(Y310*I310/H310,"0")</f>
        <v>13.825000000000001</v>
      </c>
      <c r="BO310" s="75">
        <f>IFERROR(1/J310*(X310/H310),"0")</f>
        <v>3.0864197530864192E-2</v>
      </c>
      <c r="BP310" s="75">
        <f>IFERROR(1/J310*(Y310/H310),"0")</f>
        <v>3.2407407407407406E-2</v>
      </c>
    </row>
    <row r="311" spans="1:68" ht="27" customHeight="1" x14ac:dyDescent="0.25">
      <c r="A311" s="60" t="s">
        <v>526</v>
      </c>
      <c r="B311" s="60" t="s">
        <v>527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330</v>
      </c>
      <c r="L311" s="35" t="s">
        <v>46</v>
      </c>
      <c r="M311" s="36" t="s">
        <v>329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2.5</v>
      </c>
      <c r="Y311" s="53">
        <f>IFERROR(IF(X311="",0,CEILING((X311/$H311),1)*$H311),"")</f>
        <v>2.7</v>
      </c>
      <c r="Z311" s="39">
        <f>IFERROR(IF(Y311=0,"",ROUNDUP(Y311/H311,0)*0.0059),"")</f>
        <v>1.77E-2</v>
      </c>
      <c r="AA311" s="65" t="s">
        <v>46</v>
      </c>
      <c r="AB311" s="66" t="s">
        <v>46</v>
      </c>
      <c r="AC311" s="395" t="s">
        <v>523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3.0277777777777777</v>
      </c>
      <c r="BN311" s="75">
        <f>IFERROR(Y311*I311/H311,"0")</f>
        <v>3.2700000000000005</v>
      </c>
      <c r="BO311" s="75">
        <f>IFERROR(1/J311*(X311/H311),"0")</f>
        <v>1.2860082304526748E-2</v>
      </c>
      <c r="BP311" s="75">
        <f>IFERROR(1/J311*(Y311/H311),"0")</f>
        <v>1.3888888888888888E-2</v>
      </c>
    </row>
    <row r="312" spans="1:68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9.4444444444444429</v>
      </c>
      <c r="Y312" s="41">
        <f>IFERROR(Y309/H309,"0")+IFERROR(Y310/H310,"0")+IFERROR(Y311/H311,"0")</f>
        <v>10</v>
      </c>
      <c r="Z312" s="41">
        <f>IFERROR(IF(Z309="",0,Z309),"0")+IFERROR(IF(Z310="",0,Z310),"0")+IFERROR(IF(Z311="",0,Z311),"0")</f>
        <v>5.8999999999999997E-2</v>
      </c>
      <c r="AA312" s="64"/>
      <c r="AB312" s="64"/>
      <c r="AC312" s="64"/>
    </row>
    <row r="313" spans="1:68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14.5</v>
      </c>
      <c r="Y313" s="41">
        <f>IFERROR(SUM(Y309:Y311),"0")</f>
        <v>15.3</v>
      </c>
      <c r="Z313" s="40"/>
      <c r="AA313" s="64"/>
      <c r="AB313" s="64"/>
      <c r="AC313" s="64"/>
    </row>
    <row r="314" spans="1:68" ht="16.5" hidden="1" customHeight="1" x14ac:dyDescent="0.25">
      <c r="A314" s="690" t="s">
        <v>528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128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529</v>
      </c>
      <c r="B316" s="60" t="s">
        <v>530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133</v>
      </c>
      <c r="L316" s="35" t="s">
        <v>46</v>
      </c>
      <c r="M316" s="36" t="s">
        <v>132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532</v>
      </c>
      <c r="B317" s="60" t="s">
        <v>533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133</v>
      </c>
      <c r="L317" s="35" t="s">
        <v>46</v>
      </c>
      <c r="M317" s="36" t="s">
        <v>132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534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535</v>
      </c>
      <c r="B318" s="60" t="s">
        <v>536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133</v>
      </c>
      <c r="L318" s="35" t="s">
        <v>46</v>
      </c>
      <c r="M318" s="36" t="s">
        <v>132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537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538</v>
      </c>
      <c r="B319" s="60" t="s">
        <v>539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140</v>
      </c>
      <c r="L319" s="35" t="s">
        <v>46</v>
      </c>
      <c r="M319" s="36" t="s">
        <v>132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540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541</v>
      </c>
      <c r="B320" s="60" t="s">
        <v>542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140</v>
      </c>
      <c r="L320" s="35" t="s">
        <v>46</v>
      </c>
      <c r="M320" s="36" t="s">
        <v>132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543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544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86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545</v>
      </c>
      <c r="B325" s="60" t="s">
        <v>546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547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548</v>
      </c>
      <c r="B326" s="60" t="s">
        <v>549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40</v>
      </c>
      <c r="Y326" s="53">
        <f>IFERROR(IF(X326="",0,CEILING((X326/$H326),1)*$H326),"")</f>
        <v>40.799999999999997</v>
      </c>
      <c r="Z326" s="39">
        <f>IFERROR(IF(Y326=0,"",ROUNDUP(Y326/H326,0)*0.00651),"")</f>
        <v>0.11067</v>
      </c>
      <c r="AA326" s="65" t="s">
        <v>46</v>
      </c>
      <c r="AB326" s="66" t="s">
        <v>46</v>
      </c>
      <c r="AC326" s="409" t="s">
        <v>550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44.20000000000001</v>
      </c>
      <c r="BN326" s="75">
        <f>IFERROR(Y326*I326/H326,"0")</f>
        <v>45.084000000000003</v>
      </c>
      <c r="BO326" s="75">
        <f>IFERROR(1/J326*(X326/H326),"0")</f>
        <v>9.1575091575091583E-2</v>
      </c>
      <c r="BP326" s="75">
        <f>IFERROR(1/J326*(Y326/H326),"0")</f>
        <v>9.3406593406593408E-2</v>
      </c>
    </row>
    <row r="327" spans="1:68" ht="27" customHeight="1" x14ac:dyDescent="0.25">
      <c r="A327" s="60" t="s">
        <v>551</v>
      </c>
      <c r="B327" s="60" t="s">
        <v>552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400</v>
      </c>
      <c r="Y327" s="53">
        <f>IFERROR(IF(X327="",0,CEILING((X327/$H327),1)*$H327),"")</f>
        <v>400.8</v>
      </c>
      <c r="Z327" s="39">
        <f>IFERROR(IF(Y327=0,"",ROUNDUP(Y327/H327,0)*0.00651),"")</f>
        <v>1.08717</v>
      </c>
      <c r="AA327" s="65" t="s">
        <v>46</v>
      </c>
      <c r="AB327" s="66" t="s">
        <v>46</v>
      </c>
      <c r="AC327" s="411" t="s">
        <v>547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430</v>
      </c>
      <c r="BN327" s="75">
        <f>IFERROR(Y327*I327/H327,"0")</f>
        <v>430.86000000000007</v>
      </c>
      <c r="BO327" s="75">
        <f>IFERROR(1/J327*(X327/H327),"0")</f>
        <v>0.91575091575091594</v>
      </c>
      <c r="BP327" s="75">
        <f>IFERROR(1/J327*(Y327/H327),"0")</f>
        <v>0.91758241758241765</v>
      </c>
    </row>
    <row r="328" spans="1:68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183.33333333333334</v>
      </c>
      <c r="Y328" s="41">
        <f>IFERROR(Y325/H325,"0")+IFERROR(Y326/H326,"0")+IFERROR(Y327/H327,"0")</f>
        <v>184</v>
      </c>
      <c r="Z328" s="41">
        <f>IFERROR(IF(Z325="",0,Z325),"0")+IFERROR(IF(Z326="",0,Z326),"0")+IFERROR(IF(Z327="",0,Z327),"0")</f>
        <v>1.19784</v>
      </c>
      <c r="AA328" s="64"/>
      <c r="AB328" s="64"/>
      <c r="AC328" s="64"/>
    </row>
    <row r="329" spans="1:68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440</v>
      </c>
      <c r="Y329" s="41">
        <f>IFERROR(SUM(Y325:Y327),"0")</f>
        <v>441.6</v>
      </c>
      <c r="Z329" s="40"/>
      <c r="AA329" s="64"/>
      <c r="AB329" s="64"/>
      <c r="AC329" s="64"/>
    </row>
    <row r="330" spans="1:68" ht="16.5" hidden="1" customHeight="1" x14ac:dyDescent="0.25">
      <c r="A330" s="690" t="s">
        <v>553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77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554</v>
      </c>
      <c r="B332" s="60" t="s">
        <v>555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388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556</v>
      </c>
      <c r="B333" s="60" t="s">
        <v>557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558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559</v>
      </c>
      <c r="B334" s="60" t="s">
        <v>560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561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562</v>
      </c>
      <c r="B335" s="60" t="s">
        <v>563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564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565</v>
      </c>
      <c r="B336" s="60" t="s">
        <v>566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567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86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568</v>
      </c>
      <c r="B340" s="60" t="s">
        <v>569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140</v>
      </c>
      <c r="L340" s="35" t="s">
        <v>46</v>
      </c>
      <c r="M340" s="36" t="s">
        <v>90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570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140</v>
      </c>
      <c r="L341" s="35" t="s">
        <v>46</v>
      </c>
      <c r="M341" s="36" t="s">
        <v>90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573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574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128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575</v>
      </c>
      <c r="B346" s="60" t="s">
        <v>576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133</v>
      </c>
      <c r="L346" s="35" t="s">
        <v>46</v>
      </c>
      <c r="M346" s="36" t="s">
        <v>90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133</v>
      </c>
      <c r="L347" s="35" t="s">
        <v>46</v>
      </c>
      <c r="M347" s="36" t="s">
        <v>90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579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580</v>
      </c>
      <c r="B348" s="60" t="s">
        <v>581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100</v>
      </c>
      <c r="Y348" s="53">
        <f>IFERROR(IF(X348="",0,CEILING((X348/$H348),1)*$H348),"")</f>
        <v>101.39999999999999</v>
      </c>
      <c r="Z348" s="39">
        <f>IFERROR(IF(Y348=0,"",ROUNDUP(Y348/H348,0)*0.01898),"")</f>
        <v>0.24674000000000001</v>
      </c>
      <c r="AA348" s="65" t="s">
        <v>46</v>
      </c>
      <c r="AB348" s="66" t="s">
        <v>46</v>
      </c>
      <c r="AC348" s="431" t="s">
        <v>582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105.25641025641028</v>
      </c>
      <c r="BN348" s="75">
        <f>IFERROR(Y348*I348/H348,"0")</f>
        <v>106.73</v>
      </c>
      <c r="BO348" s="75">
        <f>IFERROR(1/J348*(X348/H348),"0")</f>
        <v>0.20032051282051283</v>
      </c>
      <c r="BP348" s="75">
        <f>IFERROR(1/J348*(Y348/H348),"0")</f>
        <v>0.203125</v>
      </c>
    </row>
    <row r="349" spans="1:68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12.820512820512821</v>
      </c>
      <c r="Y349" s="41">
        <f>IFERROR(Y346/H346,"0")+IFERROR(Y347/H347,"0")+IFERROR(Y348/H348,"0")</f>
        <v>13</v>
      </c>
      <c r="Z349" s="41">
        <f>IFERROR(IF(Z346="",0,Z346),"0")+IFERROR(IF(Z347="",0,Z347),"0")+IFERROR(IF(Z348="",0,Z348),"0")</f>
        <v>0.24674000000000001</v>
      </c>
      <c r="AA349" s="64"/>
      <c r="AB349" s="64"/>
      <c r="AC349" s="64"/>
    </row>
    <row r="350" spans="1:68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100</v>
      </c>
      <c r="Y350" s="41">
        <f>IFERROR(SUM(Y346:Y348),"0")</f>
        <v>101.39999999999999</v>
      </c>
      <c r="Z350" s="40"/>
      <c r="AA350" s="64"/>
      <c r="AB350" s="64"/>
      <c r="AC350" s="64"/>
    </row>
    <row r="351" spans="1:68" ht="16.5" hidden="1" customHeight="1" x14ac:dyDescent="0.25">
      <c r="A351" s="690" t="s">
        <v>583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128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customHeight="1" x14ac:dyDescent="0.25">
      <c r="A353" s="60" t="s">
        <v>584</v>
      </c>
      <c r="B353" s="60" t="s">
        <v>585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133</v>
      </c>
      <c r="L353" s="35" t="s">
        <v>46</v>
      </c>
      <c r="M353" s="36" t="s">
        <v>132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150</v>
      </c>
      <c r="Y353" s="53">
        <f t="shared" ref="Y353:Y358" si="42">IFERROR(IF(X353="",0,CEILING((X353/$H353),1)*$H353),"")</f>
        <v>151.20000000000002</v>
      </c>
      <c r="Z353" s="39">
        <f>IFERROR(IF(Y353=0,"",ROUNDUP(Y353/H353,0)*0.01898),"")</f>
        <v>0.26572000000000001</v>
      </c>
      <c r="AA353" s="65" t="s">
        <v>46</v>
      </c>
      <c r="AB353" s="66" t="s">
        <v>46</v>
      </c>
      <c r="AC353" s="433" t="s">
        <v>586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3">IFERROR(X353*I353/H353,"0")</f>
        <v>155.69444444444446</v>
      </c>
      <c r="BN353" s="75">
        <f t="shared" ref="BN353:BN358" si="44">IFERROR(Y353*I353/H353,"0")</f>
        <v>156.94</v>
      </c>
      <c r="BO353" s="75">
        <f t="shared" ref="BO353:BO358" si="45">IFERROR(1/J353*(X353/H353),"0")</f>
        <v>0.21701388888888887</v>
      </c>
      <c r="BP353" s="75">
        <f t="shared" ref="BP353:BP358" si="46">IFERROR(1/J353*(Y353/H353),"0")</f>
        <v>0.21875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133</v>
      </c>
      <c r="L354" s="35" t="s">
        <v>46</v>
      </c>
      <c r="M354" s="36" t="s">
        <v>132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590</v>
      </c>
      <c r="B355" s="60" t="s">
        <v>591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133</v>
      </c>
      <c r="L355" s="35" t="s">
        <v>46</v>
      </c>
      <c r="M355" s="36" t="s">
        <v>132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592</v>
      </c>
      <c r="AG355" s="75"/>
      <c r="AJ355" s="79" t="s">
        <v>46</v>
      </c>
      <c r="AK355" s="79">
        <v>0</v>
      </c>
      <c r="BB355" s="438" t="s">
        <v>67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593</v>
      </c>
      <c r="B356" s="60" t="s">
        <v>594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595</v>
      </c>
      <c r="AG356" s="75"/>
      <c r="AJ356" s="79" t="s">
        <v>46</v>
      </c>
      <c r="AK356" s="79">
        <v>0</v>
      </c>
      <c r="BB356" s="440" t="s">
        <v>67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140</v>
      </c>
      <c r="L357" s="35" t="s">
        <v>46</v>
      </c>
      <c r="M357" s="36" t="s">
        <v>132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589</v>
      </c>
      <c r="AG357" s="75"/>
      <c r="AJ357" s="79" t="s">
        <v>46</v>
      </c>
      <c r="AK357" s="79">
        <v>0</v>
      </c>
      <c r="BB357" s="442" t="s">
        <v>67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598</v>
      </c>
      <c r="B358" s="60" t="s">
        <v>599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140</v>
      </c>
      <c r="L358" s="35" t="s">
        <v>46</v>
      </c>
      <c r="M358" s="36" t="s">
        <v>132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600</v>
      </c>
      <c r="AG358" s="75"/>
      <c r="AJ358" s="79" t="s">
        <v>46</v>
      </c>
      <c r="AK358" s="79">
        <v>0</v>
      </c>
      <c r="BB358" s="444" t="s">
        <v>67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13.888888888888888</v>
      </c>
      <c r="Y359" s="41">
        <f>IFERROR(Y353/H353,"0")+IFERROR(Y354/H354,"0")+IFERROR(Y355/H355,"0")+IFERROR(Y356/H356,"0")+IFERROR(Y357/H357,"0")+IFERROR(Y358/H358,"0")</f>
        <v>14</v>
      </c>
      <c r="Z359" s="41">
        <f>IFERROR(IF(Z353="",0,Z353),"0")+IFERROR(IF(Z354="",0,Z354),"0")+IFERROR(IF(Z355="",0,Z355),"0")+IFERROR(IF(Z356="",0,Z356),"0")+IFERROR(IF(Z357="",0,Z357),"0")+IFERROR(IF(Z358="",0,Z358),"0")</f>
        <v>0.26572000000000001</v>
      </c>
      <c r="AA359" s="64"/>
      <c r="AB359" s="64"/>
      <c r="AC359" s="64"/>
    </row>
    <row r="360" spans="1:68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150</v>
      </c>
      <c r="Y360" s="41">
        <f>IFERROR(SUM(Y353:Y358),"0")</f>
        <v>151.20000000000002</v>
      </c>
      <c r="Z360" s="40"/>
      <c r="AA360" s="64"/>
      <c r="AB360" s="64"/>
      <c r="AC360" s="64"/>
    </row>
    <row r="361" spans="1:68" ht="14.25" hidden="1" customHeight="1" x14ac:dyDescent="0.25">
      <c r="A361" s="691" t="s">
        <v>77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601</v>
      </c>
      <c r="B362" s="60" t="s">
        <v>602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140</v>
      </c>
      <c r="L362" s="35" t="s">
        <v>46</v>
      </c>
      <c r="M362" s="36" t="s">
        <v>81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140</v>
      </c>
      <c r="L364" s="35" t="s">
        <v>46</v>
      </c>
      <c r="M364" s="36" t="s">
        <v>81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610</v>
      </c>
      <c r="B365" s="60" t="s">
        <v>611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606</v>
      </c>
      <c r="AG365" s="75"/>
      <c r="AJ365" s="79" t="s">
        <v>46</v>
      </c>
      <c r="AK365" s="79">
        <v>0</v>
      </c>
      <c r="BB365" s="452" t="s">
        <v>67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customHeight="1" x14ac:dyDescent="0.25">
      <c r="A366" s="60" t="s">
        <v>612</v>
      </c>
      <c r="B366" s="60" t="s">
        <v>613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105</v>
      </c>
      <c r="Y366" s="53">
        <f t="shared" si="47"/>
        <v>105</v>
      </c>
      <c r="Z366" s="39">
        <f>IFERROR(IF(Y366=0,"",ROUNDUP(Y366/H366,0)*0.00502),"")</f>
        <v>0.251</v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67</v>
      </c>
      <c r="BM366" s="75">
        <f t="shared" si="48"/>
        <v>110.00000000000001</v>
      </c>
      <c r="BN366" s="75">
        <f t="shared" si="49"/>
        <v>110.00000000000001</v>
      </c>
      <c r="BO366" s="75">
        <f t="shared" si="50"/>
        <v>0.21367521367521369</v>
      </c>
      <c r="BP366" s="75">
        <f t="shared" si="51"/>
        <v>0.21367521367521369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140</v>
      </c>
      <c r="L367" s="35" t="s">
        <v>46</v>
      </c>
      <c r="M367" s="36" t="s">
        <v>81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customHeight="1" x14ac:dyDescent="0.25">
      <c r="A368" s="60" t="s">
        <v>617</v>
      </c>
      <c r="B368" s="60" t="s">
        <v>618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36</v>
      </c>
      <c r="Y368" s="53">
        <f t="shared" si="47"/>
        <v>36</v>
      </c>
      <c r="Z368" s="39">
        <f>IFERROR(IF(Y368=0,"",ROUNDUP(Y368/H368,0)*0.00651),"")</f>
        <v>0.13020000000000001</v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67</v>
      </c>
      <c r="BM368" s="75">
        <f t="shared" si="48"/>
        <v>40.559999999999995</v>
      </c>
      <c r="BN368" s="75">
        <f t="shared" si="49"/>
        <v>40.559999999999995</v>
      </c>
      <c r="BO368" s="75">
        <f t="shared" si="50"/>
        <v>0.1098901098901099</v>
      </c>
      <c r="BP368" s="75">
        <f t="shared" si="51"/>
        <v>0.1098901098901099</v>
      </c>
    </row>
    <row r="369" spans="1:68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70</v>
      </c>
      <c r="Y369" s="41">
        <f>IFERROR(Y362/H362,"0")+IFERROR(Y363/H363,"0")+IFERROR(Y364/H364,"0")+IFERROR(Y365/H365,"0")+IFERROR(Y366/H366,"0")+IFERROR(Y367/H367,"0")+IFERROR(Y368/H368,"0")</f>
        <v>70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0.38119999999999998</v>
      </c>
      <c r="AA369" s="64"/>
      <c r="AB369" s="64"/>
      <c r="AC369" s="64"/>
    </row>
    <row r="370" spans="1:68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141</v>
      </c>
      <c r="Y370" s="41">
        <f>IFERROR(SUM(Y362:Y368),"0")</f>
        <v>141</v>
      </c>
      <c r="Z370" s="40"/>
      <c r="AA370" s="64"/>
      <c r="AB370" s="64"/>
      <c r="AC370" s="64"/>
    </row>
    <row r="371" spans="1:68" ht="14.25" hidden="1" customHeight="1" x14ac:dyDescent="0.25">
      <c r="A371" s="691" t="s">
        <v>86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133</v>
      </c>
      <c r="L374" s="35" t="s">
        <v>46</v>
      </c>
      <c r="M374" s="36" t="s">
        <v>90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622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181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customHeight="1" x14ac:dyDescent="0.25">
      <c r="A379" s="60" t="s">
        <v>631</v>
      </c>
      <c r="B379" s="60" t="s">
        <v>632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133</v>
      </c>
      <c r="L379" s="35" t="s">
        <v>46</v>
      </c>
      <c r="M379" s="36" t="s">
        <v>90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200</v>
      </c>
      <c r="Y379" s="53">
        <f>IFERROR(IF(X379="",0,CEILING((X379/$H379),1)*$H379),"")</f>
        <v>201.60000000000002</v>
      </c>
      <c r="Z379" s="39">
        <f>IFERROR(IF(Y379=0,"",ROUNDUP(Y379/H379,0)*0.01898),"")</f>
        <v>0.45552000000000004</v>
      </c>
      <c r="AA379" s="65" t="s">
        <v>46</v>
      </c>
      <c r="AB379" s="66" t="s">
        <v>46</v>
      </c>
      <c r="AC379" s="467" t="s">
        <v>633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211.76190476190476</v>
      </c>
      <c r="BN379" s="75">
        <f>IFERROR(Y379*I379/H379,"0")</f>
        <v>213.45600000000002</v>
      </c>
      <c r="BO379" s="75">
        <f>IFERROR(1/J379*(X379/H379),"0")</f>
        <v>0.37202380952380953</v>
      </c>
      <c r="BP379" s="75">
        <f>IFERROR(1/J379*(Y379/H379),"0")</f>
        <v>0.375</v>
      </c>
    </row>
    <row r="380" spans="1:68" ht="27" customHeight="1" x14ac:dyDescent="0.25">
      <c r="A380" s="60" t="s">
        <v>634</v>
      </c>
      <c r="B380" s="60" t="s">
        <v>635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133</v>
      </c>
      <c r="L380" s="35" t="s">
        <v>46</v>
      </c>
      <c r="M380" s="36" t="s">
        <v>90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500</v>
      </c>
      <c r="Y380" s="53">
        <f>IFERROR(IF(X380="",0,CEILING((X380/$H380),1)*$H380),"")</f>
        <v>507</v>
      </c>
      <c r="Z380" s="39">
        <f>IFERROR(IF(Y380=0,"",ROUNDUP(Y380/H380,0)*0.01898),"")</f>
        <v>1.2337</v>
      </c>
      <c r="AA380" s="65" t="s">
        <v>46</v>
      </c>
      <c r="AB380" s="66" t="s">
        <v>46</v>
      </c>
      <c r="AC380" s="469" t="s">
        <v>636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531.66666666666663</v>
      </c>
      <c r="BN380" s="75">
        <f>IFERROR(Y380*I380/H380,"0")</f>
        <v>539.11</v>
      </c>
      <c r="BO380" s="75">
        <f>IFERROR(1/J380*(X380/H380),"0")</f>
        <v>1.0016025641025641</v>
      </c>
      <c r="BP380" s="75">
        <f>IFERROR(1/J380*(Y380/H380),"0")</f>
        <v>1.015625</v>
      </c>
    </row>
    <row r="381" spans="1:68" ht="16.5" customHeight="1" x14ac:dyDescent="0.25">
      <c r="A381" s="60" t="s">
        <v>637</v>
      </c>
      <c r="B381" s="60" t="s">
        <v>638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133</v>
      </c>
      <c r="L381" s="35" t="s">
        <v>46</v>
      </c>
      <c r="M381" s="36" t="s">
        <v>97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100</v>
      </c>
      <c r="Y381" s="53">
        <f>IFERROR(IF(X381="",0,CEILING((X381/$H381),1)*$H381),"")</f>
        <v>100.80000000000001</v>
      </c>
      <c r="Z381" s="39">
        <f>IFERROR(IF(Y381=0,"",ROUNDUP(Y381/H381,0)*0.01898),"")</f>
        <v>0.22776000000000002</v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105.88095238095238</v>
      </c>
      <c r="BN381" s="75">
        <f>IFERROR(Y381*I381/H381,"0")</f>
        <v>106.72800000000001</v>
      </c>
      <c r="BO381" s="75">
        <f>IFERROR(1/J381*(X381/H381),"0")</f>
        <v>0.18601190476190477</v>
      </c>
      <c r="BP381" s="75">
        <f>IFERROR(1/J381*(Y381/H381),"0")</f>
        <v>0.1875</v>
      </c>
    </row>
    <row r="382" spans="1:68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99.81684981684981</v>
      </c>
      <c r="Y382" s="41">
        <f>IFERROR(Y379/H379,"0")+IFERROR(Y380/H380,"0")+IFERROR(Y381/H381,"0")</f>
        <v>101</v>
      </c>
      <c r="Z382" s="41">
        <f>IFERROR(IF(Z379="",0,Z379),"0")+IFERROR(IF(Z380="",0,Z380),"0")+IFERROR(IF(Z381="",0,Z381),"0")</f>
        <v>1.9169800000000001</v>
      </c>
      <c r="AA382" s="64"/>
      <c r="AB382" s="64"/>
      <c r="AC382" s="64"/>
    </row>
    <row r="383" spans="1:68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800</v>
      </c>
      <c r="Y383" s="41">
        <f>IFERROR(SUM(Y379:Y381),"0")</f>
        <v>809.40000000000009</v>
      </c>
      <c r="Z383" s="40"/>
      <c r="AA383" s="64"/>
      <c r="AB383" s="64"/>
      <c r="AC383" s="64"/>
    </row>
    <row r="384" spans="1:68" ht="14.25" hidden="1" customHeight="1" x14ac:dyDescent="0.25">
      <c r="A384" s="691" t="s">
        <v>104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640</v>
      </c>
      <c r="B385" s="60" t="s">
        <v>641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140</v>
      </c>
      <c r="L385" s="35" t="s">
        <v>46</v>
      </c>
      <c r="M385" s="36" t="s">
        <v>109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642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643</v>
      </c>
      <c r="B386" s="60" t="s">
        <v>644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140</v>
      </c>
      <c r="L386" s="35" t="s">
        <v>46</v>
      </c>
      <c r="M386" s="36" t="s">
        <v>109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645</v>
      </c>
      <c r="B387" s="60" t="s">
        <v>646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51.000000000000007</v>
      </c>
      <c r="Y387" s="53">
        <f>IFERROR(IF(X387="",0,CEILING((X387/$H387),1)*$H387),"")</f>
        <v>51</v>
      </c>
      <c r="Z387" s="39">
        <f>IFERROR(IF(Y387=0,"",ROUNDUP(Y387/H387,0)*0.00651),"")</f>
        <v>0.13020000000000001</v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59.100000000000009</v>
      </c>
      <c r="BN387" s="75">
        <f>IFERROR(Y387*I387/H387,"0")</f>
        <v>59.100000000000009</v>
      </c>
      <c r="BO387" s="75">
        <f>IFERROR(1/J387*(X387/H387),"0")</f>
        <v>0.10989010989010992</v>
      </c>
      <c r="BP387" s="75">
        <f>IFERROR(1/J387*(Y387/H387),"0")</f>
        <v>0.1098901098901099</v>
      </c>
    </row>
    <row r="388" spans="1:68" ht="27" customHeight="1" x14ac:dyDescent="0.25">
      <c r="A388" s="60" t="s">
        <v>647</v>
      </c>
      <c r="B388" s="60" t="s">
        <v>648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255.00000000000003</v>
      </c>
      <c r="Y388" s="53">
        <f>IFERROR(IF(X388="",0,CEILING((X388/$H388),1)*$H388),"")</f>
        <v>254.99999999999997</v>
      </c>
      <c r="Z388" s="39">
        <f>IFERROR(IF(Y388=0,"",ROUNDUP(Y388/H388,0)*0.00651),"")</f>
        <v>0.65100000000000002</v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288.00000000000006</v>
      </c>
      <c r="BN388" s="75">
        <f>IFERROR(Y388*I388/H388,"0")</f>
        <v>287.99999999999994</v>
      </c>
      <c r="BO388" s="75">
        <f>IFERROR(1/J388*(X388/H388),"0")</f>
        <v>0.54945054945054961</v>
      </c>
      <c r="BP388" s="75">
        <f>IFERROR(1/J388*(Y388/H388),"0")</f>
        <v>0.5494505494505495</v>
      </c>
    </row>
    <row r="389" spans="1:68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120.00000000000001</v>
      </c>
      <c r="Y389" s="41">
        <f>IFERROR(Y385/H385,"0")+IFERROR(Y386/H386,"0")+IFERROR(Y387/H387,"0")+IFERROR(Y388/H388,"0")</f>
        <v>120</v>
      </c>
      <c r="Z389" s="41">
        <f>IFERROR(IF(Z385="",0,Z385),"0")+IFERROR(IF(Z386="",0,Z386),"0")+IFERROR(IF(Z387="",0,Z387),"0")+IFERROR(IF(Z388="",0,Z388),"0")</f>
        <v>0.78120000000000001</v>
      </c>
      <c r="AA389" s="64"/>
      <c r="AB389" s="64"/>
      <c r="AC389" s="64"/>
    </row>
    <row r="390" spans="1:68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306.00000000000006</v>
      </c>
      <c r="Y390" s="41">
        <f>IFERROR(SUM(Y385:Y388),"0")</f>
        <v>306</v>
      </c>
      <c r="Z390" s="40"/>
      <c r="AA390" s="64"/>
      <c r="AB390" s="64"/>
      <c r="AC390" s="64"/>
    </row>
    <row r="391" spans="1:68" ht="14.25" hidden="1" customHeight="1" x14ac:dyDescent="0.25">
      <c r="A391" s="691" t="s">
        <v>649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customHeight="1" x14ac:dyDescent="0.25">
      <c r="A392" s="60" t="s">
        <v>650</v>
      </c>
      <c r="B392" s="60" t="s">
        <v>651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653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100</v>
      </c>
      <c r="Y392" s="53">
        <f>IFERROR(IF(X392="",0,CEILING((X392/$H392),1)*$H392),"")</f>
        <v>100</v>
      </c>
      <c r="Z392" s="39">
        <f>IFERROR(IF(Y392=0,"",ROUNDUP(Y392/H392,0)*0.00474),"")</f>
        <v>0.23700000000000002</v>
      </c>
      <c r="AA392" s="65" t="s">
        <v>46</v>
      </c>
      <c r="AB392" s="66" t="s">
        <v>46</v>
      </c>
      <c r="AC392" s="481" t="s">
        <v>652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112.00000000000001</v>
      </c>
      <c r="BN392" s="75">
        <f>IFERROR(Y392*I392/H392,"0")</f>
        <v>112.00000000000001</v>
      </c>
      <c r="BO392" s="75">
        <f>IFERROR(1/J392*(X392/H392),"0")</f>
        <v>0.21008403361344538</v>
      </c>
      <c r="BP392" s="75">
        <f>IFERROR(1/J392*(Y392/H392),"0")</f>
        <v>0.21008403361344538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653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656</v>
      </c>
      <c r="B394" s="60" t="s">
        <v>657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653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100</v>
      </c>
      <c r="Y394" s="53">
        <f>IFERROR(IF(X394="",0,CEILING((X394/$H394),1)*$H394),"")</f>
        <v>100</v>
      </c>
      <c r="Z394" s="39">
        <f>IFERROR(IF(Y394=0,"",ROUNDUP(Y394/H394,0)*0.00474),"")</f>
        <v>0.23700000000000002</v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112.00000000000001</v>
      </c>
      <c r="BN394" s="75">
        <f>IFERROR(Y394*I394/H394,"0")</f>
        <v>112.00000000000001</v>
      </c>
      <c r="BO394" s="75">
        <f>IFERROR(1/J394*(X394/H394),"0")</f>
        <v>0.21008403361344538</v>
      </c>
      <c r="BP394" s="75">
        <f>IFERROR(1/J394*(Y394/H394),"0")</f>
        <v>0.21008403361344538</v>
      </c>
    </row>
    <row r="395" spans="1:68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100</v>
      </c>
      <c r="Y395" s="41">
        <f>IFERROR(Y392/H392,"0")+IFERROR(Y393/H393,"0")+IFERROR(Y394/H394,"0")</f>
        <v>100</v>
      </c>
      <c r="Z395" s="41">
        <f>IFERROR(IF(Z392="",0,Z392),"0")+IFERROR(IF(Z393="",0,Z393),"0")+IFERROR(IF(Z394="",0,Z394),"0")</f>
        <v>0.47400000000000003</v>
      </c>
      <c r="AA395" s="64"/>
      <c r="AB395" s="64"/>
      <c r="AC395" s="64"/>
    </row>
    <row r="396" spans="1:68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200</v>
      </c>
      <c r="Y396" s="41">
        <f>IFERROR(SUM(Y392:Y394),"0")</f>
        <v>200</v>
      </c>
      <c r="Z396" s="40"/>
      <c r="AA396" s="64"/>
      <c r="AB396" s="64"/>
      <c r="AC396" s="64"/>
    </row>
    <row r="397" spans="1:68" ht="14.25" hidden="1" customHeight="1" x14ac:dyDescent="0.25">
      <c r="A397" s="691" t="s">
        <v>658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659</v>
      </c>
      <c r="B398" s="60" t="s">
        <v>660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91</v>
      </c>
      <c r="L398" s="35" t="s">
        <v>46</v>
      </c>
      <c r="M398" s="36" t="s">
        <v>653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276</v>
      </c>
      <c r="AC398" s="487" t="s">
        <v>661</v>
      </c>
      <c r="AG398" s="75"/>
      <c r="AJ398" s="79" t="s">
        <v>46</v>
      </c>
      <c r="AK398" s="79">
        <v>0</v>
      </c>
      <c r="BB398" s="488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662</v>
      </c>
      <c r="B399" s="60" t="s">
        <v>663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140</v>
      </c>
      <c r="L399" s="35" t="s">
        <v>46</v>
      </c>
      <c r="M399" s="36" t="s">
        <v>653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276</v>
      </c>
      <c r="AC399" s="489" t="s">
        <v>664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91</v>
      </c>
      <c r="L400" s="35" t="s">
        <v>46</v>
      </c>
      <c r="M400" s="36" t="s">
        <v>653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276</v>
      </c>
      <c r="AC400" s="491" t="s">
        <v>661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667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86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668</v>
      </c>
      <c r="B405" s="60" t="s">
        <v>669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133</v>
      </c>
      <c r="L405" s="35" t="s">
        <v>46</v>
      </c>
      <c r="M405" s="36" t="s">
        <v>97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670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671</v>
      </c>
      <c r="B406" s="60" t="s">
        <v>672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91</v>
      </c>
      <c r="L406" s="35" t="s">
        <v>46</v>
      </c>
      <c r="M406" s="36" t="s">
        <v>90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700</v>
      </c>
      <c r="Y406" s="53">
        <f>IFERROR(IF(X406="",0,CEILING((X406/$H406),1)*$H406),"")</f>
        <v>701.4</v>
      </c>
      <c r="Z406" s="39">
        <f>IFERROR(IF(Y406=0,"",ROUNDUP(Y406/H406,0)*0.00651),"")</f>
        <v>2.1743399999999999</v>
      </c>
      <c r="AA406" s="65" t="s">
        <v>46</v>
      </c>
      <c r="AB406" s="66" t="s">
        <v>46</v>
      </c>
      <c r="AC406" s="495" t="s">
        <v>673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783.99999999999989</v>
      </c>
      <c r="BN406" s="75">
        <f>IFERROR(Y406*I406/H406,"0")</f>
        <v>785.56799999999987</v>
      </c>
      <c r="BO406" s="75">
        <f>IFERROR(1/J406*(X406/H406),"0")</f>
        <v>1.8315018315018314</v>
      </c>
      <c r="BP406" s="75">
        <f>IFERROR(1/J406*(Y406/H406),"0")</f>
        <v>1.8351648351648353</v>
      </c>
    </row>
    <row r="407" spans="1:68" ht="27" customHeight="1" x14ac:dyDescent="0.25">
      <c r="A407" s="60" t="s">
        <v>674</v>
      </c>
      <c r="B407" s="60" t="s">
        <v>675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91</v>
      </c>
      <c r="L407" s="35" t="s">
        <v>46</v>
      </c>
      <c r="M407" s="36" t="s">
        <v>97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525</v>
      </c>
      <c r="Y407" s="53">
        <f>IFERROR(IF(X407="",0,CEILING((X407/$H407),1)*$H407),"")</f>
        <v>525</v>
      </c>
      <c r="Z407" s="39">
        <f>IFERROR(IF(Y407=0,"",ROUNDUP(Y407/H407,0)*0.00651),"")</f>
        <v>1.6274999999999999</v>
      </c>
      <c r="AA407" s="65" t="s">
        <v>46</v>
      </c>
      <c r="AB407" s="66" t="s">
        <v>46</v>
      </c>
      <c r="AC407" s="497" t="s">
        <v>676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585</v>
      </c>
      <c r="BN407" s="75">
        <f>IFERROR(Y407*I407/H407,"0")</f>
        <v>585</v>
      </c>
      <c r="BO407" s="75">
        <f>IFERROR(1/J407*(X407/H407),"0")</f>
        <v>1.3736263736263736</v>
      </c>
      <c r="BP407" s="75">
        <f>IFERROR(1/J407*(Y407/H407),"0")</f>
        <v>1.3736263736263736</v>
      </c>
    </row>
    <row r="408" spans="1:68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583.33333333333326</v>
      </c>
      <c r="Y408" s="41">
        <f>IFERROR(Y405/H405,"0")+IFERROR(Y406/H406,"0")+IFERROR(Y407/H407,"0")</f>
        <v>584</v>
      </c>
      <c r="Z408" s="41">
        <f>IFERROR(IF(Z405="",0,Z405),"0")+IFERROR(IF(Z406="",0,Z406),"0")+IFERROR(IF(Z407="",0,Z407),"0")</f>
        <v>3.8018399999999999</v>
      </c>
      <c r="AA408" s="64"/>
      <c r="AB408" s="64"/>
      <c r="AC408" s="64"/>
    </row>
    <row r="409" spans="1:68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1225</v>
      </c>
      <c r="Y409" s="41">
        <f>IFERROR(SUM(Y405:Y407),"0")</f>
        <v>1226.4000000000001</v>
      </c>
      <c r="Z409" s="40"/>
      <c r="AA409" s="64"/>
      <c r="AB409" s="64"/>
      <c r="AC409" s="64"/>
    </row>
    <row r="410" spans="1:68" ht="27.75" hidden="1" customHeight="1" x14ac:dyDescent="0.2">
      <c r="A410" s="689" t="s">
        <v>677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678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128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customHeight="1" x14ac:dyDescent="0.25">
      <c r="A413" s="60" t="s">
        <v>679</v>
      </c>
      <c r="B413" s="60" t="s">
        <v>680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133</v>
      </c>
      <c r="L413" s="35" t="s">
        <v>46</v>
      </c>
      <c r="M413" s="36" t="s">
        <v>97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120</v>
      </c>
      <c r="Y413" s="53">
        <f t="shared" ref="Y413:Y420" si="52">IFERROR(IF(X413="",0,CEILING((X413/$H413),1)*$H413),"")</f>
        <v>120</v>
      </c>
      <c r="Z413" s="39">
        <f>IFERROR(IF(Y413=0,"",ROUNDUP(Y413/H413,0)*0.02175),"")</f>
        <v>0.17399999999999999</v>
      </c>
      <c r="AA413" s="65" t="s">
        <v>46</v>
      </c>
      <c r="AB413" s="66" t="s">
        <v>46</v>
      </c>
      <c r="AC413" s="499" t="s">
        <v>681</v>
      </c>
      <c r="AG413" s="75"/>
      <c r="AJ413" s="79" t="s">
        <v>46</v>
      </c>
      <c r="AK413" s="79">
        <v>0</v>
      </c>
      <c r="BB413" s="500" t="s">
        <v>67</v>
      </c>
      <c r="BM413" s="75">
        <f t="shared" ref="BM413:BM420" si="53">IFERROR(X413*I413/H413,"0")</f>
        <v>123.76</v>
      </c>
      <c r="BN413" s="75">
        <f t="shared" ref="BN413:BN420" si="54">IFERROR(Y413*I413/H413,"0")</f>
        <v>123.76</v>
      </c>
      <c r="BO413" s="75">
        <f t="shared" ref="BO413:BO420" si="55">IFERROR(1/J413*(X413/H413),"0")</f>
        <v>0.16666666666666666</v>
      </c>
      <c r="BP413" s="75">
        <f t="shared" ref="BP413:BP420" si="56">IFERROR(1/J413*(Y413/H413),"0")</f>
        <v>0.16666666666666666</v>
      </c>
    </row>
    <row r="414" spans="1:68" ht="37.5" hidden="1" customHeight="1" x14ac:dyDescent="0.25">
      <c r="A414" s="60" t="s">
        <v>682</v>
      </c>
      <c r="B414" s="60" t="s">
        <v>683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684</v>
      </c>
      <c r="AG414" s="75"/>
      <c r="AJ414" s="79" t="s">
        <v>46</v>
      </c>
      <c r="AK414" s="79">
        <v>0</v>
      </c>
      <c r="BB414" s="502" t="s">
        <v>67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hidden="1" customHeight="1" x14ac:dyDescent="0.25">
      <c r="A415" s="60" t="s">
        <v>685</v>
      </c>
      <c r="B415" s="60" t="s">
        <v>686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687</v>
      </c>
      <c r="AG415" s="75"/>
      <c r="AJ415" s="79" t="s">
        <v>46</v>
      </c>
      <c r="AK415" s="79">
        <v>0</v>
      </c>
      <c r="BB415" s="504" t="s">
        <v>67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688</v>
      </c>
      <c r="B416" s="60" t="s">
        <v>689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133</v>
      </c>
      <c r="L416" s="35" t="s">
        <v>46</v>
      </c>
      <c r="M416" s="36" t="s">
        <v>81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400</v>
      </c>
      <c r="Y416" s="53">
        <f t="shared" si="52"/>
        <v>405</v>
      </c>
      <c r="Z416" s="39">
        <f>IFERROR(IF(Y416=0,"",ROUNDUP(Y416/H416,0)*0.02175),"")</f>
        <v>0.58724999999999994</v>
      </c>
      <c r="AA416" s="65" t="s">
        <v>46</v>
      </c>
      <c r="AB416" s="66" t="s">
        <v>46</v>
      </c>
      <c r="AC416" s="505" t="s">
        <v>690</v>
      </c>
      <c r="AG416" s="75"/>
      <c r="AJ416" s="79" t="s">
        <v>46</v>
      </c>
      <c r="AK416" s="79">
        <v>0</v>
      </c>
      <c r="BB416" s="506" t="s">
        <v>67</v>
      </c>
      <c r="BM416" s="75">
        <f t="shared" si="53"/>
        <v>412.53333333333336</v>
      </c>
      <c r="BN416" s="75">
        <f t="shared" si="54"/>
        <v>417.69</v>
      </c>
      <c r="BO416" s="75">
        <f t="shared" si="55"/>
        <v>0.55555555555555558</v>
      </c>
      <c r="BP416" s="75">
        <f t="shared" si="56"/>
        <v>0.5625</v>
      </c>
    </row>
    <row r="417" spans="1:68" ht="27" customHeight="1" x14ac:dyDescent="0.25">
      <c r="A417" s="60" t="s">
        <v>691</v>
      </c>
      <c r="B417" s="60" t="s">
        <v>692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133</v>
      </c>
      <c r="L417" s="35" t="s">
        <v>46</v>
      </c>
      <c r="M417" s="36" t="s">
        <v>97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100</v>
      </c>
      <c r="Y417" s="53">
        <f t="shared" si="52"/>
        <v>105</v>
      </c>
      <c r="Z417" s="39">
        <f>IFERROR(IF(Y417=0,"",ROUNDUP(Y417/H417,0)*0.02175),"")</f>
        <v>0.15225</v>
      </c>
      <c r="AA417" s="65" t="s">
        <v>46</v>
      </c>
      <c r="AB417" s="66" t="s">
        <v>46</v>
      </c>
      <c r="AC417" s="507" t="s">
        <v>693</v>
      </c>
      <c r="AG417" s="75"/>
      <c r="AJ417" s="79" t="s">
        <v>46</v>
      </c>
      <c r="AK417" s="79">
        <v>0</v>
      </c>
      <c r="BB417" s="508" t="s">
        <v>67</v>
      </c>
      <c r="BM417" s="75">
        <f t="shared" si="53"/>
        <v>103.13333333333334</v>
      </c>
      <c r="BN417" s="75">
        <f t="shared" si="54"/>
        <v>108.29</v>
      </c>
      <c r="BO417" s="75">
        <f t="shared" si="55"/>
        <v>0.1388888888888889</v>
      </c>
      <c r="BP417" s="75">
        <f t="shared" si="56"/>
        <v>0.14583333333333331</v>
      </c>
    </row>
    <row r="418" spans="1:68" ht="27" hidden="1" customHeight="1" x14ac:dyDescent="0.25">
      <c r="A418" s="60" t="s">
        <v>694</v>
      </c>
      <c r="B418" s="60" t="s">
        <v>695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140</v>
      </c>
      <c r="L418" s="35" t="s">
        <v>46</v>
      </c>
      <c r="M418" s="36" t="s">
        <v>132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696</v>
      </c>
      <c r="AG418" s="75"/>
      <c r="AJ418" s="79" t="s">
        <v>46</v>
      </c>
      <c r="AK418" s="79">
        <v>0</v>
      </c>
      <c r="BB418" s="510" t="s">
        <v>67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697</v>
      </c>
      <c r="B419" s="60" t="s">
        <v>698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699</v>
      </c>
      <c r="AG419" s="75"/>
      <c r="AJ419" s="79" t="s">
        <v>46</v>
      </c>
      <c r="AK419" s="79">
        <v>0</v>
      </c>
      <c r="BB419" s="512" t="s">
        <v>67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customHeight="1" x14ac:dyDescent="0.25">
      <c r="A420" s="60" t="s">
        <v>700</v>
      </c>
      <c r="B420" s="60" t="s">
        <v>701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140</v>
      </c>
      <c r="L420" s="35" t="s">
        <v>46</v>
      </c>
      <c r="M420" s="36" t="s">
        <v>81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10</v>
      </c>
      <c r="Y420" s="53">
        <f t="shared" si="52"/>
        <v>10</v>
      </c>
      <c r="Z420" s="39">
        <f>IFERROR(IF(Y420=0,"",ROUNDUP(Y420/H420,0)*0.00902),"")</f>
        <v>1.804E-2</v>
      </c>
      <c r="AA420" s="65" t="s">
        <v>46</v>
      </c>
      <c r="AB420" s="66" t="s">
        <v>46</v>
      </c>
      <c r="AC420" s="513" t="s">
        <v>702</v>
      </c>
      <c r="AG420" s="75"/>
      <c r="AJ420" s="79" t="s">
        <v>46</v>
      </c>
      <c r="AK420" s="79">
        <v>0</v>
      </c>
      <c r="BB420" s="514" t="s">
        <v>67</v>
      </c>
      <c r="BM420" s="75">
        <f t="shared" si="53"/>
        <v>10.38</v>
      </c>
      <c r="BN420" s="75">
        <f t="shared" si="54"/>
        <v>10.38</v>
      </c>
      <c r="BO420" s="75">
        <f t="shared" si="55"/>
        <v>1.5151515151515152E-2</v>
      </c>
      <c r="BP420" s="75">
        <f t="shared" si="56"/>
        <v>1.5151515151515152E-2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43.333333333333336</v>
      </c>
      <c r="Y421" s="41">
        <f>IFERROR(Y413/H413,"0")+IFERROR(Y414/H414,"0")+IFERROR(Y415/H415,"0")+IFERROR(Y416/H416,"0")+IFERROR(Y417/H417,"0")+IFERROR(Y418/H418,"0")+IFERROR(Y419/H419,"0")+IFERROR(Y420/H420,"0")</f>
        <v>44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0.93154000000000003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630</v>
      </c>
      <c r="Y422" s="41">
        <f>IFERROR(SUM(Y413:Y420),"0")</f>
        <v>640</v>
      </c>
      <c r="Z422" s="40"/>
      <c r="AA422" s="64"/>
      <c r="AB422" s="64"/>
      <c r="AC422" s="64"/>
    </row>
    <row r="423" spans="1:68" ht="14.25" hidden="1" customHeight="1" x14ac:dyDescent="0.25">
      <c r="A423" s="691" t="s">
        <v>164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customHeight="1" x14ac:dyDescent="0.25">
      <c r="A424" s="60" t="s">
        <v>703</v>
      </c>
      <c r="B424" s="60" t="s">
        <v>704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3000</v>
      </c>
      <c r="Y424" s="53">
        <f>IFERROR(IF(X424="",0,CEILING((X424/$H424),1)*$H424),"")</f>
        <v>3000</v>
      </c>
      <c r="Z424" s="39">
        <f>IFERROR(IF(Y424=0,"",ROUNDUP(Y424/H424,0)*0.02175),"")</f>
        <v>4.3499999999999996</v>
      </c>
      <c r="AA424" s="65" t="s">
        <v>46</v>
      </c>
      <c r="AB424" s="66" t="s">
        <v>46</v>
      </c>
      <c r="AC424" s="515" t="s">
        <v>705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3094</v>
      </c>
      <c r="BN424" s="75">
        <f>IFERROR(Y424*I424/H424,"0")</f>
        <v>3094</v>
      </c>
      <c r="BO424" s="75">
        <f>IFERROR(1/J424*(X424/H424),"0")</f>
        <v>4.1666666666666661</v>
      </c>
      <c r="BP424" s="75">
        <f>IFERROR(1/J424*(Y424/H424),"0")</f>
        <v>4.1666666666666661</v>
      </c>
    </row>
    <row r="425" spans="1:68" ht="27" customHeight="1" x14ac:dyDescent="0.25">
      <c r="A425" s="60" t="s">
        <v>706</v>
      </c>
      <c r="B425" s="60" t="s">
        <v>707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210</v>
      </c>
      <c r="Y425" s="53">
        <f>IFERROR(IF(X425="",0,CEILING((X425/$H425),1)*$H425),"")</f>
        <v>210</v>
      </c>
      <c r="Z425" s="39">
        <f>IFERROR(IF(Y425=0,"",ROUNDUP(Y425/H425,0)*0.02175),"")</f>
        <v>0.30449999999999999</v>
      </c>
      <c r="AA425" s="65" t="s">
        <v>46</v>
      </c>
      <c r="AB425" s="66" t="s">
        <v>46</v>
      </c>
      <c r="AC425" s="517" t="s">
        <v>708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216.58</v>
      </c>
      <c r="BN425" s="75">
        <f>IFERROR(Y425*I425/H425,"0")</f>
        <v>216.58</v>
      </c>
      <c r="BO425" s="75">
        <f>IFERROR(1/J425*(X425/H425),"0")</f>
        <v>0.29166666666666663</v>
      </c>
      <c r="BP425" s="75">
        <f>IFERROR(1/J425*(Y425/H425),"0")</f>
        <v>0.29166666666666663</v>
      </c>
    </row>
    <row r="426" spans="1:68" ht="27" hidden="1" customHeight="1" x14ac:dyDescent="0.25">
      <c r="A426" s="60" t="s">
        <v>709</v>
      </c>
      <c r="B426" s="60" t="s">
        <v>710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140</v>
      </c>
      <c r="L426" s="35" t="s">
        <v>46</v>
      </c>
      <c r="M426" s="36" t="s">
        <v>132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711</v>
      </c>
      <c r="AG426" s="75"/>
      <c r="AJ426" s="79" t="s">
        <v>46</v>
      </c>
      <c r="AK426" s="79">
        <v>0</v>
      </c>
      <c r="BB426" s="520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214</v>
      </c>
      <c r="Y427" s="41">
        <f>IFERROR(Y424/H424,"0")+IFERROR(Y425/H425,"0")+IFERROR(Y426/H426,"0")</f>
        <v>214</v>
      </c>
      <c r="Z427" s="41">
        <f>IFERROR(IF(Z424="",0,Z424),"0")+IFERROR(IF(Z425="",0,Z425),"0")+IFERROR(IF(Z426="",0,Z426),"0")</f>
        <v>4.6544999999999996</v>
      </c>
      <c r="AA427" s="64"/>
      <c r="AB427" s="64"/>
      <c r="AC427" s="64"/>
    </row>
    <row r="428" spans="1:68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3210</v>
      </c>
      <c r="Y428" s="41">
        <f>IFERROR(SUM(Y424:Y426),"0")</f>
        <v>3210</v>
      </c>
      <c r="Z428" s="40"/>
      <c r="AA428" s="64"/>
      <c r="AB428" s="64"/>
      <c r="AC428" s="64"/>
    </row>
    <row r="429" spans="1:68" ht="14.25" hidden="1" customHeight="1" x14ac:dyDescent="0.25">
      <c r="A429" s="691" t="s">
        <v>86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712</v>
      </c>
      <c r="B430" s="60" t="s">
        <v>713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133</v>
      </c>
      <c r="L430" s="35" t="s">
        <v>46</v>
      </c>
      <c r="M430" s="36" t="s">
        <v>90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276</v>
      </c>
      <c r="AC430" s="521" t="s">
        <v>714</v>
      </c>
      <c r="AG430" s="75"/>
      <c r="AJ430" s="79" t="s">
        <v>46</v>
      </c>
      <c r="AK430" s="79">
        <v>0</v>
      </c>
      <c r="BB430" s="522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715</v>
      </c>
      <c r="B431" s="60" t="s">
        <v>716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133</v>
      </c>
      <c r="L431" s="35" t="s">
        <v>46</v>
      </c>
      <c r="M431" s="36" t="s">
        <v>90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717</v>
      </c>
      <c r="AG431" s="75"/>
      <c r="AJ431" s="79" t="s">
        <v>46</v>
      </c>
      <c r="AK431" s="79">
        <v>0</v>
      </c>
      <c r="BB431" s="524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718</v>
      </c>
      <c r="B432" s="60" t="s">
        <v>719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133</v>
      </c>
      <c r="L432" s="35" t="s">
        <v>46</v>
      </c>
      <c r="M432" s="36" t="s">
        <v>90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720</v>
      </c>
      <c r="AG432" s="75"/>
      <c r="AJ432" s="79" t="s">
        <v>46</v>
      </c>
      <c r="AK432" s="79">
        <v>0</v>
      </c>
      <c r="BB432" s="526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181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721</v>
      </c>
      <c r="B436" s="60" t="s">
        <v>722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133</v>
      </c>
      <c r="L436" s="35" t="s">
        <v>46</v>
      </c>
      <c r="M436" s="36" t="s">
        <v>90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276</v>
      </c>
      <c r="AC436" s="527" t="s">
        <v>723</v>
      </c>
      <c r="AG436" s="75"/>
      <c r="AJ436" s="79" t="s">
        <v>46</v>
      </c>
      <c r="AK436" s="79">
        <v>0</v>
      </c>
      <c r="BB436" s="528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724</v>
      </c>
      <c r="B437" s="60" t="s">
        <v>725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133</v>
      </c>
      <c r="L437" s="35" t="s">
        <v>46</v>
      </c>
      <c r="M437" s="36" t="s">
        <v>90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100</v>
      </c>
      <c r="Y437" s="53">
        <f>IFERROR(IF(X437="",0,CEILING((X437/$H437),1)*$H437),"")</f>
        <v>108</v>
      </c>
      <c r="Z437" s="39">
        <f>IFERROR(IF(Y437=0,"",ROUNDUP(Y437/H437,0)*0.01898),"")</f>
        <v>0.22776000000000002</v>
      </c>
      <c r="AA437" s="65" t="s">
        <v>46</v>
      </c>
      <c r="AB437" s="66" t="s">
        <v>46</v>
      </c>
      <c r="AC437" s="529" t="s">
        <v>726</v>
      </c>
      <c r="AG437" s="75"/>
      <c r="AJ437" s="79" t="s">
        <v>46</v>
      </c>
      <c r="AK437" s="79">
        <v>0</v>
      </c>
      <c r="BB437" s="530" t="s">
        <v>67</v>
      </c>
      <c r="BM437" s="75">
        <f>IFERROR(X437*I437/H437,"0")</f>
        <v>105.48888888888888</v>
      </c>
      <c r="BN437" s="75">
        <f>IFERROR(Y437*I437/H437,"0")</f>
        <v>113.92799999999998</v>
      </c>
      <c r="BO437" s="75">
        <f>IFERROR(1/J437*(X437/H437),"0")</f>
        <v>0.1736111111111111</v>
      </c>
      <c r="BP437" s="75">
        <f>IFERROR(1/J437*(Y437/H437),"0")</f>
        <v>0.1875</v>
      </c>
    </row>
    <row r="438" spans="1:68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11.111111111111111</v>
      </c>
      <c r="Y438" s="41">
        <f>IFERROR(Y436/H436,"0")+IFERROR(Y437/H437,"0")</f>
        <v>12</v>
      </c>
      <c r="Z438" s="41">
        <f>IFERROR(IF(Z436="",0,Z436),"0")+IFERROR(IF(Z437="",0,Z437),"0")</f>
        <v>0.22776000000000002</v>
      </c>
      <c r="AA438" s="64"/>
      <c r="AB438" s="64"/>
      <c r="AC438" s="64"/>
    </row>
    <row r="439" spans="1:68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100</v>
      </c>
      <c r="Y439" s="41">
        <f>IFERROR(SUM(Y436:Y437),"0")</f>
        <v>108</v>
      </c>
      <c r="Z439" s="40"/>
      <c r="AA439" s="64"/>
      <c r="AB439" s="64"/>
      <c r="AC439" s="64"/>
    </row>
    <row r="440" spans="1:68" ht="16.5" hidden="1" customHeight="1" x14ac:dyDescent="0.25">
      <c r="A440" s="690" t="s">
        <v>727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128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customHeight="1" x14ac:dyDescent="0.25">
      <c r="A442" s="60" t="s">
        <v>728</v>
      </c>
      <c r="B442" s="60" t="s">
        <v>729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133</v>
      </c>
      <c r="L442" s="35" t="s">
        <v>46</v>
      </c>
      <c r="M442" s="36" t="s">
        <v>81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90</v>
      </c>
      <c r="Y442" s="53">
        <f>IFERROR(IF(X442="",0,CEILING((X442/$H442),1)*$H442),"")</f>
        <v>96</v>
      </c>
      <c r="Z442" s="39">
        <f>IFERROR(IF(Y442=0,"",ROUNDUP(Y442/H442,0)*0.01898),"")</f>
        <v>0.15184</v>
      </c>
      <c r="AA442" s="65" t="s">
        <v>46</v>
      </c>
      <c r="AB442" s="66" t="s">
        <v>46</v>
      </c>
      <c r="AC442" s="531" t="s">
        <v>730</v>
      </c>
      <c r="AG442" s="75"/>
      <c r="AJ442" s="79" t="s">
        <v>46</v>
      </c>
      <c r="AK442" s="79">
        <v>0</v>
      </c>
      <c r="BB442" s="532" t="s">
        <v>67</v>
      </c>
      <c r="BM442" s="75">
        <f>IFERROR(X442*I442/H442,"0")</f>
        <v>93.075000000000003</v>
      </c>
      <c r="BN442" s="75">
        <f>IFERROR(Y442*I442/H442,"0")</f>
        <v>99.280000000000015</v>
      </c>
      <c r="BO442" s="75">
        <f>IFERROR(1/J442*(X442/H442),"0")</f>
        <v>0.1171875</v>
      </c>
      <c r="BP442" s="75">
        <f>IFERROR(1/J442*(Y442/H442),"0")</f>
        <v>0.125</v>
      </c>
    </row>
    <row r="443" spans="1:68" ht="37.5" hidden="1" customHeight="1" x14ac:dyDescent="0.25">
      <c r="A443" s="60" t="s">
        <v>731</v>
      </c>
      <c r="B443" s="60" t="s">
        <v>732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7.5</v>
      </c>
      <c r="Y444" s="41">
        <f>IFERROR(Y442/H442,"0")+IFERROR(Y443/H443,"0")</f>
        <v>8</v>
      </c>
      <c r="Z444" s="41">
        <f>IFERROR(IF(Z442="",0,Z442),"0")+IFERROR(IF(Z443="",0,Z443),"0")</f>
        <v>0.15184</v>
      </c>
      <c r="AA444" s="64"/>
      <c r="AB444" s="64"/>
      <c r="AC444" s="64"/>
    </row>
    <row r="445" spans="1:68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90</v>
      </c>
      <c r="Y445" s="41">
        <f>IFERROR(SUM(Y442:Y443),"0")</f>
        <v>96</v>
      </c>
      <c r="Z445" s="40"/>
      <c r="AA445" s="64"/>
      <c r="AB445" s="64"/>
      <c r="AC445" s="64"/>
    </row>
    <row r="446" spans="1:68" ht="14.25" hidden="1" customHeight="1" x14ac:dyDescent="0.25">
      <c r="A446" s="691" t="s">
        <v>77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733</v>
      </c>
      <c r="B447" s="60" t="s">
        <v>734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735</v>
      </c>
      <c r="AG447" s="75"/>
      <c r="AJ447" s="79" t="s">
        <v>46</v>
      </c>
      <c r="AK447" s="79">
        <v>0</v>
      </c>
      <c r="BB447" s="53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86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customHeight="1" x14ac:dyDescent="0.25">
      <c r="A451" s="60" t="s">
        <v>736</v>
      </c>
      <c r="B451" s="60" t="s">
        <v>737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133</v>
      </c>
      <c r="L451" s="35" t="s">
        <v>46</v>
      </c>
      <c r="M451" s="36" t="s">
        <v>90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100</v>
      </c>
      <c r="Y451" s="53">
        <f>IFERROR(IF(X451="",0,CEILING((X451/$H451),1)*$H451),"")</f>
        <v>108</v>
      </c>
      <c r="Z451" s="39">
        <f>IFERROR(IF(Y451=0,"",ROUNDUP(Y451/H451,0)*0.01898),"")</f>
        <v>0.22776000000000002</v>
      </c>
      <c r="AA451" s="65" t="s">
        <v>46</v>
      </c>
      <c r="AB451" s="66" t="s">
        <v>46</v>
      </c>
      <c r="AC451" s="537" t="s">
        <v>738</v>
      </c>
      <c r="AG451" s="75"/>
      <c r="AJ451" s="79" t="s">
        <v>46</v>
      </c>
      <c r="AK451" s="79">
        <v>0</v>
      </c>
      <c r="BB451" s="538" t="s">
        <v>67</v>
      </c>
      <c r="BM451" s="75">
        <f>IFERROR(X451*I451/H451,"0")</f>
        <v>105.48888888888888</v>
      </c>
      <c r="BN451" s="75">
        <f>IFERROR(Y451*I451/H451,"0")</f>
        <v>113.92799999999998</v>
      </c>
      <c r="BO451" s="75">
        <f>IFERROR(1/J451*(X451/H451),"0")</f>
        <v>0.1736111111111111</v>
      </c>
      <c r="BP451" s="75">
        <f>IFERROR(1/J451*(Y451/H451),"0")</f>
        <v>0.1875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91</v>
      </c>
      <c r="L452" s="35" t="s">
        <v>46</v>
      </c>
      <c r="M452" s="36" t="s">
        <v>90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738</v>
      </c>
      <c r="AG452" s="75"/>
      <c r="AJ452" s="79" t="s">
        <v>46</v>
      </c>
      <c r="AK452" s="79">
        <v>0</v>
      </c>
      <c r="BB452" s="54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739</v>
      </c>
      <c r="B453" s="60" t="s">
        <v>741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742</v>
      </c>
      <c r="AG453" s="75"/>
      <c r="AJ453" s="79" t="s">
        <v>46</v>
      </c>
      <c r="AK453" s="79">
        <v>0</v>
      </c>
      <c r="BB453" s="54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11.111111111111111</v>
      </c>
      <c r="Y454" s="41">
        <f>IFERROR(Y451/H451,"0")+IFERROR(Y452/H452,"0")+IFERROR(Y453/H453,"0")</f>
        <v>12</v>
      </c>
      <c r="Z454" s="41">
        <f>IFERROR(IF(Z451="",0,Z451),"0")+IFERROR(IF(Z452="",0,Z452),"0")+IFERROR(IF(Z453="",0,Z453),"0")</f>
        <v>0.22776000000000002</v>
      </c>
      <c r="AA454" s="64"/>
      <c r="AB454" s="64"/>
      <c r="AC454" s="64"/>
    </row>
    <row r="455" spans="1:68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100</v>
      </c>
      <c r="Y455" s="41">
        <f>IFERROR(SUM(Y451:Y453),"0")</f>
        <v>108</v>
      </c>
      <c r="Z455" s="40"/>
      <c r="AA455" s="64"/>
      <c r="AB455" s="64"/>
      <c r="AC455" s="64"/>
    </row>
    <row r="456" spans="1:68" ht="27.75" hidden="1" customHeight="1" x14ac:dyDescent="0.2">
      <c r="A456" s="689" t="s">
        <v>743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744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77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745</v>
      </c>
      <c r="B459" s="60" t="s">
        <v>746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140</v>
      </c>
      <c r="L459" s="35" t="s">
        <v>46</v>
      </c>
      <c r="M459" s="36" t="s">
        <v>81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747</v>
      </c>
      <c r="AG459" s="75"/>
      <c r="AJ459" s="79" t="s">
        <v>46</v>
      </c>
      <c r="AK459" s="79">
        <v>0</v>
      </c>
      <c r="BB459" s="544" t="s">
        <v>67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748</v>
      </c>
      <c r="B460" s="60" t="s">
        <v>749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140</v>
      </c>
      <c r="L460" s="35" t="s">
        <v>46</v>
      </c>
      <c r="M460" s="36" t="s">
        <v>81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750</v>
      </c>
      <c r="AG460" s="75"/>
      <c r="AJ460" s="79" t="s">
        <v>46</v>
      </c>
      <c r="AK460" s="79">
        <v>0</v>
      </c>
      <c r="BB460" s="546" t="s">
        <v>67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751</v>
      </c>
      <c r="B461" s="60" t="s">
        <v>752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82</v>
      </c>
      <c r="L461" s="35" t="s">
        <v>46</v>
      </c>
      <c r="M461" s="36" t="s">
        <v>81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747</v>
      </c>
      <c r="AG461" s="75"/>
      <c r="AJ461" s="79" t="s">
        <v>46</v>
      </c>
      <c r="AK461" s="79">
        <v>0</v>
      </c>
      <c r="BB461" s="548" t="s">
        <v>67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753</v>
      </c>
      <c r="B462" s="60" t="s">
        <v>754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82</v>
      </c>
      <c r="L462" s="35" t="s">
        <v>46</v>
      </c>
      <c r="M462" s="36" t="s">
        <v>81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755</v>
      </c>
      <c r="AG462" s="75"/>
      <c r="AJ462" s="79" t="s">
        <v>46</v>
      </c>
      <c r="AK462" s="79">
        <v>0</v>
      </c>
      <c r="BB462" s="550" t="s">
        <v>67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758</v>
      </c>
      <c r="AG463" s="75"/>
      <c r="AJ463" s="79" t="s">
        <v>46</v>
      </c>
      <c r="AK463" s="79">
        <v>0</v>
      </c>
      <c r="BB463" s="552" t="s">
        <v>67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759</v>
      </c>
      <c r="B464" s="60" t="s">
        <v>760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755</v>
      </c>
      <c r="AG464" s="75"/>
      <c r="AJ464" s="79" t="s">
        <v>46</v>
      </c>
      <c r="AK464" s="79">
        <v>0</v>
      </c>
      <c r="BB464" s="554" t="s">
        <v>67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86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140</v>
      </c>
      <c r="L468" s="35" t="s">
        <v>46</v>
      </c>
      <c r="M468" s="36" t="s">
        <v>90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767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164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768</v>
      </c>
      <c r="B474" s="60" t="s">
        <v>769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91</v>
      </c>
      <c r="L474" s="35" t="s">
        <v>46</v>
      </c>
      <c r="M474" s="36" t="s">
        <v>81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770</v>
      </c>
      <c r="AG474" s="75"/>
      <c r="AJ474" s="79" t="s">
        <v>46</v>
      </c>
      <c r="AK474" s="79">
        <v>0</v>
      </c>
      <c r="BB474" s="560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77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771</v>
      </c>
      <c r="B478" s="60" t="s">
        <v>772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773</v>
      </c>
      <c r="AG478" s="75"/>
      <c r="AJ478" s="79" t="s">
        <v>46</v>
      </c>
      <c r="AK478" s="79">
        <v>0</v>
      </c>
      <c r="BB478" s="562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776</v>
      </c>
      <c r="AG479" s="75"/>
      <c r="AJ479" s="79" t="s">
        <v>46</v>
      </c>
      <c r="AK479" s="79">
        <v>0</v>
      </c>
      <c r="BB479" s="564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777</v>
      </c>
      <c r="B480" s="60" t="s">
        <v>778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776</v>
      </c>
      <c r="AG480" s="75"/>
      <c r="AJ480" s="79" t="s">
        <v>46</v>
      </c>
      <c r="AK480" s="79">
        <v>0</v>
      </c>
      <c r="BB480" s="566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779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779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128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customHeight="1" x14ac:dyDescent="0.25">
      <c r="A486" s="60" t="s">
        <v>780</v>
      </c>
      <c r="B486" s="60" t="s">
        <v>781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60</v>
      </c>
      <c r="Y486" s="53">
        <f t="shared" ref="Y486:Y494" si="62">IFERROR(IF(X486="",0,CEILING((X486/$H486),1)*$H486),"")</f>
        <v>63.36</v>
      </c>
      <c r="Z486" s="39">
        <f t="shared" ref="Z486:Z491" si="63">IFERROR(IF(Y486=0,"",ROUNDUP(Y486/H486,0)*0.01196),"")</f>
        <v>0.14352000000000001</v>
      </c>
      <c r="AA486" s="65" t="s">
        <v>46</v>
      </c>
      <c r="AB486" s="66" t="s">
        <v>46</v>
      </c>
      <c r="AC486" s="567" t="s">
        <v>131</v>
      </c>
      <c r="AG486" s="75"/>
      <c r="AJ486" s="79" t="s">
        <v>46</v>
      </c>
      <c r="AK486" s="79">
        <v>0</v>
      </c>
      <c r="BB486" s="568" t="s">
        <v>67</v>
      </c>
      <c r="BM486" s="75">
        <f t="shared" ref="BM486:BM494" si="64">IFERROR(X486*I486/H486,"0")</f>
        <v>63.977272727272727</v>
      </c>
      <c r="BN486" s="75">
        <f t="shared" ref="BN486:BN494" si="65">IFERROR(Y486*I486/H486,"0")</f>
        <v>67.559999999999988</v>
      </c>
      <c r="BO486" s="75">
        <f t="shared" ref="BO486:BO494" si="66">IFERROR(1/J486*(X486/H486),"0")</f>
        <v>0.10926573426573427</v>
      </c>
      <c r="BP486" s="75">
        <f t="shared" ref="BP486:BP494" si="67">IFERROR(1/J486*(Y486/H486),"0")</f>
        <v>0.11538461538461539</v>
      </c>
    </row>
    <row r="487" spans="1:68" ht="16.5" hidden="1" customHeight="1" x14ac:dyDescent="0.25">
      <c r="A487" s="60" t="s">
        <v>782</v>
      </c>
      <c r="B487" s="60" t="s">
        <v>783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133</v>
      </c>
      <c r="L487" s="35" t="s">
        <v>46</v>
      </c>
      <c r="M487" s="36" t="s">
        <v>132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784</v>
      </c>
      <c r="AG487" s="75"/>
      <c r="AJ487" s="79" t="s">
        <v>46</v>
      </c>
      <c r="AK487" s="79">
        <v>0</v>
      </c>
      <c r="BB487" s="570" t="s">
        <v>67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785</v>
      </c>
      <c r="B488" s="60" t="s">
        <v>786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787</v>
      </c>
      <c r="AG488" s="75"/>
      <c r="AJ488" s="79" t="s">
        <v>46</v>
      </c>
      <c r="AK488" s="79">
        <v>0</v>
      </c>
      <c r="BB488" s="572" t="s">
        <v>67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customHeight="1" x14ac:dyDescent="0.25">
      <c r="A489" s="60" t="s">
        <v>788</v>
      </c>
      <c r="B489" s="60" t="s">
        <v>789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100</v>
      </c>
      <c r="Y489" s="53">
        <f t="shared" si="62"/>
        <v>100.32000000000001</v>
      </c>
      <c r="Z489" s="39">
        <f t="shared" si="63"/>
        <v>0.22724</v>
      </c>
      <c r="AA489" s="65" t="s">
        <v>46</v>
      </c>
      <c r="AB489" s="66" t="s">
        <v>46</v>
      </c>
      <c r="AC489" s="573" t="s">
        <v>790</v>
      </c>
      <c r="AG489" s="75"/>
      <c r="AJ489" s="79" t="s">
        <v>46</v>
      </c>
      <c r="AK489" s="79">
        <v>0</v>
      </c>
      <c r="BB489" s="574" t="s">
        <v>67</v>
      </c>
      <c r="BM489" s="75">
        <f t="shared" si="64"/>
        <v>106.62878787878788</v>
      </c>
      <c r="BN489" s="75">
        <f t="shared" si="65"/>
        <v>106.97</v>
      </c>
      <c r="BO489" s="75">
        <f t="shared" si="66"/>
        <v>0.18210955710955709</v>
      </c>
      <c r="BP489" s="75">
        <f t="shared" si="67"/>
        <v>0.18269230769230771</v>
      </c>
    </row>
    <row r="490" spans="1:68" ht="16.5" hidden="1" customHeight="1" x14ac:dyDescent="0.25">
      <c r="A490" s="60" t="s">
        <v>791</v>
      </c>
      <c r="B490" s="60" t="s">
        <v>792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90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793</v>
      </c>
      <c r="AG490" s="75"/>
      <c r="AJ490" s="79" t="s">
        <v>46</v>
      </c>
      <c r="AK490" s="79">
        <v>0</v>
      </c>
      <c r="BB490" s="576" t="s">
        <v>67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customHeight="1" x14ac:dyDescent="0.25">
      <c r="A491" s="60" t="s">
        <v>794</v>
      </c>
      <c r="B491" s="60" t="s">
        <v>795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132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300</v>
      </c>
      <c r="Y491" s="53">
        <f t="shared" si="62"/>
        <v>300.96000000000004</v>
      </c>
      <c r="Z491" s="39">
        <f t="shared" si="63"/>
        <v>0.68171999999999999</v>
      </c>
      <c r="AA491" s="65" t="s">
        <v>46</v>
      </c>
      <c r="AB491" s="66" t="s">
        <v>46</v>
      </c>
      <c r="AC491" s="577" t="s">
        <v>796</v>
      </c>
      <c r="AG491" s="75"/>
      <c r="AJ491" s="79" t="s">
        <v>46</v>
      </c>
      <c r="AK491" s="79">
        <v>0</v>
      </c>
      <c r="BB491" s="578" t="s">
        <v>67</v>
      </c>
      <c r="BM491" s="75">
        <f t="shared" si="64"/>
        <v>319.88636363636363</v>
      </c>
      <c r="BN491" s="75">
        <f t="shared" si="65"/>
        <v>320.91000000000003</v>
      </c>
      <c r="BO491" s="75">
        <f t="shared" si="66"/>
        <v>0.54632867132867136</v>
      </c>
      <c r="BP491" s="75">
        <f t="shared" si="67"/>
        <v>0.54807692307692313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131</v>
      </c>
      <c r="AG492" s="75"/>
      <c r="AJ492" s="79" t="s">
        <v>46</v>
      </c>
      <c r="AK492" s="79">
        <v>0</v>
      </c>
      <c r="BB492" s="580" t="s">
        <v>67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customHeight="1" x14ac:dyDescent="0.25">
      <c r="A493" s="60" t="s">
        <v>799</v>
      </c>
      <c r="B493" s="60" t="s">
        <v>800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140</v>
      </c>
      <c r="L493" s="35" t="s">
        <v>46</v>
      </c>
      <c r="M493" s="36" t="s">
        <v>90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30</v>
      </c>
      <c r="Y493" s="53">
        <f t="shared" si="62"/>
        <v>33.6</v>
      </c>
      <c r="Z493" s="39">
        <f>IFERROR(IF(Y493=0,"",ROUNDUP(Y493/H493,0)*0.00902),"")</f>
        <v>6.3140000000000002E-2</v>
      </c>
      <c r="AA493" s="65" t="s">
        <v>46</v>
      </c>
      <c r="AB493" s="66" t="s">
        <v>46</v>
      </c>
      <c r="AC493" s="581" t="s">
        <v>131</v>
      </c>
      <c r="AG493" s="75"/>
      <c r="AJ493" s="79" t="s">
        <v>46</v>
      </c>
      <c r="AK493" s="79">
        <v>0</v>
      </c>
      <c r="BB493" s="582" t="s">
        <v>67</v>
      </c>
      <c r="BM493" s="75">
        <f t="shared" si="64"/>
        <v>43.187500000000007</v>
      </c>
      <c r="BN493" s="75">
        <f t="shared" si="65"/>
        <v>48.370000000000005</v>
      </c>
      <c r="BO493" s="75">
        <f t="shared" si="66"/>
        <v>4.7348484848484848E-2</v>
      </c>
      <c r="BP493" s="75">
        <f t="shared" si="67"/>
        <v>5.3030303030303039E-2</v>
      </c>
    </row>
    <row r="494" spans="1:68" ht="27" customHeight="1" x14ac:dyDescent="0.25">
      <c r="A494" s="60" t="s">
        <v>801</v>
      </c>
      <c r="B494" s="60" t="s">
        <v>802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140</v>
      </c>
      <c r="L494" s="35" t="s">
        <v>46</v>
      </c>
      <c r="M494" s="36" t="s">
        <v>132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240</v>
      </c>
      <c r="Y494" s="53">
        <f t="shared" si="62"/>
        <v>240</v>
      </c>
      <c r="Z494" s="39">
        <f>IFERROR(IF(Y494=0,"",ROUNDUP(Y494/H494,0)*0.00902),"")</f>
        <v>0.45100000000000001</v>
      </c>
      <c r="AA494" s="65" t="s">
        <v>46</v>
      </c>
      <c r="AB494" s="66" t="s">
        <v>46</v>
      </c>
      <c r="AC494" s="583" t="s">
        <v>796</v>
      </c>
      <c r="AG494" s="75"/>
      <c r="AJ494" s="79" t="s">
        <v>46</v>
      </c>
      <c r="AK494" s="79">
        <v>0</v>
      </c>
      <c r="BB494" s="584" t="s">
        <v>67</v>
      </c>
      <c r="BM494" s="75">
        <f t="shared" si="64"/>
        <v>345.50000000000006</v>
      </c>
      <c r="BN494" s="75">
        <f t="shared" si="65"/>
        <v>345.50000000000006</v>
      </c>
      <c r="BO494" s="75">
        <f t="shared" si="66"/>
        <v>0.37878787878787878</v>
      </c>
      <c r="BP494" s="75">
        <f t="shared" si="67"/>
        <v>0.37878787878787878</v>
      </c>
    </row>
    <row r="495" spans="1:68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143.37121212121212</v>
      </c>
      <c r="Y495" s="41">
        <f>IFERROR(Y486/H486,"0")+IFERROR(Y487/H487,"0")+IFERROR(Y488/H488,"0")+IFERROR(Y489/H489,"0")+IFERROR(Y490/H490,"0")+IFERROR(Y491/H491,"0")+IFERROR(Y492/H492,"0")+IFERROR(Y493/H493,"0")+IFERROR(Y494/H494,"0")</f>
        <v>145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1.5666200000000001</v>
      </c>
      <c r="AA495" s="64"/>
      <c r="AB495" s="64"/>
      <c r="AC495" s="64"/>
    </row>
    <row r="496" spans="1:68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730</v>
      </c>
      <c r="Y496" s="41">
        <f>IFERROR(SUM(Y486:Y494),"0")</f>
        <v>738.24</v>
      </c>
      <c r="Z496" s="40"/>
      <c r="AA496" s="64"/>
      <c r="AB496" s="64"/>
      <c r="AC496" s="64"/>
    </row>
    <row r="497" spans="1:68" ht="14.25" hidden="1" customHeight="1" x14ac:dyDescent="0.25">
      <c r="A497" s="691" t="s">
        <v>164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customHeight="1" x14ac:dyDescent="0.25">
      <c r="A498" s="60" t="s">
        <v>803</v>
      </c>
      <c r="B498" s="60" t="s">
        <v>804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90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200</v>
      </c>
      <c r="Y498" s="53">
        <f>IFERROR(IF(X498="",0,CEILING((X498/$H498),1)*$H498),"")</f>
        <v>200.64000000000001</v>
      </c>
      <c r="Z498" s="39">
        <f>IFERROR(IF(Y498=0,"",ROUNDUP(Y498/H498,0)*0.01196),"")</f>
        <v>0.45448</v>
      </c>
      <c r="AA498" s="65" t="s">
        <v>46</v>
      </c>
      <c r="AB498" s="66" t="s">
        <v>46</v>
      </c>
      <c r="AC498" s="585" t="s">
        <v>805</v>
      </c>
      <c r="AG498" s="75"/>
      <c r="AJ498" s="79" t="s">
        <v>46</v>
      </c>
      <c r="AK498" s="79">
        <v>0</v>
      </c>
      <c r="BB498" s="586" t="s">
        <v>67</v>
      </c>
      <c r="BM498" s="75">
        <f>IFERROR(X498*I498/H498,"0")</f>
        <v>213.25757575757575</v>
      </c>
      <c r="BN498" s="75">
        <f>IFERROR(Y498*I498/H498,"0")</f>
        <v>213.94</v>
      </c>
      <c r="BO498" s="75">
        <f>IFERROR(1/J498*(X498/H498),"0")</f>
        <v>0.36421911421911418</v>
      </c>
      <c r="BP498" s="75">
        <f>IFERROR(1/J498*(Y498/H498),"0")</f>
        <v>0.36538461538461542</v>
      </c>
    </row>
    <row r="499" spans="1:68" ht="16.5" hidden="1" customHeight="1" x14ac:dyDescent="0.25">
      <c r="A499" s="60" t="s">
        <v>806</v>
      </c>
      <c r="B499" s="60" t="s">
        <v>807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91</v>
      </c>
      <c r="L499" s="35" t="s">
        <v>46</v>
      </c>
      <c r="M499" s="36" t="s">
        <v>132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805</v>
      </c>
      <c r="AG499" s="75"/>
      <c r="AJ499" s="79" t="s">
        <v>46</v>
      </c>
      <c r="AK499" s="79">
        <v>0</v>
      </c>
      <c r="BB499" s="588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808</v>
      </c>
      <c r="B500" s="60" t="s">
        <v>809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140</v>
      </c>
      <c r="L500" s="35" t="s">
        <v>46</v>
      </c>
      <c r="M500" s="36" t="s">
        <v>132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90</v>
      </c>
      <c r="Y500" s="53">
        <f>IFERROR(IF(X500="",0,CEILING((X500/$H500),1)*$H500),"")</f>
        <v>91.2</v>
      </c>
      <c r="Z500" s="39">
        <f>IFERROR(IF(Y500=0,"",ROUNDUP(Y500/H500,0)*0.00902),"")</f>
        <v>0.17138</v>
      </c>
      <c r="AA500" s="65" t="s">
        <v>46</v>
      </c>
      <c r="AB500" s="66" t="s">
        <v>46</v>
      </c>
      <c r="AC500" s="589" t="s">
        <v>805</v>
      </c>
      <c r="AG500" s="75"/>
      <c r="AJ500" s="79" t="s">
        <v>46</v>
      </c>
      <c r="AK500" s="79">
        <v>0</v>
      </c>
      <c r="BB500" s="590" t="s">
        <v>67</v>
      </c>
      <c r="BM500" s="75">
        <f>IFERROR(X500*I500/H500,"0")</f>
        <v>129.5625</v>
      </c>
      <c r="BN500" s="75">
        <f>IFERROR(Y500*I500/H500,"0")</f>
        <v>131.29000000000002</v>
      </c>
      <c r="BO500" s="75">
        <f>IFERROR(1/J500*(X500/H500),"0")</f>
        <v>0.14204545454545456</v>
      </c>
      <c r="BP500" s="75">
        <f>IFERROR(1/J500*(Y500/H500),"0")</f>
        <v>0.14393939393939395</v>
      </c>
    </row>
    <row r="501" spans="1:68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56.628787878787875</v>
      </c>
      <c r="Y501" s="41">
        <f>IFERROR(Y498/H498,"0")+IFERROR(Y499/H499,"0")+IFERROR(Y500/H500,"0")</f>
        <v>57</v>
      </c>
      <c r="Z501" s="41">
        <f>IFERROR(IF(Z498="",0,Z498),"0")+IFERROR(IF(Z499="",0,Z499),"0")+IFERROR(IF(Z500="",0,Z500),"0")</f>
        <v>0.62585999999999997</v>
      </c>
      <c r="AA501" s="64"/>
      <c r="AB501" s="64"/>
      <c r="AC501" s="64"/>
    </row>
    <row r="502" spans="1:68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290</v>
      </c>
      <c r="Y502" s="41">
        <f>IFERROR(SUM(Y498:Y500),"0")</f>
        <v>291.84000000000003</v>
      </c>
      <c r="Z502" s="40"/>
      <c r="AA502" s="64"/>
      <c r="AB502" s="64"/>
      <c r="AC502" s="64"/>
    </row>
    <row r="503" spans="1:68" ht="14.25" hidden="1" customHeight="1" x14ac:dyDescent="0.25">
      <c r="A503" s="691" t="s">
        <v>77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customHeight="1" x14ac:dyDescent="0.25">
      <c r="A504" s="60" t="s">
        <v>810</v>
      </c>
      <c r="B504" s="60" t="s">
        <v>811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133</v>
      </c>
      <c r="L504" s="35" t="s">
        <v>46</v>
      </c>
      <c r="M504" s="36" t="s">
        <v>132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80</v>
      </c>
      <c r="Y504" s="53">
        <f t="shared" ref="Y504:Y510" si="68">IFERROR(IF(X504="",0,CEILING((X504/$H504),1)*$H504),"")</f>
        <v>84.48</v>
      </c>
      <c r="Z504" s="39">
        <f>IFERROR(IF(Y504=0,"",ROUNDUP(Y504/H504,0)*0.01196),"")</f>
        <v>0.19136</v>
      </c>
      <c r="AA504" s="65" t="s">
        <v>46</v>
      </c>
      <c r="AB504" s="66" t="s">
        <v>46</v>
      </c>
      <c r="AC504" s="591" t="s">
        <v>812</v>
      </c>
      <c r="AG504" s="75"/>
      <c r="AJ504" s="79" t="s">
        <v>46</v>
      </c>
      <c r="AK504" s="79">
        <v>0</v>
      </c>
      <c r="BB504" s="592" t="s">
        <v>67</v>
      </c>
      <c r="BM504" s="75">
        <f t="shared" ref="BM504:BM510" si="69">IFERROR(X504*I504/H504,"0")</f>
        <v>85.303030303030297</v>
      </c>
      <c r="BN504" s="75">
        <f t="shared" ref="BN504:BN510" si="70">IFERROR(Y504*I504/H504,"0")</f>
        <v>90.08</v>
      </c>
      <c r="BO504" s="75">
        <f t="shared" ref="BO504:BO510" si="71">IFERROR(1/J504*(X504/H504),"0")</f>
        <v>0.14568764568764569</v>
      </c>
      <c r="BP504" s="75">
        <f t="shared" ref="BP504:BP510" si="72">IFERROR(1/J504*(Y504/H504),"0")</f>
        <v>0.15384615384615385</v>
      </c>
    </row>
    <row r="505" spans="1:68" ht="27" customHeight="1" x14ac:dyDescent="0.25">
      <c r="A505" s="60" t="s">
        <v>813</v>
      </c>
      <c r="B505" s="60" t="s">
        <v>814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133</v>
      </c>
      <c r="L505" s="35" t="s">
        <v>46</v>
      </c>
      <c r="M505" s="36" t="s">
        <v>81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40</v>
      </c>
      <c r="Y505" s="53">
        <f t="shared" si="68"/>
        <v>42.24</v>
      </c>
      <c r="Z505" s="39">
        <f>IFERROR(IF(Y505=0,"",ROUNDUP(Y505/H505,0)*0.01196),"")</f>
        <v>9.5680000000000001E-2</v>
      </c>
      <c r="AA505" s="65" t="s">
        <v>46</v>
      </c>
      <c r="AB505" s="66" t="s">
        <v>46</v>
      </c>
      <c r="AC505" s="593" t="s">
        <v>815</v>
      </c>
      <c r="AG505" s="75"/>
      <c r="AJ505" s="79" t="s">
        <v>46</v>
      </c>
      <c r="AK505" s="79">
        <v>0</v>
      </c>
      <c r="BB505" s="594" t="s">
        <v>67</v>
      </c>
      <c r="BM505" s="75">
        <f t="shared" si="69"/>
        <v>42.651515151515149</v>
      </c>
      <c r="BN505" s="75">
        <f t="shared" si="70"/>
        <v>45.04</v>
      </c>
      <c r="BO505" s="75">
        <f t="shared" si="71"/>
        <v>7.2843822843822847E-2</v>
      </c>
      <c r="BP505" s="75">
        <f t="shared" si="72"/>
        <v>7.6923076923076927E-2</v>
      </c>
    </row>
    <row r="506" spans="1:68" ht="27" customHeight="1" x14ac:dyDescent="0.25">
      <c r="A506" s="60" t="s">
        <v>816</v>
      </c>
      <c r="B506" s="60" t="s">
        <v>817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133</v>
      </c>
      <c r="L506" s="35" t="s">
        <v>46</v>
      </c>
      <c r="M506" s="36" t="s">
        <v>81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100</v>
      </c>
      <c r="Y506" s="53">
        <f t="shared" si="68"/>
        <v>100.32000000000001</v>
      </c>
      <c r="Z506" s="39">
        <f>IFERROR(IF(Y506=0,"",ROUNDUP(Y506/H506,0)*0.01196),"")</f>
        <v>0.22724</v>
      </c>
      <c r="AA506" s="65" t="s">
        <v>46</v>
      </c>
      <c r="AB506" s="66" t="s">
        <v>46</v>
      </c>
      <c r="AC506" s="595" t="s">
        <v>818</v>
      </c>
      <c r="AG506" s="75"/>
      <c r="AJ506" s="79" t="s">
        <v>46</v>
      </c>
      <c r="AK506" s="79">
        <v>0</v>
      </c>
      <c r="BB506" s="596" t="s">
        <v>67</v>
      </c>
      <c r="BM506" s="75">
        <f t="shared" si="69"/>
        <v>106.62878787878788</v>
      </c>
      <c r="BN506" s="75">
        <f t="shared" si="70"/>
        <v>106.97</v>
      </c>
      <c r="BO506" s="75">
        <f t="shared" si="71"/>
        <v>0.18210955710955709</v>
      </c>
      <c r="BP506" s="75">
        <f t="shared" si="72"/>
        <v>0.18269230769230771</v>
      </c>
    </row>
    <row r="507" spans="1:68" ht="27" customHeight="1" x14ac:dyDescent="0.25">
      <c r="A507" s="60" t="s">
        <v>819</v>
      </c>
      <c r="B507" s="60" t="s">
        <v>820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140</v>
      </c>
      <c r="L507" s="35" t="s">
        <v>46</v>
      </c>
      <c r="M507" s="36" t="s">
        <v>132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72</v>
      </c>
      <c r="Y507" s="53">
        <f t="shared" si="68"/>
        <v>72</v>
      </c>
      <c r="Z507" s="39">
        <f>IFERROR(IF(Y507=0,"",ROUNDUP(Y507/H507,0)*0.00902),"")</f>
        <v>0.1353</v>
      </c>
      <c r="AA507" s="65" t="s">
        <v>46</v>
      </c>
      <c r="AB507" s="66" t="s">
        <v>46</v>
      </c>
      <c r="AC507" s="597" t="s">
        <v>812</v>
      </c>
      <c r="AG507" s="75"/>
      <c r="AJ507" s="79" t="s">
        <v>46</v>
      </c>
      <c r="AK507" s="79">
        <v>0</v>
      </c>
      <c r="BB507" s="598" t="s">
        <v>67</v>
      </c>
      <c r="BM507" s="75">
        <f t="shared" si="69"/>
        <v>103.65</v>
      </c>
      <c r="BN507" s="75">
        <f t="shared" si="70"/>
        <v>103.65</v>
      </c>
      <c r="BO507" s="75">
        <f t="shared" si="71"/>
        <v>0.11363636363636365</v>
      </c>
      <c r="BP507" s="75">
        <f t="shared" si="72"/>
        <v>0.11363636363636365</v>
      </c>
    </row>
    <row r="508" spans="1:68" ht="27" hidden="1" customHeight="1" x14ac:dyDescent="0.25">
      <c r="A508" s="60" t="s">
        <v>821</v>
      </c>
      <c r="B508" s="60" t="s">
        <v>822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815</v>
      </c>
      <c r="AG508" s="75"/>
      <c r="AJ508" s="79" t="s">
        <v>46</v>
      </c>
      <c r="AK508" s="79">
        <v>0</v>
      </c>
      <c r="BB508" s="600" t="s">
        <v>67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821</v>
      </c>
      <c r="B509" s="60" t="s">
        <v>823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815</v>
      </c>
      <c r="AG509" s="75"/>
      <c r="AJ509" s="79" t="s">
        <v>46</v>
      </c>
      <c r="AK509" s="79">
        <v>0</v>
      </c>
      <c r="BB509" s="602" t="s">
        <v>67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customHeight="1" x14ac:dyDescent="0.25">
      <c r="A510" s="60" t="s">
        <v>824</v>
      </c>
      <c r="B510" s="60" t="s">
        <v>825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120</v>
      </c>
      <c r="Y510" s="53">
        <f t="shared" si="68"/>
        <v>120</v>
      </c>
      <c r="Z510" s="39">
        <f>IFERROR(IF(Y510=0,"",ROUNDUP(Y510/H510,0)*0.00902),"")</f>
        <v>0.22550000000000001</v>
      </c>
      <c r="AA510" s="65" t="s">
        <v>46</v>
      </c>
      <c r="AB510" s="66" t="s">
        <v>46</v>
      </c>
      <c r="AC510" s="603" t="s">
        <v>818</v>
      </c>
      <c r="AG510" s="75"/>
      <c r="AJ510" s="79" t="s">
        <v>46</v>
      </c>
      <c r="AK510" s="79">
        <v>0</v>
      </c>
      <c r="BB510" s="604" t="s">
        <v>67</v>
      </c>
      <c r="BM510" s="75">
        <f t="shared" si="69"/>
        <v>166.75</v>
      </c>
      <c r="BN510" s="75">
        <f t="shared" si="70"/>
        <v>166.75</v>
      </c>
      <c r="BO510" s="75">
        <f t="shared" si="71"/>
        <v>0.18939393939393939</v>
      </c>
      <c r="BP510" s="75">
        <f t="shared" si="72"/>
        <v>0.18939393939393939</v>
      </c>
    </row>
    <row r="511" spans="1:68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81.666666666666657</v>
      </c>
      <c r="Y511" s="41">
        <f>IFERROR(Y504/H504,"0")+IFERROR(Y505/H505,"0")+IFERROR(Y506/H506,"0")+IFERROR(Y507/H507,"0")+IFERROR(Y508/H508,"0")+IFERROR(Y509/H509,"0")+IFERROR(Y510/H510,"0")</f>
        <v>83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0.87508000000000008</v>
      </c>
      <c r="AA511" s="64"/>
      <c r="AB511" s="64"/>
      <c r="AC511" s="64"/>
    </row>
    <row r="512" spans="1:68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412</v>
      </c>
      <c r="Y512" s="41">
        <f>IFERROR(SUM(Y504:Y510),"0")</f>
        <v>419.04</v>
      </c>
      <c r="Z512" s="40"/>
      <c r="AA512" s="64"/>
      <c r="AB512" s="64"/>
      <c r="AC512" s="64"/>
    </row>
    <row r="513" spans="1:68" ht="27.75" hidden="1" customHeight="1" x14ac:dyDescent="0.2">
      <c r="A513" s="689" t="s">
        <v>826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826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128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customHeight="1" x14ac:dyDescent="0.25">
      <c r="A516" s="60" t="s">
        <v>827</v>
      </c>
      <c r="B516" s="60" t="s">
        <v>828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133</v>
      </c>
      <c r="L516" s="35" t="s">
        <v>46</v>
      </c>
      <c r="M516" s="36" t="s">
        <v>132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80</v>
      </c>
      <c r="Y516" s="53">
        <f>IFERROR(IF(X516="",0,CEILING((X516/$H516),1)*$H516),"")</f>
        <v>84</v>
      </c>
      <c r="Z516" s="39">
        <f>IFERROR(IF(Y516=0,"",ROUNDUP(Y516/H516,0)*0.01898),"")</f>
        <v>0.13286000000000001</v>
      </c>
      <c r="AA516" s="65" t="s">
        <v>46</v>
      </c>
      <c r="AB516" s="66" t="s">
        <v>46</v>
      </c>
      <c r="AC516" s="605" t="s">
        <v>829</v>
      </c>
      <c r="AG516" s="75"/>
      <c r="AJ516" s="79" t="s">
        <v>46</v>
      </c>
      <c r="AK516" s="79">
        <v>0</v>
      </c>
      <c r="BB516" s="606" t="s">
        <v>67</v>
      </c>
      <c r="BM516" s="75">
        <f>IFERROR(X516*I516/H516,"0")</f>
        <v>82.733333333333334</v>
      </c>
      <c r="BN516" s="75">
        <f>IFERROR(Y516*I516/H516,"0")</f>
        <v>86.87</v>
      </c>
      <c r="BO516" s="75">
        <f>IFERROR(1/J516*(X516/H516),"0")</f>
        <v>0.10416666666666667</v>
      </c>
      <c r="BP516" s="75">
        <f>IFERROR(1/J516*(Y516/H516),"0")</f>
        <v>0.109375</v>
      </c>
    </row>
    <row r="517" spans="1:68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6.666666666666667</v>
      </c>
      <c r="Y517" s="41">
        <f>IFERROR(Y516/H516,"0")</f>
        <v>7</v>
      </c>
      <c r="Z517" s="41">
        <f>IFERROR(IF(Z516="",0,Z516),"0")</f>
        <v>0.13286000000000001</v>
      </c>
      <c r="AA517" s="64"/>
      <c r="AB517" s="64"/>
      <c r="AC517" s="64"/>
    </row>
    <row r="518" spans="1:68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80</v>
      </c>
      <c r="Y518" s="41">
        <f>IFERROR(SUM(Y516:Y516),"0")</f>
        <v>84</v>
      </c>
      <c r="Z518" s="40"/>
      <c r="AA518" s="64"/>
      <c r="AB518" s="64"/>
      <c r="AC518" s="64"/>
    </row>
    <row r="519" spans="1:68" ht="14.25" hidden="1" customHeight="1" x14ac:dyDescent="0.25">
      <c r="A519" s="691" t="s">
        <v>164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133</v>
      </c>
      <c r="L520" s="35" t="s">
        <v>46</v>
      </c>
      <c r="M520" s="36" t="s">
        <v>132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832</v>
      </c>
      <c r="AG520" s="75"/>
      <c r="AJ520" s="79" t="s">
        <v>46</v>
      </c>
      <c r="AK520" s="79">
        <v>0</v>
      </c>
      <c r="BB520" s="608" t="s">
        <v>67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77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833</v>
      </c>
      <c r="B524" s="60" t="s">
        <v>834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140</v>
      </c>
      <c r="L524" s="35" t="s">
        <v>46</v>
      </c>
      <c r="M524" s="36" t="s">
        <v>81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835</v>
      </c>
      <c r="AG524" s="75"/>
      <c r="AJ524" s="79" t="s">
        <v>46</v>
      </c>
      <c r="AK524" s="79">
        <v>0</v>
      </c>
      <c r="BB524" s="610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833</v>
      </c>
      <c r="B525" s="60" t="s">
        <v>836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140</v>
      </c>
      <c r="L525" s="35" t="s">
        <v>46</v>
      </c>
      <c r="M525" s="36" t="s">
        <v>81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837</v>
      </c>
      <c r="AG525" s="75"/>
      <c r="AJ525" s="79" t="s">
        <v>46</v>
      </c>
      <c r="AK525" s="79">
        <v>0</v>
      </c>
      <c r="BB525" s="612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86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133</v>
      </c>
      <c r="L529" s="35" t="s">
        <v>46</v>
      </c>
      <c r="M529" s="36" t="s">
        <v>90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1200</v>
      </c>
      <c r="Y529" s="53">
        <f>IFERROR(IF(X529="",0,CEILING((X529/$H529),1)*$H529),"")</f>
        <v>1206</v>
      </c>
      <c r="Z529" s="39">
        <f>IFERROR(IF(Y529=0,"",ROUNDUP(Y529/H529,0)*0.01898),"")</f>
        <v>2.54332</v>
      </c>
      <c r="AA529" s="65" t="s">
        <v>46</v>
      </c>
      <c r="AB529" s="66" t="s">
        <v>46</v>
      </c>
      <c r="AC529" s="613" t="s">
        <v>840</v>
      </c>
      <c r="AG529" s="75"/>
      <c r="AJ529" s="79" t="s">
        <v>46</v>
      </c>
      <c r="AK529" s="79">
        <v>0</v>
      </c>
      <c r="BB529" s="614" t="s">
        <v>67</v>
      </c>
      <c r="BM529" s="75">
        <f>IFERROR(X529*I529/H529,"0")</f>
        <v>1265.8666666666666</v>
      </c>
      <c r="BN529" s="75">
        <f>IFERROR(Y529*I529/H529,"0")</f>
        <v>1272.1959999999999</v>
      </c>
      <c r="BO529" s="75">
        <f>IFERROR(1/J529*(X529/H529),"0")</f>
        <v>2.0833333333333335</v>
      </c>
      <c r="BP529" s="75">
        <f>IFERROR(1/J529*(Y529/H529),"0")</f>
        <v>2.09375</v>
      </c>
    </row>
    <row r="530" spans="1:68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133.33333333333334</v>
      </c>
      <c r="Y530" s="41">
        <f>IFERROR(Y529/H529,"0")</f>
        <v>134</v>
      </c>
      <c r="Z530" s="41">
        <f>IFERROR(IF(Z529="",0,Z529),"0")</f>
        <v>2.54332</v>
      </c>
      <c r="AA530" s="64"/>
      <c r="AB530" s="64"/>
      <c r="AC530" s="64"/>
    </row>
    <row r="531" spans="1:68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1200</v>
      </c>
      <c r="Y531" s="41">
        <f>IFERROR(SUM(Y529:Y529),"0")</f>
        <v>1206</v>
      </c>
      <c r="Z531" s="40"/>
      <c r="AA531" s="64"/>
      <c r="AB531" s="64"/>
      <c r="AC531" s="64"/>
    </row>
    <row r="532" spans="1:68" ht="14.25" hidden="1" customHeight="1" x14ac:dyDescent="0.25">
      <c r="A532" s="691" t="s">
        <v>181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841</v>
      </c>
      <c r="B533" s="60" t="s">
        <v>842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133</v>
      </c>
      <c r="L533" s="35" t="s">
        <v>46</v>
      </c>
      <c r="M533" s="36" t="s">
        <v>90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843</v>
      </c>
      <c r="AG533" s="75"/>
      <c r="AJ533" s="79" t="s">
        <v>46</v>
      </c>
      <c r="AK533" s="79">
        <v>0</v>
      </c>
      <c r="BB533" s="616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844</v>
      </c>
      <c r="B534" s="60" t="s">
        <v>845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133</v>
      </c>
      <c r="L534" s="35" t="s">
        <v>46</v>
      </c>
      <c r="M534" s="36" t="s">
        <v>90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846</v>
      </c>
      <c r="AG534" s="75"/>
      <c r="AJ534" s="79" t="s">
        <v>46</v>
      </c>
      <c r="AK534" s="79">
        <v>0</v>
      </c>
      <c r="BB534" s="61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847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164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848</v>
      </c>
      <c r="B539" s="60" t="s">
        <v>849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133</v>
      </c>
      <c r="L539" s="35" t="s">
        <v>46</v>
      </c>
      <c r="M539" s="36" t="s">
        <v>132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850</v>
      </c>
      <c r="AG539" s="75"/>
      <c r="AJ539" s="79" t="s">
        <v>46</v>
      </c>
      <c r="AK539" s="79">
        <v>0</v>
      </c>
      <c r="BB539" s="620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17507.3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17672.740000000002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18795.590672790386</v>
      </c>
      <c r="Y543" s="41">
        <f>IFERROR(SUM(BN22:BN539),"0")</f>
        <v>18972.300000000003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33</v>
      </c>
      <c r="Y544" s="42">
        <f>ROUNDUP(SUM(BP22:BP539),0)</f>
        <v>33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19620.590672790386</v>
      </c>
      <c r="Y545" s="41">
        <f>GrossWeightTotalR+PalletQtyTotalR*25</f>
        <v>19797.300000000003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3994.1635252784672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4026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38.096190000000007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76</v>
      </c>
      <c r="C549" s="80" t="s">
        <v>45</v>
      </c>
      <c r="D549" s="976" t="s">
        <v>126</v>
      </c>
      <c r="E549" s="976" t="s">
        <v>126</v>
      </c>
      <c r="F549" s="976" t="s">
        <v>126</v>
      </c>
      <c r="G549" s="976" t="s">
        <v>126</v>
      </c>
      <c r="H549" s="976" t="s">
        <v>126</v>
      </c>
      <c r="I549" s="976" t="s">
        <v>126</v>
      </c>
      <c r="J549" s="976" t="s">
        <v>126</v>
      </c>
      <c r="K549" s="976" t="s">
        <v>338</v>
      </c>
      <c r="L549" s="976" t="s">
        <v>338</v>
      </c>
      <c r="M549" s="976" t="s">
        <v>338</v>
      </c>
      <c r="N549" s="977"/>
      <c r="O549" s="976" t="s">
        <v>338</v>
      </c>
      <c r="P549" s="976" t="s">
        <v>338</v>
      </c>
      <c r="Q549" s="976" t="s">
        <v>338</v>
      </c>
      <c r="R549" s="976" t="s">
        <v>338</v>
      </c>
      <c r="S549" s="976" t="s">
        <v>338</v>
      </c>
      <c r="T549" s="976" t="s">
        <v>338</v>
      </c>
      <c r="U549" s="976" t="s">
        <v>338</v>
      </c>
      <c r="V549" s="976" t="s">
        <v>677</v>
      </c>
      <c r="W549" s="976" t="s">
        <v>677</v>
      </c>
      <c r="X549" s="976" t="s">
        <v>743</v>
      </c>
      <c r="Y549" s="976" t="s">
        <v>743</v>
      </c>
      <c r="Z549" s="80" t="s">
        <v>779</v>
      </c>
      <c r="AA549" s="976" t="s">
        <v>826</v>
      </c>
      <c r="AB549" s="976" t="s">
        <v>826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76</v>
      </c>
      <c r="C550" s="976" t="s">
        <v>110</v>
      </c>
      <c r="D550" s="976" t="s">
        <v>127</v>
      </c>
      <c r="E550" s="976" t="s">
        <v>143</v>
      </c>
      <c r="F550" s="976" t="s">
        <v>188</v>
      </c>
      <c r="G550" s="976" t="s">
        <v>209</v>
      </c>
      <c r="H550" s="976" t="s">
        <v>248</v>
      </c>
      <c r="I550" s="976" t="s">
        <v>260</v>
      </c>
      <c r="J550" s="976" t="s">
        <v>126</v>
      </c>
      <c r="K550" s="976" t="s">
        <v>339</v>
      </c>
      <c r="L550" s="976" t="s">
        <v>360</v>
      </c>
      <c r="M550" s="976" t="s">
        <v>427</v>
      </c>
      <c r="N550" s="1"/>
      <c r="O550" s="976" t="s">
        <v>495</v>
      </c>
      <c r="P550" s="976" t="s">
        <v>528</v>
      </c>
      <c r="Q550" s="976" t="s">
        <v>544</v>
      </c>
      <c r="R550" s="976" t="s">
        <v>553</v>
      </c>
      <c r="S550" s="976" t="s">
        <v>574</v>
      </c>
      <c r="T550" s="976" t="s">
        <v>583</v>
      </c>
      <c r="U550" s="976" t="s">
        <v>667</v>
      </c>
      <c r="V550" s="976" t="s">
        <v>678</v>
      </c>
      <c r="W550" s="976" t="s">
        <v>727</v>
      </c>
      <c r="X550" s="976" t="s">
        <v>744</v>
      </c>
      <c r="Y550" s="976" t="s">
        <v>767</v>
      </c>
      <c r="Z550" s="976" t="s">
        <v>779</v>
      </c>
      <c r="AA550" s="976" t="s">
        <v>826</v>
      </c>
      <c r="AB550" s="976" t="s">
        <v>847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78.72</v>
      </c>
      <c r="D552" s="50">
        <f>IFERROR(Y51*1,"0")+IFERROR(Y52*1,"0")+IFERROR(Y53*1,"0")+IFERROR(Y54*1,"0")</f>
        <v>707.6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864.6</v>
      </c>
      <c r="F552" s="50">
        <f>IFERROR(Y88*1,"0")+IFERROR(Y89*1,"0")+IFERROR(Y90*1,"0")+IFERROR(Y91*1,"0")+IFERROR(Y95*1,"0")+IFERROR(Y96*1,"0")+IFERROR(Y97*1,"0")+IFERROR(Y98*1,"0")</f>
        <v>752.40000000000009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1507.5</v>
      </c>
      <c r="H552" s="50">
        <f>IFERROR(Y132*1,"0")+IFERROR(Y133*1,"0")+IFERROR(Y137*1,"0")+IFERROR(Y138*1,"0")+IFERROR(Y142*1,"0")+IFERROR(Y143*1,"0")</f>
        <v>180.96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349.28000000000003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458.56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2292.3000000000002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202.7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441.6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101.39999999999999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1607.6000000000001</v>
      </c>
      <c r="U552" s="50">
        <f>IFERROR(Y405*1,"0")+IFERROR(Y406*1,"0")+IFERROR(Y407*1,"0")</f>
        <v>1226.4000000000001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3958</v>
      </c>
      <c r="W552" s="50">
        <f>IFERROR(Y442*1,"0")+IFERROR(Y443*1,"0")+IFERROR(Y447*1,"0")+IFERROR(Y451*1,"0")+IFERROR(Y452*1,"0")+IFERROR(Y453*1,"0")</f>
        <v>204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1449.12</v>
      </c>
      <c r="AA552" s="50">
        <f>IFERROR(Y516*1,"0")+IFERROR(Y520*1,"0")+IFERROR(Y524*1,"0")+IFERROR(Y525*1,"0")+IFERROR(Y529*1,"0")+IFERROR(Y533*1,"0")+IFERROR(Y534*1,"0")</f>
        <v>1290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25,00"/>
        <filter val="1 340,00"/>
        <filter val="1,80"/>
        <filter val="10,00"/>
        <filter val="10,50"/>
        <filter val="100,00"/>
        <filter val="105,00"/>
        <filter val="11,11"/>
        <filter val="116,67"/>
        <filter val="118,52"/>
        <filter val="12,00"/>
        <filter val="12,80"/>
        <filter val="12,82"/>
        <filter val="120,00"/>
        <filter val="129,01"/>
        <filter val="13,89"/>
        <filter val="133,33"/>
        <filter val="14,00"/>
        <filter val="14,50"/>
        <filter val="140,00"/>
        <filter val="141,00"/>
        <filter val="143,37"/>
        <filter val="144,14"/>
        <filter val="150,00"/>
        <filter val="152,78"/>
        <filter val="17 507,30"/>
        <filter val="170,00"/>
        <filter val="173,00"/>
        <filter val="18 795,59"/>
        <filter val="18,75"/>
        <filter val="180,00"/>
        <filter val="183,33"/>
        <filter val="19 620,59"/>
        <filter val="198,15"/>
        <filter val="2,50"/>
        <filter val="200,00"/>
        <filter val="210,00"/>
        <filter val="214,00"/>
        <filter val="215,37"/>
        <filter val="240,00"/>
        <filter val="25,00"/>
        <filter val="255,00"/>
        <filter val="280,00"/>
        <filter val="290,00"/>
        <filter val="3 000,00"/>
        <filter val="3 210,00"/>
        <filter val="3 994,16"/>
        <filter val="30,00"/>
        <filter val="300,00"/>
        <filter val="306,00"/>
        <filter val="31,50"/>
        <filter val="315,00"/>
        <filter val="32,00"/>
        <filter val="33"/>
        <filter val="330,00"/>
        <filter val="344,60"/>
        <filter val="35,00"/>
        <filter val="36,00"/>
        <filter val="360,00"/>
        <filter val="37,59"/>
        <filter val="39,20"/>
        <filter val="40,00"/>
        <filter val="400,00"/>
        <filter val="403,40"/>
        <filter val="412,00"/>
        <filter val="415,00"/>
        <filter val="43,33"/>
        <filter val="44,80"/>
        <filter val="440,00"/>
        <filter val="45,00"/>
        <filter val="450,00"/>
        <filter val="467,82"/>
        <filter val="49,50"/>
        <filter val="5,60"/>
        <filter val="50,40"/>
        <filter val="500,00"/>
        <filter val="51,00"/>
        <filter val="525,00"/>
        <filter val="53,20"/>
        <filter val="53,89"/>
        <filter val="56,63"/>
        <filter val="583,33"/>
        <filter val="6,67"/>
        <filter val="60,00"/>
        <filter val="630,00"/>
        <filter val="650,00"/>
        <filter val="675,00"/>
        <filter val="7,00"/>
        <filter val="7,50"/>
        <filter val="70,00"/>
        <filter val="700,00"/>
        <filter val="705,00"/>
        <filter val="72,00"/>
        <filter val="730,00"/>
        <filter val="741,00"/>
        <filter val="75,00"/>
        <filter val="76,80"/>
        <filter val="8,33"/>
        <filter val="80,00"/>
        <filter val="800,00"/>
        <filter val="81,00"/>
        <filter val="81,67"/>
        <filter val="9,26"/>
        <filter val="9,44"/>
        <filter val="90,00"/>
        <filter val="96,30"/>
        <filter val="99,82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1" t="s">
        <v>852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854</v>
      </c>
      <c r="C6" s="51" t="s">
        <v>855</v>
      </c>
      <c r="D6" s="51" t="s">
        <v>856</v>
      </c>
      <c r="E6" s="51" t="s">
        <v>46</v>
      </c>
    </row>
    <row r="7" spans="2:8" x14ac:dyDescent="0.2">
      <c r="B7" s="51" t="s">
        <v>857</v>
      </c>
      <c r="C7" s="51" t="s">
        <v>858</v>
      </c>
      <c r="D7" s="51" t="s">
        <v>859</v>
      </c>
      <c r="E7" s="51" t="s">
        <v>46</v>
      </c>
    </row>
    <row r="9" spans="2:8" x14ac:dyDescent="0.2">
      <c r="B9" s="51" t="s">
        <v>860</v>
      </c>
      <c r="C9" s="51" t="s">
        <v>855</v>
      </c>
      <c r="D9" s="51" t="s">
        <v>46</v>
      </c>
      <c r="E9" s="51" t="s">
        <v>46</v>
      </c>
    </row>
    <row r="11" spans="2:8" x14ac:dyDescent="0.2">
      <c r="B11" s="51" t="s">
        <v>860</v>
      </c>
      <c r="C11" s="51" t="s">
        <v>858</v>
      </c>
      <c r="D11" s="51" t="s">
        <v>46</v>
      </c>
      <c r="E11" s="51" t="s">
        <v>46</v>
      </c>
    </row>
    <row r="13" spans="2:8" x14ac:dyDescent="0.2">
      <c r="B13" s="51" t="s">
        <v>861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