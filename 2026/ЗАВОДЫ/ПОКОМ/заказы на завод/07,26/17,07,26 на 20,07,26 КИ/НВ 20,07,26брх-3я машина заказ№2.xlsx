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6CB3984-57A1-4B0D-A884-16DB14DCA25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BP532" i="1" s="1"/>
  <c r="P532" i="1"/>
  <c r="X530" i="1"/>
  <c r="X529" i="1"/>
  <c r="BO528" i="1"/>
  <c r="BM528" i="1"/>
  <c r="Y528" i="1"/>
  <c r="P528" i="1"/>
  <c r="X526" i="1"/>
  <c r="X525" i="1"/>
  <c r="BO524" i="1"/>
  <c r="BM524" i="1"/>
  <c r="Y524" i="1"/>
  <c r="BN524" i="1" s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M506" i="1"/>
  <c r="Z506" i="1"/>
  <c r="Y506" i="1"/>
  <c r="BN506" i="1" s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BN498" i="1" s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M490" i="1"/>
  <c r="Y490" i="1"/>
  <c r="BN490" i="1" s="1"/>
  <c r="P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P486" i="1" s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5" i="1"/>
  <c r="Y474" i="1"/>
  <c r="X474" i="1"/>
  <c r="BO473" i="1"/>
  <c r="BM473" i="1"/>
  <c r="Z473" i="1"/>
  <c r="Z474" i="1" s="1"/>
  <c r="Y473" i="1"/>
  <c r="Y475" i="1" s="1"/>
  <c r="P473" i="1"/>
  <c r="X470" i="1"/>
  <c r="X469" i="1"/>
  <c r="BO468" i="1"/>
  <c r="BM468" i="1"/>
  <c r="Y468" i="1"/>
  <c r="P468" i="1"/>
  <c r="BO467" i="1"/>
  <c r="BM467" i="1"/>
  <c r="Y467" i="1"/>
  <c r="Y469" i="1" s="1"/>
  <c r="P467" i="1"/>
  <c r="X465" i="1"/>
  <c r="X464" i="1"/>
  <c r="BO463" i="1"/>
  <c r="BM463" i="1"/>
  <c r="Y463" i="1"/>
  <c r="P463" i="1"/>
  <c r="BP462" i="1"/>
  <c r="BO462" i="1"/>
  <c r="BM462" i="1"/>
  <c r="Y462" i="1"/>
  <c r="BN462" i="1" s="1"/>
  <c r="P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BO458" i="1"/>
  <c r="BM458" i="1"/>
  <c r="Y458" i="1"/>
  <c r="BP458" i="1" s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N450" i="1"/>
  <c r="BM450" i="1"/>
  <c r="Y450" i="1"/>
  <c r="BP450" i="1" s="1"/>
  <c r="P450" i="1"/>
  <c r="X448" i="1"/>
  <c r="X447" i="1"/>
  <c r="BO446" i="1"/>
  <c r="BM446" i="1"/>
  <c r="Y446" i="1"/>
  <c r="Y448" i="1" s="1"/>
  <c r="P446" i="1"/>
  <c r="X444" i="1"/>
  <c r="X443" i="1"/>
  <c r="BO442" i="1"/>
  <c r="BN442" i="1"/>
  <c r="BM442" i="1"/>
  <c r="Y442" i="1"/>
  <c r="BP442" i="1" s="1"/>
  <c r="P442" i="1"/>
  <c r="BO441" i="1"/>
  <c r="BM441" i="1"/>
  <c r="Y441" i="1"/>
  <c r="P441" i="1"/>
  <c r="X438" i="1"/>
  <c r="X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BN431" i="1" s="1"/>
  <c r="P431" i="1"/>
  <c r="BO430" i="1"/>
  <c r="BM430" i="1"/>
  <c r="Y430" i="1"/>
  <c r="P430" i="1"/>
  <c r="BO429" i="1"/>
  <c r="BM429" i="1"/>
  <c r="Y429" i="1"/>
  <c r="P429" i="1"/>
  <c r="X427" i="1"/>
  <c r="Y426" i="1"/>
  <c r="X426" i="1"/>
  <c r="BO425" i="1"/>
  <c r="BM425" i="1"/>
  <c r="Y425" i="1"/>
  <c r="BP425" i="1" s="1"/>
  <c r="P425" i="1"/>
  <c r="BO424" i="1"/>
  <c r="BM424" i="1"/>
  <c r="Y424" i="1"/>
  <c r="P424" i="1"/>
  <c r="BO423" i="1"/>
  <c r="BM423" i="1"/>
  <c r="Z423" i="1"/>
  <c r="Y423" i="1"/>
  <c r="P423" i="1"/>
  <c r="X421" i="1"/>
  <c r="X420" i="1"/>
  <c r="BO419" i="1"/>
  <c r="BM419" i="1"/>
  <c r="Z419" i="1"/>
  <c r="Y419" i="1"/>
  <c r="BP419" i="1" s="1"/>
  <c r="P419" i="1"/>
  <c r="BO418" i="1"/>
  <c r="BM418" i="1"/>
  <c r="Y418" i="1"/>
  <c r="P418" i="1"/>
  <c r="BO417" i="1"/>
  <c r="BM417" i="1"/>
  <c r="Y417" i="1"/>
  <c r="BN417" i="1" s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BP413" i="1" s="1"/>
  <c r="P413" i="1"/>
  <c r="BO412" i="1"/>
  <c r="BM412" i="1"/>
  <c r="Y412" i="1"/>
  <c r="P412" i="1"/>
  <c r="X408" i="1"/>
  <c r="X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BN398" i="1" s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X389" i="1"/>
  <c r="X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BO384" i="1"/>
  <c r="BN384" i="1"/>
  <c r="BM384" i="1"/>
  <c r="Z384" i="1"/>
  <c r="Y384" i="1"/>
  <c r="BP384" i="1" s="1"/>
  <c r="P384" i="1"/>
  <c r="X382" i="1"/>
  <c r="X381" i="1"/>
  <c r="BO380" i="1"/>
  <c r="BM380" i="1"/>
  <c r="Y380" i="1"/>
  <c r="BP380" i="1" s="1"/>
  <c r="P380" i="1"/>
  <c r="BO379" i="1"/>
  <c r="BM379" i="1"/>
  <c r="Y379" i="1"/>
  <c r="P379" i="1"/>
  <c r="BP378" i="1"/>
  <c r="BO378" i="1"/>
  <c r="BM378" i="1"/>
  <c r="Z378" i="1"/>
  <c r="Y378" i="1"/>
  <c r="BN378" i="1" s="1"/>
  <c r="P378" i="1"/>
  <c r="X376" i="1"/>
  <c r="X375" i="1"/>
  <c r="BO374" i="1"/>
  <c r="BN374" i="1"/>
  <c r="BM374" i="1"/>
  <c r="Y374" i="1"/>
  <c r="BP374" i="1" s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O366" i="1"/>
  <c r="BN366" i="1"/>
  <c r="BM366" i="1"/>
  <c r="Y366" i="1"/>
  <c r="BP366" i="1" s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M362" i="1"/>
  <c r="Z362" i="1"/>
  <c r="Y362" i="1"/>
  <c r="BN362" i="1" s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M356" i="1"/>
  <c r="Y356" i="1"/>
  <c r="BN356" i="1" s="1"/>
  <c r="P356" i="1"/>
  <c r="BO355" i="1"/>
  <c r="BM355" i="1"/>
  <c r="Y355" i="1"/>
  <c r="P355" i="1"/>
  <c r="BO354" i="1"/>
  <c r="BM354" i="1"/>
  <c r="Y354" i="1"/>
  <c r="BN354" i="1" s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O340" i="1"/>
  <c r="BN340" i="1"/>
  <c r="BM340" i="1"/>
  <c r="Y340" i="1"/>
  <c r="BP340" i="1" s="1"/>
  <c r="P340" i="1"/>
  <c r="X338" i="1"/>
  <c r="X337" i="1"/>
  <c r="BO336" i="1"/>
  <c r="BM336" i="1"/>
  <c r="Y336" i="1"/>
  <c r="P336" i="1"/>
  <c r="BO335" i="1"/>
  <c r="BM335" i="1"/>
  <c r="Y335" i="1"/>
  <c r="P335" i="1"/>
  <c r="BO334" i="1"/>
  <c r="BN334" i="1"/>
  <c r="BM334" i="1"/>
  <c r="Y334" i="1"/>
  <c r="BP334" i="1" s="1"/>
  <c r="P334" i="1"/>
  <c r="BO333" i="1"/>
  <c r="BM333" i="1"/>
  <c r="Y333" i="1"/>
  <c r="P333" i="1"/>
  <c r="BO332" i="1"/>
  <c r="BM332" i="1"/>
  <c r="Y332" i="1"/>
  <c r="BP332" i="1" s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N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BP318" i="1" s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O311" i="1"/>
  <c r="BN311" i="1"/>
  <c r="BM311" i="1"/>
  <c r="Y311" i="1"/>
  <c r="BP311" i="1" s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X307" i="1"/>
  <c r="X306" i="1"/>
  <c r="BO305" i="1"/>
  <c r="BM305" i="1"/>
  <c r="Y305" i="1"/>
  <c r="P305" i="1"/>
  <c r="X303" i="1"/>
  <c r="X302" i="1"/>
  <c r="BO301" i="1"/>
  <c r="BN301" i="1"/>
  <c r="BM301" i="1"/>
  <c r="Z301" i="1"/>
  <c r="Z302" i="1" s="1"/>
  <c r="Y301" i="1"/>
  <c r="Y303" i="1" s="1"/>
  <c r="P301" i="1"/>
  <c r="X299" i="1"/>
  <c r="X298" i="1"/>
  <c r="BO297" i="1"/>
  <c r="BN297" i="1"/>
  <c r="BM297" i="1"/>
  <c r="Y297" i="1"/>
  <c r="BP297" i="1" s="1"/>
  <c r="P297" i="1"/>
  <c r="BO296" i="1"/>
  <c r="BM296" i="1"/>
  <c r="Y296" i="1"/>
  <c r="P296" i="1"/>
  <c r="BO295" i="1"/>
  <c r="BM295" i="1"/>
  <c r="Y295" i="1"/>
  <c r="BP295" i="1" s="1"/>
  <c r="P295" i="1"/>
  <c r="BO294" i="1"/>
  <c r="BM294" i="1"/>
  <c r="Y294" i="1"/>
  <c r="P294" i="1"/>
  <c r="BO293" i="1"/>
  <c r="BM293" i="1"/>
  <c r="Z293" i="1"/>
  <c r="Y293" i="1"/>
  <c r="BN293" i="1" s="1"/>
  <c r="P293" i="1"/>
  <c r="BO292" i="1"/>
  <c r="BM292" i="1"/>
  <c r="Y292" i="1"/>
  <c r="P292" i="1"/>
  <c r="BO291" i="1"/>
  <c r="BM291" i="1"/>
  <c r="Y291" i="1"/>
  <c r="P291" i="1"/>
  <c r="X288" i="1"/>
  <c r="X287" i="1"/>
  <c r="BO286" i="1"/>
  <c r="BM286" i="1"/>
  <c r="Z286" i="1"/>
  <c r="Y286" i="1"/>
  <c r="BN286" i="1" s="1"/>
  <c r="P286" i="1"/>
  <c r="BO285" i="1"/>
  <c r="BM285" i="1"/>
  <c r="Y285" i="1"/>
  <c r="P285" i="1"/>
  <c r="X283" i="1"/>
  <c r="X282" i="1"/>
  <c r="BO281" i="1"/>
  <c r="BM281" i="1"/>
  <c r="Y281" i="1"/>
  <c r="P281" i="1"/>
  <c r="BO280" i="1"/>
  <c r="BN280" i="1"/>
  <c r="BM280" i="1"/>
  <c r="Y280" i="1"/>
  <c r="BP280" i="1" s="1"/>
  <c r="P280" i="1"/>
  <c r="BO279" i="1"/>
  <c r="BM279" i="1"/>
  <c r="Y279" i="1"/>
  <c r="P279" i="1"/>
  <c r="BO278" i="1"/>
  <c r="BM278" i="1"/>
  <c r="Y278" i="1"/>
  <c r="BN278" i="1" s="1"/>
  <c r="P278" i="1"/>
  <c r="BO277" i="1"/>
  <c r="BM277" i="1"/>
  <c r="Y277" i="1"/>
  <c r="P277" i="1"/>
  <c r="BO276" i="1"/>
  <c r="BM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Z272" i="1"/>
  <c r="Y272" i="1"/>
  <c r="BP272" i="1" s="1"/>
  <c r="P272" i="1"/>
  <c r="BO271" i="1"/>
  <c r="BM271" i="1"/>
  <c r="Y271" i="1"/>
  <c r="P271" i="1"/>
  <c r="BP270" i="1"/>
  <c r="BO270" i="1"/>
  <c r="BM270" i="1"/>
  <c r="Y270" i="1"/>
  <c r="BN270" i="1" s="1"/>
  <c r="P270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Z264" i="1"/>
  <c r="Y264" i="1"/>
  <c r="BN264" i="1" s="1"/>
  <c r="P264" i="1"/>
  <c r="BO263" i="1"/>
  <c r="BM263" i="1"/>
  <c r="Y263" i="1"/>
  <c r="P263" i="1"/>
  <c r="BO262" i="1"/>
  <c r="BM262" i="1"/>
  <c r="Y262" i="1"/>
  <c r="Z262" i="1" s="1"/>
  <c r="P262" i="1"/>
  <c r="BO261" i="1"/>
  <c r="BM261" i="1"/>
  <c r="Y261" i="1"/>
  <c r="P261" i="1"/>
  <c r="BO260" i="1"/>
  <c r="BM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Z250" i="1"/>
  <c r="Y250" i="1"/>
  <c r="BN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Z239" i="1"/>
  <c r="Y239" i="1"/>
  <c r="BN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N233" i="1" s="1"/>
  <c r="P233" i="1"/>
  <c r="BO232" i="1"/>
  <c r="BM232" i="1"/>
  <c r="Y232" i="1"/>
  <c r="P232" i="1"/>
  <c r="BO231" i="1"/>
  <c r="BM231" i="1"/>
  <c r="Y231" i="1"/>
  <c r="BN231" i="1" s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N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N221" i="1" s="1"/>
  <c r="P221" i="1"/>
  <c r="BO220" i="1"/>
  <c r="BM220" i="1"/>
  <c r="Y220" i="1"/>
  <c r="P220" i="1"/>
  <c r="BP219" i="1"/>
  <c r="BO219" i="1"/>
  <c r="BM219" i="1"/>
  <c r="Y219" i="1"/>
  <c r="BN219" i="1" s="1"/>
  <c r="P219" i="1"/>
  <c r="BO218" i="1"/>
  <c r="BM218" i="1"/>
  <c r="Y218" i="1"/>
  <c r="P218" i="1"/>
  <c r="BO217" i="1"/>
  <c r="BM217" i="1"/>
  <c r="Y217" i="1"/>
  <c r="BN217" i="1" s="1"/>
  <c r="P217" i="1"/>
  <c r="BO216" i="1"/>
  <c r="BM216" i="1"/>
  <c r="Y216" i="1"/>
  <c r="P216" i="1"/>
  <c r="BO215" i="1"/>
  <c r="BN215" i="1"/>
  <c r="BM215" i="1"/>
  <c r="Y215" i="1"/>
  <c r="BP215" i="1" s="1"/>
  <c r="P215" i="1"/>
  <c r="BO214" i="1"/>
  <c r="BM214" i="1"/>
  <c r="Y214" i="1"/>
  <c r="P214" i="1"/>
  <c r="BO213" i="1"/>
  <c r="BM213" i="1"/>
  <c r="Y213" i="1"/>
  <c r="P213" i="1"/>
  <c r="X211" i="1"/>
  <c r="X210" i="1"/>
  <c r="BO209" i="1"/>
  <c r="BM209" i="1"/>
  <c r="Y209" i="1"/>
  <c r="P209" i="1"/>
  <c r="X206" i="1"/>
  <c r="X205" i="1"/>
  <c r="BP204" i="1"/>
  <c r="BO204" i="1"/>
  <c r="BM204" i="1"/>
  <c r="Y204" i="1"/>
  <c r="BN204" i="1" s="1"/>
  <c r="P204" i="1"/>
  <c r="BO203" i="1"/>
  <c r="BM203" i="1"/>
  <c r="Y203" i="1"/>
  <c r="P203" i="1"/>
  <c r="BO202" i="1"/>
  <c r="BM202" i="1"/>
  <c r="Y202" i="1"/>
  <c r="BN202" i="1" s="1"/>
  <c r="P202" i="1"/>
  <c r="BO201" i="1"/>
  <c r="BM201" i="1"/>
  <c r="Y201" i="1"/>
  <c r="P201" i="1"/>
  <c r="BO200" i="1"/>
  <c r="BN200" i="1"/>
  <c r="BM200" i="1"/>
  <c r="Y200" i="1"/>
  <c r="BP200" i="1" s="1"/>
  <c r="P200" i="1"/>
  <c r="BO199" i="1"/>
  <c r="BM199" i="1"/>
  <c r="Y199" i="1"/>
  <c r="P199" i="1"/>
  <c r="BO198" i="1"/>
  <c r="BM198" i="1"/>
  <c r="Y198" i="1"/>
  <c r="BN198" i="1" s="1"/>
  <c r="P198" i="1"/>
  <c r="X194" i="1"/>
  <c r="X193" i="1"/>
  <c r="BO192" i="1"/>
  <c r="BM192" i="1"/>
  <c r="Y192" i="1"/>
  <c r="P192" i="1"/>
  <c r="X190" i="1"/>
  <c r="X189" i="1"/>
  <c r="BO188" i="1"/>
  <c r="BM188" i="1"/>
  <c r="Y188" i="1"/>
  <c r="BN188" i="1" s="1"/>
  <c r="P188" i="1"/>
  <c r="BO187" i="1"/>
  <c r="BM187" i="1"/>
  <c r="Y187" i="1"/>
  <c r="Y189" i="1" s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Z176" i="1"/>
  <c r="Y176" i="1"/>
  <c r="BN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Z168" i="1"/>
  <c r="Y168" i="1"/>
  <c r="BN168" i="1" s="1"/>
  <c r="P168" i="1"/>
  <c r="BO167" i="1"/>
  <c r="BM167" i="1"/>
  <c r="Y167" i="1"/>
  <c r="P167" i="1"/>
  <c r="BO166" i="1"/>
  <c r="BM166" i="1"/>
  <c r="Y166" i="1"/>
  <c r="P166" i="1"/>
  <c r="X164" i="1"/>
  <c r="X163" i="1"/>
  <c r="BP162" i="1"/>
  <c r="BO162" i="1"/>
  <c r="BM162" i="1"/>
  <c r="Y162" i="1"/>
  <c r="Y164" i="1" s="1"/>
  <c r="P162" i="1"/>
  <c r="X160" i="1"/>
  <c r="X159" i="1"/>
  <c r="BO158" i="1"/>
  <c r="BN158" i="1"/>
  <c r="BM158" i="1"/>
  <c r="Y158" i="1"/>
  <c r="P158" i="1"/>
  <c r="BO157" i="1"/>
  <c r="BM157" i="1"/>
  <c r="Y157" i="1"/>
  <c r="P157" i="1"/>
  <c r="BO156" i="1"/>
  <c r="BN156" i="1"/>
  <c r="BM156" i="1"/>
  <c r="Y156" i="1"/>
  <c r="Z156" i="1" s="1"/>
  <c r="P156" i="1"/>
  <c r="X153" i="1"/>
  <c r="X152" i="1"/>
  <c r="BO151" i="1"/>
  <c r="BM151" i="1"/>
  <c r="Y151" i="1"/>
  <c r="BN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X145" i="1"/>
  <c r="X144" i="1"/>
  <c r="BO143" i="1"/>
  <c r="BM143" i="1"/>
  <c r="Y143" i="1"/>
  <c r="P143" i="1"/>
  <c r="BO142" i="1"/>
  <c r="BN142" i="1"/>
  <c r="BM142" i="1"/>
  <c r="Y142" i="1"/>
  <c r="P142" i="1"/>
  <c r="X140" i="1"/>
  <c r="X139" i="1"/>
  <c r="BO138" i="1"/>
  <c r="BM138" i="1"/>
  <c r="Y138" i="1"/>
  <c r="BN138" i="1" s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N123" i="1" s="1"/>
  <c r="P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BP103" i="1" s="1"/>
  <c r="P103" i="1"/>
  <c r="X100" i="1"/>
  <c r="X99" i="1"/>
  <c r="BO98" i="1"/>
  <c r="BN98" i="1"/>
  <c r="BM98" i="1"/>
  <c r="Y98" i="1"/>
  <c r="BP98" i="1" s="1"/>
  <c r="P98" i="1"/>
  <c r="BO97" i="1"/>
  <c r="BM97" i="1"/>
  <c r="Y97" i="1"/>
  <c r="P97" i="1"/>
  <c r="BP96" i="1"/>
  <c r="BO96" i="1"/>
  <c r="BM96" i="1"/>
  <c r="Y96" i="1"/>
  <c r="BN96" i="1" s="1"/>
  <c r="P96" i="1"/>
  <c r="BO95" i="1"/>
  <c r="BM95" i="1"/>
  <c r="Y95" i="1"/>
  <c r="P95" i="1"/>
  <c r="X93" i="1"/>
  <c r="X92" i="1"/>
  <c r="BO91" i="1"/>
  <c r="BM91" i="1"/>
  <c r="Y91" i="1"/>
  <c r="P91" i="1"/>
  <c r="BO90" i="1"/>
  <c r="BM90" i="1"/>
  <c r="Y90" i="1"/>
  <c r="BP90" i="1" s="1"/>
  <c r="P90" i="1"/>
  <c r="BO89" i="1"/>
  <c r="BM89" i="1"/>
  <c r="Y89" i="1"/>
  <c r="P89" i="1"/>
  <c r="BP88" i="1"/>
  <c r="BO88" i="1"/>
  <c r="BM88" i="1"/>
  <c r="Z88" i="1"/>
  <c r="Y88" i="1"/>
  <c r="BN88" i="1" s="1"/>
  <c r="P88" i="1"/>
  <c r="X85" i="1"/>
  <c r="X84" i="1"/>
  <c r="BO83" i="1"/>
  <c r="BM83" i="1"/>
  <c r="Y83" i="1"/>
  <c r="BP83" i="1" s="1"/>
  <c r="P83" i="1"/>
  <c r="BO82" i="1"/>
  <c r="BM82" i="1"/>
  <c r="Y82" i="1"/>
  <c r="P82" i="1"/>
  <c r="X80" i="1"/>
  <c r="X79" i="1"/>
  <c r="BO78" i="1"/>
  <c r="BM78" i="1"/>
  <c r="Y78" i="1"/>
  <c r="P78" i="1"/>
  <c r="BP77" i="1"/>
  <c r="BO77" i="1"/>
  <c r="BM77" i="1"/>
  <c r="Y77" i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P66" i="1"/>
  <c r="BO65" i="1"/>
  <c r="BM65" i="1"/>
  <c r="Y65" i="1"/>
  <c r="BP65" i="1" s="1"/>
  <c r="P65" i="1"/>
  <c r="BO64" i="1"/>
  <c r="BM64" i="1"/>
  <c r="Y64" i="1"/>
  <c r="P64" i="1"/>
  <c r="BO63" i="1"/>
  <c r="BM63" i="1"/>
  <c r="Y63" i="1"/>
  <c r="BN63" i="1" s="1"/>
  <c r="P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BP59" i="1" s="1"/>
  <c r="P59" i="1"/>
  <c r="X56" i="1"/>
  <c r="X55" i="1"/>
  <c r="BO54" i="1"/>
  <c r="BM54" i="1"/>
  <c r="Y54" i="1"/>
  <c r="BP54" i="1" s="1"/>
  <c r="P54" i="1"/>
  <c r="BO53" i="1"/>
  <c r="BM53" i="1"/>
  <c r="Y53" i="1"/>
  <c r="P53" i="1"/>
  <c r="BO52" i="1"/>
  <c r="BN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P45" i="1"/>
  <c r="BO44" i="1"/>
  <c r="BM44" i="1"/>
  <c r="Y44" i="1"/>
  <c r="BP44" i="1" s="1"/>
  <c r="P44" i="1"/>
  <c r="BO43" i="1"/>
  <c r="BM43" i="1"/>
  <c r="Y43" i="1"/>
  <c r="P43" i="1"/>
  <c r="BO42" i="1"/>
  <c r="BN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O30" i="1"/>
  <c r="BM30" i="1"/>
  <c r="Z30" i="1"/>
  <c r="Y30" i="1"/>
  <c r="BP30" i="1" s="1"/>
  <c r="P30" i="1"/>
  <c r="BO29" i="1"/>
  <c r="BM29" i="1"/>
  <c r="Y29" i="1"/>
  <c r="P29" i="1"/>
  <c r="BP28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Z149" i="1" l="1"/>
  <c r="Z65" i="1"/>
  <c r="BP71" i="1"/>
  <c r="BN121" i="1"/>
  <c r="Z132" i="1"/>
  <c r="BP156" i="1"/>
  <c r="Y163" i="1"/>
  <c r="Z278" i="1"/>
  <c r="Z431" i="1"/>
  <c r="BN149" i="1"/>
  <c r="BN486" i="1"/>
  <c r="Z532" i="1"/>
  <c r="Z28" i="1"/>
  <c r="BN65" i="1"/>
  <c r="Z103" i="1"/>
  <c r="BN132" i="1"/>
  <c r="Z270" i="1"/>
  <c r="Z425" i="1"/>
  <c r="Z426" i="1" s="1"/>
  <c r="BP278" i="1"/>
  <c r="BP431" i="1"/>
  <c r="BN532" i="1"/>
  <c r="Y178" i="1"/>
  <c r="Z96" i="1"/>
  <c r="BN103" i="1"/>
  <c r="BN274" i="1"/>
  <c r="Z354" i="1"/>
  <c r="BN425" i="1"/>
  <c r="Z498" i="1"/>
  <c r="BN419" i="1"/>
  <c r="Z233" i="1"/>
  <c r="BP250" i="1"/>
  <c r="BP264" i="1"/>
  <c r="BP293" i="1"/>
  <c r="Z332" i="1"/>
  <c r="Z398" i="1"/>
  <c r="Y443" i="1"/>
  <c r="Y84" i="1"/>
  <c r="BP354" i="1"/>
  <c r="BP498" i="1"/>
  <c r="Z524" i="1"/>
  <c r="BN332" i="1"/>
  <c r="BP233" i="1"/>
  <c r="Z392" i="1"/>
  <c r="BP398" i="1"/>
  <c r="Z63" i="1"/>
  <c r="BN90" i="1"/>
  <c r="Z280" i="1"/>
  <c r="BP286" i="1"/>
  <c r="Z446" i="1"/>
  <c r="Z447" i="1" s="1"/>
  <c r="Z462" i="1"/>
  <c r="BP524" i="1"/>
  <c r="BN392" i="1"/>
  <c r="Y427" i="1"/>
  <c r="Z223" i="1"/>
  <c r="Z266" i="1"/>
  <c r="Z295" i="1"/>
  <c r="Z417" i="1"/>
  <c r="BP446" i="1"/>
  <c r="BN30" i="1"/>
  <c r="BN59" i="1"/>
  <c r="BN105" i="1"/>
  <c r="Z162" i="1"/>
  <c r="Z163" i="1" s="1"/>
  <c r="Z204" i="1"/>
  <c r="Z219" i="1"/>
  <c r="BN272" i="1"/>
  <c r="Z356" i="1"/>
  <c r="BN458" i="1"/>
  <c r="BN473" i="1"/>
  <c r="Y79" i="1"/>
  <c r="BN223" i="1"/>
  <c r="BN266" i="1"/>
  <c r="BN295" i="1"/>
  <c r="BP301" i="1"/>
  <c r="BN386" i="1"/>
  <c r="BP423" i="1"/>
  <c r="BP63" i="1"/>
  <c r="Z77" i="1"/>
  <c r="BN162" i="1"/>
  <c r="BP417" i="1"/>
  <c r="BP473" i="1"/>
  <c r="Z71" i="1"/>
  <c r="BN113" i="1"/>
  <c r="Z138" i="1"/>
  <c r="Y302" i="1"/>
  <c r="BN318" i="1"/>
  <c r="BN380" i="1"/>
  <c r="BN413" i="1"/>
  <c r="Z490" i="1"/>
  <c r="F10" i="1"/>
  <c r="BN44" i="1"/>
  <c r="BN54" i="1"/>
  <c r="BN61" i="1"/>
  <c r="BN83" i="1"/>
  <c r="BN107" i="1"/>
  <c r="BN115" i="1"/>
  <c r="BN127" i="1"/>
  <c r="Y128" i="1"/>
  <c r="BP138" i="1"/>
  <c r="BP142" i="1"/>
  <c r="Z142" i="1"/>
  <c r="BP158" i="1"/>
  <c r="Z158" i="1"/>
  <c r="BN166" i="1"/>
  <c r="BP168" i="1"/>
  <c r="BN182" i="1"/>
  <c r="Z200" i="1"/>
  <c r="BP239" i="1"/>
  <c r="BN291" i="1"/>
  <c r="BP291" i="1"/>
  <c r="Z291" i="1"/>
  <c r="BN452" i="1"/>
  <c r="BP452" i="1"/>
  <c r="Z452" i="1"/>
  <c r="Y530" i="1"/>
  <c r="Y529" i="1"/>
  <c r="BN528" i="1"/>
  <c r="BP528" i="1"/>
  <c r="Z528" i="1"/>
  <c r="Z529" i="1" s="1"/>
  <c r="BP123" i="1"/>
  <c r="BP172" i="1"/>
  <c r="Z172" i="1"/>
  <c r="BN174" i="1"/>
  <c r="BP176" i="1"/>
  <c r="Y211" i="1"/>
  <c r="Y210" i="1"/>
  <c r="BN209" i="1"/>
  <c r="BP209" i="1"/>
  <c r="Y227" i="1"/>
  <c r="BP213" i="1"/>
  <c r="Z213" i="1"/>
  <c r="BP217" i="1"/>
  <c r="BN276" i="1"/>
  <c r="BP276" i="1"/>
  <c r="Z276" i="1"/>
  <c r="BN327" i="1"/>
  <c r="BP327" i="1"/>
  <c r="Z327" i="1"/>
  <c r="BN429" i="1"/>
  <c r="BP429" i="1"/>
  <c r="Z429" i="1"/>
  <c r="Y437" i="1"/>
  <c r="BN435" i="1"/>
  <c r="BP435" i="1"/>
  <c r="Z435" i="1"/>
  <c r="BN504" i="1"/>
  <c r="BP504" i="1"/>
  <c r="Z504" i="1"/>
  <c r="F9" i="1"/>
  <c r="Z44" i="1"/>
  <c r="Z54" i="1"/>
  <c r="Z61" i="1"/>
  <c r="Z83" i="1"/>
  <c r="Z107" i="1"/>
  <c r="Z115" i="1"/>
  <c r="Z123" i="1"/>
  <c r="Z127" i="1"/>
  <c r="Z128" i="1" s="1"/>
  <c r="BP127" i="1"/>
  <c r="BP151" i="1"/>
  <c r="Z151" i="1"/>
  <c r="Z166" i="1"/>
  <c r="BP166" i="1"/>
  <c r="Z182" i="1"/>
  <c r="BP188" i="1"/>
  <c r="Z188" i="1"/>
  <c r="Y194" i="1"/>
  <c r="Y193" i="1"/>
  <c r="BN192" i="1"/>
  <c r="BP192" i="1"/>
  <c r="BP198" i="1"/>
  <c r="Z198" i="1"/>
  <c r="BP202" i="1"/>
  <c r="Z209" i="1"/>
  <c r="Z210" i="1" s="1"/>
  <c r="Z217" i="1"/>
  <c r="BP221" i="1"/>
  <c r="Z221" i="1"/>
  <c r="BP225" i="1"/>
  <c r="BP231" i="1"/>
  <c r="Y256" i="1"/>
  <c r="BN254" i="1"/>
  <c r="BP254" i="1"/>
  <c r="BP260" i="1"/>
  <c r="Z260" i="1"/>
  <c r="Y307" i="1"/>
  <c r="Y306" i="1"/>
  <c r="BN305" i="1"/>
  <c r="BP305" i="1"/>
  <c r="Z305" i="1"/>
  <c r="Z306" i="1" s="1"/>
  <c r="BN320" i="1"/>
  <c r="BP320" i="1"/>
  <c r="Z320" i="1"/>
  <c r="BN415" i="1"/>
  <c r="BP415" i="1"/>
  <c r="Z415" i="1"/>
  <c r="BN488" i="1"/>
  <c r="BP488" i="1"/>
  <c r="Z488" i="1"/>
  <c r="J9" i="1"/>
  <c r="Z42" i="1"/>
  <c r="Z52" i="1"/>
  <c r="Z59" i="1"/>
  <c r="BN77" i="1"/>
  <c r="Z90" i="1"/>
  <c r="Z98" i="1"/>
  <c r="Z105" i="1"/>
  <c r="Z113" i="1"/>
  <c r="Z121" i="1"/>
  <c r="BN172" i="1"/>
  <c r="Z174" i="1"/>
  <c r="Z192" i="1"/>
  <c r="Z193" i="1" s="1"/>
  <c r="Z202" i="1"/>
  <c r="BN213" i="1"/>
  <c r="Z215" i="1"/>
  <c r="Z225" i="1"/>
  <c r="Z231" i="1"/>
  <c r="Z254" i="1"/>
  <c r="BN262" i="1"/>
  <c r="BP262" i="1"/>
  <c r="BN336" i="1"/>
  <c r="BP336" i="1"/>
  <c r="Z336" i="1"/>
  <c r="BN405" i="1"/>
  <c r="BP405" i="1"/>
  <c r="Z405" i="1"/>
  <c r="BN460" i="1"/>
  <c r="BP460" i="1"/>
  <c r="Z460" i="1"/>
  <c r="BN468" i="1"/>
  <c r="BP468" i="1"/>
  <c r="Z468" i="1"/>
  <c r="BN478" i="1"/>
  <c r="BP478" i="1"/>
  <c r="Z478" i="1"/>
  <c r="Y329" i="1"/>
  <c r="H551" i="1"/>
  <c r="Z274" i="1"/>
  <c r="Z297" i="1"/>
  <c r="Z311" i="1"/>
  <c r="Z318" i="1"/>
  <c r="Z325" i="1"/>
  <c r="BP325" i="1"/>
  <c r="Z334" i="1"/>
  <c r="Z340" i="1"/>
  <c r="Z366" i="1"/>
  <c r="Z374" i="1"/>
  <c r="Z380" i="1"/>
  <c r="Y388" i="1"/>
  <c r="Z386" i="1"/>
  <c r="Z413" i="1"/>
  <c r="BN423" i="1"/>
  <c r="Z442" i="1"/>
  <c r="BN446" i="1"/>
  <c r="Y447" i="1"/>
  <c r="Z450" i="1"/>
  <c r="Z453" i="1" s="1"/>
  <c r="Z458" i="1"/>
  <c r="Z486" i="1"/>
  <c r="Y534" i="1"/>
  <c r="Y282" i="1"/>
  <c r="Y328" i="1"/>
  <c r="BP23" i="1"/>
  <c r="BN23" i="1"/>
  <c r="Z23" i="1"/>
  <c r="Z24" i="1" s="1"/>
  <c r="Y25" i="1"/>
  <c r="Y32" i="1"/>
  <c r="BP27" i="1"/>
  <c r="BN27" i="1"/>
  <c r="Z27" i="1"/>
  <c r="BP31" i="1"/>
  <c r="BN31" i="1"/>
  <c r="Z31" i="1"/>
  <c r="Y33" i="1"/>
  <c r="Y36" i="1"/>
  <c r="BP35" i="1"/>
  <c r="BN35" i="1"/>
  <c r="Z35" i="1"/>
  <c r="Z36" i="1" s="1"/>
  <c r="Y37" i="1"/>
  <c r="C551" i="1"/>
  <c r="Y46" i="1"/>
  <c r="BP41" i="1"/>
  <c r="BN41" i="1"/>
  <c r="Z41" i="1"/>
  <c r="BP45" i="1"/>
  <c r="BN45" i="1"/>
  <c r="Z45" i="1"/>
  <c r="Y47" i="1"/>
  <c r="Y56" i="1"/>
  <c r="BP51" i="1"/>
  <c r="BN51" i="1"/>
  <c r="Z51" i="1"/>
  <c r="Y55" i="1"/>
  <c r="BP60" i="1"/>
  <c r="BN60" i="1"/>
  <c r="Z60" i="1"/>
  <c r="BP64" i="1"/>
  <c r="BN64" i="1"/>
  <c r="Z64" i="1"/>
  <c r="BP72" i="1"/>
  <c r="BN72" i="1"/>
  <c r="Z72" i="1"/>
  <c r="BP89" i="1"/>
  <c r="BN89" i="1"/>
  <c r="Z89" i="1"/>
  <c r="BP97" i="1"/>
  <c r="BN97" i="1"/>
  <c r="Z97" i="1"/>
  <c r="BP106" i="1"/>
  <c r="BN106" i="1"/>
  <c r="Z106" i="1"/>
  <c r="BP114" i="1"/>
  <c r="BN114" i="1"/>
  <c r="Z114" i="1"/>
  <c r="BP122" i="1"/>
  <c r="BN122" i="1"/>
  <c r="Z122" i="1"/>
  <c r="BP143" i="1"/>
  <c r="BN143" i="1"/>
  <c r="Z143" i="1"/>
  <c r="Y145" i="1"/>
  <c r="I551" i="1"/>
  <c r="Y153" i="1"/>
  <c r="BP148" i="1"/>
  <c r="BN148" i="1"/>
  <c r="Z148" i="1"/>
  <c r="Y152" i="1"/>
  <c r="BP157" i="1"/>
  <c r="BN157" i="1"/>
  <c r="Z157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Z251" i="1" s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BP294" i="1"/>
  <c r="BN294" i="1"/>
  <c r="Z294" i="1"/>
  <c r="Y298" i="1"/>
  <c r="BP310" i="1"/>
  <c r="BN310" i="1"/>
  <c r="Z310" i="1"/>
  <c r="Z312" i="1" s="1"/>
  <c r="BP319" i="1"/>
  <c r="BN319" i="1"/>
  <c r="Z319" i="1"/>
  <c r="BP387" i="1"/>
  <c r="BN387" i="1"/>
  <c r="Z387" i="1"/>
  <c r="Y389" i="1"/>
  <c r="Y394" i="1"/>
  <c r="BP391" i="1"/>
  <c r="BN391" i="1"/>
  <c r="Z391" i="1"/>
  <c r="Y395" i="1"/>
  <c r="BP399" i="1"/>
  <c r="BN399" i="1"/>
  <c r="Z399" i="1"/>
  <c r="Y401" i="1"/>
  <c r="Y407" i="1"/>
  <c r="BP404" i="1"/>
  <c r="BN404" i="1"/>
  <c r="Z404" i="1"/>
  <c r="Y408" i="1"/>
  <c r="BP414" i="1"/>
  <c r="BN414" i="1"/>
  <c r="Z414" i="1"/>
  <c r="BP418" i="1"/>
  <c r="BN418" i="1"/>
  <c r="Z418" i="1"/>
  <c r="BP451" i="1"/>
  <c r="BN451" i="1"/>
  <c r="Z451" i="1"/>
  <c r="Y453" i="1"/>
  <c r="L551" i="1"/>
  <c r="H9" i="1"/>
  <c r="B551" i="1"/>
  <c r="Y24" i="1"/>
  <c r="X542" i="1"/>
  <c r="X545" i="1"/>
  <c r="BP29" i="1"/>
  <c r="BN29" i="1"/>
  <c r="Z29" i="1"/>
  <c r="BP43" i="1"/>
  <c r="BN43" i="1"/>
  <c r="Z43" i="1"/>
  <c r="BP53" i="1"/>
  <c r="BN53" i="1"/>
  <c r="Z53" i="1"/>
  <c r="BP62" i="1"/>
  <c r="BN62" i="1"/>
  <c r="Z62" i="1"/>
  <c r="BP66" i="1"/>
  <c r="BN66" i="1"/>
  <c r="Z66" i="1"/>
  <c r="Y68" i="1"/>
  <c r="Y75" i="1"/>
  <c r="BP70" i="1"/>
  <c r="BN70" i="1"/>
  <c r="Z70" i="1"/>
  <c r="Y74" i="1"/>
  <c r="BP78" i="1"/>
  <c r="BN78" i="1"/>
  <c r="Z78" i="1"/>
  <c r="Y80" i="1"/>
  <c r="Y85" i="1"/>
  <c r="BP82" i="1"/>
  <c r="BN82" i="1"/>
  <c r="Z82" i="1"/>
  <c r="Z84" i="1" s="1"/>
  <c r="BP91" i="1"/>
  <c r="BN91" i="1"/>
  <c r="Z91" i="1"/>
  <c r="Y93" i="1"/>
  <c r="Y100" i="1"/>
  <c r="BP95" i="1"/>
  <c r="BN95" i="1"/>
  <c r="Z95" i="1"/>
  <c r="Z99" i="1" s="1"/>
  <c r="Y99" i="1"/>
  <c r="BP104" i="1"/>
  <c r="BN104" i="1"/>
  <c r="Z104" i="1"/>
  <c r="BP108" i="1"/>
  <c r="BN108" i="1"/>
  <c r="Z108" i="1"/>
  <c r="Y110" i="1"/>
  <c r="Y117" i="1"/>
  <c r="BP112" i="1"/>
  <c r="BN112" i="1"/>
  <c r="Z112" i="1"/>
  <c r="BP116" i="1"/>
  <c r="BN116" i="1"/>
  <c r="Z116" i="1"/>
  <c r="Y118" i="1"/>
  <c r="Y125" i="1"/>
  <c r="BP120" i="1"/>
  <c r="BN120" i="1"/>
  <c r="Z120" i="1"/>
  <c r="Y124" i="1"/>
  <c r="BP133" i="1"/>
  <c r="BN133" i="1"/>
  <c r="Z133" i="1"/>
  <c r="Z134" i="1" s="1"/>
  <c r="Y135" i="1"/>
  <c r="Y140" i="1"/>
  <c r="BP137" i="1"/>
  <c r="BN137" i="1"/>
  <c r="Z137" i="1"/>
  <c r="Z139" i="1" s="1"/>
  <c r="Y144" i="1"/>
  <c r="BP150" i="1"/>
  <c r="BN150" i="1"/>
  <c r="Z150" i="1"/>
  <c r="Y159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Z205" i="1" s="1"/>
  <c r="Y205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Y25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Y287" i="1"/>
  <c r="BP292" i="1"/>
  <c r="BN292" i="1"/>
  <c r="Z292" i="1"/>
  <c r="BP296" i="1"/>
  <c r="BN296" i="1"/>
  <c r="Z296" i="1"/>
  <c r="Y313" i="1"/>
  <c r="Y312" i="1"/>
  <c r="BP317" i="1"/>
  <c r="BN317" i="1"/>
  <c r="Z317" i="1"/>
  <c r="BP333" i="1"/>
  <c r="BN333" i="1"/>
  <c r="Z333" i="1"/>
  <c r="Y337" i="1"/>
  <c r="BP341" i="1"/>
  <c r="BN341" i="1"/>
  <c r="Z341" i="1"/>
  <c r="Z342" i="1" s="1"/>
  <c r="Y343" i="1"/>
  <c r="S551" i="1"/>
  <c r="Y349" i="1"/>
  <c r="BP346" i="1"/>
  <c r="BN346" i="1"/>
  <c r="Z346" i="1"/>
  <c r="Y350" i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Z381" i="1" s="1"/>
  <c r="Y381" i="1"/>
  <c r="BP430" i="1"/>
  <c r="BN430" i="1"/>
  <c r="Z430" i="1"/>
  <c r="Y432" i="1"/>
  <c r="BP461" i="1"/>
  <c r="BN461" i="1"/>
  <c r="Z461" i="1"/>
  <c r="BP479" i="1"/>
  <c r="BN479" i="1"/>
  <c r="Z479" i="1"/>
  <c r="Y551" i="1"/>
  <c r="Y481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Y501" i="1"/>
  <c r="BP505" i="1"/>
  <c r="BN505" i="1"/>
  <c r="Z505" i="1"/>
  <c r="BP509" i="1"/>
  <c r="BN509" i="1"/>
  <c r="Z509" i="1"/>
  <c r="Y511" i="1"/>
  <c r="Y516" i="1"/>
  <c r="BP515" i="1"/>
  <c r="BN515" i="1"/>
  <c r="Z515" i="1"/>
  <c r="Z516" i="1" s="1"/>
  <c r="AA551" i="1"/>
  <c r="Y517" i="1"/>
  <c r="Y520" i="1"/>
  <c r="BP519" i="1"/>
  <c r="BN519" i="1"/>
  <c r="Z519" i="1"/>
  <c r="Z520" i="1" s="1"/>
  <c r="Y521" i="1"/>
  <c r="Y526" i="1"/>
  <c r="BP523" i="1"/>
  <c r="BN523" i="1"/>
  <c r="Z523" i="1"/>
  <c r="Y525" i="1"/>
  <c r="D551" i="1"/>
  <c r="U551" i="1"/>
  <c r="X543" i="1"/>
  <c r="X541" i="1"/>
  <c r="E551" i="1"/>
  <c r="Y67" i="1"/>
  <c r="F551" i="1"/>
  <c r="Y92" i="1"/>
  <c r="G551" i="1"/>
  <c r="Y109" i="1"/>
  <c r="Y134" i="1"/>
  <c r="J551" i="1"/>
  <c r="Y160" i="1"/>
  <c r="K551" i="1"/>
  <c r="Y206" i="1"/>
  <c r="O551" i="1"/>
  <c r="Y299" i="1"/>
  <c r="P551" i="1"/>
  <c r="Y322" i="1"/>
  <c r="Y321" i="1"/>
  <c r="BP326" i="1"/>
  <c r="BN326" i="1"/>
  <c r="Z326" i="1"/>
  <c r="BP335" i="1"/>
  <c r="BN335" i="1"/>
  <c r="Z335" i="1"/>
  <c r="Y342" i="1"/>
  <c r="BP348" i="1"/>
  <c r="BN348" i="1"/>
  <c r="Z348" i="1"/>
  <c r="T551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Z388" i="1" s="1"/>
  <c r="BP393" i="1"/>
  <c r="BN393" i="1"/>
  <c r="Z393" i="1"/>
  <c r="Y400" i="1"/>
  <c r="BP397" i="1"/>
  <c r="BN397" i="1"/>
  <c r="Z397" i="1"/>
  <c r="Z400" i="1" s="1"/>
  <c r="BP406" i="1"/>
  <c r="BN406" i="1"/>
  <c r="Z406" i="1"/>
  <c r="V551" i="1"/>
  <c r="Y421" i="1"/>
  <c r="BP412" i="1"/>
  <c r="BN412" i="1"/>
  <c r="Z412" i="1"/>
  <c r="BP416" i="1"/>
  <c r="BN416" i="1"/>
  <c r="Z416" i="1"/>
  <c r="Y420" i="1"/>
  <c r="BP424" i="1"/>
  <c r="BN424" i="1"/>
  <c r="Z424" i="1"/>
  <c r="Y433" i="1"/>
  <c r="BP436" i="1"/>
  <c r="BN436" i="1"/>
  <c r="Z436" i="1"/>
  <c r="Z437" i="1" s="1"/>
  <c r="Y438" i="1"/>
  <c r="W551" i="1"/>
  <c r="Y444" i="1"/>
  <c r="BP441" i="1"/>
  <c r="BN441" i="1"/>
  <c r="Z441" i="1"/>
  <c r="Z443" i="1" s="1"/>
  <c r="Y454" i="1"/>
  <c r="BP459" i="1"/>
  <c r="BN459" i="1"/>
  <c r="Z459" i="1"/>
  <c r="BP463" i="1"/>
  <c r="BN463" i="1"/>
  <c r="Z463" i="1"/>
  <c r="Y465" i="1"/>
  <c r="Y470" i="1"/>
  <c r="BP467" i="1"/>
  <c r="BN467" i="1"/>
  <c r="Z467" i="1"/>
  <c r="Z469" i="1" s="1"/>
  <c r="Q551" i="1"/>
  <c r="R551" i="1"/>
  <c r="Y338" i="1"/>
  <c r="X551" i="1"/>
  <c r="Y464" i="1"/>
  <c r="Y480" i="1"/>
  <c r="BP477" i="1"/>
  <c r="BN477" i="1"/>
  <c r="Z477" i="1"/>
  <c r="BP487" i="1"/>
  <c r="BN487" i="1"/>
  <c r="Z487" i="1"/>
  <c r="BP491" i="1"/>
  <c r="BN491" i="1"/>
  <c r="Z491" i="1"/>
  <c r="BP499" i="1"/>
  <c r="BN499" i="1"/>
  <c r="Z499" i="1"/>
  <c r="Y510" i="1"/>
  <c r="BP503" i="1"/>
  <c r="BN503" i="1"/>
  <c r="Z503" i="1"/>
  <c r="BP507" i="1"/>
  <c r="BN507" i="1"/>
  <c r="Z507" i="1"/>
  <c r="BP533" i="1"/>
  <c r="BN533" i="1"/>
  <c r="Z533" i="1"/>
  <c r="Z534" i="1" s="1"/>
  <c r="Y535" i="1"/>
  <c r="AB551" i="1"/>
  <c r="Y539" i="1"/>
  <c r="BP538" i="1"/>
  <c r="BN538" i="1"/>
  <c r="Z538" i="1"/>
  <c r="Z539" i="1" s="1"/>
  <c r="Y540" i="1"/>
  <c r="Z144" i="1" l="1"/>
  <c r="Z525" i="1"/>
  <c r="Z321" i="1"/>
  <c r="Z432" i="1"/>
  <c r="Z464" i="1"/>
  <c r="Z328" i="1"/>
  <c r="Z152" i="1"/>
  <c r="Z159" i="1"/>
  <c r="Z79" i="1"/>
  <c r="Z337" i="1"/>
  <c r="Z298" i="1"/>
  <c r="Z67" i="1"/>
  <c r="Z46" i="1"/>
  <c r="Y543" i="1"/>
  <c r="Y542" i="1"/>
  <c r="Z480" i="1"/>
  <c r="Z368" i="1"/>
  <c r="Z358" i="1"/>
  <c r="Z241" i="1"/>
  <c r="Z235" i="1"/>
  <c r="Z124" i="1"/>
  <c r="Z117" i="1"/>
  <c r="Z109" i="1"/>
  <c r="Z349" i="1"/>
  <c r="Z227" i="1"/>
  <c r="X544" i="1"/>
  <c r="Z92" i="1"/>
  <c r="Z494" i="1"/>
  <c r="Z282" i="1"/>
  <c r="Z407" i="1"/>
  <c r="Z55" i="1"/>
  <c r="Z32" i="1"/>
  <c r="Y541" i="1"/>
  <c r="Z510" i="1"/>
  <c r="Z420" i="1"/>
  <c r="Z500" i="1"/>
  <c r="Z375" i="1"/>
  <c r="Z267" i="1"/>
  <c r="Z178" i="1"/>
  <c r="Z74" i="1"/>
  <c r="Y545" i="1"/>
  <c r="Z394" i="1"/>
  <c r="Z184" i="1"/>
  <c r="Y544" i="1" l="1"/>
  <c r="Z546" i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<sst xmlns="http://schemas.openxmlformats.org/spreadsheetml/2006/main" count="2450" uniqueCount="890">
  <si>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</si>
  <si>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</si>
  <si>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</si>
  <si>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</si>
  <si>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</si>
  <si>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</si>
  <si>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</si>
  <si>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</si>
  <si>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</si>
  <si>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</si>
  <si>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</si>
  <si>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</si>
  <si>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</si>
  <si>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</si>
  <si>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</si>
  <si>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</si>
  <si>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</si>
  <si>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</si>
  <si>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</si>
  <si>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</si>
  <si>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</si>
  <si>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</si>
  <si>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</si>
  <si>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</si>
  <si>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</si>
  <si>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</si>
  <si>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</si>
  <si>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</si>
  <si>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</si>
  <si>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</si>
  <si>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</si>
  <si>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</si>
  <si>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</si>
  <si>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</si>
  <si>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</si>
  <si>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</si>
  <si>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</si>
  <si>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</si>
  <si>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</si>
  <si>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</si>
  <si>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</si>
  <si>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</si>
  <si>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</si>
  <si>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</si>
  <si>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</si>
  <si>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</si>
  <si>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</si>
  <si>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</si>
  <si>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</si>
  <si>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</si>
  <si>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</si>
  <si>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</si>
  <si>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</si>
  <si>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</si>
  <si>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</si>
  <si>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</si>
  <si>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</si>
  <si>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</si>
  <si>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</si>
  <si>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</si>
  <si>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</si>
  <si>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</si>
  <si>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</si>
  <si>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</si>
  <si>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</si>
  <si>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</si>
  <si>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</si>
  <si>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</si>
  <si>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</si>
  <si>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</si>
  <si>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</si>
  <si>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</si>
  <si>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</si>
  <si>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</si>
  <si>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</si>
  <si>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</si>
  <si>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</si>
  <si>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</si>
  <si>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</si>
  <si>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</si>
  <si>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</si>
  <si>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</si>
  <si>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</si>
  <si>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</si>
  <si>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</si>
  <si>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</si>
  <si>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</si>
  <si>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</si>
  <si>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</si>
  <si>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</si>
  <si>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</si>
  <si>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</si>
  <si>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</si>
  <si>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</si>
  <si>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</si>
  <si>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</si>
  <si>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</si>
  <si>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</si>
  <si>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</si>
  <si>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</si>
  <si>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</si>
  <si>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</si>
  <si>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</si>
  <si>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</si>
  <si>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</si>
  <si>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</si>
  <si>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</si>
  <si>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</si>
  <si>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</si>
  <si>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</si>
  <si>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</si>
  <si>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</si>
  <si>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</si>
  <si>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</si>
  <si>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</si>
  <si>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</si>
  <si>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</si>
  <si>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</si>
  <si>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</si>
  <si>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</si>
  <si>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</si>
  <si>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</si>
  <si>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</si>
  <si>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</si>
  <si>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</si>
  <si>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</si>
  <si>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</si>
  <si>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</si>
  <si>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</si>
  <si>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</si>
  <si>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</si>
  <si>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</si>
  <si>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</si>
  <si>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</si>
  <si>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</si>
  <si>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</si>
  <si>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</si>
  <si>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</si>
  <si>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</si>
  <si>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</si>
  <si>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</si>
  <si>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</si>
  <si>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</si>
  <si>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</si>
  <si>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</si>
  <si>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</si>
  <si>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</si>
  <si>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</si>
  <si>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</si>
  <si>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</si>
  <si>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</si>
  <si>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</si>
  <si>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</si>
  <si>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</si>
  <si>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</si>
  <si>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</si>
  <si>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</si>
  <si>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</si>
  <si>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</si>
  <si>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</si>
  <si>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</si>
  <si>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</si>
  <si>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</si>
  <si>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</si>
  <si>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</si>
  <si>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</si>
  <si>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</si>
  <si>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</si>
  <si>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</si>
  <si>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</si>
  <si>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</si>
  <si>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</si>
  <si>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</si>
  <si>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</si>
  <si>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</si>
  <si>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</si>
  <si>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</si>
  <si>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</si>
  <si>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</si>
  <si>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</si>
  <si>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</si>
  <si>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</si>
  <si>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</si>
  <si>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</si>
  <si>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</si>
  <si>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</si>
  <si>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</si>
  <si>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</si>
  <si>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</si>
  <si>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</si>
  <si>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</si>
  <si>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</si>
  <si>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</si>
  <si>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</si>
  <si>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</si>
  <si>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</si>
  <si>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</si>
  <si>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</si>
  <si>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</si>
  <si>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</si>
  <si>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</si>
  <si>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</si>
  <si>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</si>
  <si>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</si>
  <si>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</si>
  <si>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</si>
  <si>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</si>
  <si>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</si>
  <si>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</si>
  <si>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</si>
  <si>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</si>
  <si>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</si>
  <si>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</si>
  <si>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</si>
  <si>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</si>
  <si>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</si>
  <si>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</si>
  <si>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</si>
  <si>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</si>
  <si>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</si>
  <si>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</si>
  <si>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</si>
  <si>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</si>
  <si>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</si>
  <si>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</si>
  <si>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</si>
  <si>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</si>
  <si>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</si>
  <si>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</si>
  <si>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</si>
  <si>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</si>
  <si>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</si>
  <si>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</si>
  <si>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</si>
  <si>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</si>
  <si>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</si>
  <si>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</si>
  <si>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</si>
  <si>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</si>
  <si>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</si>
  <si>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</si>
  <si>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</si>
  <si>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</si>
  <si>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</si>
  <si>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</si>
  <si>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</si>
  <si>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</si>
  <si>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</si>
  <si>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</si>
  <si>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</si>
  <si>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</si>
  <si>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</si>
  <si>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</si>
  <si>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</si>
  <si>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</si>
  <si>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</si>
  <si>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</si>
  <si>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</si>
  <si>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</si>
  <si>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</si>
  <si>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</si>
  <si>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</si>
  <si>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</si>
  <si>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</si>
  <si>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</si>
  <si>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</si>
  <si>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</si>
  <si>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</si>
  <si>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</si>
  <si>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</si>
  <si>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</si>
  <si>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</si>
  <si>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</si>
  <si>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</si>
  <si>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</si>
  <si>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</si>
  <si>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</si>
  <si>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</si>
  <si>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</si>
  <si>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</si>
  <si>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</si>
  <si>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</si>
  <si>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</si>
  <si>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</si>
  <si>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</si>
  <si>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</si>
  <si>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</si>
  <si>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</si>
  <si>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</si>
  <si>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</si>
  <si>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</si>
  <si>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</si>
  <si>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</si>
  <si>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</si>
  <si>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</si>
  <si>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</si>
  <si>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</si>
  <si>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</si>
  <si>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</si>
  <si>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</si>
  <si>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</si>
  <si>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</si>
  <si>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</si>
  <si>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</si>
  <si>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</si>
  <si>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</si>
  <si>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</si>
  <si>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</si>
  <si>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</si>
  <si>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</si>
  <si>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</si>
  <si>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</si>
  <si>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</si>
  <si>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</si>
  <si>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</si>
  <si>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</si>
  <si>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</si>
  <si>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</si>
  <si>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</si>
  <si>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</si>
  <si>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</si>
  <si>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</si>
  <si>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</si>
  <si>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</si>
  <si>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</si>
  <si>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</si>
  <si>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</si>
  <si>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</si>
  <si>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</si>
  <si>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</si>
  <si>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</si>
  <si>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</si>
  <si>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</si>
  <si>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</si>
  <si>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</si>
  <si>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</si>
  <si>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</si>
  <si>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</si>
  <si>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</si>
  <si>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</si>
  <si>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</si>
  <si>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</si>
  <si>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</si>
  <si>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</si>
  <si>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</si>
  <si>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</si>
  <si>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</si>
  <si>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</si>
  <si>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</si>
  <si>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</si>
  <si>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</si>
  <si>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</si>
  <si>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</si>
  <si>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</si>
  <si>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</si>
  <si>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</si>
  <si>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</si>
  <si>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</si>
  <si>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</si>
  <si>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</si>
  <si>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</si>
  <si>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</si>
  <si>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</si>
  <si>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</si>
  <si>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</si>
  <si>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</si>
  <si>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</si>
  <si>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</si>
  <si>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</si>
  <si>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</si>
  <si>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</si>
  <si>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</si>
  <si>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</si>
  <si>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</si>
  <si>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</si>
  <si>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</si>
  <si>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</si>
  <si>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</si>
  <si>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</si>
  <si>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</si>
  <si>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</si>
  <si>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</si>
  <si>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</si>
  <si>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</si>
  <si>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</si>
  <si>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</si>
  <si>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</si>
  <si>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</si>
  <si>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</si>
  <si>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</si>
  <si>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</si>
  <si>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</si>
  <si>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</si>
  <si>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</si>
  <si>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</si>
  <si>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</si>
  <si>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</si>
  <si>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</si>
  <si>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</si>
  <si>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</si>
  <si>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</si>
  <si>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</si>
  <si>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</si>
  <si>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</si>
  <si>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</si>
  <si>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</si>
  <si>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</si>
  <si>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</si>
  <si>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</si>
  <si>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</si>
  <si>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</si>
  <si>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</si>
  <si>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</si>
  <si>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</si>
  <si>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</si>
  <si>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</si>
  <si>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</si>
  <si>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</si>
  <si>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</si>
  <si>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</si>
  <si>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</si>
  <si>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</si>
  <si>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</si>
  <si>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</si>
  <si>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</si>
  <si>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</si>
  <si>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</si>
  <si>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</si>
  <si>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</si>
  <si>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</si>
  <si>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</si>
  <si>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</si>
  <si>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</si>
  <si>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</si>
  <si>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</si>
  <si>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</si>
  <si>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</si>
  <si>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</si>
  <si>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</si>
  <si>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</si>
  <si>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</si>
  <si>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</si>
  <si>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</si>
  <si>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</si>
  <si>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</si>
  <si>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</si>
  <si>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</si>
  <si>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</si>
  <si>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</si>
  <si>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</si>
  <si>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</si>
  <si>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</si>
  <si>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</si>
  <si>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</si>
  <si>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</si>
  <si>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</si>
  <si>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</si>
  <si>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</si>
  <si>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</si>
  <si>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</si>
  <si>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</si>
  <si>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</si>
  <si>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</si>
  <si>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</si>
  <si>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</si>
  <si>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</si>
  <si>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</si>
  <si>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</si>
  <si>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</si>
  <si>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</si>
  <si>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</si>
  <si>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</si>
  <si>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</si>
  <si>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</si>
  <si>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</si>
  <si>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</si>
  <si>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</si>
  <si>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</si>
  <si>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</si>
  <si>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</si>
  <si>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</si>
  <si>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</si>
  <si>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</si>
  <si>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</si>
  <si>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</si>
  <si>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</si>
  <si>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</si>
  <si>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</si>
  <si>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</si>
  <si>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</si>
  <si>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</si>
  <si>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</si>
  <si>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</si>
  <si>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</si>
  <si>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</si>
  <si>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</si>
  <si>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</si>
  <si>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</si>
  <si>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</si>
  <si>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</si>
  <si>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</si>
  <si>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</si>
  <si>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</si>
  <si>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</si>
  <si>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</si>
  <si>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</si>
  <si>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</si>
  <si>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</si>
  <si>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</si>
  <si>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</si>
  <si>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</si>
  <si>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</si>
  <si>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</si>
  <si>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</si>
  <si>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</si>
  <si>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</si>
  <si>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</si>
  <si>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</si>
  <si>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</si>
  <si>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</si>
  <si>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</si>
  <si>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</si>
  <si>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</si>
  <si>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</si>
  <si>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</si>
  <si>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</si>
  <si>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</si>
  <si>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</si>
  <si>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</si>
  <si>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</si>
  <si>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</si>
  <si>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</si>
  <si>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</si>
  <si>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</si>
  <si>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</si>
  <si>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</si>
  <si>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</si>
  <si>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</si>
  <si>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</si>
  <si>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</si>
  <si>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</si>
  <si>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</si>
  <si>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</si>
  <si>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</si>
  <si>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</si>
  <si>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</si>
  <si>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</si>
  <si>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</si>
  <si>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</si>
  <si>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</si>
  <si>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</si>
  <si>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</si>
  <si>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</si>
  <si>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</si>
  <si>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</si>
  <si>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</si>
  <si>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</si>
  <si>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</si>
  <si>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</si>
  <si>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</si>
  <si>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</si>
  <si>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</si>
  <si>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</si>
  <si>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</si>
  <si>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</si>
  <si>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</si>
  <si>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</si>
  <si>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</si>
  <si>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</si>
  <si>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</si>
  <si>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</si>
  <si>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</si>
  <si>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</si>
  <si>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</si>
  <si>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</si>
  <si>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</si>
  <si>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</si>
  <si>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</si>
  <si>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</si>
  <si>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</si>
  <si>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</si>
  <si>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</si>
  <si>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</si>
  <si>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</si>
  <si>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</si>
  <si>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</si>
  <si>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</si>
  <si>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</si>
  <si>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</si>
  <si>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</si>
  <si>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</si>
  <si>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</si>
  <si>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</si>
  <si>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</si>
  <si>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</si>
  <si>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</si>
  <si>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</si>
  <si>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</si>
  <si>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</si>
  <si>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</si>
  <si>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</si>
  <si>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</si>
  <si>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</si>
  <si>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</si>
  <si>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</si>
  <si>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</si>
  <si>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</si>
  <si>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</si>
  <si>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</si>
  <si>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</si>
  <si>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</si>
  <si>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</si>
  <si>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</si>
  <si>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</si>
  <si>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</si>
  <si>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</si>
  <si>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</si>
  <si>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</si>
  <si>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</si>
  <si>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</si>
  <si>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</si>
  <si>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</si>
  <si>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</si>
  <si>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</si>
  <si>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</si>
  <si>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</si>
  <si>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</si>
  <si>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</si>
  <si>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</si>
  <si>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</si>
  <si>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</si>
  <si>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</si>
  <si>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</si>
  <si>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</si>
  <si>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</si>
  <si>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</si>
  <si>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</si>
  <si>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</si>
  <si>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</si>
  <si>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</si>
  <si>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</si>
  <si>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</si>
  <si>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</si>
  <si>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</si>
  <si>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</si>
  <si>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</si>
  <si>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</si>
  <si>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</si>
  <si>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</si>
  <si>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</si>
  <si>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</si>
  <si>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</si>
  <si>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</si>
  <si>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</si>
  <si>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</si>
  <si>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</si>
  <si>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</si>
  <si>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</si>
  <si>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</si>
  <si>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</si>
  <si>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</si>
  <si>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</si>
  <si>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</si>
  <si>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</si>
  <si>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</si>
  <si>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</si>
  <si>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</si>
  <si>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</si>
  <si>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</si>
  <si>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</si>
  <si>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</si>
  <si>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</si>
  <si>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</si>
  <si>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</si>
  <si>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</si>
  <si>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</si>
  <si>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</si>
  <si>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</si>
  <si>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</si>
  <si>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</si>
  <si>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</si>
  <si>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</si>
  <si>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</si>
  <si>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</si>
  <si>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</si>
  <si>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</si>
  <si>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</si>
  <si>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</si>
  <si>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</si>
  <si>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</si>
  <si>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</si>
  <si>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</si>
  <si>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</si>
  <si>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</si>
  <si>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</si>
  <si>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</si>
  <si>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</si>
  <si>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</si>
  <si>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</si>
  <si>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</si>
  <si>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</si>
  <si>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</si>
  <si>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</si>
  <si>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</si>
  <si>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</si>
  <si>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</si>
  <si>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</si>
  <si>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</si>
  <si>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</si>
  <si>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</si>
  <si>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</si>
  <si>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</si>
  <si>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</si>
  <si>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</si>
  <si>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</si>
  <si>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</si>
  <si>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</si>
  <si>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</si>
  <si>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</si>
  <si>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</si>
  <si>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</si>
  <si>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</si>
  <si>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</si>
  <si>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</si>
  <si>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</si>
  <si>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</si>
  <si>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</si>
  <si>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</si>
  <si>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</si>
  <si>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</si>
  <si>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</si>
  <si>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</si>
  <si>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</si>
  <si>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</si>
  <si>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</si>
  <si>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</si>
  <si>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</si>
  <si>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</si>
  <si>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</si>
  <si>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</si>
  <si>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</si>
  <si>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</si>
  <si>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</si>
  <si>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</si>
  <si>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</si>
  <si>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</si>
  <si>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</si>
  <si>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</si>
  <si>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</si>
  <si>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</si>
  <si>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</si>
  <si>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</si>
  <si>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</si>
  <si>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</si>
  <si>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</si>
  <si>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</si>
  <si>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</si>
  <si>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</si>
  <si>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</si>
  <si>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</si>
  <si>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</si>
  <si>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</si>
  <si>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</si>
  <si>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</si>
  <si>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</si>
  <si>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</si>
  <si>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</si>
  <si>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</si>
  <si>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</si>
  <si>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</si>
  <si>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</si>
  <si>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</si>
  <si>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</si>
  <si>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</si>
  <si>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</si>
  <si>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</si>
  <si>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</si>
  <si>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</si>
  <si>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</si>
  <si>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</si>
  <si>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</si>
  <si>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</si>
  <si>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</si>
  <si>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</si>
  <si>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</si>
  <si>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</si>
  <si>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</si>
  <si>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</si>
  <si>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</si>
  <si>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</si>
  <si>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</si>
  <si>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</si>
  <si>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</si>
  <si>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</si>
  <si>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</si>
  <si>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</si>
  <si>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</si>
  <si>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</si>
  <si>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</si>
  <si>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</si>
  <si>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</si>
  <si>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</si>
  <si>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</si>
  <si>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</si>
  <si>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</si>
  <si>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</si>
  <si>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</si>
  <si>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</si>
  <si>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</si>
  <si>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</si>
  <si>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</si>
  <si>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</si>
  <si>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</si>
  <si>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</si>
  <si>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</si>
  <si>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</si>
  <si>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</si>
  <si>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</si>
  <si>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</si>
  <si>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</si>
  <si>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</si>
  <si>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</si>
  <si>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</si>
  <si>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</si>
  <si>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</si>
  <si>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</si>
  <si>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</si>
  <si>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</si>
  <si>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</si>
  <si>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</si>
  <si>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</si>
  <si>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</si>
  <si>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</si>
  <si>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</si>
  <si>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</si>
  <si>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</si>
  <si>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</si>
  <si>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</si>
  <si>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</si>
  <si>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</si>
  <si>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</si>
  <si>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</si>
  <si>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</si>
  <si>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</si>
  <si>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</si>
  <si>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</si>
  <si>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</si>
  <si>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</si>
  <si>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</si>
  <si>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</si>
  <si>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</si>
  <si>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</si>
  <si>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</si>
  <si>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</si>
  <si>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</si>
  <si>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</si>
  <si>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</si>
  <si>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</si>
  <si>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</si>
  <si>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</si>
  <si>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</si>
  <si>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</si>
  <si>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</si>
  <si>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</si>
  <si>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</si>
  <si>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</si>
  <si>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</si>
  <si>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</si>
  <si>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</si>
  <si>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</si>
  <si>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</si>
  <si>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</si>
  <si>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</si>
  <si>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</si>
  <si>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</si>
  <si>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</si>
  <si>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</si>
  <si>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</si>
  <si>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</si>
  <si>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</si>
  <si>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</si>
  <si>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</si>
  <si>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</si>
  <si>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</si>
  <si>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</si>
  <si>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</si>
  <si>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</si>
  <si>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</si>
  <si>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</si>
  <si>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15 европалет,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</si>
</sst>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60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9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911" t="s">
        <v>0</v>
      </c>
      <c r="E1" s="654"/>
      <c r="F1" s="654"/>
      <c r="G1" s="12" t="s">
        <v>1</v>
      </c>
      <c r="H1" s="911" t="s">
        <v>2</v>
      </c>
      <c r="I1" s="654"/>
      <c r="J1" s="654"/>
      <c r="K1" s="654"/>
      <c r="L1" s="654"/>
      <c r="M1" s="654"/>
      <c r="N1" s="654"/>
      <c r="O1" s="654"/>
      <c r="P1" s="654"/>
      <c r="Q1" s="654"/>
      <c r="R1" s="928" t="s">
        <v>3</v>
      </c>
      <c r="S1" s="654"/>
      <c r="T1" s="65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9"/>
      <c r="Q3" s="629"/>
      <c r="R3" s="629"/>
      <c r="S3" s="629"/>
      <c r="T3" s="629"/>
      <c r="U3" s="629"/>
      <c r="V3" s="629"/>
      <c r="W3" s="629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865" t="s">
        <v>8</v>
      </c>
      <c r="B5" s="651"/>
      <c r="C5" s="652"/>
      <c r="D5" s="758"/>
      <c r="E5" s="760"/>
      <c r="F5" s="694" t="s">
        <v>9</v>
      </c>
      <c r="G5" s="652"/>
      <c r="H5" s="758" t="s">
        <v>889</v>
      </c>
      <c r="I5" s="759"/>
      <c r="J5" s="759"/>
      <c r="K5" s="759"/>
      <c r="L5" s="759"/>
      <c r="M5" s="760"/>
      <c r="N5" s="58"/>
      <c r="P5" s="24" t="s">
        <v>10</v>
      </c>
      <c r="Q5" s="672">
        <v>46223</v>
      </c>
      <c r="R5" s="673"/>
      <c r="T5" s="826" t="s">
        <v>11</v>
      </c>
      <c r="U5" s="827"/>
      <c r="V5" s="828" t="s">
        <v>12</v>
      </c>
      <c r="W5" s="673"/>
      <c r="AB5" s="51"/>
      <c r="AC5" s="51"/>
      <c r="AD5" s="51"/>
      <c r="AE5" s="51"/>
    </row>
    <row r="6" spans="1:32" s="609" customFormat="1" ht="24" customHeight="1" x14ac:dyDescent="0.2">
      <c r="A6" s="865" t="s">
        <v>13</v>
      </c>
      <c r="B6" s="651"/>
      <c r="C6" s="652"/>
      <c r="D6" s="763" t="s">
        <v>850</v>
      </c>
      <c r="E6" s="764"/>
      <c r="F6" s="764"/>
      <c r="G6" s="764"/>
      <c r="H6" s="764"/>
      <c r="I6" s="764"/>
      <c r="J6" s="764"/>
      <c r="K6" s="764"/>
      <c r="L6" s="764"/>
      <c r="M6" s="673"/>
      <c r="N6" s="59"/>
      <c r="P6" s="24" t="s">
        <v>14</v>
      </c>
      <c r="Q6" s="66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836" t="s">
        <v>15</v>
      </c>
      <c r="U6" s="827"/>
      <c r="V6" s="767" t="s">
        <v>16</v>
      </c>
      <c r="W6" s="768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932" t="str">
        <f>IFERROR(VLOOKUP(DeliveryAddress,Table,3,0),1)</f>
        <v>1</v>
      </c>
      <c r="E7" s="933"/>
      <c r="F7" s="933"/>
      <c r="G7" s="933"/>
      <c r="H7" s="933"/>
      <c r="I7" s="933"/>
      <c r="J7" s="933"/>
      <c r="K7" s="933"/>
      <c r="L7" s="933"/>
      <c r="M7" s="833"/>
      <c r="N7" s="60"/>
      <c r="P7" s="24"/>
      <c r="Q7" s="42"/>
      <c r="R7" s="42"/>
      <c r="T7" s="629"/>
      <c r="U7" s="827"/>
      <c r="V7" s="769"/>
      <c r="W7" s="770"/>
      <c r="AB7" s="51"/>
      <c r="AC7" s="51"/>
      <c r="AD7" s="51"/>
      <c r="AE7" s="51"/>
    </row>
    <row r="8" spans="1:32" s="609" customFormat="1" ht="25.5" customHeight="1" x14ac:dyDescent="0.2">
      <c r="A8" s="643" t="s">
        <v>17</v>
      </c>
      <c r="B8" s="641"/>
      <c r="C8" s="642"/>
      <c r="D8" s="940"/>
      <c r="E8" s="941"/>
      <c r="F8" s="941"/>
      <c r="G8" s="941"/>
      <c r="H8" s="941"/>
      <c r="I8" s="941"/>
      <c r="J8" s="941"/>
      <c r="K8" s="941"/>
      <c r="L8" s="941"/>
      <c r="M8" s="942"/>
      <c r="N8" s="61"/>
      <c r="P8" s="24" t="s">
        <v>18</v>
      </c>
      <c r="Q8" s="832">
        <v>0.45833333333333331</v>
      </c>
      <c r="R8" s="833"/>
      <c r="T8" s="629"/>
      <c r="U8" s="827"/>
      <c r="V8" s="769"/>
      <c r="W8" s="770"/>
      <c r="AB8" s="51"/>
      <c r="AC8" s="51"/>
      <c r="AD8" s="51"/>
      <c r="AE8" s="51"/>
    </row>
    <row r="9" spans="1:32" s="609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9"/>
      <c r="C9" s="629"/>
      <c r="D9" s="713"/>
      <c r="E9" s="714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9"/>
      <c r="H9" s="806" t="str">
        <f>IF(AND($A$9="Тип доверенности/получателя при получении в адресе перегруза:",$D$9="Разовая доверенность"),"Введите ФИО","")</f>
        <v/>
      </c>
      <c r="I9" s="714"/>
      <c r="J9" s="8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4"/>
      <c r="L9" s="714"/>
      <c r="M9" s="714"/>
      <c r="N9" s="607"/>
      <c r="P9" s="26" t="s">
        <v>19</v>
      </c>
      <c r="Q9" s="915"/>
      <c r="R9" s="698"/>
      <c r="T9" s="629"/>
      <c r="U9" s="827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9"/>
      <c r="C10" s="629"/>
      <c r="D10" s="713"/>
      <c r="E10" s="714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9"/>
      <c r="H10" s="780" t="str">
        <f>IFERROR(VLOOKUP($D$10,Proxy,2,FALSE),"")</f>
        <v/>
      </c>
      <c r="I10" s="629"/>
      <c r="J10" s="629"/>
      <c r="K10" s="629"/>
      <c r="L10" s="629"/>
      <c r="M10" s="629"/>
      <c r="N10" s="608"/>
      <c r="P10" s="26" t="s">
        <v>20</v>
      </c>
      <c r="Q10" s="837"/>
      <c r="R10" s="838"/>
      <c r="U10" s="24" t="s">
        <v>21</v>
      </c>
      <c r="V10" s="961" t="s">
        <v>22</v>
      </c>
      <c r="W10" s="768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8"/>
      <c r="R11" s="673"/>
      <c r="U11" s="24" t="s">
        <v>25</v>
      </c>
      <c r="V11" s="697" t="s">
        <v>26</v>
      </c>
      <c r="W11" s="698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76" t="s">
        <v>27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52"/>
      <c r="N12" s="62"/>
      <c r="P12" s="24" t="s">
        <v>28</v>
      </c>
      <c r="Q12" s="832"/>
      <c r="R12" s="833"/>
      <c r="S12" s="23"/>
      <c r="U12" s="24"/>
      <c r="V12" s="654"/>
      <c r="W12" s="629"/>
      <c r="AB12" s="51"/>
      <c r="AC12" s="51"/>
      <c r="AD12" s="51"/>
      <c r="AE12" s="51"/>
    </row>
    <row r="13" spans="1:32" s="609" customFormat="1" ht="23.25" customHeight="1" x14ac:dyDescent="0.2">
      <c r="A13" s="776" t="s">
        <v>29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52"/>
      <c r="N13" s="62"/>
      <c r="O13" s="26"/>
      <c r="P13" s="26" t="s">
        <v>30</v>
      </c>
      <c r="Q13" s="697"/>
      <c r="R13" s="6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76" t="s">
        <v>31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3" t="s">
        <v>32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52"/>
      <c r="N15" s="63"/>
      <c r="P15" s="846" t="s">
        <v>33</v>
      </c>
      <c r="Q15" s="654"/>
      <c r="R15" s="654"/>
      <c r="S15" s="654"/>
      <c r="T15" s="65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7"/>
      <c r="Q16" s="847"/>
      <c r="R16" s="847"/>
      <c r="S16" s="847"/>
      <c r="T16" s="84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1" t="s">
        <v>34</v>
      </c>
      <c r="B17" s="621" t="s">
        <v>35</v>
      </c>
      <c r="C17" s="870" t="s">
        <v>36</v>
      </c>
      <c r="D17" s="621" t="s">
        <v>37</v>
      </c>
      <c r="E17" s="622"/>
      <c r="F17" s="621" t="s">
        <v>38</v>
      </c>
      <c r="G17" s="621" t="s">
        <v>39</v>
      </c>
      <c r="H17" s="621" t="s">
        <v>40</v>
      </c>
      <c r="I17" s="621" t="s">
        <v>41</v>
      </c>
      <c r="J17" s="621" t="s">
        <v>42</v>
      </c>
      <c r="K17" s="621" t="s">
        <v>43</v>
      </c>
      <c r="L17" s="621" t="s">
        <v>44</v>
      </c>
      <c r="M17" s="621" t="s">
        <v>45</v>
      </c>
      <c r="N17" s="621" t="s">
        <v>46</v>
      </c>
      <c r="O17" s="621" t="s">
        <v>47</v>
      </c>
      <c r="P17" s="621" t="s">
        <v>48</v>
      </c>
      <c r="Q17" s="898"/>
      <c r="R17" s="898"/>
      <c r="S17" s="898"/>
      <c r="T17" s="622"/>
      <c r="U17" s="682" t="s">
        <v>49</v>
      </c>
      <c r="V17" s="652"/>
      <c r="W17" s="621" t="s">
        <v>50</v>
      </c>
      <c r="X17" s="621" t="s">
        <v>51</v>
      </c>
      <c r="Y17" s="660" t="s">
        <v>52</v>
      </c>
      <c r="Z17" s="637" t="s">
        <v>53</v>
      </c>
      <c r="AA17" s="688" t="s">
        <v>54</v>
      </c>
      <c r="AB17" s="688" t="s">
        <v>55</v>
      </c>
      <c r="AC17" s="688" t="s">
        <v>56</v>
      </c>
      <c r="AD17" s="688" t="s">
        <v>57</v>
      </c>
      <c r="AE17" s="689"/>
      <c r="AF17" s="690"/>
      <c r="AG17" s="66"/>
      <c r="BD17" s="65" t="s">
        <v>58</v>
      </c>
    </row>
    <row r="18" spans="1:68" ht="14.25" customHeight="1" x14ac:dyDescent="0.2">
      <c r="A18" s="634"/>
      <c r="B18" s="634"/>
      <c r="C18" s="634"/>
      <c r="D18" s="623"/>
      <c r="E18" s="624"/>
      <c r="F18" s="634"/>
      <c r="G18" s="634"/>
      <c r="H18" s="634"/>
      <c r="I18" s="634"/>
      <c r="J18" s="634"/>
      <c r="K18" s="634"/>
      <c r="L18" s="634"/>
      <c r="M18" s="634"/>
      <c r="N18" s="634"/>
      <c r="O18" s="634"/>
      <c r="P18" s="623"/>
      <c r="Q18" s="899"/>
      <c r="R18" s="899"/>
      <c r="S18" s="899"/>
      <c r="T18" s="624"/>
      <c r="U18" s="67" t="s">
        <v>59</v>
      </c>
      <c r="V18" s="67" t="s">
        <v>60</v>
      </c>
      <c r="W18" s="634"/>
      <c r="X18" s="634"/>
      <c r="Y18" s="661"/>
      <c r="Z18" s="638"/>
      <c r="AA18" s="757"/>
      <c r="AB18" s="757"/>
      <c r="AC18" s="757"/>
      <c r="AD18" s="691"/>
      <c r="AE18" s="692"/>
      <c r="AF18" s="693"/>
      <c r="AG18" s="66"/>
      <c r="BD18" s="65"/>
    </row>
    <row r="19" spans="1:68" ht="27.75" hidden="1" customHeight="1" x14ac:dyDescent="0.2">
      <c r="A19" s="723" t="s">
        <v>61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48"/>
      <c r="AB19" s="48"/>
      <c r="AC19" s="48"/>
    </row>
    <row r="20" spans="1:68" ht="16.5" hidden="1" customHeight="1" x14ac:dyDescent="0.25">
      <c r="A20" s="635" t="s">
        <v>61</v>
      </c>
      <c r="B20" s="629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29"/>
      <c r="O20" s="629"/>
      <c r="P20" s="629"/>
      <c r="Q20" s="629"/>
      <c r="R20" s="629"/>
      <c r="S20" s="629"/>
      <c r="T20" s="629"/>
      <c r="U20" s="629"/>
      <c r="V20" s="629"/>
      <c r="W20" s="629"/>
      <c r="X20" s="629"/>
      <c r="Y20" s="629"/>
      <c r="Z20" s="629"/>
      <c r="AA20" s="610"/>
      <c r="AB20" s="610"/>
      <c r="AC20" s="610"/>
    </row>
    <row r="21" spans="1:68" ht="14.25" hidden="1" customHeight="1" x14ac:dyDescent="0.25">
      <c r="A21" s="628" t="s">
        <v>62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11"/>
      <c r="AB21" s="611"/>
      <c r="AC21" s="61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63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6"/>
      <c r="R22" s="626"/>
      <c r="S22" s="626"/>
      <c r="T22" s="627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6"/>
      <c r="R23" s="626"/>
      <c r="S23" s="626"/>
      <c r="T23" s="627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2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3"/>
      <c r="P24" s="640" t="s">
        <v>72</v>
      </c>
      <c r="Q24" s="641"/>
      <c r="R24" s="641"/>
      <c r="S24" s="641"/>
      <c r="T24" s="641"/>
      <c r="U24" s="641"/>
      <c r="V24" s="64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3"/>
      <c r="P25" s="640" t="s">
        <v>72</v>
      </c>
      <c r="Q25" s="641"/>
      <c r="R25" s="641"/>
      <c r="S25" s="641"/>
      <c r="T25" s="641"/>
      <c r="U25" s="641"/>
      <c r="V25" s="64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74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11"/>
      <c r="AB26" s="611"/>
      <c r="AC26" s="61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79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6"/>
      <c r="R27" s="626"/>
      <c r="S27" s="626"/>
      <c r="T27" s="627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1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6"/>
      <c r="R28" s="626"/>
      <c r="S28" s="626"/>
      <c r="T28" s="627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6"/>
      <c r="R29" s="626"/>
      <c r="S29" s="626"/>
      <c r="T29" s="627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6"/>
      <c r="R30" s="626"/>
      <c r="S30" s="626"/>
      <c r="T30" s="627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4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6"/>
      <c r="R31" s="626"/>
      <c r="S31" s="626"/>
      <c r="T31" s="627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2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3"/>
      <c r="P32" s="640" t="s">
        <v>72</v>
      </c>
      <c r="Q32" s="641"/>
      <c r="R32" s="641"/>
      <c r="S32" s="641"/>
      <c r="T32" s="641"/>
      <c r="U32" s="641"/>
      <c r="V32" s="642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9"/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33"/>
      <c r="P33" s="640" t="s">
        <v>72</v>
      </c>
      <c r="Q33" s="641"/>
      <c r="R33" s="641"/>
      <c r="S33" s="641"/>
      <c r="T33" s="641"/>
      <c r="U33" s="641"/>
      <c r="V33" s="642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92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/>
      <c r="Q34" s="629"/>
      <c r="R34" s="629"/>
      <c r="S34" s="629"/>
      <c r="T34" s="629"/>
      <c r="U34" s="629"/>
      <c r="V34" s="629"/>
      <c r="W34" s="629"/>
      <c r="X34" s="629"/>
      <c r="Y34" s="629"/>
      <c r="Z34" s="629"/>
      <c r="AA34" s="611"/>
      <c r="AB34" s="611"/>
      <c r="AC34" s="611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77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6"/>
      <c r="R35" s="626"/>
      <c r="S35" s="626"/>
      <c r="T35" s="627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2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3"/>
      <c r="P36" s="640" t="s">
        <v>72</v>
      </c>
      <c r="Q36" s="641"/>
      <c r="R36" s="641"/>
      <c r="S36" s="641"/>
      <c r="T36" s="641"/>
      <c r="U36" s="641"/>
      <c r="V36" s="64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9"/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33"/>
      <c r="P37" s="640" t="s">
        <v>72</v>
      </c>
      <c r="Q37" s="641"/>
      <c r="R37" s="641"/>
      <c r="S37" s="641"/>
      <c r="T37" s="641"/>
      <c r="U37" s="641"/>
      <c r="V37" s="64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23" t="s">
        <v>98</v>
      </c>
      <c r="B38" s="724"/>
      <c r="C38" s="724"/>
      <c r="D38" s="724"/>
      <c r="E38" s="724"/>
      <c r="F38" s="724"/>
      <c r="G38" s="724"/>
      <c r="H38" s="724"/>
      <c r="I38" s="724"/>
      <c r="J38" s="724"/>
      <c r="K38" s="724"/>
      <c r="L38" s="724"/>
      <c r="M38" s="724"/>
      <c r="N38" s="724"/>
      <c r="O38" s="724"/>
      <c r="P38" s="724"/>
      <c r="Q38" s="724"/>
      <c r="R38" s="724"/>
      <c r="S38" s="724"/>
      <c r="T38" s="724"/>
      <c r="U38" s="724"/>
      <c r="V38" s="724"/>
      <c r="W38" s="724"/>
      <c r="X38" s="724"/>
      <c r="Y38" s="724"/>
      <c r="Z38" s="724"/>
      <c r="AA38" s="48"/>
      <c r="AB38" s="48"/>
      <c r="AC38" s="48"/>
    </row>
    <row r="39" spans="1:68" ht="16.5" hidden="1" customHeight="1" x14ac:dyDescent="0.25">
      <c r="A39" s="635" t="s">
        <v>99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10"/>
      <c r="AB39" s="610"/>
      <c r="AC39" s="610"/>
    </row>
    <row r="40" spans="1:68" ht="14.25" hidden="1" customHeight="1" x14ac:dyDescent="0.25">
      <c r="A40" s="628" t="s">
        <v>74</v>
      </c>
      <c r="B40" s="629"/>
      <c r="C40" s="629"/>
      <c r="D40" s="629"/>
      <c r="E40" s="629"/>
      <c r="F40" s="629"/>
      <c r="G40" s="629"/>
      <c r="H40" s="629"/>
      <c r="I40" s="629"/>
      <c r="J40" s="629"/>
      <c r="K40" s="629"/>
      <c r="L40" s="629"/>
      <c r="M40" s="629"/>
      <c r="N40" s="629"/>
      <c r="O40" s="629"/>
      <c r="P40" s="629"/>
      <c r="Q40" s="629"/>
      <c r="R40" s="629"/>
      <c r="S40" s="629"/>
      <c r="T40" s="629"/>
      <c r="U40" s="629"/>
      <c r="V40" s="629"/>
      <c r="W40" s="629"/>
      <c r="X40" s="629"/>
      <c r="Y40" s="629"/>
      <c r="Z40" s="629"/>
      <c r="AA40" s="611"/>
      <c r="AB40" s="611"/>
      <c r="AC40" s="611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6"/>
      <c r="R41" s="626"/>
      <c r="S41" s="626"/>
      <c r="T41" s="627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6"/>
      <c r="R42" s="626"/>
      <c r="S42" s="626"/>
      <c r="T42" s="627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4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6"/>
      <c r="R43" s="626"/>
      <c r="S43" s="626"/>
      <c r="T43" s="627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9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6"/>
      <c r="R44" s="626"/>
      <c r="S44" s="626"/>
      <c r="T44" s="627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78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6"/>
      <c r="R45" s="626"/>
      <c r="S45" s="626"/>
      <c r="T45" s="627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2"/>
      <c r="B46" s="629"/>
      <c r="C46" s="629"/>
      <c r="D46" s="629"/>
      <c r="E46" s="629"/>
      <c r="F46" s="629"/>
      <c r="G46" s="629"/>
      <c r="H46" s="629"/>
      <c r="I46" s="629"/>
      <c r="J46" s="629"/>
      <c r="K46" s="629"/>
      <c r="L46" s="629"/>
      <c r="M46" s="629"/>
      <c r="N46" s="629"/>
      <c r="O46" s="633"/>
      <c r="P46" s="640" t="s">
        <v>72</v>
      </c>
      <c r="Q46" s="641"/>
      <c r="R46" s="641"/>
      <c r="S46" s="641"/>
      <c r="T46" s="641"/>
      <c r="U46" s="641"/>
      <c r="V46" s="64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3"/>
      <c r="P47" s="640" t="s">
        <v>72</v>
      </c>
      <c r="Q47" s="641"/>
      <c r="R47" s="641"/>
      <c r="S47" s="641"/>
      <c r="T47" s="641"/>
      <c r="U47" s="641"/>
      <c r="V47" s="64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23" t="s">
        <v>115</v>
      </c>
      <c r="B48" s="724"/>
      <c r="C48" s="724"/>
      <c r="D48" s="724"/>
      <c r="E48" s="724"/>
      <c r="F48" s="724"/>
      <c r="G48" s="724"/>
      <c r="H48" s="724"/>
      <c r="I48" s="724"/>
      <c r="J48" s="724"/>
      <c r="K48" s="724"/>
      <c r="L48" s="724"/>
      <c r="M48" s="724"/>
      <c r="N48" s="724"/>
      <c r="O48" s="724"/>
      <c r="P48" s="724"/>
      <c r="Q48" s="724"/>
      <c r="R48" s="724"/>
      <c r="S48" s="724"/>
      <c r="T48" s="724"/>
      <c r="U48" s="724"/>
      <c r="V48" s="724"/>
      <c r="W48" s="724"/>
      <c r="X48" s="724"/>
      <c r="Y48" s="724"/>
      <c r="Z48" s="724"/>
      <c r="AA48" s="48"/>
      <c r="AB48" s="48"/>
      <c r="AC48" s="48"/>
    </row>
    <row r="49" spans="1:68" ht="16.5" hidden="1" customHeight="1" x14ac:dyDescent="0.25">
      <c r="A49" s="635" t="s">
        <v>116</v>
      </c>
      <c r="B49" s="629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29"/>
      <c r="Y49" s="629"/>
      <c r="Z49" s="629"/>
      <c r="AA49" s="610"/>
      <c r="AB49" s="610"/>
      <c r="AC49" s="610"/>
    </row>
    <row r="50" spans="1:68" ht="14.25" hidden="1" customHeight="1" x14ac:dyDescent="0.25">
      <c r="A50" s="628" t="s">
        <v>117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6"/>
      <c r="R51" s="626"/>
      <c r="S51" s="626"/>
      <c r="T51" s="627"/>
      <c r="U51" s="34"/>
      <c r="V51" s="34"/>
      <c r="W51" s="35" t="s">
        <v>67</v>
      </c>
      <c r="X51" s="615">
        <v>50</v>
      </c>
      <c r="Y51" s="616">
        <f>IFERROR(IF(X51="",0,CEILING((X51/$H51),1)*$H51),"")</f>
        <v>54</v>
      </c>
      <c r="Z51" s="36">
        <f>IFERROR(IF(Y51=0,"",ROUNDUP(Y51/H51,0)*0.01898),"")</f>
        <v>9.4899999999999998E-2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51.898148148148145</v>
      </c>
      <c r="BN51" s="64">
        <f>IFERROR(Y51*I51/H51,"0")</f>
        <v>56.05</v>
      </c>
      <c r="BO51" s="64">
        <f>IFERROR(1/J51*(X51/H51),"0")</f>
        <v>7.2337962962962965E-2</v>
      </c>
      <c r="BP51" s="64">
        <f>IFERROR(1/J51*(Y51/H51),"0")</f>
        <v>7.8125E-2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6"/>
      <c r="R52" s="626"/>
      <c r="S52" s="626"/>
      <c r="T52" s="627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8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6"/>
      <c r="R53" s="626"/>
      <c r="S53" s="626"/>
      <c r="T53" s="627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7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6"/>
      <c r="R54" s="626"/>
      <c r="S54" s="626"/>
      <c r="T54" s="627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32"/>
      <c r="B55" s="629"/>
      <c r="C55" s="629"/>
      <c r="D55" s="629"/>
      <c r="E55" s="629"/>
      <c r="F55" s="629"/>
      <c r="G55" s="629"/>
      <c r="H55" s="629"/>
      <c r="I55" s="629"/>
      <c r="J55" s="629"/>
      <c r="K55" s="629"/>
      <c r="L55" s="629"/>
      <c r="M55" s="629"/>
      <c r="N55" s="629"/>
      <c r="O55" s="633"/>
      <c r="P55" s="640" t="s">
        <v>72</v>
      </c>
      <c r="Q55" s="641"/>
      <c r="R55" s="641"/>
      <c r="S55" s="641"/>
      <c r="T55" s="641"/>
      <c r="U55" s="641"/>
      <c r="V55" s="642"/>
      <c r="W55" s="37" t="s">
        <v>73</v>
      </c>
      <c r="X55" s="617">
        <f>IFERROR(X51/H51,"0")+IFERROR(X52/H52,"0")+IFERROR(X53/H53,"0")+IFERROR(X54/H54,"0")</f>
        <v>4.6296296296296298</v>
      </c>
      <c r="Y55" s="617">
        <f>IFERROR(Y51/H51,"0")+IFERROR(Y52/H52,"0")+IFERROR(Y53/H53,"0")+IFERROR(Y54/H54,"0")</f>
        <v>5</v>
      </c>
      <c r="Z55" s="617">
        <f>IFERROR(IF(Z51="",0,Z51),"0")+IFERROR(IF(Z52="",0,Z52),"0")+IFERROR(IF(Z53="",0,Z53),"0")+IFERROR(IF(Z54="",0,Z54),"0")</f>
        <v>9.4899999999999998E-2</v>
      </c>
      <c r="AA55" s="618"/>
      <c r="AB55" s="618"/>
      <c r="AC55" s="618"/>
    </row>
    <row r="56" spans="1:68" x14ac:dyDescent="0.2">
      <c r="A56" s="629"/>
      <c r="B56" s="629"/>
      <c r="C56" s="629"/>
      <c r="D56" s="629"/>
      <c r="E56" s="629"/>
      <c r="F56" s="629"/>
      <c r="G56" s="629"/>
      <c r="H56" s="629"/>
      <c r="I56" s="629"/>
      <c r="J56" s="629"/>
      <c r="K56" s="629"/>
      <c r="L56" s="629"/>
      <c r="M56" s="629"/>
      <c r="N56" s="629"/>
      <c r="O56" s="633"/>
      <c r="P56" s="640" t="s">
        <v>72</v>
      </c>
      <c r="Q56" s="641"/>
      <c r="R56" s="641"/>
      <c r="S56" s="641"/>
      <c r="T56" s="641"/>
      <c r="U56" s="641"/>
      <c r="V56" s="642"/>
      <c r="W56" s="37" t="s">
        <v>67</v>
      </c>
      <c r="X56" s="617">
        <f>IFERROR(SUM(X51:X54),"0")</f>
        <v>50</v>
      </c>
      <c r="Y56" s="617">
        <f>IFERROR(SUM(Y51:Y54),"0")</f>
        <v>54</v>
      </c>
      <c r="Z56" s="37"/>
      <c r="AA56" s="618"/>
      <c r="AB56" s="618"/>
      <c r="AC56" s="618"/>
    </row>
    <row r="57" spans="1:68" ht="16.5" hidden="1" customHeight="1" x14ac:dyDescent="0.25">
      <c r="A57" s="635" t="s">
        <v>132</v>
      </c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29"/>
      <c r="Y57" s="629"/>
      <c r="Z57" s="629"/>
      <c r="AA57" s="610"/>
      <c r="AB57" s="610"/>
      <c r="AC57" s="610"/>
    </row>
    <row r="58" spans="1:68" ht="14.25" hidden="1" customHeight="1" x14ac:dyDescent="0.25">
      <c r="A58" s="628" t="s">
        <v>117</v>
      </c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29"/>
      <c r="P58" s="629"/>
      <c r="Q58" s="629"/>
      <c r="R58" s="629"/>
      <c r="S58" s="629"/>
      <c r="T58" s="629"/>
      <c r="U58" s="629"/>
      <c r="V58" s="629"/>
      <c r="W58" s="629"/>
      <c r="X58" s="629"/>
      <c r="Y58" s="629"/>
      <c r="Z58" s="629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7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6"/>
      <c r="R59" s="626"/>
      <c r="S59" s="626"/>
      <c r="T59" s="627"/>
      <c r="U59" s="34"/>
      <c r="V59" s="34"/>
      <c r="W59" s="35" t="s">
        <v>67</v>
      </c>
      <c r="X59" s="615">
        <v>7</v>
      </c>
      <c r="Y59" s="616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7.2562500000000005</v>
      </c>
      <c r="BN59" s="64">
        <f t="shared" ref="BN59:BN66" si="2">IFERROR(Y59*I59/H59,"0")</f>
        <v>11.61</v>
      </c>
      <c r="BO59" s="64">
        <f t="shared" ref="BO59:BO66" si="3">IFERROR(1/J59*(X59/H59),"0")</f>
        <v>9.765625E-3</v>
      </c>
      <c r="BP59" s="64">
        <f t="shared" ref="BP59:BP66" si="4">IFERROR(1/J59*(Y59/H59),"0")</f>
        <v>1.5625E-2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6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6"/>
      <c r="R60" s="626"/>
      <c r="S60" s="626"/>
      <c r="T60" s="627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7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6"/>
      <c r="R61" s="626"/>
      <c r="S61" s="626"/>
      <c r="T61" s="627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6"/>
      <c r="R62" s="626"/>
      <c r="S62" s="626"/>
      <c r="T62" s="627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9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6"/>
      <c r="R63" s="626"/>
      <c r="S63" s="626"/>
      <c r="T63" s="627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7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6"/>
      <c r="R64" s="626"/>
      <c r="S64" s="626"/>
      <c r="T64" s="627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6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6"/>
      <c r="R65" s="626"/>
      <c r="S65" s="626"/>
      <c r="T65" s="627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87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6"/>
      <c r="R66" s="626"/>
      <c r="S66" s="626"/>
      <c r="T66" s="627"/>
      <c r="U66" s="34"/>
      <c r="V66" s="34"/>
      <c r="W66" s="35" t="s">
        <v>67</v>
      </c>
      <c r="X66" s="615">
        <v>96</v>
      </c>
      <c r="Y66" s="616">
        <f t="shared" si="0"/>
        <v>99</v>
      </c>
      <c r="Z66" s="36">
        <f>IFERROR(IF(Y66=0,"",ROUNDUP(Y66/H66,0)*0.00902),"")</f>
        <v>0.19844000000000001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100.05333333333334</v>
      </c>
      <c r="BN66" s="64">
        <f t="shared" si="2"/>
        <v>103.18</v>
      </c>
      <c r="BO66" s="64">
        <f t="shared" si="3"/>
        <v>0.1616161616161616</v>
      </c>
      <c r="BP66" s="64">
        <f t="shared" si="4"/>
        <v>0.16666666666666669</v>
      </c>
    </row>
    <row r="67" spans="1:68" x14ac:dyDescent="0.2">
      <c r="A67" s="632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3"/>
      <c r="P67" s="640" t="s">
        <v>72</v>
      </c>
      <c r="Q67" s="641"/>
      <c r="R67" s="641"/>
      <c r="S67" s="641"/>
      <c r="T67" s="641"/>
      <c r="U67" s="641"/>
      <c r="V67" s="64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21.958333333333332</v>
      </c>
      <c r="Y67" s="617">
        <f>IFERROR(Y59/H59,"0")+IFERROR(Y60/H60,"0")+IFERROR(Y61/H61,"0")+IFERROR(Y62/H62,"0")+IFERROR(Y63/H63,"0")+IFERROR(Y64/H64,"0")+IFERROR(Y65/H65,"0")+IFERROR(Y66/H66,"0")</f>
        <v>23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0.21742</v>
      </c>
      <c r="AA67" s="618"/>
      <c r="AB67" s="618"/>
      <c r="AC67" s="618"/>
    </row>
    <row r="68" spans="1:68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3"/>
      <c r="P68" s="640" t="s">
        <v>72</v>
      </c>
      <c r="Q68" s="641"/>
      <c r="R68" s="641"/>
      <c r="S68" s="641"/>
      <c r="T68" s="641"/>
      <c r="U68" s="641"/>
      <c r="V68" s="642"/>
      <c r="W68" s="37" t="s">
        <v>67</v>
      </c>
      <c r="X68" s="617">
        <f>IFERROR(SUM(X59:X66),"0")</f>
        <v>103</v>
      </c>
      <c r="Y68" s="617">
        <f>IFERROR(SUM(Y59:Y66),"0")</f>
        <v>110.2</v>
      </c>
      <c r="Z68" s="37"/>
      <c r="AA68" s="618"/>
      <c r="AB68" s="618"/>
      <c r="AC68" s="618"/>
    </row>
    <row r="69" spans="1:68" ht="14.25" hidden="1" customHeight="1" x14ac:dyDescent="0.25">
      <c r="A69" s="628" t="s">
        <v>153</v>
      </c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29"/>
      <c r="P69" s="629"/>
      <c r="Q69" s="629"/>
      <c r="R69" s="629"/>
      <c r="S69" s="629"/>
      <c r="T69" s="629"/>
      <c r="U69" s="629"/>
      <c r="V69" s="629"/>
      <c r="W69" s="629"/>
      <c r="X69" s="629"/>
      <c r="Y69" s="629"/>
      <c r="Z69" s="629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68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6"/>
      <c r="R70" s="626"/>
      <c r="S70" s="626"/>
      <c r="T70" s="627"/>
      <c r="U70" s="34"/>
      <c r="V70" s="34"/>
      <c r="W70" s="35" t="s">
        <v>67</v>
      </c>
      <c r="X70" s="615">
        <v>64</v>
      </c>
      <c r="Y70" s="616">
        <f>IFERROR(IF(X70="",0,CEILING((X70/$H70),1)*$H70),"")</f>
        <v>64.800000000000011</v>
      </c>
      <c r="Z70" s="36">
        <f>IFERROR(IF(Y70=0,"",ROUNDUP(Y70/H70,0)*0.01898),"")</f>
        <v>0.11388000000000001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66.42962962962963</v>
      </c>
      <c r="BN70" s="64">
        <f>IFERROR(Y70*I70/H70,"0")</f>
        <v>67.260000000000005</v>
      </c>
      <c r="BO70" s="64">
        <f>IFERROR(1/J70*(X70/H70),"0")</f>
        <v>9.2592592592592587E-2</v>
      </c>
      <c r="BP70" s="64">
        <f>IFERROR(1/J70*(Y70/H70),"0")</f>
        <v>9.3750000000000014E-2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6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6"/>
      <c r="R71" s="626"/>
      <c r="S71" s="626"/>
      <c r="T71" s="627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68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6"/>
      <c r="R72" s="626"/>
      <c r="S72" s="626"/>
      <c r="T72" s="627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93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6"/>
      <c r="R73" s="626"/>
      <c r="S73" s="626"/>
      <c r="T73" s="627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2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3"/>
      <c r="P74" s="640" t="s">
        <v>72</v>
      </c>
      <c r="Q74" s="641"/>
      <c r="R74" s="641"/>
      <c r="S74" s="641"/>
      <c r="T74" s="641"/>
      <c r="U74" s="641"/>
      <c r="V74" s="642"/>
      <c r="W74" s="37" t="s">
        <v>73</v>
      </c>
      <c r="X74" s="617">
        <f>IFERROR(X70/H70,"0")+IFERROR(X71/H71,"0")+IFERROR(X72/H72,"0")+IFERROR(X73/H73,"0")</f>
        <v>5.9259259259259256</v>
      </c>
      <c r="Y74" s="617">
        <f>IFERROR(Y70/H70,"0")+IFERROR(Y71/H71,"0")+IFERROR(Y72/H72,"0")+IFERROR(Y73/H73,"0")</f>
        <v>6.0000000000000009</v>
      </c>
      <c r="Z74" s="617">
        <f>IFERROR(IF(Z70="",0,Z70),"0")+IFERROR(IF(Z71="",0,Z71),"0")+IFERROR(IF(Z72="",0,Z72),"0")+IFERROR(IF(Z73="",0,Z73),"0")</f>
        <v>0.11388000000000001</v>
      </c>
      <c r="AA74" s="618"/>
      <c r="AB74" s="618"/>
      <c r="AC74" s="618"/>
    </row>
    <row r="75" spans="1:68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3"/>
      <c r="P75" s="640" t="s">
        <v>72</v>
      </c>
      <c r="Q75" s="641"/>
      <c r="R75" s="641"/>
      <c r="S75" s="641"/>
      <c r="T75" s="641"/>
      <c r="U75" s="641"/>
      <c r="V75" s="642"/>
      <c r="W75" s="37" t="s">
        <v>67</v>
      </c>
      <c r="X75" s="617">
        <f>IFERROR(SUM(X70:X73),"0")</f>
        <v>64</v>
      </c>
      <c r="Y75" s="617">
        <f>IFERROR(SUM(Y70:Y73),"0")</f>
        <v>64.800000000000011</v>
      </c>
      <c r="Z75" s="37"/>
      <c r="AA75" s="618"/>
      <c r="AB75" s="618"/>
      <c r="AC75" s="618"/>
    </row>
    <row r="76" spans="1:68" ht="14.25" hidden="1" customHeight="1" x14ac:dyDescent="0.25">
      <c r="A76" s="628" t="s">
        <v>74</v>
      </c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29"/>
      <c r="P76" s="629"/>
      <c r="Q76" s="629"/>
      <c r="R76" s="629"/>
      <c r="S76" s="629"/>
      <c r="T76" s="629"/>
      <c r="U76" s="629"/>
      <c r="V76" s="629"/>
      <c r="W76" s="629"/>
      <c r="X76" s="629"/>
      <c r="Y76" s="629"/>
      <c r="Z76" s="629"/>
      <c r="AA76" s="611"/>
      <c r="AB76" s="611"/>
      <c r="AC76" s="611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6"/>
      <c r="R77" s="626"/>
      <c r="S77" s="626"/>
      <c r="T77" s="627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8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6"/>
      <c r="R78" s="626"/>
      <c r="S78" s="626"/>
      <c r="T78" s="627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2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3"/>
      <c r="P79" s="640" t="s">
        <v>72</v>
      </c>
      <c r="Q79" s="641"/>
      <c r="R79" s="641"/>
      <c r="S79" s="641"/>
      <c r="T79" s="641"/>
      <c r="U79" s="641"/>
      <c r="V79" s="64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3"/>
      <c r="P80" s="640" t="s">
        <v>72</v>
      </c>
      <c r="Q80" s="641"/>
      <c r="R80" s="641"/>
      <c r="S80" s="641"/>
      <c r="T80" s="641"/>
      <c r="U80" s="641"/>
      <c r="V80" s="64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170</v>
      </c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29"/>
      <c r="P81" s="629"/>
      <c r="Q81" s="629"/>
      <c r="R81" s="629"/>
      <c r="S81" s="629"/>
      <c r="T81" s="629"/>
      <c r="U81" s="629"/>
      <c r="V81" s="629"/>
      <c r="W81" s="629"/>
      <c r="X81" s="629"/>
      <c r="Y81" s="629"/>
      <c r="Z81" s="629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6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6"/>
      <c r="R82" s="626"/>
      <c r="S82" s="626"/>
      <c r="T82" s="627"/>
      <c r="U82" s="34"/>
      <c r="V82" s="34"/>
      <c r="W82" s="35" t="s">
        <v>67</v>
      </c>
      <c r="X82" s="615">
        <v>132</v>
      </c>
      <c r="Y82" s="616">
        <f>IFERROR(IF(X82="",0,CEILING((X82/$H82),1)*$H82),"")</f>
        <v>132.6</v>
      </c>
      <c r="Z82" s="36">
        <f>IFERROR(IF(Y82=0,"",ROUNDUP(Y82/H82,0)*0.01898),"")</f>
        <v>0.32266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138.93846153846155</v>
      </c>
      <c r="BN82" s="64">
        <f>IFERROR(Y82*I82/H82,"0")</f>
        <v>139.57</v>
      </c>
      <c r="BO82" s="64">
        <f>IFERROR(1/J82*(X82/H82),"0")</f>
        <v>0.26442307692307693</v>
      </c>
      <c r="BP82" s="64">
        <f>IFERROR(1/J82*(Y82/H82),"0")</f>
        <v>0.265625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6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6"/>
      <c r="R83" s="626"/>
      <c r="S83" s="626"/>
      <c r="T83" s="627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32"/>
      <c r="B84" s="629"/>
      <c r="C84" s="629"/>
      <c r="D84" s="629"/>
      <c r="E84" s="629"/>
      <c r="F84" s="629"/>
      <c r="G84" s="629"/>
      <c r="H84" s="629"/>
      <c r="I84" s="629"/>
      <c r="J84" s="629"/>
      <c r="K84" s="629"/>
      <c r="L84" s="629"/>
      <c r="M84" s="629"/>
      <c r="N84" s="629"/>
      <c r="O84" s="633"/>
      <c r="P84" s="640" t="s">
        <v>72</v>
      </c>
      <c r="Q84" s="641"/>
      <c r="R84" s="641"/>
      <c r="S84" s="641"/>
      <c r="T84" s="641"/>
      <c r="U84" s="641"/>
      <c r="V84" s="642"/>
      <c r="W84" s="37" t="s">
        <v>73</v>
      </c>
      <c r="X84" s="617">
        <f>IFERROR(X82/H82,"0")+IFERROR(X83/H83,"0")</f>
        <v>16.923076923076923</v>
      </c>
      <c r="Y84" s="617">
        <f>IFERROR(Y82/H82,"0")+IFERROR(Y83/H83,"0")</f>
        <v>17</v>
      </c>
      <c r="Z84" s="617">
        <f>IFERROR(IF(Z82="",0,Z82),"0")+IFERROR(IF(Z83="",0,Z83),"0")</f>
        <v>0.32266</v>
      </c>
      <c r="AA84" s="618"/>
      <c r="AB84" s="618"/>
      <c r="AC84" s="618"/>
    </row>
    <row r="85" spans="1:68" x14ac:dyDescent="0.2">
      <c r="A85" s="629"/>
      <c r="B85" s="629"/>
      <c r="C85" s="629"/>
      <c r="D85" s="629"/>
      <c r="E85" s="629"/>
      <c r="F85" s="629"/>
      <c r="G85" s="629"/>
      <c r="H85" s="629"/>
      <c r="I85" s="629"/>
      <c r="J85" s="629"/>
      <c r="K85" s="629"/>
      <c r="L85" s="629"/>
      <c r="M85" s="629"/>
      <c r="N85" s="629"/>
      <c r="O85" s="633"/>
      <c r="P85" s="640" t="s">
        <v>72</v>
      </c>
      <c r="Q85" s="641"/>
      <c r="R85" s="641"/>
      <c r="S85" s="641"/>
      <c r="T85" s="641"/>
      <c r="U85" s="641"/>
      <c r="V85" s="642"/>
      <c r="W85" s="37" t="s">
        <v>67</v>
      </c>
      <c r="X85" s="617">
        <f>IFERROR(SUM(X82:X83),"0")</f>
        <v>132</v>
      </c>
      <c r="Y85" s="617">
        <f>IFERROR(SUM(Y82:Y83),"0")</f>
        <v>132.6</v>
      </c>
      <c r="Z85" s="37"/>
      <c r="AA85" s="618"/>
      <c r="AB85" s="618"/>
      <c r="AC85" s="618"/>
    </row>
    <row r="86" spans="1:68" ht="16.5" hidden="1" customHeight="1" x14ac:dyDescent="0.25">
      <c r="A86" s="635" t="s">
        <v>177</v>
      </c>
      <c r="B86" s="629"/>
      <c r="C86" s="629"/>
      <c r="D86" s="629"/>
      <c r="E86" s="629"/>
      <c r="F86" s="629"/>
      <c r="G86" s="629"/>
      <c r="H86" s="629"/>
      <c r="I86" s="629"/>
      <c r="J86" s="629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10"/>
      <c r="AB86" s="610"/>
      <c r="AC86" s="610"/>
    </row>
    <row r="87" spans="1:68" ht="14.25" hidden="1" customHeight="1" x14ac:dyDescent="0.25">
      <c r="A87" s="628" t="s">
        <v>117</v>
      </c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11"/>
      <c r="AB87" s="611"/>
      <c r="AC87" s="611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2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6"/>
      <c r="R88" s="626"/>
      <c r="S88" s="626"/>
      <c r="T88" s="627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6"/>
      <c r="R89" s="626"/>
      <c r="S89" s="626"/>
      <c r="T89" s="627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7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6"/>
      <c r="R90" s="626"/>
      <c r="S90" s="626"/>
      <c r="T90" s="627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79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6"/>
      <c r="R91" s="626"/>
      <c r="S91" s="626"/>
      <c r="T91" s="627"/>
      <c r="U91" s="34"/>
      <c r="V91" s="34"/>
      <c r="W91" s="35" t="s">
        <v>67</v>
      </c>
      <c r="X91" s="615">
        <v>39</v>
      </c>
      <c r="Y91" s="616">
        <f>IFERROR(IF(X91="",0,CEILING((X91/$H91),1)*$H91),"")</f>
        <v>40.5</v>
      </c>
      <c r="Z91" s="36">
        <f>IFERROR(IF(Y91=0,"",ROUNDUP(Y91/H91,0)*0.00902),"")</f>
        <v>8.1180000000000002E-2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40.646666666666675</v>
      </c>
      <c r="BN91" s="64">
        <f>IFERROR(Y91*I91/H91,"0")</f>
        <v>42.210000000000008</v>
      </c>
      <c r="BO91" s="64">
        <f>IFERROR(1/J91*(X91/H91),"0")</f>
        <v>6.5656565656565649E-2</v>
      </c>
      <c r="BP91" s="64">
        <f>IFERROR(1/J91*(Y91/H91),"0")</f>
        <v>6.8181818181818177E-2</v>
      </c>
    </row>
    <row r="92" spans="1:68" x14ac:dyDescent="0.2">
      <c r="A92" s="632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33"/>
      <c r="P92" s="640" t="s">
        <v>72</v>
      </c>
      <c r="Q92" s="641"/>
      <c r="R92" s="641"/>
      <c r="S92" s="641"/>
      <c r="T92" s="641"/>
      <c r="U92" s="641"/>
      <c r="V92" s="642"/>
      <c r="W92" s="37" t="s">
        <v>73</v>
      </c>
      <c r="X92" s="617">
        <f>IFERROR(X88/H88,"0")+IFERROR(X89/H89,"0")+IFERROR(X90/H90,"0")+IFERROR(X91/H91,"0")</f>
        <v>8.6666666666666661</v>
      </c>
      <c r="Y92" s="617">
        <f>IFERROR(Y88/H88,"0")+IFERROR(Y89/H89,"0")+IFERROR(Y90/H90,"0")+IFERROR(Y91/H91,"0")</f>
        <v>9</v>
      </c>
      <c r="Z92" s="617">
        <f>IFERROR(IF(Z88="",0,Z88),"0")+IFERROR(IF(Z89="",0,Z89),"0")+IFERROR(IF(Z90="",0,Z90),"0")+IFERROR(IF(Z91="",0,Z91),"0")</f>
        <v>8.1180000000000002E-2</v>
      </c>
      <c r="AA92" s="618"/>
      <c r="AB92" s="618"/>
      <c r="AC92" s="618"/>
    </row>
    <row r="93" spans="1:68" x14ac:dyDescent="0.2">
      <c r="A93" s="629"/>
      <c r="B93" s="629"/>
      <c r="C93" s="629"/>
      <c r="D93" s="629"/>
      <c r="E93" s="629"/>
      <c r="F93" s="629"/>
      <c r="G93" s="629"/>
      <c r="H93" s="629"/>
      <c r="I93" s="629"/>
      <c r="J93" s="629"/>
      <c r="K93" s="629"/>
      <c r="L93" s="629"/>
      <c r="M93" s="629"/>
      <c r="N93" s="629"/>
      <c r="O93" s="633"/>
      <c r="P93" s="640" t="s">
        <v>72</v>
      </c>
      <c r="Q93" s="641"/>
      <c r="R93" s="641"/>
      <c r="S93" s="641"/>
      <c r="T93" s="641"/>
      <c r="U93" s="641"/>
      <c r="V93" s="642"/>
      <c r="W93" s="37" t="s">
        <v>67</v>
      </c>
      <c r="X93" s="617">
        <f>IFERROR(SUM(X88:X91),"0")</f>
        <v>39</v>
      </c>
      <c r="Y93" s="617">
        <f>IFERROR(SUM(Y88:Y91),"0")</f>
        <v>40.5</v>
      </c>
      <c r="Z93" s="37"/>
      <c r="AA93" s="618"/>
      <c r="AB93" s="618"/>
      <c r="AC93" s="618"/>
    </row>
    <row r="94" spans="1:68" ht="14.25" hidden="1" customHeight="1" x14ac:dyDescent="0.25">
      <c r="A94" s="628" t="s">
        <v>74</v>
      </c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6"/>
      <c r="R95" s="626"/>
      <c r="S95" s="626"/>
      <c r="T95" s="627"/>
      <c r="U95" s="34"/>
      <c r="V95" s="34"/>
      <c r="W95" s="35" t="s">
        <v>67</v>
      </c>
      <c r="X95" s="615">
        <v>581</v>
      </c>
      <c r="Y95" s="616">
        <f>IFERROR(IF(X95="",0,CEILING((X95/$H95),1)*$H95),"")</f>
        <v>583.19999999999993</v>
      </c>
      <c r="Z95" s="36">
        <f>IFERROR(IF(Y95=0,"",ROUNDUP(Y95/H95,0)*0.01898),"")</f>
        <v>1.36656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616.43382716049382</v>
      </c>
      <c r="BN95" s="64">
        <f>IFERROR(Y95*I95/H95,"0")</f>
        <v>618.76799999999992</v>
      </c>
      <c r="BO95" s="64">
        <f>IFERROR(1/J95*(X95/H95),"0")</f>
        <v>1.1207561728395061</v>
      </c>
      <c r="BP95" s="64">
        <f>IFERROR(1/J95*(Y95/H95),"0")</f>
        <v>1.125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6"/>
      <c r="R96" s="626"/>
      <c r="S96" s="626"/>
      <c r="T96" s="627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91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6"/>
      <c r="R97" s="626"/>
      <c r="S97" s="626"/>
      <c r="T97" s="627"/>
      <c r="U97" s="34"/>
      <c r="V97" s="34"/>
      <c r="W97" s="35" t="s">
        <v>67</v>
      </c>
      <c r="X97" s="615">
        <v>116</v>
      </c>
      <c r="Y97" s="616">
        <f>IFERROR(IF(X97="",0,CEILING((X97/$H97),1)*$H97),"")</f>
        <v>116.10000000000001</v>
      </c>
      <c r="Z97" s="36">
        <f>IFERROR(IF(Y97=0,"",ROUNDUP(Y97/H97,0)*0.00651),"")</f>
        <v>0.27993000000000001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126.82666666666667</v>
      </c>
      <c r="BN97" s="64">
        <f>IFERROR(Y97*I97/H97,"0")</f>
        <v>126.93600000000001</v>
      </c>
      <c r="BO97" s="64">
        <f>IFERROR(1/J97*(X97/H97),"0")</f>
        <v>0.23606023606023607</v>
      </c>
      <c r="BP97" s="64">
        <f>IFERROR(1/J97*(Y97/H97),"0")</f>
        <v>0.23626373626373628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7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6"/>
      <c r="R98" s="626"/>
      <c r="S98" s="626"/>
      <c r="T98" s="627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2"/>
      <c r="B99" s="629"/>
      <c r="C99" s="629"/>
      <c r="D99" s="629"/>
      <c r="E99" s="629"/>
      <c r="F99" s="629"/>
      <c r="G99" s="629"/>
      <c r="H99" s="629"/>
      <c r="I99" s="629"/>
      <c r="J99" s="629"/>
      <c r="K99" s="629"/>
      <c r="L99" s="629"/>
      <c r="M99" s="629"/>
      <c r="N99" s="629"/>
      <c r="O99" s="633"/>
      <c r="P99" s="640" t="s">
        <v>72</v>
      </c>
      <c r="Q99" s="641"/>
      <c r="R99" s="641"/>
      <c r="S99" s="641"/>
      <c r="T99" s="641"/>
      <c r="U99" s="641"/>
      <c r="V99" s="642"/>
      <c r="W99" s="37" t="s">
        <v>73</v>
      </c>
      <c r="X99" s="617">
        <f>IFERROR(X95/H95,"0")+IFERROR(X96/H96,"0")+IFERROR(X97/H97,"0")+IFERROR(X98/H98,"0")</f>
        <v>114.69135802469135</v>
      </c>
      <c r="Y99" s="617">
        <f>IFERROR(Y95/H95,"0")+IFERROR(Y96/H96,"0")+IFERROR(Y97/H97,"0")+IFERROR(Y98/H98,"0")</f>
        <v>115</v>
      </c>
      <c r="Z99" s="617">
        <f>IFERROR(IF(Z95="",0,Z95),"0")+IFERROR(IF(Z96="",0,Z96),"0")+IFERROR(IF(Z97="",0,Z97),"0")+IFERROR(IF(Z98="",0,Z98),"0")</f>
        <v>1.64649</v>
      </c>
      <c r="AA99" s="618"/>
      <c r="AB99" s="618"/>
      <c r="AC99" s="618"/>
    </row>
    <row r="100" spans="1:68" x14ac:dyDescent="0.2">
      <c r="A100" s="629"/>
      <c r="B100" s="629"/>
      <c r="C100" s="629"/>
      <c r="D100" s="629"/>
      <c r="E100" s="629"/>
      <c r="F100" s="629"/>
      <c r="G100" s="629"/>
      <c r="H100" s="629"/>
      <c r="I100" s="629"/>
      <c r="J100" s="629"/>
      <c r="K100" s="629"/>
      <c r="L100" s="629"/>
      <c r="M100" s="629"/>
      <c r="N100" s="629"/>
      <c r="O100" s="633"/>
      <c r="P100" s="640" t="s">
        <v>72</v>
      </c>
      <c r="Q100" s="641"/>
      <c r="R100" s="641"/>
      <c r="S100" s="641"/>
      <c r="T100" s="641"/>
      <c r="U100" s="641"/>
      <c r="V100" s="642"/>
      <c r="W100" s="37" t="s">
        <v>67</v>
      </c>
      <c r="X100" s="617">
        <f>IFERROR(SUM(X95:X98),"0")</f>
        <v>697</v>
      </c>
      <c r="Y100" s="617">
        <f>IFERROR(SUM(Y95:Y98),"0")</f>
        <v>699.3</v>
      </c>
      <c r="Z100" s="37"/>
      <c r="AA100" s="618"/>
      <c r="AB100" s="618"/>
      <c r="AC100" s="618"/>
    </row>
    <row r="101" spans="1:68" ht="16.5" hidden="1" customHeight="1" x14ac:dyDescent="0.25">
      <c r="A101" s="635" t="s">
        <v>198</v>
      </c>
      <c r="B101" s="629"/>
      <c r="C101" s="629"/>
      <c r="D101" s="629"/>
      <c r="E101" s="629"/>
      <c r="F101" s="629"/>
      <c r="G101" s="629"/>
      <c r="H101" s="629"/>
      <c r="I101" s="629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  <c r="Y101" s="629"/>
      <c r="Z101" s="629"/>
      <c r="AA101" s="610"/>
      <c r="AB101" s="610"/>
      <c r="AC101" s="610"/>
    </row>
    <row r="102" spans="1:68" ht="14.25" hidden="1" customHeight="1" x14ac:dyDescent="0.25">
      <c r="A102" s="628" t="s">
        <v>117</v>
      </c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629"/>
      <c r="Y102" s="629"/>
      <c r="Z102" s="629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9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6"/>
      <c r="R103" s="626"/>
      <c r="S103" s="626"/>
      <c r="T103" s="627"/>
      <c r="U103" s="34"/>
      <c r="V103" s="34"/>
      <c r="W103" s="35" t="s">
        <v>67</v>
      </c>
      <c r="X103" s="615">
        <v>18</v>
      </c>
      <c r="Y103" s="616">
        <f t="shared" ref="Y103:Y108" si="5">IFERROR(IF(X103="",0,CEILING((X103/$H103),1)*$H103),"")</f>
        <v>21.6</v>
      </c>
      <c r="Z103" s="36">
        <f>IFERROR(IF(Y103=0,"",ROUNDUP(Y103/H103,0)*0.01898),"")</f>
        <v>3.7960000000000001E-2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18.683333333333334</v>
      </c>
      <c r="BN103" s="64">
        <f t="shared" ref="BN103:BN108" si="7">IFERROR(Y103*I103/H103,"0")</f>
        <v>22.42</v>
      </c>
      <c r="BO103" s="64">
        <f t="shared" ref="BO103:BO108" si="8">IFERROR(1/J103*(X103/H103),"0")</f>
        <v>2.6041666666666664E-2</v>
      </c>
      <c r="BP103" s="64">
        <f t="shared" ref="BP103:BP108" si="9">IFERROR(1/J103*(Y103/H103),"0")</f>
        <v>3.125E-2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9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6"/>
      <c r="R104" s="626"/>
      <c r="S104" s="626"/>
      <c r="T104" s="627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74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6"/>
      <c r="R105" s="626"/>
      <c r="S105" s="626"/>
      <c r="T105" s="627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7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6"/>
      <c r="R106" s="626"/>
      <c r="S106" s="626"/>
      <c r="T106" s="627"/>
      <c r="U106" s="34"/>
      <c r="V106" s="34"/>
      <c r="W106" s="35" t="s">
        <v>67</v>
      </c>
      <c r="X106" s="615">
        <v>2</v>
      </c>
      <c r="Y106" s="616">
        <f t="shared" si="5"/>
        <v>3.75</v>
      </c>
      <c r="Z106" s="36">
        <f>IFERROR(IF(Y106=0,"",ROUNDUP(Y106/H106,0)*0.00902),"")</f>
        <v>9.0200000000000002E-3</v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2.1013333333333333</v>
      </c>
      <c r="BN106" s="64">
        <f t="shared" si="7"/>
        <v>3.94</v>
      </c>
      <c r="BO106" s="64">
        <f t="shared" si="8"/>
        <v>4.0404040404040404E-3</v>
      </c>
      <c r="BP106" s="64">
        <f t="shared" si="9"/>
        <v>7.575757575757576E-3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6"/>
      <c r="R107" s="626"/>
      <c r="S107" s="626"/>
      <c r="T107" s="627"/>
      <c r="U107" s="34"/>
      <c r="V107" s="34"/>
      <c r="W107" s="35" t="s">
        <v>67</v>
      </c>
      <c r="X107" s="615">
        <v>44</v>
      </c>
      <c r="Y107" s="616">
        <f t="shared" si="5"/>
        <v>45</v>
      </c>
      <c r="Z107" s="36">
        <f>IFERROR(IF(Y107=0,"",ROUNDUP(Y107/H107,0)*0.00902),"")</f>
        <v>9.0200000000000002E-2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45.857777777777784</v>
      </c>
      <c r="BN107" s="64">
        <f t="shared" si="7"/>
        <v>46.900000000000006</v>
      </c>
      <c r="BO107" s="64">
        <f t="shared" si="8"/>
        <v>7.4074074074074084E-2</v>
      </c>
      <c r="BP107" s="64">
        <f t="shared" si="9"/>
        <v>7.575757575757576E-2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6"/>
      <c r="R108" s="626"/>
      <c r="S108" s="626"/>
      <c r="T108" s="627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2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3"/>
      <c r="P109" s="640" t="s">
        <v>72</v>
      </c>
      <c r="Q109" s="641"/>
      <c r="R109" s="641"/>
      <c r="S109" s="641"/>
      <c r="T109" s="641"/>
      <c r="U109" s="641"/>
      <c r="V109" s="642"/>
      <c r="W109" s="37" t="s">
        <v>73</v>
      </c>
      <c r="X109" s="617">
        <f>IFERROR(X103/H103,"0")+IFERROR(X104/H104,"0")+IFERROR(X105/H105,"0")+IFERROR(X106/H106,"0")+IFERROR(X107/H107,"0")+IFERROR(X108/H108,"0")</f>
        <v>11.977777777777778</v>
      </c>
      <c r="Y109" s="617">
        <f>IFERROR(Y103/H103,"0")+IFERROR(Y104/H104,"0")+IFERROR(Y105/H105,"0")+IFERROR(Y106/H106,"0")+IFERROR(Y107/H107,"0")+IFERROR(Y108/H108,"0")</f>
        <v>13</v>
      </c>
      <c r="Z109" s="617">
        <f>IFERROR(IF(Z103="",0,Z103),"0")+IFERROR(IF(Z104="",0,Z104),"0")+IFERROR(IF(Z105="",0,Z105),"0")+IFERROR(IF(Z106="",0,Z106),"0")+IFERROR(IF(Z107="",0,Z107),"0")+IFERROR(IF(Z108="",0,Z108),"0")</f>
        <v>0.13718</v>
      </c>
      <c r="AA109" s="618"/>
      <c r="AB109" s="618"/>
      <c r="AC109" s="618"/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3"/>
      <c r="P110" s="640" t="s">
        <v>72</v>
      </c>
      <c r="Q110" s="641"/>
      <c r="R110" s="641"/>
      <c r="S110" s="641"/>
      <c r="T110" s="641"/>
      <c r="U110" s="641"/>
      <c r="V110" s="642"/>
      <c r="W110" s="37" t="s">
        <v>67</v>
      </c>
      <c r="X110" s="617">
        <f>IFERROR(SUM(X103:X108),"0")</f>
        <v>64</v>
      </c>
      <c r="Y110" s="617">
        <f>IFERROR(SUM(Y103:Y108),"0")</f>
        <v>70.349999999999994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153</v>
      </c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29"/>
      <c r="P111" s="629"/>
      <c r="Q111" s="629"/>
      <c r="R111" s="629"/>
      <c r="S111" s="629"/>
      <c r="T111" s="629"/>
      <c r="U111" s="629"/>
      <c r="V111" s="629"/>
      <c r="W111" s="629"/>
      <c r="X111" s="629"/>
      <c r="Y111" s="629"/>
      <c r="Z111" s="629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74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6"/>
      <c r="R112" s="626"/>
      <c r="S112" s="626"/>
      <c r="T112" s="627"/>
      <c r="U112" s="34"/>
      <c r="V112" s="34"/>
      <c r="W112" s="35" t="s">
        <v>67</v>
      </c>
      <c r="X112" s="615">
        <v>4</v>
      </c>
      <c r="Y112" s="616">
        <f>IFERROR(IF(X112="",0,CEILING((X112/$H112),1)*$H112),"")</f>
        <v>10.8</v>
      </c>
      <c r="Z112" s="36">
        <f>IFERROR(IF(Y112=0,"",ROUNDUP(Y112/H112,0)*0.01898),"")</f>
        <v>1.898E-2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4.1518518518518519</v>
      </c>
      <c r="BN112" s="64">
        <f>IFERROR(Y112*I112/H112,"0")</f>
        <v>11.21</v>
      </c>
      <c r="BO112" s="64">
        <f>IFERROR(1/J112*(X112/H112),"0")</f>
        <v>5.7870370370370367E-3</v>
      </c>
      <c r="BP112" s="64">
        <f>IFERROR(1/J112*(Y112/H112),"0")</f>
        <v>1.5625E-2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6"/>
      <c r="R113" s="626"/>
      <c r="S113" s="626"/>
      <c r="T113" s="627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73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6"/>
      <c r="R114" s="626"/>
      <c r="S114" s="626"/>
      <c r="T114" s="627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6"/>
      <c r="R115" s="626"/>
      <c r="S115" s="626"/>
      <c r="T115" s="627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9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6"/>
      <c r="R116" s="626"/>
      <c r="S116" s="626"/>
      <c r="T116" s="627"/>
      <c r="U116" s="34"/>
      <c r="V116" s="34"/>
      <c r="W116" s="35" t="s">
        <v>67</v>
      </c>
      <c r="X116" s="615">
        <v>7</v>
      </c>
      <c r="Y116" s="616">
        <f>IFERROR(IF(X116="",0,CEILING((X116/$H116),1)*$H116),"")</f>
        <v>7.1999999999999993</v>
      </c>
      <c r="Z116" s="36">
        <f>IFERROR(IF(Y116=0,"",ROUNDUP(Y116/H116,0)*0.00651),"")</f>
        <v>1.9529999999999999E-2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7.5250000000000012</v>
      </c>
      <c r="BN116" s="64">
        <f>IFERROR(Y116*I116/H116,"0")</f>
        <v>7.7399999999999993</v>
      </c>
      <c r="BO116" s="64">
        <f>IFERROR(1/J116*(X116/H116),"0")</f>
        <v>1.6025641025641028E-2</v>
      </c>
      <c r="BP116" s="64">
        <f>IFERROR(1/J116*(Y116/H116),"0")</f>
        <v>1.6483516483516484E-2</v>
      </c>
    </row>
    <row r="117" spans="1:68" x14ac:dyDescent="0.2">
      <c r="A117" s="632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3"/>
      <c r="P117" s="640" t="s">
        <v>72</v>
      </c>
      <c r="Q117" s="641"/>
      <c r="R117" s="641"/>
      <c r="S117" s="641"/>
      <c r="T117" s="641"/>
      <c r="U117" s="641"/>
      <c r="V117" s="642"/>
      <c r="W117" s="37" t="s">
        <v>73</v>
      </c>
      <c r="X117" s="617">
        <f>IFERROR(X112/H112,"0")+IFERROR(X113/H113,"0")+IFERROR(X114/H114,"0")+IFERROR(X115/H115,"0")+IFERROR(X116/H116,"0")</f>
        <v>3.2870370370370372</v>
      </c>
      <c r="Y117" s="617">
        <f>IFERROR(Y112/H112,"0")+IFERROR(Y113/H113,"0")+IFERROR(Y114/H114,"0")+IFERROR(Y115/H115,"0")+IFERROR(Y116/H116,"0")</f>
        <v>4</v>
      </c>
      <c r="Z117" s="617">
        <f>IFERROR(IF(Z112="",0,Z112),"0")+IFERROR(IF(Z113="",0,Z113),"0")+IFERROR(IF(Z114="",0,Z114),"0")+IFERROR(IF(Z115="",0,Z115),"0")+IFERROR(IF(Z116="",0,Z116),"0")</f>
        <v>3.8510000000000003E-2</v>
      </c>
      <c r="AA117" s="618"/>
      <c r="AB117" s="618"/>
      <c r="AC117" s="618"/>
    </row>
    <row r="118" spans="1:68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3"/>
      <c r="P118" s="640" t="s">
        <v>72</v>
      </c>
      <c r="Q118" s="641"/>
      <c r="R118" s="641"/>
      <c r="S118" s="641"/>
      <c r="T118" s="641"/>
      <c r="U118" s="641"/>
      <c r="V118" s="642"/>
      <c r="W118" s="37" t="s">
        <v>67</v>
      </c>
      <c r="X118" s="617">
        <f>IFERROR(SUM(X112:X116),"0")</f>
        <v>11</v>
      </c>
      <c r="Y118" s="617">
        <f>IFERROR(SUM(Y112:Y116),"0")</f>
        <v>18</v>
      </c>
      <c r="Z118" s="37"/>
      <c r="AA118" s="618"/>
      <c r="AB118" s="618"/>
      <c r="AC118" s="618"/>
    </row>
    <row r="119" spans="1:68" ht="14.25" hidden="1" customHeight="1" x14ac:dyDescent="0.25">
      <c r="A119" s="628" t="s">
        <v>74</v>
      </c>
      <c r="B119" s="629"/>
      <c r="C119" s="629"/>
      <c r="D119" s="629"/>
      <c r="E119" s="629"/>
      <c r="F119" s="629"/>
      <c r="G119" s="629"/>
      <c r="H119" s="629"/>
      <c r="I119" s="629"/>
      <c r="J119" s="629"/>
      <c r="K119" s="629"/>
      <c r="L119" s="629"/>
      <c r="M119" s="629"/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  <c r="Y119" s="629"/>
      <c r="Z119" s="629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92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6"/>
      <c r="R120" s="626"/>
      <c r="S120" s="626"/>
      <c r="T120" s="627"/>
      <c r="U120" s="34"/>
      <c r="V120" s="34"/>
      <c r="W120" s="35" t="s">
        <v>67</v>
      </c>
      <c r="X120" s="615">
        <v>484</v>
      </c>
      <c r="Y120" s="616">
        <f>IFERROR(IF(X120="",0,CEILING((X120/$H120),1)*$H120),"")</f>
        <v>486</v>
      </c>
      <c r="Z120" s="36">
        <f>IFERROR(IF(Y120=0,"",ROUNDUP(Y120/H120,0)*0.01898),"")</f>
        <v>1.1388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513.15950617283943</v>
      </c>
      <c r="BN120" s="64">
        <f>IFERROR(Y120*I120/H120,"0")</f>
        <v>515.28</v>
      </c>
      <c r="BO120" s="64">
        <f>IFERROR(1/J120*(X120/H120),"0")</f>
        <v>0.93364197530864201</v>
      </c>
      <c r="BP120" s="64">
        <f>IFERROR(1/J120*(Y120/H120),"0")</f>
        <v>0.9375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7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6"/>
      <c r="R121" s="626"/>
      <c r="S121" s="626"/>
      <c r="T121" s="627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9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6"/>
      <c r="R122" s="626"/>
      <c r="S122" s="626"/>
      <c r="T122" s="627"/>
      <c r="U122" s="34"/>
      <c r="V122" s="34"/>
      <c r="W122" s="35" t="s">
        <v>67</v>
      </c>
      <c r="X122" s="615">
        <v>179</v>
      </c>
      <c r="Y122" s="616">
        <f>IFERROR(IF(X122="",0,CEILING((X122/$H122),1)*$H122),"")</f>
        <v>180.9</v>
      </c>
      <c r="Z122" s="36">
        <f>IFERROR(IF(Y122=0,"",ROUNDUP(Y122/H122,0)*0.00651),"")</f>
        <v>0.43617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195.70666666666665</v>
      </c>
      <c r="BN122" s="64">
        <f>IFERROR(Y122*I122/H122,"0")</f>
        <v>197.78399999999999</v>
      </c>
      <c r="BO122" s="64">
        <f>IFERROR(1/J122*(X122/H122),"0")</f>
        <v>0.36426536426536427</v>
      </c>
      <c r="BP122" s="64">
        <f>IFERROR(1/J122*(Y122/H122),"0")</f>
        <v>0.36813186813186816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64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6"/>
      <c r="R123" s="626"/>
      <c r="S123" s="626"/>
      <c r="T123" s="627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2"/>
      <c r="B124" s="629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33"/>
      <c r="P124" s="640" t="s">
        <v>72</v>
      </c>
      <c r="Q124" s="641"/>
      <c r="R124" s="641"/>
      <c r="S124" s="641"/>
      <c r="T124" s="641"/>
      <c r="U124" s="641"/>
      <c r="V124" s="642"/>
      <c r="W124" s="37" t="s">
        <v>73</v>
      </c>
      <c r="X124" s="617">
        <f>IFERROR(X120/H120,"0")+IFERROR(X121/H121,"0")+IFERROR(X122/H122,"0")+IFERROR(X123/H123,"0")</f>
        <v>126.04938271604938</v>
      </c>
      <c r="Y124" s="617">
        <f>IFERROR(Y120/H120,"0")+IFERROR(Y121/H121,"0")+IFERROR(Y122/H122,"0")+IFERROR(Y123/H123,"0")</f>
        <v>127</v>
      </c>
      <c r="Z124" s="617">
        <f>IFERROR(IF(Z120="",0,Z120),"0")+IFERROR(IF(Z121="",0,Z121),"0")+IFERROR(IF(Z122="",0,Z122),"0")+IFERROR(IF(Z123="",0,Z123),"0")</f>
        <v>1.57497</v>
      </c>
      <c r="AA124" s="618"/>
      <c r="AB124" s="618"/>
      <c r="AC124" s="618"/>
    </row>
    <row r="125" spans="1:68" x14ac:dyDescent="0.2">
      <c r="A125" s="629"/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33"/>
      <c r="P125" s="640" t="s">
        <v>72</v>
      </c>
      <c r="Q125" s="641"/>
      <c r="R125" s="641"/>
      <c r="S125" s="641"/>
      <c r="T125" s="641"/>
      <c r="U125" s="641"/>
      <c r="V125" s="642"/>
      <c r="W125" s="37" t="s">
        <v>67</v>
      </c>
      <c r="X125" s="617">
        <f>IFERROR(SUM(X120:X123),"0")</f>
        <v>663</v>
      </c>
      <c r="Y125" s="617">
        <f>IFERROR(SUM(Y120:Y123),"0")</f>
        <v>666.9</v>
      </c>
      <c r="Z125" s="37"/>
      <c r="AA125" s="618"/>
      <c r="AB125" s="618"/>
      <c r="AC125" s="618"/>
    </row>
    <row r="126" spans="1:68" ht="14.25" hidden="1" customHeight="1" x14ac:dyDescent="0.25">
      <c r="A126" s="628" t="s">
        <v>170</v>
      </c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29"/>
      <c r="P126" s="629"/>
      <c r="Q126" s="629"/>
      <c r="R126" s="629"/>
      <c r="S126" s="629"/>
      <c r="T126" s="629"/>
      <c r="U126" s="629"/>
      <c r="V126" s="629"/>
      <c r="W126" s="629"/>
      <c r="X126" s="629"/>
      <c r="Y126" s="629"/>
      <c r="Z126" s="629"/>
      <c r="AA126" s="611"/>
      <c r="AB126" s="611"/>
      <c r="AC126" s="611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70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6"/>
      <c r="R127" s="626"/>
      <c r="S127" s="626"/>
      <c r="T127" s="627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2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3"/>
      <c r="P128" s="640" t="s">
        <v>72</v>
      </c>
      <c r="Q128" s="641"/>
      <c r="R128" s="641"/>
      <c r="S128" s="641"/>
      <c r="T128" s="641"/>
      <c r="U128" s="641"/>
      <c r="V128" s="642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9"/>
      <c r="B129" s="629"/>
      <c r="C129" s="629"/>
      <c r="D129" s="629"/>
      <c r="E129" s="629"/>
      <c r="F129" s="629"/>
      <c r="G129" s="629"/>
      <c r="H129" s="629"/>
      <c r="I129" s="629"/>
      <c r="J129" s="629"/>
      <c r="K129" s="629"/>
      <c r="L129" s="629"/>
      <c r="M129" s="629"/>
      <c r="N129" s="629"/>
      <c r="O129" s="633"/>
      <c r="P129" s="640" t="s">
        <v>72</v>
      </c>
      <c r="Q129" s="641"/>
      <c r="R129" s="641"/>
      <c r="S129" s="641"/>
      <c r="T129" s="641"/>
      <c r="U129" s="641"/>
      <c r="V129" s="642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35" t="s">
        <v>237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10"/>
      <c r="AB130" s="610"/>
      <c r="AC130" s="610"/>
    </row>
    <row r="131" spans="1:68" ht="14.25" hidden="1" customHeight="1" x14ac:dyDescent="0.25">
      <c r="A131" s="628" t="s">
        <v>117</v>
      </c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29"/>
      <c r="P131" s="629"/>
      <c r="Q131" s="629"/>
      <c r="R131" s="629"/>
      <c r="S131" s="629"/>
      <c r="T131" s="629"/>
      <c r="U131" s="629"/>
      <c r="V131" s="629"/>
      <c r="W131" s="629"/>
      <c r="X131" s="629"/>
      <c r="Y131" s="629"/>
      <c r="Z131" s="629"/>
      <c r="AA131" s="611"/>
      <c r="AB131" s="611"/>
      <c r="AC131" s="611"/>
    </row>
    <row r="132" spans="1:68" ht="27" hidden="1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86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6"/>
      <c r="R132" s="626"/>
      <c r="S132" s="626"/>
      <c r="T132" s="627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70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6"/>
      <c r="R133" s="626"/>
      <c r="S133" s="626"/>
      <c r="T133" s="627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32"/>
      <c r="B134" s="629"/>
      <c r="C134" s="629"/>
      <c r="D134" s="629"/>
      <c r="E134" s="629"/>
      <c r="F134" s="629"/>
      <c r="G134" s="629"/>
      <c r="H134" s="629"/>
      <c r="I134" s="629"/>
      <c r="J134" s="629"/>
      <c r="K134" s="629"/>
      <c r="L134" s="629"/>
      <c r="M134" s="629"/>
      <c r="N134" s="629"/>
      <c r="O134" s="633"/>
      <c r="P134" s="640" t="s">
        <v>72</v>
      </c>
      <c r="Q134" s="641"/>
      <c r="R134" s="641"/>
      <c r="S134" s="641"/>
      <c r="T134" s="641"/>
      <c r="U134" s="641"/>
      <c r="V134" s="642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9"/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33"/>
      <c r="P135" s="640" t="s">
        <v>72</v>
      </c>
      <c r="Q135" s="641"/>
      <c r="R135" s="641"/>
      <c r="S135" s="641"/>
      <c r="T135" s="641"/>
      <c r="U135" s="641"/>
      <c r="V135" s="642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62</v>
      </c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29"/>
      <c r="P136" s="629"/>
      <c r="Q136" s="629"/>
      <c r="R136" s="629"/>
      <c r="S136" s="629"/>
      <c r="T136" s="629"/>
      <c r="U136" s="629"/>
      <c r="V136" s="629"/>
      <c r="W136" s="629"/>
      <c r="X136" s="629"/>
      <c r="Y136" s="629"/>
      <c r="Z136" s="629"/>
      <c r="AA136" s="611"/>
      <c r="AB136" s="611"/>
      <c r="AC136" s="611"/>
    </row>
    <row r="137" spans="1:68" ht="27" hidden="1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8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6"/>
      <c r="R137" s="626"/>
      <c r="S137" s="626"/>
      <c r="T137" s="627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84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6"/>
      <c r="R138" s="626"/>
      <c r="S138" s="626"/>
      <c r="T138" s="627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32"/>
      <c r="B139" s="629"/>
      <c r="C139" s="629"/>
      <c r="D139" s="629"/>
      <c r="E139" s="629"/>
      <c r="F139" s="629"/>
      <c r="G139" s="629"/>
      <c r="H139" s="629"/>
      <c r="I139" s="629"/>
      <c r="J139" s="629"/>
      <c r="K139" s="629"/>
      <c r="L139" s="629"/>
      <c r="M139" s="629"/>
      <c r="N139" s="629"/>
      <c r="O139" s="633"/>
      <c r="P139" s="640" t="s">
        <v>72</v>
      </c>
      <c r="Q139" s="641"/>
      <c r="R139" s="641"/>
      <c r="S139" s="641"/>
      <c r="T139" s="641"/>
      <c r="U139" s="641"/>
      <c r="V139" s="642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9"/>
      <c r="B140" s="629"/>
      <c r="C140" s="629"/>
      <c r="D140" s="629"/>
      <c r="E140" s="629"/>
      <c r="F140" s="629"/>
      <c r="G140" s="629"/>
      <c r="H140" s="629"/>
      <c r="I140" s="629"/>
      <c r="J140" s="629"/>
      <c r="K140" s="629"/>
      <c r="L140" s="629"/>
      <c r="M140" s="629"/>
      <c r="N140" s="629"/>
      <c r="O140" s="633"/>
      <c r="P140" s="640" t="s">
        <v>72</v>
      </c>
      <c r="Q140" s="641"/>
      <c r="R140" s="641"/>
      <c r="S140" s="641"/>
      <c r="T140" s="641"/>
      <c r="U140" s="641"/>
      <c r="V140" s="642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74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6"/>
      <c r="R142" s="626"/>
      <c r="S142" s="626"/>
      <c r="T142" s="627"/>
      <c r="U142" s="34"/>
      <c r="V142" s="34"/>
      <c r="W142" s="35" t="s">
        <v>67</v>
      </c>
      <c r="X142" s="615">
        <v>23</v>
      </c>
      <c r="Y142" s="616">
        <f>IFERROR(IF(X142="",0,CEILING((X142/$H142),1)*$H142),"")</f>
        <v>23.76</v>
      </c>
      <c r="Z142" s="36">
        <f>IFERROR(IF(Y142=0,"",ROUNDUP(Y142/H142,0)*0.00651),"")</f>
        <v>5.8590000000000003E-2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25.334848484848482</v>
      </c>
      <c r="BN142" s="64">
        <f>IFERROR(Y142*I142/H142,"0")</f>
        <v>26.172000000000001</v>
      </c>
      <c r="BO142" s="64">
        <f>IFERROR(1/J142*(X142/H142),"0")</f>
        <v>4.7868797868797865E-2</v>
      </c>
      <c r="BP142" s="64">
        <f>IFERROR(1/J142*(Y142/H142),"0")</f>
        <v>4.9450549450549455E-2</v>
      </c>
    </row>
    <row r="143" spans="1:68" ht="16.5" hidden="1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1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6"/>
      <c r="R143" s="626"/>
      <c r="S143" s="626"/>
      <c r="T143" s="627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32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3"/>
      <c r="P144" s="640" t="s">
        <v>72</v>
      </c>
      <c r="Q144" s="641"/>
      <c r="R144" s="641"/>
      <c r="S144" s="641"/>
      <c r="T144" s="641"/>
      <c r="U144" s="641"/>
      <c r="V144" s="642"/>
      <c r="W144" s="37" t="s">
        <v>73</v>
      </c>
      <c r="X144" s="617">
        <f>IFERROR(X142/H142,"0")+IFERROR(X143/H143,"0")</f>
        <v>8.712121212121211</v>
      </c>
      <c r="Y144" s="617">
        <f>IFERROR(Y142/H142,"0")+IFERROR(Y143/H143,"0")</f>
        <v>9</v>
      </c>
      <c r="Z144" s="617">
        <f>IFERROR(IF(Z142="",0,Z142),"0")+IFERROR(IF(Z143="",0,Z143),"0")</f>
        <v>5.8590000000000003E-2</v>
      </c>
      <c r="AA144" s="618"/>
      <c r="AB144" s="618"/>
      <c r="AC144" s="618"/>
    </row>
    <row r="145" spans="1:68" x14ac:dyDescent="0.2">
      <c r="A145" s="629"/>
      <c r="B145" s="629"/>
      <c r="C145" s="629"/>
      <c r="D145" s="629"/>
      <c r="E145" s="629"/>
      <c r="F145" s="629"/>
      <c r="G145" s="629"/>
      <c r="H145" s="629"/>
      <c r="I145" s="629"/>
      <c r="J145" s="629"/>
      <c r="K145" s="629"/>
      <c r="L145" s="629"/>
      <c r="M145" s="629"/>
      <c r="N145" s="629"/>
      <c r="O145" s="633"/>
      <c r="P145" s="640" t="s">
        <v>72</v>
      </c>
      <c r="Q145" s="641"/>
      <c r="R145" s="641"/>
      <c r="S145" s="641"/>
      <c r="T145" s="641"/>
      <c r="U145" s="641"/>
      <c r="V145" s="642"/>
      <c r="W145" s="37" t="s">
        <v>67</v>
      </c>
      <c r="X145" s="617">
        <f>IFERROR(SUM(X142:X143),"0")</f>
        <v>23</v>
      </c>
      <c r="Y145" s="617">
        <f>IFERROR(SUM(Y142:Y143),"0")</f>
        <v>23.76</v>
      </c>
      <c r="Z145" s="37"/>
      <c r="AA145" s="618"/>
      <c r="AB145" s="618"/>
      <c r="AC145" s="618"/>
    </row>
    <row r="146" spans="1:68" ht="16.5" hidden="1" customHeight="1" x14ac:dyDescent="0.25">
      <c r="A146" s="635" t="s">
        <v>249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10"/>
      <c r="AB146" s="610"/>
      <c r="AC146" s="610"/>
    </row>
    <row r="147" spans="1:68" ht="14.25" hidden="1" customHeight="1" x14ac:dyDescent="0.25">
      <c r="A147" s="628" t="s">
        <v>74</v>
      </c>
      <c r="B147" s="629"/>
      <c r="C147" s="629"/>
      <c r="D147" s="629"/>
      <c r="E147" s="629"/>
      <c r="F147" s="629"/>
      <c r="G147" s="629"/>
      <c r="H147" s="629"/>
      <c r="I147" s="629"/>
      <c r="J147" s="629"/>
      <c r="K147" s="629"/>
      <c r="L147" s="629"/>
      <c r="M147" s="629"/>
      <c r="N147" s="629"/>
      <c r="O147" s="629"/>
      <c r="P147" s="629"/>
      <c r="Q147" s="629"/>
      <c r="R147" s="629"/>
      <c r="S147" s="629"/>
      <c r="T147" s="629"/>
      <c r="U147" s="629"/>
      <c r="V147" s="629"/>
      <c r="W147" s="629"/>
      <c r="X147" s="629"/>
      <c r="Y147" s="629"/>
      <c r="Z147" s="629"/>
      <c r="AA147" s="611"/>
      <c r="AB147" s="611"/>
      <c r="AC147" s="611"/>
    </row>
    <row r="148" spans="1:68" ht="27" hidden="1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91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6"/>
      <c r="R148" s="626"/>
      <c r="S148" s="626"/>
      <c r="T148" s="627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65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6"/>
      <c r="R149" s="626"/>
      <c r="S149" s="626"/>
      <c r="T149" s="627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6"/>
      <c r="R150" s="626"/>
      <c r="S150" s="626"/>
      <c r="T150" s="627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4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6"/>
      <c r="R151" s="626"/>
      <c r="S151" s="626"/>
      <c r="T151" s="627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32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3"/>
      <c r="P152" s="640" t="s">
        <v>72</v>
      </c>
      <c r="Q152" s="641"/>
      <c r="R152" s="641"/>
      <c r="S152" s="641"/>
      <c r="T152" s="641"/>
      <c r="U152" s="641"/>
      <c r="V152" s="64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3"/>
      <c r="P153" s="640" t="s">
        <v>72</v>
      </c>
      <c r="Q153" s="641"/>
      <c r="R153" s="641"/>
      <c r="S153" s="641"/>
      <c r="T153" s="641"/>
      <c r="U153" s="641"/>
      <c r="V153" s="64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35" t="s">
        <v>115</v>
      </c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29"/>
      <c r="P154" s="629"/>
      <c r="Q154" s="629"/>
      <c r="R154" s="629"/>
      <c r="S154" s="629"/>
      <c r="T154" s="629"/>
      <c r="U154" s="629"/>
      <c r="V154" s="629"/>
      <c r="W154" s="629"/>
      <c r="X154" s="629"/>
      <c r="Y154" s="629"/>
      <c r="Z154" s="629"/>
      <c r="AA154" s="610"/>
      <c r="AB154" s="610"/>
      <c r="AC154" s="610"/>
    </row>
    <row r="155" spans="1:68" ht="14.25" hidden="1" customHeight="1" x14ac:dyDescent="0.25">
      <c r="A155" s="628" t="s">
        <v>117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11"/>
      <c r="AB155" s="611"/>
      <c r="AC155" s="611"/>
    </row>
    <row r="156" spans="1:68" ht="16.5" hidden="1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79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6"/>
      <c r="R156" s="626"/>
      <c r="S156" s="626"/>
      <c r="T156" s="627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9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6"/>
      <c r="R157" s="626"/>
      <c r="S157" s="626"/>
      <c r="T157" s="627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9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6"/>
      <c r="R158" s="626"/>
      <c r="S158" s="626"/>
      <c r="T158" s="627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32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3"/>
      <c r="P159" s="640" t="s">
        <v>72</v>
      </c>
      <c r="Q159" s="641"/>
      <c r="R159" s="641"/>
      <c r="S159" s="641"/>
      <c r="T159" s="641"/>
      <c r="U159" s="641"/>
      <c r="V159" s="642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3"/>
      <c r="P160" s="640" t="s">
        <v>72</v>
      </c>
      <c r="Q160" s="641"/>
      <c r="R160" s="641"/>
      <c r="S160" s="641"/>
      <c r="T160" s="641"/>
      <c r="U160" s="641"/>
      <c r="V160" s="642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153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11"/>
      <c r="AB161" s="611"/>
      <c r="AC161" s="611"/>
    </row>
    <row r="162" spans="1:68" ht="16.5" hidden="1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76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6"/>
      <c r="R162" s="626"/>
      <c r="S162" s="626"/>
      <c r="T162" s="627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29"/>
      <c r="C163" s="629"/>
      <c r="D163" s="629"/>
      <c r="E163" s="629"/>
      <c r="F163" s="629"/>
      <c r="G163" s="629"/>
      <c r="H163" s="629"/>
      <c r="I163" s="629"/>
      <c r="J163" s="629"/>
      <c r="K163" s="629"/>
      <c r="L163" s="629"/>
      <c r="M163" s="629"/>
      <c r="N163" s="629"/>
      <c r="O163" s="633"/>
      <c r="P163" s="640" t="s">
        <v>72</v>
      </c>
      <c r="Q163" s="641"/>
      <c r="R163" s="641"/>
      <c r="S163" s="641"/>
      <c r="T163" s="641"/>
      <c r="U163" s="641"/>
      <c r="V163" s="64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9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33"/>
      <c r="P164" s="640" t="s">
        <v>72</v>
      </c>
      <c r="Q164" s="641"/>
      <c r="R164" s="641"/>
      <c r="S164" s="641"/>
      <c r="T164" s="641"/>
      <c r="U164" s="641"/>
      <c r="V164" s="64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62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9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6"/>
      <c r="R166" s="626"/>
      <c r="S166" s="626"/>
      <c r="T166" s="627"/>
      <c r="U166" s="34"/>
      <c r="V166" s="34"/>
      <c r="W166" s="35" t="s">
        <v>67</v>
      </c>
      <c r="X166" s="615">
        <v>139</v>
      </c>
      <c r="Y166" s="616">
        <f t="shared" ref="Y166:Y177" si="10">IFERROR(IF(X166="",0,CEILING((X166/$H166),1)*$H166),"")</f>
        <v>140</v>
      </c>
      <c r="Z166" s="36">
        <f>IFERROR(IF(Y166=0,"",ROUNDUP(Y166/H166,0)*0.00902),"")</f>
        <v>0.36080000000000001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146.54571428571427</v>
      </c>
      <c r="BN166" s="64">
        <f t="shared" ref="BN166:BN177" si="12">IFERROR(Y166*I166/H166,"0")</f>
        <v>147.6</v>
      </c>
      <c r="BO166" s="64">
        <f t="shared" ref="BO166:BO177" si="13">IFERROR(1/J166*(X166/H166),"0")</f>
        <v>0.30086580086580089</v>
      </c>
      <c r="BP166" s="64">
        <f t="shared" ref="BP166:BP177" si="14">IFERROR(1/J166*(Y166/H166),"0")</f>
        <v>0.30303030303030304</v>
      </c>
    </row>
    <row r="167" spans="1:68" ht="27" hidden="1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6"/>
      <c r="R167" s="626"/>
      <c r="S167" s="626"/>
      <c r="T167" s="627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90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6"/>
      <c r="R168" s="626"/>
      <c r="S168" s="626"/>
      <c r="T168" s="627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8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6"/>
      <c r="R169" s="626"/>
      <c r="S169" s="626"/>
      <c r="T169" s="627"/>
      <c r="U169" s="34"/>
      <c r="V169" s="34"/>
      <c r="W169" s="35" t="s">
        <v>67</v>
      </c>
      <c r="X169" s="615">
        <v>132</v>
      </c>
      <c r="Y169" s="616">
        <f t="shared" si="10"/>
        <v>133</v>
      </c>
      <c r="Z169" s="36">
        <f>IFERROR(IF(Y169=0,"",ROUNDUP(Y169/H169,0)*0.00902),"")</f>
        <v>0.34276000000000001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139.16571428571427</v>
      </c>
      <c r="BN169" s="64">
        <f t="shared" si="12"/>
        <v>140.22</v>
      </c>
      <c r="BO169" s="64">
        <f t="shared" si="13"/>
        <v>0.28571428571428575</v>
      </c>
      <c r="BP169" s="64">
        <f t="shared" si="14"/>
        <v>0.2878787878787879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9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6"/>
      <c r="R170" s="626"/>
      <c r="S170" s="626"/>
      <c r="T170" s="627"/>
      <c r="U170" s="34"/>
      <c r="V170" s="34"/>
      <c r="W170" s="35" t="s">
        <v>67</v>
      </c>
      <c r="X170" s="615">
        <v>52</v>
      </c>
      <c r="Y170" s="616">
        <f t="shared" si="10"/>
        <v>52.5</v>
      </c>
      <c r="Z170" s="36">
        <f>IFERROR(IF(Y170=0,"",ROUNDUP(Y170/H170,0)*0.00902),"")</f>
        <v>0.1353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54.822857142857139</v>
      </c>
      <c r="BN170" s="64">
        <f t="shared" si="12"/>
        <v>55.35</v>
      </c>
      <c r="BO170" s="64">
        <f t="shared" si="13"/>
        <v>0.11255411255411256</v>
      </c>
      <c r="BP170" s="64">
        <f t="shared" si="14"/>
        <v>0.11363636363636365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9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6"/>
      <c r="R171" s="626"/>
      <c r="S171" s="626"/>
      <c r="T171" s="627"/>
      <c r="U171" s="34"/>
      <c r="V171" s="34"/>
      <c r="W171" s="35" t="s">
        <v>67</v>
      </c>
      <c r="X171" s="615">
        <v>3</v>
      </c>
      <c r="Y171" s="616">
        <f t="shared" si="10"/>
        <v>3.6</v>
      </c>
      <c r="Z171" s="36">
        <f>IFERROR(IF(Y171=0,"",ROUNDUP(Y171/H171,0)*0.00417),"")</f>
        <v>1.668E-2</v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3.7</v>
      </c>
      <c r="BN171" s="64">
        <f t="shared" si="12"/>
        <v>4.4400000000000004</v>
      </c>
      <c r="BO171" s="64">
        <f t="shared" si="13"/>
        <v>9.9206349206349183E-3</v>
      </c>
      <c r="BP171" s="64">
        <f t="shared" si="14"/>
        <v>1.1904761904761904E-2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9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6"/>
      <c r="R172" s="626"/>
      <c r="S172" s="626"/>
      <c r="T172" s="627"/>
      <c r="U172" s="34"/>
      <c r="V172" s="34"/>
      <c r="W172" s="35" t="s">
        <v>67</v>
      </c>
      <c r="X172" s="615">
        <v>21</v>
      </c>
      <c r="Y172" s="616">
        <f t="shared" si="10"/>
        <v>21.84</v>
      </c>
      <c r="Z172" s="36">
        <f>IFERROR(IF(Y172=0,"",ROUNDUP(Y172/H172,0)*0.00502),"")</f>
        <v>6.5259999999999999E-2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22.250000000000004</v>
      </c>
      <c r="BN172" s="64">
        <f t="shared" si="12"/>
        <v>23.14</v>
      </c>
      <c r="BO172" s="64">
        <f t="shared" si="13"/>
        <v>5.3418803418803423E-2</v>
      </c>
      <c r="BP172" s="64">
        <f t="shared" si="14"/>
        <v>5.5555555555555559E-2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93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6"/>
      <c r="R173" s="626"/>
      <c r="S173" s="626"/>
      <c r="T173" s="627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65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6"/>
      <c r="R174" s="626"/>
      <c r="S174" s="626"/>
      <c r="T174" s="627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7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6"/>
      <c r="R175" s="626"/>
      <c r="S175" s="626"/>
      <c r="T175" s="627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73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6"/>
      <c r="R176" s="626"/>
      <c r="S176" s="626"/>
      <c r="T176" s="627"/>
      <c r="U176" s="34"/>
      <c r="V176" s="34"/>
      <c r="W176" s="35" t="s">
        <v>67</v>
      </c>
      <c r="X176" s="615">
        <v>4</v>
      </c>
      <c r="Y176" s="616">
        <f t="shared" si="10"/>
        <v>4.5</v>
      </c>
      <c r="Z176" s="36">
        <f>IFERROR(IF(Y176=0,"",ROUNDUP(Y176/H176,0)*0.00417),"")</f>
        <v>2.085E-2</v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4.4444444444444446</v>
      </c>
      <c r="BN176" s="64">
        <f t="shared" si="12"/>
        <v>5</v>
      </c>
      <c r="BO176" s="64">
        <f t="shared" si="13"/>
        <v>1.3227513227513227E-2</v>
      </c>
      <c r="BP176" s="64">
        <f t="shared" si="14"/>
        <v>1.488095238095238E-2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7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6"/>
      <c r="R177" s="626"/>
      <c r="S177" s="626"/>
      <c r="T177" s="627"/>
      <c r="U177" s="34"/>
      <c r="V177" s="34"/>
      <c r="W177" s="35" t="s">
        <v>67</v>
      </c>
      <c r="X177" s="615">
        <v>23</v>
      </c>
      <c r="Y177" s="616">
        <f t="shared" si="10"/>
        <v>23.52</v>
      </c>
      <c r="Z177" s="36">
        <f>IFERROR(IF(Y177=0,"",ROUNDUP(Y177/H177,0)*0.00502),"")</f>
        <v>7.0280000000000009E-2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24.369047619047617</v>
      </c>
      <c r="BN177" s="64">
        <f t="shared" si="12"/>
        <v>24.92</v>
      </c>
      <c r="BO177" s="64">
        <f t="shared" si="13"/>
        <v>5.8506308506308516E-2</v>
      </c>
      <c r="BP177" s="64">
        <f t="shared" si="14"/>
        <v>5.9829059829059839E-2</v>
      </c>
    </row>
    <row r="178" spans="1:68" x14ac:dyDescent="0.2">
      <c r="A178" s="632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3"/>
      <c r="P178" s="640" t="s">
        <v>72</v>
      </c>
      <c r="Q178" s="641"/>
      <c r="R178" s="641"/>
      <c r="S178" s="641"/>
      <c r="T178" s="641"/>
      <c r="U178" s="641"/>
      <c r="V178" s="64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126.25396825396825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129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1.01193</v>
      </c>
      <c r="AA178" s="618"/>
      <c r="AB178" s="618"/>
      <c r="AC178" s="618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3"/>
      <c r="P179" s="640" t="s">
        <v>72</v>
      </c>
      <c r="Q179" s="641"/>
      <c r="R179" s="641"/>
      <c r="S179" s="641"/>
      <c r="T179" s="641"/>
      <c r="U179" s="641"/>
      <c r="V179" s="642"/>
      <c r="W179" s="37" t="s">
        <v>67</v>
      </c>
      <c r="X179" s="617">
        <f>IFERROR(SUM(X166:X177),"0")</f>
        <v>374</v>
      </c>
      <c r="Y179" s="617">
        <f>IFERROR(SUM(Y166:Y177),"0")</f>
        <v>378.96</v>
      </c>
      <c r="Z179" s="37"/>
      <c r="AA179" s="618"/>
      <c r="AB179" s="618"/>
      <c r="AC179" s="618"/>
    </row>
    <row r="180" spans="1:68" ht="14.25" hidden="1" customHeight="1" x14ac:dyDescent="0.25">
      <c r="A180" s="628" t="s">
        <v>74</v>
      </c>
      <c r="B180" s="629"/>
      <c r="C180" s="629"/>
      <c r="D180" s="629"/>
      <c r="E180" s="629"/>
      <c r="F180" s="629"/>
      <c r="G180" s="629"/>
      <c r="H180" s="629"/>
      <c r="I180" s="629"/>
      <c r="J180" s="629"/>
      <c r="K180" s="629"/>
      <c r="L180" s="629"/>
      <c r="M180" s="629"/>
      <c r="N180" s="629"/>
      <c r="O180" s="629"/>
      <c r="P180" s="629"/>
      <c r="Q180" s="629"/>
      <c r="R180" s="629"/>
      <c r="S180" s="629"/>
      <c r="T180" s="629"/>
      <c r="U180" s="629"/>
      <c r="V180" s="629"/>
      <c r="W180" s="629"/>
      <c r="X180" s="629"/>
      <c r="Y180" s="629"/>
      <c r="Z180" s="629"/>
      <c r="AA180" s="611"/>
      <c r="AB180" s="611"/>
      <c r="AC180" s="611"/>
    </row>
    <row r="181" spans="1:68" ht="16.5" hidden="1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7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6"/>
      <c r="R181" s="626"/>
      <c r="S181" s="626"/>
      <c r="T181" s="627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87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6"/>
      <c r="R182" s="626"/>
      <c r="S182" s="626"/>
      <c r="T182" s="627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71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6"/>
      <c r="R183" s="626"/>
      <c r="S183" s="626"/>
      <c r="T183" s="627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32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3"/>
      <c r="P184" s="640" t="s">
        <v>72</v>
      </c>
      <c r="Q184" s="641"/>
      <c r="R184" s="641"/>
      <c r="S184" s="641"/>
      <c r="T184" s="641"/>
      <c r="U184" s="641"/>
      <c r="V184" s="64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3"/>
      <c r="P185" s="640" t="s">
        <v>72</v>
      </c>
      <c r="Q185" s="641"/>
      <c r="R185" s="641"/>
      <c r="S185" s="641"/>
      <c r="T185" s="641"/>
      <c r="U185" s="641"/>
      <c r="V185" s="64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92</v>
      </c>
      <c r="B186" s="629"/>
      <c r="C186" s="629"/>
      <c r="D186" s="629"/>
      <c r="E186" s="629"/>
      <c r="F186" s="629"/>
      <c r="G186" s="629"/>
      <c r="H186" s="629"/>
      <c r="I186" s="629"/>
      <c r="J186" s="629"/>
      <c r="K186" s="629"/>
      <c r="L186" s="629"/>
      <c r="M186" s="629"/>
      <c r="N186" s="629"/>
      <c r="O186" s="629"/>
      <c r="P186" s="629"/>
      <c r="Q186" s="629"/>
      <c r="R186" s="629"/>
      <c r="S186" s="629"/>
      <c r="T186" s="629"/>
      <c r="U186" s="629"/>
      <c r="V186" s="629"/>
      <c r="W186" s="629"/>
      <c r="X186" s="629"/>
      <c r="Y186" s="629"/>
      <c r="Z186" s="629"/>
      <c r="AA186" s="611"/>
      <c r="AB186" s="611"/>
      <c r="AC186" s="611"/>
    </row>
    <row r="187" spans="1:68" ht="16.5" hidden="1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9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6"/>
      <c r="R187" s="626"/>
      <c r="S187" s="626"/>
      <c r="T187" s="627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63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6"/>
      <c r="R188" s="626"/>
      <c r="S188" s="626"/>
      <c r="T188" s="627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32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3"/>
      <c r="P189" s="640" t="s">
        <v>72</v>
      </c>
      <c r="Q189" s="641"/>
      <c r="R189" s="641"/>
      <c r="S189" s="641"/>
      <c r="T189" s="641"/>
      <c r="U189" s="641"/>
      <c r="V189" s="64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9"/>
      <c r="B190" s="629"/>
      <c r="C190" s="629"/>
      <c r="D190" s="629"/>
      <c r="E190" s="629"/>
      <c r="F190" s="629"/>
      <c r="G190" s="629"/>
      <c r="H190" s="629"/>
      <c r="I190" s="629"/>
      <c r="J190" s="629"/>
      <c r="K190" s="629"/>
      <c r="L190" s="629"/>
      <c r="M190" s="629"/>
      <c r="N190" s="629"/>
      <c r="O190" s="633"/>
      <c r="P190" s="640" t="s">
        <v>72</v>
      </c>
      <c r="Q190" s="641"/>
      <c r="R190" s="641"/>
      <c r="S190" s="641"/>
      <c r="T190" s="641"/>
      <c r="U190" s="641"/>
      <c r="V190" s="64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323</v>
      </c>
      <c r="B191" s="629"/>
      <c r="C191" s="629"/>
      <c r="D191" s="629"/>
      <c r="E191" s="629"/>
      <c r="F191" s="629"/>
      <c r="G191" s="629"/>
      <c r="H191" s="629"/>
      <c r="I191" s="629"/>
      <c r="J191" s="629"/>
      <c r="K191" s="629"/>
      <c r="L191" s="629"/>
      <c r="M191" s="629"/>
      <c r="N191" s="629"/>
      <c r="O191" s="629"/>
      <c r="P191" s="629"/>
      <c r="Q191" s="629"/>
      <c r="R191" s="629"/>
      <c r="S191" s="629"/>
      <c r="T191" s="629"/>
      <c r="U191" s="629"/>
      <c r="V191" s="629"/>
      <c r="W191" s="629"/>
      <c r="X191" s="629"/>
      <c r="Y191" s="629"/>
      <c r="Z191" s="629"/>
      <c r="AA191" s="611"/>
      <c r="AB191" s="611"/>
      <c r="AC191" s="611"/>
    </row>
    <row r="192" spans="1:68" ht="27" hidden="1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9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6"/>
      <c r="R192" s="626"/>
      <c r="S192" s="626"/>
      <c r="T192" s="627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32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3"/>
      <c r="P193" s="640" t="s">
        <v>72</v>
      </c>
      <c r="Q193" s="641"/>
      <c r="R193" s="641"/>
      <c r="S193" s="641"/>
      <c r="T193" s="641"/>
      <c r="U193" s="641"/>
      <c r="V193" s="64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3"/>
      <c r="P194" s="640" t="s">
        <v>72</v>
      </c>
      <c r="Q194" s="641"/>
      <c r="R194" s="641"/>
      <c r="S194" s="641"/>
      <c r="T194" s="641"/>
      <c r="U194" s="641"/>
      <c r="V194" s="64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23" t="s">
        <v>327</v>
      </c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4"/>
      <c r="P195" s="724"/>
      <c r="Q195" s="724"/>
      <c r="R195" s="724"/>
      <c r="S195" s="724"/>
      <c r="T195" s="724"/>
      <c r="U195" s="724"/>
      <c r="V195" s="724"/>
      <c r="W195" s="724"/>
      <c r="X195" s="724"/>
      <c r="Y195" s="724"/>
      <c r="Z195" s="724"/>
      <c r="AA195" s="48"/>
      <c r="AB195" s="48"/>
      <c r="AC195" s="48"/>
    </row>
    <row r="196" spans="1:68" ht="16.5" hidden="1" customHeight="1" x14ac:dyDescent="0.25">
      <c r="A196" s="635" t="s">
        <v>328</v>
      </c>
      <c r="B196" s="629"/>
      <c r="C196" s="629"/>
      <c r="D196" s="629"/>
      <c r="E196" s="629"/>
      <c r="F196" s="629"/>
      <c r="G196" s="629"/>
      <c r="H196" s="629"/>
      <c r="I196" s="629"/>
      <c r="J196" s="629"/>
      <c r="K196" s="629"/>
      <c r="L196" s="629"/>
      <c r="M196" s="629"/>
      <c r="N196" s="629"/>
      <c r="O196" s="629"/>
      <c r="P196" s="629"/>
      <c r="Q196" s="629"/>
      <c r="R196" s="629"/>
      <c r="S196" s="629"/>
      <c r="T196" s="629"/>
      <c r="U196" s="629"/>
      <c r="V196" s="629"/>
      <c r="W196" s="629"/>
      <c r="X196" s="629"/>
      <c r="Y196" s="629"/>
      <c r="Z196" s="629"/>
      <c r="AA196" s="610"/>
      <c r="AB196" s="610"/>
      <c r="AC196" s="610"/>
    </row>
    <row r="197" spans="1:68" ht="14.25" hidden="1" customHeight="1" x14ac:dyDescent="0.25">
      <c r="A197" s="628" t="s">
        <v>117</v>
      </c>
      <c r="B197" s="629"/>
      <c r="C197" s="629"/>
      <c r="D197" s="629"/>
      <c r="E197" s="629"/>
      <c r="F197" s="629"/>
      <c r="G197" s="629"/>
      <c r="H197" s="629"/>
      <c r="I197" s="629"/>
      <c r="J197" s="629"/>
      <c r="K197" s="629"/>
      <c r="L197" s="629"/>
      <c r="M197" s="629"/>
      <c r="N197" s="629"/>
      <c r="O197" s="629"/>
      <c r="P197" s="629"/>
      <c r="Q197" s="629"/>
      <c r="R197" s="629"/>
      <c r="S197" s="629"/>
      <c r="T197" s="629"/>
      <c r="U197" s="629"/>
      <c r="V197" s="629"/>
      <c r="W197" s="629"/>
      <c r="X197" s="629"/>
      <c r="Y197" s="629"/>
      <c r="Z197" s="629"/>
      <c r="AA197" s="611"/>
      <c r="AB197" s="611"/>
      <c r="AC197" s="611"/>
    </row>
    <row r="198" spans="1:68" ht="27" hidden="1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70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6"/>
      <c r="R198" s="626"/>
      <c r="S198" s="626"/>
      <c r="T198" s="627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67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6"/>
      <c r="R199" s="626"/>
      <c r="S199" s="626"/>
      <c r="T199" s="627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66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6"/>
      <c r="R200" s="626"/>
      <c r="S200" s="626"/>
      <c r="T200" s="627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7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6"/>
      <c r="R201" s="626"/>
      <c r="S201" s="626"/>
      <c r="T201" s="627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6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6"/>
      <c r="R202" s="626"/>
      <c r="S202" s="626"/>
      <c r="T202" s="627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6"/>
      <c r="R203" s="626"/>
      <c r="S203" s="626"/>
      <c r="T203" s="627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6"/>
      <c r="R204" s="626"/>
      <c r="S204" s="626"/>
      <c r="T204" s="627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32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3"/>
      <c r="P205" s="640" t="s">
        <v>72</v>
      </c>
      <c r="Q205" s="641"/>
      <c r="R205" s="641"/>
      <c r="S205" s="641"/>
      <c r="T205" s="641"/>
      <c r="U205" s="641"/>
      <c r="V205" s="64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9"/>
      <c r="B206" s="629"/>
      <c r="C206" s="629"/>
      <c r="D206" s="629"/>
      <c r="E206" s="629"/>
      <c r="F206" s="629"/>
      <c r="G206" s="629"/>
      <c r="H206" s="629"/>
      <c r="I206" s="629"/>
      <c r="J206" s="629"/>
      <c r="K206" s="629"/>
      <c r="L206" s="629"/>
      <c r="M206" s="629"/>
      <c r="N206" s="629"/>
      <c r="O206" s="633"/>
      <c r="P206" s="640" t="s">
        <v>72</v>
      </c>
      <c r="Q206" s="641"/>
      <c r="R206" s="641"/>
      <c r="S206" s="641"/>
      <c r="T206" s="641"/>
      <c r="U206" s="641"/>
      <c r="V206" s="64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35" t="s">
        <v>349</v>
      </c>
      <c r="B207" s="629"/>
      <c r="C207" s="629"/>
      <c r="D207" s="629"/>
      <c r="E207" s="629"/>
      <c r="F207" s="629"/>
      <c r="G207" s="629"/>
      <c r="H207" s="629"/>
      <c r="I207" s="629"/>
      <c r="J207" s="629"/>
      <c r="K207" s="629"/>
      <c r="L207" s="629"/>
      <c r="M207" s="629"/>
      <c r="N207" s="629"/>
      <c r="O207" s="629"/>
      <c r="P207" s="629"/>
      <c r="Q207" s="629"/>
      <c r="R207" s="629"/>
      <c r="S207" s="629"/>
      <c r="T207" s="629"/>
      <c r="U207" s="629"/>
      <c r="V207" s="629"/>
      <c r="W207" s="629"/>
      <c r="X207" s="629"/>
      <c r="Y207" s="629"/>
      <c r="Z207" s="629"/>
      <c r="AA207" s="610"/>
      <c r="AB207" s="610"/>
      <c r="AC207" s="610"/>
    </row>
    <row r="208" spans="1:68" ht="14.25" hidden="1" customHeight="1" x14ac:dyDescent="0.25">
      <c r="A208" s="628" t="s">
        <v>153</v>
      </c>
      <c r="B208" s="629"/>
      <c r="C208" s="629"/>
      <c r="D208" s="629"/>
      <c r="E208" s="629"/>
      <c r="F208" s="629"/>
      <c r="G208" s="629"/>
      <c r="H208" s="629"/>
      <c r="I208" s="629"/>
      <c r="J208" s="629"/>
      <c r="K208" s="629"/>
      <c r="L208" s="629"/>
      <c r="M208" s="629"/>
      <c r="N208" s="629"/>
      <c r="O208" s="629"/>
      <c r="P208" s="629"/>
      <c r="Q208" s="629"/>
      <c r="R208" s="629"/>
      <c r="S208" s="629"/>
      <c r="T208" s="629"/>
      <c r="U208" s="629"/>
      <c r="V208" s="629"/>
      <c r="W208" s="629"/>
      <c r="X208" s="629"/>
      <c r="Y208" s="629"/>
      <c r="Z208" s="629"/>
      <c r="AA208" s="611"/>
      <c r="AB208" s="611"/>
      <c r="AC208" s="611"/>
    </row>
    <row r="209" spans="1:68" ht="27" hidden="1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9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6"/>
      <c r="R209" s="626"/>
      <c r="S209" s="626"/>
      <c r="T209" s="627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32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3"/>
      <c r="P210" s="640" t="s">
        <v>72</v>
      </c>
      <c r="Q210" s="641"/>
      <c r="R210" s="641"/>
      <c r="S210" s="641"/>
      <c r="T210" s="641"/>
      <c r="U210" s="641"/>
      <c r="V210" s="64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3"/>
      <c r="P211" s="640" t="s">
        <v>72</v>
      </c>
      <c r="Q211" s="641"/>
      <c r="R211" s="641"/>
      <c r="S211" s="641"/>
      <c r="T211" s="641"/>
      <c r="U211" s="641"/>
      <c r="V211" s="64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62</v>
      </c>
      <c r="B212" s="629"/>
      <c r="C212" s="629"/>
      <c r="D212" s="629"/>
      <c r="E212" s="629"/>
      <c r="F212" s="629"/>
      <c r="G212" s="629"/>
      <c r="H212" s="629"/>
      <c r="I212" s="629"/>
      <c r="J212" s="629"/>
      <c r="K212" s="629"/>
      <c r="L212" s="629"/>
      <c r="M212" s="629"/>
      <c r="N212" s="629"/>
      <c r="O212" s="629"/>
      <c r="P212" s="629"/>
      <c r="Q212" s="629"/>
      <c r="R212" s="629"/>
      <c r="S212" s="629"/>
      <c r="T212" s="629"/>
      <c r="U212" s="629"/>
      <c r="V212" s="629"/>
      <c r="W212" s="629"/>
      <c r="X212" s="629"/>
      <c r="Y212" s="629"/>
      <c r="Z212" s="629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95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6"/>
      <c r="R213" s="626"/>
      <c r="S213" s="626"/>
      <c r="T213" s="627"/>
      <c r="U213" s="34"/>
      <c r="V213" s="34"/>
      <c r="W213" s="35" t="s">
        <v>67</v>
      </c>
      <c r="X213" s="615">
        <v>51</v>
      </c>
      <c r="Y213" s="616">
        <f t="shared" ref="Y213:Y226" si="21">IFERROR(IF(X213="",0,CEILING((X213/$H213),1)*$H213),"")</f>
        <v>54.6</v>
      </c>
      <c r="Z213" s="36">
        <f>IFERROR(IF(Y213=0,"",ROUNDUP(Y213/H213,0)*0.00902),"")</f>
        <v>0.11726</v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54.035714285714285</v>
      </c>
      <c r="BN213" s="64">
        <f t="shared" ref="BN213:BN226" si="23">IFERROR(Y213*I213/H213,"0")</f>
        <v>57.85</v>
      </c>
      <c r="BO213" s="64">
        <f t="shared" ref="BO213:BO226" si="24">IFERROR(1/J213*(X213/H213),"0")</f>
        <v>9.1991341991341985E-2</v>
      </c>
      <c r="BP213" s="64">
        <f t="shared" ref="BP213:BP226" si="25">IFERROR(1/J213*(Y213/H213),"0")</f>
        <v>9.8484848484848481E-2</v>
      </c>
    </row>
    <row r="214" spans="1:68" ht="27" hidden="1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77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6"/>
      <c r="R214" s="626"/>
      <c r="S214" s="626"/>
      <c r="T214" s="627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96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6"/>
      <c r="R215" s="626"/>
      <c r="S215" s="626"/>
      <c r="T215" s="627"/>
      <c r="U215" s="34"/>
      <c r="V215" s="34"/>
      <c r="W215" s="35" t="s">
        <v>67</v>
      </c>
      <c r="X215" s="615">
        <v>79</v>
      </c>
      <c r="Y215" s="616">
        <f t="shared" si="21"/>
        <v>79.8</v>
      </c>
      <c r="Z215" s="36">
        <f>IFERROR(IF(Y215=0,"",ROUNDUP(Y215/H215,0)*0.00902),"")</f>
        <v>0.17138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82.573809523809516</v>
      </c>
      <c r="BN215" s="64">
        <f t="shared" si="23"/>
        <v>83.409999999999982</v>
      </c>
      <c r="BO215" s="64">
        <f t="shared" si="24"/>
        <v>0.14249639249639251</v>
      </c>
      <c r="BP215" s="64">
        <f t="shared" si="25"/>
        <v>0.14393939393939395</v>
      </c>
    </row>
    <row r="216" spans="1:68" ht="37.5" hidden="1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6"/>
      <c r="R216" s="626"/>
      <c r="S216" s="626"/>
      <c r="T216" s="627"/>
      <c r="U216" s="34"/>
      <c r="V216" s="34"/>
      <c r="W216" s="35" t="s">
        <v>67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6"/>
      <c r="R217" s="626"/>
      <c r="S217" s="626"/>
      <c r="T217" s="627"/>
      <c r="U217" s="34"/>
      <c r="V217" s="34"/>
      <c r="W217" s="35" t="s">
        <v>67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6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6"/>
      <c r="R218" s="626"/>
      <c r="S218" s="626"/>
      <c r="T218" s="627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6"/>
      <c r="R219" s="626"/>
      <c r="S219" s="626"/>
      <c r="T219" s="627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9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6"/>
      <c r="R220" s="626"/>
      <c r="S220" s="626"/>
      <c r="T220" s="627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96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6"/>
      <c r="R221" s="626"/>
      <c r="S221" s="626"/>
      <c r="T221" s="627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7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6"/>
      <c r="R222" s="626"/>
      <c r="S222" s="626"/>
      <c r="T222" s="627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90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6"/>
      <c r="R223" s="626"/>
      <c r="S223" s="626"/>
      <c r="T223" s="627"/>
      <c r="U223" s="34"/>
      <c r="V223" s="34"/>
      <c r="W223" s="35" t="s">
        <v>67</v>
      </c>
      <c r="X223" s="615">
        <v>9</v>
      </c>
      <c r="Y223" s="616">
        <f t="shared" si="21"/>
        <v>9.6000000000000014</v>
      </c>
      <c r="Z223" s="36">
        <f>IFERROR(IF(Y223=0,"",ROUNDUP(Y223/H223,0)*0.00417),"")</f>
        <v>5.0040000000000001E-2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11.362499999999999</v>
      </c>
      <c r="BN223" s="64">
        <f t="shared" si="23"/>
        <v>12.120000000000001</v>
      </c>
      <c r="BO223" s="64">
        <f t="shared" si="24"/>
        <v>3.3482142857142856E-2</v>
      </c>
      <c r="BP223" s="64">
        <f t="shared" si="25"/>
        <v>3.5714285714285719E-2</v>
      </c>
    </row>
    <row r="224" spans="1:68" ht="37.5" hidden="1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6"/>
      <c r="R224" s="626"/>
      <c r="S224" s="626"/>
      <c r="T224" s="627"/>
      <c r="U224" s="34"/>
      <c r="V224" s="34"/>
      <c r="W224" s="35" t="s">
        <v>67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7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6"/>
      <c r="R225" s="626"/>
      <c r="S225" s="626"/>
      <c r="T225" s="627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73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6"/>
      <c r="R226" s="626"/>
      <c r="S226" s="626"/>
      <c r="T226" s="627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32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3"/>
      <c r="P227" s="640" t="s">
        <v>72</v>
      </c>
      <c r="Q227" s="641"/>
      <c r="R227" s="641"/>
      <c r="S227" s="641"/>
      <c r="T227" s="641"/>
      <c r="U227" s="641"/>
      <c r="V227" s="64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42.202380952380949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44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0.33867999999999998</v>
      </c>
      <c r="AA227" s="618"/>
      <c r="AB227" s="618"/>
      <c r="AC227" s="618"/>
    </row>
    <row r="228" spans="1:68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3"/>
      <c r="P228" s="640" t="s">
        <v>72</v>
      </c>
      <c r="Q228" s="641"/>
      <c r="R228" s="641"/>
      <c r="S228" s="641"/>
      <c r="T228" s="641"/>
      <c r="U228" s="641"/>
      <c r="V228" s="642"/>
      <c r="W228" s="37" t="s">
        <v>67</v>
      </c>
      <c r="X228" s="617">
        <f>IFERROR(SUM(X213:X226),"0")</f>
        <v>139</v>
      </c>
      <c r="Y228" s="617">
        <f>IFERROR(SUM(Y213:Y226),"0")</f>
        <v>144</v>
      </c>
      <c r="Z228" s="37"/>
      <c r="AA228" s="618"/>
      <c r="AB228" s="618"/>
      <c r="AC228" s="618"/>
    </row>
    <row r="229" spans="1:68" ht="14.25" hidden="1" customHeight="1" x14ac:dyDescent="0.25">
      <c r="A229" s="628" t="s">
        <v>74</v>
      </c>
      <c r="B229" s="629"/>
      <c r="C229" s="629"/>
      <c r="D229" s="629"/>
      <c r="E229" s="629"/>
      <c r="F229" s="629"/>
      <c r="G229" s="629"/>
      <c r="H229" s="629"/>
      <c r="I229" s="629"/>
      <c r="J229" s="629"/>
      <c r="K229" s="629"/>
      <c r="L229" s="629"/>
      <c r="M229" s="629"/>
      <c r="N229" s="629"/>
      <c r="O229" s="629"/>
      <c r="P229" s="629"/>
      <c r="Q229" s="629"/>
      <c r="R229" s="629"/>
      <c r="S229" s="629"/>
      <c r="T229" s="629"/>
      <c r="U229" s="629"/>
      <c r="V229" s="629"/>
      <c r="W229" s="629"/>
      <c r="X229" s="629"/>
      <c r="Y229" s="629"/>
      <c r="Z229" s="629"/>
      <c r="AA229" s="611"/>
      <c r="AB229" s="611"/>
      <c r="AC229" s="611"/>
    </row>
    <row r="230" spans="1:68" ht="27" hidden="1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8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6"/>
      <c r="R230" s="626"/>
      <c r="S230" s="626"/>
      <c r="T230" s="627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85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6"/>
      <c r="R231" s="626"/>
      <c r="S231" s="626"/>
      <c r="T231" s="627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79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6"/>
      <c r="R232" s="626"/>
      <c r="S232" s="626"/>
      <c r="T232" s="627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6"/>
      <c r="R233" s="626"/>
      <c r="S233" s="626"/>
      <c r="T233" s="627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94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6"/>
      <c r="R234" s="626"/>
      <c r="S234" s="626"/>
      <c r="T234" s="627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3"/>
      <c r="P235" s="640" t="s">
        <v>72</v>
      </c>
      <c r="Q235" s="641"/>
      <c r="R235" s="641"/>
      <c r="S235" s="641"/>
      <c r="T235" s="641"/>
      <c r="U235" s="641"/>
      <c r="V235" s="64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3"/>
      <c r="P236" s="640" t="s">
        <v>72</v>
      </c>
      <c r="Q236" s="641"/>
      <c r="R236" s="641"/>
      <c r="S236" s="641"/>
      <c r="T236" s="641"/>
      <c r="U236" s="641"/>
      <c r="V236" s="64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92</v>
      </c>
      <c r="B237" s="629"/>
      <c r="C237" s="629"/>
      <c r="D237" s="629"/>
      <c r="E237" s="629"/>
      <c r="F237" s="629"/>
      <c r="G237" s="629"/>
      <c r="H237" s="629"/>
      <c r="I237" s="629"/>
      <c r="J237" s="629"/>
      <c r="K237" s="629"/>
      <c r="L237" s="629"/>
      <c r="M237" s="629"/>
      <c r="N237" s="629"/>
      <c r="O237" s="629"/>
      <c r="P237" s="629"/>
      <c r="Q237" s="629"/>
      <c r="R237" s="629"/>
      <c r="S237" s="629"/>
      <c r="T237" s="629"/>
      <c r="U237" s="629"/>
      <c r="V237" s="629"/>
      <c r="W237" s="629"/>
      <c r="X237" s="629"/>
      <c r="Y237" s="629"/>
      <c r="Z237" s="629"/>
      <c r="AA237" s="611"/>
      <c r="AB237" s="611"/>
      <c r="AC237" s="611"/>
    </row>
    <row r="238" spans="1:68" ht="27" hidden="1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6"/>
      <c r="R238" s="626"/>
      <c r="S238" s="626"/>
      <c r="T238" s="627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8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6"/>
      <c r="R239" s="626"/>
      <c r="S239" s="626"/>
      <c r="T239" s="627"/>
      <c r="U239" s="34"/>
      <c r="V239" s="34"/>
      <c r="W239" s="35" t="s">
        <v>67</v>
      </c>
      <c r="X239" s="615">
        <v>1</v>
      </c>
      <c r="Y239" s="616">
        <f>IFERROR(IF(X239="",0,CEILING((X239/$H239),1)*$H239),"")</f>
        <v>1.26</v>
      </c>
      <c r="Z239" s="36">
        <f>IFERROR(IF(Y239=0,"",ROUNDUP(Y239/H239,0)*0.0059),"")</f>
        <v>5.8999999999999999E-3</v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1.1507936507936507</v>
      </c>
      <c r="BN239" s="64">
        <f>IFERROR(Y239*I239/H239,"0")</f>
        <v>1.45</v>
      </c>
      <c r="BO239" s="64">
        <f>IFERROR(1/J239*(X239/H239),"0")</f>
        <v>3.6743092298647849E-3</v>
      </c>
      <c r="BP239" s="64">
        <f>IFERROR(1/J239*(Y239/H239),"0")</f>
        <v>4.6296296296296294E-3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9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6"/>
      <c r="R240" s="626"/>
      <c r="S240" s="626"/>
      <c r="T240" s="627"/>
      <c r="U240" s="34"/>
      <c r="V240" s="34"/>
      <c r="W240" s="35" t="s">
        <v>67</v>
      </c>
      <c r="X240" s="615">
        <v>2</v>
      </c>
      <c r="Y240" s="616">
        <f>IFERROR(IF(X240="",0,CEILING((X240/$H240),1)*$H240),"")</f>
        <v>2.52</v>
      </c>
      <c r="Z240" s="36">
        <f>IFERROR(IF(Y240=0,"",ROUNDUP(Y240/H240,0)*0.0059),"")</f>
        <v>1.18E-2</v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2.3015873015873014</v>
      </c>
      <c r="BN240" s="64">
        <f>IFERROR(Y240*I240/H240,"0")</f>
        <v>2.9</v>
      </c>
      <c r="BO240" s="64">
        <f>IFERROR(1/J240*(X240/H240),"0")</f>
        <v>7.3486184597295699E-3</v>
      </c>
      <c r="BP240" s="64">
        <f>IFERROR(1/J240*(Y240/H240),"0")</f>
        <v>9.2592592592592587E-3</v>
      </c>
    </row>
    <row r="241" spans="1:68" x14ac:dyDescent="0.2">
      <c r="A241" s="632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3"/>
      <c r="P241" s="640" t="s">
        <v>72</v>
      </c>
      <c r="Q241" s="641"/>
      <c r="R241" s="641"/>
      <c r="S241" s="641"/>
      <c r="T241" s="641"/>
      <c r="U241" s="641"/>
      <c r="V241" s="642"/>
      <c r="W241" s="37" t="s">
        <v>73</v>
      </c>
      <c r="X241" s="617">
        <f>IFERROR(X238/H238,"0")+IFERROR(X239/H239,"0")+IFERROR(X240/H240,"0")</f>
        <v>2.3809523809523809</v>
      </c>
      <c r="Y241" s="617">
        <f>IFERROR(Y238/H238,"0")+IFERROR(Y239/H239,"0")+IFERROR(Y240/H240,"0")</f>
        <v>3</v>
      </c>
      <c r="Z241" s="617">
        <f>IFERROR(IF(Z238="",0,Z238),"0")+IFERROR(IF(Z239="",0,Z239),"0")+IFERROR(IF(Z240="",0,Z240),"0")</f>
        <v>1.77E-2</v>
      </c>
      <c r="AA241" s="618"/>
      <c r="AB241" s="618"/>
      <c r="AC241" s="618"/>
    </row>
    <row r="242" spans="1:68" x14ac:dyDescent="0.2">
      <c r="A242" s="629"/>
      <c r="B242" s="629"/>
      <c r="C242" s="629"/>
      <c r="D242" s="629"/>
      <c r="E242" s="629"/>
      <c r="F242" s="629"/>
      <c r="G242" s="629"/>
      <c r="H242" s="629"/>
      <c r="I242" s="629"/>
      <c r="J242" s="629"/>
      <c r="K242" s="629"/>
      <c r="L242" s="629"/>
      <c r="M242" s="629"/>
      <c r="N242" s="629"/>
      <c r="O242" s="633"/>
      <c r="P242" s="640" t="s">
        <v>72</v>
      </c>
      <c r="Q242" s="641"/>
      <c r="R242" s="641"/>
      <c r="S242" s="641"/>
      <c r="T242" s="641"/>
      <c r="U242" s="641"/>
      <c r="V242" s="642"/>
      <c r="W242" s="37" t="s">
        <v>67</v>
      </c>
      <c r="X242" s="617">
        <f>IFERROR(SUM(X238:X240),"0")</f>
        <v>3</v>
      </c>
      <c r="Y242" s="617">
        <f>IFERROR(SUM(Y238:Y240),"0")</f>
        <v>3.7800000000000002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413</v>
      </c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29"/>
      <c r="P243" s="629"/>
      <c r="Q243" s="629"/>
      <c r="R243" s="629"/>
      <c r="S243" s="629"/>
      <c r="T243" s="629"/>
      <c r="U243" s="629"/>
      <c r="V243" s="629"/>
      <c r="W243" s="629"/>
      <c r="X243" s="629"/>
      <c r="Y243" s="629"/>
      <c r="Z243" s="629"/>
      <c r="AA243" s="611"/>
      <c r="AB243" s="611"/>
      <c r="AC243" s="611"/>
    </row>
    <row r="244" spans="1:68" ht="27" hidden="1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93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6"/>
      <c r="R244" s="626"/>
      <c r="S244" s="626"/>
      <c r="T244" s="627"/>
      <c r="U244" s="34"/>
      <c r="V244" s="34"/>
      <c r="W244" s="35" t="s">
        <v>67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3"/>
      <c r="P245" s="640" t="s">
        <v>72</v>
      </c>
      <c r="Q245" s="641"/>
      <c r="R245" s="641"/>
      <c r="S245" s="641"/>
      <c r="T245" s="641"/>
      <c r="U245" s="641"/>
      <c r="V245" s="642"/>
      <c r="W245" s="37" t="s">
        <v>73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hidden="1" x14ac:dyDescent="0.2">
      <c r="A246" s="629"/>
      <c r="B246" s="629"/>
      <c r="C246" s="629"/>
      <c r="D246" s="629"/>
      <c r="E246" s="629"/>
      <c r="F246" s="629"/>
      <c r="G246" s="629"/>
      <c r="H246" s="629"/>
      <c r="I246" s="629"/>
      <c r="J246" s="629"/>
      <c r="K246" s="629"/>
      <c r="L246" s="629"/>
      <c r="M246" s="629"/>
      <c r="N246" s="629"/>
      <c r="O246" s="633"/>
      <c r="P246" s="640" t="s">
        <v>72</v>
      </c>
      <c r="Q246" s="641"/>
      <c r="R246" s="641"/>
      <c r="S246" s="641"/>
      <c r="T246" s="641"/>
      <c r="U246" s="641"/>
      <c r="V246" s="642"/>
      <c r="W246" s="37" t="s">
        <v>67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hidden="1" customHeight="1" x14ac:dyDescent="0.25">
      <c r="A247" s="635" t="s">
        <v>416</v>
      </c>
      <c r="B247" s="629"/>
      <c r="C247" s="629"/>
      <c r="D247" s="629"/>
      <c r="E247" s="629"/>
      <c r="F247" s="629"/>
      <c r="G247" s="629"/>
      <c r="H247" s="629"/>
      <c r="I247" s="629"/>
      <c r="J247" s="629"/>
      <c r="K247" s="629"/>
      <c r="L247" s="629"/>
      <c r="M247" s="629"/>
      <c r="N247" s="629"/>
      <c r="O247" s="629"/>
      <c r="P247" s="629"/>
      <c r="Q247" s="629"/>
      <c r="R247" s="629"/>
      <c r="S247" s="629"/>
      <c r="T247" s="629"/>
      <c r="U247" s="629"/>
      <c r="V247" s="629"/>
      <c r="W247" s="629"/>
      <c r="X247" s="629"/>
      <c r="Y247" s="629"/>
      <c r="Z247" s="629"/>
      <c r="AA247" s="610"/>
      <c r="AB247" s="610"/>
      <c r="AC247" s="610"/>
    </row>
    <row r="248" spans="1:68" ht="14.25" hidden="1" customHeight="1" x14ac:dyDescent="0.25">
      <c r="A248" s="628" t="s">
        <v>117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11"/>
      <c r="AB248" s="611"/>
      <c r="AC248" s="611"/>
    </row>
    <row r="249" spans="1:68" ht="27" hidden="1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95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6"/>
      <c r="R249" s="626"/>
      <c r="S249" s="626"/>
      <c r="T249" s="627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9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6"/>
      <c r="R250" s="626"/>
      <c r="S250" s="626"/>
      <c r="T250" s="627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3"/>
      <c r="P251" s="640" t="s">
        <v>72</v>
      </c>
      <c r="Q251" s="641"/>
      <c r="R251" s="641"/>
      <c r="S251" s="641"/>
      <c r="T251" s="641"/>
      <c r="U251" s="641"/>
      <c r="V251" s="64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3"/>
      <c r="P252" s="640" t="s">
        <v>72</v>
      </c>
      <c r="Q252" s="641"/>
      <c r="R252" s="641"/>
      <c r="S252" s="641"/>
      <c r="T252" s="641"/>
      <c r="U252" s="641"/>
      <c r="V252" s="64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153</v>
      </c>
      <c r="B253" s="629"/>
      <c r="C253" s="629"/>
      <c r="D253" s="629"/>
      <c r="E253" s="629"/>
      <c r="F253" s="629"/>
      <c r="G253" s="629"/>
      <c r="H253" s="629"/>
      <c r="I253" s="629"/>
      <c r="J253" s="629"/>
      <c r="K253" s="629"/>
      <c r="L253" s="629"/>
      <c r="M253" s="629"/>
      <c r="N253" s="629"/>
      <c r="O253" s="629"/>
      <c r="P253" s="629"/>
      <c r="Q253" s="629"/>
      <c r="R253" s="629"/>
      <c r="S253" s="629"/>
      <c r="T253" s="629"/>
      <c r="U253" s="629"/>
      <c r="V253" s="629"/>
      <c r="W253" s="629"/>
      <c r="X253" s="629"/>
      <c r="Y253" s="629"/>
      <c r="Z253" s="629"/>
      <c r="AA253" s="611"/>
      <c r="AB253" s="611"/>
      <c r="AC253" s="611"/>
    </row>
    <row r="254" spans="1:68" ht="16.5" hidden="1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78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6"/>
      <c r="R254" s="626"/>
      <c r="S254" s="626"/>
      <c r="T254" s="627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9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6"/>
      <c r="R255" s="626"/>
      <c r="S255" s="626"/>
      <c r="T255" s="627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3"/>
      <c r="P256" s="640" t="s">
        <v>72</v>
      </c>
      <c r="Q256" s="641"/>
      <c r="R256" s="641"/>
      <c r="S256" s="641"/>
      <c r="T256" s="641"/>
      <c r="U256" s="641"/>
      <c r="V256" s="64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3"/>
      <c r="P257" s="640" t="s">
        <v>72</v>
      </c>
      <c r="Q257" s="641"/>
      <c r="R257" s="641"/>
      <c r="S257" s="641"/>
      <c r="T257" s="641"/>
      <c r="U257" s="641"/>
      <c r="V257" s="64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62</v>
      </c>
      <c r="B258" s="629"/>
      <c r="C258" s="629"/>
      <c r="D258" s="629"/>
      <c r="E258" s="629"/>
      <c r="F258" s="629"/>
      <c r="G258" s="629"/>
      <c r="H258" s="629"/>
      <c r="I258" s="629"/>
      <c r="J258" s="629"/>
      <c r="K258" s="629"/>
      <c r="L258" s="629"/>
      <c r="M258" s="629"/>
      <c r="N258" s="629"/>
      <c r="O258" s="629"/>
      <c r="P258" s="629"/>
      <c r="Q258" s="629"/>
      <c r="R258" s="629"/>
      <c r="S258" s="629"/>
      <c r="T258" s="629"/>
      <c r="U258" s="629"/>
      <c r="V258" s="629"/>
      <c r="W258" s="629"/>
      <c r="X258" s="629"/>
      <c r="Y258" s="629"/>
      <c r="Z258" s="629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9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6"/>
      <c r="R259" s="626"/>
      <c r="S259" s="626"/>
      <c r="T259" s="627"/>
      <c r="U259" s="34"/>
      <c r="V259" s="34"/>
      <c r="W259" s="35" t="s">
        <v>67</v>
      </c>
      <c r="X259" s="615">
        <v>161</v>
      </c>
      <c r="Y259" s="616">
        <f t="shared" ref="Y259:Y266" si="27">IFERROR(IF(X259="",0,CEILING((X259/$H259),1)*$H259),"")</f>
        <v>162</v>
      </c>
      <c r="Z259" s="36">
        <f>IFERROR(IF(Y259=0,"",ROUNDUP(Y259/H259,0)*0.00902),"")</f>
        <v>0.27060000000000001</v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166.6648148148148</v>
      </c>
      <c r="BN259" s="64">
        <f t="shared" ref="BN259:BN266" si="29">IFERROR(Y259*I259/H259,"0")</f>
        <v>167.7</v>
      </c>
      <c r="BO259" s="64">
        <f t="shared" ref="BO259:BO266" si="30">IFERROR(1/J259*(X259/H259),"0")</f>
        <v>0.22586980920314254</v>
      </c>
      <c r="BP259" s="64">
        <f t="shared" ref="BP259:BP266" si="31">IFERROR(1/J259*(Y259/H259),"0")</f>
        <v>0.22727272727272727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6"/>
      <c r="R260" s="626"/>
      <c r="S260" s="626"/>
      <c r="T260" s="627"/>
      <c r="U260" s="34"/>
      <c r="V260" s="34"/>
      <c r="W260" s="35" t="s">
        <v>67</v>
      </c>
      <c r="X260" s="615">
        <v>28</v>
      </c>
      <c r="Y260" s="616">
        <f t="shared" si="27"/>
        <v>32.400000000000006</v>
      </c>
      <c r="Z260" s="36">
        <f>IFERROR(IF(Y260=0,"",ROUNDUP(Y260/H260,0)*0.00902),"")</f>
        <v>5.4120000000000001E-2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28.985185185185181</v>
      </c>
      <c r="BN260" s="64">
        <f t="shared" si="29"/>
        <v>33.54</v>
      </c>
      <c r="BO260" s="64">
        <f t="shared" si="30"/>
        <v>3.9281705948372617E-2</v>
      </c>
      <c r="BP260" s="64">
        <f t="shared" si="31"/>
        <v>4.5454545454545463E-2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6"/>
      <c r="R261" s="626"/>
      <c r="S261" s="626"/>
      <c r="T261" s="627"/>
      <c r="U261" s="34"/>
      <c r="V261" s="34"/>
      <c r="W261" s="35" t="s">
        <v>67</v>
      </c>
      <c r="X261" s="615">
        <v>57</v>
      </c>
      <c r="Y261" s="616">
        <f t="shared" si="27"/>
        <v>59.400000000000006</v>
      </c>
      <c r="Z261" s="36">
        <f>IFERROR(IF(Y261=0,"",ROUNDUP(Y261/H261,0)*0.00902),"")</f>
        <v>9.9220000000000003E-2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59.005555555555553</v>
      </c>
      <c r="BN261" s="64">
        <f t="shared" si="29"/>
        <v>61.49</v>
      </c>
      <c r="BO261" s="64">
        <f t="shared" si="30"/>
        <v>7.9966329966329963E-2</v>
      </c>
      <c r="BP261" s="64">
        <f t="shared" si="31"/>
        <v>8.3333333333333343E-2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68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6"/>
      <c r="R262" s="626"/>
      <c r="S262" s="626"/>
      <c r="T262" s="627"/>
      <c r="U262" s="34"/>
      <c r="V262" s="34"/>
      <c r="W262" s="35" t="s">
        <v>67</v>
      </c>
      <c r="X262" s="615">
        <v>303</v>
      </c>
      <c r="Y262" s="616">
        <f t="shared" si="27"/>
        <v>307.8</v>
      </c>
      <c r="Z262" s="36">
        <f>IFERROR(IF(Y262=0,"",ROUNDUP(Y262/H262,0)*0.00902),"")</f>
        <v>0.51414000000000004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313.6611111111111</v>
      </c>
      <c r="BN262" s="64">
        <f t="shared" si="29"/>
        <v>318.63</v>
      </c>
      <c r="BO262" s="64">
        <f t="shared" si="30"/>
        <v>0.42508417508417506</v>
      </c>
      <c r="BP262" s="64">
        <f t="shared" si="31"/>
        <v>0.43181818181818182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68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6"/>
      <c r="R263" s="626"/>
      <c r="S263" s="626"/>
      <c r="T263" s="627"/>
      <c r="U263" s="34"/>
      <c r="V263" s="34"/>
      <c r="W263" s="35" t="s">
        <v>67</v>
      </c>
      <c r="X263" s="615">
        <v>27</v>
      </c>
      <c r="Y263" s="616">
        <f t="shared" si="27"/>
        <v>27</v>
      </c>
      <c r="Z263" s="36">
        <f>IFERROR(IF(Y263=0,"",ROUNDUP(Y263/H263,0)*0.00502),"")</f>
        <v>7.5300000000000006E-2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28.95</v>
      </c>
      <c r="BN263" s="64">
        <f t="shared" si="29"/>
        <v>28.95</v>
      </c>
      <c r="BO263" s="64">
        <f t="shared" si="30"/>
        <v>6.4102564102564111E-2</v>
      </c>
      <c r="BP263" s="64">
        <f t="shared" si="31"/>
        <v>6.4102564102564111E-2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85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6"/>
      <c r="R264" s="626"/>
      <c r="S264" s="626"/>
      <c r="T264" s="627"/>
      <c r="U264" s="34"/>
      <c r="V264" s="34"/>
      <c r="W264" s="35" t="s">
        <v>67</v>
      </c>
      <c r="X264" s="615">
        <v>27</v>
      </c>
      <c r="Y264" s="616">
        <f t="shared" si="27"/>
        <v>27</v>
      </c>
      <c r="Z264" s="36">
        <f>IFERROR(IF(Y264=0,"",ROUNDUP(Y264/H264,0)*0.00502),"")</f>
        <v>7.5300000000000006E-2</v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28.499999999999996</v>
      </c>
      <c r="BN264" s="64">
        <f t="shared" si="29"/>
        <v>28.499999999999996</v>
      </c>
      <c r="BO264" s="64">
        <f t="shared" si="30"/>
        <v>6.4102564102564111E-2</v>
      </c>
      <c r="BP264" s="64">
        <f t="shared" si="31"/>
        <v>6.4102564102564111E-2</v>
      </c>
    </row>
    <row r="265" spans="1:68" ht="27" hidden="1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6"/>
      <c r="R265" s="626"/>
      <c r="S265" s="626"/>
      <c r="T265" s="627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9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6"/>
      <c r="R266" s="626"/>
      <c r="S266" s="626"/>
      <c r="T266" s="627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x14ac:dyDescent="0.2">
      <c r="A267" s="632"/>
      <c r="B267" s="629"/>
      <c r="C267" s="629"/>
      <c r="D267" s="629"/>
      <c r="E267" s="629"/>
      <c r="F267" s="629"/>
      <c r="G267" s="629"/>
      <c r="H267" s="629"/>
      <c r="I267" s="629"/>
      <c r="J267" s="629"/>
      <c r="K267" s="629"/>
      <c r="L267" s="629"/>
      <c r="M267" s="629"/>
      <c r="N267" s="629"/>
      <c r="O267" s="633"/>
      <c r="P267" s="640" t="s">
        <v>72</v>
      </c>
      <c r="Q267" s="641"/>
      <c r="R267" s="641"/>
      <c r="S267" s="641"/>
      <c r="T267" s="641"/>
      <c r="U267" s="641"/>
      <c r="V267" s="64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131.66666666666666</v>
      </c>
      <c r="Y267" s="617">
        <f>IFERROR(Y259/H259,"0")+IFERROR(Y260/H260,"0")+IFERROR(Y261/H261,"0")+IFERROR(Y262/H262,"0")+IFERROR(Y263/H263,"0")+IFERROR(Y264/H264,"0")+IFERROR(Y265/H265,"0")+IFERROR(Y266/H266,"0")</f>
        <v>134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1.0886799999999999</v>
      </c>
      <c r="AA267" s="618"/>
      <c r="AB267" s="618"/>
      <c r="AC267" s="618"/>
    </row>
    <row r="268" spans="1:68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3"/>
      <c r="P268" s="640" t="s">
        <v>72</v>
      </c>
      <c r="Q268" s="641"/>
      <c r="R268" s="641"/>
      <c r="S268" s="641"/>
      <c r="T268" s="641"/>
      <c r="U268" s="641"/>
      <c r="V268" s="642"/>
      <c r="W268" s="37" t="s">
        <v>67</v>
      </c>
      <c r="X268" s="617">
        <f>IFERROR(SUM(X259:X266),"0")</f>
        <v>603</v>
      </c>
      <c r="Y268" s="617">
        <f>IFERROR(SUM(Y259:Y266),"0")</f>
        <v>615.6</v>
      </c>
      <c r="Z268" s="37"/>
      <c r="AA268" s="618"/>
      <c r="AB268" s="618"/>
      <c r="AC268" s="618"/>
    </row>
    <row r="269" spans="1:68" ht="14.25" hidden="1" customHeight="1" x14ac:dyDescent="0.25">
      <c r="A269" s="628" t="s">
        <v>74</v>
      </c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29"/>
      <c r="P269" s="629"/>
      <c r="Q269" s="629"/>
      <c r="R269" s="629"/>
      <c r="S269" s="629"/>
      <c r="T269" s="629"/>
      <c r="U269" s="629"/>
      <c r="V269" s="629"/>
      <c r="W269" s="629"/>
      <c r="X269" s="629"/>
      <c r="Y269" s="629"/>
      <c r="Z269" s="629"/>
      <c r="AA269" s="611"/>
      <c r="AB269" s="611"/>
      <c r="AC269" s="611"/>
    </row>
    <row r="270" spans="1:68" ht="27" hidden="1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6"/>
      <c r="R270" s="626"/>
      <c r="S270" s="626"/>
      <c r="T270" s="627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93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6"/>
      <c r="R271" s="626"/>
      <c r="S271" s="626"/>
      <c r="T271" s="627"/>
      <c r="U271" s="34"/>
      <c r="V271" s="34"/>
      <c r="W271" s="35" t="s">
        <v>67</v>
      </c>
      <c r="X271" s="615">
        <v>31</v>
      </c>
      <c r="Y271" s="616">
        <f t="shared" si="32"/>
        <v>32.4</v>
      </c>
      <c r="Z271" s="36">
        <f>IFERROR(IF(Y271=0,"",ROUNDUP(Y271/H271,0)*0.01898),"")</f>
        <v>7.5920000000000001E-2</v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32.821728395061726</v>
      </c>
      <c r="BN271" s="64">
        <f t="shared" si="34"/>
        <v>34.304000000000002</v>
      </c>
      <c r="BO271" s="64">
        <f t="shared" si="35"/>
        <v>5.9799382716049385E-2</v>
      </c>
      <c r="BP271" s="64">
        <f t="shared" si="36"/>
        <v>6.25E-2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6"/>
      <c r="R272" s="626"/>
      <c r="S272" s="626"/>
      <c r="T272" s="627"/>
      <c r="U272" s="34"/>
      <c r="V272" s="34"/>
      <c r="W272" s="35" t="s">
        <v>67</v>
      </c>
      <c r="X272" s="615">
        <v>32</v>
      </c>
      <c r="Y272" s="616">
        <f t="shared" si="32"/>
        <v>34.799999999999997</v>
      </c>
      <c r="Z272" s="36">
        <f>IFERROR(IF(Y272=0,"",ROUNDUP(Y272/H272,0)*0.01898),"")</f>
        <v>7.5920000000000001E-2</v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33.817011494252881</v>
      </c>
      <c r="BN272" s="64">
        <f t="shared" si="34"/>
        <v>36.776000000000003</v>
      </c>
      <c r="BO272" s="64">
        <f t="shared" si="35"/>
        <v>5.7471264367816098E-2</v>
      </c>
      <c r="BP272" s="64">
        <f t="shared" si="36"/>
        <v>6.25E-2</v>
      </c>
    </row>
    <row r="273" spans="1:68" ht="27" hidden="1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9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6"/>
      <c r="R273" s="626"/>
      <c r="S273" s="626"/>
      <c r="T273" s="627"/>
      <c r="U273" s="34"/>
      <c r="V273" s="34"/>
      <c r="W273" s="35" t="s">
        <v>67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hidden="1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7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6"/>
      <c r="R274" s="626"/>
      <c r="S274" s="626"/>
      <c r="T274" s="627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97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6"/>
      <c r="R275" s="626"/>
      <c r="S275" s="626"/>
      <c r="T275" s="627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73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6"/>
      <c r="R276" s="626"/>
      <c r="S276" s="626"/>
      <c r="T276" s="627"/>
      <c r="U276" s="34"/>
      <c r="V276" s="34"/>
      <c r="W276" s="35" t="s">
        <v>67</v>
      </c>
      <c r="X276" s="615">
        <v>370</v>
      </c>
      <c r="Y276" s="616">
        <f t="shared" si="32"/>
        <v>372</v>
      </c>
      <c r="Z276" s="36">
        <f>IFERROR(IF(Y276=0,"",ROUNDUP(Y276/H276,0)*0.00651),"")</f>
        <v>1.00905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408.85</v>
      </c>
      <c r="BN276" s="64">
        <f t="shared" si="34"/>
        <v>411.06000000000006</v>
      </c>
      <c r="BO276" s="64">
        <f t="shared" si="35"/>
        <v>0.84706959706959728</v>
      </c>
      <c r="BP276" s="64">
        <f t="shared" si="36"/>
        <v>0.85164835164835173</v>
      </c>
    </row>
    <row r="277" spans="1:68" ht="27" hidden="1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9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6"/>
      <c r="R277" s="626"/>
      <c r="S277" s="626"/>
      <c r="T277" s="627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hidden="1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7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6"/>
      <c r="R278" s="626"/>
      <c r="S278" s="626"/>
      <c r="T278" s="627"/>
      <c r="U278" s="34"/>
      <c r="V278" s="34"/>
      <c r="W278" s="35" t="s">
        <v>67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7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6"/>
      <c r="R279" s="626"/>
      <c r="S279" s="626"/>
      <c r="T279" s="627"/>
      <c r="U279" s="34"/>
      <c r="V279" s="34"/>
      <c r="W279" s="35" t="s">
        <v>67</v>
      </c>
      <c r="X279" s="615">
        <v>61</v>
      </c>
      <c r="Y279" s="616">
        <f t="shared" si="32"/>
        <v>62.4</v>
      </c>
      <c r="Z279" s="36">
        <f>IFERROR(IF(Y279=0,"",ROUNDUP(Y279/H279,0)*0.00651),"")</f>
        <v>0.16925999999999999</v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67.405000000000015</v>
      </c>
      <c r="BN279" s="64">
        <f t="shared" si="34"/>
        <v>68.952000000000012</v>
      </c>
      <c r="BO279" s="64">
        <f t="shared" si="35"/>
        <v>0.13965201465201468</v>
      </c>
      <c r="BP279" s="64">
        <f t="shared" si="36"/>
        <v>0.14285714285714288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6"/>
      <c r="R280" s="626"/>
      <c r="S280" s="626"/>
      <c r="T280" s="627"/>
      <c r="U280" s="34"/>
      <c r="V280" s="34"/>
      <c r="W280" s="35" t="s">
        <v>67</v>
      </c>
      <c r="X280" s="615">
        <v>8</v>
      </c>
      <c r="Y280" s="616">
        <f t="shared" si="32"/>
        <v>9.6</v>
      </c>
      <c r="Z280" s="36">
        <f>IFERROR(IF(Y280=0,"",ROUNDUP(Y280/H280,0)*0.00651),"")</f>
        <v>2.6040000000000001E-2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8.86</v>
      </c>
      <c r="BN280" s="64">
        <f t="shared" si="34"/>
        <v>10.632</v>
      </c>
      <c r="BO280" s="64">
        <f t="shared" si="35"/>
        <v>1.8315018315018316E-2</v>
      </c>
      <c r="BP280" s="64">
        <f t="shared" si="36"/>
        <v>2.197802197802198E-2</v>
      </c>
    </row>
    <row r="281" spans="1:68" ht="27" hidden="1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6"/>
      <c r="R281" s="626"/>
      <c r="S281" s="626"/>
      <c r="T281" s="627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32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3"/>
      <c r="P282" s="640" t="s">
        <v>72</v>
      </c>
      <c r="Q282" s="641"/>
      <c r="R282" s="641"/>
      <c r="S282" s="641"/>
      <c r="T282" s="641"/>
      <c r="U282" s="641"/>
      <c r="V282" s="64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190.42198808003408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193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1.35619</v>
      </c>
      <c r="AA282" s="618"/>
      <c r="AB282" s="618"/>
      <c r="AC282" s="618"/>
    </row>
    <row r="283" spans="1:68" x14ac:dyDescent="0.2">
      <c r="A283" s="629"/>
      <c r="B283" s="629"/>
      <c r="C283" s="629"/>
      <c r="D283" s="629"/>
      <c r="E283" s="629"/>
      <c r="F283" s="629"/>
      <c r="G283" s="629"/>
      <c r="H283" s="629"/>
      <c r="I283" s="629"/>
      <c r="J283" s="629"/>
      <c r="K283" s="629"/>
      <c r="L283" s="629"/>
      <c r="M283" s="629"/>
      <c r="N283" s="629"/>
      <c r="O283" s="633"/>
      <c r="P283" s="640" t="s">
        <v>72</v>
      </c>
      <c r="Q283" s="641"/>
      <c r="R283" s="641"/>
      <c r="S283" s="641"/>
      <c r="T283" s="641"/>
      <c r="U283" s="641"/>
      <c r="V283" s="642"/>
      <c r="W283" s="37" t="s">
        <v>67</v>
      </c>
      <c r="X283" s="617">
        <f>IFERROR(SUM(X270:X281),"0")</f>
        <v>502</v>
      </c>
      <c r="Y283" s="617">
        <f>IFERROR(SUM(Y270:Y281),"0")</f>
        <v>511.2</v>
      </c>
      <c r="Z283" s="37"/>
      <c r="AA283" s="618"/>
      <c r="AB283" s="618"/>
      <c r="AC283" s="618"/>
    </row>
    <row r="284" spans="1:68" ht="14.25" hidden="1" customHeight="1" x14ac:dyDescent="0.25">
      <c r="A284" s="628" t="s">
        <v>170</v>
      </c>
      <c r="B284" s="629"/>
      <c r="C284" s="629"/>
      <c r="D284" s="629"/>
      <c r="E284" s="629"/>
      <c r="F284" s="629"/>
      <c r="G284" s="629"/>
      <c r="H284" s="629"/>
      <c r="I284" s="629"/>
      <c r="J284" s="629"/>
      <c r="K284" s="629"/>
      <c r="L284" s="629"/>
      <c r="M284" s="629"/>
      <c r="N284" s="629"/>
      <c r="O284" s="629"/>
      <c r="P284" s="629"/>
      <c r="Q284" s="629"/>
      <c r="R284" s="629"/>
      <c r="S284" s="629"/>
      <c r="T284" s="629"/>
      <c r="U284" s="629"/>
      <c r="V284" s="629"/>
      <c r="W284" s="629"/>
      <c r="X284" s="629"/>
      <c r="Y284" s="629"/>
      <c r="Z284" s="629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85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6"/>
      <c r="R285" s="626"/>
      <c r="S285" s="626"/>
      <c r="T285" s="627"/>
      <c r="U285" s="34"/>
      <c r="V285" s="34"/>
      <c r="W285" s="35" t="s">
        <v>67</v>
      </c>
      <c r="X285" s="615">
        <v>2</v>
      </c>
      <c r="Y285" s="616">
        <f>IFERROR(IF(X285="",0,CEILING((X285/$H285),1)*$H285),"")</f>
        <v>2.4</v>
      </c>
      <c r="Z285" s="36">
        <f>IFERROR(IF(Y285=0,"",ROUNDUP(Y285/H285,0)*0.00651),"")</f>
        <v>6.5100000000000002E-3</v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2.2100000000000004</v>
      </c>
      <c r="BN285" s="64">
        <f>IFERROR(Y285*I285/H285,"0")</f>
        <v>2.6520000000000001</v>
      </c>
      <c r="BO285" s="64">
        <f>IFERROR(1/J285*(X285/H285),"0")</f>
        <v>4.578754578754579E-3</v>
      </c>
      <c r="BP285" s="64">
        <f>IFERROR(1/J285*(Y285/H285),"0")</f>
        <v>5.4945054945054949E-3</v>
      </c>
    </row>
    <row r="286" spans="1:68" ht="27" hidden="1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6"/>
      <c r="R286" s="626"/>
      <c r="S286" s="626"/>
      <c r="T286" s="627"/>
      <c r="U286" s="34"/>
      <c r="V286" s="34"/>
      <c r="W286" s="35" t="s">
        <v>67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32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3"/>
      <c r="P287" s="640" t="s">
        <v>72</v>
      </c>
      <c r="Q287" s="641"/>
      <c r="R287" s="641"/>
      <c r="S287" s="641"/>
      <c r="T287" s="641"/>
      <c r="U287" s="641"/>
      <c r="V287" s="642"/>
      <c r="W287" s="37" t="s">
        <v>73</v>
      </c>
      <c r="X287" s="617">
        <f>IFERROR(X285/H285,"0")+IFERROR(X286/H286,"0")</f>
        <v>0.83333333333333337</v>
      </c>
      <c r="Y287" s="617">
        <f>IFERROR(Y285/H285,"0")+IFERROR(Y286/H286,"0")</f>
        <v>1</v>
      </c>
      <c r="Z287" s="617">
        <f>IFERROR(IF(Z285="",0,Z285),"0")+IFERROR(IF(Z286="",0,Z286),"0")</f>
        <v>6.5100000000000002E-3</v>
      </c>
      <c r="AA287" s="618"/>
      <c r="AB287" s="618"/>
      <c r="AC287" s="618"/>
    </row>
    <row r="288" spans="1:68" x14ac:dyDescent="0.2">
      <c r="A288" s="629"/>
      <c r="B288" s="629"/>
      <c r="C288" s="629"/>
      <c r="D288" s="629"/>
      <c r="E288" s="629"/>
      <c r="F288" s="629"/>
      <c r="G288" s="629"/>
      <c r="H288" s="629"/>
      <c r="I288" s="629"/>
      <c r="J288" s="629"/>
      <c r="K288" s="629"/>
      <c r="L288" s="629"/>
      <c r="M288" s="629"/>
      <c r="N288" s="629"/>
      <c r="O288" s="633"/>
      <c r="P288" s="640" t="s">
        <v>72</v>
      </c>
      <c r="Q288" s="641"/>
      <c r="R288" s="641"/>
      <c r="S288" s="641"/>
      <c r="T288" s="641"/>
      <c r="U288" s="641"/>
      <c r="V288" s="642"/>
      <c r="W288" s="37" t="s">
        <v>67</v>
      </c>
      <c r="X288" s="617">
        <f>IFERROR(SUM(X285:X286),"0")</f>
        <v>2</v>
      </c>
      <c r="Y288" s="617">
        <f>IFERROR(SUM(Y285:Y286),"0")</f>
        <v>2.4</v>
      </c>
      <c r="Z288" s="37"/>
      <c r="AA288" s="618"/>
      <c r="AB288" s="618"/>
      <c r="AC288" s="618"/>
    </row>
    <row r="289" spans="1:68" ht="16.5" hidden="1" customHeight="1" x14ac:dyDescent="0.25">
      <c r="A289" s="635" t="s">
        <v>484</v>
      </c>
      <c r="B289" s="629"/>
      <c r="C289" s="629"/>
      <c r="D289" s="629"/>
      <c r="E289" s="629"/>
      <c r="F289" s="629"/>
      <c r="G289" s="629"/>
      <c r="H289" s="629"/>
      <c r="I289" s="629"/>
      <c r="J289" s="629"/>
      <c r="K289" s="629"/>
      <c r="L289" s="629"/>
      <c r="M289" s="629"/>
      <c r="N289" s="629"/>
      <c r="O289" s="629"/>
      <c r="P289" s="629"/>
      <c r="Q289" s="629"/>
      <c r="R289" s="629"/>
      <c r="S289" s="629"/>
      <c r="T289" s="629"/>
      <c r="U289" s="629"/>
      <c r="V289" s="629"/>
      <c r="W289" s="629"/>
      <c r="X289" s="629"/>
      <c r="Y289" s="629"/>
      <c r="Z289" s="629"/>
      <c r="AA289" s="610"/>
      <c r="AB289" s="610"/>
      <c r="AC289" s="610"/>
    </row>
    <row r="290" spans="1:68" ht="14.25" hidden="1" customHeight="1" x14ac:dyDescent="0.25">
      <c r="A290" s="628" t="s">
        <v>117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11"/>
      <c r="AB290" s="611"/>
      <c r="AC290" s="611"/>
    </row>
    <row r="291" spans="1:68" ht="27" hidden="1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6"/>
      <c r="R291" s="626"/>
      <c r="S291" s="626"/>
      <c r="T291" s="627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6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6"/>
      <c r="R292" s="626"/>
      <c r="S292" s="626"/>
      <c r="T292" s="627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66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6"/>
      <c r="R293" s="626"/>
      <c r="S293" s="626"/>
      <c r="T293" s="627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6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6"/>
      <c r="R294" s="626"/>
      <c r="S294" s="626"/>
      <c r="T294" s="627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7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6"/>
      <c r="R295" s="626"/>
      <c r="S295" s="626"/>
      <c r="T295" s="627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8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6"/>
      <c r="R296" s="626"/>
      <c r="S296" s="626"/>
      <c r="T296" s="627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6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6"/>
      <c r="R297" s="626"/>
      <c r="S297" s="626"/>
      <c r="T297" s="627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32"/>
      <c r="B298" s="629"/>
      <c r="C298" s="629"/>
      <c r="D298" s="629"/>
      <c r="E298" s="629"/>
      <c r="F298" s="629"/>
      <c r="G298" s="629"/>
      <c r="H298" s="629"/>
      <c r="I298" s="629"/>
      <c r="J298" s="629"/>
      <c r="K298" s="629"/>
      <c r="L298" s="629"/>
      <c r="M298" s="629"/>
      <c r="N298" s="629"/>
      <c r="O298" s="633"/>
      <c r="P298" s="640" t="s">
        <v>72</v>
      </c>
      <c r="Q298" s="641"/>
      <c r="R298" s="641"/>
      <c r="S298" s="641"/>
      <c r="T298" s="641"/>
      <c r="U298" s="641"/>
      <c r="V298" s="64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9"/>
      <c r="B299" s="629"/>
      <c r="C299" s="629"/>
      <c r="D299" s="629"/>
      <c r="E299" s="629"/>
      <c r="F299" s="629"/>
      <c r="G299" s="629"/>
      <c r="H299" s="629"/>
      <c r="I299" s="629"/>
      <c r="J299" s="629"/>
      <c r="K299" s="629"/>
      <c r="L299" s="629"/>
      <c r="M299" s="629"/>
      <c r="N299" s="629"/>
      <c r="O299" s="633"/>
      <c r="P299" s="640" t="s">
        <v>72</v>
      </c>
      <c r="Q299" s="641"/>
      <c r="R299" s="641"/>
      <c r="S299" s="641"/>
      <c r="T299" s="641"/>
      <c r="U299" s="641"/>
      <c r="V299" s="642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153</v>
      </c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29"/>
      <c r="P300" s="629"/>
      <c r="Q300" s="629"/>
      <c r="R300" s="629"/>
      <c r="S300" s="629"/>
      <c r="T300" s="629"/>
      <c r="U300" s="629"/>
      <c r="V300" s="629"/>
      <c r="W300" s="629"/>
      <c r="X300" s="629"/>
      <c r="Y300" s="629"/>
      <c r="Z300" s="629"/>
      <c r="AA300" s="611"/>
      <c r="AB300" s="611"/>
      <c r="AC300" s="611"/>
    </row>
    <row r="301" spans="1:68" ht="27" hidden="1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6"/>
      <c r="R301" s="626"/>
      <c r="S301" s="626"/>
      <c r="T301" s="627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29"/>
      <c r="C302" s="629"/>
      <c r="D302" s="629"/>
      <c r="E302" s="629"/>
      <c r="F302" s="629"/>
      <c r="G302" s="629"/>
      <c r="H302" s="629"/>
      <c r="I302" s="629"/>
      <c r="J302" s="629"/>
      <c r="K302" s="629"/>
      <c r="L302" s="629"/>
      <c r="M302" s="629"/>
      <c r="N302" s="629"/>
      <c r="O302" s="633"/>
      <c r="P302" s="640" t="s">
        <v>72</v>
      </c>
      <c r="Q302" s="641"/>
      <c r="R302" s="641"/>
      <c r="S302" s="641"/>
      <c r="T302" s="641"/>
      <c r="U302" s="641"/>
      <c r="V302" s="64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9"/>
      <c r="B303" s="629"/>
      <c r="C303" s="629"/>
      <c r="D303" s="629"/>
      <c r="E303" s="629"/>
      <c r="F303" s="629"/>
      <c r="G303" s="629"/>
      <c r="H303" s="629"/>
      <c r="I303" s="629"/>
      <c r="J303" s="629"/>
      <c r="K303" s="629"/>
      <c r="L303" s="629"/>
      <c r="M303" s="629"/>
      <c r="N303" s="629"/>
      <c r="O303" s="633"/>
      <c r="P303" s="640" t="s">
        <v>72</v>
      </c>
      <c r="Q303" s="641"/>
      <c r="R303" s="641"/>
      <c r="S303" s="641"/>
      <c r="T303" s="641"/>
      <c r="U303" s="641"/>
      <c r="V303" s="64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506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11"/>
      <c r="AB304" s="611"/>
      <c r="AC304" s="611"/>
    </row>
    <row r="305" spans="1:68" ht="27" hidden="1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8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6"/>
      <c r="R305" s="626"/>
      <c r="S305" s="626"/>
      <c r="T305" s="627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3"/>
      <c r="P306" s="640" t="s">
        <v>72</v>
      </c>
      <c r="Q306" s="641"/>
      <c r="R306" s="641"/>
      <c r="S306" s="641"/>
      <c r="T306" s="641"/>
      <c r="U306" s="641"/>
      <c r="V306" s="642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9"/>
      <c r="B307" s="629"/>
      <c r="C307" s="629"/>
      <c r="D307" s="629"/>
      <c r="E307" s="629"/>
      <c r="F307" s="629"/>
      <c r="G307" s="629"/>
      <c r="H307" s="629"/>
      <c r="I307" s="629"/>
      <c r="J307" s="629"/>
      <c r="K307" s="629"/>
      <c r="L307" s="629"/>
      <c r="M307" s="629"/>
      <c r="N307" s="629"/>
      <c r="O307" s="633"/>
      <c r="P307" s="640" t="s">
        <v>72</v>
      </c>
      <c r="Q307" s="641"/>
      <c r="R307" s="641"/>
      <c r="S307" s="641"/>
      <c r="T307" s="641"/>
      <c r="U307" s="641"/>
      <c r="V307" s="642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323</v>
      </c>
      <c r="B308" s="629"/>
      <c r="C308" s="629"/>
      <c r="D308" s="629"/>
      <c r="E308" s="629"/>
      <c r="F308" s="629"/>
      <c r="G308" s="629"/>
      <c r="H308" s="629"/>
      <c r="I308" s="629"/>
      <c r="J308" s="629"/>
      <c r="K308" s="629"/>
      <c r="L308" s="629"/>
      <c r="M308" s="629"/>
      <c r="N308" s="629"/>
      <c r="O308" s="629"/>
      <c r="P308" s="629"/>
      <c r="Q308" s="629"/>
      <c r="R308" s="629"/>
      <c r="S308" s="629"/>
      <c r="T308" s="629"/>
      <c r="U308" s="629"/>
      <c r="V308" s="629"/>
      <c r="W308" s="629"/>
      <c r="X308" s="629"/>
      <c r="Y308" s="629"/>
      <c r="Z308" s="629"/>
      <c r="AA308" s="611"/>
      <c r="AB308" s="611"/>
      <c r="AC308" s="611"/>
    </row>
    <row r="309" spans="1:68" ht="27" hidden="1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2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6"/>
      <c r="R309" s="626"/>
      <c r="S309" s="626"/>
      <c r="T309" s="627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84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6"/>
      <c r="R310" s="626"/>
      <c r="S310" s="626"/>
      <c r="T310" s="627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8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6"/>
      <c r="R311" s="626"/>
      <c r="S311" s="626"/>
      <c r="T311" s="627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2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3"/>
      <c r="P312" s="640" t="s">
        <v>72</v>
      </c>
      <c r="Q312" s="641"/>
      <c r="R312" s="641"/>
      <c r="S312" s="641"/>
      <c r="T312" s="641"/>
      <c r="U312" s="641"/>
      <c r="V312" s="642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3"/>
      <c r="P313" s="640" t="s">
        <v>72</v>
      </c>
      <c r="Q313" s="641"/>
      <c r="R313" s="641"/>
      <c r="S313" s="641"/>
      <c r="T313" s="641"/>
      <c r="U313" s="641"/>
      <c r="V313" s="642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35" t="s">
        <v>517</v>
      </c>
      <c r="B314" s="629"/>
      <c r="C314" s="629"/>
      <c r="D314" s="629"/>
      <c r="E314" s="629"/>
      <c r="F314" s="629"/>
      <c r="G314" s="629"/>
      <c r="H314" s="629"/>
      <c r="I314" s="629"/>
      <c r="J314" s="629"/>
      <c r="K314" s="629"/>
      <c r="L314" s="629"/>
      <c r="M314" s="629"/>
      <c r="N314" s="629"/>
      <c r="O314" s="629"/>
      <c r="P314" s="629"/>
      <c r="Q314" s="629"/>
      <c r="R314" s="629"/>
      <c r="S314" s="629"/>
      <c r="T314" s="629"/>
      <c r="U314" s="629"/>
      <c r="V314" s="629"/>
      <c r="W314" s="629"/>
      <c r="X314" s="629"/>
      <c r="Y314" s="629"/>
      <c r="Z314" s="629"/>
      <c r="AA314" s="610"/>
      <c r="AB314" s="610"/>
      <c r="AC314" s="610"/>
    </row>
    <row r="315" spans="1:68" ht="14.25" hidden="1" customHeight="1" x14ac:dyDescent="0.25">
      <c r="A315" s="628" t="s">
        <v>117</v>
      </c>
      <c r="B315" s="629"/>
      <c r="C315" s="629"/>
      <c r="D315" s="629"/>
      <c r="E315" s="629"/>
      <c r="F315" s="629"/>
      <c r="G315" s="629"/>
      <c r="H315" s="629"/>
      <c r="I315" s="629"/>
      <c r="J315" s="629"/>
      <c r="K315" s="629"/>
      <c r="L315" s="629"/>
      <c r="M315" s="629"/>
      <c r="N315" s="629"/>
      <c r="O315" s="629"/>
      <c r="P315" s="629"/>
      <c r="Q315" s="629"/>
      <c r="R315" s="629"/>
      <c r="S315" s="629"/>
      <c r="T315" s="629"/>
      <c r="U315" s="629"/>
      <c r="V315" s="629"/>
      <c r="W315" s="629"/>
      <c r="X315" s="629"/>
      <c r="Y315" s="629"/>
      <c r="Z315" s="629"/>
      <c r="AA315" s="611"/>
      <c r="AB315" s="611"/>
      <c r="AC315" s="611"/>
    </row>
    <row r="316" spans="1:68" ht="27" hidden="1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9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6"/>
      <c r="R316" s="626"/>
      <c r="S316" s="626"/>
      <c r="T316" s="627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70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6"/>
      <c r="R317" s="626"/>
      <c r="S317" s="626"/>
      <c r="T317" s="627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6"/>
      <c r="R318" s="626"/>
      <c r="S318" s="626"/>
      <c r="T318" s="627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6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6"/>
      <c r="R319" s="626"/>
      <c r="S319" s="626"/>
      <c r="T319" s="627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6"/>
      <c r="R320" s="626"/>
      <c r="S320" s="626"/>
      <c r="T320" s="627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32"/>
      <c r="B321" s="629"/>
      <c r="C321" s="629"/>
      <c r="D321" s="629"/>
      <c r="E321" s="629"/>
      <c r="F321" s="629"/>
      <c r="G321" s="629"/>
      <c r="H321" s="629"/>
      <c r="I321" s="629"/>
      <c r="J321" s="629"/>
      <c r="K321" s="629"/>
      <c r="L321" s="629"/>
      <c r="M321" s="629"/>
      <c r="N321" s="629"/>
      <c r="O321" s="633"/>
      <c r="P321" s="640" t="s">
        <v>72</v>
      </c>
      <c r="Q321" s="641"/>
      <c r="R321" s="641"/>
      <c r="S321" s="641"/>
      <c r="T321" s="641"/>
      <c r="U321" s="641"/>
      <c r="V321" s="64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3"/>
      <c r="P322" s="640" t="s">
        <v>72</v>
      </c>
      <c r="Q322" s="641"/>
      <c r="R322" s="641"/>
      <c r="S322" s="641"/>
      <c r="T322" s="641"/>
      <c r="U322" s="641"/>
      <c r="V322" s="64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35" t="s">
        <v>533</v>
      </c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29"/>
      <c r="P323" s="629"/>
      <c r="Q323" s="629"/>
      <c r="R323" s="629"/>
      <c r="S323" s="629"/>
      <c r="T323" s="629"/>
      <c r="U323" s="629"/>
      <c r="V323" s="629"/>
      <c r="W323" s="629"/>
      <c r="X323" s="629"/>
      <c r="Y323" s="629"/>
      <c r="Z323" s="629"/>
      <c r="AA323" s="610"/>
      <c r="AB323" s="610"/>
      <c r="AC323" s="610"/>
    </row>
    <row r="324" spans="1:68" ht="14.25" hidden="1" customHeight="1" x14ac:dyDescent="0.25">
      <c r="A324" s="628" t="s">
        <v>74</v>
      </c>
      <c r="B324" s="629"/>
      <c r="C324" s="629"/>
      <c r="D324" s="629"/>
      <c r="E324" s="629"/>
      <c r="F324" s="629"/>
      <c r="G324" s="629"/>
      <c r="H324" s="629"/>
      <c r="I324" s="629"/>
      <c r="J324" s="629"/>
      <c r="K324" s="629"/>
      <c r="L324" s="629"/>
      <c r="M324" s="629"/>
      <c r="N324" s="629"/>
      <c r="O324" s="629"/>
      <c r="P324" s="629"/>
      <c r="Q324" s="629"/>
      <c r="R324" s="629"/>
      <c r="S324" s="629"/>
      <c r="T324" s="629"/>
      <c r="U324" s="629"/>
      <c r="V324" s="629"/>
      <c r="W324" s="629"/>
      <c r="X324" s="629"/>
      <c r="Y324" s="629"/>
      <c r="Z324" s="629"/>
      <c r="AA324" s="611"/>
      <c r="AB324" s="611"/>
      <c r="AC324" s="611"/>
    </row>
    <row r="325" spans="1:68" ht="27" hidden="1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79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6"/>
      <c r="R325" s="626"/>
      <c r="S325" s="626"/>
      <c r="T325" s="627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9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6"/>
      <c r="R326" s="626"/>
      <c r="S326" s="626"/>
      <c r="T326" s="627"/>
      <c r="U326" s="34"/>
      <c r="V326" s="34"/>
      <c r="W326" s="35" t="s">
        <v>67</v>
      </c>
      <c r="X326" s="615">
        <v>95</v>
      </c>
      <c r="Y326" s="616">
        <f>IFERROR(IF(X326="",0,CEILING((X326/$H326),1)*$H326),"")</f>
        <v>96</v>
      </c>
      <c r="Z326" s="36">
        <f>IFERROR(IF(Y326=0,"",ROUNDUP(Y326/H326,0)*0.00651),"")</f>
        <v>0.26040000000000002</v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104.97500000000001</v>
      </c>
      <c r="BN326" s="64">
        <f>IFERROR(Y326*I326/H326,"0")</f>
        <v>106.08000000000001</v>
      </c>
      <c r="BO326" s="64">
        <f>IFERROR(1/J326*(X326/H326),"0")</f>
        <v>0.21749084249084252</v>
      </c>
      <c r="BP326" s="64">
        <f>IFERROR(1/J326*(Y326/H326),"0")</f>
        <v>0.2197802197802198</v>
      </c>
    </row>
    <row r="327" spans="1:68" ht="27" hidden="1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7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6"/>
      <c r="R327" s="626"/>
      <c r="S327" s="626"/>
      <c r="T327" s="627"/>
      <c r="U327" s="34"/>
      <c r="V327" s="34"/>
      <c r="W327" s="35" t="s">
        <v>67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32"/>
      <c r="B328" s="629"/>
      <c r="C328" s="629"/>
      <c r="D328" s="629"/>
      <c r="E328" s="629"/>
      <c r="F328" s="629"/>
      <c r="G328" s="629"/>
      <c r="H328" s="629"/>
      <c r="I328" s="629"/>
      <c r="J328" s="629"/>
      <c r="K328" s="629"/>
      <c r="L328" s="629"/>
      <c r="M328" s="629"/>
      <c r="N328" s="629"/>
      <c r="O328" s="633"/>
      <c r="P328" s="640" t="s">
        <v>72</v>
      </c>
      <c r="Q328" s="641"/>
      <c r="R328" s="641"/>
      <c r="S328" s="641"/>
      <c r="T328" s="641"/>
      <c r="U328" s="641"/>
      <c r="V328" s="642"/>
      <c r="W328" s="37" t="s">
        <v>73</v>
      </c>
      <c r="X328" s="617">
        <f>IFERROR(X325/H325,"0")+IFERROR(X326/H326,"0")+IFERROR(X327/H327,"0")</f>
        <v>39.583333333333336</v>
      </c>
      <c r="Y328" s="617">
        <f>IFERROR(Y325/H325,"0")+IFERROR(Y326/H326,"0")+IFERROR(Y327/H327,"0")</f>
        <v>40</v>
      </c>
      <c r="Z328" s="617">
        <f>IFERROR(IF(Z325="",0,Z325),"0")+IFERROR(IF(Z326="",0,Z326),"0")+IFERROR(IF(Z327="",0,Z327),"0")</f>
        <v>0.26040000000000002</v>
      </c>
      <c r="AA328" s="618"/>
      <c r="AB328" s="618"/>
      <c r="AC328" s="618"/>
    </row>
    <row r="329" spans="1:68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3"/>
      <c r="P329" s="640" t="s">
        <v>72</v>
      </c>
      <c r="Q329" s="641"/>
      <c r="R329" s="641"/>
      <c r="S329" s="641"/>
      <c r="T329" s="641"/>
      <c r="U329" s="641"/>
      <c r="V329" s="642"/>
      <c r="W329" s="37" t="s">
        <v>67</v>
      </c>
      <c r="X329" s="617">
        <f>IFERROR(SUM(X325:X327),"0")</f>
        <v>95</v>
      </c>
      <c r="Y329" s="617">
        <f>IFERROR(SUM(Y325:Y327),"0")</f>
        <v>96</v>
      </c>
      <c r="Z329" s="37"/>
      <c r="AA329" s="618"/>
      <c r="AB329" s="618"/>
      <c r="AC329" s="618"/>
    </row>
    <row r="330" spans="1:68" ht="16.5" hidden="1" customHeight="1" x14ac:dyDescent="0.25">
      <c r="A330" s="635" t="s">
        <v>542</v>
      </c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29"/>
      <c r="P330" s="629"/>
      <c r="Q330" s="629"/>
      <c r="R330" s="629"/>
      <c r="S330" s="629"/>
      <c r="T330" s="629"/>
      <c r="U330" s="629"/>
      <c r="V330" s="629"/>
      <c r="W330" s="629"/>
      <c r="X330" s="629"/>
      <c r="Y330" s="629"/>
      <c r="Z330" s="629"/>
      <c r="AA330" s="610"/>
      <c r="AB330" s="610"/>
      <c r="AC330" s="610"/>
    </row>
    <row r="331" spans="1:68" ht="14.25" hidden="1" customHeight="1" x14ac:dyDescent="0.25">
      <c r="A331" s="628" t="s">
        <v>62</v>
      </c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29"/>
      <c r="P331" s="629"/>
      <c r="Q331" s="629"/>
      <c r="R331" s="629"/>
      <c r="S331" s="629"/>
      <c r="T331" s="629"/>
      <c r="U331" s="629"/>
      <c r="V331" s="629"/>
      <c r="W331" s="629"/>
      <c r="X331" s="629"/>
      <c r="Y331" s="629"/>
      <c r="Z331" s="629"/>
      <c r="AA331" s="611"/>
      <c r="AB331" s="611"/>
      <c r="AC331" s="611"/>
    </row>
    <row r="332" spans="1:68" ht="27" hidden="1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6"/>
      <c r="R332" s="626"/>
      <c r="S332" s="626"/>
      <c r="T332" s="627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75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6"/>
      <c r="R333" s="626"/>
      <c r="S333" s="626"/>
      <c r="T333" s="627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93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6"/>
      <c r="R334" s="626"/>
      <c r="S334" s="626"/>
      <c r="T334" s="627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6"/>
      <c r="R335" s="626"/>
      <c r="S335" s="626"/>
      <c r="T335" s="627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7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6"/>
      <c r="R336" s="626"/>
      <c r="S336" s="626"/>
      <c r="T336" s="627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32"/>
      <c r="B337" s="629"/>
      <c r="C337" s="629"/>
      <c r="D337" s="629"/>
      <c r="E337" s="629"/>
      <c r="F337" s="629"/>
      <c r="G337" s="629"/>
      <c r="H337" s="629"/>
      <c r="I337" s="629"/>
      <c r="J337" s="629"/>
      <c r="K337" s="629"/>
      <c r="L337" s="629"/>
      <c r="M337" s="629"/>
      <c r="N337" s="629"/>
      <c r="O337" s="633"/>
      <c r="P337" s="640" t="s">
        <v>72</v>
      </c>
      <c r="Q337" s="641"/>
      <c r="R337" s="641"/>
      <c r="S337" s="641"/>
      <c r="T337" s="641"/>
      <c r="U337" s="641"/>
      <c r="V337" s="64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3"/>
      <c r="P338" s="640" t="s">
        <v>72</v>
      </c>
      <c r="Q338" s="641"/>
      <c r="R338" s="641"/>
      <c r="S338" s="641"/>
      <c r="T338" s="641"/>
      <c r="U338" s="641"/>
      <c r="V338" s="64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74</v>
      </c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29"/>
      <c r="P339" s="629"/>
      <c r="Q339" s="629"/>
      <c r="R339" s="629"/>
      <c r="S339" s="629"/>
      <c r="T339" s="629"/>
      <c r="U339" s="629"/>
      <c r="V339" s="629"/>
      <c r="W339" s="629"/>
      <c r="X339" s="629"/>
      <c r="Y339" s="629"/>
      <c r="Z339" s="629"/>
      <c r="AA339" s="611"/>
      <c r="AB339" s="611"/>
      <c r="AC339" s="611"/>
    </row>
    <row r="340" spans="1:68" ht="27" hidden="1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6"/>
      <c r="R340" s="626"/>
      <c r="S340" s="626"/>
      <c r="T340" s="627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78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6"/>
      <c r="R341" s="626"/>
      <c r="S341" s="626"/>
      <c r="T341" s="627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3"/>
      <c r="P342" s="640" t="s">
        <v>72</v>
      </c>
      <c r="Q342" s="641"/>
      <c r="R342" s="641"/>
      <c r="S342" s="641"/>
      <c r="T342" s="641"/>
      <c r="U342" s="641"/>
      <c r="V342" s="64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3"/>
      <c r="P343" s="640" t="s">
        <v>72</v>
      </c>
      <c r="Q343" s="641"/>
      <c r="R343" s="641"/>
      <c r="S343" s="641"/>
      <c r="T343" s="641"/>
      <c r="U343" s="641"/>
      <c r="V343" s="64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35" t="s">
        <v>563</v>
      </c>
      <c r="B344" s="629"/>
      <c r="C344" s="629"/>
      <c r="D344" s="629"/>
      <c r="E344" s="629"/>
      <c r="F344" s="629"/>
      <c r="G344" s="629"/>
      <c r="H344" s="629"/>
      <c r="I344" s="629"/>
      <c r="J344" s="629"/>
      <c r="K344" s="629"/>
      <c r="L344" s="629"/>
      <c r="M344" s="629"/>
      <c r="N344" s="629"/>
      <c r="O344" s="629"/>
      <c r="P344" s="629"/>
      <c r="Q344" s="629"/>
      <c r="R344" s="629"/>
      <c r="S344" s="629"/>
      <c r="T344" s="629"/>
      <c r="U344" s="629"/>
      <c r="V344" s="629"/>
      <c r="W344" s="629"/>
      <c r="X344" s="629"/>
      <c r="Y344" s="629"/>
      <c r="Z344" s="629"/>
      <c r="AA344" s="610"/>
      <c r="AB344" s="610"/>
      <c r="AC344" s="610"/>
    </row>
    <row r="345" spans="1:68" ht="14.25" hidden="1" customHeight="1" x14ac:dyDescent="0.25">
      <c r="A345" s="628" t="s">
        <v>117</v>
      </c>
      <c r="B345" s="629"/>
      <c r="C345" s="629"/>
      <c r="D345" s="629"/>
      <c r="E345" s="629"/>
      <c r="F345" s="629"/>
      <c r="G345" s="629"/>
      <c r="H345" s="629"/>
      <c r="I345" s="629"/>
      <c r="J345" s="629"/>
      <c r="K345" s="629"/>
      <c r="L345" s="629"/>
      <c r="M345" s="629"/>
      <c r="N345" s="629"/>
      <c r="O345" s="629"/>
      <c r="P345" s="629"/>
      <c r="Q345" s="629"/>
      <c r="R345" s="629"/>
      <c r="S345" s="629"/>
      <c r="T345" s="629"/>
      <c r="U345" s="629"/>
      <c r="V345" s="629"/>
      <c r="W345" s="629"/>
      <c r="X345" s="629"/>
      <c r="Y345" s="629"/>
      <c r="Z345" s="629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74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6"/>
      <c r="R346" s="626"/>
      <c r="S346" s="626"/>
      <c r="T346" s="627"/>
      <c r="U346" s="34"/>
      <c r="V346" s="34"/>
      <c r="W346" s="35" t="s">
        <v>67</v>
      </c>
      <c r="X346" s="615">
        <v>4</v>
      </c>
      <c r="Y346" s="616">
        <f>IFERROR(IF(X346="",0,CEILING((X346/$H346),1)*$H346),"")</f>
        <v>7.8</v>
      </c>
      <c r="Z346" s="36">
        <f>IFERROR(IF(Y346=0,"",ROUNDUP(Y346/H346,0)*0.01898),"")</f>
        <v>1.898E-2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4.2102564102564104</v>
      </c>
      <c r="BN346" s="64">
        <f>IFERROR(Y346*I346/H346,"0")</f>
        <v>8.2100000000000009</v>
      </c>
      <c r="BO346" s="64">
        <f>IFERROR(1/J346*(X346/H346),"0")</f>
        <v>8.0128205128205138E-3</v>
      </c>
      <c r="BP346" s="64">
        <f>IFERROR(1/J346*(Y346/H346),"0")</f>
        <v>1.5625E-2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7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6"/>
      <c r="R347" s="626"/>
      <c r="S347" s="626"/>
      <c r="T347" s="627"/>
      <c r="U347" s="34"/>
      <c r="V347" s="34"/>
      <c r="W347" s="35" t="s">
        <v>67</v>
      </c>
      <c r="X347" s="615">
        <v>71</v>
      </c>
      <c r="Y347" s="616">
        <f>IFERROR(IF(X347="",0,CEILING((X347/$H347),1)*$H347),"")</f>
        <v>78</v>
      </c>
      <c r="Z347" s="36">
        <f>IFERROR(IF(Y347=0,"",ROUNDUP(Y347/H347,0)*0.01898),"")</f>
        <v>0.1898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74.732051282051287</v>
      </c>
      <c r="BN347" s="64">
        <f>IFERROR(Y347*I347/H347,"0")</f>
        <v>82.100000000000023</v>
      </c>
      <c r="BO347" s="64">
        <f>IFERROR(1/J347*(X347/H347),"0")</f>
        <v>0.1422275641025641</v>
      </c>
      <c r="BP347" s="64">
        <f>IFERROR(1/J347*(Y347/H347),"0")</f>
        <v>0.15625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74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6"/>
      <c r="R348" s="626"/>
      <c r="S348" s="626"/>
      <c r="T348" s="627"/>
      <c r="U348" s="34"/>
      <c r="V348" s="34"/>
      <c r="W348" s="35" t="s">
        <v>67</v>
      </c>
      <c r="X348" s="615">
        <v>16</v>
      </c>
      <c r="Y348" s="616">
        <f>IFERROR(IF(X348="",0,CEILING((X348/$H348),1)*$H348),"")</f>
        <v>23.4</v>
      </c>
      <c r="Z348" s="36">
        <f>IFERROR(IF(Y348=0,"",ROUNDUP(Y348/H348,0)*0.01898),"")</f>
        <v>5.6940000000000004E-2</v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16.841025641025642</v>
      </c>
      <c r="BN348" s="64">
        <f>IFERROR(Y348*I348/H348,"0")</f>
        <v>24.630000000000003</v>
      </c>
      <c r="BO348" s="64">
        <f>IFERROR(1/J348*(X348/H348),"0")</f>
        <v>3.2051282051282055E-2</v>
      </c>
      <c r="BP348" s="64">
        <f>IFERROR(1/J348*(Y348/H348),"0")</f>
        <v>4.6875E-2</v>
      </c>
    </row>
    <row r="349" spans="1:68" x14ac:dyDescent="0.2">
      <c r="A349" s="632"/>
      <c r="B349" s="629"/>
      <c r="C349" s="629"/>
      <c r="D349" s="629"/>
      <c r="E349" s="629"/>
      <c r="F349" s="629"/>
      <c r="G349" s="629"/>
      <c r="H349" s="629"/>
      <c r="I349" s="629"/>
      <c r="J349" s="629"/>
      <c r="K349" s="629"/>
      <c r="L349" s="629"/>
      <c r="M349" s="629"/>
      <c r="N349" s="629"/>
      <c r="O349" s="633"/>
      <c r="P349" s="640" t="s">
        <v>72</v>
      </c>
      <c r="Q349" s="641"/>
      <c r="R349" s="641"/>
      <c r="S349" s="641"/>
      <c r="T349" s="641"/>
      <c r="U349" s="641"/>
      <c r="V349" s="642"/>
      <c r="W349" s="37" t="s">
        <v>73</v>
      </c>
      <c r="X349" s="617">
        <f>IFERROR(X346/H346,"0")+IFERROR(X347/H347,"0")+IFERROR(X348/H348,"0")</f>
        <v>11.666666666666666</v>
      </c>
      <c r="Y349" s="617">
        <f>IFERROR(Y346/H346,"0")+IFERROR(Y347/H347,"0")+IFERROR(Y348/H348,"0")</f>
        <v>14</v>
      </c>
      <c r="Z349" s="617">
        <f>IFERROR(IF(Z346="",0,Z346),"0")+IFERROR(IF(Z347="",0,Z347),"0")+IFERROR(IF(Z348="",0,Z348),"0")</f>
        <v>0.26572000000000001</v>
      </c>
      <c r="AA349" s="618"/>
      <c r="AB349" s="618"/>
      <c r="AC349" s="618"/>
    </row>
    <row r="350" spans="1:68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3"/>
      <c r="P350" s="640" t="s">
        <v>72</v>
      </c>
      <c r="Q350" s="641"/>
      <c r="R350" s="641"/>
      <c r="S350" s="641"/>
      <c r="T350" s="641"/>
      <c r="U350" s="641"/>
      <c r="V350" s="642"/>
      <c r="W350" s="37" t="s">
        <v>67</v>
      </c>
      <c r="X350" s="617">
        <f>IFERROR(SUM(X346:X348),"0")</f>
        <v>91</v>
      </c>
      <c r="Y350" s="617">
        <f>IFERROR(SUM(Y346:Y348),"0")</f>
        <v>109.19999999999999</v>
      </c>
      <c r="Z350" s="37"/>
      <c r="AA350" s="618"/>
      <c r="AB350" s="618"/>
      <c r="AC350" s="618"/>
    </row>
    <row r="351" spans="1:68" ht="16.5" hidden="1" customHeight="1" x14ac:dyDescent="0.25">
      <c r="A351" s="635" t="s">
        <v>572</v>
      </c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29"/>
      <c r="P351" s="629"/>
      <c r="Q351" s="629"/>
      <c r="R351" s="629"/>
      <c r="S351" s="629"/>
      <c r="T351" s="629"/>
      <c r="U351" s="629"/>
      <c r="V351" s="629"/>
      <c r="W351" s="629"/>
      <c r="X351" s="629"/>
      <c r="Y351" s="629"/>
      <c r="Z351" s="629"/>
      <c r="AA351" s="610"/>
      <c r="AB351" s="610"/>
      <c r="AC351" s="610"/>
    </row>
    <row r="352" spans="1:68" ht="14.25" hidden="1" customHeight="1" x14ac:dyDescent="0.25">
      <c r="A352" s="628" t="s">
        <v>117</v>
      </c>
      <c r="B352" s="629"/>
      <c r="C352" s="629"/>
      <c r="D352" s="629"/>
      <c r="E352" s="629"/>
      <c r="F352" s="629"/>
      <c r="G352" s="629"/>
      <c r="H352" s="629"/>
      <c r="I352" s="629"/>
      <c r="J352" s="629"/>
      <c r="K352" s="629"/>
      <c r="L352" s="629"/>
      <c r="M352" s="629"/>
      <c r="N352" s="629"/>
      <c r="O352" s="629"/>
      <c r="P352" s="629"/>
      <c r="Q352" s="629"/>
      <c r="R352" s="629"/>
      <c r="S352" s="629"/>
      <c r="T352" s="629"/>
      <c r="U352" s="629"/>
      <c r="V352" s="629"/>
      <c r="W352" s="629"/>
      <c r="X352" s="629"/>
      <c r="Y352" s="629"/>
      <c r="Z352" s="629"/>
      <c r="AA352" s="611"/>
      <c r="AB352" s="611"/>
      <c r="AC352" s="611"/>
    </row>
    <row r="353" spans="1:68" ht="27" hidden="1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8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6"/>
      <c r="R353" s="626"/>
      <c r="S353" s="626"/>
      <c r="T353" s="627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7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6"/>
      <c r="R354" s="626"/>
      <c r="S354" s="626"/>
      <c r="T354" s="627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6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6"/>
      <c r="R355" s="626"/>
      <c r="S355" s="626"/>
      <c r="T355" s="627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6"/>
      <c r="R356" s="626"/>
      <c r="S356" s="626"/>
      <c r="T356" s="627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7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6"/>
      <c r="R357" s="626"/>
      <c r="S357" s="626"/>
      <c r="T357" s="627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32"/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33"/>
      <c r="P358" s="640" t="s">
        <v>72</v>
      </c>
      <c r="Q358" s="641"/>
      <c r="R358" s="641"/>
      <c r="S358" s="641"/>
      <c r="T358" s="641"/>
      <c r="U358" s="641"/>
      <c r="V358" s="64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3"/>
      <c r="P359" s="640" t="s">
        <v>72</v>
      </c>
      <c r="Q359" s="641"/>
      <c r="R359" s="641"/>
      <c r="S359" s="641"/>
      <c r="T359" s="641"/>
      <c r="U359" s="641"/>
      <c r="V359" s="64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62</v>
      </c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29"/>
      <c r="P360" s="629"/>
      <c r="Q360" s="629"/>
      <c r="R360" s="629"/>
      <c r="S360" s="629"/>
      <c r="T360" s="629"/>
      <c r="U360" s="629"/>
      <c r="V360" s="629"/>
      <c r="W360" s="629"/>
      <c r="X360" s="629"/>
      <c r="Y360" s="629"/>
      <c r="Z360" s="629"/>
      <c r="AA360" s="611"/>
      <c r="AB360" s="611"/>
      <c r="AC360" s="611"/>
    </row>
    <row r="361" spans="1:68" ht="27" hidden="1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8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6"/>
      <c r="R361" s="626"/>
      <c r="S361" s="626"/>
      <c r="T361" s="627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7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6"/>
      <c r="R362" s="626"/>
      <c r="S362" s="626"/>
      <c r="T362" s="627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6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6"/>
      <c r="R363" s="626"/>
      <c r="S363" s="626"/>
      <c r="T363" s="627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7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6"/>
      <c r="R364" s="626"/>
      <c r="S364" s="626"/>
      <c r="T364" s="627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7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6"/>
      <c r="R365" s="626"/>
      <c r="S365" s="626"/>
      <c r="T365" s="627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9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6"/>
      <c r="R366" s="626"/>
      <c r="S366" s="626"/>
      <c r="T366" s="627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69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6"/>
      <c r="R367" s="626"/>
      <c r="S367" s="626"/>
      <c r="T367" s="627"/>
      <c r="U367" s="34"/>
      <c r="V367" s="34"/>
      <c r="W367" s="35" t="s">
        <v>67</v>
      </c>
      <c r="X367" s="615">
        <v>32</v>
      </c>
      <c r="Y367" s="616">
        <f t="shared" si="42"/>
        <v>32.4</v>
      </c>
      <c r="Z367" s="36">
        <f>IFERROR(IF(Y367=0,"",ROUNDUP(Y367/H367,0)*0.00651),"")</f>
        <v>0.11718000000000001</v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36.053333333333335</v>
      </c>
      <c r="BN367" s="64">
        <f t="shared" si="44"/>
        <v>36.503999999999998</v>
      </c>
      <c r="BO367" s="64">
        <f t="shared" si="45"/>
        <v>9.7680097680097694E-2</v>
      </c>
      <c r="BP367" s="64">
        <f t="shared" si="46"/>
        <v>9.8901098901098911E-2</v>
      </c>
    </row>
    <row r="368" spans="1:68" x14ac:dyDescent="0.2">
      <c r="A368" s="632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3"/>
      <c r="P368" s="640" t="s">
        <v>72</v>
      </c>
      <c r="Q368" s="641"/>
      <c r="R368" s="641"/>
      <c r="S368" s="641"/>
      <c r="T368" s="641"/>
      <c r="U368" s="641"/>
      <c r="V368" s="64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17.777777777777779</v>
      </c>
      <c r="Y368" s="617">
        <f>IFERROR(Y361/H361,"0")+IFERROR(Y362/H362,"0")+IFERROR(Y363/H363,"0")+IFERROR(Y364/H364,"0")+IFERROR(Y365/H365,"0")+IFERROR(Y366/H366,"0")+IFERROR(Y367/H367,"0")</f>
        <v>18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0.11718000000000001</v>
      </c>
      <c r="AA368" s="618"/>
      <c r="AB368" s="618"/>
      <c r="AC368" s="618"/>
    </row>
    <row r="369" spans="1:68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3"/>
      <c r="P369" s="640" t="s">
        <v>72</v>
      </c>
      <c r="Q369" s="641"/>
      <c r="R369" s="641"/>
      <c r="S369" s="641"/>
      <c r="T369" s="641"/>
      <c r="U369" s="641"/>
      <c r="V369" s="642"/>
      <c r="W369" s="37" t="s">
        <v>67</v>
      </c>
      <c r="X369" s="617">
        <f>IFERROR(SUM(X361:X367),"0")</f>
        <v>32</v>
      </c>
      <c r="Y369" s="617">
        <f>IFERROR(SUM(Y361:Y367),"0")</f>
        <v>32.4</v>
      </c>
      <c r="Z369" s="37"/>
      <c r="AA369" s="618"/>
      <c r="AB369" s="618"/>
      <c r="AC369" s="618"/>
    </row>
    <row r="370" spans="1:68" ht="14.25" hidden="1" customHeight="1" x14ac:dyDescent="0.25">
      <c r="A370" s="628" t="s">
        <v>74</v>
      </c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29"/>
      <c r="P370" s="629"/>
      <c r="Q370" s="629"/>
      <c r="R370" s="629"/>
      <c r="S370" s="629"/>
      <c r="T370" s="629"/>
      <c r="U370" s="629"/>
      <c r="V370" s="629"/>
      <c r="W370" s="629"/>
      <c r="X370" s="629"/>
      <c r="Y370" s="629"/>
      <c r="Z370" s="629"/>
      <c r="AA370" s="611"/>
      <c r="AB370" s="611"/>
      <c r="AC370" s="611"/>
    </row>
    <row r="371" spans="1:68" ht="27" hidden="1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8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6"/>
      <c r="R371" s="626"/>
      <c r="S371" s="626"/>
      <c r="T371" s="627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84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6"/>
      <c r="R372" s="626"/>
      <c r="S372" s="626"/>
      <c r="T372" s="627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6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6"/>
      <c r="R373" s="626"/>
      <c r="S373" s="626"/>
      <c r="T373" s="627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8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6"/>
      <c r="R374" s="626"/>
      <c r="S374" s="626"/>
      <c r="T374" s="627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32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3"/>
      <c r="P375" s="640" t="s">
        <v>72</v>
      </c>
      <c r="Q375" s="641"/>
      <c r="R375" s="641"/>
      <c r="S375" s="641"/>
      <c r="T375" s="641"/>
      <c r="U375" s="641"/>
      <c r="V375" s="642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3"/>
      <c r="P376" s="640" t="s">
        <v>72</v>
      </c>
      <c r="Q376" s="641"/>
      <c r="R376" s="641"/>
      <c r="S376" s="641"/>
      <c r="T376" s="641"/>
      <c r="U376" s="641"/>
      <c r="V376" s="642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170</v>
      </c>
      <c r="B377" s="629"/>
      <c r="C377" s="629"/>
      <c r="D377" s="629"/>
      <c r="E377" s="629"/>
      <c r="F377" s="629"/>
      <c r="G377" s="629"/>
      <c r="H377" s="629"/>
      <c r="I377" s="629"/>
      <c r="J377" s="629"/>
      <c r="K377" s="629"/>
      <c r="L377" s="629"/>
      <c r="M377" s="629"/>
      <c r="N377" s="629"/>
      <c r="O377" s="629"/>
      <c r="P377" s="629"/>
      <c r="Q377" s="629"/>
      <c r="R377" s="629"/>
      <c r="S377" s="629"/>
      <c r="T377" s="629"/>
      <c r="U377" s="629"/>
      <c r="V377" s="629"/>
      <c r="W377" s="629"/>
      <c r="X377" s="629"/>
      <c r="Y377" s="629"/>
      <c r="Z377" s="629"/>
      <c r="AA377" s="611"/>
      <c r="AB377" s="611"/>
      <c r="AC377" s="611"/>
    </row>
    <row r="378" spans="1:68" ht="27" hidden="1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6"/>
      <c r="R378" s="626"/>
      <c r="S378" s="626"/>
      <c r="T378" s="627"/>
      <c r="U378" s="34"/>
      <c r="V378" s="34"/>
      <c r="W378" s="35" t="s">
        <v>67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9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6"/>
      <c r="R379" s="626"/>
      <c r="S379" s="626"/>
      <c r="T379" s="627"/>
      <c r="U379" s="34"/>
      <c r="V379" s="34"/>
      <c r="W379" s="35" t="s">
        <v>67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hidden="1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6"/>
      <c r="R380" s="626"/>
      <c r="S380" s="626"/>
      <c r="T380" s="627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32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3"/>
      <c r="P381" s="640" t="s">
        <v>72</v>
      </c>
      <c r="Q381" s="641"/>
      <c r="R381" s="641"/>
      <c r="S381" s="641"/>
      <c r="T381" s="641"/>
      <c r="U381" s="641"/>
      <c r="V381" s="642"/>
      <c r="W381" s="37" t="s">
        <v>73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hidden="1" x14ac:dyDescent="0.2">
      <c r="A382" s="629"/>
      <c r="B382" s="629"/>
      <c r="C382" s="629"/>
      <c r="D382" s="629"/>
      <c r="E382" s="629"/>
      <c r="F382" s="629"/>
      <c r="G382" s="629"/>
      <c r="H382" s="629"/>
      <c r="I382" s="629"/>
      <c r="J382" s="629"/>
      <c r="K382" s="629"/>
      <c r="L382" s="629"/>
      <c r="M382" s="629"/>
      <c r="N382" s="629"/>
      <c r="O382" s="633"/>
      <c r="P382" s="640" t="s">
        <v>72</v>
      </c>
      <c r="Q382" s="641"/>
      <c r="R382" s="641"/>
      <c r="S382" s="641"/>
      <c r="T382" s="641"/>
      <c r="U382" s="641"/>
      <c r="V382" s="642"/>
      <c r="W382" s="37" t="s">
        <v>67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hidden="1" customHeight="1" x14ac:dyDescent="0.25">
      <c r="A383" s="628" t="s">
        <v>92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11"/>
      <c r="AB383" s="611"/>
      <c r="AC383" s="611"/>
    </row>
    <row r="384" spans="1:68" ht="27" hidden="1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9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6"/>
      <c r="R384" s="626"/>
      <c r="S384" s="626"/>
      <c r="T384" s="627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6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6"/>
      <c r="R385" s="626"/>
      <c r="S385" s="626"/>
      <c r="T385" s="627"/>
      <c r="U385" s="34"/>
      <c r="V385" s="34"/>
      <c r="W385" s="35" t="s">
        <v>67</v>
      </c>
      <c r="X385" s="615">
        <v>23</v>
      </c>
      <c r="Y385" s="616">
        <f>IFERROR(IF(X385="",0,CEILING((X385/$H385),1)*$H385),"")</f>
        <v>24.32</v>
      </c>
      <c r="Z385" s="36">
        <f>IFERROR(IF(Y385=0,"",ROUNDUP(Y385/H385,0)*0.00902),"")</f>
        <v>7.2160000000000002E-2</v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24.740131578947366</v>
      </c>
      <c r="BN385" s="64">
        <f>IFERROR(Y385*I385/H385,"0")</f>
        <v>26.159999999999997</v>
      </c>
      <c r="BO385" s="64">
        <f>IFERROR(1/J385*(X385/H385),"0")</f>
        <v>5.7316586921850085E-2</v>
      </c>
      <c r="BP385" s="64">
        <f>IFERROR(1/J385*(Y385/H385),"0")</f>
        <v>6.0606060606060608E-2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95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6"/>
      <c r="R386" s="626"/>
      <c r="S386" s="626"/>
      <c r="T386" s="627"/>
      <c r="U386" s="34"/>
      <c r="V386" s="34"/>
      <c r="W386" s="35" t="s">
        <v>67</v>
      </c>
      <c r="X386" s="615">
        <v>20</v>
      </c>
      <c r="Y386" s="616">
        <f>IFERROR(IF(X386="",0,CEILING((X386/$H386),1)*$H386),"")</f>
        <v>20.399999999999999</v>
      </c>
      <c r="Z386" s="36">
        <f>IFERROR(IF(Y386=0,"",ROUNDUP(Y386/H386,0)*0.00651),"")</f>
        <v>5.2080000000000001E-2</v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23.176470588235297</v>
      </c>
      <c r="BN386" s="64">
        <f>IFERROR(Y386*I386/H386,"0")</f>
        <v>23.64</v>
      </c>
      <c r="BO386" s="64">
        <f>IFERROR(1/J386*(X386/H386),"0")</f>
        <v>4.3094160741219571E-2</v>
      </c>
      <c r="BP386" s="64">
        <f>IFERROR(1/J386*(Y386/H386),"0")</f>
        <v>4.3956043956043959E-2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6"/>
      <c r="R387" s="626"/>
      <c r="S387" s="626"/>
      <c r="T387" s="627"/>
      <c r="U387" s="34"/>
      <c r="V387" s="34"/>
      <c r="W387" s="35" t="s">
        <v>67</v>
      </c>
      <c r="X387" s="615">
        <v>22</v>
      </c>
      <c r="Y387" s="616">
        <f>IFERROR(IF(X387="",0,CEILING((X387/$H387),1)*$H387),"")</f>
        <v>22.95</v>
      </c>
      <c r="Z387" s="36">
        <f>IFERROR(IF(Y387=0,"",ROUNDUP(Y387/H387,0)*0.00651),"")</f>
        <v>5.8590000000000003E-2</v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24.847058823529412</v>
      </c>
      <c r="BN387" s="64">
        <f>IFERROR(Y387*I387/H387,"0")</f>
        <v>25.919999999999998</v>
      </c>
      <c r="BO387" s="64">
        <f>IFERROR(1/J387*(X387/H387),"0")</f>
        <v>4.7403576815341533E-2</v>
      </c>
      <c r="BP387" s="64">
        <f>IFERROR(1/J387*(Y387/H387),"0")</f>
        <v>4.9450549450549455E-2</v>
      </c>
    </row>
    <row r="388" spans="1:68" x14ac:dyDescent="0.2">
      <c r="A388" s="632"/>
      <c r="B388" s="629"/>
      <c r="C388" s="629"/>
      <c r="D388" s="629"/>
      <c r="E388" s="629"/>
      <c r="F388" s="629"/>
      <c r="G388" s="629"/>
      <c r="H388" s="629"/>
      <c r="I388" s="629"/>
      <c r="J388" s="629"/>
      <c r="K388" s="629"/>
      <c r="L388" s="629"/>
      <c r="M388" s="629"/>
      <c r="N388" s="629"/>
      <c r="O388" s="633"/>
      <c r="P388" s="640" t="s">
        <v>72</v>
      </c>
      <c r="Q388" s="641"/>
      <c r="R388" s="641"/>
      <c r="S388" s="641"/>
      <c r="T388" s="641"/>
      <c r="U388" s="641"/>
      <c r="V388" s="642"/>
      <c r="W388" s="37" t="s">
        <v>73</v>
      </c>
      <c r="X388" s="617">
        <f>IFERROR(X384/H384,"0")+IFERROR(X385/H385,"0")+IFERROR(X386/H386,"0")+IFERROR(X387/H387,"0")</f>
        <v>24.036377708978328</v>
      </c>
      <c r="Y388" s="617">
        <f>IFERROR(Y384/H384,"0")+IFERROR(Y385/H385,"0")+IFERROR(Y386/H386,"0")+IFERROR(Y387/H387,"0")</f>
        <v>25</v>
      </c>
      <c r="Z388" s="617">
        <f>IFERROR(IF(Z384="",0,Z384),"0")+IFERROR(IF(Z385="",0,Z385),"0")+IFERROR(IF(Z386="",0,Z386),"0")+IFERROR(IF(Z387="",0,Z387),"0")</f>
        <v>0.18282999999999999</v>
      </c>
      <c r="AA388" s="618"/>
      <c r="AB388" s="618"/>
      <c r="AC388" s="618"/>
    </row>
    <row r="389" spans="1:68" x14ac:dyDescent="0.2">
      <c r="A389" s="629"/>
      <c r="B389" s="629"/>
      <c r="C389" s="629"/>
      <c r="D389" s="629"/>
      <c r="E389" s="629"/>
      <c r="F389" s="629"/>
      <c r="G389" s="629"/>
      <c r="H389" s="629"/>
      <c r="I389" s="629"/>
      <c r="J389" s="629"/>
      <c r="K389" s="629"/>
      <c r="L389" s="629"/>
      <c r="M389" s="629"/>
      <c r="N389" s="629"/>
      <c r="O389" s="633"/>
      <c r="P389" s="640" t="s">
        <v>72</v>
      </c>
      <c r="Q389" s="641"/>
      <c r="R389" s="641"/>
      <c r="S389" s="641"/>
      <c r="T389" s="641"/>
      <c r="U389" s="641"/>
      <c r="V389" s="642"/>
      <c r="W389" s="37" t="s">
        <v>67</v>
      </c>
      <c r="X389" s="617">
        <f>IFERROR(SUM(X384:X387),"0")</f>
        <v>65</v>
      </c>
      <c r="Y389" s="617">
        <f>IFERROR(SUM(Y384:Y387),"0")</f>
        <v>67.67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635</v>
      </c>
      <c r="B390" s="629"/>
      <c r="C390" s="629"/>
      <c r="D390" s="629"/>
      <c r="E390" s="629"/>
      <c r="F390" s="629"/>
      <c r="G390" s="629"/>
      <c r="H390" s="629"/>
      <c r="I390" s="629"/>
      <c r="J390" s="629"/>
      <c r="K390" s="629"/>
      <c r="L390" s="629"/>
      <c r="M390" s="629"/>
      <c r="N390" s="629"/>
      <c r="O390" s="629"/>
      <c r="P390" s="629"/>
      <c r="Q390" s="629"/>
      <c r="R390" s="629"/>
      <c r="S390" s="629"/>
      <c r="T390" s="629"/>
      <c r="U390" s="629"/>
      <c r="V390" s="629"/>
      <c r="W390" s="629"/>
      <c r="X390" s="629"/>
      <c r="Y390" s="629"/>
      <c r="Z390" s="629"/>
      <c r="AA390" s="611"/>
      <c r="AB390" s="611"/>
      <c r="AC390" s="611"/>
    </row>
    <row r="391" spans="1:68" ht="16.5" hidden="1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97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6"/>
      <c r="R391" s="626"/>
      <c r="S391" s="626"/>
      <c r="T391" s="627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9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6"/>
      <c r="R392" s="626"/>
      <c r="S392" s="626"/>
      <c r="T392" s="627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7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6"/>
      <c r="R393" s="626"/>
      <c r="S393" s="626"/>
      <c r="T393" s="627"/>
      <c r="U393" s="34"/>
      <c r="V393" s="34"/>
      <c r="W393" s="35" t="s">
        <v>67</v>
      </c>
      <c r="X393" s="615">
        <v>6</v>
      </c>
      <c r="Y393" s="616">
        <f>IFERROR(IF(X393="",0,CEILING((X393/$H393),1)*$H393),"")</f>
        <v>6</v>
      </c>
      <c r="Z393" s="36">
        <f>IFERROR(IF(Y393=0,"",ROUNDUP(Y393/H393,0)*0.00474),"")</f>
        <v>1.422E-2</v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6.7200000000000006</v>
      </c>
      <c r="BN393" s="64">
        <f>IFERROR(Y393*I393/H393,"0")</f>
        <v>6.7200000000000006</v>
      </c>
      <c r="BO393" s="64">
        <f>IFERROR(1/J393*(X393/H393),"0")</f>
        <v>1.2605042016806723E-2</v>
      </c>
      <c r="BP393" s="64">
        <f>IFERROR(1/J393*(Y393/H393),"0")</f>
        <v>1.2605042016806723E-2</v>
      </c>
    </row>
    <row r="394" spans="1:68" x14ac:dyDescent="0.2">
      <c r="A394" s="632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3"/>
      <c r="P394" s="640" t="s">
        <v>72</v>
      </c>
      <c r="Q394" s="641"/>
      <c r="R394" s="641"/>
      <c r="S394" s="641"/>
      <c r="T394" s="641"/>
      <c r="U394" s="641"/>
      <c r="V394" s="642"/>
      <c r="W394" s="37" t="s">
        <v>73</v>
      </c>
      <c r="X394" s="617">
        <f>IFERROR(X391/H391,"0")+IFERROR(X392/H392,"0")+IFERROR(X393/H393,"0")</f>
        <v>3</v>
      </c>
      <c r="Y394" s="617">
        <f>IFERROR(Y391/H391,"0")+IFERROR(Y392/H392,"0")+IFERROR(Y393/H393,"0")</f>
        <v>3</v>
      </c>
      <c r="Z394" s="617">
        <f>IFERROR(IF(Z391="",0,Z391),"0")+IFERROR(IF(Z392="",0,Z392),"0")+IFERROR(IF(Z393="",0,Z393),"0")</f>
        <v>1.422E-2</v>
      </c>
      <c r="AA394" s="618"/>
      <c r="AB394" s="618"/>
      <c r="AC394" s="618"/>
    </row>
    <row r="395" spans="1:68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3"/>
      <c r="P395" s="640" t="s">
        <v>72</v>
      </c>
      <c r="Q395" s="641"/>
      <c r="R395" s="641"/>
      <c r="S395" s="641"/>
      <c r="T395" s="641"/>
      <c r="U395" s="641"/>
      <c r="V395" s="642"/>
      <c r="W395" s="37" t="s">
        <v>67</v>
      </c>
      <c r="X395" s="617">
        <f>IFERROR(SUM(X391:X393),"0")</f>
        <v>6</v>
      </c>
      <c r="Y395" s="617">
        <f>IFERROR(SUM(Y391:Y393),"0")</f>
        <v>6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644</v>
      </c>
      <c r="B396" s="629"/>
      <c r="C396" s="629"/>
      <c r="D396" s="629"/>
      <c r="E396" s="629"/>
      <c r="F396" s="629"/>
      <c r="G396" s="629"/>
      <c r="H396" s="629"/>
      <c r="I396" s="629"/>
      <c r="J396" s="629"/>
      <c r="K396" s="629"/>
      <c r="L396" s="629"/>
      <c r="M396" s="629"/>
      <c r="N396" s="629"/>
      <c r="O396" s="629"/>
      <c r="P396" s="629"/>
      <c r="Q396" s="629"/>
      <c r="R396" s="629"/>
      <c r="S396" s="629"/>
      <c r="T396" s="629"/>
      <c r="U396" s="629"/>
      <c r="V396" s="629"/>
      <c r="W396" s="629"/>
      <c r="X396" s="629"/>
      <c r="Y396" s="629"/>
      <c r="Z396" s="629"/>
      <c r="AA396" s="611"/>
      <c r="AB396" s="611"/>
      <c r="AC396" s="611"/>
    </row>
    <row r="397" spans="1:68" ht="27" hidden="1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8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6"/>
      <c r="R397" s="626"/>
      <c r="S397" s="626"/>
      <c r="T397" s="627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6"/>
      <c r="R398" s="626"/>
      <c r="S398" s="626"/>
      <c r="T398" s="627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75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6"/>
      <c r="R399" s="626"/>
      <c r="S399" s="626"/>
      <c r="T399" s="627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32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3"/>
      <c r="P400" s="640" t="s">
        <v>72</v>
      </c>
      <c r="Q400" s="641"/>
      <c r="R400" s="641"/>
      <c r="S400" s="641"/>
      <c r="T400" s="641"/>
      <c r="U400" s="641"/>
      <c r="V400" s="642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9"/>
      <c r="B401" s="629"/>
      <c r="C401" s="629"/>
      <c r="D401" s="629"/>
      <c r="E401" s="629"/>
      <c r="F401" s="629"/>
      <c r="G401" s="629"/>
      <c r="H401" s="629"/>
      <c r="I401" s="629"/>
      <c r="J401" s="629"/>
      <c r="K401" s="629"/>
      <c r="L401" s="629"/>
      <c r="M401" s="629"/>
      <c r="N401" s="629"/>
      <c r="O401" s="633"/>
      <c r="P401" s="640" t="s">
        <v>72</v>
      </c>
      <c r="Q401" s="641"/>
      <c r="R401" s="641"/>
      <c r="S401" s="641"/>
      <c r="T401" s="641"/>
      <c r="U401" s="641"/>
      <c r="V401" s="642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35" t="s">
        <v>653</v>
      </c>
      <c r="B402" s="629"/>
      <c r="C402" s="629"/>
      <c r="D402" s="629"/>
      <c r="E402" s="629"/>
      <c r="F402" s="629"/>
      <c r="G402" s="629"/>
      <c r="H402" s="629"/>
      <c r="I402" s="629"/>
      <c r="J402" s="629"/>
      <c r="K402" s="629"/>
      <c r="L402" s="629"/>
      <c r="M402" s="629"/>
      <c r="N402" s="629"/>
      <c r="O402" s="629"/>
      <c r="P402" s="629"/>
      <c r="Q402" s="629"/>
      <c r="R402" s="629"/>
      <c r="S402" s="629"/>
      <c r="T402" s="629"/>
      <c r="U402" s="629"/>
      <c r="V402" s="629"/>
      <c r="W402" s="629"/>
      <c r="X402" s="629"/>
      <c r="Y402" s="629"/>
      <c r="Z402" s="629"/>
      <c r="AA402" s="610"/>
      <c r="AB402" s="610"/>
      <c r="AC402" s="610"/>
    </row>
    <row r="403" spans="1:68" ht="14.25" hidden="1" customHeight="1" x14ac:dyDescent="0.25">
      <c r="A403" s="628" t="s">
        <v>74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11"/>
      <c r="AB403" s="611"/>
      <c r="AC403" s="611"/>
    </row>
    <row r="404" spans="1:68" ht="27" hidden="1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95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6"/>
      <c r="R404" s="626"/>
      <c r="S404" s="626"/>
      <c r="T404" s="627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9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6"/>
      <c r="R405" s="626"/>
      <c r="S405" s="626"/>
      <c r="T405" s="627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8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6"/>
      <c r="R406" s="626"/>
      <c r="S406" s="626"/>
      <c r="T406" s="627"/>
      <c r="U406" s="34"/>
      <c r="V406" s="34"/>
      <c r="W406" s="35" t="s">
        <v>67</v>
      </c>
      <c r="X406" s="615">
        <v>2</v>
      </c>
      <c r="Y406" s="616">
        <f>IFERROR(IF(X406="",0,CEILING((X406/$H406),1)*$H406),"")</f>
        <v>2.1</v>
      </c>
      <c r="Z406" s="36">
        <f>IFERROR(IF(Y406=0,"",ROUNDUP(Y406/H406,0)*0.00651),"")</f>
        <v>6.5100000000000002E-3</v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2.2285714285714282</v>
      </c>
      <c r="BN406" s="64">
        <f>IFERROR(Y406*I406/H406,"0")</f>
        <v>2.34</v>
      </c>
      <c r="BO406" s="64">
        <f>IFERROR(1/J406*(X406/H406),"0")</f>
        <v>5.2328623757195184E-3</v>
      </c>
      <c r="BP406" s="64">
        <f>IFERROR(1/J406*(Y406/H406),"0")</f>
        <v>5.4945054945054949E-3</v>
      </c>
    </row>
    <row r="407" spans="1:68" x14ac:dyDescent="0.2">
      <c r="A407" s="632"/>
      <c r="B407" s="629"/>
      <c r="C407" s="629"/>
      <c r="D407" s="629"/>
      <c r="E407" s="629"/>
      <c r="F407" s="629"/>
      <c r="G407" s="629"/>
      <c r="H407" s="629"/>
      <c r="I407" s="629"/>
      <c r="J407" s="629"/>
      <c r="K407" s="629"/>
      <c r="L407" s="629"/>
      <c r="M407" s="629"/>
      <c r="N407" s="629"/>
      <c r="O407" s="633"/>
      <c r="P407" s="640" t="s">
        <v>72</v>
      </c>
      <c r="Q407" s="641"/>
      <c r="R407" s="641"/>
      <c r="S407" s="641"/>
      <c r="T407" s="641"/>
      <c r="U407" s="641"/>
      <c r="V407" s="642"/>
      <c r="W407" s="37" t="s">
        <v>73</v>
      </c>
      <c r="X407" s="617">
        <f>IFERROR(X404/H404,"0")+IFERROR(X405/H405,"0")+IFERROR(X406/H406,"0")</f>
        <v>0.95238095238095233</v>
      </c>
      <c r="Y407" s="617">
        <f>IFERROR(Y404/H404,"0")+IFERROR(Y405/H405,"0")+IFERROR(Y406/H406,"0")</f>
        <v>1</v>
      </c>
      <c r="Z407" s="617">
        <f>IFERROR(IF(Z404="",0,Z404),"0")+IFERROR(IF(Z405="",0,Z405),"0")+IFERROR(IF(Z406="",0,Z406),"0")</f>
        <v>6.5100000000000002E-3</v>
      </c>
      <c r="AA407" s="618"/>
      <c r="AB407" s="618"/>
      <c r="AC407" s="618"/>
    </row>
    <row r="408" spans="1:68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3"/>
      <c r="P408" s="640" t="s">
        <v>72</v>
      </c>
      <c r="Q408" s="641"/>
      <c r="R408" s="641"/>
      <c r="S408" s="641"/>
      <c r="T408" s="641"/>
      <c r="U408" s="641"/>
      <c r="V408" s="642"/>
      <c r="W408" s="37" t="s">
        <v>67</v>
      </c>
      <c r="X408" s="617">
        <f>IFERROR(SUM(X404:X406),"0")</f>
        <v>2</v>
      </c>
      <c r="Y408" s="617">
        <f>IFERROR(SUM(Y404:Y406),"0")</f>
        <v>2.1</v>
      </c>
      <c r="Z408" s="37"/>
      <c r="AA408" s="618"/>
      <c r="AB408" s="618"/>
      <c r="AC408" s="618"/>
    </row>
    <row r="409" spans="1:68" ht="27.75" hidden="1" customHeight="1" x14ac:dyDescent="0.2">
      <c r="A409" s="723" t="s">
        <v>663</v>
      </c>
      <c r="B409" s="724"/>
      <c r="C409" s="724"/>
      <c r="D409" s="724"/>
      <c r="E409" s="724"/>
      <c r="F409" s="724"/>
      <c r="G409" s="724"/>
      <c r="H409" s="724"/>
      <c r="I409" s="724"/>
      <c r="J409" s="724"/>
      <c r="K409" s="724"/>
      <c r="L409" s="724"/>
      <c r="M409" s="724"/>
      <c r="N409" s="724"/>
      <c r="O409" s="724"/>
      <c r="P409" s="724"/>
      <c r="Q409" s="724"/>
      <c r="R409" s="724"/>
      <c r="S409" s="724"/>
      <c r="T409" s="724"/>
      <c r="U409" s="724"/>
      <c r="V409" s="724"/>
      <c r="W409" s="724"/>
      <c r="X409" s="724"/>
      <c r="Y409" s="724"/>
      <c r="Z409" s="724"/>
      <c r="AA409" s="48"/>
      <c r="AB409" s="48"/>
      <c r="AC409" s="48"/>
    </row>
    <row r="410" spans="1:68" ht="16.5" hidden="1" customHeight="1" x14ac:dyDescent="0.25">
      <c r="A410" s="635" t="s">
        <v>664</v>
      </c>
      <c r="B410" s="629"/>
      <c r="C410" s="629"/>
      <c r="D410" s="629"/>
      <c r="E410" s="629"/>
      <c r="F410" s="629"/>
      <c r="G410" s="629"/>
      <c r="H410" s="629"/>
      <c r="I410" s="629"/>
      <c r="J410" s="629"/>
      <c r="K410" s="629"/>
      <c r="L410" s="629"/>
      <c r="M410" s="629"/>
      <c r="N410" s="629"/>
      <c r="O410" s="629"/>
      <c r="P410" s="629"/>
      <c r="Q410" s="629"/>
      <c r="R410" s="629"/>
      <c r="S410" s="629"/>
      <c r="T410" s="629"/>
      <c r="U410" s="629"/>
      <c r="V410" s="629"/>
      <c r="W410" s="629"/>
      <c r="X410" s="629"/>
      <c r="Y410" s="629"/>
      <c r="Z410" s="629"/>
      <c r="AA410" s="610"/>
      <c r="AB410" s="610"/>
      <c r="AC410" s="610"/>
    </row>
    <row r="411" spans="1:68" ht="14.25" hidden="1" customHeight="1" x14ac:dyDescent="0.25">
      <c r="A411" s="628" t="s">
        <v>117</v>
      </c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29"/>
      <c r="P411" s="629"/>
      <c r="Q411" s="629"/>
      <c r="R411" s="629"/>
      <c r="S411" s="629"/>
      <c r="T411" s="629"/>
      <c r="U411" s="629"/>
      <c r="V411" s="629"/>
      <c r="W411" s="629"/>
      <c r="X411" s="629"/>
      <c r="Y411" s="629"/>
      <c r="Z411" s="629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6"/>
      <c r="R412" s="626"/>
      <c r="S412" s="626"/>
      <c r="T412" s="627"/>
      <c r="U412" s="34"/>
      <c r="V412" s="34"/>
      <c r="W412" s="35" t="s">
        <v>67</v>
      </c>
      <c r="X412" s="615">
        <v>16</v>
      </c>
      <c r="Y412" s="616">
        <f t="shared" ref="Y412:Y419" si="47">IFERROR(IF(X412="",0,CEILING((X412/$H412),1)*$H412),"")</f>
        <v>30</v>
      </c>
      <c r="Z412" s="36">
        <f>IFERROR(IF(Y412=0,"",ROUNDUP(Y412/H412,0)*0.02175),"")</f>
        <v>4.3499999999999997E-2</v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16.501333333333335</v>
      </c>
      <c r="BN412" s="64">
        <f t="shared" ref="BN412:BN419" si="49">IFERROR(Y412*I412/H412,"0")</f>
        <v>30.94</v>
      </c>
      <c r="BO412" s="64">
        <f t="shared" ref="BO412:BO419" si="50">IFERROR(1/J412*(X412/H412),"0")</f>
        <v>2.222222222222222E-2</v>
      </c>
      <c r="BP412" s="64">
        <f t="shared" ref="BP412:BP419" si="51">IFERROR(1/J412*(Y412/H412),"0")</f>
        <v>4.1666666666666664E-2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9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6"/>
      <c r="R413" s="626"/>
      <c r="S413" s="626"/>
      <c r="T413" s="627"/>
      <c r="U413" s="34"/>
      <c r="V413" s="34"/>
      <c r="W413" s="35" t="s">
        <v>67</v>
      </c>
      <c r="X413" s="615">
        <v>1202</v>
      </c>
      <c r="Y413" s="616">
        <f t="shared" si="47"/>
        <v>1215</v>
      </c>
      <c r="Z413" s="36">
        <f>IFERROR(IF(Y413=0,"",ROUNDUP(Y413/H413,0)*0.02175),"")</f>
        <v>1.7617499999999999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1239.6626666666668</v>
      </c>
      <c r="BN413" s="64">
        <f t="shared" si="49"/>
        <v>1253.07</v>
      </c>
      <c r="BO413" s="64">
        <f t="shared" si="50"/>
        <v>1.6694444444444445</v>
      </c>
      <c r="BP413" s="64">
        <f t="shared" si="51"/>
        <v>1.6875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8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6"/>
      <c r="R414" s="626"/>
      <c r="S414" s="626"/>
      <c r="T414" s="627"/>
      <c r="U414" s="34"/>
      <c r="V414" s="34"/>
      <c r="W414" s="35" t="s">
        <v>67</v>
      </c>
      <c r="X414" s="615">
        <v>720</v>
      </c>
      <c r="Y414" s="616">
        <f t="shared" si="47"/>
        <v>720</v>
      </c>
      <c r="Z414" s="36">
        <f>IFERROR(IF(Y414=0,"",ROUNDUP(Y414/H414,0)*0.02175),"")</f>
        <v>1.044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742.56</v>
      </c>
      <c r="BN414" s="64">
        <f t="shared" si="49"/>
        <v>742.56</v>
      </c>
      <c r="BO414" s="64">
        <f t="shared" si="50"/>
        <v>1</v>
      </c>
      <c r="BP414" s="64">
        <f t="shared" si="51"/>
        <v>1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64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6"/>
      <c r="R415" s="626"/>
      <c r="S415" s="626"/>
      <c r="T415" s="627"/>
      <c r="U415" s="34"/>
      <c r="V415" s="34"/>
      <c r="W415" s="35" t="s">
        <v>67</v>
      </c>
      <c r="X415" s="615">
        <v>113</v>
      </c>
      <c r="Y415" s="616">
        <f t="shared" si="47"/>
        <v>120</v>
      </c>
      <c r="Z415" s="36">
        <f>IFERROR(IF(Y415=0,"",ROUNDUP(Y415/H415,0)*0.02175),"")</f>
        <v>0.17399999999999999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116.54066666666668</v>
      </c>
      <c r="BN415" s="64">
        <f t="shared" si="49"/>
        <v>123.76</v>
      </c>
      <c r="BO415" s="64">
        <f t="shared" si="50"/>
        <v>0.15694444444444444</v>
      </c>
      <c r="BP415" s="64">
        <f t="shared" si="51"/>
        <v>0.16666666666666666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8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6"/>
      <c r="R416" s="626"/>
      <c r="S416" s="626"/>
      <c r="T416" s="627"/>
      <c r="U416" s="34"/>
      <c r="V416" s="34"/>
      <c r="W416" s="35" t="s">
        <v>67</v>
      </c>
      <c r="X416" s="615">
        <v>467</v>
      </c>
      <c r="Y416" s="616">
        <f t="shared" si="47"/>
        <v>480</v>
      </c>
      <c r="Z416" s="36">
        <f>IFERROR(IF(Y416=0,"",ROUNDUP(Y416/H416,0)*0.02175),"")</f>
        <v>0.69599999999999995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481.63266666666669</v>
      </c>
      <c r="BN416" s="64">
        <f t="shared" si="49"/>
        <v>495.04</v>
      </c>
      <c r="BO416" s="64">
        <f t="shared" si="50"/>
        <v>0.64861111111111103</v>
      </c>
      <c r="BP416" s="64">
        <f t="shared" si="51"/>
        <v>0.66666666666666663</v>
      </c>
    </row>
    <row r="417" spans="1:68" ht="27" hidden="1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6"/>
      <c r="R417" s="626"/>
      <c r="S417" s="626"/>
      <c r="T417" s="627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6"/>
      <c r="R418" s="626"/>
      <c r="S418" s="626"/>
      <c r="T418" s="627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6"/>
      <c r="R419" s="626"/>
      <c r="S419" s="626"/>
      <c r="T419" s="627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32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3"/>
      <c r="P420" s="640" t="s">
        <v>72</v>
      </c>
      <c r="Q420" s="641"/>
      <c r="R420" s="641"/>
      <c r="S420" s="641"/>
      <c r="T420" s="641"/>
      <c r="U420" s="641"/>
      <c r="V420" s="64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167.86666666666665</v>
      </c>
      <c r="Y420" s="617">
        <f>IFERROR(Y412/H412,"0")+IFERROR(Y413/H413,"0")+IFERROR(Y414/H414,"0")+IFERROR(Y415/H415,"0")+IFERROR(Y416/H416,"0")+IFERROR(Y417/H417,"0")+IFERROR(Y418/H418,"0")+IFERROR(Y419/H419,"0")</f>
        <v>171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3.7192499999999997</v>
      </c>
      <c r="AA420" s="618"/>
      <c r="AB420" s="618"/>
      <c r="AC420" s="618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3"/>
      <c r="P421" s="640" t="s">
        <v>72</v>
      </c>
      <c r="Q421" s="641"/>
      <c r="R421" s="641"/>
      <c r="S421" s="641"/>
      <c r="T421" s="641"/>
      <c r="U421" s="641"/>
      <c r="V421" s="642"/>
      <c r="W421" s="37" t="s">
        <v>67</v>
      </c>
      <c r="X421" s="617">
        <f>IFERROR(SUM(X412:X419),"0")</f>
        <v>2518</v>
      </c>
      <c r="Y421" s="617">
        <f>IFERROR(SUM(Y412:Y419),"0")</f>
        <v>2565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153</v>
      </c>
      <c r="B422" s="629"/>
      <c r="C422" s="629"/>
      <c r="D422" s="629"/>
      <c r="E422" s="629"/>
      <c r="F422" s="629"/>
      <c r="G422" s="629"/>
      <c r="H422" s="629"/>
      <c r="I422" s="629"/>
      <c r="J422" s="629"/>
      <c r="K422" s="629"/>
      <c r="L422" s="629"/>
      <c r="M422" s="629"/>
      <c r="N422" s="629"/>
      <c r="O422" s="629"/>
      <c r="P422" s="629"/>
      <c r="Q422" s="629"/>
      <c r="R422" s="629"/>
      <c r="S422" s="629"/>
      <c r="T422" s="629"/>
      <c r="U422" s="629"/>
      <c r="V422" s="629"/>
      <c r="W422" s="629"/>
      <c r="X422" s="629"/>
      <c r="Y422" s="629"/>
      <c r="Z422" s="629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6"/>
      <c r="R423" s="626"/>
      <c r="S423" s="626"/>
      <c r="T423" s="627"/>
      <c r="U423" s="34"/>
      <c r="V423" s="34"/>
      <c r="W423" s="35" t="s">
        <v>67</v>
      </c>
      <c r="X423" s="615">
        <v>484</v>
      </c>
      <c r="Y423" s="616">
        <f>IFERROR(IF(X423="",0,CEILING((X423/$H423),1)*$H423),"")</f>
        <v>495</v>
      </c>
      <c r="Z423" s="36">
        <f>IFERROR(IF(Y423=0,"",ROUNDUP(Y423/H423,0)*0.02175),"")</f>
        <v>0.71775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499.16533333333336</v>
      </c>
      <c r="BN423" s="64">
        <f>IFERROR(Y423*I423/H423,"0")</f>
        <v>510.51000000000005</v>
      </c>
      <c r="BO423" s="64">
        <f>IFERROR(1/J423*(X423/H423),"0")</f>
        <v>0.67222222222222217</v>
      </c>
      <c r="BP423" s="64">
        <f>IFERROR(1/J423*(Y423/H423),"0")</f>
        <v>0.6875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84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6"/>
      <c r="R424" s="626"/>
      <c r="S424" s="626"/>
      <c r="T424" s="627"/>
      <c r="U424" s="34"/>
      <c r="V424" s="34"/>
      <c r="W424" s="35" t="s">
        <v>67</v>
      </c>
      <c r="X424" s="615">
        <v>95</v>
      </c>
      <c r="Y424" s="616">
        <f>IFERROR(IF(X424="",0,CEILING((X424/$H424),1)*$H424),"")</f>
        <v>105</v>
      </c>
      <c r="Z424" s="36">
        <f>IFERROR(IF(Y424=0,"",ROUNDUP(Y424/H424,0)*0.02175),"")</f>
        <v>0.15225</v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97.976666666666674</v>
      </c>
      <c r="BN424" s="64">
        <f>IFERROR(Y424*I424/H424,"0")</f>
        <v>108.29</v>
      </c>
      <c r="BO424" s="64">
        <f>IFERROR(1/J424*(X424/H424),"0")</f>
        <v>0.13194444444444442</v>
      </c>
      <c r="BP424" s="64">
        <f>IFERROR(1/J424*(Y424/H424),"0")</f>
        <v>0.14583333333333331</v>
      </c>
    </row>
    <row r="425" spans="1:68" ht="27" hidden="1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6"/>
      <c r="R425" s="626"/>
      <c r="S425" s="626"/>
      <c r="T425" s="627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32"/>
      <c r="B426" s="629"/>
      <c r="C426" s="629"/>
      <c r="D426" s="629"/>
      <c r="E426" s="629"/>
      <c r="F426" s="629"/>
      <c r="G426" s="629"/>
      <c r="H426" s="629"/>
      <c r="I426" s="629"/>
      <c r="J426" s="629"/>
      <c r="K426" s="629"/>
      <c r="L426" s="629"/>
      <c r="M426" s="629"/>
      <c r="N426" s="629"/>
      <c r="O426" s="633"/>
      <c r="P426" s="640" t="s">
        <v>72</v>
      </c>
      <c r="Q426" s="641"/>
      <c r="R426" s="641"/>
      <c r="S426" s="641"/>
      <c r="T426" s="641"/>
      <c r="U426" s="641"/>
      <c r="V426" s="642"/>
      <c r="W426" s="37" t="s">
        <v>73</v>
      </c>
      <c r="X426" s="617">
        <f>IFERROR(X423/H423,"0")+IFERROR(X424/H424,"0")+IFERROR(X425/H425,"0")</f>
        <v>38.6</v>
      </c>
      <c r="Y426" s="617">
        <f>IFERROR(Y423/H423,"0")+IFERROR(Y424/H424,"0")+IFERROR(Y425/H425,"0")</f>
        <v>40</v>
      </c>
      <c r="Z426" s="617">
        <f>IFERROR(IF(Z423="",0,Z423),"0")+IFERROR(IF(Z424="",0,Z424),"0")+IFERROR(IF(Z425="",0,Z425),"0")</f>
        <v>0.87</v>
      </c>
      <c r="AA426" s="618"/>
      <c r="AB426" s="618"/>
      <c r="AC426" s="618"/>
    </row>
    <row r="427" spans="1:68" x14ac:dyDescent="0.2">
      <c r="A427" s="629"/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33"/>
      <c r="P427" s="640" t="s">
        <v>72</v>
      </c>
      <c r="Q427" s="641"/>
      <c r="R427" s="641"/>
      <c r="S427" s="641"/>
      <c r="T427" s="641"/>
      <c r="U427" s="641"/>
      <c r="V427" s="642"/>
      <c r="W427" s="37" t="s">
        <v>67</v>
      </c>
      <c r="X427" s="617">
        <f>IFERROR(SUM(X423:X425),"0")</f>
        <v>579</v>
      </c>
      <c r="Y427" s="617">
        <f>IFERROR(SUM(Y423:Y425),"0")</f>
        <v>600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74</v>
      </c>
      <c r="B428" s="629"/>
      <c r="C428" s="629"/>
      <c r="D428" s="629"/>
      <c r="E428" s="629"/>
      <c r="F428" s="629"/>
      <c r="G428" s="629"/>
      <c r="H428" s="629"/>
      <c r="I428" s="629"/>
      <c r="J428" s="629"/>
      <c r="K428" s="629"/>
      <c r="L428" s="629"/>
      <c r="M428" s="629"/>
      <c r="N428" s="629"/>
      <c r="O428" s="629"/>
      <c r="P428" s="629"/>
      <c r="Q428" s="629"/>
      <c r="R428" s="629"/>
      <c r="S428" s="629"/>
      <c r="T428" s="629"/>
      <c r="U428" s="629"/>
      <c r="V428" s="629"/>
      <c r="W428" s="629"/>
      <c r="X428" s="629"/>
      <c r="Y428" s="629"/>
      <c r="Z428" s="629"/>
      <c r="AA428" s="611"/>
      <c r="AB428" s="611"/>
      <c r="AC428" s="611"/>
    </row>
    <row r="429" spans="1:68" ht="16.5" hidden="1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9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6"/>
      <c r="R429" s="626"/>
      <c r="S429" s="626"/>
      <c r="T429" s="627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7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6"/>
      <c r="R430" s="626"/>
      <c r="S430" s="626"/>
      <c r="T430" s="627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8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6"/>
      <c r="R431" s="626"/>
      <c r="S431" s="626"/>
      <c r="T431" s="627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32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3"/>
      <c r="P432" s="640" t="s">
        <v>72</v>
      </c>
      <c r="Q432" s="641"/>
      <c r="R432" s="641"/>
      <c r="S432" s="641"/>
      <c r="T432" s="641"/>
      <c r="U432" s="641"/>
      <c r="V432" s="642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3"/>
      <c r="P433" s="640" t="s">
        <v>72</v>
      </c>
      <c r="Q433" s="641"/>
      <c r="R433" s="641"/>
      <c r="S433" s="641"/>
      <c r="T433" s="641"/>
      <c r="U433" s="641"/>
      <c r="V433" s="642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170</v>
      </c>
      <c r="B434" s="629"/>
      <c r="C434" s="629"/>
      <c r="D434" s="629"/>
      <c r="E434" s="629"/>
      <c r="F434" s="629"/>
      <c r="G434" s="629"/>
      <c r="H434" s="629"/>
      <c r="I434" s="629"/>
      <c r="J434" s="629"/>
      <c r="K434" s="629"/>
      <c r="L434" s="629"/>
      <c r="M434" s="629"/>
      <c r="N434" s="629"/>
      <c r="O434" s="629"/>
      <c r="P434" s="629"/>
      <c r="Q434" s="629"/>
      <c r="R434" s="629"/>
      <c r="S434" s="629"/>
      <c r="T434" s="629"/>
      <c r="U434" s="629"/>
      <c r="V434" s="629"/>
      <c r="W434" s="629"/>
      <c r="X434" s="629"/>
      <c r="Y434" s="629"/>
      <c r="Z434" s="629"/>
      <c r="AA434" s="611"/>
      <c r="AB434" s="611"/>
      <c r="AC434" s="611"/>
    </row>
    <row r="435" spans="1:68" ht="27" hidden="1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67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6"/>
      <c r="R435" s="626"/>
      <c r="S435" s="626"/>
      <c r="T435" s="627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6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6"/>
      <c r="R436" s="626"/>
      <c r="S436" s="626"/>
      <c r="T436" s="627"/>
      <c r="U436" s="34"/>
      <c r="V436" s="34"/>
      <c r="W436" s="35" t="s">
        <v>67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632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3"/>
      <c r="P437" s="640" t="s">
        <v>72</v>
      </c>
      <c r="Q437" s="641"/>
      <c r="R437" s="641"/>
      <c r="S437" s="641"/>
      <c r="T437" s="641"/>
      <c r="U437" s="641"/>
      <c r="V437" s="642"/>
      <c r="W437" s="37" t="s">
        <v>73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hidden="1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3"/>
      <c r="P438" s="640" t="s">
        <v>72</v>
      </c>
      <c r="Q438" s="641"/>
      <c r="R438" s="641"/>
      <c r="S438" s="641"/>
      <c r="T438" s="641"/>
      <c r="U438" s="641"/>
      <c r="V438" s="642"/>
      <c r="W438" s="37" t="s">
        <v>67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hidden="1" customHeight="1" x14ac:dyDescent="0.25">
      <c r="A439" s="635" t="s">
        <v>713</v>
      </c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29"/>
      <c r="P439" s="629"/>
      <c r="Q439" s="629"/>
      <c r="R439" s="629"/>
      <c r="S439" s="629"/>
      <c r="T439" s="629"/>
      <c r="U439" s="629"/>
      <c r="V439" s="629"/>
      <c r="W439" s="629"/>
      <c r="X439" s="629"/>
      <c r="Y439" s="629"/>
      <c r="Z439" s="629"/>
      <c r="AA439" s="610"/>
      <c r="AB439" s="610"/>
      <c r="AC439" s="610"/>
    </row>
    <row r="440" spans="1:68" ht="14.25" hidden="1" customHeight="1" x14ac:dyDescent="0.25">
      <c r="A440" s="628" t="s">
        <v>117</v>
      </c>
      <c r="B440" s="629"/>
      <c r="C440" s="629"/>
      <c r="D440" s="629"/>
      <c r="E440" s="629"/>
      <c r="F440" s="629"/>
      <c r="G440" s="629"/>
      <c r="H440" s="629"/>
      <c r="I440" s="629"/>
      <c r="J440" s="629"/>
      <c r="K440" s="629"/>
      <c r="L440" s="629"/>
      <c r="M440" s="629"/>
      <c r="N440" s="629"/>
      <c r="O440" s="629"/>
      <c r="P440" s="629"/>
      <c r="Q440" s="629"/>
      <c r="R440" s="629"/>
      <c r="S440" s="629"/>
      <c r="T440" s="629"/>
      <c r="U440" s="629"/>
      <c r="V440" s="629"/>
      <c r="W440" s="629"/>
      <c r="X440" s="629"/>
      <c r="Y440" s="629"/>
      <c r="Z440" s="629"/>
      <c r="AA440" s="611"/>
      <c r="AB440" s="611"/>
      <c r="AC440" s="611"/>
    </row>
    <row r="441" spans="1:68" ht="27" hidden="1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6"/>
      <c r="R441" s="626"/>
      <c r="S441" s="626"/>
      <c r="T441" s="627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8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6"/>
      <c r="R442" s="626"/>
      <c r="S442" s="626"/>
      <c r="T442" s="627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32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3"/>
      <c r="P443" s="640" t="s">
        <v>72</v>
      </c>
      <c r="Q443" s="641"/>
      <c r="R443" s="641"/>
      <c r="S443" s="641"/>
      <c r="T443" s="641"/>
      <c r="U443" s="641"/>
      <c r="V443" s="64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3"/>
      <c r="P444" s="640" t="s">
        <v>72</v>
      </c>
      <c r="Q444" s="641"/>
      <c r="R444" s="641"/>
      <c r="S444" s="641"/>
      <c r="T444" s="641"/>
      <c r="U444" s="641"/>
      <c r="V444" s="64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62</v>
      </c>
      <c r="B445" s="629"/>
      <c r="C445" s="629"/>
      <c r="D445" s="629"/>
      <c r="E445" s="629"/>
      <c r="F445" s="629"/>
      <c r="G445" s="629"/>
      <c r="H445" s="629"/>
      <c r="I445" s="629"/>
      <c r="J445" s="629"/>
      <c r="K445" s="629"/>
      <c r="L445" s="629"/>
      <c r="M445" s="629"/>
      <c r="N445" s="629"/>
      <c r="O445" s="629"/>
      <c r="P445" s="629"/>
      <c r="Q445" s="629"/>
      <c r="R445" s="629"/>
      <c r="S445" s="629"/>
      <c r="T445" s="629"/>
      <c r="U445" s="629"/>
      <c r="V445" s="629"/>
      <c r="W445" s="629"/>
      <c r="X445" s="629"/>
      <c r="Y445" s="629"/>
      <c r="Z445" s="629"/>
      <c r="AA445" s="611"/>
      <c r="AB445" s="611"/>
      <c r="AC445" s="611"/>
    </row>
    <row r="446" spans="1:68" ht="27" hidden="1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6"/>
      <c r="R446" s="626"/>
      <c r="S446" s="626"/>
      <c r="T446" s="627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2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3"/>
      <c r="P447" s="640" t="s">
        <v>72</v>
      </c>
      <c r="Q447" s="641"/>
      <c r="R447" s="641"/>
      <c r="S447" s="641"/>
      <c r="T447" s="641"/>
      <c r="U447" s="641"/>
      <c r="V447" s="64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3"/>
      <c r="P448" s="640" t="s">
        <v>72</v>
      </c>
      <c r="Q448" s="641"/>
      <c r="R448" s="641"/>
      <c r="S448" s="641"/>
      <c r="T448" s="641"/>
      <c r="U448" s="641"/>
      <c r="V448" s="64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74</v>
      </c>
      <c r="B449" s="629"/>
      <c r="C449" s="629"/>
      <c r="D449" s="629"/>
      <c r="E449" s="629"/>
      <c r="F449" s="629"/>
      <c r="G449" s="629"/>
      <c r="H449" s="629"/>
      <c r="I449" s="629"/>
      <c r="J449" s="629"/>
      <c r="K449" s="629"/>
      <c r="L449" s="629"/>
      <c r="M449" s="629"/>
      <c r="N449" s="629"/>
      <c r="O449" s="629"/>
      <c r="P449" s="629"/>
      <c r="Q449" s="629"/>
      <c r="R449" s="629"/>
      <c r="S449" s="629"/>
      <c r="T449" s="629"/>
      <c r="U449" s="629"/>
      <c r="V449" s="629"/>
      <c r="W449" s="629"/>
      <c r="X449" s="629"/>
      <c r="Y449" s="629"/>
      <c r="Z449" s="629"/>
      <c r="AA449" s="611"/>
      <c r="AB449" s="611"/>
      <c r="AC449" s="611"/>
    </row>
    <row r="450" spans="1:68" ht="27" hidden="1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84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6"/>
      <c r="R450" s="626"/>
      <c r="S450" s="626"/>
      <c r="T450" s="627"/>
      <c r="U450" s="34"/>
      <c r="V450" s="34"/>
      <c r="W450" s="35" t="s">
        <v>67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6"/>
      <c r="R451" s="626"/>
      <c r="S451" s="626"/>
      <c r="T451" s="627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6"/>
      <c r="R452" s="626"/>
      <c r="S452" s="626"/>
      <c r="T452" s="627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2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3"/>
      <c r="P453" s="640" t="s">
        <v>72</v>
      </c>
      <c r="Q453" s="641"/>
      <c r="R453" s="641"/>
      <c r="S453" s="641"/>
      <c r="T453" s="641"/>
      <c r="U453" s="641"/>
      <c r="V453" s="642"/>
      <c r="W453" s="37" t="s">
        <v>73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hidden="1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3"/>
      <c r="P454" s="640" t="s">
        <v>72</v>
      </c>
      <c r="Q454" s="641"/>
      <c r="R454" s="641"/>
      <c r="S454" s="641"/>
      <c r="T454" s="641"/>
      <c r="U454" s="641"/>
      <c r="V454" s="642"/>
      <c r="W454" s="37" t="s">
        <v>67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hidden="1" customHeight="1" x14ac:dyDescent="0.2">
      <c r="A455" s="723" t="s">
        <v>729</v>
      </c>
      <c r="B455" s="724"/>
      <c r="C455" s="724"/>
      <c r="D455" s="724"/>
      <c r="E455" s="724"/>
      <c r="F455" s="724"/>
      <c r="G455" s="724"/>
      <c r="H455" s="724"/>
      <c r="I455" s="724"/>
      <c r="J455" s="724"/>
      <c r="K455" s="724"/>
      <c r="L455" s="724"/>
      <c r="M455" s="724"/>
      <c r="N455" s="724"/>
      <c r="O455" s="724"/>
      <c r="P455" s="724"/>
      <c r="Q455" s="724"/>
      <c r="R455" s="724"/>
      <c r="S455" s="724"/>
      <c r="T455" s="724"/>
      <c r="U455" s="724"/>
      <c r="V455" s="724"/>
      <c r="W455" s="724"/>
      <c r="X455" s="724"/>
      <c r="Y455" s="724"/>
      <c r="Z455" s="724"/>
      <c r="AA455" s="48"/>
      <c r="AB455" s="48"/>
      <c r="AC455" s="48"/>
    </row>
    <row r="456" spans="1:68" ht="16.5" hidden="1" customHeight="1" x14ac:dyDescent="0.25">
      <c r="A456" s="635" t="s">
        <v>730</v>
      </c>
      <c r="B456" s="629"/>
      <c r="C456" s="629"/>
      <c r="D456" s="629"/>
      <c r="E456" s="629"/>
      <c r="F456" s="629"/>
      <c r="G456" s="629"/>
      <c r="H456" s="629"/>
      <c r="I456" s="629"/>
      <c r="J456" s="629"/>
      <c r="K456" s="629"/>
      <c r="L456" s="629"/>
      <c r="M456" s="629"/>
      <c r="N456" s="629"/>
      <c r="O456" s="629"/>
      <c r="P456" s="629"/>
      <c r="Q456" s="629"/>
      <c r="R456" s="629"/>
      <c r="S456" s="629"/>
      <c r="T456" s="629"/>
      <c r="U456" s="629"/>
      <c r="V456" s="629"/>
      <c r="W456" s="629"/>
      <c r="X456" s="629"/>
      <c r="Y456" s="629"/>
      <c r="Z456" s="629"/>
      <c r="AA456" s="610"/>
      <c r="AB456" s="610"/>
      <c r="AC456" s="610"/>
    </row>
    <row r="457" spans="1:68" ht="14.25" hidden="1" customHeight="1" x14ac:dyDescent="0.25">
      <c r="A457" s="628" t="s">
        <v>62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6"/>
      <c r="R458" s="626"/>
      <c r="S458" s="626"/>
      <c r="T458" s="627"/>
      <c r="U458" s="34"/>
      <c r="V458" s="34"/>
      <c r="W458" s="35" t="s">
        <v>67</v>
      </c>
      <c r="X458" s="615">
        <v>100</v>
      </c>
      <c r="Y458" s="616">
        <f t="shared" ref="Y458:Y463" si="52">IFERROR(IF(X458="",0,CEILING((X458/$H458),1)*$H458),"")</f>
        <v>102.60000000000001</v>
      </c>
      <c r="Z458" s="36">
        <f>IFERROR(IF(Y458=0,"",ROUNDUP(Y458/H458,0)*0.00902),"")</f>
        <v>0.17138</v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103.5185185185185</v>
      </c>
      <c r="BN458" s="64">
        <f t="shared" ref="BN458:BN463" si="54">IFERROR(Y458*I458/H458,"0")</f>
        <v>106.21</v>
      </c>
      <c r="BO458" s="64">
        <f t="shared" ref="BO458:BO463" si="55">IFERROR(1/J458*(X458/H458),"0")</f>
        <v>0.14029180695847362</v>
      </c>
      <c r="BP458" s="64">
        <f t="shared" ref="BP458:BP463" si="56">IFERROR(1/J458*(Y458/H458),"0")</f>
        <v>0.14393939393939395</v>
      </c>
    </row>
    <row r="459" spans="1:68" ht="27" hidden="1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6"/>
      <c r="R459" s="626"/>
      <c r="S459" s="626"/>
      <c r="T459" s="627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7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6"/>
      <c r="R460" s="626"/>
      <c r="S460" s="626"/>
      <c r="T460" s="627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6"/>
      <c r="R461" s="626"/>
      <c r="S461" s="626"/>
      <c r="T461" s="627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7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6"/>
      <c r="R462" s="626"/>
      <c r="S462" s="626"/>
      <c r="T462" s="627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7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6"/>
      <c r="R463" s="626"/>
      <c r="S463" s="626"/>
      <c r="T463" s="627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32"/>
      <c r="B464" s="629"/>
      <c r="C464" s="629"/>
      <c r="D464" s="629"/>
      <c r="E464" s="629"/>
      <c r="F464" s="629"/>
      <c r="G464" s="629"/>
      <c r="H464" s="629"/>
      <c r="I464" s="629"/>
      <c r="J464" s="629"/>
      <c r="K464" s="629"/>
      <c r="L464" s="629"/>
      <c r="M464" s="629"/>
      <c r="N464" s="629"/>
      <c r="O464" s="633"/>
      <c r="P464" s="640" t="s">
        <v>72</v>
      </c>
      <c r="Q464" s="641"/>
      <c r="R464" s="641"/>
      <c r="S464" s="641"/>
      <c r="T464" s="641"/>
      <c r="U464" s="641"/>
      <c r="V464" s="642"/>
      <c r="W464" s="37" t="s">
        <v>73</v>
      </c>
      <c r="X464" s="617">
        <f>IFERROR(X458/H458,"0")+IFERROR(X459/H459,"0")+IFERROR(X460/H460,"0")+IFERROR(X461/H461,"0")+IFERROR(X462/H462,"0")+IFERROR(X463/H463,"0")</f>
        <v>18.518518518518519</v>
      </c>
      <c r="Y464" s="617">
        <f>IFERROR(Y458/H458,"0")+IFERROR(Y459/H459,"0")+IFERROR(Y460/H460,"0")+IFERROR(Y461/H461,"0")+IFERROR(Y462/H462,"0")+IFERROR(Y463/H463,"0")</f>
        <v>19</v>
      </c>
      <c r="Z464" s="617">
        <f>IFERROR(IF(Z458="",0,Z458),"0")+IFERROR(IF(Z459="",0,Z459),"0")+IFERROR(IF(Z460="",0,Z460),"0")+IFERROR(IF(Z461="",0,Z461),"0")+IFERROR(IF(Z462="",0,Z462),"0")+IFERROR(IF(Z463="",0,Z463),"0")</f>
        <v>0.17138</v>
      </c>
      <c r="AA464" s="618"/>
      <c r="AB464" s="618"/>
      <c r="AC464" s="618"/>
    </row>
    <row r="465" spans="1:68" x14ac:dyDescent="0.2">
      <c r="A465" s="629"/>
      <c r="B465" s="629"/>
      <c r="C465" s="629"/>
      <c r="D465" s="629"/>
      <c r="E465" s="629"/>
      <c r="F465" s="629"/>
      <c r="G465" s="629"/>
      <c r="H465" s="629"/>
      <c r="I465" s="629"/>
      <c r="J465" s="629"/>
      <c r="K465" s="629"/>
      <c r="L465" s="629"/>
      <c r="M465" s="629"/>
      <c r="N465" s="629"/>
      <c r="O465" s="633"/>
      <c r="P465" s="640" t="s">
        <v>72</v>
      </c>
      <c r="Q465" s="641"/>
      <c r="R465" s="641"/>
      <c r="S465" s="641"/>
      <c r="T465" s="641"/>
      <c r="U465" s="641"/>
      <c r="V465" s="642"/>
      <c r="W465" s="37" t="s">
        <v>67</v>
      </c>
      <c r="X465" s="617">
        <f>IFERROR(SUM(X458:X463),"0")</f>
        <v>100</v>
      </c>
      <c r="Y465" s="617">
        <f>IFERROR(SUM(Y458:Y463),"0")</f>
        <v>102.60000000000001</v>
      </c>
      <c r="Z465" s="37"/>
      <c r="AA465" s="618"/>
      <c r="AB465" s="618"/>
      <c r="AC465" s="618"/>
    </row>
    <row r="466" spans="1:68" ht="14.25" hidden="1" customHeight="1" x14ac:dyDescent="0.25">
      <c r="A466" s="628" t="s">
        <v>74</v>
      </c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29"/>
      <c r="P466" s="629"/>
      <c r="Q466" s="629"/>
      <c r="R466" s="629"/>
      <c r="S466" s="629"/>
      <c r="T466" s="629"/>
      <c r="U466" s="629"/>
      <c r="V466" s="629"/>
      <c r="W466" s="629"/>
      <c r="X466" s="629"/>
      <c r="Y466" s="629"/>
      <c r="Z466" s="629"/>
      <c r="AA466" s="611"/>
      <c r="AB466" s="611"/>
      <c r="AC466" s="611"/>
    </row>
    <row r="467" spans="1:68" ht="27" hidden="1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8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6"/>
      <c r="R467" s="626"/>
      <c r="S467" s="626"/>
      <c r="T467" s="627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96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6"/>
      <c r="R468" s="626"/>
      <c r="S468" s="626"/>
      <c r="T468" s="627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32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3"/>
      <c r="P469" s="640" t="s">
        <v>72</v>
      </c>
      <c r="Q469" s="641"/>
      <c r="R469" s="641"/>
      <c r="S469" s="641"/>
      <c r="T469" s="641"/>
      <c r="U469" s="641"/>
      <c r="V469" s="64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3"/>
      <c r="P470" s="640" t="s">
        <v>72</v>
      </c>
      <c r="Q470" s="641"/>
      <c r="R470" s="641"/>
      <c r="S470" s="641"/>
      <c r="T470" s="641"/>
      <c r="U470" s="641"/>
      <c r="V470" s="64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35" t="s">
        <v>753</v>
      </c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29"/>
      <c r="P471" s="629"/>
      <c r="Q471" s="629"/>
      <c r="R471" s="629"/>
      <c r="S471" s="629"/>
      <c r="T471" s="629"/>
      <c r="U471" s="629"/>
      <c r="V471" s="629"/>
      <c r="W471" s="629"/>
      <c r="X471" s="629"/>
      <c r="Y471" s="629"/>
      <c r="Z471" s="629"/>
      <c r="AA471" s="610"/>
      <c r="AB471" s="610"/>
      <c r="AC471" s="610"/>
    </row>
    <row r="472" spans="1:68" ht="14.25" hidden="1" customHeight="1" x14ac:dyDescent="0.25">
      <c r="A472" s="628" t="s">
        <v>153</v>
      </c>
      <c r="B472" s="629"/>
      <c r="C472" s="629"/>
      <c r="D472" s="629"/>
      <c r="E472" s="629"/>
      <c r="F472" s="629"/>
      <c r="G472" s="629"/>
      <c r="H472" s="629"/>
      <c r="I472" s="629"/>
      <c r="J472" s="629"/>
      <c r="K472" s="629"/>
      <c r="L472" s="629"/>
      <c r="M472" s="629"/>
      <c r="N472" s="629"/>
      <c r="O472" s="629"/>
      <c r="P472" s="629"/>
      <c r="Q472" s="629"/>
      <c r="R472" s="629"/>
      <c r="S472" s="629"/>
      <c r="T472" s="629"/>
      <c r="U472" s="629"/>
      <c r="V472" s="629"/>
      <c r="W472" s="629"/>
      <c r="X472" s="629"/>
      <c r="Y472" s="629"/>
      <c r="Z472" s="629"/>
      <c r="AA472" s="611"/>
      <c r="AB472" s="611"/>
      <c r="AC472" s="611"/>
    </row>
    <row r="473" spans="1:68" ht="27" hidden="1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9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6"/>
      <c r="R473" s="626"/>
      <c r="S473" s="626"/>
      <c r="T473" s="627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32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3"/>
      <c r="P474" s="640" t="s">
        <v>72</v>
      </c>
      <c r="Q474" s="641"/>
      <c r="R474" s="641"/>
      <c r="S474" s="641"/>
      <c r="T474" s="641"/>
      <c r="U474" s="641"/>
      <c r="V474" s="64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3"/>
      <c r="P475" s="640" t="s">
        <v>72</v>
      </c>
      <c r="Q475" s="641"/>
      <c r="R475" s="641"/>
      <c r="S475" s="641"/>
      <c r="T475" s="641"/>
      <c r="U475" s="641"/>
      <c r="V475" s="64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62</v>
      </c>
      <c r="B476" s="629"/>
      <c r="C476" s="629"/>
      <c r="D476" s="629"/>
      <c r="E476" s="629"/>
      <c r="F476" s="629"/>
      <c r="G476" s="629"/>
      <c r="H476" s="629"/>
      <c r="I476" s="629"/>
      <c r="J476" s="629"/>
      <c r="K476" s="629"/>
      <c r="L476" s="629"/>
      <c r="M476" s="629"/>
      <c r="N476" s="629"/>
      <c r="O476" s="629"/>
      <c r="P476" s="629"/>
      <c r="Q476" s="629"/>
      <c r="R476" s="629"/>
      <c r="S476" s="629"/>
      <c r="T476" s="629"/>
      <c r="U476" s="629"/>
      <c r="V476" s="629"/>
      <c r="W476" s="629"/>
      <c r="X476" s="629"/>
      <c r="Y476" s="629"/>
      <c r="Z476" s="629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6"/>
      <c r="R477" s="626"/>
      <c r="S477" s="626"/>
      <c r="T477" s="627"/>
      <c r="U477" s="34"/>
      <c r="V477" s="34"/>
      <c r="W477" s="35" t="s">
        <v>67</v>
      </c>
      <c r="X477" s="615">
        <v>168</v>
      </c>
      <c r="Y477" s="616">
        <f>IFERROR(IF(X477="",0,CEILING((X477/$H477),1)*$H477),"")</f>
        <v>172.8</v>
      </c>
      <c r="Z477" s="36">
        <f>IFERROR(IF(Y477=0,"",ROUNDUP(Y477/H477,0)*0.00902),"")</f>
        <v>0.28864000000000001</v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173.9111111111111</v>
      </c>
      <c r="BN477" s="64">
        <f>IFERROR(Y477*I477/H477,"0")</f>
        <v>178.88</v>
      </c>
      <c r="BO477" s="64">
        <f>IFERROR(1/J477*(X477/H477),"0")</f>
        <v>0.2356902356902357</v>
      </c>
      <c r="BP477" s="64">
        <f>IFERROR(1/J477*(Y477/H477),"0")</f>
        <v>0.24242424242424243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78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6"/>
      <c r="R478" s="626"/>
      <c r="S478" s="626"/>
      <c r="T478" s="627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9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6"/>
      <c r="R479" s="626"/>
      <c r="S479" s="626"/>
      <c r="T479" s="627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32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3"/>
      <c r="P480" s="640" t="s">
        <v>72</v>
      </c>
      <c r="Q480" s="641"/>
      <c r="R480" s="641"/>
      <c r="S480" s="641"/>
      <c r="T480" s="641"/>
      <c r="U480" s="641"/>
      <c r="V480" s="642"/>
      <c r="W480" s="37" t="s">
        <v>73</v>
      </c>
      <c r="X480" s="617">
        <f>IFERROR(X477/H477,"0")+IFERROR(X478/H478,"0")+IFERROR(X479/H479,"0")</f>
        <v>31.111111111111111</v>
      </c>
      <c r="Y480" s="617">
        <f>IFERROR(Y477/H477,"0")+IFERROR(Y478/H478,"0")+IFERROR(Y479/H479,"0")</f>
        <v>32</v>
      </c>
      <c r="Z480" s="617">
        <f>IFERROR(IF(Z477="",0,Z477),"0")+IFERROR(IF(Z478="",0,Z478),"0")+IFERROR(IF(Z479="",0,Z479),"0")</f>
        <v>0.28864000000000001</v>
      </c>
      <c r="AA480" s="618"/>
      <c r="AB480" s="618"/>
      <c r="AC480" s="618"/>
    </row>
    <row r="481" spans="1:68" x14ac:dyDescent="0.2">
      <c r="A481" s="629"/>
      <c r="B481" s="629"/>
      <c r="C481" s="629"/>
      <c r="D481" s="629"/>
      <c r="E481" s="629"/>
      <c r="F481" s="629"/>
      <c r="G481" s="629"/>
      <c r="H481" s="629"/>
      <c r="I481" s="629"/>
      <c r="J481" s="629"/>
      <c r="K481" s="629"/>
      <c r="L481" s="629"/>
      <c r="M481" s="629"/>
      <c r="N481" s="629"/>
      <c r="O481" s="633"/>
      <c r="P481" s="640" t="s">
        <v>72</v>
      </c>
      <c r="Q481" s="641"/>
      <c r="R481" s="641"/>
      <c r="S481" s="641"/>
      <c r="T481" s="641"/>
      <c r="U481" s="641"/>
      <c r="V481" s="642"/>
      <c r="W481" s="37" t="s">
        <v>67</v>
      </c>
      <c r="X481" s="617">
        <f>IFERROR(SUM(X477:X479),"0")</f>
        <v>168</v>
      </c>
      <c r="Y481" s="617">
        <f>IFERROR(SUM(Y477:Y479),"0")</f>
        <v>172.8</v>
      </c>
      <c r="Z481" s="37"/>
      <c r="AA481" s="618"/>
      <c r="AB481" s="618"/>
      <c r="AC481" s="618"/>
    </row>
    <row r="482" spans="1:68" ht="27.75" hidden="1" customHeight="1" x14ac:dyDescent="0.2">
      <c r="A482" s="723" t="s">
        <v>765</v>
      </c>
      <c r="B482" s="724"/>
      <c r="C482" s="724"/>
      <c r="D482" s="724"/>
      <c r="E482" s="724"/>
      <c r="F482" s="724"/>
      <c r="G482" s="724"/>
      <c r="H482" s="724"/>
      <c r="I482" s="724"/>
      <c r="J482" s="724"/>
      <c r="K482" s="724"/>
      <c r="L482" s="724"/>
      <c r="M482" s="724"/>
      <c r="N482" s="724"/>
      <c r="O482" s="724"/>
      <c r="P482" s="724"/>
      <c r="Q482" s="724"/>
      <c r="R482" s="724"/>
      <c r="S482" s="724"/>
      <c r="T482" s="724"/>
      <c r="U482" s="724"/>
      <c r="V482" s="724"/>
      <c r="W482" s="724"/>
      <c r="X482" s="724"/>
      <c r="Y482" s="724"/>
      <c r="Z482" s="724"/>
      <c r="AA482" s="48"/>
      <c r="AB482" s="48"/>
      <c r="AC482" s="48"/>
    </row>
    <row r="483" spans="1:68" ht="16.5" hidden="1" customHeight="1" x14ac:dyDescent="0.25">
      <c r="A483" s="635" t="s">
        <v>765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10"/>
      <c r="AB483" s="610"/>
      <c r="AC483" s="610"/>
    </row>
    <row r="484" spans="1:68" ht="14.25" hidden="1" customHeight="1" x14ac:dyDescent="0.25">
      <c r="A484" s="628" t="s">
        <v>117</v>
      </c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29"/>
      <c r="P484" s="629"/>
      <c r="Q484" s="629"/>
      <c r="R484" s="629"/>
      <c r="S484" s="629"/>
      <c r="T484" s="629"/>
      <c r="U484" s="629"/>
      <c r="V484" s="629"/>
      <c r="W484" s="629"/>
      <c r="X484" s="629"/>
      <c r="Y484" s="629"/>
      <c r="Z484" s="629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7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6"/>
      <c r="R485" s="626"/>
      <c r="S485" s="626"/>
      <c r="T485" s="627"/>
      <c r="U485" s="34"/>
      <c r="V485" s="34"/>
      <c r="W485" s="35" t="s">
        <v>67</v>
      </c>
      <c r="X485" s="615">
        <v>75</v>
      </c>
      <c r="Y485" s="616">
        <f t="shared" ref="Y485:Y493" si="57">IFERROR(IF(X485="",0,CEILING((X485/$H485),1)*$H485),"")</f>
        <v>79.2</v>
      </c>
      <c r="Z485" s="36">
        <f t="shared" ref="Z485:Z490" si="58">IFERROR(IF(Y485=0,"",ROUNDUP(Y485/H485,0)*0.01196),"")</f>
        <v>0.1794</v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79.971590909090907</v>
      </c>
      <c r="BN485" s="64">
        <f t="shared" ref="BN485:BN493" si="60">IFERROR(Y485*I485/H485,"0")</f>
        <v>84.45</v>
      </c>
      <c r="BO485" s="64">
        <f t="shared" ref="BO485:BO493" si="61">IFERROR(1/J485*(X485/H485),"0")</f>
        <v>0.13658216783216784</v>
      </c>
      <c r="BP485" s="64">
        <f t="shared" ref="BP485:BP493" si="62">IFERROR(1/J485*(Y485/H485),"0")</f>
        <v>0.14423076923076925</v>
      </c>
    </row>
    <row r="486" spans="1:68" ht="16.5" hidden="1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6"/>
      <c r="R486" s="626"/>
      <c r="S486" s="626"/>
      <c r="T486" s="627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7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6"/>
      <c r="R487" s="626"/>
      <c r="S487" s="626"/>
      <c r="T487" s="627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hidden="1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7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6"/>
      <c r="R488" s="626"/>
      <c r="S488" s="626"/>
      <c r="T488" s="627"/>
      <c r="U488" s="34"/>
      <c r="V488" s="34"/>
      <c r="W488" s="35" t="s">
        <v>67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hidden="1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6"/>
      <c r="R489" s="626"/>
      <c r="S489" s="626"/>
      <c r="T489" s="627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74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6"/>
      <c r="R490" s="626"/>
      <c r="S490" s="626"/>
      <c r="T490" s="627"/>
      <c r="U490" s="34"/>
      <c r="V490" s="34"/>
      <c r="W490" s="35" t="s">
        <v>67</v>
      </c>
      <c r="X490" s="615">
        <v>307</v>
      </c>
      <c r="Y490" s="616">
        <f t="shared" si="57"/>
        <v>311.52000000000004</v>
      </c>
      <c r="Z490" s="36">
        <f t="shared" si="58"/>
        <v>0.70564000000000004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327.35037878787875</v>
      </c>
      <c r="BN490" s="64">
        <f t="shared" si="60"/>
        <v>332.17</v>
      </c>
      <c r="BO490" s="64">
        <f t="shared" si="61"/>
        <v>0.55907634032634035</v>
      </c>
      <c r="BP490" s="64">
        <f t="shared" si="62"/>
        <v>0.5673076923076924</v>
      </c>
    </row>
    <row r="491" spans="1:68" ht="27" hidden="1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6"/>
      <c r="R491" s="626"/>
      <c r="S491" s="626"/>
      <c r="T491" s="627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9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6"/>
      <c r="R492" s="626"/>
      <c r="S492" s="626"/>
      <c r="T492" s="627"/>
      <c r="U492" s="34"/>
      <c r="V492" s="34"/>
      <c r="W492" s="35" t="s">
        <v>67</v>
      </c>
      <c r="X492" s="615">
        <v>44</v>
      </c>
      <c r="Y492" s="616">
        <f t="shared" si="57"/>
        <v>48</v>
      </c>
      <c r="Z492" s="36">
        <f>IFERROR(IF(Y492=0,"",ROUNDUP(Y492/H492,0)*0.00902),"")</f>
        <v>9.0200000000000002E-2</v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63.341666666666676</v>
      </c>
      <c r="BN492" s="64">
        <f t="shared" si="60"/>
        <v>69.100000000000009</v>
      </c>
      <c r="BO492" s="64">
        <f t="shared" si="61"/>
        <v>6.9444444444444461E-2</v>
      </c>
      <c r="BP492" s="64">
        <f t="shared" si="62"/>
        <v>7.575757575757576E-2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8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6"/>
      <c r="R493" s="626"/>
      <c r="S493" s="626"/>
      <c r="T493" s="627"/>
      <c r="U493" s="34"/>
      <c r="V493" s="34"/>
      <c r="W493" s="35" t="s">
        <v>67</v>
      </c>
      <c r="X493" s="615">
        <v>134</v>
      </c>
      <c r="Y493" s="616">
        <f t="shared" si="57"/>
        <v>134.4</v>
      </c>
      <c r="Z493" s="36">
        <f>IFERROR(IF(Y493=0,"",ROUNDUP(Y493/H493,0)*0.00902),"")</f>
        <v>0.25256000000000001</v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192.9041666666667</v>
      </c>
      <c r="BN493" s="64">
        <f t="shared" si="60"/>
        <v>193.48000000000002</v>
      </c>
      <c r="BO493" s="64">
        <f t="shared" si="61"/>
        <v>0.21148989898989901</v>
      </c>
      <c r="BP493" s="64">
        <f t="shared" si="62"/>
        <v>0.21212121212121215</v>
      </c>
    </row>
    <row r="494" spans="1:68" x14ac:dyDescent="0.2">
      <c r="A494" s="632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633"/>
      <c r="P494" s="640" t="s">
        <v>72</v>
      </c>
      <c r="Q494" s="641"/>
      <c r="R494" s="641"/>
      <c r="S494" s="641"/>
      <c r="T494" s="641"/>
      <c r="U494" s="641"/>
      <c r="V494" s="64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109.43181818181819</v>
      </c>
      <c r="Y494" s="617">
        <f>IFERROR(Y485/H485,"0")+IFERROR(Y486/H486,"0")+IFERROR(Y487/H487,"0")+IFERROR(Y488/H488,"0")+IFERROR(Y489/H489,"0")+IFERROR(Y490/H490,"0")+IFERROR(Y491/H491,"0")+IFERROR(Y492/H492,"0")+IFERROR(Y493/H493,"0")</f>
        <v>112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1.2278000000000002</v>
      </c>
      <c r="AA494" s="618"/>
      <c r="AB494" s="618"/>
      <c r="AC494" s="618"/>
    </row>
    <row r="495" spans="1:68" x14ac:dyDescent="0.2">
      <c r="A495" s="629"/>
      <c r="B495" s="629"/>
      <c r="C495" s="629"/>
      <c r="D495" s="629"/>
      <c r="E495" s="629"/>
      <c r="F495" s="629"/>
      <c r="G495" s="629"/>
      <c r="H495" s="629"/>
      <c r="I495" s="629"/>
      <c r="J495" s="629"/>
      <c r="K495" s="629"/>
      <c r="L495" s="629"/>
      <c r="M495" s="629"/>
      <c r="N495" s="629"/>
      <c r="O495" s="633"/>
      <c r="P495" s="640" t="s">
        <v>72</v>
      </c>
      <c r="Q495" s="641"/>
      <c r="R495" s="641"/>
      <c r="S495" s="641"/>
      <c r="T495" s="641"/>
      <c r="U495" s="641"/>
      <c r="V495" s="642"/>
      <c r="W495" s="37" t="s">
        <v>67</v>
      </c>
      <c r="X495" s="617">
        <f>IFERROR(SUM(X485:X493),"0")</f>
        <v>560</v>
      </c>
      <c r="Y495" s="617">
        <f>IFERROR(SUM(Y485:Y493),"0")</f>
        <v>573.12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153</v>
      </c>
      <c r="B496" s="629"/>
      <c r="C496" s="629"/>
      <c r="D496" s="629"/>
      <c r="E496" s="629"/>
      <c r="F496" s="629"/>
      <c r="G496" s="629"/>
      <c r="H496" s="629"/>
      <c r="I496" s="629"/>
      <c r="J496" s="629"/>
      <c r="K496" s="629"/>
      <c r="L496" s="629"/>
      <c r="M496" s="629"/>
      <c r="N496" s="629"/>
      <c r="O496" s="629"/>
      <c r="P496" s="629"/>
      <c r="Q496" s="629"/>
      <c r="R496" s="629"/>
      <c r="S496" s="629"/>
      <c r="T496" s="629"/>
      <c r="U496" s="629"/>
      <c r="V496" s="629"/>
      <c r="W496" s="629"/>
      <c r="X496" s="629"/>
      <c r="Y496" s="629"/>
      <c r="Z496" s="629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6"/>
      <c r="R497" s="626"/>
      <c r="S497" s="626"/>
      <c r="T497" s="627"/>
      <c r="U497" s="34"/>
      <c r="V497" s="34"/>
      <c r="W497" s="35" t="s">
        <v>67</v>
      </c>
      <c r="X497" s="615">
        <v>216</v>
      </c>
      <c r="Y497" s="616">
        <f>IFERROR(IF(X497="",0,CEILING((X497/$H497),1)*$H497),"")</f>
        <v>216.48000000000002</v>
      </c>
      <c r="Z497" s="36">
        <f>IFERROR(IF(Y497=0,"",ROUNDUP(Y497/H497,0)*0.01196),"")</f>
        <v>0.49036000000000002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230.31818181818178</v>
      </c>
      <c r="BN497" s="64">
        <f>IFERROR(Y497*I497/H497,"0")</f>
        <v>230.83</v>
      </c>
      <c r="BO497" s="64">
        <f>IFERROR(1/J497*(X497/H497),"0")</f>
        <v>0.39335664335664333</v>
      </c>
      <c r="BP497" s="64">
        <f>IFERROR(1/J497*(Y497/H497),"0")</f>
        <v>0.39423076923076927</v>
      </c>
    </row>
    <row r="498" spans="1:68" ht="16.5" hidden="1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6"/>
      <c r="R498" s="626"/>
      <c r="S498" s="626"/>
      <c r="T498" s="627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6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6"/>
      <c r="R499" s="626"/>
      <c r="S499" s="626"/>
      <c r="T499" s="627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32"/>
      <c r="B500" s="629"/>
      <c r="C500" s="629"/>
      <c r="D500" s="629"/>
      <c r="E500" s="629"/>
      <c r="F500" s="629"/>
      <c r="G500" s="629"/>
      <c r="H500" s="629"/>
      <c r="I500" s="629"/>
      <c r="J500" s="629"/>
      <c r="K500" s="629"/>
      <c r="L500" s="629"/>
      <c r="M500" s="629"/>
      <c r="N500" s="629"/>
      <c r="O500" s="633"/>
      <c r="P500" s="640" t="s">
        <v>72</v>
      </c>
      <c r="Q500" s="641"/>
      <c r="R500" s="641"/>
      <c r="S500" s="641"/>
      <c r="T500" s="641"/>
      <c r="U500" s="641"/>
      <c r="V500" s="642"/>
      <c r="W500" s="37" t="s">
        <v>73</v>
      </c>
      <c r="X500" s="617">
        <f>IFERROR(X497/H497,"0")+IFERROR(X498/H498,"0")+IFERROR(X499/H499,"0")</f>
        <v>40.909090909090907</v>
      </c>
      <c r="Y500" s="617">
        <f>IFERROR(Y497/H497,"0")+IFERROR(Y498/H498,"0")+IFERROR(Y499/H499,"0")</f>
        <v>41</v>
      </c>
      <c r="Z500" s="617">
        <f>IFERROR(IF(Z497="",0,Z497),"0")+IFERROR(IF(Z498="",0,Z498),"0")+IFERROR(IF(Z499="",0,Z499),"0")</f>
        <v>0.49036000000000002</v>
      </c>
      <c r="AA500" s="618"/>
      <c r="AB500" s="618"/>
      <c r="AC500" s="618"/>
    </row>
    <row r="501" spans="1:68" x14ac:dyDescent="0.2">
      <c r="A501" s="629"/>
      <c r="B501" s="629"/>
      <c r="C501" s="629"/>
      <c r="D501" s="629"/>
      <c r="E501" s="629"/>
      <c r="F501" s="629"/>
      <c r="G501" s="629"/>
      <c r="H501" s="629"/>
      <c r="I501" s="629"/>
      <c r="J501" s="629"/>
      <c r="K501" s="629"/>
      <c r="L501" s="629"/>
      <c r="M501" s="629"/>
      <c r="N501" s="629"/>
      <c r="O501" s="633"/>
      <c r="P501" s="640" t="s">
        <v>72</v>
      </c>
      <c r="Q501" s="641"/>
      <c r="R501" s="641"/>
      <c r="S501" s="641"/>
      <c r="T501" s="641"/>
      <c r="U501" s="641"/>
      <c r="V501" s="642"/>
      <c r="W501" s="37" t="s">
        <v>67</v>
      </c>
      <c r="X501" s="617">
        <f>IFERROR(SUM(X497:X499),"0")</f>
        <v>216</v>
      </c>
      <c r="Y501" s="617">
        <f>IFERROR(SUM(Y497:Y499),"0")</f>
        <v>216.48000000000002</v>
      </c>
      <c r="Z501" s="37"/>
      <c r="AA501" s="618"/>
      <c r="AB501" s="618"/>
      <c r="AC501" s="618"/>
    </row>
    <row r="502" spans="1:68" ht="14.25" hidden="1" customHeight="1" x14ac:dyDescent="0.25">
      <c r="A502" s="628" t="s">
        <v>62</v>
      </c>
      <c r="B502" s="629"/>
      <c r="C502" s="629"/>
      <c r="D502" s="629"/>
      <c r="E502" s="629"/>
      <c r="F502" s="629"/>
      <c r="G502" s="629"/>
      <c r="H502" s="629"/>
      <c r="I502" s="629"/>
      <c r="J502" s="629"/>
      <c r="K502" s="629"/>
      <c r="L502" s="629"/>
      <c r="M502" s="629"/>
      <c r="N502" s="629"/>
      <c r="O502" s="629"/>
      <c r="P502" s="629"/>
      <c r="Q502" s="629"/>
      <c r="R502" s="629"/>
      <c r="S502" s="629"/>
      <c r="T502" s="629"/>
      <c r="U502" s="629"/>
      <c r="V502" s="629"/>
      <c r="W502" s="629"/>
      <c r="X502" s="629"/>
      <c r="Y502" s="629"/>
      <c r="Z502" s="629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6"/>
      <c r="R503" s="626"/>
      <c r="S503" s="626"/>
      <c r="T503" s="627"/>
      <c r="U503" s="34"/>
      <c r="V503" s="34"/>
      <c r="W503" s="35" t="s">
        <v>67</v>
      </c>
      <c r="X503" s="615">
        <v>26</v>
      </c>
      <c r="Y503" s="616">
        <f t="shared" ref="Y503:Y509" si="63">IFERROR(IF(X503="",0,CEILING((X503/$H503),1)*$H503),"")</f>
        <v>26.400000000000002</v>
      </c>
      <c r="Z503" s="36">
        <f>IFERROR(IF(Y503=0,"",ROUNDUP(Y503/H503,0)*0.01196),"")</f>
        <v>5.9799999999999999E-2</v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27.723484848484848</v>
      </c>
      <c r="BN503" s="64">
        <f t="shared" ref="BN503:BN509" si="65">IFERROR(Y503*I503/H503,"0")</f>
        <v>28.15</v>
      </c>
      <c r="BO503" s="64">
        <f t="shared" ref="BO503:BO509" si="66">IFERROR(1/J503*(X503/H503),"0")</f>
        <v>4.7348484848484848E-2</v>
      </c>
      <c r="BP503" s="64">
        <f t="shared" ref="BP503:BP509" si="67">IFERROR(1/J503*(Y503/H503),"0")</f>
        <v>4.807692307692308E-2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0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6"/>
      <c r="R504" s="626"/>
      <c r="S504" s="626"/>
      <c r="T504" s="627"/>
      <c r="U504" s="34"/>
      <c r="V504" s="34"/>
      <c r="W504" s="35" t="s">
        <v>67</v>
      </c>
      <c r="X504" s="615">
        <v>76</v>
      </c>
      <c r="Y504" s="616">
        <f t="shared" si="63"/>
        <v>79.2</v>
      </c>
      <c r="Z504" s="36">
        <f>IFERROR(IF(Y504=0,"",ROUNDUP(Y504/H504,0)*0.01196),"")</f>
        <v>0.1794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81.037878787878782</v>
      </c>
      <c r="BN504" s="64">
        <f t="shared" si="65"/>
        <v>84.45</v>
      </c>
      <c r="BO504" s="64">
        <f t="shared" si="66"/>
        <v>0.13840326340326339</v>
      </c>
      <c r="BP504" s="64">
        <f t="shared" si="67"/>
        <v>0.14423076923076925</v>
      </c>
    </row>
    <row r="505" spans="1:68" ht="27" hidden="1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6"/>
      <c r="R505" s="626"/>
      <c r="S505" s="626"/>
      <c r="T505" s="627"/>
      <c r="U505" s="34"/>
      <c r="V505" s="34"/>
      <c r="W505" s="35" t="s">
        <v>67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hidden="1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6"/>
      <c r="R506" s="626"/>
      <c r="S506" s="626"/>
      <c r="T506" s="627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6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6"/>
      <c r="R507" s="626"/>
      <c r="S507" s="626"/>
      <c r="T507" s="627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9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6"/>
      <c r="R508" s="626"/>
      <c r="S508" s="626"/>
      <c r="T508" s="627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6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6"/>
      <c r="R509" s="626"/>
      <c r="S509" s="626"/>
      <c r="T509" s="627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32"/>
      <c r="B510" s="629"/>
      <c r="C510" s="629"/>
      <c r="D510" s="629"/>
      <c r="E510" s="629"/>
      <c r="F510" s="629"/>
      <c r="G510" s="629"/>
      <c r="H510" s="629"/>
      <c r="I510" s="629"/>
      <c r="J510" s="629"/>
      <c r="K510" s="629"/>
      <c r="L510" s="629"/>
      <c r="M510" s="629"/>
      <c r="N510" s="629"/>
      <c r="O510" s="633"/>
      <c r="P510" s="640" t="s">
        <v>72</v>
      </c>
      <c r="Q510" s="641"/>
      <c r="R510" s="641"/>
      <c r="S510" s="641"/>
      <c r="T510" s="641"/>
      <c r="U510" s="641"/>
      <c r="V510" s="64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19.318181818181817</v>
      </c>
      <c r="Y510" s="617">
        <f>IFERROR(Y503/H503,"0")+IFERROR(Y504/H504,"0")+IFERROR(Y505/H505,"0")+IFERROR(Y506/H506,"0")+IFERROR(Y507/H507,"0")+IFERROR(Y508/H508,"0")+IFERROR(Y509/H509,"0")</f>
        <v>20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0.2392</v>
      </c>
      <c r="AA510" s="618"/>
      <c r="AB510" s="618"/>
      <c r="AC510" s="618"/>
    </row>
    <row r="511" spans="1:68" x14ac:dyDescent="0.2">
      <c r="A511" s="629"/>
      <c r="B511" s="629"/>
      <c r="C511" s="629"/>
      <c r="D511" s="629"/>
      <c r="E511" s="629"/>
      <c r="F511" s="629"/>
      <c r="G511" s="629"/>
      <c r="H511" s="629"/>
      <c r="I511" s="629"/>
      <c r="J511" s="629"/>
      <c r="K511" s="629"/>
      <c r="L511" s="629"/>
      <c r="M511" s="629"/>
      <c r="N511" s="629"/>
      <c r="O511" s="633"/>
      <c r="P511" s="640" t="s">
        <v>72</v>
      </c>
      <c r="Q511" s="641"/>
      <c r="R511" s="641"/>
      <c r="S511" s="641"/>
      <c r="T511" s="641"/>
      <c r="U511" s="641"/>
      <c r="V511" s="642"/>
      <c r="W511" s="37" t="s">
        <v>67</v>
      </c>
      <c r="X511" s="617">
        <f>IFERROR(SUM(X503:X509),"0")</f>
        <v>102</v>
      </c>
      <c r="Y511" s="617">
        <f>IFERROR(SUM(Y503:Y509),"0")</f>
        <v>105.60000000000001</v>
      </c>
      <c r="Z511" s="37"/>
      <c r="AA511" s="618"/>
      <c r="AB511" s="618"/>
      <c r="AC511" s="618"/>
    </row>
    <row r="512" spans="1:68" ht="27.75" hidden="1" customHeight="1" x14ac:dyDescent="0.2">
      <c r="A512" s="723" t="s">
        <v>812</v>
      </c>
      <c r="B512" s="724"/>
      <c r="C512" s="724"/>
      <c r="D512" s="724"/>
      <c r="E512" s="724"/>
      <c r="F512" s="724"/>
      <c r="G512" s="724"/>
      <c r="H512" s="724"/>
      <c r="I512" s="724"/>
      <c r="J512" s="724"/>
      <c r="K512" s="724"/>
      <c r="L512" s="724"/>
      <c r="M512" s="724"/>
      <c r="N512" s="724"/>
      <c r="O512" s="724"/>
      <c r="P512" s="724"/>
      <c r="Q512" s="724"/>
      <c r="R512" s="724"/>
      <c r="S512" s="724"/>
      <c r="T512" s="724"/>
      <c r="U512" s="724"/>
      <c r="V512" s="724"/>
      <c r="W512" s="724"/>
      <c r="X512" s="724"/>
      <c r="Y512" s="724"/>
      <c r="Z512" s="724"/>
      <c r="AA512" s="48"/>
      <c r="AB512" s="48"/>
      <c r="AC512" s="48"/>
    </row>
    <row r="513" spans="1:68" ht="16.5" hidden="1" customHeight="1" x14ac:dyDescent="0.25">
      <c r="A513" s="635" t="s">
        <v>812</v>
      </c>
      <c r="B513" s="629"/>
      <c r="C513" s="629"/>
      <c r="D513" s="629"/>
      <c r="E513" s="629"/>
      <c r="F513" s="629"/>
      <c r="G513" s="629"/>
      <c r="H513" s="629"/>
      <c r="I513" s="629"/>
      <c r="J513" s="629"/>
      <c r="K513" s="629"/>
      <c r="L513" s="629"/>
      <c r="M513" s="629"/>
      <c r="N513" s="629"/>
      <c r="O513" s="629"/>
      <c r="P513" s="629"/>
      <c r="Q513" s="629"/>
      <c r="R513" s="629"/>
      <c r="S513" s="629"/>
      <c r="T513" s="629"/>
      <c r="U513" s="629"/>
      <c r="V513" s="629"/>
      <c r="W513" s="629"/>
      <c r="X513" s="629"/>
      <c r="Y513" s="629"/>
      <c r="Z513" s="629"/>
      <c r="AA513" s="610"/>
      <c r="AB513" s="610"/>
      <c r="AC513" s="610"/>
    </row>
    <row r="514" spans="1:68" ht="14.25" hidden="1" customHeight="1" x14ac:dyDescent="0.25">
      <c r="A514" s="628" t="s">
        <v>117</v>
      </c>
      <c r="B514" s="629"/>
      <c r="C514" s="629"/>
      <c r="D514" s="629"/>
      <c r="E514" s="629"/>
      <c r="F514" s="629"/>
      <c r="G514" s="629"/>
      <c r="H514" s="629"/>
      <c r="I514" s="629"/>
      <c r="J514" s="629"/>
      <c r="K514" s="629"/>
      <c r="L514" s="629"/>
      <c r="M514" s="629"/>
      <c r="N514" s="629"/>
      <c r="O514" s="629"/>
      <c r="P514" s="629"/>
      <c r="Q514" s="629"/>
      <c r="R514" s="629"/>
      <c r="S514" s="629"/>
      <c r="T514" s="629"/>
      <c r="U514" s="629"/>
      <c r="V514" s="629"/>
      <c r="W514" s="629"/>
      <c r="X514" s="629"/>
      <c r="Y514" s="629"/>
      <c r="Z514" s="629"/>
      <c r="AA514" s="611"/>
      <c r="AB514" s="611"/>
      <c r="AC514" s="611"/>
    </row>
    <row r="515" spans="1:68" ht="27" hidden="1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7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6"/>
      <c r="R515" s="626"/>
      <c r="S515" s="626"/>
      <c r="T515" s="627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32"/>
      <c r="B516" s="629"/>
      <c r="C516" s="629"/>
      <c r="D516" s="629"/>
      <c r="E516" s="629"/>
      <c r="F516" s="629"/>
      <c r="G516" s="629"/>
      <c r="H516" s="629"/>
      <c r="I516" s="629"/>
      <c r="J516" s="629"/>
      <c r="K516" s="629"/>
      <c r="L516" s="629"/>
      <c r="M516" s="629"/>
      <c r="N516" s="629"/>
      <c r="O516" s="633"/>
      <c r="P516" s="640" t="s">
        <v>72</v>
      </c>
      <c r="Q516" s="641"/>
      <c r="R516" s="641"/>
      <c r="S516" s="641"/>
      <c r="T516" s="641"/>
      <c r="U516" s="641"/>
      <c r="V516" s="64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9"/>
      <c r="B517" s="629"/>
      <c r="C517" s="629"/>
      <c r="D517" s="629"/>
      <c r="E517" s="629"/>
      <c r="F517" s="629"/>
      <c r="G517" s="629"/>
      <c r="H517" s="629"/>
      <c r="I517" s="629"/>
      <c r="J517" s="629"/>
      <c r="K517" s="629"/>
      <c r="L517" s="629"/>
      <c r="M517" s="629"/>
      <c r="N517" s="629"/>
      <c r="O517" s="633"/>
      <c r="P517" s="640" t="s">
        <v>72</v>
      </c>
      <c r="Q517" s="641"/>
      <c r="R517" s="641"/>
      <c r="S517" s="641"/>
      <c r="T517" s="641"/>
      <c r="U517" s="641"/>
      <c r="V517" s="64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153</v>
      </c>
      <c r="B518" s="629"/>
      <c r="C518" s="629"/>
      <c r="D518" s="629"/>
      <c r="E518" s="629"/>
      <c r="F518" s="629"/>
      <c r="G518" s="629"/>
      <c r="H518" s="629"/>
      <c r="I518" s="629"/>
      <c r="J518" s="629"/>
      <c r="K518" s="629"/>
      <c r="L518" s="629"/>
      <c r="M518" s="629"/>
      <c r="N518" s="629"/>
      <c r="O518" s="629"/>
      <c r="P518" s="629"/>
      <c r="Q518" s="629"/>
      <c r="R518" s="629"/>
      <c r="S518" s="629"/>
      <c r="T518" s="629"/>
      <c r="U518" s="629"/>
      <c r="V518" s="629"/>
      <c r="W518" s="629"/>
      <c r="X518" s="629"/>
      <c r="Y518" s="629"/>
      <c r="Z518" s="629"/>
      <c r="AA518" s="611"/>
      <c r="AB518" s="611"/>
      <c r="AC518" s="611"/>
    </row>
    <row r="519" spans="1:68" ht="27" hidden="1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88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6"/>
      <c r="R519" s="626"/>
      <c r="S519" s="626"/>
      <c r="T519" s="627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32"/>
      <c r="B520" s="629"/>
      <c r="C520" s="629"/>
      <c r="D520" s="629"/>
      <c r="E520" s="629"/>
      <c r="F520" s="629"/>
      <c r="G520" s="629"/>
      <c r="H520" s="629"/>
      <c r="I520" s="629"/>
      <c r="J520" s="629"/>
      <c r="K520" s="629"/>
      <c r="L520" s="629"/>
      <c r="M520" s="629"/>
      <c r="N520" s="629"/>
      <c r="O520" s="633"/>
      <c r="P520" s="640" t="s">
        <v>72</v>
      </c>
      <c r="Q520" s="641"/>
      <c r="R520" s="641"/>
      <c r="S520" s="641"/>
      <c r="T520" s="641"/>
      <c r="U520" s="641"/>
      <c r="V520" s="64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9"/>
      <c r="B521" s="629"/>
      <c r="C521" s="629"/>
      <c r="D521" s="629"/>
      <c r="E521" s="629"/>
      <c r="F521" s="629"/>
      <c r="G521" s="629"/>
      <c r="H521" s="629"/>
      <c r="I521" s="629"/>
      <c r="J521" s="629"/>
      <c r="K521" s="629"/>
      <c r="L521" s="629"/>
      <c r="M521" s="629"/>
      <c r="N521" s="629"/>
      <c r="O521" s="633"/>
      <c r="P521" s="640" t="s">
        <v>72</v>
      </c>
      <c r="Q521" s="641"/>
      <c r="R521" s="641"/>
      <c r="S521" s="641"/>
      <c r="T521" s="641"/>
      <c r="U521" s="641"/>
      <c r="V521" s="64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62</v>
      </c>
      <c r="B522" s="629"/>
      <c r="C522" s="629"/>
      <c r="D522" s="629"/>
      <c r="E522" s="629"/>
      <c r="F522" s="629"/>
      <c r="G522" s="629"/>
      <c r="H522" s="629"/>
      <c r="I522" s="629"/>
      <c r="J522" s="629"/>
      <c r="K522" s="629"/>
      <c r="L522" s="629"/>
      <c r="M522" s="629"/>
      <c r="N522" s="629"/>
      <c r="O522" s="629"/>
      <c r="P522" s="629"/>
      <c r="Q522" s="629"/>
      <c r="R522" s="629"/>
      <c r="S522" s="629"/>
      <c r="T522" s="629"/>
      <c r="U522" s="629"/>
      <c r="V522" s="629"/>
      <c r="W522" s="629"/>
      <c r="X522" s="629"/>
      <c r="Y522" s="629"/>
      <c r="Z522" s="629"/>
      <c r="AA522" s="611"/>
      <c r="AB522" s="611"/>
      <c r="AC522" s="611"/>
    </row>
    <row r="523" spans="1:68" ht="27" hidden="1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88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6"/>
      <c r="R523" s="626"/>
      <c r="S523" s="626"/>
      <c r="T523" s="627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8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6"/>
      <c r="R524" s="626"/>
      <c r="S524" s="626"/>
      <c r="T524" s="627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32"/>
      <c r="B525" s="629"/>
      <c r="C525" s="629"/>
      <c r="D525" s="629"/>
      <c r="E525" s="629"/>
      <c r="F525" s="629"/>
      <c r="G525" s="629"/>
      <c r="H525" s="629"/>
      <c r="I525" s="629"/>
      <c r="J525" s="629"/>
      <c r="K525" s="629"/>
      <c r="L525" s="629"/>
      <c r="M525" s="629"/>
      <c r="N525" s="629"/>
      <c r="O525" s="633"/>
      <c r="P525" s="640" t="s">
        <v>72</v>
      </c>
      <c r="Q525" s="641"/>
      <c r="R525" s="641"/>
      <c r="S525" s="641"/>
      <c r="T525" s="641"/>
      <c r="U525" s="641"/>
      <c r="V525" s="64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9"/>
      <c r="B526" s="629"/>
      <c r="C526" s="629"/>
      <c r="D526" s="629"/>
      <c r="E526" s="629"/>
      <c r="F526" s="629"/>
      <c r="G526" s="629"/>
      <c r="H526" s="629"/>
      <c r="I526" s="629"/>
      <c r="J526" s="629"/>
      <c r="K526" s="629"/>
      <c r="L526" s="629"/>
      <c r="M526" s="629"/>
      <c r="N526" s="629"/>
      <c r="O526" s="633"/>
      <c r="P526" s="640" t="s">
        <v>72</v>
      </c>
      <c r="Q526" s="641"/>
      <c r="R526" s="641"/>
      <c r="S526" s="641"/>
      <c r="T526" s="641"/>
      <c r="U526" s="641"/>
      <c r="V526" s="64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74</v>
      </c>
      <c r="B527" s="629"/>
      <c r="C527" s="629"/>
      <c r="D527" s="629"/>
      <c r="E527" s="629"/>
      <c r="F527" s="629"/>
      <c r="G527" s="629"/>
      <c r="H527" s="629"/>
      <c r="I527" s="629"/>
      <c r="J527" s="629"/>
      <c r="K527" s="629"/>
      <c r="L527" s="629"/>
      <c r="M527" s="629"/>
      <c r="N527" s="629"/>
      <c r="O527" s="629"/>
      <c r="P527" s="629"/>
      <c r="Q527" s="629"/>
      <c r="R527" s="629"/>
      <c r="S527" s="629"/>
      <c r="T527" s="629"/>
      <c r="U527" s="629"/>
      <c r="V527" s="629"/>
      <c r="W527" s="629"/>
      <c r="X527" s="629"/>
      <c r="Y527" s="629"/>
      <c r="Z527" s="629"/>
      <c r="AA527" s="611"/>
      <c r="AB527" s="611"/>
      <c r="AC527" s="611"/>
    </row>
    <row r="528" spans="1:68" ht="27" hidden="1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6"/>
      <c r="R528" s="626"/>
      <c r="S528" s="626"/>
      <c r="T528" s="627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32"/>
      <c r="B529" s="629"/>
      <c r="C529" s="629"/>
      <c r="D529" s="629"/>
      <c r="E529" s="629"/>
      <c r="F529" s="629"/>
      <c r="G529" s="629"/>
      <c r="H529" s="629"/>
      <c r="I529" s="629"/>
      <c r="J529" s="629"/>
      <c r="K529" s="629"/>
      <c r="L529" s="629"/>
      <c r="M529" s="629"/>
      <c r="N529" s="629"/>
      <c r="O529" s="633"/>
      <c r="P529" s="640" t="s">
        <v>72</v>
      </c>
      <c r="Q529" s="641"/>
      <c r="R529" s="641"/>
      <c r="S529" s="641"/>
      <c r="T529" s="641"/>
      <c r="U529" s="641"/>
      <c r="V529" s="642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9"/>
      <c r="B530" s="629"/>
      <c r="C530" s="629"/>
      <c r="D530" s="629"/>
      <c r="E530" s="629"/>
      <c r="F530" s="629"/>
      <c r="G530" s="629"/>
      <c r="H530" s="629"/>
      <c r="I530" s="629"/>
      <c r="J530" s="629"/>
      <c r="K530" s="629"/>
      <c r="L530" s="629"/>
      <c r="M530" s="629"/>
      <c r="N530" s="629"/>
      <c r="O530" s="633"/>
      <c r="P530" s="640" t="s">
        <v>72</v>
      </c>
      <c r="Q530" s="641"/>
      <c r="R530" s="641"/>
      <c r="S530" s="641"/>
      <c r="T530" s="641"/>
      <c r="U530" s="641"/>
      <c r="V530" s="642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170</v>
      </c>
      <c r="B531" s="629"/>
      <c r="C531" s="629"/>
      <c r="D531" s="629"/>
      <c r="E531" s="629"/>
      <c r="F531" s="629"/>
      <c r="G531" s="629"/>
      <c r="H531" s="629"/>
      <c r="I531" s="629"/>
      <c r="J531" s="629"/>
      <c r="K531" s="629"/>
      <c r="L531" s="629"/>
      <c r="M531" s="629"/>
      <c r="N531" s="629"/>
      <c r="O531" s="629"/>
      <c r="P531" s="629"/>
      <c r="Q531" s="629"/>
      <c r="R531" s="629"/>
      <c r="S531" s="629"/>
      <c r="T531" s="629"/>
      <c r="U531" s="629"/>
      <c r="V531" s="629"/>
      <c r="W531" s="629"/>
      <c r="X531" s="629"/>
      <c r="Y531" s="629"/>
      <c r="Z531" s="629"/>
      <c r="AA531" s="611"/>
      <c r="AB531" s="611"/>
      <c r="AC531" s="611"/>
    </row>
    <row r="532" spans="1:68" ht="27" hidden="1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6"/>
      <c r="R532" s="626"/>
      <c r="S532" s="626"/>
      <c r="T532" s="627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79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6"/>
      <c r="R533" s="626"/>
      <c r="S533" s="626"/>
      <c r="T533" s="627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29"/>
      <c r="C534" s="629"/>
      <c r="D534" s="629"/>
      <c r="E534" s="629"/>
      <c r="F534" s="629"/>
      <c r="G534" s="629"/>
      <c r="H534" s="629"/>
      <c r="I534" s="629"/>
      <c r="J534" s="629"/>
      <c r="K534" s="629"/>
      <c r="L534" s="629"/>
      <c r="M534" s="629"/>
      <c r="N534" s="629"/>
      <c r="O534" s="633"/>
      <c r="P534" s="640" t="s">
        <v>72</v>
      </c>
      <c r="Q534" s="641"/>
      <c r="R534" s="641"/>
      <c r="S534" s="641"/>
      <c r="T534" s="641"/>
      <c r="U534" s="641"/>
      <c r="V534" s="64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9"/>
      <c r="B535" s="629"/>
      <c r="C535" s="629"/>
      <c r="D535" s="629"/>
      <c r="E535" s="629"/>
      <c r="F535" s="629"/>
      <c r="G535" s="629"/>
      <c r="H535" s="629"/>
      <c r="I535" s="629"/>
      <c r="J535" s="629"/>
      <c r="K535" s="629"/>
      <c r="L535" s="629"/>
      <c r="M535" s="629"/>
      <c r="N535" s="629"/>
      <c r="O535" s="633"/>
      <c r="P535" s="640" t="s">
        <v>72</v>
      </c>
      <c r="Q535" s="641"/>
      <c r="R535" s="641"/>
      <c r="S535" s="641"/>
      <c r="T535" s="641"/>
      <c r="U535" s="641"/>
      <c r="V535" s="64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35" t="s">
        <v>833</v>
      </c>
      <c r="B536" s="629"/>
      <c r="C536" s="629"/>
      <c r="D536" s="629"/>
      <c r="E536" s="629"/>
      <c r="F536" s="629"/>
      <c r="G536" s="629"/>
      <c r="H536" s="629"/>
      <c r="I536" s="629"/>
      <c r="J536" s="629"/>
      <c r="K536" s="629"/>
      <c r="L536" s="629"/>
      <c r="M536" s="629"/>
      <c r="N536" s="629"/>
      <c r="O536" s="629"/>
      <c r="P536" s="629"/>
      <c r="Q536" s="629"/>
      <c r="R536" s="629"/>
      <c r="S536" s="629"/>
      <c r="T536" s="629"/>
      <c r="U536" s="629"/>
      <c r="V536" s="629"/>
      <c r="W536" s="629"/>
      <c r="X536" s="629"/>
      <c r="Y536" s="629"/>
      <c r="Z536" s="629"/>
      <c r="AA536" s="610"/>
      <c r="AB536" s="610"/>
      <c r="AC536" s="610"/>
    </row>
    <row r="537" spans="1:68" ht="14.25" hidden="1" customHeight="1" x14ac:dyDescent="0.25">
      <c r="A537" s="628" t="s">
        <v>153</v>
      </c>
      <c r="B537" s="629"/>
      <c r="C537" s="629"/>
      <c r="D537" s="629"/>
      <c r="E537" s="629"/>
      <c r="F537" s="629"/>
      <c r="G537" s="629"/>
      <c r="H537" s="629"/>
      <c r="I537" s="629"/>
      <c r="J537" s="629"/>
      <c r="K537" s="629"/>
      <c r="L537" s="629"/>
      <c r="M537" s="629"/>
      <c r="N537" s="629"/>
      <c r="O537" s="629"/>
      <c r="P537" s="629"/>
      <c r="Q537" s="629"/>
      <c r="R537" s="629"/>
      <c r="S537" s="629"/>
      <c r="T537" s="629"/>
      <c r="U537" s="629"/>
      <c r="V537" s="629"/>
      <c r="W537" s="629"/>
      <c r="X537" s="629"/>
      <c r="Y537" s="629"/>
      <c r="Z537" s="629"/>
      <c r="AA537" s="611"/>
      <c r="AB537" s="611"/>
      <c r="AC537" s="611"/>
    </row>
    <row r="538" spans="1:68" ht="27" hidden="1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0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6"/>
      <c r="R538" s="626"/>
      <c r="S538" s="626"/>
      <c r="T538" s="627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29"/>
      <c r="C539" s="629"/>
      <c r="D539" s="629"/>
      <c r="E539" s="629"/>
      <c r="F539" s="629"/>
      <c r="G539" s="629"/>
      <c r="H539" s="629"/>
      <c r="I539" s="629"/>
      <c r="J539" s="629"/>
      <c r="K539" s="629"/>
      <c r="L539" s="629"/>
      <c r="M539" s="629"/>
      <c r="N539" s="629"/>
      <c r="O539" s="633"/>
      <c r="P539" s="640" t="s">
        <v>72</v>
      </c>
      <c r="Q539" s="641"/>
      <c r="R539" s="641"/>
      <c r="S539" s="641"/>
      <c r="T539" s="641"/>
      <c r="U539" s="641"/>
      <c r="V539" s="64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9"/>
      <c r="B540" s="629"/>
      <c r="C540" s="629"/>
      <c r="D540" s="629"/>
      <c r="E540" s="629"/>
      <c r="F540" s="629"/>
      <c r="G540" s="629"/>
      <c r="H540" s="629"/>
      <c r="I540" s="629"/>
      <c r="J540" s="629"/>
      <c r="K540" s="629"/>
      <c r="L540" s="629"/>
      <c r="M540" s="629"/>
      <c r="N540" s="629"/>
      <c r="O540" s="633"/>
      <c r="P540" s="640" t="s">
        <v>72</v>
      </c>
      <c r="Q540" s="641"/>
      <c r="R540" s="641"/>
      <c r="S540" s="641"/>
      <c r="T540" s="641"/>
      <c r="U540" s="641"/>
      <c r="V540" s="64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920"/>
      <c r="B541" s="629"/>
      <c r="C541" s="629"/>
      <c r="D541" s="629"/>
      <c r="E541" s="629"/>
      <c r="F541" s="629"/>
      <c r="G541" s="629"/>
      <c r="H541" s="629"/>
      <c r="I541" s="629"/>
      <c r="J541" s="629"/>
      <c r="K541" s="629"/>
      <c r="L541" s="629"/>
      <c r="M541" s="629"/>
      <c r="N541" s="629"/>
      <c r="O541" s="827"/>
      <c r="P541" s="650" t="s">
        <v>837</v>
      </c>
      <c r="Q541" s="651"/>
      <c r="R541" s="651"/>
      <c r="S541" s="651"/>
      <c r="T541" s="651"/>
      <c r="U541" s="651"/>
      <c r="V541" s="652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8003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8185.32</v>
      </c>
      <c r="Z541" s="37"/>
      <c r="AA541" s="618"/>
      <c r="AB541" s="618"/>
      <c r="AC541" s="618"/>
    </row>
    <row r="542" spans="1:68" x14ac:dyDescent="0.2">
      <c r="A542" s="629"/>
      <c r="B542" s="629"/>
      <c r="C542" s="629"/>
      <c r="D542" s="629"/>
      <c r="E542" s="629"/>
      <c r="F542" s="629"/>
      <c r="G542" s="629"/>
      <c r="H542" s="629"/>
      <c r="I542" s="629"/>
      <c r="J542" s="629"/>
      <c r="K542" s="629"/>
      <c r="L542" s="629"/>
      <c r="M542" s="629"/>
      <c r="N542" s="629"/>
      <c r="O542" s="827"/>
      <c r="P542" s="650" t="s">
        <v>838</v>
      </c>
      <c r="Q542" s="651"/>
      <c r="R542" s="651"/>
      <c r="S542" s="651"/>
      <c r="T542" s="651"/>
      <c r="U542" s="651"/>
      <c r="V542" s="652"/>
      <c r="W542" s="37" t="s">
        <v>67</v>
      </c>
      <c r="X542" s="617">
        <f>IFERROR(SUM(BM22:BM538),"0")</f>
        <v>8480.0961003934735</v>
      </c>
      <c r="Y542" s="617">
        <f>IFERROR(SUM(BN22:BN538),"0")</f>
        <v>8672.81</v>
      </c>
      <c r="Z542" s="37"/>
      <c r="AA542" s="618"/>
      <c r="AB542" s="618"/>
      <c r="AC542" s="618"/>
    </row>
    <row r="543" spans="1:68" x14ac:dyDescent="0.2">
      <c r="A543" s="629"/>
      <c r="B543" s="629"/>
      <c r="C543" s="629"/>
      <c r="D543" s="629"/>
      <c r="E543" s="629"/>
      <c r="F543" s="629"/>
      <c r="G543" s="629"/>
      <c r="H543" s="629"/>
      <c r="I543" s="629"/>
      <c r="J543" s="629"/>
      <c r="K543" s="629"/>
      <c r="L543" s="629"/>
      <c r="M543" s="629"/>
      <c r="N543" s="629"/>
      <c r="O543" s="827"/>
      <c r="P543" s="650" t="s">
        <v>839</v>
      </c>
      <c r="Q543" s="651"/>
      <c r="R543" s="651"/>
      <c r="S543" s="651"/>
      <c r="T543" s="651"/>
      <c r="U543" s="651"/>
      <c r="V543" s="652"/>
      <c r="W543" s="37" t="s">
        <v>840</v>
      </c>
      <c r="X543" s="38">
        <f>ROUNDUP(SUM(BO22:BO538),0)</f>
        <v>14</v>
      </c>
      <c r="Y543" s="38">
        <f>ROUNDUP(SUM(BP22:BP538),0)</f>
        <v>14</v>
      </c>
      <c r="Z543" s="37"/>
      <c r="AA543" s="618"/>
      <c r="AB543" s="618"/>
      <c r="AC543" s="618"/>
    </row>
    <row r="544" spans="1:68" x14ac:dyDescent="0.2">
      <c r="A544" s="629"/>
      <c r="B544" s="629"/>
      <c r="C544" s="629"/>
      <c r="D544" s="629"/>
      <c r="E544" s="629"/>
      <c r="F544" s="629"/>
      <c r="G544" s="629"/>
      <c r="H544" s="629"/>
      <c r="I544" s="629"/>
      <c r="J544" s="629"/>
      <c r="K544" s="629"/>
      <c r="L544" s="629"/>
      <c r="M544" s="629"/>
      <c r="N544" s="629"/>
      <c r="O544" s="827"/>
      <c r="P544" s="650" t="s">
        <v>841</v>
      </c>
      <c r="Q544" s="651"/>
      <c r="R544" s="651"/>
      <c r="S544" s="651"/>
      <c r="T544" s="651"/>
      <c r="U544" s="651"/>
      <c r="V544" s="652"/>
      <c r="W544" s="37" t="s">
        <v>67</v>
      </c>
      <c r="X544" s="617">
        <f>GrossWeightTotal+PalletQtyTotal*25</f>
        <v>8830.0961003934735</v>
      </c>
      <c r="Y544" s="617">
        <f>GrossWeightTotalR+PalletQtyTotalR*25</f>
        <v>9022.81</v>
      </c>
      <c r="Z544" s="37"/>
      <c r="AA544" s="618"/>
      <c r="AB544" s="618"/>
      <c r="AC544" s="618"/>
    </row>
    <row r="545" spans="1:32" x14ac:dyDescent="0.2">
      <c r="A545" s="629"/>
      <c r="B545" s="629"/>
      <c r="C545" s="629"/>
      <c r="D545" s="629"/>
      <c r="E545" s="629"/>
      <c r="F545" s="629"/>
      <c r="G545" s="629"/>
      <c r="H545" s="629"/>
      <c r="I545" s="629"/>
      <c r="J545" s="629"/>
      <c r="K545" s="629"/>
      <c r="L545" s="629"/>
      <c r="M545" s="629"/>
      <c r="N545" s="629"/>
      <c r="O545" s="827"/>
      <c r="P545" s="650" t="s">
        <v>842</v>
      </c>
      <c r="Q545" s="651"/>
      <c r="R545" s="651"/>
      <c r="S545" s="651"/>
      <c r="T545" s="651"/>
      <c r="U545" s="651"/>
      <c r="V545" s="652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1339.3525225581691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1368</v>
      </c>
      <c r="Z545" s="37"/>
      <c r="AA545" s="618"/>
      <c r="AB545" s="618"/>
      <c r="AC545" s="618"/>
    </row>
    <row r="546" spans="1:32" ht="14.25" hidden="1" customHeight="1" x14ac:dyDescent="0.2">
      <c r="A546" s="629"/>
      <c r="B546" s="629"/>
      <c r="C546" s="629"/>
      <c r="D546" s="629"/>
      <c r="E546" s="629"/>
      <c r="F546" s="629"/>
      <c r="G546" s="629"/>
      <c r="H546" s="629"/>
      <c r="I546" s="629"/>
      <c r="J546" s="629"/>
      <c r="K546" s="629"/>
      <c r="L546" s="629"/>
      <c r="M546" s="629"/>
      <c r="N546" s="629"/>
      <c r="O546" s="827"/>
      <c r="P546" s="650" t="s">
        <v>843</v>
      </c>
      <c r="Q546" s="651"/>
      <c r="R546" s="651"/>
      <c r="S546" s="651"/>
      <c r="T546" s="651"/>
      <c r="U546" s="651"/>
      <c r="V546" s="652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15.958959999999998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62" t="s">
        <v>115</v>
      </c>
      <c r="E548" s="795"/>
      <c r="F548" s="795"/>
      <c r="G548" s="795"/>
      <c r="H548" s="795"/>
      <c r="I548" s="795"/>
      <c r="J548" s="732"/>
      <c r="K548" s="662" t="s">
        <v>327</v>
      </c>
      <c r="L548" s="795"/>
      <c r="M548" s="795"/>
      <c r="N548" s="795"/>
      <c r="O548" s="795"/>
      <c r="P548" s="795"/>
      <c r="Q548" s="795"/>
      <c r="R548" s="795"/>
      <c r="S548" s="795"/>
      <c r="T548" s="795"/>
      <c r="U548" s="732"/>
      <c r="V548" s="662" t="s">
        <v>663</v>
      </c>
      <c r="W548" s="732"/>
      <c r="X548" s="662" t="s">
        <v>729</v>
      </c>
      <c r="Y548" s="732"/>
      <c r="Z548" s="612" t="s">
        <v>765</v>
      </c>
      <c r="AA548" s="662" t="s">
        <v>812</v>
      </c>
      <c r="AB548" s="732"/>
      <c r="AC548" s="52"/>
      <c r="AF548" s="613"/>
    </row>
    <row r="549" spans="1:32" ht="14.25" customHeight="1" thickTop="1" x14ac:dyDescent="0.2">
      <c r="A549" s="819" t="s">
        <v>846</v>
      </c>
      <c r="B549" s="662" t="s">
        <v>61</v>
      </c>
      <c r="C549" s="662" t="s">
        <v>99</v>
      </c>
      <c r="D549" s="662" t="s">
        <v>116</v>
      </c>
      <c r="E549" s="662" t="s">
        <v>132</v>
      </c>
      <c r="F549" s="662" t="s">
        <v>177</v>
      </c>
      <c r="G549" s="662" t="s">
        <v>198</v>
      </c>
      <c r="H549" s="662" t="s">
        <v>237</v>
      </c>
      <c r="I549" s="662" t="s">
        <v>249</v>
      </c>
      <c r="J549" s="662" t="s">
        <v>115</v>
      </c>
      <c r="K549" s="662" t="s">
        <v>328</v>
      </c>
      <c r="L549" s="662" t="s">
        <v>349</v>
      </c>
      <c r="M549" s="662" t="s">
        <v>416</v>
      </c>
      <c r="N549" s="613"/>
      <c r="O549" s="662" t="s">
        <v>484</v>
      </c>
      <c r="P549" s="662" t="s">
        <v>517</v>
      </c>
      <c r="Q549" s="662" t="s">
        <v>533</v>
      </c>
      <c r="R549" s="662" t="s">
        <v>542</v>
      </c>
      <c r="S549" s="662" t="s">
        <v>563</v>
      </c>
      <c r="T549" s="662" t="s">
        <v>572</v>
      </c>
      <c r="U549" s="662" t="s">
        <v>653</v>
      </c>
      <c r="V549" s="662" t="s">
        <v>664</v>
      </c>
      <c r="W549" s="662" t="s">
        <v>713</v>
      </c>
      <c r="X549" s="662" t="s">
        <v>730</v>
      </c>
      <c r="Y549" s="662" t="s">
        <v>753</v>
      </c>
      <c r="Z549" s="662" t="s">
        <v>765</v>
      </c>
      <c r="AA549" s="662" t="s">
        <v>812</v>
      </c>
      <c r="AB549" s="662" t="s">
        <v>833</v>
      </c>
      <c r="AC549" s="52"/>
      <c r="AF549" s="613"/>
    </row>
    <row r="550" spans="1:32" ht="13.5" customHeight="1" thickBot="1" x14ac:dyDescent="0.25">
      <c r="A550" s="820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13"/>
      <c r="O550" s="663"/>
      <c r="P550" s="663"/>
      <c r="Q550" s="663"/>
      <c r="R550" s="663"/>
      <c r="S550" s="663"/>
      <c r="T550" s="663"/>
      <c r="U550" s="663"/>
      <c r="V550" s="663"/>
      <c r="W550" s="663"/>
      <c r="X550" s="663"/>
      <c r="Y550" s="663"/>
      <c r="Z550" s="663"/>
      <c r="AA550" s="663"/>
      <c r="AB550" s="663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54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307.60000000000002</v>
      </c>
      <c r="F551" s="46">
        <f>IFERROR(Y88*1,"0")+IFERROR(Y89*1,"0")+IFERROR(Y90*1,"0")+IFERROR(Y91*1,"0")+IFERROR(Y95*1,"0")+IFERROR(Y96*1,"0")+IFERROR(Y97*1,"0")+IFERROR(Y98*1,"0")</f>
        <v>739.8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755.25</v>
      </c>
      <c r="H551" s="46">
        <f>IFERROR(Y132*1,"0")+IFERROR(Y133*1,"0")+IFERROR(Y137*1,"0")+IFERROR(Y138*1,"0")+IFERROR(Y142*1,"0")+IFERROR(Y143*1,"0")</f>
        <v>23.76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378.96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147.78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1129.2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96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109.19999999999999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106.07000000000001</v>
      </c>
      <c r="U551" s="46">
        <f>IFERROR(Y404*1,"0")+IFERROR(Y405*1,"0")+IFERROR(Y406*1,"0")</f>
        <v>2.1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3165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102.60000000000001</v>
      </c>
      <c r="Y551" s="46">
        <f>IFERROR(Y473*1,"0")+IFERROR(Y477*1,"0")+IFERROR(Y478*1,"0")+IFERROR(Y479*1,"0")</f>
        <v>172.8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895.2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0,95"/>
        <filter val="1 202,00"/>
        <filter val="1 339,35"/>
        <filter val="1,00"/>
        <filter val="100,00"/>
        <filter val="102,00"/>
        <filter val="103,00"/>
        <filter val="109,43"/>
        <filter val="11,00"/>
        <filter val="11,67"/>
        <filter val="11,98"/>
        <filter val="113,00"/>
        <filter val="114,69"/>
        <filter val="116,00"/>
        <filter val="126,05"/>
        <filter val="126,25"/>
        <filter val="131,67"/>
        <filter val="132,00"/>
        <filter val="134,00"/>
        <filter val="139,00"/>
        <filter val="14"/>
        <filter val="16,00"/>
        <filter val="16,92"/>
        <filter val="161,00"/>
        <filter val="167,87"/>
        <filter val="168,00"/>
        <filter val="17,78"/>
        <filter val="179,00"/>
        <filter val="18,00"/>
        <filter val="18,52"/>
        <filter val="19,32"/>
        <filter val="190,42"/>
        <filter val="2 518,00"/>
        <filter val="2,00"/>
        <filter val="2,38"/>
        <filter val="20,00"/>
        <filter val="21,00"/>
        <filter val="21,96"/>
        <filter val="216,00"/>
        <filter val="22,00"/>
        <filter val="23,00"/>
        <filter val="24,04"/>
        <filter val="26,00"/>
        <filter val="27,00"/>
        <filter val="28,00"/>
        <filter val="3,00"/>
        <filter val="3,29"/>
        <filter val="303,00"/>
        <filter val="307,00"/>
        <filter val="31,00"/>
        <filter val="31,11"/>
        <filter val="32,00"/>
        <filter val="370,00"/>
        <filter val="374,00"/>
        <filter val="38,60"/>
        <filter val="39,00"/>
        <filter val="39,58"/>
        <filter val="4,00"/>
        <filter val="4,63"/>
        <filter val="40,91"/>
        <filter val="42,20"/>
        <filter val="44,00"/>
        <filter val="467,00"/>
        <filter val="484,00"/>
        <filter val="5,93"/>
        <filter val="50,00"/>
        <filter val="502,00"/>
        <filter val="51,00"/>
        <filter val="52,00"/>
        <filter val="560,00"/>
        <filter val="57,00"/>
        <filter val="579,00"/>
        <filter val="581,00"/>
        <filter val="6,00"/>
        <filter val="603,00"/>
        <filter val="61,00"/>
        <filter val="64,00"/>
        <filter val="65,00"/>
        <filter val="663,00"/>
        <filter val="697,00"/>
        <filter val="7,00"/>
        <filter val="71,00"/>
        <filter val="720,00"/>
        <filter val="75,00"/>
        <filter val="76,00"/>
        <filter val="79,00"/>
        <filter val="8 003,00"/>
        <filter val="8 480,10"/>
        <filter val="8 830,10"/>
        <filter val="8,00"/>
        <filter val="8,67"/>
        <filter val="8,71"/>
        <filter val="9,00"/>
        <filter val="91,00"/>
        <filter val="95,00"/>
        <filter val="96,00"/>
      </filters>
    </filterColumn>
    <filterColumn colId="29" showButton="0"/>
    <filterColumn colId="30" showButton="0"/>
  </autoFilter>
  <mergeCells count="969"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A128:O129"/>
    <mergeCell ref="D386:E386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P103:T103"/>
    <mergeCell ref="P107:T107"/>
    <mergeCell ref="D106:E106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