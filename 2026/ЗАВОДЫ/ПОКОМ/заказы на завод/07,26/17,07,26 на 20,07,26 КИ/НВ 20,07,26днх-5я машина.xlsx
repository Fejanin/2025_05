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84C2D2-043C-49A2-A2CD-6A2CEC4B2A0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P528" i="1"/>
  <c r="X526" i="1"/>
  <c r="X525" i="1"/>
  <c r="BO524" i="1"/>
  <c r="BN524" i="1"/>
  <c r="BM524" i="1"/>
  <c r="Y524" i="1"/>
  <c r="BP524" i="1" s="1"/>
  <c r="P524" i="1"/>
  <c r="BO523" i="1"/>
  <c r="BM523" i="1"/>
  <c r="Y523" i="1"/>
  <c r="Y525" i="1" s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BP508" i="1" s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M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Z463" i="1"/>
  <c r="Y463" i="1"/>
  <c r="BN463" i="1" s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BP459" i="1" s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X438" i="1"/>
  <c r="X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P425" i="1"/>
  <c r="BO424" i="1"/>
  <c r="BN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N416" i="1"/>
  <c r="BM416" i="1"/>
  <c r="Y416" i="1"/>
  <c r="BP416" i="1" s="1"/>
  <c r="P416" i="1"/>
  <c r="BO415" i="1"/>
  <c r="BM415" i="1"/>
  <c r="Y415" i="1"/>
  <c r="P415" i="1"/>
  <c r="BO414" i="1"/>
  <c r="BN414" i="1"/>
  <c r="BM414" i="1"/>
  <c r="Y414" i="1"/>
  <c r="BP414" i="1" s="1"/>
  <c r="P414" i="1"/>
  <c r="BO413" i="1"/>
  <c r="BM413" i="1"/>
  <c r="Y413" i="1"/>
  <c r="P413" i="1"/>
  <c r="BP412" i="1"/>
  <c r="BO412" i="1"/>
  <c r="BN412" i="1"/>
  <c r="BM412" i="1"/>
  <c r="Y412" i="1"/>
  <c r="Z412" i="1" s="1"/>
  <c r="P412" i="1"/>
  <c r="X408" i="1"/>
  <c r="X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BP404" i="1" s="1"/>
  <c r="P404" i="1"/>
  <c r="X401" i="1"/>
  <c r="X400" i="1"/>
  <c r="BO399" i="1"/>
  <c r="BN399" i="1"/>
  <c r="BM399" i="1"/>
  <c r="Y399" i="1"/>
  <c r="BP399" i="1" s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N365" i="1"/>
  <c r="BM365" i="1"/>
  <c r="Y365" i="1"/>
  <c r="BP365" i="1" s="1"/>
  <c r="P365" i="1"/>
  <c r="BO364" i="1"/>
  <c r="BM364" i="1"/>
  <c r="Y364" i="1"/>
  <c r="P364" i="1"/>
  <c r="BO363" i="1"/>
  <c r="BN363" i="1"/>
  <c r="BM363" i="1"/>
  <c r="Y363" i="1"/>
  <c r="BP363" i="1" s="1"/>
  <c r="P363" i="1"/>
  <c r="BO362" i="1"/>
  <c r="BM362" i="1"/>
  <c r="Y362" i="1"/>
  <c r="P362" i="1"/>
  <c r="BP361" i="1"/>
  <c r="BO361" i="1"/>
  <c r="BM361" i="1"/>
  <c r="Z361" i="1"/>
  <c r="Y361" i="1"/>
  <c r="BN361" i="1" s="1"/>
  <c r="P361" i="1"/>
  <c r="X359" i="1"/>
  <c r="X358" i="1"/>
  <c r="BO357" i="1"/>
  <c r="BN357" i="1"/>
  <c r="BM357" i="1"/>
  <c r="Y357" i="1"/>
  <c r="BP357" i="1" s="1"/>
  <c r="P357" i="1"/>
  <c r="BO356" i="1"/>
  <c r="BM356" i="1"/>
  <c r="Y356" i="1"/>
  <c r="P356" i="1"/>
  <c r="BO355" i="1"/>
  <c r="BM355" i="1"/>
  <c r="Z355" i="1"/>
  <c r="Y355" i="1"/>
  <c r="BN355" i="1" s="1"/>
  <c r="P355" i="1"/>
  <c r="BO354" i="1"/>
  <c r="BM354" i="1"/>
  <c r="Y354" i="1"/>
  <c r="P354" i="1"/>
  <c r="BO353" i="1"/>
  <c r="BM353" i="1"/>
  <c r="Y353" i="1"/>
  <c r="P353" i="1"/>
  <c r="X350" i="1"/>
  <c r="X349" i="1"/>
  <c r="BP348" i="1"/>
  <c r="BO348" i="1"/>
  <c r="BM348" i="1"/>
  <c r="Z348" i="1"/>
  <c r="Y348" i="1"/>
  <c r="BN348" i="1" s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N296" i="1" s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N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P285" i="1"/>
  <c r="X283" i="1"/>
  <c r="X282" i="1"/>
  <c r="BP281" i="1"/>
  <c r="BO281" i="1"/>
  <c r="BM281" i="1"/>
  <c r="Z281" i="1"/>
  <c r="Y281" i="1"/>
  <c r="BN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N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Y275" i="1"/>
  <c r="Z275" i="1" s="1"/>
  <c r="P275" i="1"/>
  <c r="BO274" i="1"/>
  <c r="BM274" i="1"/>
  <c r="Y274" i="1"/>
  <c r="P274" i="1"/>
  <c r="BP273" i="1"/>
  <c r="BO273" i="1"/>
  <c r="BM273" i="1"/>
  <c r="Y273" i="1"/>
  <c r="BN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N265" i="1" s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BP260" i="1" s="1"/>
  <c r="P260" i="1"/>
  <c r="BP259" i="1"/>
  <c r="BO259" i="1"/>
  <c r="BM259" i="1"/>
  <c r="Y259" i="1"/>
  <c r="BN259" i="1" s="1"/>
  <c r="P259" i="1"/>
  <c r="X257" i="1"/>
  <c r="X256" i="1"/>
  <c r="BO255" i="1"/>
  <c r="BN255" i="1"/>
  <c r="BM255" i="1"/>
  <c r="Y255" i="1"/>
  <c r="BP255" i="1" s="1"/>
  <c r="P255" i="1"/>
  <c r="BO254" i="1"/>
  <c r="BM254" i="1"/>
  <c r="Y254" i="1"/>
  <c r="Y257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N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X228" i="1"/>
  <c r="X227" i="1"/>
  <c r="BO226" i="1"/>
  <c r="BN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M224" i="1"/>
  <c r="Y224" i="1"/>
  <c r="BN224" i="1" s="1"/>
  <c r="P224" i="1"/>
  <c r="BO223" i="1"/>
  <c r="BM223" i="1"/>
  <c r="Y223" i="1"/>
  <c r="BP223" i="1" s="1"/>
  <c r="P223" i="1"/>
  <c r="BO222" i="1"/>
  <c r="BM222" i="1"/>
  <c r="Z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BN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N216" i="1" s="1"/>
  <c r="P216" i="1"/>
  <c r="BO215" i="1"/>
  <c r="BM215" i="1"/>
  <c r="Y215" i="1"/>
  <c r="BP215" i="1" s="1"/>
  <c r="P215" i="1"/>
  <c r="BO214" i="1"/>
  <c r="BM214" i="1"/>
  <c r="Y214" i="1"/>
  <c r="BN214" i="1" s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N203" i="1"/>
  <c r="BM203" i="1"/>
  <c r="Y203" i="1"/>
  <c r="P203" i="1"/>
  <c r="BO202" i="1"/>
  <c r="BM202" i="1"/>
  <c r="Y202" i="1"/>
  <c r="BP202" i="1" s="1"/>
  <c r="P202" i="1"/>
  <c r="BO201" i="1"/>
  <c r="BM201" i="1"/>
  <c r="Y201" i="1"/>
  <c r="Z201" i="1" s="1"/>
  <c r="P201" i="1"/>
  <c r="BO200" i="1"/>
  <c r="BM200" i="1"/>
  <c r="Y200" i="1"/>
  <c r="BP200" i="1" s="1"/>
  <c r="P200" i="1"/>
  <c r="BO199" i="1"/>
  <c r="BM199" i="1"/>
  <c r="Y199" i="1"/>
  <c r="BN199" i="1" s="1"/>
  <c r="P199" i="1"/>
  <c r="BO198" i="1"/>
  <c r="BM198" i="1"/>
  <c r="Y198" i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O187" i="1"/>
  <c r="BM187" i="1"/>
  <c r="Y187" i="1"/>
  <c r="P187" i="1"/>
  <c r="X185" i="1"/>
  <c r="X184" i="1"/>
  <c r="BO183" i="1"/>
  <c r="BM183" i="1"/>
  <c r="Z183" i="1"/>
  <c r="Y183" i="1"/>
  <c r="BN183" i="1" s="1"/>
  <c r="P183" i="1"/>
  <c r="BO182" i="1"/>
  <c r="BM182" i="1"/>
  <c r="Y182" i="1"/>
  <c r="BP182" i="1" s="1"/>
  <c r="P182" i="1"/>
  <c r="BO181" i="1"/>
  <c r="BM181" i="1"/>
  <c r="Z181" i="1"/>
  <c r="Y181" i="1"/>
  <c r="P181" i="1"/>
  <c r="X179" i="1"/>
  <c r="X178" i="1"/>
  <c r="BO177" i="1"/>
  <c r="BM177" i="1"/>
  <c r="Z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P171" i="1"/>
  <c r="BO171" i="1"/>
  <c r="BN171" i="1"/>
  <c r="BM171" i="1"/>
  <c r="Y171" i="1"/>
  <c r="Z171" i="1" s="1"/>
  <c r="P171" i="1"/>
  <c r="BO170" i="1"/>
  <c r="BM170" i="1"/>
  <c r="Y170" i="1"/>
  <c r="BP170" i="1" s="1"/>
  <c r="P170" i="1"/>
  <c r="BP169" i="1"/>
  <c r="BO169" i="1"/>
  <c r="BM169" i="1"/>
  <c r="Y169" i="1"/>
  <c r="BN169" i="1" s="1"/>
  <c r="P169" i="1"/>
  <c r="BO168" i="1"/>
  <c r="BM168" i="1"/>
  <c r="Y168" i="1"/>
  <c r="BP168" i="1" s="1"/>
  <c r="P168" i="1"/>
  <c r="BO167" i="1"/>
  <c r="BM167" i="1"/>
  <c r="Y167" i="1"/>
  <c r="BN167" i="1" s="1"/>
  <c r="P167" i="1"/>
  <c r="BO166" i="1"/>
  <c r="BM166" i="1"/>
  <c r="Y166" i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P156" i="1"/>
  <c r="X153" i="1"/>
  <c r="X152" i="1"/>
  <c r="BO151" i="1"/>
  <c r="BM151" i="1"/>
  <c r="Y151" i="1"/>
  <c r="BP151" i="1" s="1"/>
  <c r="P151" i="1"/>
  <c r="BO150" i="1"/>
  <c r="BM150" i="1"/>
  <c r="Y150" i="1"/>
  <c r="BN150" i="1" s="1"/>
  <c r="P150" i="1"/>
  <c r="BO149" i="1"/>
  <c r="BM149" i="1"/>
  <c r="Y149" i="1"/>
  <c r="BP149" i="1" s="1"/>
  <c r="P149" i="1"/>
  <c r="BO148" i="1"/>
  <c r="BM148" i="1"/>
  <c r="Y148" i="1"/>
  <c r="BN148" i="1" s="1"/>
  <c r="P148" i="1"/>
  <c r="X145" i="1"/>
  <c r="X144" i="1"/>
  <c r="BO143" i="1"/>
  <c r="BM143" i="1"/>
  <c r="Y143" i="1"/>
  <c r="BN143" i="1" s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Z122" i="1"/>
  <c r="Y122" i="1"/>
  <c r="BN122" i="1" s="1"/>
  <c r="P122" i="1"/>
  <c r="BO121" i="1"/>
  <c r="BM121" i="1"/>
  <c r="Y121" i="1"/>
  <c r="BP121" i="1" s="1"/>
  <c r="P121" i="1"/>
  <c r="BO120" i="1"/>
  <c r="BM120" i="1"/>
  <c r="Y120" i="1"/>
  <c r="P120" i="1"/>
  <c r="X118" i="1"/>
  <c r="X117" i="1"/>
  <c r="BP116" i="1"/>
  <c r="BO116" i="1"/>
  <c r="BM116" i="1"/>
  <c r="Z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N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P104" i="1"/>
  <c r="BO104" i="1"/>
  <c r="BN104" i="1"/>
  <c r="BM104" i="1"/>
  <c r="Y104" i="1"/>
  <c r="Z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N97" i="1"/>
  <c r="BM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P70" i="1"/>
  <c r="BO70" i="1"/>
  <c r="BM70" i="1"/>
  <c r="Y70" i="1"/>
  <c r="BN70" i="1" s="1"/>
  <c r="P70" i="1"/>
  <c r="X68" i="1"/>
  <c r="X67" i="1"/>
  <c r="BO66" i="1"/>
  <c r="BN66" i="1"/>
  <c r="BM66" i="1"/>
  <c r="Y66" i="1"/>
  <c r="BP66" i="1" s="1"/>
  <c r="P66" i="1"/>
  <c r="BO65" i="1"/>
  <c r="BM65" i="1"/>
  <c r="Y65" i="1"/>
  <c r="BP65" i="1" s="1"/>
  <c r="P65" i="1"/>
  <c r="BO64" i="1"/>
  <c r="BN64" i="1"/>
  <c r="BM64" i="1"/>
  <c r="Y64" i="1"/>
  <c r="Z64" i="1" s="1"/>
  <c r="P64" i="1"/>
  <c r="BO63" i="1"/>
  <c r="BM63" i="1"/>
  <c r="Y63" i="1"/>
  <c r="BP63" i="1" s="1"/>
  <c r="P63" i="1"/>
  <c r="BP62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P45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Z35" i="1"/>
  <c r="Z36" i="1" s="1"/>
  <c r="Y35" i="1"/>
  <c r="Y37" i="1" s="1"/>
  <c r="P35" i="1"/>
  <c r="X33" i="1"/>
  <c r="X32" i="1"/>
  <c r="BO31" i="1"/>
  <c r="BM31" i="1"/>
  <c r="Z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P23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Z216" i="1" l="1"/>
  <c r="BP64" i="1"/>
  <c r="Z78" i="1"/>
  <c r="F551" i="1"/>
  <c r="Z95" i="1"/>
  <c r="Y245" i="1"/>
  <c r="BN326" i="1"/>
  <c r="BN341" i="1"/>
  <c r="Z436" i="1"/>
  <c r="BN201" i="1"/>
  <c r="BN385" i="1"/>
  <c r="BN406" i="1"/>
  <c r="BN78" i="1"/>
  <c r="BN95" i="1"/>
  <c r="BP216" i="1"/>
  <c r="BN436" i="1"/>
  <c r="Z29" i="1"/>
  <c r="BP201" i="1"/>
  <c r="Y342" i="1"/>
  <c r="BN371" i="1"/>
  <c r="Z504" i="1"/>
  <c r="X542" i="1"/>
  <c r="Y145" i="1"/>
  <c r="BP183" i="1"/>
  <c r="BP463" i="1"/>
  <c r="BN508" i="1"/>
  <c r="BP35" i="1"/>
  <c r="BP29" i="1"/>
  <c r="BN232" i="1"/>
  <c r="Z259" i="1"/>
  <c r="BN335" i="1"/>
  <c r="Y400" i="1"/>
  <c r="BN459" i="1"/>
  <c r="BN490" i="1"/>
  <c r="BN504" i="1"/>
  <c r="Z23" i="1"/>
  <c r="BN72" i="1"/>
  <c r="Y228" i="1"/>
  <c r="BN379" i="1"/>
  <c r="BN393" i="1"/>
  <c r="BN430" i="1"/>
  <c r="Z53" i="1"/>
  <c r="BP53" i="1"/>
  <c r="Z45" i="1"/>
  <c r="Z62" i="1"/>
  <c r="BP122" i="1"/>
  <c r="BN133" i="1"/>
  <c r="Z169" i="1"/>
  <c r="BP177" i="1"/>
  <c r="Z82" i="1"/>
  <c r="Z143" i="1"/>
  <c r="Z199" i="1"/>
  <c r="Z218" i="1"/>
  <c r="Z404" i="1"/>
  <c r="Z478" i="1"/>
  <c r="BN41" i="1"/>
  <c r="BN240" i="1"/>
  <c r="BN387" i="1"/>
  <c r="BN441" i="1"/>
  <c r="X541" i="1"/>
  <c r="BN218" i="1"/>
  <c r="BN404" i="1"/>
  <c r="BP199" i="1"/>
  <c r="BP82" i="1"/>
  <c r="Y139" i="1"/>
  <c r="E551" i="1"/>
  <c r="Z91" i="1"/>
  <c r="Z137" i="1"/>
  <c r="Z265" i="1"/>
  <c r="Z488" i="1"/>
  <c r="Y33" i="1"/>
  <c r="BN31" i="1"/>
  <c r="Z70" i="1"/>
  <c r="J551" i="1"/>
  <c r="Z230" i="1"/>
  <c r="BN234" i="1"/>
  <c r="Z296" i="1"/>
  <c r="Z333" i="1"/>
  <c r="BP355" i="1"/>
  <c r="BN492" i="1"/>
  <c r="Y437" i="1"/>
  <c r="BN488" i="1"/>
  <c r="BN506" i="1"/>
  <c r="Y80" i="1"/>
  <c r="BP137" i="1"/>
  <c r="BP265" i="1"/>
  <c r="BN333" i="1"/>
  <c r="Z114" i="1"/>
  <c r="Z224" i="1"/>
  <c r="BP230" i="1"/>
  <c r="BN244" i="1"/>
  <c r="BN261" i="1"/>
  <c r="Z273" i="1"/>
  <c r="BP296" i="1"/>
  <c r="BN317" i="1"/>
  <c r="BP106" i="1"/>
  <c r="Z106" i="1"/>
  <c r="Y124" i="1"/>
  <c r="BN120" i="1"/>
  <c r="BP120" i="1"/>
  <c r="BP150" i="1"/>
  <c r="BP157" i="1"/>
  <c r="Z157" i="1"/>
  <c r="BP173" i="1"/>
  <c r="Z173" i="1"/>
  <c r="BP203" i="1"/>
  <c r="Z203" i="1"/>
  <c r="BP222" i="1"/>
  <c r="BN279" i="1"/>
  <c r="BP279" i="1"/>
  <c r="Z279" i="1"/>
  <c r="BN285" i="1"/>
  <c r="BP285" i="1"/>
  <c r="Z285" i="1"/>
  <c r="BN346" i="1"/>
  <c r="BP346" i="1"/>
  <c r="Z346" i="1"/>
  <c r="BN353" i="1"/>
  <c r="BP353" i="1"/>
  <c r="Z353" i="1"/>
  <c r="BN373" i="1"/>
  <c r="BP373" i="1"/>
  <c r="Z373" i="1"/>
  <c r="X543" i="1"/>
  <c r="X544" i="1" s="1"/>
  <c r="Z27" i="1"/>
  <c r="BP27" i="1"/>
  <c r="Z43" i="1"/>
  <c r="BP43" i="1"/>
  <c r="Z51" i="1"/>
  <c r="BP51" i="1"/>
  <c r="Z60" i="1"/>
  <c r="BP60" i="1"/>
  <c r="Z89" i="1"/>
  <c r="BP89" i="1"/>
  <c r="BP108" i="1"/>
  <c r="Y118" i="1"/>
  <c r="BP112" i="1"/>
  <c r="Z112" i="1"/>
  <c r="Z120" i="1"/>
  <c r="Z150" i="1"/>
  <c r="Y179" i="1"/>
  <c r="BP167" i="1"/>
  <c r="BP175" i="1"/>
  <c r="Y189" i="1"/>
  <c r="BN187" i="1"/>
  <c r="BP187" i="1"/>
  <c r="BP214" i="1"/>
  <c r="BN249" i="1"/>
  <c r="BP249" i="1"/>
  <c r="Z249" i="1"/>
  <c r="BN367" i="1"/>
  <c r="BP367" i="1"/>
  <c r="Z367" i="1"/>
  <c r="BN418" i="1"/>
  <c r="BP418" i="1"/>
  <c r="Z418" i="1"/>
  <c r="BN35" i="1"/>
  <c r="Y36" i="1"/>
  <c r="Z41" i="1"/>
  <c r="Z66" i="1"/>
  <c r="Y74" i="1"/>
  <c r="Z72" i="1"/>
  <c r="BN82" i="1"/>
  <c r="BN91" i="1"/>
  <c r="BP97" i="1"/>
  <c r="Z97" i="1"/>
  <c r="BN106" i="1"/>
  <c r="Z108" i="1"/>
  <c r="BP114" i="1"/>
  <c r="BN157" i="1"/>
  <c r="Z167" i="1"/>
  <c r="BN173" i="1"/>
  <c r="Z175" i="1"/>
  <c r="Z187" i="1"/>
  <c r="Z214" i="1"/>
  <c r="BN263" i="1"/>
  <c r="BP263" i="1"/>
  <c r="Z263" i="1"/>
  <c r="BN271" i="1"/>
  <c r="BP271" i="1"/>
  <c r="Z271" i="1"/>
  <c r="BN319" i="1"/>
  <c r="BP319" i="1"/>
  <c r="Z319" i="1"/>
  <c r="BN461" i="1"/>
  <c r="BP461" i="1"/>
  <c r="Z461" i="1"/>
  <c r="BN467" i="1"/>
  <c r="BP467" i="1"/>
  <c r="Z467" i="1"/>
  <c r="BN486" i="1"/>
  <c r="BP486" i="1"/>
  <c r="Z486" i="1"/>
  <c r="B551" i="1"/>
  <c r="BN27" i="1"/>
  <c r="BN112" i="1"/>
  <c r="BP143" i="1"/>
  <c r="BP148" i="1"/>
  <c r="Z148" i="1"/>
  <c r="Y185" i="1"/>
  <c r="BN181" i="1"/>
  <c r="BP181" i="1"/>
  <c r="BP220" i="1"/>
  <c r="Z220" i="1"/>
  <c r="BN294" i="1"/>
  <c r="BP294" i="1"/>
  <c r="Z294" i="1"/>
  <c r="BN310" i="1"/>
  <c r="BP310" i="1"/>
  <c r="Z310" i="1"/>
  <c r="BN451" i="1"/>
  <c r="BP451" i="1"/>
  <c r="Z451" i="1"/>
  <c r="Y530" i="1"/>
  <c r="Y529" i="1"/>
  <c r="BN528" i="1"/>
  <c r="BP528" i="1"/>
  <c r="Z528" i="1"/>
  <c r="Z529" i="1" s="1"/>
  <c r="BN532" i="1"/>
  <c r="Y99" i="1"/>
  <c r="G551" i="1"/>
  <c r="H551" i="1"/>
  <c r="BN137" i="1"/>
  <c r="L551" i="1"/>
  <c r="Z234" i="1"/>
  <c r="Y242" i="1"/>
  <c r="Z240" i="1"/>
  <c r="Z255" i="1"/>
  <c r="Z261" i="1"/>
  <c r="Z277" i="1"/>
  <c r="Z292" i="1"/>
  <c r="Z317" i="1"/>
  <c r="Z326" i="1"/>
  <c r="Z335" i="1"/>
  <c r="Z365" i="1"/>
  <c r="Z371" i="1"/>
  <c r="Z379" i="1"/>
  <c r="Z387" i="1"/>
  <c r="Z393" i="1"/>
  <c r="Y401" i="1"/>
  <c r="Z399" i="1"/>
  <c r="Z416" i="1"/>
  <c r="Z424" i="1"/>
  <c r="Z441" i="1"/>
  <c r="Z459" i="1"/>
  <c r="Z492" i="1"/>
  <c r="Z508" i="1"/>
  <c r="Z133" i="1"/>
  <c r="K551" i="1"/>
  <c r="Z226" i="1"/>
  <c r="Y236" i="1"/>
  <c r="Z232" i="1"/>
  <c r="Z238" i="1"/>
  <c r="BP238" i="1"/>
  <c r="Z244" i="1"/>
  <c r="Z245" i="1" s="1"/>
  <c r="BP244" i="1"/>
  <c r="Z341" i="1"/>
  <c r="Z357" i="1"/>
  <c r="Y369" i="1"/>
  <c r="Z363" i="1"/>
  <c r="Z385" i="1"/>
  <c r="Z391" i="1"/>
  <c r="Z397" i="1"/>
  <c r="BP397" i="1"/>
  <c r="Z406" i="1"/>
  <c r="Z414" i="1"/>
  <c r="Z430" i="1"/>
  <c r="Z490" i="1"/>
  <c r="Z498" i="1"/>
  <c r="Z506" i="1"/>
  <c r="Z524" i="1"/>
  <c r="Z532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41" i="1"/>
  <c r="Y252" i="1"/>
  <c r="Y256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Y288" i="1"/>
  <c r="Y298" i="1"/>
  <c r="BP291" i="1"/>
  <c r="BN291" i="1"/>
  <c r="Z291" i="1"/>
  <c r="BP295" i="1"/>
  <c r="BN295" i="1"/>
  <c r="Z295" i="1"/>
  <c r="BP311" i="1"/>
  <c r="BN311" i="1"/>
  <c r="Z311" i="1"/>
  <c r="Y313" i="1"/>
  <c r="P551" i="1"/>
  <c r="Y321" i="1"/>
  <c r="BP316" i="1"/>
  <c r="BN316" i="1"/>
  <c r="Z316" i="1"/>
  <c r="Z321" i="1" s="1"/>
  <c r="BP320" i="1"/>
  <c r="BN320" i="1"/>
  <c r="Z320" i="1"/>
  <c r="Y322" i="1"/>
  <c r="Q551" i="1"/>
  <c r="Y328" i="1"/>
  <c r="BP325" i="1"/>
  <c r="BN325" i="1"/>
  <c r="Z325" i="1"/>
  <c r="BP334" i="1"/>
  <c r="BN334" i="1"/>
  <c r="Z334" i="1"/>
  <c r="BP347" i="1"/>
  <c r="BN347" i="1"/>
  <c r="Z347" i="1"/>
  <c r="Z349" i="1" s="1"/>
  <c r="BP356" i="1"/>
  <c r="BN356" i="1"/>
  <c r="Z356" i="1"/>
  <c r="BP364" i="1"/>
  <c r="BN364" i="1"/>
  <c r="Z364" i="1"/>
  <c r="Y368" i="1"/>
  <c r="BP372" i="1"/>
  <c r="BN372" i="1"/>
  <c r="Z372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BP405" i="1"/>
  <c r="BN405" i="1"/>
  <c r="Z405" i="1"/>
  <c r="Z407" i="1" s="1"/>
  <c r="BP415" i="1"/>
  <c r="BN415" i="1"/>
  <c r="Z415" i="1"/>
  <c r="O551" i="1"/>
  <c r="H9" i="1"/>
  <c r="A10" i="1"/>
  <c r="F9" i="1"/>
  <c r="J9" i="1"/>
  <c r="Z22" i="1"/>
  <c r="Z24" i="1" s="1"/>
  <c r="BN22" i="1"/>
  <c r="BP22" i="1"/>
  <c r="X545" i="1"/>
  <c r="Y25" i="1"/>
  <c r="Z28" i="1"/>
  <c r="BN28" i="1"/>
  <c r="Z30" i="1"/>
  <c r="BN30" i="1"/>
  <c r="C551" i="1"/>
  <c r="Z42" i="1"/>
  <c r="BN42" i="1"/>
  <c r="Z44" i="1"/>
  <c r="BN44" i="1"/>
  <c r="Y47" i="1"/>
  <c r="D551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Z144" i="1" s="1"/>
  <c r="BN142" i="1"/>
  <c r="BP142" i="1"/>
  <c r="I551" i="1"/>
  <c r="Z149" i="1"/>
  <c r="BN149" i="1"/>
  <c r="Z151" i="1"/>
  <c r="BN151" i="1"/>
  <c r="Y152" i="1"/>
  <c r="Z156" i="1"/>
  <c r="BN156" i="1"/>
  <c r="BP156" i="1"/>
  <c r="Z158" i="1"/>
  <c r="BN158" i="1"/>
  <c r="Y159" i="1"/>
  <c r="Z162" i="1"/>
  <c r="Z163" i="1" s="1"/>
  <c r="BN162" i="1"/>
  <c r="BP162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Z233" i="1"/>
  <c r="BN233" i="1"/>
  <c r="Z239" i="1"/>
  <c r="Z241" i="1" s="1"/>
  <c r="BN239" i="1"/>
  <c r="M551" i="1"/>
  <c r="Z250" i="1"/>
  <c r="Z251" i="1" s="1"/>
  <c r="BN250" i="1"/>
  <c r="Y251" i="1"/>
  <c r="Z254" i="1"/>
  <c r="BN254" i="1"/>
  <c r="BP254" i="1"/>
  <c r="Y267" i="1"/>
  <c r="Z260" i="1"/>
  <c r="BN260" i="1"/>
  <c r="Z262" i="1"/>
  <c r="BN262" i="1"/>
  <c r="Z264" i="1"/>
  <c r="BN264" i="1"/>
  <c r="BP272" i="1"/>
  <c r="BN272" i="1"/>
  <c r="Z272" i="1"/>
  <c r="BP276" i="1"/>
  <c r="BN276" i="1"/>
  <c r="Z276" i="1"/>
  <c r="BP280" i="1"/>
  <c r="BN280" i="1"/>
  <c r="Z280" i="1"/>
  <c r="Y287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2" i="1" s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S551" i="1"/>
  <c r="Y349" i="1"/>
  <c r="BP354" i="1"/>
  <c r="BN354" i="1"/>
  <c r="Z354" i="1"/>
  <c r="Y358" i="1"/>
  <c r="BP362" i="1"/>
  <c r="BN362" i="1"/>
  <c r="Z362" i="1"/>
  <c r="BP366" i="1"/>
  <c r="BN366" i="1"/>
  <c r="Z366" i="1"/>
  <c r="Y375" i="1"/>
  <c r="BP374" i="1"/>
  <c r="BN374" i="1"/>
  <c r="Z374" i="1"/>
  <c r="Y376" i="1"/>
  <c r="Y381" i="1"/>
  <c r="BP378" i="1"/>
  <c r="BN378" i="1"/>
  <c r="Z378" i="1"/>
  <c r="Z381" i="1" s="1"/>
  <c r="BP386" i="1"/>
  <c r="BN386" i="1"/>
  <c r="Z386" i="1"/>
  <c r="Y395" i="1"/>
  <c r="Y394" i="1"/>
  <c r="BP398" i="1"/>
  <c r="BN398" i="1"/>
  <c r="Z398" i="1"/>
  <c r="Z400" i="1" s="1"/>
  <c r="Y407" i="1"/>
  <c r="BP413" i="1"/>
  <c r="BN413" i="1"/>
  <c r="Z413" i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AA551" i="1"/>
  <c r="Y535" i="1"/>
  <c r="AB551" i="1"/>
  <c r="Y539" i="1"/>
  <c r="BP538" i="1"/>
  <c r="BN538" i="1"/>
  <c r="Z538" i="1"/>
  <c r="Z539" i="1" s="1"/>
  <c r="Y540" i="1"/>
  <c r="W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74" i="1" l="1"/>
  <c r="Z46" i="1"/>
  <c r="Z394" i="1"/>
  <c r="Z99" i="1"/>
  <c r="Z32" i="1"/>
  <c r="Z534" i="1"/>
  <c r="Z124" i="1"/>
  <c r="Z152" i="1"/>
  <c r="Z117" i="1"/>
  <c r="Z358" i="1"/>
  <c r="Z426" i="1"/>
  <c r="Z287" i="1"/>
  <c r="Z235" i="1"/>
  <c r="Z109" i="1"/>
  <c r="Z375" i="1"/>
  <c r="Z443" i="1"/>
  <c r="Z420" i="1"/>
  <c r="Z368" i="1"/>
  <c r="Z337" i="1"/>
  <c r="Z267" i="1"/>
  <c r="Z256" i="1"/>
  <c r="Z159" i="1"/>
  <c r="Z92" i="1"/>
  <c r="Z55" i="1"/>
  <c r="Z510" i="1"/>
  <c r="Z453" i="1"/>
  <c r="Z432" i="1"/>
  <c r="Y541" i="1"/>
  <c r="Y543" i="1"/>
  <c r="Z388" i="1"/>
  <c r="Z298" i="1"/>
  <c r="Z494" i="1"/>
  <c r="Z464" i="1"/>
  <c r="Z480" i="1"/>
  <c r="Z227" i="1"/>
  <c r="Z205" i="1"/>
  <c r="Z178" i="1"/>
  <c r="Z67" i="1"/>
  <c r="Y542" i="1"/>
  <c r="Z328" i="1"/>
  <c r="Z282" i="1"/>
  <c r="Y545" i="1"/>
  <c r="Z546" i="1" l="1"/>
  <c r="Y544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<sst xmlns="http://schemas.openxmlformats.org/spreadsheetml/2006/main" count="2450" uniqueCount="890">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</sst>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46223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862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Понедельник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5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0.54166666666666663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139</v>
      </c>
      <c r="Y51" s="616">
        <f>IFERROR(IF(X51="",0,CEILING((X51/$H51),1)*$H51),"")</f>
        <v>140.4</v>
      </c>
      <c r="Z51" s="36">
        <f>IFERROR(IF(Y51=0,"",ROUNDUP(Y51/H51,0)*0.01898),"")</f>
        <v>0.24674000000000001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144.27685185185186</v>
      </c>
      <c r="BN51" s="64">
        <f>IFERROR(Y51*I51/H51,"0")</f>
        <v>145.73000000000002</v>
      </c>
      <c r="BO51" s="64">
        <f>IFERROR(1/J51*(X51/H51),"0")</f>
        <v>0.20109953703703703</v>
      </c>
      <c r="BP51" s="64">
        <f>IFERROR(1/J51*(Y51/H51),"0")</f>
        <v>0.203125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58</v>
      </c>
      <c r="Y54" s="616">
        <f>IFERROR(IF(X54="",0,CEILING((X54/$H54),1)*$H54),"")</f>
        <v>59.2</v>
      </c>
      <c r="Z54" s="36">
        <f>IFERROR(IF(Y54=0,"",ROUNDUP(Y54/H54,0)*0.00902),"")</f>
        <v>0.14432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60.978378378378373</v>
      </c>
      <c r="BN54" s="64">
        <f>IFERROR(Y54*I54/H54,"0")</f>
        <v>62.24</v>
      </c>
      <c r="BO54" s="64">
        <f>IFERROR(1/J54*(X54/H54),"0")</f>
        <v>0.11875511875511875</v>
      </c>
      <c r="BP54" s="64">
        <f>IFERROR(1/J54*(Y54/H54),"0")</f>
        <v>0.12121212121212122</v>
      </c>
    </row>
    <row r="55" spans="1:68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28.546046046046044</v>
      </c>
      <c r="Y55" s="617">
        <f>IFERROR(Y51/H51,"0")+IFERROR(Y52/H52,"0")+IFERROR(Y53/H53,"0")+IFERROR(Y54/H54,"0")</f>
        <v>29</v>
      </c>
      <c r="Z55" s="617">
        <f>IFERROR(IF(Z51="",0,Z51),"0")+IFERROR(IF(Z52="",0,Z52),"0")+IFERROR(IF(Z53="",0,Z53),"0")+IFERROR(IF(Z54="",0,Z54),"0")</f>
        <v>0.39106000000000002</v>
      </c>
      <c r="AA55" s="618"/>
      <c r="AB55" s="618"/>
      <c r="AC55" s="618"/>
    </row>
    <row r="56" spans="1:68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197</v>
      </c>
      <c r="Y56" s="617">
        <f>IFERROR(SUM(Y51:Y54),"0")</f>
        <v>199.60000000000002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17</v>
      </c>
      <c r="Y59" s="616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17.622321428571428</v>
      </c>
      <c r="BN59" s="64">
        <f t="shared" ref="BN59:BN66" si="2">IFERROR(Y59*I59/H59,"0")</f>
        <v>23.22</v>
      </c>
      <c r="BO59" s="64">
        <f t="shared" ref="BO59:BO66" si="3">IFERROR(1/J59*(X59/H59),"0")</f>
        <v>2.371651785714286E-2</v>
      </c>
      <c r="BP59" s="64">
        <f t="shared" ref="BP59:BP66" si="4">IFERROR(1/J59*(Y59/H59),"0")</f>
        <v>3.125E-2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138</v>
      </c>
      <c r="Y66" s="616">
        <f t="shared" si="0"/>
        <v>139.5</v>
      </c>
      <c r="Z66" s="36">
        <f>IFERROR(IF(Y66=0,"",ROUNDUP(Y66/H66,0)*0.00902),"")</f>
        <v>0.27961999999999998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143.82666666666668</v>
      </c>
      <c r="BN66" s="64">
        <f t="shared" si="2"/>
        <v>145.39000000000001</v>
      </c>
      <c r="BO66" s="64">
        <f t="shared" si="3"/>
        <v>0.23232323232323235</v>
      </c>
      <c r="BP66" s="64">
        <f t="shared" si="4"/>
        <v>0.23484848484848486</v>
      </c>
    </row>
    <row r="67" spans="1:68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32.18452380952381</v>
      </c>
      <c r="Y67" s="617">
        <f>IFERROR(Y59/H59,"0")+IFERROR(Y60/H60,"0")+IFERROR(Y61/H61,"0")+IFERROR(Y62/H62,"0")+IFERROR(Y63/H63,"0")+IFERROR(Y64/H64,"0")+IFERROR(Y65/H65,"0")+IFERROR(Y66/H66,"0")</f>
        <v>33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0.31757999999999997</v>
      </c>
      <c r="AA67" s="618"/>
      <c r="AB67" s="618"/>
      <c r="AC67" s="618"/>
    </row>
    <row r="68" spans="1:68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155</v>
      </c>
      <c r="Y68" s="617">
        <f>IFERROR(SUM(Y59:Y66),"0")</f>
        <v>161.9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79</v>
      </c>
      <c r="Y70" s="616">
        <f>IFERROR(IF(X70="",0,CEILING((X70/$H70),1)*$H70),"")</f>
        <v>86.4</v>
      </c>
      <c r="Z70" s="36">
        <f>IFERROR(IF(Y70=0,"",ROUNDUP(Y70/H70,0)*0.01898),"")</f>
        <v>0.15184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81.999074074074073</v>
      </c>
      <c r="BN70" s="64">
        <f>IFERROR(Y70*I70/H70,"0")</f>
        <v>89.68</v>
      </c>
      <c r="BO70" s="64">
        <f>IFERROR(1/J70*(X70/H70),"0")</f>
        <v>0.11429398148148147</v>
      </c>
      <c r="BP70" s="64">
        <f>IFERROR(1/J70*(Y70/H70),"0")</f>
        <v>0.125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7.314814814814814</v>
      </c>
      <c r="Y74" s="617">
        <f>IFERROR(Y70/H70,"0")+IFERROR(Y71/H71,"0")+IFERROR(Y72/H72,"0")+IFERROR(Y73/H73,"0")</f>
        <v>8</v>
      </c>
      <c r="Z74" s="617">
        <f>IFERROR(IF(Z70="",0,Z70),"0")+IFERROR(IF(Z71="",0,Z71),"0")+IFERROR(IF(Z72="",0,Z72),"0")+IFERROR(IF(Z73="",0,Z73),"0")</f>
        <v>0.15184</v>
      </c>
      <c r="AA74" s="618"/>
      <c r="AB74" s="618"/>
      <c r="AC74" s="618"/>
    </row>
    <row r="75" spans="1:68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79</v>
      </c>
      <c r="Y75" s="617">
        <f>IFERROR(SUM(Y70:Y73),"0")</f>
        <v>86.4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918</v>
      </c>
      <c r="Y82" s="616">
        <f>IFERROR(IF(X82="",0,CEILING((X82/$H82),1)*$H82),"")</f>
        <v>920.4</v>
      </c>
      <c r="Z82" s="36">
        <f>IFERROR(IF(Y82=0,"",ROUNDUP(Y82/H82,0)*0.01898),"")</f>
        <v>2.2396400000000001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966.25384615384621</v>
      </c>
      <c r="BN82" s="64">
        <f>IFERROR(Y82*I82/H82,"0")</f>
        <v>968.78000000000009</v>
      </c>
      <c r="BO82" s="64">
        <f>IFERROR(1/J82*(X82/H82),"0")</f>
        <v>1.8389423076923077</v>
      </c>
      <c r="BP82" s="64">
        <f>IFERROR(1/J82*(Y82/H82),"0")</f>
        <v>1.84375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117.69230769230769</v>
      </c>
      <c r="Y84" s="617">
        <f>IFERROR(Y82/H82,"0")+IFERROR(Y83/H83,"0")</f>
        <v>118</v>
      </c>
      <c r="Z84" s="617">
        <f>IFERROR(IF(Z82="",0,Z82),"0")+IFERROR(IF(Z83="",0,Z83),"0")</f>
        <v>2.2396400000000001</v>
      </c>
      <c r="AA84" s="618"/>
      <c r="AB84" s="618"/>
      <c r="AC84" s="618"/>
    </row>
    <row r="85" spans="1:68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918</v>
      </c>
      <c r="Y85" s="617">
        <f>IFERROR(SUM(Y82:Y83),"0")</f>
        <v>920.4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192</v>
      </c>
      <c r="Y88" s="616">
        <f>IFERROR(IF(X88="",0,CEILING((X88/$H88),1)*$H88),"")</f>
        <v>194.4</v>
      </c>
      <c r="Z88" s="36">
        <f>IFERROR(IF(Y88=0,"",ROUNDUP(Y88/H88,0)*0.01898),"")</f>
        <v>0.34164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199.28888888888889</v>
      </c>
      <c r="BN88" s="64">
        <f>IFERROR(Y88*I88/H88,"0")</f>
        <v>201.78</v>
      </c>
      <c r="BO88" s="64">
        <f>IFERROR(1/J88*(X88/H88),"0")</f>
        <v>0.27777777777777773</v>
      </c>
      <c r="BP88" s="64">
        <f>IFERROR(1/J88*(Y88/H88),"0")</f>
        <v>0.28125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11</v>
      </c>
      <c r="Y89" s="616">
        <f>IFERROR(IF(X89="",0,CEILING((X89/$H89),1)*$H89),"")</f>
        <v>11.9</v>
      </c>
      <c r="Z89" s="36">
        <f>IFERROR(IF(Y89=0,"",ROUNDUP(Y89/H89,0)*0.00726),"")</f>
        <v>5.0819999999999997E-2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11.647058823529413</v>
      </c>
      <c r="BN89" s="64">
        <f>IFERROR(Y89*I89/H89,"0")</f>
        <v>12.600000000000001</v>
      </c>
      <c r="BO89" s="64">
        <f>IFERROR(1/J89*(X89/H89),"0")</f>
        <v>3.3700980392156861E-2</v>
      </c>
      <c r="BP89" s="64">
        <f>IFERROR(1/J89*(Y89/H89),"0")</f>
        <v>3.6458333333333329E-2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145</v>
      </c>
      <c r="Y91" s="616">
        <f>IFERROR(IF(X91="",0,CEILING((X91/$H91),1)*$H91),"")</f>
        <v>148.5</v>
      </c>
      <c r="Z91" s="36">
        <f>IFERROR(IF(Y91=0,"",ROUNDUP(Y91/H91,0)*0.00902),"")</f>
        <v>0.29766000000000004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151.12222222222223</v>
      </c>
      <c r="BN91" s="64">
        <f>IFERROR(Y91*I91/H91,"0")</f>
        <v>154.77000000000001</v>
      </c>
      <c r="BO91" s="64">
        <f>IFERROR(1/J91*(X91/H91),"0")</f>
        <v>0.24410774410774411</v>
      </c>
      <c r="BP91" s="64">
        <f>IFERROR(1/J91*(Y91/H91),"0")</f>
        <v>0.25</v>
      </c>
    </row>
    <row r="92" spans="1:68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56.470588235294116</v>
      </c>
      <c r="Y92" s="617">
        <f>IFERROR(Y88/H88,"0")+IFERROR(Y89/H89,"0")+IFERROR(Y90/H90,"0")+IFERROR(Y91/H91,"0")</f>
        <v>58</v>
      </c>
      <c r="Z92" s="617">
        <f>IFERROR(IF(Z88="",0,Z88),"0")+IFERROR(IF(Z89="",0,Z89),"0")+IFERROR(IF(Z90="",0,Z90),"0")+IFERROR(IF(Z91="",0,Z91),"0")</f>
        <v>0.69012000000000007</v>
      </c>
      <c r="AA92" s="618"/>
      <c r="AB92" s="618"/>
      <c r="AC92" s="618"/>
    </row>
    <row r="93" spans="1:68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348</v>
      </c>
      <c r="Y93" s="617">
        <f>IFERROR(SUM(Y88:Y91),"0")</f>
        <v>354.8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228</v>
      </c>
      <c r="Y95" s="616">
        <f>IFERROR(IF(X95="",0,CEILING((X95/$H95),1)*$H95),"")</f>
        <v>234.89999999999998</v>
      </c>
      <c r="Z95" s="36">
        <f>IFERROR(IF(Y95=0,"",ROUNDUP(Y95/H95,0)*0.01898),"")</f>
        <v>0.55042000000000002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241.90518518518516</v>
      </c>
      <c r="BN95" s="64">
        <f>IFERROR(Y95*I95/H95,"0")</f>
        <v>249.22599999999997</v>
      </c>
      <c r="BO95" s="64">
        <f>IFERROR(1/J95*(X95/H95),"0")</f>
        <v>0.43981481481481483</v>
      </c>
      <c r="BP95" s="64">
        <f>IFERROR(1/J95*(Y95/H95),"0")</f>
        <v>0.453125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450</v>
      </c>
      <c r="Y97" s="616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194.81481481481481</v>
      </c>
      <c r="Y99" s="617">
        <f>IFERROR(Y95/H95,"0")+IFERROR(Y96/H96,"0")+IFERROR(Y97/H97,"0")+IFERROR(Y98/H98,"0")</f>
        <v>196</v>
      </c>
      <c r="Z99" s="617">
        <f>IFERROR(IF(Z95="",0,Z95),"0")+IFERROR(IF(Z96="",0,Z96),"0")+IFERROR(IF(Z97="",0,Z97),"0")+IFERROR(IF(Z98="",0,Z98),"0")</f>
        <v>1.6375899999999999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678</v>
      </c>
      <c r="Y100" s="617">
        <f>IFERROR(SUM(Y95:Y98),"0")</f>
        <v>685.8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153</v>
      </c>
      <c r="Y103" s="616">
        <f t="shared" ref="Y103:Y108" si="5">IFERROR(IF(X103="",0,CEILING((X103/$H103),1)*$H103),"")</f>
        <v>162</v>
      </c>
      <c r="Z103" s="36">
        <f>IFERROR(IF(Y103=0,"",ROUNDUP(Y103/H103,0)*0.01898),"")</f>
        <v>0.28470000000000001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158.80833333333334</v>
      </c>
      <c r="BN103" s="64">
        <f t="shared" ref="BN103:BN108" si="7">IFERROR(Y103*I103/H103,"0")</f>
        <v>168.15</v>
      </c>
      <c r="BO103" s="64">
        <f t="shared" ref="BO103:BO108" si="8">IFERROR(1/J103*(X103/H103),"0")</f>
        <v>0.22135416666666666</v>
      </c>
      <c r="BP103" s="64">
        <f t="shared" ref="BP103:BP108" si="9">IFERROR(1/J103*(Y103/H103),"0")</f>
        <v>0.23437499999999997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14.166666666666666</v>
      </c>
      <c r="Y109" s="617">
        <f>IFERROR(Y103/H103,"0")+IFERROR(Y104/H104,"0")+IFERROR(Y105/H105,"0")+IFERROR(Y106/H106,"0")+IFERROR(Y107/H107,"0")+IFERROR(Y108/H108,"0")</f>
        <v>14.999999999999998</v>
      </c>
      <c r="Z109" s="617">
        <f>IFERROR(IF(Z103="",0,Z103),"0")+IFERROR(IF(Z104="",0,Z104),"0")+IFERROR(IF(Z105="",0,Z105),"0")+IFERROR(IF(Z106="",0,Z106),"0")+IFERROR(IF(Z107="",0,Z107),"0")+IFERROR(IF(Z108="",0,Z108),"0")</f>
        <v>0.28470000000000001</v>
      </c>
      <c r="AA109" s="618"/>
      <c r="AB109" s="618"/>
      <c r="AC109" s="618"/>
    </row>
    <row r="110" spans="1:68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153</v>
      </c>
      <c r="Y110" s="617">
        <f>IFERROR(SUM(Y103:Y108),"0")</f>
        <v>162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7</v>
      </c>
      <c r="Y112" s="616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7.2657407407407399</v>
      </c>
      <c r="BN112" s="64">
        <f>IFERROR(Y112*I112/H112,"0")</f>
        <v>11.21</v>
      </c>
      <c r="BO112" s="64">
        <f>IFERROR(1/J112*(X112/H112),"0")</f>
        <v>1.0127314814814815E-2</v>
      </c>
      <c r="BP112" s="64">
        <f>IFERROR(1/J112*(Y112/H112),"0")</f>
        <v>1.5625E-2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0.64814814814814814</v>
      </c>
      <c r="Y117" s="617">
        <f>IFERROR(Y112/H112,"0")+IFERROR(Y113/H113,"0")+IFERROR(Y114/H114,"0")+IFERROR(Y115/H115,"0")+IFERROR(Y116/H116,"0")</f>
        <v>1</v>
      </c>
      <c r="Z117" s="617">
        <f>IFERROR(IF(Z112="",0,Z112),"0")+IFERROR(IF(Z113="",0,Z113),"0")+IFERROR(IF(Z114="",0,Z114),"0")+IFERROR(IF(Z115="",0,Z115),"0")+IFERROR(IF(Z116="",0,Z116),"0")</f>
        <v>1.898E-2</v>
      </c>
      <c r="AA117" s="618"/>
      <c r="AB117" s="618"/>
      <c r="AC117" s="618"/>
    </row>
    <row r="118" spans="1:68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7</v>
      </c>
      <c r="Y118" s="617">
        <f>IFERROR(SUM(Y112:Y116),"0")</f>
        <v>10.8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1013</v>
      </c>
      <c r="Y120" s="616">
        <f>IFERROR(IF(X120="",0,CEILING((X120/$H120),1)*$H120),"")</f>
        <v>1020.5999999999999</v>
      </c>
      <c r="Z120" s="36">
        <f>IFERROR(IF(Y120=0,"",ROUNDUP(Y120/H120,0)*0.01898),"")</f>
        <v>2.3914800000000001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1074.0301234567901</v>
      </c>
      <c r="BN120" s="64">
        <f>IFERROR(Y120*I120/H120,"0")</f>
        <v>1082.0879999999997</v>
      </c>
      <c r="BO120" s="64">
        <f>IFERROR(1/J120*(X120/H120),"0")</f>
        <v>1.9540895061728396</v>
      </c>
      <c r="BP120" s="64">
        <f>IFERROR(1/J120*(Y120/H120),"0")</f>
        <v>1.96875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370</v>
      </c>
      <c r="Y122" s="616">
        <f>IFERROR(IF(X122="",0,CEILING((X122/$H122),1)*$H122),"")</f>
        <v>372.6</v>
      </c>
      <c r="Z122" s="36">
        <f>IFERROR(IF(Y122=0,"",ROUNDUP(Y122/H122,0)*0.00651),"")</f>
        <v>0.89838000000000007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404.5333333333333</v>
      </c>
      <c r="BN122" s="64">
        <f>IFERROR(Y122*I122/H122,"0")</f>
        <v>407.37600000000003</v>
      </c>
      <c r="BO122" s="64">
        <f>IFERROR(1/J122*(X122/H122),"0")</f>
        <v>0.75295075295075298</v>
      </c>
      <c r="BP122" s="64">
        <f>IFERROR(1/J122*(Y122/H122),"0")</f>
        <v>0.75824175824175832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262.09876543209879</v>
      </c>
      <c r="Y124" s="617">
        <f>IFERROR(Y120/H120,"0")+IFERROR(Y121/H121,"0")+IFERROR(Y122/H122,"0")+IFERROR(Y123/H123,"0")</f>
        <v>264</v>
      </c>
      <c r="Z124" s="617">
        <f>IFERROR(IF(Z120="",0,Z120),"0")+IFERROR(IF(Z121="",0,Z121),"0")+IFERROR(IF(Z122="",0,Z122),"0")+IFERROR(IF(Z123="",0,Z123),"0")</f>
        <v>3.28986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1383</v>
      </c>
      <c r="Y125" s="617">
        <f>IFERROR(SUM(Y120:Y123),"0")</f>
        <v>1393.1999999999998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72</v>
      </c>
      <c r="Y127" s="616">
        <f>IFERROR(IF(X127="",0,CEILING((X127/$H127),1)*$H127),"")</f>
        <v>73.260000000000005</v>
      </c>
      <c r="Z127" s="36">
        <f>IFERROR(IF(Y127=0,"",ROUNDUP(Y127/H127,0)*0.00651),"")</f>
        <v>0.24087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81.381818181818176</v>
      </c>
      <c r="BN127" s="64">
        <f>IFERROR(Y127*I127/H127,"0")</f>
        <v>82.806000000000012</v>
      </c>
      <c r="BO127" s="64">
        <f>IFERROR(1/J127*(X127/H127),"0")</f>
        <v>0.19980019980019983</v>
      </c>
      <c r="BP127" s="64">
        <f>IFERROR(1/J127*(Y127/H127),"0")</f>
        <v>0.20329670329670332</v>
      </c>
    </row>
    <row r="128" spans="1:68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36.363636363636367</v>
      </c>
      <c r="Y128" s="617">
        <f>IFERROR(Y127/H127,"0")</f>
        <v>37</v>
      </c>
      <c r="Z128" s="617">
        <f>IFERROR(IF(Z127="",0,Z127),"0")</f>
        <v>0.24087</v>
      </c>
      <c r="AA128" s="618"/>
      <c r="AB128" s="618"/>
      <c r="AC128" s="618"/>
    </row>
    <row r="129" spans="1:68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72</v>
      </c>
      <c r="Y129" s="617">
        <f>IFERROR(SUM(Y127:Y127),"0")</f>
        <v>73.260000000000005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hidden="1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hidden="1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69</v>
      </c>
      <c r="Y166" s="616">
        <f t="shared" ref="Y166:Y177" si="10">IFERROR(IF(X166="",0,CEILING((X166/$H166),1)*$H166),"")</f>
        <v>70</v>
      </c>
      <c r="Z166" s="36">
        <f>IFERROR(IF(Y166=0,"",ROUNDUP(Y166/H166,0)*0.00902),"")</f>
        <v>0.1804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72.745714285714286</v>
      </c>
      <c r="BN166" s="64">
        <f t="shared" ref="BN166:BN177" si="12">IFERROR(Y166*I166/H166,"0")</f>
        <v>73.8</v>
      </c>
      <c r="BO166" s="64">
        <f t="shared" ref="BO166:BO177" si="13">IFERROR(1/J166*(X166/H166),"0")</f>
        <v>0.14935064935064937</v>
      </c>
      <c r="BP166" s="64">
        <f t="shared" ref="BP166:BP177" si="14">IFERROR(1/J166*(Y166/H166),"0")</f>
        <v>0.15151515151515152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169</v>
      </c>
      <c r="Y170" s="616">
        <f t="shared" si="10"/>
        <v>171.5</v>
      </c>
      <c r="Z170" s="36">
        <f>IFERROR(IF(Y170=0,"",ROUNDUP(Y170/H170,0)*0.00902),"")</f>
        <v>0.44198000000000004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178.17428571428573</v>
      </c>
      <c r="BN170" s="64">
        <f t="shared" si="12"/>
        <v>180.81</v>
      </c>
      <c r="BO170" s="64">
        <f t="shared" si="13"/>
        <v>0.36580086580086579</v>
      </c>
      <c r="BP170" s="64">
        <f t="shared" si="14"/>
        <v>0.37121212121212122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48</v>
      </c>
      <c r="Y172" s="616">
        <f t="shared" si="10"/>
        <v>48.72</v>
      </c>
      <c r="Z172" s="36">
        <f>IFERROR(IF(Y172=0,"",ROUNDUP(Y172/H172,0)*0.00502),"")</f>
        <v>0.14558000000000001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50.857142857142861</v>
      </c>
      <c r="BN172" s="64">
        <f t="shared" si="12"/>
        <v>51.62</v>
      </c>
      <c r="BO172" s="64">
        <f t="shared" si="13"/>
        <v>0.12210012210012212</v>
      </c>
      <c r="BP172" s="64">
        <f t="shared" si="14"/>
        <v>0.12393162393162395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6</v>
      </c>
      <c r="Y173" s="616">
        <f t="shared" si="10"/>
        <v>6.3</v>
      </c>
      <c r="Z173" s="36">
        <f>IFERROR(IF(Y173=0,"",ROUNDUP(Y173/H173,0)*0.00417),"")</f>
        <v>2.9190000000000001E-2</v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7.4</v>
      </c>
      <c r="BN173" s="64">
        <f t="shared" si="12"/>
        <v>7.7700000000000005</v>
      </c>
      <c r="BO173" s="64">
        <f t="shared" si="13"/>
        <v>1.9841269841269837E-2</v>
      </c>
      <c r="BP173" s="64">
        <f t="shared" si="14"/>
        <v>2.0833333333333332E-2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106</v>
      </c>
      <c r="Y177" s="616">
        <f t="shared" si="10"/>
        <v>107.52</v>
      </c>
      <c r="Z177" s="36">
        <f>IFERROR(IF(Y177=0,"",ROUNDUP(Y177/H177,0)*0.00502),"")</f>
        <v>0.32128000000000001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112.30952380952382</v>
      </c>
      <c r="BN177" s="64">
        <f t="shared" si="12"/>
        <v>113.91999999999999</v>
      </c>
      <c r="BO177" s="64">
        <f t="shared" si="13"/>
        <v>0.26963776963776964</v>
      </c>
      <c r="BP177" s="64">
        <f t="shared" si="14"/>
        <v>0.27350427350427353</v>
      </c>
    </row>
    <row r="178" spans="1:68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166.33333333333334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169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1.11843</v>
      </c>
      <c r="AA178" s="618"/>
      <c r="AB178" s="618"/>
      <c r="AC178" s="618"/>
    </row>
    <row r="179" spans="1:68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398</v>
      </c>
      <c r="Y179" s="617">
        <f>IFERROR(SUM(Y166:Y177),"0")</f>
        <v>404.04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14</v>
      </c>
      <c r="Y215" s="616">
        <f t="shared" si="21"/>
        <v>16.8</v>
      </c>
      <c r="Z215" s="36">
        <f>IFERROR(IF(Y215=0,"",ROUNDUP(Y215/H215,0)*0.00902),"")</f>
        <v>3.6080000000000001E-2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14.633333333333331</v>
      </c>
      <c r="BN215" s="64">
        <f t="shared" si="23"/>
        <v>17.559999999999999</v>
      </c>
      <c r="BO215" s="64">
        <f t="shared" si="24"/>
        <v>2.5252525252525252E-2</v>
      </c>
      <c r="BP215" s="64">
        <f t="shared" si="25"/>
        <v>3.0303030303030304E-2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20</v>
      </c>
      <c r="Y216" s="616">
        <f t="shared" si="21"/>
        <v>20</v>
      </c>
      <c r="Z216" s="36">
        <f>IFERROR(IF(Y216=0,"",ROUNDUP(Y216/H216,0)*0.00556),"")</f>
        <v>0.13899999999999998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23.25</v>
      </c>
      <c r="BN216" s="64">
        <f t="shared" si="23"/>
        <v>23.25</v>
      </c>
      <c r="BO216" s="64">
        <f t="shared" si="24"/>
        <v>9.9206349206349201E-2</v>
      </c>
      <c r="BP216" s="64">
        <f t="shared" si="25"/>
        <v>9.9206349206349201E-2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16</v>
      </c>
      <c r="Y222" s="616">
        <f t="shared" si="21"/>
        <v>16.2</v>
      </c>
      <c r="Z222" s="36">
        <f t="shared" si="26"/>
        <v>4.5179999999999998E-2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17.155555555555555</v>
      </c>
      <c r="BN222" s="64">
        <f t="shared" si="23"/>
        <v>17.369999999999997</v>
      </c>
      <c r="BO222" s="64">
        <f t="shared" si="24"/>
        <v>3.7986704653371325E-2</v>
      </c>
      <c r="BP222" s="64">
        <f t="shared" si="25"/>
        <v>3.8461538461538464E-2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20</v>
      </c>
      <c r="Y223" s="616">
        <f t="shared" si="21"/>
        <v>20</v>
      </c>
      <c r="Z223" s="36">
        <f>IFERROR(IF(Y223=0,"",ROUNDUP(Y223/H223,0)*0.00417),"")</f>
        <v>0.10425000000000001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25.249999999999996</v>
      </c>
      <c r="BN223" s="64">
        <f t="shared" si="23"/>
        <v>25.249999999999996</v>
      </c>
      <c r="BO223" s="64">
        <f t="shared" si="24"/>
        <v>7.4404761904761904E-2</v>
      </c>
      <c r="BP223" s="64">
        <f t="shared" si="25"/>
        <v>7.4404761904761904E-2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172</v>
      </c>
      <c r="Y224" s="616">
        <f t="shared" si="21"/>
        <v>172.20000000000002</v>
      </c>
      <c r="Z224" s="36">
        <f>IFERROR(IF(Y224=0,"",ROUNDUP(Y224/H224,0)*0.00502),"")</f>
        <v>0.41164000000000001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180.1904761904762</v>
      </c>
      <c r="BN224" s="64">
        <f t="shared" si="23"/>
        <v>180.40000000000003</v>
      </c>
      <c r="BO224" s="64">
        <f t="shared" si="24"/>
        <v>0.35002035002035004</v>
      </c>
      <c r="BP224" s="64">
        <f t="shared" si="25"/>
        <v>0.35042735042735046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144.12698412698413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145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0.73614999999999997</v>
      </c>
      <c r="AA227" s="618"/>
      <c r="AB227" s="618"/>
      <c r="AC227" s="618"/>
    </row>
    <row r="228" spans="1:68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242</v>
      </c>
      <c r="Y228" s="617">
        <f>IFERROR(SUM(Y213:Y226),"0")</f>
        <v>245.20000000000002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10</v>
      </c>
      <c r="Y239" s="616">
        <f>IFERROR(IF(X239="",0,CEILING((X239/$H239),1)*$H239),"")</f>
        <v>10.08</v>
      </c>
      <c r="Z239" s="36">
        <f>IFERROR(IF(Y239=0,"",ROUNDUP(Y239/H239,0)*0.0059),"")</f>
        <v>4.7199999999999999E-2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11.507936507936508</v>
      </c>
      <c r="BN239" s="64">
        <f>IFERROR(Y239*I239/H239,"0")</f>
        <v>11.6</v>
      </c>
      <c r="BO239" s="64">
        <f>IFERROR(1/J239*(X239/H239),"0")</f>
        <v>3.6743092298647854E-2</v>
      </c>
      <c r="BP239" s="64">
        <f>IFERROR(1/J239*(Y239/H239),"0")</f>
        <v>3.7037037037037035E-2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7.9365079365079367</v>
      </c>
      <c r="Y241" s="617">
        <f>IFERROR(Y238/H238,"0")+IFERROR(Y239/H239,"0")+IFERROR(Y240/H240,"0")</f>
        <v>8</v>
      </c>
      <c r="Z241" s="617">
        <f>IFERROR(IF(Z238="",0,Z238),"0")+IFERROR(IF(Z239="",0,Z239),"0")+IFERROR(IF(Z240="",0,Z240),"0")</f>
        <v>4.7199999999999999E-2</v>
      </c>
      <c r="AA241" s="618"/>
      <c r="AB241" s="618"/>
      <c r="AC241" s="618"/>
    </row>
    <row r="242" spans="1:68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10</v>
      </c>
      <c r="Y242" s="617">
        <f>IFERROR(SUM(Y238:Y240),"0")</f>
        <v>10.08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7</v>
      </c>
      <c r="Y244" s="616">
        <f>IFERROR(IF(X244="",0,CEILING((X244/$H244),1)*$H244),"")</f>
        <v>7.5600000000000005</v>
      </c>
      <c r="Z244" s="36">
        <f>IFERROR(IF(Y244=0,"",ROUNDUP(Y244/H244,0)*0.0059),"")</f>
        <v>3.5400000000000001E-2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8.0555555555555554</v>
      </c>
      <c r="BN244" s="64">
        <f>IFERROR(Y244*I244/H244,"0")</f>
        <v>8.6999999999999993</v>
      </c>
      <c r="BO244" s="64">
        <f>IFERROR(1/J244*(X244/H244),"0")</f>
        <v>2.5720164609053495E-2</v>
      </c>
      <c r="BP244" s="64">
        <f>IFERROR(1/J244*(Y244/H244),"0")</f>
        <v>2.7777777777777776E-2</v>
      </c>
    </row>
    <row r="245" spans="1:68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5.5555555555555554</v>
      </c>
      <c r="Y245" s="617">
        <f>IFERROR(Y244/H244,"0")</f>
        <v>6</v>
      </c>
      <c r="Z245" s="617">
        <f>IFERROR(IF(Z244="",0,Z244),"0")</f>
        <v>3.5400000000000001E-2</v>
      </c>
      <c r="AA245" s="618"/>
      <c r="AB245" s="618"/>
      <c r="AC245" s="618"/>
    </row>
    <row r="246" spans="1:68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7</v>
      </c>
      <c r="Y246" s="617">
        <f>IFERROR(SUM(Y244:Y244),"0")</f>
        <v>7.5600000000000005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17</v>
      </c>
      <c r="Y260" s="616">
        <f t="shared" si="27"/>
        <v>21.6</v>
      </c>
      <c r="Z260" s="36">
        <f>IFERROR(IF(Y260=0,"",ROUNDUP(Y260/H260,0)*0.00902),"")</f>
        <v>3.6080000000000001E-2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17.598148148148148</v>
      </c>
      <c r="BN260" s="64">
        <f t="shared" si="29"/>
        <v>22.36</v>
      </c>
      <c r="BO260" s="64">
        <f t="shared" si="30"/>
        <v>2.3849607182940515E-2</v>
      </c>
      <c r="BP260" s="64">
        <f t="shared" si="31"/>
        <v>3.0303030303030304E-2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689</v>
      </c>
      <c r="Y261" s="616">
        <f t="shared" si="27"/>
        <v>691.2</v>
      </c>
      <c r="Z261" s="36">
        <f>IFERROR(IF(Y261=0,"",ROUNDUP(Y261/H261,0)*0.00902),"")</f>
        <v>1.15456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713.24259259259247</v>
      </c>
      <c r="BN261" s="64">
        <f t="shared" si="29"/>
        <v>715.52</v>
      </c>
      <c r="BO261" s="64">
        <f t="shared" si="30"/>
        <v>0.96661054994388318</v>
      </c>
      <c r="BP261" s="64">
        <f t="shared" si="31"/>
        <v>0.96969696969696972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28</v>
      </c>
      <c r="Y262" s="616">
        <f t="shared" si="27"/>
        <v>32.400000000000006</v>
      </c>
      <c r="Z262" s="36">
        <f>IFERROR(IF(Y262=0,"",ROUNDUP(Y262/H262,0)*0.00902),"")</f>
        <v>5.4120000000000001E-2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28.985185185185181</v>
      </c>
      <c r="BN262" s="64">
        <f t="shared" si="29"/>
        <v>33.54</v>
      </c>
      <c r="BO262" s="64">
        <f t="shared" si="30"/>
        <v>3.9281705948372617E-2</v>
      </c>
      <c r="BP262" s="64">
        <f t="shared" si="31"/>
        <v>4.5454545454545463E-2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24</v>
      </c>
      <c r="Y263" s="616">
        <f t="shared" si="27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25.733333333333334</v>
      </c>
      <c r="BN263" s="64">
        <f t="shared" si="29"/>
        <v>27.019999999999996</v>
      </c>
      <c r="BO263" s="64">
        <f t="shared" si="30"/>
        <v>5.6980056980056981E-2</v>
      </c>
      <c r="BP263" s="64">
        <f t="shared" si="31"/>
        <v>5.9829059829059839E-2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35</v>
      </c>
      <c r="Y264" s="616">
        <f t="shared" si="27"/>
        <v>36</v>
      </c>
      <c r="Z264" s="36">
        <f>IFERROR(IF(Y264=0,"",ROUNDUP(Y264/H264,0)*0.00502),"")</f>
        <v>0.1004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36.944444444444443</v>
      </c>
      <c r="BN264" s="64">
        <f t="shared" si="29"/>
        <v>37.999999999999993</v>
      </c>
      <c r="BO264" s="64">
        <f t="shared" si="30"/>
        <v>8.3095916429249767E-2</v>
      </c>
      <c r="BP264" s="64">
        <f t="shared" si="31"/>
        <v>8.5470085470085472E-2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43</v>
      </c>
      <c r="Y266" s="616">
        <f t="shared" si="27"/>
        <v>43.2</v>
      </c>
      <c r="Z266" s="36">
        <f>IFERROR(IF(Y266=0,"",ROUNDUP(Y266/H266,0)*0.00502),"")</f>
        <v>0.12048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45.388888888888893</v>
      </c>
      <c r="BN266" s="64">
        <f t="shared" si="29"/>
        <v>45.6</v>
      </c>
      <c r="BO266" s="64">
        <f t="shared" si="30"/>
        <v>0.10208926875593544</v>
      </c>
      <c r="BP266" s="64">
        <f t="shared" si="31"/>
        <v>0.10256410256410257</v>
      </c>
    </row>
    <row r="267" spans="1:68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192.59259259259258</v>
      </c>
      <c r="Y267" s="617">
        <f>IFERROR(Y259/H259,"0")+IFERROR(Y260/H260,"0")+IFERROR(Y261/H261,"0")+IFERROR(Y262/H262,"0")+IFERROR(Y263/H263,"0")+IFERROR(Y264/H264,"0")+IFERROR(Y265/H265,"0")+IFERROR(Y266/H266,"0")</f>
        <v>196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1.5359200000000002</v>
      </c>
      <c r="AA267" s="618"/>
      <c r="AB267" s="618"/>
      <c r="AC267" s="618"/>
    </row>
    <row r="268" spans="1:68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836</v>
      </c>
      <c r="Y268" s="617">
        <f>IFERROR(SUM(Y259:Y266),"0")</f>
        <v>849.60000000000014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4</v>
      </c>
      <c r="Y270" s="616">
        <f t="shared" ref="Y270:Y281" si="32">IFERROR(IF(X270="",0,CEILING((X270/$H270),1)*$H270),"")</f>
        <v>8.1</v>
      </c>
      <c r="Z270" s="36">
        <f>IFERROR(IF(Y270=0,"",ROUNDUP(Y270/H270,0)*0.01898),"")</f>
        <v>1.898E-2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4.243950617283951</v>
      </c>
      <c r="BN270" s="64">
        <f t="shared" ref="BN270:BN281" si="34">IFERROR(Y270*I270/H270,"0")</f>
        <v>8.5939999999999994</v>
      </c>
      <c r="BO270" s="64">
        <f t="shared" ref="BO270:BO281" si="35">IFERROR(1/J270*(X270/H270),"0")</f>
        <v>7.7160493827160498E-3</v>
      </c>
      <c r="BP270" s="64">
        <f t="shared" ref="BP270:BP281" si="36">IFERROR(1/J270*(Y270/H270),"0")</f>
        <v>1.5625E-2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97</v>
      </c>
      <c r="Y273" s="616">
        <f t="shared" si="32"/>
        <v>98.399999999999991</v>
      </c>
      <c r="Z273" s="36">
        <f>IFERROR(IF(Y273=0,"",ROUNDUP(Y273/H273,0)*0.00651),"")</f>
        <v>0.26690999999999998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107.91250000000001</v>
      </c>
      <c r="BN273" s="64">
        <f t="shared" si="34"/>
        <v>109.46999999999998</v>
      </c>
      <c r="BO273" s="64">
        <f t="shared" si="35"/>
        <v>0.22206959706959711</v>
      </c>
      <c r="BP273" s="64">
        <f t="shared" si="36"/>
        <v>0.22527472527472528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330</v>
      </c>
      <c r="Y276" s="616">
        <f t="shared" si="32"/>
        <v>331.2</v>
      </c>
      <c r="Z276" s="36">
        <f>IFERROR(IF(Y276=0,"",ROUNDUP(Y276/H276,0)*0.00651),"")</f>
        <v>0.89838000000000007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364.65000000000003</v>
      </c>
      <c r="BN276" s="64">
        <f t="shared" si="34"/>
        <v>365.976</v>
      </c>
      <c r="BO276" s="64">
        <f t="shared" si="35"/>
        <v>0.75549450549450559</v>
      </c>
      <c r="BP276" s="64">
        <f t="shared" si="36"/>
        <v>0.75824175824175832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66</v>
      </c>
      <c r="Y278" s="616">
        <f t="shared" si="32"/>
        <v>67.2</v>
      </c>
      <c r="Z278" s="36">
        <f>IFERROR(IF(Y278=0,"",ROUNDUP(Y278/H278,0)*0.00651),"")</f>
        <v>0.18228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72.930000000000007</v>
      </c>
      <c r="BN278" s="64">
        <f t="shared" si="34"/>
        <v>74.256000000000014</v>
      </c>
      <c r="BO278" s="64">
        <f t="shared" si="35"/>
        <v>0.15109890109890112</v>
      </c>
      <c r="BP278" s="64">
        <f t="shared" si="36"/>
        <v>0.15384615384615388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201</v>
      </c>
      <c r="Y279" s="616">
        <f t="shared" si="32"/>
        <v>201.6</v>
      </c>
      <c r="Z279" s="36">
        <f>IFERROR(IF(Y279=0,"",ROUNDUP(Y279/H279,0)*0.00651),"")</f>
        <v>0.54683999999999999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222.10500000000002</v>
      </c>
      <c r="BN279" s="64">
        <f t="shared" si="34"/>
        <v>222.768</v>
      </c>
      <c r="BO279" s="64">
        <f t="shared" si="35"/>
        <v>0.4601648351648352</v>
      </c>
      <c r="BP279" s="64">
        <f t="shared" si="36"/>
        <v>0.46153846153846156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170</v>
      </c>
      <c r="Y280" s="616">
        <f t="shared" si="32"/>
        <v>170.4</v>
      </c>
      <c r="Z280" s="36">
        <f>IFERROR(IF(Y280=0,"",ROUNDUP(Y280/H280,0)*0.00651),"")</f>
        <v>0.46221000000000001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188.27500000000001</v>
      </c>
      <c r="BN280" s="64">
        <f t="shared" si="34"/>
        <v>188.71800000000002</v>
      </c>
      <c r="BO280" s="64">
        <f t="shared" si="35"/>
        <v>0.38919413919413925</v>
      </c>
      <c r="BP280" s="64">
        <f t="shared" si="36"/>
        <v>0.39010989010989017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360.49382716049388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363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2.3756000000000004</v>
      </c>
      <c r="AA282" s="618"/>
      <c r="AB282" s="618"/>
      <c r="AC282" s="618"/>
    </row>
    <row r="283" spans="1:68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868</v>
      </c>
      <c r="Y283" s="617">
        <f>IFERROR(SUM(Y270:Y281),"0")</f>
        <v>876.9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7</v>
      </c>
      <c r="Y285" s="616">
        <f>IFERROR(IF(X285="",0,CEILING((X285/$H285),1)*$H285),"")</f>
        <v>7.1999999999999993</v>
      </c>
      <c r="Z285" s="36">
        <f>IFERROR(IF(Y285=0,"",ROUNDUP(Y285/H285,0)*0.00651),"")</f>
        <v>1.9529999999999999E-2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7.7350000000000003</v>
      </c>
      <c r="BN285" s="64">
        <f>IFERROR(Y285*I285/H285,"0")</f>
        <v>7.9560000000000004</v>
      </c>
      <c r="BO285" s="64">
        <f>IFERROR(1/J285*(X285/H285),"0")</f>
        <v>1.6025641025641028E-2</v>
      </c>
      <c r="BP285" s="64">
        <f>IFERROR(1/J285*(Y285/H285),"0")</f>
        <v>1.6483516483516484E-2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2.916666666666667</v>
      </c>
      <c r="Y287" s="617">
        <f>IFERROR(Y285/H285,"0")+IFERROR(Y286/H286,"0")</f>
        <v>3</v>
      </c>
      <c r="Z287" s="617">
        <f>IFERROR(IF(Z285="",0,Z285),"0")+IFERROR(IF(Z286="",0,Z286),"0")</f>
        <v>1.9529999999999999E-2</v>
      </c>
      <c r="AA287" s="618"/>
      <c r="AB287" s="618"/>
      <c r="AC287" s="618"/>
    </row>
    <row r="288" spans="1:68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7</v>
      </c>
      <c r="Y288" s="617">
        <f>IFERROR(SUM(Y285:Y286),"0")</f>
        <v>7.1999999999999993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8</v>
      </c>
      <c r="Y297" s="616">
        <f t="shared" si="37"/>
        <v>8</v>
      </c>
      <c r="Z297" s="36">
        <f>IFERROR(IF(Y297=0,"",ROUNDUP(Y297/H297,0)*0.00902),"")</f>
        <v>1.804E-2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8.3800000000000008</v>
      </c>
      <c r="BN297" s="64">
        <f t="shared" si="39"/>
        <v>8.3800000000000008</v>
      </c>
      <c r="BO297" s="64">
        <f t="shared" si="40"/>
        <v>1.5151515151515152E-2</v>
      </c>
      <c r="BP297" s="64">
        <f t="shared" si="41"/>
        <v>1.5151515151515152E-2</v>
      </c>
    </row>
    <row r="298" spans="1:68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2</v>
      </c>
      <c r="Y298" s="617">
        <f>IFERROR(Y291/H291,"0")+IFERROR(Y292/H292,"0")+IFERROR(Y293/H293,"0")+IFERROR(Y294/H294,"0")+IFERROR(Y295/H295,"0")+IFERROR(Y296/H296,"0")+IFERROR(Y297/H297,"0")</f>
        <v>2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1.804E-2</v>
      </c>
      <c r="AA298" s="618"/>
      <c r="AB298" s="618"/>
      <c r="AC298" s="618"/>
    </row>
    <row r="299" spans="1:68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8</v>
      </c>
      <c r="Y299" s="617">
        <f>IFERROR(SUM(Y291:Y297),"0")</f>
        <v>8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80</v>
      </c>
      <c r="Y326" s="616">
        <f>IFERROR(IF(X326="",0,CEILING((X326/$H326),1)*$H326),"")</f>
        <v>81.599999999999994</v>
      </c>
      <c r="Z326" s="36">
        <f>IFERROR(IF(Y326=0,"",ROUNDUP(Y326/H326,0)*0.00651),"")</f>
        <v>0.22134000000000001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88.40000000000002</v>
      </c>
      <c r="BN326" s="64">
        <f>IFERROR(Y326*I326/H326,"0")</f>
        <v>90.168000000000006</v>
      </c>
      <c r="BO326" s="64">
        <f>IFERROR(1/J326*(X326/H326),"0")</f>
        <v>0.18315018315018317</v>
      </c>
      <c r="BP326" s="64">
        <f>IFERROR(1/J326*(Y326/H326),"0")</f>
        <v>0.18681318681318682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93</v>
      </c>
      <c r="Y327" s="616">
        <f>IFERROR(IF(X327="",0,CEILING((X327/$H327),1)*$H327),"")</f>
        <v>93.6</v>
      </c>
      <c r="Z327" s="36">
        <f>IFERROR(IF(Y327=0,"",ROUNDUP(Y327/H327,0)*0.00651),"")</f>
        <v>0.25389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99.975000000000009</v>
      </c>
      <c r="BN327" s="64">
        <f>IFERROR(Y327*I327/H327,"0")</f>
        <v>100.62</v>
      </c>
      <c r="BO327" s="64">
        <f>IFERROR(1/J327*(X327/H327),"0")</f>
        <v>0.21291208791208793</v>
      </c>
      <c r="BP327" s="64">
        <f>IFERROR(1/J327*(Y327/H327),"0")</f>
        <v>0.2142857142857143</v>
      </c>
    </row>
    <row r="328" spans="1:68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72.083333333333343</v>
      </c>
      <c r="Y328" s="617">
        <f>IFERROR(Y325/H325,"0")+IFERROR(Y326/H326,"0")+IFERROR(Y327/H327,"0")</f>
        <v>73</v>
      </c>
      <c r="Z328" s="617">
        <f>IFERROR(IF(Z325="",0,Z325),"0")+IFERROR(IF(Z326="",0,Z326),"0")+IFERROR(IF(Z327="",0,Z327),"0")</f>
        <v>0.47523000000000004</v>
      </c>
      <c r="AA328" s="618"/>
      <c r="AB328" s="618"/>
      <c r="AC328" s="618"/>
    </row>
    <row r="329" spans="1:68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173</v>
      </c>
      <c r="Y329" s="617">
        <f>IFERROR(SUM(Y325:Y327),"0")</f>
        <v>175.2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hidden="1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286</v>
      </c>
      <c r="Y347" s="616">
        <f>IFERROR(IF(X347="",0,CEILING((X347/$H347),1)*$H347),"")</f>
        <v>288.59999999999997</v>
      </c>
      <c r="Z347" s="36">
        <f>IFERROR(IF(Y347=0,"",ROUNDUP(Y347/H347,0)*0.01898),"")</f>
        <v>0.70226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301.03333333333342</v>
      </c>
      <c r="BN347" s="64">
        <f>IFERROR(Y347*I347/H347,"0")</f>
        <v>303.77</v>
      </c>
      <c r="BO347" s="64">
        <f>IFERROR(1/J347*(X347/H347),"0")</f>
        <v>0.57291666666666663</v>
      </c>
      <c r="BP347" s="64">
        <f>IFERROR(1/J347*(Y347/H347),"0")</f>
        <v>0.578125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36.666666666666664</v>
      </c>
      <c r="Y349" s="617">
        <f>IFERROR(Y346/H346,"0")+IFERROR(Y347/H347,"0")+IFERROR(Y348/H348,"0")</f>
        <v>37</v>
      </c>
      <c r="Z349" s="617">
        <f>IFERROR(IF(Z346="",0,Z346),"0")+IFERROR(IF(Z347="",0,Z347),"0")+IFERROR(IF(Z348="",0,Z348),"0")</f>
        <v>0.70226</v>
      </c>
      <c r="AA349" s="618"/>
      <c r="AB349" s="618"/>
      <c r="AC349" s="618"/>
    </row>
    <row r="350" spans="1:68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286</v>
      </c>
      <c r="Y350" s="617">
        <f>IFERROR(SUM(Y346:Y348),"0")</f>
        <v>288.59999999999997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8</v>
      </c>
      <c r="Y354" s="616">
        <f>IFERROR(IF(X354="",0,CEILING((X354/$H354),1)*$H354),"")</f>
        <v>10.8</v>
      </c>
      <c r="Z354" s="36">
        <f>IFERROR(IF(Y354=0,"",ROUNDUP(Y354/H354,0)*0.01898),"")</f>
        <v>1.898E-2</v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8.3037037037037038</v>
      </c>
      <c r="BN354" s="64">
        <f>IFERROR(Y354*I354/H354,"0")</f>
        <v>11.21</v>
      </c>
      <c r="BO354" s="64">
        <f>IFERROR(1/J354*(X354/H354),"0")</f>
        <v>1.1574074074074073E-2</v>
      </c>
      <c r="BP354" s="64">
        <f>IFERROR(1/J354*(Y354/H354),"0")</f>
        <v>1.5625E-2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0.7407407407407407</v>
      </c>
      <c r="Y358" s="617">
        <f>IFERROR(Y353/H353,"0")+IFERROR(Y354/H354,"0")+IFERROR(Y355/H355,"0")+IFERROR(Y356/H356,"0")+IFERROR(Y357/H357,"0")</f>
        <v>1</v>
      </c>
      <c r="Z358" s="617">
        <f>IFERROR(IF(Z353="",0,Z353),"0")+IFERROR(IF(Z354="",0,Z354),"0")+IFERROR(IF(Z355="",0,Z355),"0")+IFERROR(IF(Z356="",0,Z356),"0")+IFERROR(IF(Z357="",0,Z357),"0")</f>
        <v>1.898E-2</v>
      </c>
      <c r="AA358" s="618"/>
      <c r="AB358" s="618"/>
      <c r="AC358" s="618"/>
    </row>
    <row r="359" spans="1:68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8</v>
      </c>
      <c r="Y359" s="617">
        <f>IFERROR(SUM(Y353:Y357),"0")</f>
        <v>10.8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8</v>
      </c>
      <c r="Y367" s="616">
        <f t="shared" si="42"/>
        <v>9</v>
      </c>
      <c r="Z367" s="36">
        <f>IFERROR(IF(Y367=0,"",ROUNDUP(Y367/H367,0)*0.00651),"")</f>
        <v>3.2550000000000003E-2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9.0133333333333336</v>
      </c>
      <c r="BN367" s="64">
        <f t="shared" si="44"/>
        <v>10.139999999999999</v>
      </c>
      <c r="BO367" s="64">
        <f t="shared" si="45"/>
        <v>2.4420024420024423E-2</v>
      </c>
      <c r="BP367" s="64">
        <f t="shared" si="46"/>
        <v>2.7472527472527476E-2</v>
      </c>
    </row>
    <row r="368" spans="1:68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4.4444444444444446</v>
      </c>
      <c r="Y368" s="617">
        <f>IFERROR(Y361/H361,"0")+IFERROR(Y362/H362,"0")+IFERROR(Y363/H363,"0")+IFERROR(Y364/H364,"0")+IFERROR(Y365/H365,"0")+IFERROR(Y366/H366,"0")+IFERROR(Y367/H367,"0")</f>
        <v>5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3.2550000000000003E-2</v>
      </c>
      <c r="AA368" s="618"/>
      <c r="AB368" s="618"/>
      <c r="AC368" s="618"/>
    </row>
    <row r="369" spans="1:68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8</v>
      </c>
      <c r="Y369" s="617">
        <f>IFERROR(SUM(Y361:Y367),"0")</f>
        <v>9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hidden="1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400</v>
      </c>
      <c r="Y379" s="616">
        <f>IFERROR(IF(X379="",0,CEILING((X379/$H379),1)*$H379),"")</f>
        <v>405.59999999999997</v>
      </c>
      <c r="Z379" s="36">
        <f>IFERROR(IF(Y379=0,"",ROUNDUP(Y379/H379,0)*0.01898),"")</f>
        <v>0.98696000000000006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425.33333333333337</v>
      </c>
      <c r="BN379" s="64">
        <f>IFERROR(Y379*I379/H379,"0")</f>
        <v>431.28799999999995</v>
      </c>
      <c r="BO379" s="64">
        <f>IFERROR(1/J379*(X379/H379),"0")</f>
        <v>0.80128205128205132</v>
      </c>
      <c r="BP379" s="64">
        <f>IFERROR(1/J379*(Y379/H379),"0")</f>
        <v>0.8125</v>
      </c>
    </row>
    <row r="380" spans="1:68" ht="16.5" hidden="1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51.282051282051285</v>
      </c>
      <c r="Y381" s="617">
        <f>IFERROR(Y378/H378,"0")+IFERROR(Y379/H379,"0")+IFERROR(Y380/H380,"0")</f>
        <v>52</v>
      </c>
      <c r="Z381" s="617">
        <f>IFERROR(IF(Z378="",0,Z378),"0")+IFERROR(IF(Z379="",0,Z379),"0")+IFERROR(IF(Z380="",0,Z380),"0")</f>
        <v>0.98696000000000006</v>
      </c>
      <c r="AA381" s="618"/>
      <c r="AB381" s="618"/>
      <c r="AC381" s="618"/>
    </row>
    <row r="382" spans="1:68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400</v>
      </c>
      <c r="Y382" s="617">
        <f>IFERROR(SUM(Y378:Y380),"0")</f>
        <v>405.59999999999997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4</v>
      </c>
      <c r="Y385" s="61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4.3026315789473681</v>
      </c>
      <c r="BN385" s="64">
        <f>IFERROR(Y385*I385/H385,"0")</f>
        <v>6.5399999999999991</v>
      </c>
      <c r="BO385" s="64">
        <f>IFERROR(1/J385*(X385/H385),"0")</f>
        <v>9.9681020733652318E-3</v>
      </c>
      <c r="BP385" s="64">
        <f>IFERROR(1/J385*(Y385/H385),"0")</f>
        <v>1.5151515151515152E-2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2</v>
      </c>
      <c r="Y386" s="616">
        <f>IFERROR(IF(X386="",0,CEILING((X386/$H386),1)*$H386),"")</f>
        <v>2.5499999999999998</v>
      </c>
      <c r="Z386" s="36">
        <f>IFERROR(IF(Y386=0,"",ROUNDUP(Y386/H386,0)*0.00651),"")</f>
        <v>6.5100000000000002E-3</v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2.3176470588235296</v>
      </c>
      <c r="BN386" s="64">
        <f>IFERROR(Y386*I386/H386,"0")</f>
        <v>2.9550000000000001</v>
      </c>
      <c r="BO386" s="64">
        <f>IFERROR(1/J386*(X386/H386),"0")</f>
        <v>4.3094160741219576E-3</v>
      </c>
      <c r="BP386" s="64">
        <f>IFERROR(1/J386*(Y386/H386),"0")</f>
        <v>5.4945054945054949E-3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2.1001031991744066</v>
      </c>
      <c r="Y388" s="617">
        <f>IFERROR(Y384/H384,"0")+IFERROR(Y385/H385,"0")+IFERROR(Y386/H386,"0")+IFERROR(Y387/H387,"0")</f>
        <v>3</v>
      </c>
      <c r="Z388" s="617">
        <f>IFERROR(IF(Z384="",0,Z384),"0")+IFERROR(IF(Z385="",0,Z385),"0")+IFERROR(IF(Z386="",0,Z386),"0")+IFERROR(IF(Z387="",0,Z387),"0")</f>
        <v>2.4550000000000002E-2</v>
      </c>
      <c r="AA388" s="618"/>
      <c r="AB388" s="618"/>
      <c r="AC388" s="618"/>
    </row>
    <row r="389" spans="1:68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6</v>
      </c>
      <c r="Y389" s="617">
        <f>IFERROR(SUM(Y384:Y387),"0")</f>
        <v>8.629999999999999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7</v>
      </c>
      <c r="Y391" s="616">
        <f>IFERROR(IF(X391="",0,CEILING((X391/$H391),1)*$H391),"")</f>
        <v>8</v>
      </c>
      <c r="Z391" s="36">
        <f>IFERROR(IF(Y391=0,"",ROUNDUP(Y391/H391,0)*0.00474),"")</f>
        <v>1.8960000000000001E-2</v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7.8400000000000007</v>
      </c>
      <c r="BN391" s="64">
        <f>IFERROR(Y391*I391/H391,"0")</f>
        <v>8.9600000000000009</v>
      </c>
      <c r="BO391" s="64">
        <f>IFERROR(1/J391*(X391/H391),"0")</f>
        <v>1.4705882352941176E-2</v>
      </c>
      <c r="BP391" s="64">
        <f>IFERROR(1/J391*(Y391/H391),"0")</f>
        <v>1.680672268907563E-2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4</v>
      </c>
      <c r="Y392" s="616">
        <f>IFERROR(IF(X392="",0,CEILING((X392/$H392),1)*$H392),"")</f>
        <v>4</v>
      </c>
      <c r="Z392" s="36">
        <f>IFERROR(IF(Y392=0,"",ROUNDUP(Y392/H392,0)*0.00474),"")</f>
        <v>9.4800000000000006E-3</v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4.4800000000000004</v>
      </c>
      <c r="BN392" s="64">
        <f>IFERROR(Y392*I392/H392,"0")</f>
        <v>4.4800000000000004</v>
      </c>
      <c r="BO392" s="64">
        <f>IFERROR(1/J392*(X392/H392),"0")</f>
        <v>8.4033613445378148E-3</v>
      </c>
      <c r="BP392" s="64">
        <f>IFERROR(1/J392*(Y392/H392),"0")</f>
        <v>8.4033613445378148E-3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24</v>
      </c>
      <c r="Y393" s="616">
        <f>IFERROR(IF(X393="",0,CEILING((X393/$H393),1)*$H393),"")</f>
        <v>24</v>
      </c>
      <c r="Z393" s="36">
        <f>IFERROR(IF(Y393=0,"",ROUNDUP(Y393/H393,0)*0.00474),"")</f>
        <v>5.688E-2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26.880000000000003</v>
      </c>
      <c r="BN393" s="64">
        <f>IFERROR(Y393*I393/H393,"0")</f>
        <v>26.880000000000003</v>
      </c>
      <c r="BO393" s="64">
        <f>IFERROR(1/J393*(X393/H393),"0")</f>
        <v>5.0420168067226892E-2</v>
      </c>
      <c r="BP393" s="64">
        <f>IFERROR(1/J393*(Y393/H393),"0")</f>
        <v>5.0420168067226892E-2</v>
      </c>
    </row>
    <row r="394" spans="1:68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17.5</v>
      </c>
      <c r="Y394" s="617">
        <f>IFERROR(Y391/H391,"0")+IFERROR(Y392/H392,"0")+IFERROR(Y393/H393,"0")</f>
        <v>18</v>
      </c>
      <c r="Z394" s="617">
        <f>IFERROR(IF(Z391="",0,Z391),"0")+IFERROR(IF(Z392="",0,Z392),"0")+IFERROR(IF(Z393="",0,Z393),"0")</f>
        <v>8.5320000000000007E-2</v>
      </c>
      <c r="AA394" s="618"/>
      <c r="AB394" s="618"/>
      <c r="AC394" s="618"/>
    </row>
    <row r="395" spans="1:68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35</v>
      </c>
      <c r="Y395" s="617">
        <f>IFERROR(SUM(Y391:Y393),"0")</f>
        <v>36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89</v>
      </c>
      <c r="Y405" s="616">
        <f>IFERROR(IF(X405="",0,CEILING((X405/$H405),1)*$H405),"")</f>
        <v>90.3</v>
      </c>
      <c r="Z405" s="36">
        <f>IFERROR(IF(Y405=0,"",ROUNDUP(Y405/H405,0)*0.00651),"")</f>
        <v>0.27993000000000001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99.679999999999978</v>
      </c>
      <c r="BN405" s="64">
        <f>IFERROR(Y405*I405/H405,"0")</f>
        <v>101.13599999999998</v>
      </c>
      <c r="BO405" s="64">
        <f>IFERROR(1/J405*(X405/H405),"0")</f>
        <v>0.23286237571951859</v>
      </c>
      <c r="BP405" s="64">
        <f>IFERROR(1/J405*(Y405/H405),"0")</f>
        <v>0.23626373626373628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110</v>
      </c>
      <c r="Y406" s="616">
        <f>IFERROR(IF(X406="",0,CEILING((X406/$H406),1)*$H406),"")</f>
        <v>111.30000000000001</v>
      </c>
      <c r="Z406" s="36">
        <f>IFERROR(IF(Y406=0,"",ROUNDUP(Y406/H406,0)*0.00651),"")</f>
        <v>0.34503</v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122.57142857142856</v>
      </c>
      <c r="BN406" s="64">
        <f>IFERROR(Y406*I406/H406,"0")</f>
        <v>124.02</v>
      </c>
      <c r="BO406" s="64">
        <f>IFERROR(1/J406*(X406/H406),"0")</f>
        <v>0.28780743066457354</v>
      </c>
      <c r="BP406" s="64">
        <f>IFERROR(1/J406*(Y406/H406),"0")</f>
        <v>0.29120879120879123</v>
      </c>
    </row>
    <row r="407" spans="1:68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94.761904761904759</v>
      </c>
      <c r="Y407" s="617">
        <f>IFERROR(Y404/H404,"0")+IFERROR(Y405/H405,"0")+IFERROR(Y406/H406,"0")</f>
        <v>96</v>
      </c>
      <c r="Z407" s="617">
        <f>IFERROR(IF(Z404="",0,Z404),"0")+IFERROR(IF(Z405="",0,Z405),"0")+IFERROR(IF(Z406="",0,Z406),"0")</f>
        <v>0.62495999999999996</v>
      </c>
      <c r="AA407" s="618"/>
      <c r="AB407" s="618"/>
      <c r="AC407" s="618"/>
    </row>
    <row r="408" spans="1:68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199</v>
      </c>
      <c r="Y408" s="617">
        <f>IFERROR(SUM(Y404:Y406),"0")</f>
        <v>201.60000000000002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50</v>
      </c>
      <c r="Y412" s="616">
        <f t="shared" ref="Y412:Y419" si="47">IFERROR(IF(X412="",0,CEILING((X412/$H412),1)*$H412),"")</f>
        <v>60</v>
      </c>
      <c r="Z412" s="36">
        <f>IFERROR(IF(Y412=0,"",ROUNDUP(Y412/H412,0)*0.02175),"")</f>
        <v>8.6999999999999994E-2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51.56666666666667</v>
      </c>
      <c r="BN412" s="64">
        <f t="shared" ref="BN412:BN419" si="49">IFERROR(Y412*I412/H412,"0")</f>
        <v>61.88</v>
      </c>
      <c r="BO412" s="64">
        <f t="shared" ref="BO412:BO419" si="50">IFERROR(1/J412*(X412/H412),"0")</f>
        <v>6.9444444444444448E-2</v>
      </c>
      <c r="BP412" s="64">
        <f t="shared" ref="BP412:BP419" si="51">IFERROR(1/J412*(Y412/H412),"0")</f>
        <v>8.3333333333333329E-2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40</v>
      </c>
      <c r="Y413" s="616">
        <f t="shared" si="47"/>
        <v>45</v>
      </c>
      <c r="Z413" s="36">
        <f>IFERROR(IF(Y413=0,"",ROUNDUP(Y413/H413,0)*0.02175),"")</f>
        <v>6.5250000000000002E-2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41.253333333333337</v>
      </c>
      <c r="BN413" s="64">
        <f t="shared" si="49"/>
        <v>46.41</v>
      </c>
      <c r="BO413" s="64">
        <f t="shared" si="50"/>
        <v>5.5555555555555552E-2</v>
      </c>
      <c r="BP413" s="64">
        <f t="shared" si="51"/>
        <v>6.25E-2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176</v>
      </c>
      <c r="Y414" s="616">
        <f t="shared" si="47"/>
        <v>180</v>
      </c>
      <c r="Z414" s="36">
        <f>IFERROR(IF(Y414=0,"",ROUNDUP(Y414/H414,0)*0.02175),"")</f>
        <v>0.26100000000000001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181.51466666666667</v>
      </c>
      <c r="BN414" s="64">
        <f t="shared" si="49"/>
        <v>185.64</v>
      </c>
      <c r="BO414" s="64">
        <f t="shared" si="50"/>
        <v>0.24444444444444441</v>
      </c>
      <c r="BP414" s="64">
        <f t="shared" si="51"/>
        <v>0.25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59</v>
      </c>
      <c r="Y415" s="616">
        <f t="shared" si="47"/>
        <v>60</v>
      </c>
      <c r="Z415" s="36">
        <f>IFERROR(IF(Y415=0,"",ROUNDUP(Y415/H415,0)*0.02175),"")</f>
        <v>8.6999999999999994E-2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60.848666666666666</v>
      </c>
      <c r="BN415" s="64">
        <f t="shared" si="49"/>
        <v>61.88</v>
      </c>
      <c r="BO415" s="64">
        <f t="shared" si="50"/>
        <v>8.1944444444444431E-2</v>
      </c>
      <c r="BP415" s="64">
        <f t="shared" si="51"/>
        <v>8.3333333333333329E-2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1024</v>
      </c>
      <c r="Y416" s="616">
        <f t="shared" si="47"/>
        <v>1035</v>
      </c>
      <c r="Z416" s="36">
        <f>IFERROR(IF(Y416=0,"",ROUNDUP(Y416/H416,0)*0.02175),"")</f>
        <v>1.5007499999999998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1056.0853333333334</v>
      </c>
      <c r="BN416" s="64">
        <f t="shared" si="49"/>
        <v>1067.43</v>
      </c>
      <c r="BO416" s="64">
        <f t="shared" si="50"/>
        <v>1.4222222222222221</v>
      </c>
      <c r="BP416" s="64">
        <f t="shared" si="51"/>
        <v>1.4375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89.933333333333337</v>
      </c>
      <c r="Y420" s="617">
        <f>IFERROR(Y412/H412,"0")+IFERROR(Y413/H413,"0")+IFERROR(Y414/H414,"0")+IFERROR(Y415/H415,"0")+IFERROR(Y416/H416,"0")+IFERROR(Y417/H417,"0")+IFERROR(Y418/H418,"0")+IFERROR(Y419/H419,"0")</f>
        <v>92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2.0009999999999999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1349</v>
      </c>
      <c r="Y421" s="617">
        <f>IFERROR(SUM(Y412:Y419),"0")</f>
        <v>1380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1226</v>
      </c>
      <c r="Y423" s="616">
        <f>IFERROR(IF(X423="",0,CEILING((X423/$H423),1)*$H423),"")</f>
        <v>1230</v>
      </c>
      <c r="Z423" s="36">
        <f>IFERROR(IF(Y423=0,"",ROUNDUP(Y423/H423,0)*0.02175),"")</f>
        <v>1.7834999999999999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1264.4146666666668</v>
      </c>
      <c r="BN423" s="64">
        <f>IFERROR(Y423*I423/H423,"0")</f>
        <v>1268.5400000000002</v>
      </c>
      <c r="BO423" s="64">
        <f>IFERROR(1/J423*(X423/H423),"0")</f>
        <v>1.7027777777777777</v>
      </c>
      <c r="BP423" s="64">
        <f>IFERROR(1/J423*(Y423/H423),"0")</f>
        <v>1.7083333333333333</v>
      </c>
    </row>
    <row r="424" spans="1:68" ht="27" hidden="1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81.733333333333334</v>
      </c>
      <c r="Y426" s="617">
        <f>IFERROR(Y423/H423,"0")+IFERROR(Y424/H424,"0")+IFERROR(Y425/H425,"0")</f>
        <v>82</v>
      </c>
      <c r="Z426" s="617">
        <f>IFERROR(IF(Z423="",0,Z423),"0")+IFERROR(IF(Z424="",0,Z424),"0")+IFERROR(IF(Z425="",0,Z425),"0")</f>
        <v>1.7834999999999999</v>
      </c>
      <c r="AA426" s="618"/>
      <c r="AB426" s="618"/>
      <c r="AC426" s="618"/>
    </row>
    <row r="427" spans="1:68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1226</v>
      </c>
      <c r="Y427" s="617">
        <f>IFERROR(SUM(Y423:Y425),"0")</f>
        <v>1230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614</v>
      </c>
      <c r="Y450" s="616">
        <f>IFERROR(IF(X450="",0,CEILING((X450/$H450),1)*$H450),"")</f>
        <v>621</v>
      </c>
      <c r="Z450" s="36">
        <f>IFERROR(IF(Y450=0,"",ROUNDUP(Y450/H450,0)*0.01898),"")</f>
        <v>1.30962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647.70177777777781</v>
      </c>
      <c r="BN450" s="64">
        <f>IFERROR(Y450*I450/H450,"0")</f>
        <v>655.0859999999999</v>
      </c>
      <c r="BO450" s="64">
        <f>IFERROR(1/J450*(X450/H450),"0")</f>
        <v>1.0659722222222223</v>
      </c>
      <c r="BP450" s="64">
        <f>IFERROR(1/J450*(Y450/H450),"0")</f>
        <v>1.078125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207</v>
      </c>
      <c r="Y451" s="616">
        <f>IFERROR(IF(X451="",0,CEILING((X451/$H451),1)*$H451),"")</f>
        <v>208.79999999999998</v>
      </c>
      <c r="Z451" s="36">
        <f>IFERROR(IF(Y451=0,"",ROUNDUP(Y451/H451,0)*0.00651),"")</f>
        <v>0.56637000000000004</v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229.77</v>
      </c>
      <c r="BN451" s="64">
        <f>IFERROR(Y451*I451/H451,"0")</f>
        <v>231.768</v>
      </c>
      <c r="BO451" s="64">
        <f>IFERROR(1/J451*(X451/H451),"0")</f>
        <v>0.47390109890109894</v>
      </c>
      <c r="BP451" s="64">
        <f>IFERROR(1/J451*(Y451/H451),"0")</f>
        <v>0.47802197802197804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154.47222222222223</v>
      </c>
      <c r="Y453" s="617">
        <f>IFERROR(Y450/H450,"0")+IFERROR(Y451/H451,"0")+IFERROR(Y452/H452,"0")</f>
        <v>156</v>
      </c>
      <c r="Z453" s="617">
        <f>IFERROR(IF(Z450="",0,Z450),"0")+IFERROR(IF(Z451="",0,Z451),"0")+IFERROR(IF(Z452="",0,Z452),"0")</f>
        <v>1.87599</v>
      </c>
      <c r="AA453" s="618"/>
      <c r="AB453" s="618"/>
      <c r="AC453" s="618"/>
    </row>
    <row r="454" spans="1:68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821</v>
      </c>
      <c r="Y454" s="617">
        <f>IFERROR(SUM(Y450:Y452),"0")</f>
        <v>829.8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32</v>
      </c>
      <c r="Y485" s="616">
        <f t="shared" ref="Y485:Y493" si="57">IFERROR(IF(X485="",0,CEILING((X485/$H485),1)*$H485),"")</f>
        <v>36.96</v>
      </c>
      <c r="Z485" s="36">
        <f t="shared" ref="Z485:Z490" si="58">IFERROR(IF(Y485=0,"",ROUNDUP(Y485/H485,0)*0.01196),"")</f>
        <v>8.3720000000000003E-2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34.121212121212118</v>
      </c>
      <c r="BN485" s="64">
        <f t="shared" ref="BN485:BN493" si="60">IFERROR(Y485*I485/H485,"0")</f>
        <v>39.409999999999997</v>
      </c>
      <c r="BO485" s="64">
        <f t="shared" ref="BO485:BO493" si="61">IFERROR(1/J485*(X485/H485),"0")</f>
        <v>5.8275058275058279E-2</v>
      </c>
      <c r="BP485" s="64">
        <f t="shared" ref="BP485:BP493" si="62">IFERROR(1/J485*(Y485/H485),"0")</f>
        <v>6.7307692307692318E-2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1486</v>
      </c>
      <c r="Y488" s="616">
        <f t="shared" si="57"/>
        <v>1488.96</v>
      </c>
      <c r="Z488" s="36">
        <f t="shared" si="58"/>
        <v>3.3727200000000002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1584.5037878787878</v>
      </c>
      <c r="BN488" s="64">
        <f t="shared" si="60"/>
        <v>1587.66</v>
      </c>
      <c r="BO488" s="64">
        <f t="shared" si="61"/>
        <v>2.7061480186480189</v>
      </c>
      <c r="BP488" s="64">
        <f t="shared" si="62"/>
        <v>2.7115384615384617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1064</v>
      </c>
      <c r="Y490" s="616">
        <f t="shared" si="57"/>
        <v>1066.56</v>
      </c>
      <c r="Z490" s="36">
        <f t="shared" si="58"/>
        <v>2.4159199999999998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1134.530303030303</v>
      </c>
      <c r="BN490" s="64">
        <f t="shared" si="60"/>
        <v>1137.26</v>
      </c>
      <c r="BO490" s="64">
        <f t="shared" si="61"/>
        <v>1.9376456876456876</v>
      </c>
      <c r="BP490" s="64">
        <f t="shared" si="62"/>
        <v>1.9423076923076921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181</v>
      </c>
      <c r="Y492" s="616">
        <f t="shared" si="57"/>
        <v>182.4</v>
      </c>
      <c r="Z492" s="36">
        <f>IFERROR(IF(Y492=0,"",ROUNDUP(Y492/H492,0)*0.00902),"")</f>
        <v>0.34276000000000001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260.56458333333336</v>
      </c>
      <c r="BN492" s="64">
        <f t="shared" si="60"/>
        <v>262.58000000000004</v>
      </c>
      <c r="BO492" s="64">
        <f t="shared" si="61"/>
        <v>0.28566919191919193</v>
      </c>
      <c r="BP492" s="64">
        <f t="shared" si="62"/>
        <v>0.2878787878787879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168</v>
      </c>
      <c r="Y493" s="616">
        <f t="shared" si="57"/>
        <v>168</v>
      </c>
      <c r="Z493" s="36">
        <f>IFERROR(IF(Y493=0,"",ROUNDUP(Y493/H493,0)*0.00902),"")</f>
        <v>0.31569999999999998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241.85000000000002</v>
      </c>
      <c r="BN493" s="64">
        <f t="shared" si="60"/>
        <v>241.85000000000002</v>
      </c>
      <c r="BO493" s="64">
        <f t="shared" si="61"/>
        <v>0.26515151515151514</v>
      </c>
      <c r="BP493" s="64">
        <f t="shared" si="62"/>
        <v>0.26515151515151514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561.72348484848487</v>
      </c>
      <c r="Y494" s="617">
        <f>IFERROR(Y485/H485,"0")+IFERROR(Y486/H486,"0")+IFERROR(Y487/H487,"0")+IFERROR(Y488/H488,"0")+IFERROR(Y489/H489,"0")+IFERROR(Y490/H490,"0")+IFERROR(Y491/H491,"0")+IFERROR(Y492/H492,"0")+IFERROR(Y493/H493,"0")</f>
        <v>564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6.5308200000000003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2931</v>
      </c>
      <c r="Y495" s="617">
        <f>IFERROR(SUM(Y485:Y493),"0")</f>
        <v>2942.88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800</v>
      </c>
      <c r="Y497" s="616">
        <f>IFERROR(IF(X497="",0,CEILING((X497/$H497),1)*$H497),"")</f>
        <v>802.56000000000006</v>
      </c>
      <c r="Z497" s="36">
        <f>IFERROR(IF(Y497=0,"",ROUNDUP(Y497/H497,0)*0.01196),"")</f>
        <v>1.81792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853.030303030303</v>
      </c>
      <c r="BN497" s="64">
        <f>IFERROR(Y497*I497/H497,"0")</f>
        <v>855.76</v>
      </c>
      <c r="BO497" s="64">
        <f>IFERROR(1/J497*(X497/H497),"0")</f>
        <v>1.4568764568764567</v>
      </c>
      <c r="BP497" s="64">
        <f>IFERROR(1/J497*(Y497/H497),"0")</f>
        <v>1.4615384615384617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60</v>
      </c>
      <c r="Y499" s="616">
        <f>IFERROR(IF(X499="",0,CEILING((X499/$H499),1)*$H499),"")</f>
        <v>62.4</v>
      </c>
      <c r="Z499" s="36">
        <f>IFERROR(IF(Y499=0,"",ROUNDUP(Y499/H499,0)*0.00902),"")</f>
        <v>0.11726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86.375000000000014</v>
      </c>
      <c r="BN499" s="64">
        <f>IFERROR(Y499*I499/H499,"0")</f>
        <v>89.830000000000013</v>
      </c>
      <c r="BO499" s="64">
        <f>IFERROR(1/J499*(X499/H499),"0")</f>
        <v>9.4696969696969696E-2</v>
      </c>
      <c r="BP499" s="64">
        <f>IFERROR(1/J499*(Y499/H499),"0")</f>
        <v>9.8484848484848481E-2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164.0151515151515</v>
      </c>
      <c r="Y500" s="617">
        <f>IFERROR(Y497/H497,"0")+IFERROR(Y498/H498,"0")+IFERROR(Y499/H499,"0")</f>
        <v>165</v>
      </c>
      <c r="Z500" s="617">
        <f>IFERROR(IF(Z497="",0,Z497),"0")+IFERROR(IF(Z498="",0,Z498),"0")+IFERROR(IF(Z499="",0,Z499),"0")</f>
        <v>1.9351799999999999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860</v>
      </c>
      <c r="Y501" s="617">
        <f>IFERROR(SUM(Y497:Y499),"0")</f>
        <v>864.96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438</v>
      </c>
      <c r="Y504" s="616">
        <f t="shared" si="63"/>
        <v>438.24</v>
      </c>
      <c r="Z504" s="36">
        <f>IFERROR(IF(Y504=0,"",ROUNDUP(Y504/H504,0)*0.01196),"")</f>
        <v>0.99268000000000001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467.03409090909088</v>
      </c>
      <c r="BN504" s="64">
        <f t="shared" si="65"/>
        <v>467.29</v>
      </c>
      <c r="BO504" s="64">
        <f t="shared" si="66"/>
        <v>0.79763986013986021</v>
      </c>
      <c r="BP504" s="64">
        <f t="shared" si="67"/>
        <v>0.79807692307692313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706</v>
      </c>
      <c r="Y505" s="616">
        <f t="shared" si="63"/>
        <v>707.52</v>
      </c>
      <c r="Z505" s="36">
        <f>IFERROR(IF(Y505=0,"",ROUNDUP(Y505/H505,0)*0.01196),"")</f>
        <v>1.6026400000000001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752.79924242424238</v>
      </c>
      <c r="BN505" s="64">
        <f t="shared" si="65"/>
        <v>754.42</v>
      </c>
      <c r="BO505" s="64">
        <f t="shared" si="66"/>
        <v>1.2856934731934733</v>
      </c>
      <c r="BP505" s="64">
        <f t="shared" si="67"/>
        <v>1.2884615384615385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216.66666666666669</v>
      </c>
      <c r="Y510" s="617">
        <f>IFERROR(Y503/H503,"0")+IFERROR(Y504/H504,"0")+IFERROR(Y505/H505,"0")+IFERROR(Y506/H506,"0")+IFERROR(Y507/H507,"0")+IFERROR(Y508/H508,"0")+IFERROR(Y509/H509,"0")</f>
        <v>217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2.5953200000000001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1144</v>
      </c>
      <c r="Y511" s="617">
        <f>IFERROR(SUM(Y503:Y509),"0")</f>
        <v>1145.76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15812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15985.570000000002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16930.687454489915</v>
      </c>
      <c r="Y542" s="617">
        <f>IFERROR(SUM(BN22:BN538),"0")</f>
        <v>17115.099000000002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29</v>
      </c>
      <c r="Y543" s="38">
        <f>ROUNDUP(SUM(BP22:BP538),0)</f>
        <v>30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17655.687454489915</v>
      </c>
      <c r="Y544" s="617">
        <f>GrossWeightTotalR+PalletQtyTotalR*25</f>
        <v>17865.099000000002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3180.3792157429925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3212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34.821130000000011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199.60000000000002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1168.7</v>
      </c>
      <c r="F551" s="46">
        <f>IFERROR(Y88*1,"0")+IFERROR(Y89*1,"0")+IFERROR(Y90*1,"0")+IFERROR(Y91*1,"0")+IFERROR(Y95*1,"0")+IFERROR(Y96*1,"0")+IFERROR(Y97*1,"0")+IFERROR(Y98*1,"0")</f>
        <v>1040.6000000000001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1639.26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404.04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262.84000000000003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1733.7000000000003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8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175.2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288.59999999999997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470.03</v>
      </c>
      <c r="U551" s="46">
        <f>IFERROR(Y404*1,"0")+IFERROR(Y405*1,"0")+IFERROR(Y406*1,"0")</f>
        <v>201.60000000000002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2610</v>
      </c>
      <c r="W551" s="46">
        <f>IFERROR(Y441*1,"0")+IFERROR(Y442*1,"0")+IFERROR(Y446*1,"0")+IFERROR(Y450*1,"0")+IFERROR(Y451*1,"0")+IFERROR(Y452*1,"0")</f>
        <v>829.8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4953.6000000000004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5"/>
        <filter val="0,74"/>
        <filter val="1 013,00"/>
        <filter val="1 024,00"/>
        <filter val="1 064,00"/>
        <filter val="1 144,00"/>
        <filter val="1 226,00"/>
        <filter val="1 349,00"/>
        <filter val="1 383,00"/>
        <filter val="1 486,00"/>
        <filter val="10,00"/>
        <filter val="106,00"/>
        <filter val="11,00"/>
        <filter val="110,00"/>
        <filter val="117,69"/>
        <filter val="138,00"/>
        <filter val="139,00"/>
        <filter val="14,00"/>
        <filter val="14,17"/>
        <filter val="144,13"/>
        <filter val="145,00"/>
        <filter val="15 812,00"/>
        <filter val="153,00"/>
        <filter val="154,47"/>
        <filter val="155,00"/>
        <filter val="16 930,69"/>
        <filter val="16,00"/>
        <filter val="164,02"/>
        <filter val="166,33"/>
        <filter val="168,00"/>
        <filter val="169,00"/>
        <filter val="17 655,69"/>
        <filter val="17,00"/>
        <filter val="17,50"/>
        <filter val="170,00"/>
        <filter val="172,00"/>
        <filter val="173,00"/>
        <filter val="176,00"/>
        <filter val="181,00"/>
        <filter val="192,00"/>
        <filter val="192,59"/>
        <filter val="194,81"/>
        <filter val="197,00"/>
        <filter val="199,00"/>
        <filter val="2 931,00"/>
        <filter val="2,00"/>
        <filter val="2,10"/>
        <filter val="2,92"/>
        <filter val="20,00"/>
        <filter val="201,00"/>
        <filter val="207,00"/>
        <filter val="216,67"/>
        <filter val="228,00"/>
        <filter val="24,00"/>
        <filter val="242,00"/>
        <filter val="262,10"/>
        <filter val="28,00"/>
        <filter val="28,55"/>
        <filter val="286,00"/>
        <filter val="29"/>
        <filter val="3 180,38"/>
        <filter val="32,00"/>
        <filter val="32,18"/>
        <filter val="330,00"/>
        <filter val="348,00"/>
        <filter val="35,00"/>
        <filter val="36,36"/>
        <filter val="36,67"/>
        <filter val="360,49"/>
        <filter val="370,00"/>
        <filter val="398,00"/>
        <filter val="4,00"/>
        <filter val="4,44"/>
        <filter val="40,00"/>
        <filter val="400,00"/>
        <filter val="43,00"/>
        <filter val="438,00"/>
        <filter val="450,00"/>
        <filter val="48,00"/>
        <filter val="5,56"/>
        <filter val="50,00"/>
        <filter val="51,28"/>
        <filter val="56,47"/>
        <filter val="561,72"/>
        <filter val="58,00"/>
        <filter val="59,00"/>
        <filter val="6,00"/>
        <filter val="60,00"/>
        <filter val="614,00"/>
        <filter val="66,00"/>
        <filter val="678,00"/>
        <filter val="689,00"/>
        <filter val="69,00"/>
        <filter val="7,00"/>
        <filter val="7,31"/>
        <filter val="7,94"/>
        <filter val="706,00"/>
        <filter val="72,00"/>
        <filter val="72,08"/>
        <filter val="79,00"/>
        <filter val="8,00"/>
        <filter val="80,00"/>
        <filter val="800,00"/>
        <filter val="81,73"/>
        <filter val="821,00"/>
        <filter val="836,00"/>
        <filter val="860,00"/>
        <filter val="868,00"/>
        <filter val="89,00"/>
        <filter val="89,93"/>
        <filter val="918,00"/>
        <filter val="93,00"/>
        <filter val="94,76"/>
        <filter val="97,0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