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CC75C7D-17C8-450C-B3F9-185666783CF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Y534" i="1" s="1"/>
  <c r="P532" i="1"/>
  <c r="X530" i="1"/>
  <c r="X529" i="1"/>
  <c r="BO528" i="1"/>
  <c r="BM528" i="1"/>
  <c r="Y528" i="1"/>
  <c r="P528" i="1"/>
  <c r="X526" i="1"/>
  <c r="X525" i="1"/>
  <c r="BO524" i="1"/>
  <c r="BM524" i="1"/>
  <c r="Y524" i="1"/>
  <c r="BP524" i="1" s="1"/>
  <c r="P524" i="1"/>
  <c r="BO523" i="1"/>
  <c r="BM523" i="1"/>
  <c r="Y523" i="1"/>
  <c r="P523" i="1"/>
  <c r="X521" i="1"/>
  <c r="X520" i="1"/>
  <c r="BO519" i="1"/>
  <c r="BM519" i="1"/>
  <c r="Y519" i="1"/>
  <c r="P519" i="1"/>
  <c r="Y517" i="1"/>
  <c r="X517" i="1"/>
  <c r="Y516" i="1"/>
  <c r="X516" i="1"/>
  <c r="BO515" i="1"/>
  <c r="BM515" i="1"/>
  <c r="Y515" i="1"/>
  <c r="BP515" i="1" s="1"/>
  <c r="P515" i="1"/>
  <c r="X511" i="1"/>
  <c r="X510" i="1"/>
  <c r="BO509" i="1"/>
  <c r="BM509" i="1"/>
  <c r="Y509" i="1"/>
  <c r="BP509" i="1" s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BP505" i="1" s="1"/>
  <c r="P505" i="1"/>
  <c r="BO504" i="1"/>
  <c r="BM504" i="1"/>
  <c r="Y504" i="1"/>
  <c r="P504" i="1"/>
  <c r="BO503" i="1"/>
  <c r="BM503" i="1"/>
  <c r="Y503" i="1"/>
  <c r="Y511" i="1" s="1"/>
  <c r="P503" i="1"/>
  <c r="X501" i="1"/>
  <c r="X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5" i="1"/>
  <c r="X494" i="1"/>
  <c r="BP493" i="1"/>
  <c r="BO493" i="1"/>
  <c r="BN493" i="1"/>
  <c r="BM493" i="1"/>
  <c r="Z493" i="1"/>
  <c r="Y493" i="1"/>
  <c r="P493" i="1"/>
  <c r="BO492" i="1"/>
  <c r="BM492" i="1"/>
  <c r="Z492" i="1"/>
  <c r="Y492" i="1"/>
  <c r="BN492" i="1" s="1"/>
  <c r="P492" i="1"/>
  <c r="BO491" i="1"/>
  <c r="BM491" i="1"/>
  <c r="Y491" i="1"/>
  <c r="P491" i="1"/>
  <c r="BO490" i="1"/>
  <c r="BM490" i="1"/>
  <c r="Y490" i="1"/>
  <c r="BP490" i="1" s="1"/>
  <c r="P490" i="1"/>
  <c r="BP489" i="1"/>
  <c r="BO489" i="1"/>
  <c r="BN489" i="1"/>
  <c r="BM489" i="1"/>
  <c r="Z489" i="1"/>
  <c r="Y489" i="1"/>
  <c r="P489" i="1"/>
  <c r="BO488" i="1"/>
  <c r="BM488" i="1"/>
  <c r="Z488" i="1"/>
  <c r="Y488" i="1"/>
  <c r="BN488" i="1" s="1"/>
  <c r="P488" i="1"/>
  <c r="BO487" i="1"/>
  <c r="BM487" i="1"/>
  <c r="Y487" i="1"/>
  <c r="P487" i="1"/>
  <c r="BO486" i="1"/>
  <c r="BM486" i="1"/>
  <c r="Y486" i="1"/>
  <c r="BP486" i="1" s="1"/>
  <c r="P486" i="1"/>
  <c r="BP485" i="1"/>
  <c r="BO485" i="1"/>
  <c r="BN485" i="1"/>
  <c r="BM485" i="1"/>
  <c r="Z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O467" i="1"/>
  <c r="BM467" i="1"/>
  <c r="Y467" i="1"/>
  <c r="BN467" i="1" s="1"/>
  <c r="P467" i="1"/>
  <c r="X465" i="1"/>
  <c r="X464" i="1"/>
  <c r="BO463" i="1"/>
  <c r="BM463" i="1"/>
  <c r="Y463" i="1"/>
  <c r="BP463" i="1" s="1"/>
  <c r="P463" i="1"/>
  <c r="BP462" i="1"/>
  <c r="BO462" i="1"/>
  <c r="BN462" i="1"/>
  <c r="BM462" i="1"/>
  <c r="Z462" i="1"/>
  <c r="Y462" i="1"/>
  <c r="P462" i="1"/>
  <c r="BO461" i="1"/>
  <c r="BM461" i="1"/>
  <c r="Z461" i="1"/>
  <c r="Y461" i="1"/>
  <c r="BN461" i="1" s="1"/>
  <c r="P461" i="1"/>
  <c r="BO460" i="1"/>
  <c r="BM460" i="1"/>
  <c r="Y460" i="1"/>
  <c r="P460" i="1"/>
  <c r="BO459" i="1"/>
  <c r="BM459" i="1"/>
  <c r="Y459" i="1"/>
  <c r="BP459" i="1" s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BN441" i="1" s="1"/>
  <c r="P441" i="1"/>
  <c r="X438" i="1"/>
  <c r="X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M430" i="1"/>
  <c r="Y430" i="1"/>
  <c r="P430" i="1"/>
  <c r="BO429" i="1"/>
  <c r="BM429" i="1"/>
  <c r="Y429" i="1"/>
  <c r="Y433" i="1" s="1"/>
  <c r="P429" i="1"/>
  <c r="X427" i="1"/>
  <c r="X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X421" i="1"/>
  <c r="X420" i="1"/>
  <c r="BP419" i="1"/>
  <c r="BO419" i="1"/>
  <c r="BN419" i="1"/>
  <c r="BM419" i="1"/>
  <c r="Z419" i="1"/>
  <c r="Y419" i="1"/>
  <c r="P419" i="1"/>
  <c r="BO418" i="1"/>
  <c r="BM418" i="1"/>
  <c r="Z418" i="1"/>
  <c r="Y418" i="1"/>
  <c r="BN418" i="1" s="1"/>
  <c r="P418" i="1"/>
  <c r="BO417" i="1"/>
  <c r="BM417" i="1"/>
  <c r="Y417" i="1"/>
  <c r="P417" i="1"/>
  <c r="BO416" i="1"/>
  <c r="BM416" i="1"/>
  <c r="Y416" i="1"/>
  <c r="BN416" i="1" s="1"/>
  <c r="P416" i="1"/>
  <c r="BO415" i="1"/>
  <c r="BM415" i="1"/>
  <c r="Y415" i="1"/>
  <c r="BP415" i="1" s="1"/>
  <c r="P415" i="1"/>
  <c r="BO414" i="1"/>
  <c r="BM414" i="1"/>
  <c r="Y414" i="1"/>
  <c r="P414" i="1"/>
  <c r="BO413" i="1"/>
  <c r="BM413" i="1"/>
  <c r="Y413" i="1"/>
  <c r="BN413" i="1" s="1"/>
  <c r="P413" i="1"/>
  <c r="BO412" i="1"/>
  <c r="BM412" i="1"/>
  <c r="Y412" i="1"/>
  <c r="BN412" i="1" s="1"/>
  <c r="P412" i="1"/>
  <c r="X408" i="1"/>
  <c r="X407" i="1"/>
  <c r="BO406" i="1"/>
  <c r="BM406" i="1"/>
  <c r="Y406" i="1"/>
  <c r="U551" i="1" s="1"/>
  <c r="P406" i="1"/>
  <c r="BO405" i="1"/>
  <c r="BM405" i="1"/>
  <c r="Y405" i="1"/>
  <c r="BP405" i="1" s="1"/>
  <c r="P405" i="1"/>
  <c r="BO404" i="1"/>
  <c r="BM404" i="1"/>
  <c r="Z404" i="1"/>
  <c r="Y404" i="1"/>
  <c r="BP404" i="1" s="1"/>
  <c r="P404" i="1"/>
  <c r="X401" i="1"/>
  <c r="X400" i="1"/>
  <c r="BO399" i="1"/>
  <c r="BM399" i="1"/>
  <c r="Z399" i="1"/>
  <c r="Y399" i="1"/>
  <c r="BN399" i="1" s="1"/>
  <c r="P399" i="1"/>
  <c r="BO398" i="1"/>
  <c r="BM398" i="1"/>
  <c r="Y398" i="1"/>
  <c r="BN398" i="1" s="1"/>
  <c r="P398" i="1"/>
  <c r="BO397" i="1"/>
  <c r="BM397" i="1"/>
  <c r="Y397" i="1"/>
  <c r="P397" i="1"/>
  <c r="X395" i="1"/>
  <c r="X394" i="1"/>
  <c r="BO393" i="1"/>
  <c r="BM393" i="1"/>
  <c r="Y393" i="1"/>
  <c r="Y394" i="1" s="1"/>
  <c r="P393" i="1"/>
  <c r="BP392" i="1"/>
  <c r="BO392" i="1"/>
  <c r="BN392" i="1"/>
  <c r="BM392" i="1"/>
  <c r="Z392" i="1"/>
  <c r="Y392" i="1"/>
  <c r="P392" i="1"/>
  <c r="BO391" i="1"/>
  <c r="BM391" i="1"/>
  <c r="Z391" i="1"/>
  <c r="Y391" i="1"/>
  <c r="BP391" i="1" s="1"/>
  <c r="P391" i="1"/>
  <c r="X389" i="1"/>
  <c r="X388" i="1"/>
  <c r="BO387" i="1"/>
  <c r="BM387" i="1"/>
  <c r="Z387" i="1"/>
  <c r="Y387" i="1"/>
  <c r="BN387" i="1" s="1"/>
  <c r="P387" i="1"/>
  <c r="BO386" i="1"/>
  <c r="BM386" i="1"/>
  <c r="Y386" i="1"/>
  <c r="BN386" i="1" s="1"/>
  <c r="P386" i="1"/>
  <c r="BO385" i="1"/>
  <c r="BM385" i="1"/>
  <c r="Y385" i="1"/>
  <c r="P385" i="1"/>
  <c r="BO384" i="1"/>
  <c r="BN384" i="1"/>
  <c r="BM384" i="1"/>
  <c r="Z384" i="1"/>
  <c r="Y384" i="1"/>
  <c r="BP384" i="1" s="1"/>
  <c r="P384" i="1"/>
  <c r="X382" i="1"/>
  <c r="X381" i="1"/>
  <c r="BO380" i="1"/>
  <c r="BM380" i="1"/>
  <c r="Y380" i="1"/>
  <c r="BP380" i="1" s="1"/>
  <c r="P380" i="1"/>
  <c r="BP379" i="1"/>
  <c r="BO379" i="1"/>
  <c r="BM379" i="1"/>
  <c r="Y379" i="1"/>
  <c r="P379" i="1"/>
  <c r="BO378" i="1"/>
  <c r="BM378" i="1"/>
  <c r="Y378" i="1"/>
  <c r="BN378" i="1" s="1"/>
  <c r="P378" i="1"/>
  <c r="X376" i="1"/>
  <c r="X375" i="1"/>
  <c r="BO374" i="1"/>
  <c r="BM374" i="1"/>
  <c r="Z374" i="1"/>
  <c r="Y374" i="1"/>
  <c r="BN374" i="1" s="1"/>
  <c r="P374" i="1"/>
  <c r="BO373" i="1"/>
  <c r="BM373" i="1"/>
  <c r="Y373" i="1"/>
  <c r="P373" i="1"/>
  <c r="BO372" i="1"/>
  <c r="BM372" i="1"/>
  <c r="Y372" i="1"/>
  <c r="BP372" i="1" s="1"/>
  <c r="P372" i="1"/>
  <c r="BO371" i="1"/>
  <c r="BM371" i="1"/>
  <c r="Y371" i="1"/>
  <c r="Z371" i="1" s="1"/>
  <c r="P371" i="1"/>
  <c r="X369" i="1"/>
  <c r="X368" i="1"/>
  <c r="BP367" i="1"/>
  <c r="BO367" i="1"/>
  <c r="BM367" i="1"/>
  <c r="Y367" i="1"/>
  <c r="P367" i="1"/>
  <c r="BO366" i="1"/>
  <c r="BM366" i="1"/>
  <c r="Y366" i="1"/>
  <c r="BN366" i="1" s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N363" i="1" s="1"/>
  <c r="P363" i="1"/>
  <c r="BO362" i="1"/>
  <c r="BM362" i="1"/>
  <c r="Y362" i="1"/>
  <c r="P362" i="1"/>
  <c r="BO361" i="1"/>
  <c r="BM361" i="1"/>
  <c r="Y361" i="1"/>
  <c r="Y368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N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N346" i="1" s="1"/>
  <c r="P346" i="1"/>
  <c r="X343" i="1"/>
  <c r="X342" i="1"/>
  <c r="BO341" i="1"/>
  <c r="BM341" i="1"/>
  <c r="Y341" i="1"/>
  <c r="Y342" i="1" s="1"/>
  <c r="P341" i="1"/>
  <c r="BP340" i="1"/>
  <c r="BO340" i="1"/>
  <c r="BN340" i="1"/>
  <c r="BM340" i="1"/>
  <c r="Z340" i="1"/>
  <c r="Y340" i="1"/>
  <c r="P340" i="1"/>
  <c r="X338" i="1"/>
  <c r="X337" i="1"/>
  <c r="BO336" i="1"/>
  <c r="BM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BN319" i="1" s="1"/>
  <c r="P319" i="1"/>
  <c r="BO318" i="1"/>
  <c r="BM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X313" i="1"/>
  <c r="X312" i="1"/>
  <c r="BO311" i="1"/>
  <c r="BM311" i="1"/>
  <c r="Y311" i="1"/>
  <c r="P311" i="1"/>
  <c r="BO310" i="1"/>
  <c r="BM310" i="1"/>
  <c r="Y310" i="1"/>
  <c r="BN310" i="1" s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O297" i="1"/>
  <c r="BM297" i="1"/>
  <c r="Z297" i="1"/>
  <c r="Y297" i="1"/>
  <c r="P297" i="1"/>
  <c r="BO296" i="1"/>
  <c r="BM296" i="1"/>
  <c r="Y296" i="1"/>
  <c r="BP296" i="1" s="1"/>
  <c r="P296" i="1"/>
  <c r="BO295" i="1"/>
  <c r="BM295" i="1"/>
  <c r="Y295" i="1"/>
  <c r="BP295" i="1" s="1"/>
  <c r="P295" i="1"/>
  <c r="BO294" i="1"/>
  <c r="BM294" i="1"/>
  <c r="Y294" i="1"/>
  <c r="BN294" i="1" s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BP291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BN285" i="1" s="1"/>
  <c r="P285" i="1"/>
  <c r="X283" i="1"/>
  <c r="X282" i="1"/>
  <c r="BO281" i="1"/>
  <c r="BM281" i="1"/>
  <c r="Y281" i="1"/>
  <c r="BN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N277" i="1" s="1"/>
  <c r="P277" i="1"/>
  <c r="BO276" i="1"/>
  <c r="BM276" i="1"/>
  <c r="Y276" i="1"/>
  <c r="BP276" i="1" s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N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BN255" i="1" s="1"/>
  <c r="P255" i="1"/>
  <c r="BO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BN244" i="1" s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BN238" i="1" s="1"/>
  <c r="P238" i="1"/>
  <c r="X236" i="1"/>
  <c r="X235" i="1"/>
  <c r="BO234" i="1"/>
  <c r="BM234" i="1"/>
  <c r="Y234" i="1"/>
  <c r="BN234" i="1" s="1"/>
  <c r="P234" i="1"/>
  <c r="BP233" i="1"/>
  <c r="BO233" i="1"/>
  <c r="BN233" i="1"/>
  <c r="BM233" i="1"/>
  <c r="Z233" i="1"/>
  <c r="Y233" i="1"/>
  <c r="P233" i="1"/>
  <c r="BO232" i="1"/>
  <c r="BM232" i="1"/>
  <c r="Y232" i="1"/>
  <c r="BN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N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N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N214" i="1" s="1"/>
  <c r="P214" i="1"/>
  <c r="BO213" i="1"/>
  <c r="BM213" i="1"/>
  <c r="Y213" i="1"/>
  <c r="Y227" i="1" s="1"/>
  <c r="P213" i="1"/>
  <c r="X211" i="1"/>
  <c r="X210" i="1"/>
  <c r="BO209" i="1"/>
  <c r="BM209" i="1"/>
  <c r="Y209" i="1"/>
  <c r="Y210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N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O198" i="1"/>
  <c r="BM198" i="1"/>
  <c r="Y198" i="1"/>
  <c r="BP198" i="1" s="1"/>
  <c r="P198" i="1"/>
  <c r="X194" i="1"/>
  <c r="X193" i="1"/>
  <c r="BO192" i="1"/>
  <c r="BM192" i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BN187" i="1" s="1"/>
  <c r="P187" i="1"/>
  <c r="X185" i="1"/>
  <c r="X184" i="1"/>
  <c r="BO183" i="1"/>
  <c r="BM183" i="1"/>
  <c r="Y183" i="1"/>
  <c r="BN183" i="1" s="1"/>
  <c r="P183" i="1"/>
  <c r="BO182" i="1"/>
  <c r="BM182" i="1"/>
  <c r="Y182" i="1"/>
  <c r="BP182" i="1" s="1"/>
  <c r="P182" i="1"/>
  <c r="BO181" i="1"/>
  <c r="BM181" i="1"/>
  <c r="Y181" i="1"/>
  <c r="Y184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N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N167" i="1" s="1"/>
  <c r="P167" i="1"/>
  <c r="BO166" i="1"/>
  <c r="BM166" i="1"/>
  <c r="Y166" i="1"/>
  <c r="Y178" i="1" s="1"/>
  <c r="P166" i="1"/>
  <c r="Y164" i="1"/>
  <c r="X164" i="1"/>
  <c r="Y163" i="1"/>
  <c r="X163" i="1"/>
  <c r="BP162" i="1"/>
  <c r="BO162" i="1"/>
  <c r="BN162" i="1"/>
  <c r="BM162" i="1"/>
  <c r="Z162" i="1"/>
  <c r="Z163" i="1" s="1"/>
  <c r="Y162" i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O156" i="1"/>
  <c r="BM156" i="1"/>
  <c r="Y156" i="1"/>
  <c r="BP156" i="1" s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N150" i="1" s="1"/>
  <c r="P150" i="1"/>
  <c r="BO149" i="1"/>
  <c r="BM149" i="1"/>
  <c r="Y149" i="1"/>
  <c r="BP149" i="1" s="1"/>
  <c r="P149" i="1"/>
  <c r="BO148" i="1"/>
  <c r="BM148" i="1"/>
  <c r="Y148" i="1"/>
  <c r="Y153" i="1" s="1"/>
  <c r="P148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N137" i="1" s="1"/>
  <c r="P137" i="1"/>
  <c r="X135" i="1"/>
  <c r="X134" i="1"/>
  <c r="BO133" i="1"/>
  <c r="BM133" i="1"/>
  <c r="Y133" i="1"/>
  <c r="BN133" i="1" s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P97" i="1"/>
  <c r="BO96" i="1"/>
  <c r="BM96" i="1"/>
  <c r="Y96" i="1"/>
  <c r="BP96" i="1" s="1"/>
  <c r="P96" i="1"/>
  <c r="BO95" i="1"/>
  <c r="BM95" i="1"/>
  <c r="Y95" i="1"/>
  <c r="Y99" i="1" s="1"/>
  <c r="P95" i="1"/>
  <c r="X93" i="1"/>
  <c r="X92" i="1"/>
  <c r="BO91" i="1"/>
  <c r="BM91" i="1"/>
  <c r="Y91" i="1"/>
  <c r="P91" i="1"/>
  <c r="BP90" i="1"/>
  <c r="BO90" i="1"/>
  <c r="BN90" i="1"/>
  <c r="BM90" i="1"/>
  <c r="Z90" i="1"/>
  <c r="Y90" i="1"/>
  <c r="P90" i="1"/>
  <c r="BO89" i="1"/>
  <c r="BM89" i="1"/>
  <c r="Y89" i="1"/>
  <c r="BN89" i="1" s="1"/>
  <c r="P89" i="1"/>
  <c r="BO88" i="1"/>
  <c r="BM88" i="1"/>
  <c r="Y88" i="1"/>
  <c r="BN88" i="1" s="1"/>
  <c r="P88" i="1"/>
  <c r="X85" i="1"/>
  <c r="X84" i="1"/>
  <c r="BO83" i="1"/>
  <c r="BM83" i="1"/>
  <c r="Y83" i="1"/>
  <c r="BN83" i="1" s="1"/>
  <c r="P83" i="1"/>
  <c r="BO82" i="1"/>
  <c r="BM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N71" i="1" s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Y47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X545" i="1" s="1"/>
  <c r="BO23" i="1"/>
  <c r="BM23" i="1"/>
  <c r="Y23" i="1"/>
  <c r="BP23" i="1" s="1"/>
  <c r="P23" i="1"/>
  <c r="BO22" i="1"/>
  <c r="X543" i="1" s="1"/>
  <c r="BM22" i="1"/>
  <c r="Y22" i="1"/>
  <c r="B551" i="1" s="1"/>
  <c r="P22" i="1"/>
  <c r="H10" i="1"/>
  <c r="A9" i="1"/>
  <c r="A10" i="1" s="1"/>
  <c r="D7" i="1"/>
  <c r="Q6" i="1"/>
  <c r="P2" i="1"/>
  <c r="Y85" i="1" l="1"/>
  <c r="Y145" i="1"/>
  <c r="Y159" i="1"/>
  <c r="BP318" i="1"/>
  <c r="BN318" i="1"/>
  <c r="Z318" i="1"/>
  <c r="BP332" i="1"/>
  <c r="BN332" i="1"/>
  <c r="Z332" i="1"/>
  <c r="BP362" i="1"/>
  <c r="BN362" i="1"/>
  <c r="Z362" i="1"/>
  <c r="BN380" i="1"/>
  <c r="BN393" i="1"/>
  <c r="BP414" i="1"/>
  <c r="BN414" i="1"/>
  <c r="Z414" i="1"/>
  <c r="BP431" i="1"/>
  <c r="BN431" i="1"/>
  <c r="Z431" i="1"/>
  <c r="BN451" i="1"/>
  <c r="Z451" i="1"/>
  <c r="BN459" i="1"/>
  <c r="BN478" i="1"/>
  <c r="Z478" i="1"/>
  <c r="BN486" i="1"/>
  <c r="Y500" i="1"/>
  <c r="BP497" i="1"/>
  <c r="BN497" i="1"/>
  <c r="Z497" i="1"/>
  <c r="BP504" i="1"/>
  <c r="BN504" i="1"/>
  <c r="Z504" i="1"/>
  <c r="BN506" i="1"/>
  <c r="BN509" i="1"/>
  <c r="BN524" i="1"/>
  <c r="BN532" i="1"/>
  <c r="Z23" i="1"/>
  <c r="BN23" i="1"/>
  <c r="X541" i="1"/>
  <c r="Y33" i="1"/>
  <c r="Z29" i="1"/>
  <c r="BN29" i="1"/>
  <c r="Z35" i="1"/>
  <c r="Z36" i="1" s="1"/>
  <c r="BN35" i="1"/>
  <c r="BP35" i="1"/>
  <c r="Y36" i="1"/>
  <c r="Z41" i="1"/>
  <c r="BN41" i="1"/>
  <c r="BP41" i="1"/>
  <c r="Z45" i="1"/>
  <c r="BN45" i="1"/>
  <c r="Z53" i="1"/>
  <c r="BN53" i="1"/>
  <c r="Y68" i="1"/>
  <c r="Z62" i="1"/>
  <c r="BN62" i="1"/>
  <c r="Z66" i="1"/>
  <c r="BN66" i="1"/>
  <c r="Y75" i="1"/>
  <c r="Z72" i="1"/>
  <c r="BN72" i="1"/>
  <c r="Z82" i="1"/>
  <c r="BN82" i="1"/>
  <c r="BP82" i="1"/>
  <c r="Z89" i="1"/>
  <c r="Z96" i="1"/>
  <c r="BN96" i="1"/>
  <c r="Z105" i="1"/>
  <c r="BN105" i="1"/>
  <c r="Z113" i="1"/>
  <c r="BN113" i="1"/>
  <c r="Z121" i="1"/>
  <c r="BN121" i="1"/>
  <c r="Z127" i="1"/>
  <c r="Z128" i="1" s="1"/>
  <c r="BN127" i="1"/>
  <c r="BP127" i="1"/>
  <c r="Y128" i="1"/>
  <c r="Z132" i="1"/>
  <c r="BN132" i="1"/>
  <c r="Z142" i="1"/>
  <c r="BN142" i="1"/>
  <c r="BP142" i="1"/>
  <c r="Z149" i="1"/>
  <c r="BN149" i="1"/>
  <c r="Z156" i="1"/>
  <c r="BN156" i="1"/>
  <c r="Z166" i="1"/>
  <c r="BN166" i="1"/>
  <c r="BP166" i="1"/>
  <c r="Z170" i="1"/>
  <c r="BN170" i="1"/>
  <c r="Z174" i="1"/>
  <c r="BN174" i="1"/>
  <c r="Z182" i="1"/>
  <c r="BN182" i="1"/>
  <c r="Z192" i="1"/>
  <c r="Z193" i="1" s="1"/>
  <c r="BN192" i="1"/>
  <c r="BP192" i="1"/>
  <c r="Y193" i="1"/>
  <c r="Z198" i="1"/>
  <c r="BN198" i="1"/>
  <c r="Z202" i="1"/>
  <c r="BN202" i="1"/>
  <c r="Z209" i="1"/>
  <c r="Z210" i="1" s="1"/>
  <c r="BN209" i="1"/>
  <c r="BP209" i="1"/>
  <c r="Z213" i="1"/>
  <c r="BN213" i="1"/>
  <c r="BP213" i="1"/>
  <c r="Z217" i="1"/>
  <c r="BN217" i="1"/>
  <c r="Z221" i="1"/>
  <c r="BN221" i="1"/>
  <c r="Z225" i="1"/>
  <c r="BN225" i="1"/>
  <c r="Y235" i="1"/>
  <c r="Z239" i="1"/>
  <c r="BN239" i="1"/>
  <c r="Y245" i="1"/>
  <c r="Z254" i="1"/>
  <c r="BN254" i="1"/>
  <c r="Z262" i="1"/>
  <c r="BN262" i="1"/>
  <c r="Z266" i="1"/>
  <c r="BN266" i="1"/>
  <c r="Y282" i="1"/>
  <c r="Z272" i="1"/>
  <c r="BN272" i="1"/>
  <c r="Z276" i="1"/>
  <c r="BN276" i="1"/>
  <c r="Z280" i="1"/>
  <c r="BN280" i="1"/>
  <c r="Z291" i="1"/>
  <c r="BN291" i="1"/>
  <c r="Y298" i="1"/>
  <c r="Z295" i="1"/>
  <c r="BN295" i="1"/>
  <c r="BP297" i="1"/>
  <c r="BN297" i="1"/>
  <c r="BP311" i="1"/>
  <c r="BN311" i="1"/>
  <c r="Z311" i="1"/>
  <c r="Y329" i="1"/>
  <c r="BP325" i="1"/>
  <c r="BN325" i="1"/>
  <c r="Z325" i="1"/>
  <c r="BP336" i="1"/>
  <c r="BN336" i="1"/>
  <c r="Z336" i="1"/>
  <c r="Y343" i="1"/>
  <c r="T551" i="1"/>
  <c r="BP354" i="1"/>
  <c r="BN354" i="1"/>
  <c r="Z354" i="1"/>
  <c r="BN367" i="1"/>
  <c r="Z367" i="1"/>
  <c r="BP371" i="1"/>
  <c r="BN372" i="1"/>
  <c r="BN379" i="1"/>
  <c r="Z379" i="1"/>
  <c r="BN406" i="1"/>
  <c r="Y426" i="1"/>
  <c r="BP423" i="1"/>
  <c r="BN423" i="1"/>
  <c r="Z423" i="1"/>
  <c r="BN430" i="1"/>
  <c r="Z430" i="1"/>
  <c r="BP435" i="1"/>
  <c r="BN435" i="1"/>
  <c r="Z435" i="1"/>
  <c r="Y437" i="1"/>
  <c r="BP451" i="1"/>
  <c r="BP452" i="1"/>
  <c r="BN452" i="1"/>
  <c r="Z452" i="1"/>
  <c r="BN463" i="1"/>
  <c r="BP478" i="1"/>
  <c r="BP479" i="1"/>
  <c r="BN479" i="1"/>
  <c r="Z479" i="1"/>
  <c r="BN490" i="1"/>
  <c r="BP519" i="1"/>
  <c r="Y521" i="1"/>
  <c r="Y520" i="1"/>
  <c r="BN519" i="1"/>
  <c r="Y530" i="1"/>
  <c r="Y529" i="1"/>
  <c r="BN528" i="1"/>
  <c r="Y313" i="1"/>
  <c r="Y322" i="1"/>
  <c r="Y328" i="1"/>
  <c r="Y337" i="1"/>
  <c r="Y389" i="1"/>
  <c r="BP387" i="1"/>
  <c r="BP399" i="1"/>
  <c r="BN405" i="1"/>
  <c r="BN415" i="1"/>
  <c r="BP418" i="1"/>
  <c r="BN424" i="1"/>
  <c r="Y438" i="1"/>
  <c r="BN436" i="1"/>
  <c r="X551" i="1"/>
  <c r="BP461" i="1"/>
  <c r="BP488" i="1"/>
  <c r="BP492" i="1"/>
  <c r="BN498" i="1"/>
  <c r="BN505" i="1"/>
  <c r="BN515" i="1"/>
  <c r="Y526" i="1"/>
  <c r="BN523" i="1"/>
  <c r="Y525" i="1"/>
  <c r="H9" i="1"/>
  <c r="F9" i="1"/>
  <c r="F10" i="1"/>
  <c r="Z22" i="1"/>
  <c r="Z24" i="1" s="1"/>
  <c r="BP22" i="1"/>
  <c r="Y25" i="1"/>
  <c r="BN28" i="1"/>
  <c r="Z30" i="1"/>
  <c r="BP30" i="1"/>
  <c r="BN42" i="1"/>
  <c r="Z44" i="1"/>
  <c r="BP44" i="1"/>
  <c r="BN52" i="1"/>
  <c r="Z54" i="1"/>
  <c r="BP54" i="1"/>
  <c r="Z59" i="1"/>
  <c r="BP59" i="1"/>
  <c r="BN61" i="1"/>
  <c r="Z63" i="1"/>
  <c r="BP63" i="1"/>
  <c r="BN65" i="1"/>
  <c r="Z71" i="1"/>
  <c r="Z74" i="1" s="1"/>
  <c r="BP71" i="1"/>
  <c r="BN73" i="1"/>
  <c r="Y74" i="1"/>
  <c r="BN77" i="1"/>
  <c r="Z83" i="1"/>
  <c r="Z84" i="1" s="1"/>
  <c r="BP83" i="1"/>
  <c r="Z88" i="1"/>
  <c r="BP88" i="1"/>
  <c r="Y117" i="1"/>
  <c r="BN112" i="1"/>
  <c r="Y118" i="1"/>
  <c r="BP112" i="1"/>
  <c r="Z112" i="1"/>
  <c r="X542" i="1"/>
  <c r="X544" i="1" s="1"/>
  <c r="Y24" i="1"/>
  <c r="Y32" i="1"/>
  <c r="Y46" i="1"/>
  <c r="Y56" i="1"/>
  <c r="Y93" i="1"/>
  <c r="BN108" i="1"/>
  <c r="BP108" i="1"/>
  <c r="Z108" i="1"/>
  <c r="Y125" i="1"/>
  <c r="BN120" i="1"/>
  <c r="BP120" i="1"/>
  <c r="Z120" i="1"/>
  <c r="Y124" i="1"/>
  <c r="J9" i="1"/>
  <c r="BN22" i="1"/>
  <c r="Z28" i="1"/>
  <c r="Z32" i="1" s="1"/>
  <c r="C551" i="1"/>
  <c r="Z42" i="1"/>
  <c r="Z46" i="1" s="1"/>
  <c r="D551" i="1"/>
  <c r="Z52" i="1"/>
  <c r="Z55" i="1" s="1"/>
  <c r="Y55" i="1"/>
  <c r="BN59" i="1"/>
  <c r="Z61" i="1"/>
  <c r="Z65" i="1"/>
  <c r="Z73" i="1"/>
  <c r="Z77" i="1"/>
  <c r="Z79" i="1" s="1"/>
  <c r="BP77" i="1"/>
  <c r="Y80" i="1"/>
  <c r="BP89" i="1"/>
  <c r="BP97" i="1"/>
  <c r="Z97" i="1"/>
  <c r="BN97" i="1"/>
  <c r="BP106" i="1"/>
  <c r="Z106" i="1"/>
  <c r="BN106" i="1"/>
  <c r="BN116" i="1"/>
  <c r="BP116" i="1"/>
  <c r="Z116" i="1"/>
  <c r="E551" i="1"/>
  <c r="Y67" i="1"/>
  <c r="F551" i="1"/>
  <c r="Y92" i="1"/>
  <c r="BN91" i="1"/>
  <c r="BP91" i="1"/>
  <c r="Z91" i="1"/>
  <c r="Y100" i="1"/>
  <c r="BN95" i="1"/>
  <c r="BP95" i="1"/>
  <c r="Z95" i="1"/>
  <c r="Z99" i="1" s="1"/>
  <c r="BN104" i="1"/>
  <c r="Y110" i="1"/>
  <c r="BP104" i="1"/>
  <c r="Z104" i="1"/>
  <c r="Y179" i="1"/>
  <c r="Y205" i="1"/>
  <c r="BP238" i="1"/>
  <c r="BP255" i="1"/>
  <c r="Y257" i="1"/>
  <c r="BP263" i="1"/>
  <c r="Z263" i="1"/>
  <c r="BN263" i="1"/>
  <c r="G551" i="1"/>
  <c r="BN114" i="1"/>
  <c r="BN122" i="1"/>
  <c r="H551" i="1"/>
  <c r="Z133" i="1"/>
  <c r="Z134" i="1" s="1"/>
  <c r="BP133" i="1"/>
  <c r="Z137" i="1"/>
  <c r="Z139" i="1" s="1"/>
  <c r="BP137" i="1"/>
  <c r="Y140" i="1"/>
  <c r="BN143" i="1"/>
  <c r="BN148" i="1"/>
  <c r="Z150" i="1"/>
  <c r="BP150" i="1"/>
  <c r="BN157" i="1"/>
  <c r="Z167" i="1"/>
  <c r="BP167" i="1"/>
  <c r="BN169" i="1"/>
  <c r="Z171" i="1"/>
  <c r="BP171" i="1"/>
  <c r="BN173" i="1"/>
  <c r="Z175" i="1"/>
  <c r="BP175" i="1"/>
  <c r="BN177" i="1"/>
  <c r="BN181" i="1"/>
  <c r="Z183" i="1"/>
  <c r="BP183" i="1"/>
  <c r="Z187" i="1"/>
  <c r="Z189" i="1" s="1"/>
  <c r="BP187" i="1"/>
  <c r="Y190" i="1"/>
  <c r="BN199" i="1"/>
  <c r="Z201" i="1"/>
  <c r="BP201" i="1"/>
  <c r="BN203" i="1"/>
  <c r="L551" i="1"/>
  <c r="Z214" i="1"/>
  <c r="BP214" i="1"/>
  <c r="BN216" i="1"/>
  <c r="Z218" i="1"/>
  <c r="BP218" i="1"/>
  <c r="BN220" i="1"/>
  <c r="Z222" i="1"/>
  <c r="BP222" i="1"/>
  <c r="BN224" i="1"/>
  <c r="Z226" i="1"/>
  <c r="BP226" i="1"/>
  <c r="Z230" i="1"/>
  <c r="BP230" i="1"/>
  <c r="Z238" i="1"/>
  <c r="BP240" i="1"/>
  <c r="Z240" i="1"/>
  <c r="Y242" i="1"/>
  <c r="M551" i="1"/>
  <c r="Y252" i="1"/>
  <c r="BP249" i="1"/>
  <c r="Z249" i="1"/>
  <c r="BN250" i="1"/>
  <c r="Y251" i="1"/>
  <c r="Y256" i="1"/>
  <c r="Z255" i="1"/>
  <c r="Z256" i="1" s="1"/>
  <c r="BN261" i="1"/>
  <c r="BP261" i="1"/>
  <c r="Z261" i="1"/>
  <c r="Y135" i="1"/>
  <c r="Y139" i="1"/>
  <c r="I551" i="1"/>
  <c r="Y152" i="1"/>
  <c r="Y185" i="1"/>
  <c r="Y189" i="1"/>
  <c r="Y228" i="1"/>
  <c r="BP232" i="1"/>
  <c r="Z232" i="1"/>
  <c r="BP234" i="1"/>
  <c r="Y236" i="1"/>
  <c r="Y241" i="1"/>
  <c r="BP259" i="1"/>
  <c r="Z259" i="1"/>
  <c r="Y267" i="1"/>
  <c r="Y268" i="1"/>
  <c r="BN259" i="1"/>
  <c r="Y109" i="1"/>
  <c r="Z114" i="1"/>
  <c r="Z122" i="1"/>
  <c r="Y134" i="1"/>
  <c r="Z143" i="1"/>
  <c r="Z144" i="1" s="1"/>
  <c r="Z148" i="1"/>
  <c r="Z152" i="1" s="1"/>
  <c r="BP148" i="1"/>
  <c r="J551" i="1"/>
  <c r="Z157" i="1"/>
  <c r="Y160" i="1"/>
  <c r="Z169" i="1"/>
  <c r="Z173" i="1"/>
  <c r="Z177" i="1"/>
  <c r="Z181" i="1"/>
  <c r="Z184" i="1" s="1"/>
  <c r="BP181" i="1"/>
  <c r="K551" i="1"/>
  <c r="Z199" i="1"/>
  <c r="Z203" i="1"/>
  <c r="Y206" i="1"/>
  <c r="Y211" i="1"/>
  <c r="Z216" i="1"/>
  <c r="Z220" i="1"/>
  <c r="Z224" i="1"/>
  <c r="BN230" i="1"/>
  <c r="Z234" i="1"/>
  <c r="BN240" i="1"/>
  <c r="BP244" i="1"/>
  <c r="Z244" i="1"/>
  <c r="Z245" i="1" s="1"/>
  <c r="Y246" i="1"/>
  <c r="BN249" i="1"/>
  <c r="Z250" i="1"/>
  <c r="BN265" i="1"/>
  <c r="BP265" i="1"/>
  <c r="Z265" i="1"/>
  <c r="BN271" i="1"/>
  <c r="Z273" i="1"/>
  <c r="BP273" i="1"/>
  <c r="BN275" i="1"/>
  <c r="Z277" i="1"/>
  <c r="BP277" i="1"/>
  <c r="BN279" i="1"/>
  <c r="Z281" i="1"/>
  <c r="BP281" i="1"/>
  <c r="Z285" i="1"/>
  <c r="Z287" i="1" s="1"/>
  <c r="BP285" i="1"/>
  <c r="Y288" i="1"/>
  <c r="BN292" i="1"/>
  <c r="Z294" i="1"/>
  <c r="BP294" i="1"/>
  <c r="BN296" i="1"/>
  <c r="Z310" i="1"/>
  <c r="Z312" i="1" s="1"/>
  <c r="BP310" i="1"/>
  <c r="BN317" i="1"/>
  <c r="Z319" i="1"/>
  <c r="BP319" i="1"/>
  <c r="BN326" i="1"/>
  <c r="R551" i="1"/>
  <c r="Z333" i="1"/>
  <c r="BP333" i="1"/>
  <c r="BN335" i="1"/>
  <c r="Z341" i="1"/>
  <c r="Z342" i="1" s="1"/>
  <c r="BP341" i="1"/>
  <c r="Z346" i="1"/>
  <c r="BP346" i="1"/>
  <c r="BN348" i="1"/>
  <c r="Y349" i="1"/>
  <c r="BN353" i="1"/>
  <c r="Z355" i="1"/>
  <c r="BP355" i="1"/>
  <c r="BN357" i="1"/>
  <c r="Y358" i="1"/>
  <c r="BN361" i="1"/>
  <c r="Z363" i="1"/>
  <c r="BP363" i="1"/>
  <c r="BN365" i="1"/>
  <c r="Z366" i="1"/>
  <c r="Y369" i="1"/>
  <c r="Z378" i="1"/>
  <c r="Y381" i="1"/>
  <c r="BN385" i="1"/>
  <c r="Z386" i="1"/>
  <c r="Y400" i="1"/>
  <c r="BP397" i="1"/>
  <c r="Z397" i="1"/>
  <c r="Y408" i="1"/>
  <c r="Y407" i="1"/>
  <c r="BP412" i="1"/>
  <c r="Z412" i="1"/>
  <c r="V551" i="1"/>
  <c r="Y420" i="1"/>
  <c r="BN417" i="1"/>
  <c r="BP417" i="1"/>
  <c r="Z417" i="1"/>
  <c r="BN425" i="1"/>
  <c r="BP425" i="1"/>
  <c r="Z425" i="1"/>
  <c r="Y283" i="1"/>
  <c r="Y287" i="1"/>
  <c r="Y312" i="1"/>
  <c r="Y321" i="1"/>
  <c r="BP373" i="1"/>
  <c r="Z373" i="1"/>
  <c r="BP398" i="1"/>
  <c r="BP413" i="1"/>
  <c r="BN450" i="1"/>
  <c r="Y453" i="1"/>
  <c r="BP450" i="1"/>
  <c r="Z450" i="1"/>
  <c r="Z453" i="1" s="1"/>
  <c r="BN460" i="1"/>
  <c r="BP460" i="1"/>
  <c r="Z460" i="1"/>
  <c r="BN477" i="1"/>
  <c r="Y480" i="1"/>
  <c r="BP477" i="1"/>
  <c r="Z477" i="1"/>
  <c r="Z480" i="1" s="1"/>
  <c r="BN487" i="1"/>
  <c r="BP487" i="1"/>
  <c r="Z487" i="1"/>
  <c r="Y495" i="1"/>
  <c r="AB551" i="1"/>
  <c r="Y539" i="1"/>
  <c r="BN538" i="1"/>
  <c r="Y540" i="1"/>
  <c r="BP538" i="1"/>
  <c r="Z538" i="1"/>
  <c r="Z539" i="1" s="1"/>
  <c r="Q551" i="1"/>
  <c r="Z271" i="1"/>
  <c r="Z275" i="1"/>
  <c r="Z279" i="1"/>
  <c r="O551" i="1"/>
  <c r="Z292" i="1"/>
  <c r="BP292" i="1"/>
  <c r="Z296" i="1"/>
  <c r="Y299" i="1"/>
  <c r="P551" i="1"/>
  <c r="Z317" i="1"/>
  <c r="Z321" i="1" s="1"/>
  <c r="Z326" i="1"/>
  <c r="Z328" i="1" s="1"/>
  <c r="BP326" i="1"/>
  <c r="BN333" i="1"/>
  <c r="Z335" i="1"/>
  <c r="Y338" i="1"/>
  <c r="BN341" i="1"/>
  <c r="Z348" i="1"/>
  <c r="Z353" i="1"/>
  <c r="BP353" i="1"/>
  <c r="Z357" i="1"/>
  <c r="Z361" i="1"/>
  <c r="BP361" i="1"/>
  <c r="Z365" i="1"/>
  <c r="Y375" i="1"/>
  <c r="BP374" i="1"/>
  <c r="Y382" i="1"/>
  <c r="BP385" i="1"/>
  <c r="Z385" i="1"/>
  <c r="Z388" i="1" s="1"/>
  <c r="Y395" i="1"/>
  <c r="BN397" i="1"/>
  <c r="Z398" i="1"/>
  <c r="Y401" i="1"/>
  <c r="Z413" i="1"/>
  <c r="Y421" i="1"/>
  <c r="Y443" i="1"/>
  <c r="Y447" i="1"/>
  <c r="BN446" i="1"/>
  <c r="Y448" i="1"/>
  <c r="BP446" i="1"/>
  <c r="Z446" i="1"/>
  <c r="Z447" i="1" s="1"/>
  <c r="Y469" i="1"/>
  <c r="Y474" i="1"/>
  <c r="BN473" i="1"/>
  <c r="Y475" i="1"/>
  <c r="BP473" i="1"/>
  <c r="Z473" i="1"/>
  <c r="Z474" i="1" s="1"/>
  <c r="BN503" i="1"/>
  <c r="Y510" i="1"/>
  <c r="BP503" i="1"/>
  <c r="Z503" i="1"/>
  <c r="BN533" i="1"/>
  <c r="BP533" i="1"/>
  <c r="Z533" i="1"/>
  <c r="S551" i="1"/>
  <c r="Y350" i="1"/>
  <c r="Y359" i="1"/>
  <c r="BP366" i="1"/>
  <c r="BN373" i="1"/>
  <c r="BP378" i="1"/>
  <c r="BP386" i="1"/>
  <c r="BP393" i="1"/>
  <c r="Z393" i="1"/>
  <c r="Z394" i="1" s="1"/>
  <c r="BP406" i="1"/>
  <c r="Z406" i="1"/>
  <c r="BP416" i="1"/>
  <c r="Z416" i="1"/>
  <c r="BN429" i="1"/>
  <c r="Y432" i="1"/>
  <c r="BP429" i="1"/>
  <c r="Z429" i="1"/>
  <c r="Z432" i="1" s="1"/>
  <c r="BN442" i="1"/>
  <c r="BP442" i="1"/>
  <c r="Z442" i="1"/>
  <c r="Y454" i="1"/>
  <c r="Y464" i="1"/>
  <c r="BN468" i="1"/>
  <c r="BP468" i="1"/>
  <c r="Z468" i="1"/>
  <c r="Y481" i="1"/>
  <c r="BN491" i="1"/>
  <c r="BP491" i="1"/>
  <c r="Z491" i="1"/>
  <c r="BN499" i="1"/>
  <c r="BP499" i="1"/>
  <c r="Z499" i="1"/>
  <c r="BN507" i="1"/>
  <c r="BP507" i="1"/>
  <c r="Z507" i="1"/>
  <c r="Y551" i="1"/>
  <c r="Y494" i="1"/>
  <c r="Z551" i="1"/>
  <c r="BN371" i="1"/>
  <c r="Y376" i="1"/>
  <c r="Y388" i="1"/>
  <c r="BN391" i="1"/>
  <c r="BN404" i="1"/>
  <c r="Z424" i="1"/>
  <c r="Y427" i="1"/>
  <c r="Z436" i="1"/>
  <c r="Z437" i="1" s="1"/>
  <c r="BP436" i="1"/>
  <c r="Z441" i="1"/>
  <c r="Z443" i="1" s="1"/>
  <c r="BP441" i="1"/>
  <c r="Y444" i="1"/>
  <c r="Z459" i="1"/>
  <c r="Z463" i="1"/>
  <c r="Z467" i="1"/>
  <c r="Z469" i="1" s="1"/>
  <c r="BP467" i="1"/>
  <c r="Y470" i="1"/>
  <c r="Z486" i="1"/>
  <c r="Z490" i="1"/>
  <c r="Z498" i="1"/>
  <c r="Y501" i="1"/>
  <c r="Z506" i="1"/>
  <c r="Z524" i="1"/>
  <c r="Z528" i="1"/>
  <c r="Z529" i="1" s="1"/>
  <c r="BP528" i="1"/>
  <c r="Z532" i="1"/>
  <c r="Z534" i="1" s="1"/>
  <c r="BP532" i="1"/>
  <c r="Y535" i="1"/>
  <c r="W551" i="1"/>
  <c r="AA551" i="1"/>
  <c r="Z372" i="1"/>
  <c r="Z375" i="1" s="1"/>
  <c r="Z380" i="1"/>
  <c r="Z405" i="1"/>
  <c r="Z407" i="1" s="1"/>
  <c r="Z415" i="1"/>
  <c r="Y465" i="1"/>
  <c r="Z505" i="1"/>
  <c r="Z509" i="1"/>
  <c r="Z515" i="1"/>
  <c r="Z516" i="1" s="1"/>
  <c r="Z519" i="1"/>
  <c r="Z520" i="1" s="1"/>
  <c r="Z523" i="1"/>
  <c r="BP523" i="1"/>
  <c r="Z358" i="1" l="1"/>
  <c r="Z337" i="1"/>
  <c r="Z227" i="1"/>
  <c r="Z178" i="1"/>
  <c r="Z494" i="1"/>
  <c r="Z426" i="1"/>
  <c r="Z298" i="1"/>
  <c r="Z282" i="1"/>
  <c r="Z205" i="1"/>
  <c r="Z159" i="1"/>
  <c r="Z109" i="1"/>
  <c r="Z525" i="1"/>
  <c r="Z500" i="1"/>
  <c r="Z349" i="1"/>
  <c r="Z241" i="1"/>
  <c r="Y541" i="1"/>
  <c r="Z510" i="1"/>
  <c r="Z381" i="1"/>
  <c r="Z251" i="1"/>
  <c r="Y545" i="1"/>
  <c r="Z92" i="1"/>
  <c r="Y543" i="1"/>
  <c r="Z235" i="1"/>
  <c r="Z124" i="1"/>
  <c r="Z67" i="1"/>
  <c r="Z464" i="1"/>
  <c r="Z368" i="1"/>
  <c r="Z420" i="1"/>
  <c r="Z400" i="1"/>
  <c r="Z267" i="1"/>
  <c r="Y542" i="1"/>
  <c r="Y544" i="1" s="1"/>
  <c r="Z117" i="1"/>
  <c r="Z546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<sst xmlns="http://schemas.openxmlformats.org/spreadsheetml/2006/main" count="2450" uniqueCount="890">
  <si>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</si>
  <si>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</si>
  <si>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</si>
  <si>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</si>
  <si>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</si>
  <si>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</si>
  <si>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</si>
  <si>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</si>
  <si>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</si>
  <si>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</si>
  <si>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</si>
  <si>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</si>
  <si>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</si>
  <si>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</si>
  <si>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</si>
  <si>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</si>
  <si>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</si>
  <si>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</si>
  <si>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</si>
  <si>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</si>
  <si>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</si>
  <si>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</si>
  <si>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</si>
  <si>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</si>
  <si>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</si>
  <si>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</si>
  <si>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</si>
  <si>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</si>
  <si>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</si>
  <si>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</si>
  <si>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</si>
  <si>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</si>
  <si>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</si>
  <si>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</si>
  <si>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</si>
  <si>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</si>
  <si>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</si>
  <si>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</si>
  <si>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</si>
  <si>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</si>
  <si>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</si>
  <si>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</si>
  <si>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</si>
  <si>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</si>
  <si>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</si>
  <si>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</si>
  <si>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</si>
  <si>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</si>
  <si>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</si>
  <si>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</si>
  <si>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</si>
  <si>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</si>
  <si>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</si>
  <si>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</si>
  <si>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</si>
  <si>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</si>
  <si>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</si>
  <si>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</si>
  <si>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</si>
  <si>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</si>
  <si>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</si>
  <si>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</si>
  <si>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</si>
  <si>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</si>
  <si>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</si>
  <si>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</si>
  <si>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</si>
  <si>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</si>
  <si>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</si>
  <si>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</si>
  <si>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</si>
  <si>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</si>
  <si>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</si>
  <si>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</si>
  <si>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</si>
  <si>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</si>
  <si>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</si>
  <si>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</si>
  <si>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</si>
  <si>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</si>
  <si>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</si>
  <si>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</si>
  <si>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</si>
  <si>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</si>
  <si>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</si>
  <si>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</si>
  <si>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</si>
  <si>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</si>
  <si>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</si>
  <si>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</si>
  <si>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</si>
  <si>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</si>
  <si>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</si>
  <si>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</si>
  <si>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</si>
  <si>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</si>
  <si>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</si>
  <si>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</si>
  <si>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</si>
  <si>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</si>
  <si>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</si>
  <si>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</si>
  <si>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</si>
  <si>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</si>
  <si>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</si>
  <si>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</si>
  <si>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</si>
  <si>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</si>
  <si>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</si>
  <si>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</si>
  <si>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</si>
  <si>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</si>
  <si>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</si>
  <si>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</si>
  <si>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</si>
  <si>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</si>
  <si>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</si>
  <si>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</si>
  <si>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</si>
  <si>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</si>
  <si>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</si>
  <si>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</si>
  <si>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</si>
  <si>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</si>
  <si>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</si>
  <si>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</si>
  <si>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</si>
  <si>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</si>
  <si>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</si>
  <si>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</si>
  <si>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</si>
  <si>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</si>
  <si>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</si>
  <si>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</si>
  <si>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</si>
  <si>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</si>
  <si>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</si>
  <si>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</si>
  <si>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</si>
  <si>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</si>
  <si>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</si>
  <si>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</si>
  <si>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</si>
  <si>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</si>
  <si>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</si>
  <si>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</si>
  <si>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</si>
  <si>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</si>
  <si>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</si>
  <si>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</si>
  <si>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</si>
  <si>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</si>
  <si>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</si>
  <si>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</si>
  <si>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</si>
  <si>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</si>
  <si>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</si>
  <si>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</si>
  <si>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</si>
  <si>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</si>
  <si>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</si>
  <si>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</si>
  <si>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</si>
  <si>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</si>
  <si>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</si>
  <si>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</si>
  <si>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</si>
  <si>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</si>
  <si>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</si>
  <si>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</si>
  <si>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</si>
  <si>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</si>
  <si>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</si>
  <si>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</si>
  <si>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</si>
  <si>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</si>
  <si>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</si>
  <si>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</si>
  <si>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</si>
  <si>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</si>
  <si>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</si>
  <si>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</si>
  <si>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</si>
  <si>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</si>
  <si>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</si>
  <si>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</si>
  <si>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</si>
  <si>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</si>
  <si>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</si>
  <si>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</si>
  <si>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</si>
  <si>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</si>
  <si>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</si>
  <si>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</si>
  <si>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</si>
  <si>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</si>
  <si>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</si>
  <si>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</si>
  <si>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</si>
  <si>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</si>
  <si>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</si>
  <si>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</si>
  <si>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</si>
  <si>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</si>
  <si>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</si>
  <si>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</si>
  <si>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</si>
  <si>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</si>
  <si>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</si>
  <si>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</si>
  <si>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</si>
  <si>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</si>
  <si>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</si>
  <si>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</si>
  <si>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</si>
  <si>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</si>
  <si>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</si>
  <si>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</si>
  <si>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</si>
  <si>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</si>
  <si>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</si>
  <si>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</si>
  <si>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</si>
  <si>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</si>
  <si>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</si>
  <si>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</si>
  <si>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</si>
  <si>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</si>
  <si>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</si>
  <si>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</si>
  <si>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</si>
  <si>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</si>
  <si>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</si>
  <si>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</si>
  <si>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</si>
  <si>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</si>
  <si>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</si>
  <si>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</si>
  <si>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</si>
  <si>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</si>
  <si>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</si>
  <si>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</si>
  <si>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</si>
  <si>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</si>
  <si>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</si>
  <si>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</si>
  <si>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</si>
  <si>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</si>
  <si>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</si>
  <si>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</si>
  <si>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</si>
  <si>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</si>
  <si>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</si>
  <si>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</si>
  <si>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</si>
  <si>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</si>
  <si>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</si>
  <si>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</si>
  <si>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</si>
  <si>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</si>
  <si>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</si>
  <si>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</si>
  <si>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</si>
  <si>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</si>
  <si>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</si>
  <si>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</si>
  <si>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</si>
  <si>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</si>
  <si>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</si>
  <si>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</si>
  <si>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</si>
  <si>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</si>
  <si>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</si>
  <si>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</si>
  <si>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</si>
  <si>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</si>
  <si>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</si>
  <si>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</si>
  <si>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</si>
  <si>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</si>
  <si>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</si>
  <si>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</si>
  <si>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</si>
  <si>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</si>
  <si>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</si>
  <si>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</si>
  <si>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</si>
  <si>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</si>
  <si>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</si>
  <si>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</si>
  <si>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</si>
  <si>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</si>
  <si>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</si>
  <si>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</si>
  <si>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</si>
  <si>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</si>
  <si>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</si>
  <si>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</si>
  <si>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</si>
  <si>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</si>
  <si>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</si>
  <si>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</si>
  <si>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</si>
  <si>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</si>
  <si>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</si>
  <si>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</si>
  <si>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</si>
  <si>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</si>
  <si>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</si>
  <si>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</si>
  <si>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</si>
  <si>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</si>
  <si>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</si>
  <si>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</si>
  <si>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</si>
  <si>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</si>
  <si>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</si>
  <si>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</si>
  <si>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</si>
  <si>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</si>
  <si>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</si>
  <si>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</si>
  <si>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</si>
  <si>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</si>
  <si>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</si>
  <si>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</si>
  <si>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</si>
  <si>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</si>
  <si>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</si>
  <si>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</si>
  <si>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</si>
  <si>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</si>
  <si>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</si>
  <si>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</si>
  <si>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</si>
  <si>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</si>
  <si>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</si>
  <si>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</si>
  <si>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</si>
  <si>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</si>
  <si>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</si>
  <si>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</si>
  <si>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</si>
  <si>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</si>
  <si>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</si>
  <si>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</si>
  <si>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</si>
  <si>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</si>
  <si>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</si>
  <si>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</si>
  <si>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</si>
  <si>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</si>
  <si>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</si>
  <si>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</si>
  <si>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</si>
  <si>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</si>
  <si>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</si>
  <si>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</si>
  <si>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</si>
  <si>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</si>
  <si>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</si>
  <si>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</si>
  <si>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</si>
  <si>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</si>
  <si>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</si>
  <si>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</si>
  <si>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</si>
  <si>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</si>
  <si>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</si>
  <si>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</si>
  <si>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</si>
  <si>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</si>
  <si>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</si>
  <si>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</si>
  <si>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</si>
  <si>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</si>
  <si>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</si>
  <si>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</si>
  <si>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</si>
  <si>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</si>
  <si>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</si>
  <si>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</si>
  <si>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</si>
  <si>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</si>
  <si>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</si>
  <si>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</si>
  <si>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</si>
  <si>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</si>
  <si>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</si>
  <si>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</si>
  <si>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</si>
  <si>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</si>
  <si>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</si>
  <si>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</si>
  <si>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</si>
  <si>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</si>
  <si>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</si>
  <si>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</si>
  <si>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</si>
  <si>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</si>
  <si>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</si>
  <si>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</si>
  <si>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</si>
  <si>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</si>
  <si>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</si>
  <si>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</si>
  <si>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</si>
  <si>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</si>
  <si>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</si>
  <si>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</si>
  <si>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</si>
  <si>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</si>
  <si>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</si>
  <si>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</si>
  <si>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</si>
  <si>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</si>
  <si>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</si>
  <si>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</si>
  <si>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</si>
  <si>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</si>
  <si>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</si>
  <si>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</si>
  <si>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</si>
  <si>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</si>
  <si>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</si>
  <si>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</si>
  <si>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</si>
  <si>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</si>
  <si>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</si>
  <si>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</si>
  <si>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</si>
  <si>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</si>
  <si>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</si>
  <si>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</si>
  <si>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</si>
  <si>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</si>
  <si>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</si>
  <si>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</si>
  <si>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</si>
  <si>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</si>
  <si>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</si>
  <si>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</si>
  <si>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</si>
  <si>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</si>
  <si>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</si>
  <si>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</si>
  <si>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</si>
  <si>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</si>
  <si>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</si>
  <si>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</si>
  <si>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</si>
  <si>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</si>
  <si>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</si>
  <si>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</si>
  <si>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</si>
  <si>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</si>
  <si>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</si>
  <si>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</si>
  <si>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</si>
  <si>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</si>
  <si>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</si>
  <si>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</si>
  <si>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</si>
  <si>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</si>
  <si>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</si>
  <si>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</si>
  <si>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</si>
  <si>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</si>
  <si>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</si>
  <si>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</si>
  <si>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</si>
  <si>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</si>
  <si>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</si>
  <si>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</si>
  <si>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</si>
  <si>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</si>
  <si>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</si>
  <si>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</si>
  <si>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</si>
  <si>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</si>
  <si>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</si>
  <si>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</si>
  <si>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</si>
  <si>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</si>
  <si>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</si>
  <si>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</si>
  <si>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</si>
  <si>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</si>
  <si>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</si>
  <si>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</si>
  <si>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</si>
  <si>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</si>
  <si>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</si>
  <si>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</si>
  <si>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</si>
  <si>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</si>
  <si>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</si>
  <si>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</si>
  <si>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</si>
  <si>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</si>
  <si>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</si>
  <si>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</si>
  <si>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</si>
  <si>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</si>
  <si>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</si>
  <si>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</si>
  <si>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</si>
  <si>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</si>
  <si>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</si>
  <si>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</si>
  <si>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</si>
  <si>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</si>
  <si>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</si>
  <si>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</si>
  <si>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</si>
  <si>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</si>
  <si>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</si>
  <si>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</si>
  <si>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</si>
  <si>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</si>
  <si>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</si>
  <si>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</si>
  <si>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</si>
  <si>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</si>
  <si>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</si>
  <si>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</si>
  <si>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</si>
  <si>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</si>
  <si>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</si>
  <si>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</si>
  <si>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</si>
  <si>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</si>
  <si>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</si>
  <si>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</si>
  <si>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</si>
  <si>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</si>
  <si>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</si>
  <si>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</si>
  <si>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</si>
  <si>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</si>
  <si>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</si>
  <si>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</si>
  <si>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</si>
  <si>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</si>
  <si>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</si>
  <si>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</si>
  <si>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</si>
  <si>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</si>
  <si>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</si>
  <si>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</si>
  <si>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</si>
  <si>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</si>
  <si>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</si>
  <si>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</si>
  <si>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</si>
  <si>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</si>
  <si>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</si>
  <si>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</si>
  <si>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</si>
  <si>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</si>
  <si>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</si>
  <si>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</si>
  <si>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</si>
  <si>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</si>
  <si>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</si>
  <si>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</si>
  <si>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</si>
  <si>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</si>
  <si>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</si>
  <si>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</si>
  <si>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</si>
  <si>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</si>
  <si>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</si>
  <si>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</si>
  <si>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</si>
  <si>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</si>
  <si>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</si>
  <si>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</si>
  <si>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</si>
  <si>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</si>
  <si>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</si>
  <si>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</si>
  <si>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</si>
  <si>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</si>
  <si>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</si>
  <si>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</si>
  <si>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</si>
  <si>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</si>
  <si>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</si>
  <si>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</si>
  <si>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</si>
  <si>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</si>
  <si>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</si>
  <si>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</si>
  <si>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</si>
  <si>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</si>
  <si>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</si>
  <si>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</si>
  <si>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</si>
  <si>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</si>
  <si>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</si>
  <si>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</si>
  <si>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</si>
  <si>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</si>
  <si>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</si>
  <si>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</si>
  <si>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</si>
  <si>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</si>
  <si>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</si>
  <si>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</si>
  <si>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</si>
  <si>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</si>
  <si>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</si>
  <si>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</si>
  <si>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</si>
  <si>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</si>
  <si>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</si>
  <si>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</si>
  <si>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</si>
  <si>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</si>
  <si>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</si>
  <si>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</si>
  <si>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</si>
  <si>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</si>
  <si>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</si>
  <si>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</si>
  <si>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</si>
  <si>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</si>
  <si>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</si>
  <si>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</si>
  <si>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</si>
  <si>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</si>
  <si>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</si>
  <si>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</si>
  <si>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</si>
  <si>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</si>
  <si>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</si>
  <si>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</si>
  <si>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</si>
  <si>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</si>
  <si>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</si>
  <si>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</si>
  <si>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</si>
  <si>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</si>
  <si>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</si>
  <si>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</si>
  <si>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</si>
  <si>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</si>
  <si>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</si>
  <si>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</si>
  <si>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</si>
  <si>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</si>
  <si>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</si>
  <si>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</si>
  <si>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</si>
  <si>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</si>
  <si>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</si>
  <si>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</si>
  <si>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</si>
  <si>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</si>
  <si>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</si>
  <si>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</si>
  <si>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</si>
  <si>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</si>
  <si>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</si>
  <si>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</si>
  <si>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</si>
  <si>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</si>
  <si>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</si>
  <si>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</si>
  <si>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</si>
  <si>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</si>
  <si>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</si>
  <si>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</si>
  <si>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</si>
  <si>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</si>
  <si>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</si>
  <si>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</si>
  <si>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</si>
  <si>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</si>
  <si>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</si>
  <si>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</si>
  <si>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</si>
  <si>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</si>
  <si>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</si>
  <si>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</si>
  <si>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</si>
  <si>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</si>
  <si>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</si>
  <si>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</si>
  <si>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</si>
  <si>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</si>
  <si>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</si>
  <si>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</si>
  <si>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</si>
  <si>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</si>
  <si>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</si>
  <si>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</si>
  <si>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</si>
  <si>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</si>
  <si>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</si>
  <si>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</si>
  <si>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</si>
  <si>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</si>
  <si>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</si>
  <si>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</si>
  <si>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</si>
  <si>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</si>
  <si>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</si>
  <si>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</si>
  <si>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</si>
  <si>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</si>
  <si>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</si>
  <si>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</si>
  <si>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</si>
  <si>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</si>
  <si>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</si>
  <si>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</si>
  <si>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</si>
  <si>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</si>
  <si>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</si>
  <si>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</si>
  <si>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</si>
  <si>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</si>
  <si>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</si>
  <si>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</si>
  <si>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</si>
  <si>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</si>
  <si>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</si>
  <si>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</si>
  <si>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</si>
  <si>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</si>
  <si>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</si>
  <si>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</si>
  <si>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</si>
  <si>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</si>
  <si>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</si>
  <si>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</si>
  <si>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</si>
  <si>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</si>
  <si>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</si>
  <si>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</si>
  <si>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</si>
  <si>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</si>
  <si>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</si>
  <si>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</si>
  <si>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</si>
  <si>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</si>
  <si>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</si>
  <si>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</si>
  <si>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</si>
  <si>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</si>
  <si>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</si>
  <si>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</si>
  <si>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</si>
  <si>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</si>
  <si>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</si>
  <si>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</si>
  <si>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</si>
  <si>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</si>
  <si>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</si>
  <si>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</si>
  <si>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</si>
  <si>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</si>
  <si>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</si>
  <si>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</si>
  <si>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</si>
  <si>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</si>
  <si>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</si>
  <si>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</si>
  <si>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</si>
  <si>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</si>
  <si>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</si>
  <si>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</si>
  <si>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</si>
  <si>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</si>
  <si>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</si>
  <si>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</si>
  <si>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</si>
  <si>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</si>
  <si>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</si>
  <si>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</si>
  <si>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</si>
  <si>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</si>
  <si>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</si>
  <si>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</si>
  <si>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</si>
  <si>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</si>
  <si>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</si>
  <si>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</si>
  <si>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</si>
  <si>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</si>
  <si>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</si>
  <si>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</si>
  <si>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</si>
  <si>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</si>
  <si>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</si>
  <si>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</si>
  <si>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</si>
  <si>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</si>
  <si>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</si>
  <si>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</si>
  <si>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</si>
  <si>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</si>
  <si>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</si>
  <si>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</si>
  <si>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</si>
  <si>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</si>
  <si>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</si>
  <si>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</si>
  <si>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</si>
  <si>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</si>
  <si>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</si>
  <si>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</si>
  <si>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</si>
  <si>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</si>
  <si>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</si>
  <si>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</si>
  <si>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</si>
  <si>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</si>
  <si>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</si>
  <si>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</si>
  <si>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</si>
  <si>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</si>
  <si>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</si>
  <si>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</si>
  <si>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</si>
  <si>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</si>
  <si>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</si>
  <si>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</si>
  <si>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</si>
  <si>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</si>
  <si>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</si>
  <si>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</si>
  <si>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</si>
  <si>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</si>
  <si>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</si>
  <si>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</si>
  <si>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</si>
  <si>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</si>
  <si>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</si>
  <si>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</si>
  <si>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</si>
  <si>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</si>
  <si>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</si>
  <si>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</si>
  <si>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</si>
  <si>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</si>
  <si>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</si>
  <si>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</si>
  <si>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</si>
  <si>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</si>
  <si>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</si>
  <si>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</si>
  <si>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</si>
  <si>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</si>
  <si>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</si>
  <si>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</si>
  <si>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</si>
  <si>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</si>
  <si>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</si>
  <si>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</si>
  <si>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</si>
  <si>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</si>
  <si>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</si>
  <si>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</si>
  <si>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</si>
  <si>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</si>
  <si>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</si>
  <si>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</si>
  <si>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</si>
  <si>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</si>
  <si>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</si>
  <si>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</si>
  <si>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</si>
  <si>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</si>
  <si>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</si>
  <si>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</si>
  <si>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</si>
  <si>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</si>
  <si>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</si>
  <si>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</si>
  <si>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</si>
  <si>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</si>
  <si>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</si>
  <si>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</si>
  <si>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</si>
  <si>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</si>
  <si>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5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</si>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</sst>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Z13" sqref="Z13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912" t="s">
        <v>0</v>
      </c>
      <c r="E1" s="648"/>
      <c r="F1" s="648"/>
      <c r="G1" s="12" t="s">
        <v>1</v>
      </c>
      <c r="H1" s="912" t="s">
        <v>2</v>
      </c>
      <c r="I1" s="648"/>
      <c r="J1" s="648"/>
      <c r="K1" s="648"/>
      <c r="L1" s="648"/>
      <c r="M1" s="648"/>
      <c r="N1" s="648"/>
      <c r="O1" s="648"/>
      <c r="P1" s="648"/>
      <c r="Q1" s="648"/>
      <c r="R1" s="955" t="s">
        <v>3</v>
      </c>
      <c r="S1" s="648"/>
      <c r="T1" s="64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9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9"/>
      <c r="Q3" s="629"/>
      <c r="R3" s="629"/>
      <c r="S3" s="629"/>
      <c r="T3" s="629"/>
      <c r="U3" s="629"/>
      <c r="V3" s="629"/>
      <c r="W3" s="629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864" t="s">
        <v>8</v>
      </c>
      <c r="B5" s="645"/>
      <c r="C5" s="646"/>
      <c r="D5" s="753"/>
      <c r="E5" s="755"/>
      <c r="F5" s="689" t="s">
        <v>9</v>
      </c>
      <c r="G5" s="646"/>
      <c r="H5" s="753" t="s">
        <v>888</v>
      </c>
      <c r="I5" s="754"/>
      <c r="J5" s="754"/>
      <c r="K5" s="754"/>
      <c r="L5" s="754"/>
      <c r="M5" s="755"/>
      <c r="N5" s="58"/>
      <c r="P5" s="24" t="s">
        <v>10</v>
      </c>
      <c r="Q5" s="666">
        <v>46223</v>
      </c>
      <c r="R5" s="667"/>
      <c r="T5" s="823" t="s">
        <v>11</v>
      </c>
      <c r="U5" s="824"/>
      <c r="V5" s="825" t="s">
        <v>12</v>
      </c>
      <c r="W5" s="667"/>
      <c r="AB5" s="51"/>
      <c r="AC5" s="51"/>
      <c r="AD5" s="51"/>
      <c r="AE5" s="51"/>
    </row>
    <row r="6" spans="1:32" s="609" customFormat="1" ht="24" customHeight="1" x14ac:dyDescent="0.2">
      <c r="A6" s="864" t="s">
        <v>13</v>
      </c>
      <c r="B6" s="645"/>
      <c r="C6" s="646"/>
      <c r="D6" s="759" t="s">
        <v>861</v>
      </c>
      <c r="E6" s="760"/>
      <c r="F6" s="760"/>
      <c r="G6" s="760"/>
      <c r="H6" s="760"/>
      <c r="I6" s="760"/>
      <c r="J6" s="760"/>
      <c r="K6" s="760"/>
      <c r="L6" s="760"/>
      <c r="M6" s="667"/>
      <c r="N6" s="59"/>
      <c r="P6" s="24" t="s">
        <v>14</v>
      </c>
      <c r="Q6" s="660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833" t="s">
        <v>15</v>
      </c>
      <c r="U6" s="824"/>
      <c r="V6" s="764" t="s">
        <v>16</v>
      </c>
      <c r="W6" s="7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929" t="str">
        <f>IFERROR(VLOOKUP(DeliveryAddress,Table,3,0),1)</f>
        <v>5</v>
      </c>
      <c r="E7" s="930"/>
      <c r="F7" s="930"/>
      <c r="G7" s="930"/>
      <c r="H7" s="930"/>
      <c r="I7" s="930"/>
      <c r="J7" s="930"/>
      <c r="K7" s="930"/>
      <c r="L7" s="930"/>
      <c r="M7" s="830"/>
      <c r="N7" s="60"/>
      <c r="P7" s="24"/>
      <c r="Q7" s="42"/>
      <c r="R7" s="42"/>
      <c r="T7" s="629"/>
      <c r="U7" s="824"/>
      <c r="V7" s="766"/>
      <c r="W7" s="767"/>
      <c r="AB7" s="51"/>
      <c r="AC7" s="51"/>
      <c r="AD7" s="51"/>
      <c r="AE7" s="51"/>
    </row>
    <row r="8" spans="1:32" s="609" customFormat="1" ht="25.5" customHeight="1" x14ac:dyDescent="0.2">
      <c r="A8" s="635" t="s">
        <v>17</v>
      </c>
      <c r="B8" s="636"/>
      <c r="C8" s="637"/>
      <c r="D8" s="937"/>
      <c r="E8" s="938"/>
      <c r="F8" s="938"/>
      <c r="G8" s="938"/>
      <c r="H8" s="938"/>
      <c r="I8" s="938"/>
      <c r="J8" s="938"/>
      <c r="K8" s="938"/>
      <c r="L8" s="938"/>
      <c r="M8" s="939"/>
      <c r="N8" s="61"/>
      <c r="P8" s="24" t="s">
        <v>18</v>
      </c>
      <c r="Q8" s="829">
        <v>0.54166666666666663</v>
      </c>
      <c r="R8" s="830"/>
      <c r="T8" s="629"/>
      <c r="U8" s="824"/>
      <c r="V8" s="766"/>
      <c r="W8" s="767"/>
      <c r="AB8" s="51"/>
      <c r="AC8" s="51"/>
      <c r="AD8" s="51"/>
      <c r="AE8" s="51"/>
    </row>
    <row r="9" spans="1:32" s="609" customFormat="1" ht="39.950000000000003" customHeight="1" x14ac:dyDescent="0.2">
      <c r="A9" s="6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08"/>
      <c r="E9" s="709"/>
      <c r="F9" s="6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4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8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07"/>
      <c r="P9" s="26" t="s">
        <v>19</v>
      </c>
      <c r="Q9" s="916"/>
      <c r="R9" s="693"/>
      <c r="T9" s="629"/>
      <c r="U9" s="824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6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08"/>
      <c r="E10" s="709"/>
      <c r="F10" s="6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78" t="str">
        <f>IFERROR(VLOOKUP($D$10,Proxy,2,FALSE),"")</f>
        <v/>
      </c>
      <c r="I10" s="629"/>
      <c r="J10" s="629"/>
      <c r="K10" s="629"/>
      <c r="L10" s="629"/>
      <c r="M10" s="629"/>
      <c r="N10" s="608"/>
      <c r="P10" s="26" t="s">
        <v>20</v>
      </c>
      <c r="Q10" s="834"/>
      <c r="R10" s="835"/>
      <c r="U10" s="24" t="s">
        <v>21</v>
      </c>
      <c r="V10" s="949" t="s">
        <v>22</v>
      </c>
      <c r="W10" s="7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72"/>
      <c r="R11" s="667"/>
      <c r="U11" s="24" t="s">
        <v>25</v>
      </c>
      <c r="V11" s="692" t="s">
        <v>889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809" t="s">
        <v>26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27</v>
      </c>
      <c r="Q12" s="829"/>
      <c r="R12" s="830"/>
      <c r="S12" s="23"/>
      <c r="U12" s="24"/>
      <c r="V12" s="648"/>
      <c r="W12" s="629"/>
      <c r="AB12" s="51"/>
      <c r="AC12" s="51"/>
      <c r="AD12" s="51"/>
      <c r="AE12" s="51"/>
    </row>
    <row r="13" spans="1:32" s="609" customFormat="1" ht="23.25" customHeight="1" x14ac:dyDescent="0.2">
      <c r="A13" s="809" t="s">
        <v>28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29</v>
      </c>
      <c r="Q13" s="692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809" t="s">
        <v>30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2" t="s">
        <v>31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849" t="s">
        <v>32</v>
      </c>
      <c r="Q15" s="648"/>
      <c r="R15" s="648"/>
      <c r="S15" s="648"/>
      <c r="T15" s="64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50"/>
      <c r="Q16" s="850"/>
      <c r="R16" s="850"/>
      <c r="S16" s="850"/>
      <c r="T16" s="8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1" t="s">
        <v>33</v>
      </c>
      <c r="B17" s="621" t="s">
        <v>34</v>
      </c>
      <c r="C17" s="869" t="s">
        <v>35</v>
      </c>
      <c r="D17" s="621" t="s">
        <v>36</v>
      </c>
      <c r="E17" s="622"/>
      <c r="F17" s="621" t="s">
        <v>37</v>
      </c>
      <c r="G17" s="621" t="s">
        <v>38</v>
      </c>
      <c r="H17" s="621" t="s">
        <v>39</v>
      </c>
      <c r="I17" s="621" t="s">
        <v>40</v>
      </c>
      <c r="J17" s="621" t="s">
        <v>41</v>
      </c>
      <c r="K17" s="621" t="s">
        <v>42</v>
      </c>
      <c r="L17" s="621" t="s">
        <v>43</v>
      </c>
      <c r="M17" s="621" t="s">
        <v>44</v>
      </c>
      <c r="N17" s="621" t="s">
        <v>45</v>
      </c>
      <c r="O17" s="621" t="s">
        <v>46</v>
      </c>
      <c r="P17" s="621" t="s">
        <v>47</v>
      </c>
      <c r="Q17" s="898"/>
      <c r="R17" s="898"/>
      <c r="S17" s="898"/>
      <c r="T17" s="622"/>
      <c r="U17" s="676" t="s">
        <v>48</v>
      </c>
      <c r="V17" s="646"/>
      <c r="W17" s="621" t="s">
        <v>49</v>
      </c>
      <c r="X17" s="621" t="s">
        <v>50</v>
      </c>
      <c r="Y17" s="654" t="s">
        <v>51</v>
      </c>
      <c r="Z17" s="750" t="s">
        <v>52</v>
      </c>
      <c r="AA17" s="683" t="s">
        <v>53</v>
      </c>
      <c r="AB17" s="683" t="s">
        <v>54</v>
      </c>
      <c r="AC17" s="683" t="s">
        <v>55</v>
      </c>
      <c r="AD17" s="683" t="s">
        <v>56</v>
      </c>
      <c r="AE17" s="684"/>
      <c r="AF17" s="685"/>
      <c r="AG17" s="66"/>
      <c r="BD17" s="65" t="s">
        <v>57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67" t="s">
        <v>58</v>
      </c>
      <c r="V18" s="67" t="s">
        <v>59</v>
      </c>
      <c r="W18" s="634"/>
      <c r="X18" s="634"/>
      <c r="Y18" s="655"/>
      <c r="Z18" s="751"/>
      <c r="AA18" s="752"/>
      <c r="AB18" s="752"/>
      <c r="AC18" s="752"/>
      <c r="AD18" s="686"/>
      <c r="AE18" s="687"/>
      <c r="AF18" s="688"/>
      <c r="AG18" s="66"/>
      <c r="BD18" s="65"/>
    </row>
    <row r="19" spans="1:68" ht="27.75" hidden="1" customHeight="1" x14ac:dyDescent="0.2">
      <c r="A19" s="719" t="s">
        <v>60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hidden="1" customHeight="1" x14ac:dyDescent="0.25">
      <c r="A20" s="642" t="s">
        <v>60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10"/>
      <c r="AB20" s="610"/>
      <c r="AC20" s="610"/>
    </row>
    <row r="21" spans="1:68" ht="14.25" hidden="1" customHeight="1" x14ac:dyDescent="0.25">
      <c r="A21" s="628" t="s">
        <v>61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11"/>
      <c r="AB21" s="611"/>
      <c r="AC21" s="611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4"/>
      <c r="V22" s="34"/>
      <c r="W22" s="35" t="s">
        <v>66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5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4"/>
      <c r="V23" s="34"/>
      <c r="W23" s="35" t="s">
        <v>66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38" t="s">
        <v>71</v>
      </c>
      <c r="Q24" s="636"/>
      <c r="R24" s="636"/>
      <c r="S24" s="636"/>
      <c r="T24" s="636"/>
      <c r="U24" s="636"/>
      <c r="V24" s="637"/>
      <c r="W24" s="37" t="s">
        <v>72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38" t="s">
        <v>71</v>
      </c>
      <c r="Q25" s="636"/>
      <c r="R25" s="636"/>
      <c r="S25" s="636"/>
      <c r="T25" s="636"/>
      <c r="U25" s="636"/>
      <c r="V25" s="637"/>
      <c r="W25" s="37" t="s">
        <v>66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73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11"/>
      <c r="AB26" s="611"/>
      <c r="AC26" s="611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8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4"/>
      <c r="V27" s="34"/>
      <c r="W27" s="35" t="s">
        <v>66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1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4"/>
      <c r="V28" s="34"/>
      <c r="W28" s="35" t="s">
        <v>66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4"/>
      <c r="V29" s="34"/>
      <c r="W29" s="35" t="s">
        <v>66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4"/>
      <c r="V30" s="34"/>
      <c r="W30" s="35" t="s">
        <v>66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4"/>
      <c r="V31" s="34"/>
      <c r="W31" s="35" t="s">
        <v>66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38" t="s">
        <v>71</v>
      </c>
      <c r="Q32" s="636"/>
      <c r="R32" s="636"/>
      <c r="S32" s="636"/>
      <c r="T32" s="636"/>
      <c r="U32" s="636"/>
      <c r="V32" s="637"/>
      <c r="W32" s="37" t="s">
        <v>72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38" t="s">
        <v>71</v>
      </c>
      <c r="Q33" s="636"/>
      <c r="R33" s="636"/>
      <c r="S33" s="636"/>
      <c r="T33" s="636"/>
      <c r="U33" s="636"/>
      <c r="V33" s="637"/>
      <c r="W33" s="37" t="s">
        <v>66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91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11"/>
      <c r="AB34" s="611"/>
      <c r="AC34" s="611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4"/>
      <c r="V35" s="34"/>
      <c r="W35" s="35" t="s">
        <v>66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38" t="s">
        <v>71</v>
      </c>
      <c r="Q36" s="636"/>
      <c r="R36" s="636"/>
      <c r="S36" s="636"/>
      <c r="T36" s="636"/>
      <c r="U36" s="636"/>
      <c r="V36" s="637"/>
      <c r="W36" s="37" t="s">
        <v>72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38" t="s">
        <v>71</v>
      </c>
      <c r="Q37" s="636"/>
      <c r="R37" s="636"/>
      <c r="S37" s="636"/>
      <c r="T37" s="636"/>
      <c r="U37" s="636"/>
      <c r="V37" s="637"/>
      <c r="W37" s="37" t="s">
        <v>66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19" t="s">
        <v>97</v>
      </c>
      <c r="B38" s="720"/>
      <c r="C38" s="720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  <c r="Y38" s="720"/>
      <c r="Z38" s="720"/>
      <c r="AA38" s="48"/>
      <c r="AB38" s="48"/>
      <c r="AC38" s="48"/>
    </row>
    <row r="39" spans="1:68" ht="16.5" hidden="1" customHeight="1" x14ac:dyDescent="0.25">
      <c r="A39" s="642" t="s">
        <v>98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10"/>
      <c r="AB39" s="610"/>
      <c r="AC39" s="610"/>
    </row>
    <row r="40" spans="1:68" ht="14.25" hidden="1" customHeight="1" x14ac:dyDescent="0.25">
      <c r="A40" s="628" t="s">
        <v>73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11"/>
      <c r="AB40" s="611"/>
      <c r="AC40" s="611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4"/>
      <c r="V41" s="34"/>
      <c r="W41" s="35" t="s">
        <v>66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4"/>
      <c r="V42" s="34"/>
      <c r="W42" s="35" t="s">
        <v>66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4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4"/>
      <c r="V43" s="34"/>
      <c r="W43" s="35" t="s">
        <v>66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94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4"/>
      <c r="V44" s="34"/>
      <c r="W44" s="35" t="s">
        <v>66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4"/>
      <c r="V45" s="34"/>
      <c r="W45" s="35" t="s">
        <v>66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38" t="s">
        <v>71</v>
      </c>
      <c r="Q46" s="636"/>
      <c r="R46" s="636"/>
      <c r="S46" s="636"/>
      <c r="T46" s="636"/>
      <c r="U46" s="636"/>
      <c r="V46" s="637"/>
      <c r="W46" s="37" t="s">
        <v>72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38" t="s">
        <v>71</v>
      </c>
      <c r="Q47" s="636"/>
      <c r="R47" s="636"/>
      <c r="S47" s="636"/>
      <c r="T47" s="636"/>
      <c r="U47" s="636"/>
      <c r="V47" s="637"/>
      <c r="W47" s="37" t="s">
        <v>66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19" t="s">
        <v>114</v>
      </c>
      <c r="B48" s="720"/>
      <c r="C48" s="720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  <c r="Y48" s="720"/>
      <c r="Z48" s="720"/>
      <c r="AA48" s="48"/>
      <c r="AB48" s="48"/>
      <c r="AC48" s="48"/>
    </row>
    <row r="49" spans="1:68" ht="16.5" hidden="1" customHeight="1" x14ac:dyDescent="0.25">
      <c r="A49" s="642" t="s">
        <v>115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10"/>
      <c r="AB49" s="610"/>
      <c r="AC49" s="610"/>
    </row>
    <row r="50" spans="1:68" ht="14.25" hidden="1" customHeight="1" x14ac:dyDescent="0.25">
      <c r="A50" s="628" t="s">
        <v>116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11"/>
      <c r="AB50" s="611"/>
      <c r="AC50" s="611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4"/>
      <c r="V51" s="34"/>
      <c r="W51" s="35" t="s">
        <v>66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9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4"/>
      <c r="V52" s="34"/>
      <c r="W52" s="35" t="s">
        <v>66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4"/>
      <c r="V53" s="34"/>
      <c r="W53" s="35" t="s">
        <v>66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7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4"/>
      <c r="V54" s="34"/>
      <c r="W54" s="35" t="s">
        <v>66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38" t="s">
        <v>71</v>
      </c>
      <c r="Q55" s="636"/>
      <c r="R55" s="636"/>
      <c r="S55" s="636"/>
      <c r="T55" s="636"/>
      <c r="U55" s="636"/>
      <c r="V55" s="637"/>
      <c r="W55" s="37" t="s">
        <v>72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38" t="s">
        <v>71</v>
      </c>
      <c r="Q56" s="636"/>
      <c r="R56" s="636"/>
      <c r="S56" s="636"/>
      <c r="T56" s="636"/>
      <c r="U56" s="636"/>
      <c r="V56" s="637"/>
      <c r="W56" s="37" t="s">
        <v>66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42" t="s">
        <v>131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10"/>
      <c r="AB57" s="610"/>
      <c r="AC57" s="610"/>
    </row>
    <row r="58" spans="1:68" ht="14.25" hidden="1" customHeight="1" x14ac:dyDescent="0.25">
      <c r="A58" s="628" t="s">
        <v>116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11"/>
      <c r="AB58" s="611"/>
      <c r="AC58" s="611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4"/>
      <c r="V59" s="34"/>
      <c r="W59" s="35" t="s">
        <v>66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6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4"/>
      <c r="V60" s="34"/>
      <c r="W60" s="35" t="s">
        <v>66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4"/>
      <c r="V61" s="34"/>
      <c r="W61" s="35" t="s">
        <v>66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2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4"/>
      <c r="V62" s="34"/>
      <c r="W62" s="35" t="s">
        <v>66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4"/>
      <c r="V63" s="34"/>
      <c r="W63" s="35" t="s">
        <v>66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7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4"/>
      <c r="V64" s="34"/>
      <c r="W64" s="35" t="s">
        <v>66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67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4"/>
      <c r="V65" s="34"/>
      <c r="W65" s="35" t="s">
        <v>66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87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4"/>
      <c r="V66" s="34"/>
      <c r="W66" s="35" t="s">
        <v>66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38" t="s">
        <v>71</v>
      </c>
      <c r="Q67" s="636"/>
      <c r="R67" s="636"/>
      <c r="S67" s="636"/>
      <c r="T67" s="636"/>
      <c r="U67" s="636"/>
      <c r="V67" s="637"/>
      <c r="W67" s="37" t="s">
        <v>72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hidden="1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38" t="s">
        <v>71</v>
      </c>
      <c r="Q68" s="636"/>
      <c r="R68" s="636"/>
      <c r="S68" s="636"/>
      <c r="T68" s="636"/>
      <c r="U68" s="636"/>
      <c r="V68" s="637"/>
      <c r="W68" s="37" t="s">
        <v>66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hidden="1" customHeight="1" x14ac:dyDescent="0.25">
      <c r="A69" s="628" t="s">
        <v>152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11"/>
      <c r="AB69" s="611"/>
      <c r="AC69" s="611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6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4"/>
      <c r="V70" s="34"/>
      <c r="W70" s="35" t="s">
        <v>66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4"/>
      <c r="V71" s="34"/>
      <c r="W71" s="35" t="s">
        <v>66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67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4"/>
      <c r="V72" s="34"/>
      <c r="W72" s="35" t="s">
        <v>66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97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4"/>
      <c r="V73" s="34"/>
      <c r="W73" s="35" t="s">
        <v>66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38" t="s">
        <v>71</v>
      </c>
      <c r="Q74" s="636"/>
      <c r="R74" s="636"/>
      <c r="S74" s="636"/>
      <c r="T74" s="636"/>
      <c r="U74" s="636"/>
      <c r="V74" s="637"/>
      <c r="W74" s="37" t="s">
        <v>72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38" t="s">
        <v>71</v>
      </c>
      <c r="Q75" s="636"/>
      <c r="R75" s="636"/>
      <c r="S75" s="636"/>
      <c r="T75" s="636"/>
      <c r="U75" s="636"/>
      <c r="V75" s="637"/>
      <c r="W75" s="37" t="s">
        <v>66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73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11"/>
      <c r="AB76" s="611"/>
      <c r="AC76" s="611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8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4"/>
      <c r="V77" s="34"/>
      <c r="W77" s="35" t="s">
        <v>66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4"/>
      <c r="V78" s="34"/>
      <c r="W78" s="35" t="s">
        <v>66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38" t="s">
        <v>71</v>
      </c>
      <c r="Q79" s="636"/>
      <c r="R79" s="636"/>
      <c r="S79" s="636"/>
      <c r="T79" s="636"/>
      <c r="U79" s="636"/>
      <c r="V79" s="637"/>
      <c r="W79" s="37" t="s">
        <v>72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38" t="s">
        <v>71</v>
      </c>
      <c r="Q80" s="636"/>
      <c r="R80" s="636"/>
      <c r="S80" s="636"/>
      <c r="T80" s="636"/>
      <c r="U80" s="636"/>
      <c r="V80" s="637"/>
      <c r="W80" s="37" t="s">
        <v>66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169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11"/>
      <c r="AB81" s="611"/>
      <c r="AC81" s="611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4"/>
      <c r="V82" s="34"/>
      <c r="W82" s="35" t="s">
        <v>66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4"/>
      <c r="V83" s="34"/>
      <c r="W83" s="35" t="s">
        <v>66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38" t="s">
        <v>71</v>
      </c>
      <c r="Q84" s="636"/>
      <c r="R84" s="636"/>
      <c r="S84" s="636"/>
      <c r="T84" s="636"/>
      <c r="U84" s="636"/>
      <c r="V84" s="637"/>
      <c r="W84" s="37" t="s">
        <v>72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38" t="s">
        <v>71</v>
      </c>
      <c r="Q85" s="636"/>
      <c r="R85" s="636"/>
      <c r="S85" s="636"/>
      <c r="T85" s="636"/>
      <c r="U85" s="636"/>
      <c r="V85" s="637"/>
      <c r="W85" s="37" t="s">
        <v>66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42" t="s">
        <v>176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10"/>
      <c r="AB86" s="610"/>
      <c r="AC86" s="610"/>
    </row>
    <row r="87" spans="1:68" ht="14.25" hidden="1" customHeight="1" x14ac:dyDescent="0.25">
      <c r="A87" s="628" t="s">
        <v>116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11"/>
      <c r="AB87" s="611"/>
      <c r="AC87" s="611"/>
    </row>
    <row r="88" spans="1:68" ht="27" customHeight="1" x14ac:dyDescent="0.25">
      <c r="A88" s="54" t="s">
        <v>177</v>
      </c>
      <c r="B88" s="54" t="s">
        <v>178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82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4"/>
      <c r="V88" s="34"/>
      <c r="W88" s="35" t="s">
        <v>66</v>
      </c>
      <c r="X88" s="615">
        <v>100</v>
      </c>
      <c r="Y88" s="616">
        <f>IFERROR(IF(X88="",0,CEILING((X88/$H88),1)*$H88),"")</f>
        <v>108</v>
      </c>
      <c r="Z88" s="36">
        <f>IFERROR(IF(Y88=0,"",ROUNDUP(Y88/H88,0)*0.01898),"")</f>
        <v>0.1898</v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103.79629629629629</v>
      </c>
      <c r="BN88" s="64">
        <f>IFERROR(Y88*I88/H88,"0")</f>
        <v>112.1</v>
      </c>
      <c r="BO88" s="64">
        <f>IFERROR(1/J88*(X88/H88),"0")</f>
        <v>0.14467592592592593</v>
      </c>
      <c r="BP88" s="64">
        <f>IFERROR(1/J88*(Y88/H88),"0")</f>
        <v>0.15625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4"/>
      <c r="V89" s="34"/>
      <c r="W89" s="35" t="s">
        <v>66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4"/>
      <c r="V90" s="34"/>
      <c r="W90" s="35" t="s">
        <v>66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79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4"/>
      <c r="V91" s="34"/>
      <c r="W91" s="35" t="s">
        <v>66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38" t="s">
        <v>71</v>
      </c>
      <c r="Q92" s="636"/>
      <c r="R92" s="636"/>
      <c r="S92" s="636"/>
      <c r="T92" s="636"/>
      <c r="U92" s="636"/>
      <c r="V92" s="637"/>
      <c r="W92" s="37" t="s">
        <v>72</v>
      </c>
      <c r="X92" s="617">
        <f>IFERROR(X88/H88,"0")+IFERROR(X89/H89,"0")+IFERROR(X90/H90,"0")+IFERROR(X91/H91,"0")</f>
        <v>9.2592592592592595</v>
      </c>
      <c r="Y92" s="617">
        <f>IFERROR(Y88/H88,"0")+IFERROR(Y89/H89,"0")+IFERROR(Y90/H90,"0")+IFERROR(Y91/H91,"0")</f>
        <v>10</v>
      </c>
      <c r="Z92" s="617">
        <f>IFERROR(IF(Z88="",0,Z88),"0")+IFERROR(IF(Z89="",0,Z89),"0")+IFERROR(IF(Z90="",0,Z90),"0")+IFERROR(IF(Z91="",0,Z91),"0")</f>
        <v>0.1898</v>
      </c>
      <c r="AA92" s="618"/>
      <c r="AB92" s="618"/>
      <c r="AC92" s="618"/>
    </row>
    <row r="93" spans="1:68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38" t="s">
        <v>71</v>
      </c>
      <c r="Q93" s="636"/>
      <c r="R93" s="636"/>
      <c r="S93" s="636"/>
      <c r="T93" s="636"/>
      <c r="U93" s="636"/>
      <c r="V93" s="637"/>
      <c r="W93" s="37" t="s">
        <v>66</v>
      </c>
      <c r="X93" s="617">
        <f>IFERROR(SUM(X88:X91),"0")</f>
        <v>100</v>
      </c>
      <c r="Y93" s="617">
        <f>IFERROR(SUM(Y88:Y91),"0")</f>
        <v>108</v>
      </c>
      <c r="Z93" s="37"/>
      <c r="AA93" s="618"/>
      <c r="AB93" s="618"/>
      <c r="AC93" s="618"/>
    </row>
    <row r="94" spans="1:68" ht="14.25" hidden="1" customHeight="1" x14ac:dyDescent="0.25">
      <c r="A94" s="628" t="s">
        <v>73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11"/>
      <c r="AB94" s="611"/>
      <c r="AC94" s="611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4"/>
      <c r="V95" s="34"/>
      <c r="W95" s="35" t="s">
        <v>66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7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4"/>
      <c r="V96" s="34"/>
      <c r="W96" s="35" t="s">
        <v>66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9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4"/>
      <c r="V97" s="34"/>
      <c r="W97" s="35" t="s">
        <v>66</v>
      </c>
      <c r="X97" s="615">
        <v>0</v>
      </c>
      <c r="Y97" s="61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7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4"/>
      <c r="V98" s="34"/>
      <c r="W98" s="35" t="s">
        <v>66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38" t="s">
        <v>71</v>
      </c>
      <c r="Q99" s="636"/>
      <c r="R99" s="636"/>
      <c r="S99" s="636"/>
      <c r="T99" s="636"/>
      <c r="U99" s="636"/>
      <c r="V99" s="637"/>
      <c r="W99" s="37" t="s">
        <v>72</v>
      </c>
      <c r="X99" s="617">
        <f>IFERROR(X95/H95,"0")+IFERROR(X96/H96,"0")+IFERROR(X97/H97,"0")+IFERROR(X98/H98,"0")</f>
        <v>0</v>
      </c>
      <c r="Y99" s="617">
        <f>IFERROR(Y95/H95,"0")+IFERROR(Y96/H96,"0")+IFERROR(Y97/H97,"0")+IFERROR(Y98/H98,"0")</f>
        <v>0</v>
      </c>
      <c r="Z99" s="617">
        <f>IFERROR(IF(Z95="",0,Z95),"0")+IFERROR(IF(Z96="",0,Z96),"0")+IFERROR(IF(Z97="",0,Z97),"0")+IFERROR(IF(Z98="",0,Z98),"0")</f>
        <v>0</v>
      </c>
      <c r="AA99" s="618"/>
      <c r="AB99" s="618"/>
      <c r="AC99" s="618"/>
    </row>
    <row r="100" spans="1:68" hidden="1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38" t="s">
        <v>71</v>
      </c>
      <c r="Q100" s="636"/>
      <c r="R100" s="636"/>
      <c r="S100" s="636"/>
      <c r="T100" s="636"/>
      <c r="U100" s="636"/>
      <c r="V100" s="637"/>
      <c r="W100" s="37" t="s">
        <v>66</v>
      </c>
      <c r="X100" s="617">
        <f>IFERROR(SUM(X95:X98),"0")</f>
        <v>0</v>
      </c>
      <c r="Y100" s="617">
        <f>IFERROR(SUM(Y95:Y98),"0")</f>
        <v>0</v>
      </c>
      <c r="Z100" s="37"/>
      <c r="AA100" s="618"/>
      <c r="AB100" s="618"/>
      <c r="AC100" s="618"/>
    </row>
    <row r="101" spans="1:68" ht="16.5" hidden="1" customHeight="1" x14ac:dyDescent="0.25">
      <c r="A101" s="642" t="s">
        <v>197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10"/>
      <c r="AB101" s="610"/>
      <c r="AC101" s="610"/>
    </row>
    <row r="102" spans="1:68" ht="14.25" hidden="1" customHeight="1" x14ac:dyDescent="0.25">
      <c r="A102" s="628" t="s">
        <v>116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11"/>
      <c r="AB102" s="611"/>
      <c r="AC102" s="611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9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4"/>
      <c r="V103" s="34"/>
      <c r="W103" s="35" t="s">
        <v>66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9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4"/>
      <c r="V104" s="34"/>
      <c r="W104" s="35" t="s">
        <v>66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4"/>
      <c r="V105" s="34"/>
      <c r="W105" s="35" t="s">
        <v>66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4"/>
      <c r="V106" s="34"/>
      <c r="W106" s="35" t="s">
        <v>66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4"/>
      <c r="V107" s="34"/>
      <c r="W107" s="35" t="s">
        <v>66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4"/>
      <c r="V108" s="34"/>
      <c r="W108" s="35" t="s">
        <v>66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38" t="s">
        <v>71</v>
      </c>
      <c r="Q109" s="636"/>
      <c r="R109" s="636"/>
      <c r="S109" s="636"/>
      <c r="T109" s="636"/>
      <c r="U109" s="636"/>
      <c r="V109" s="637"/>
      <c r="W109" s="37" t="s">
        <v>72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38" t="s">
        <v>71</v>
      </c>
      <c r="Q110" s="636"/>
      <c r="R110" s="636"/>
      <c r="S110" s="636"/>
      <c r="T110" s="636"/>
      <c r="U110" s="636"/>
      <c r="V110" s="637"/>
      <c r="W110" s="37" t="s">
        <v>66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152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11"/>
      <c r="AB111" s="611"/>
      <c r="AC111" s="611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73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4"/>
      <c r="V112" s="34"/>
      <c r="W112" s="35" t="s">
        <v>66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4"/>
      <c r="V113" s="34"/>
      <c r="W113" s="35" t="s">
        <v>66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4"/>
      <c r="V114" s="34"/>
      <c r="W114" s="35" t="s">
        <v>66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4"/>
      <c r="V115" s="34"/>
      <c r="W115" s="35" t="s">
        <v>66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4"/>
      <c r="V116" s="34"/>
      <c r="W116" s="35" t="s">
        <v>66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38" t="s">
        <v>71</v>
      </c>
      <c r="Q117" s="636"/>
      <c r="R117" s="636"/>
      <c r="S117" s="636"/>
      <c r="T117" s="636"/>
      <c r="U117" s="636"/>
      <c r="V117" s="637"/>
      <c r="W117" s="37" t="s">
        <v>72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38" t="s">
        <v>71</v>
      </c>
      <c r="Q118" s="636"/>
      <c r="R118" s="636"/>
      <c r="S118" s="636"/>
      <c r="T118" s="636"/>
      <c r="U118" s="636"/>
      <c r="V118" s="637"/>
      <c r="W118" s="37" t="s">
        <v>66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73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11"/>
      <c r="AB119" s="611"/>
      <c r="AC119" s="611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4"/>
      <c r="V120" s="34"/>
      <c r="W120" s="35" t="s">
        <v>66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6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4"/>
      <c r="V121" s="34"/>
      <c r="W121" s="35" t="s">
        <v>66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4"/>
      <c r="V122" s="34"/>
      <c r="W122" s="35" t="s">
        <v>66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4"/>
      <c r="V123" s="34"/>
      <c r="W123" s="35" t="s">
        <v>66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38" t="s">
        <v>71</v>
      </c>
      <c r="Q124" s="636"/>
      <c r="R124" s="636"/>
      <c r="S124" s="636"/>
      <c r="T124" s="636"/>
      <c r="U124" s="636"/>
      <c r="V124" s="637"/>
      <c r="W124" s="37" t="s">
        <v>72</v>
      </c>
      <c r="X124" s="617">
        <f>IFERROR(X120/H120,"0")+IFERROR(X121/H121,"0")+IFERROR(X122/H122,"0")+IFERROR(X123/H123,"0")</f>
        <v>0</v>
      </c>
      <c r="Y124" s="617">
        <f>IFERROR(Y120/H120,"0")+IFERROR(Y121/H121,"0")+IFERROR(Y122/H122,"0")+IFERROR(Y123/H123,"0")</f>
        <v>0</v>
      </c>
      <c r="Z124" s="617">
        <f>IFERROR(IF(Z120="",0,Z120),"0")+IFERROR(IF(Z121="",0,Z121),"0")+IFERROR(IF(Z122="",0,Z122),"0")+IFERROR(IF(Z123="",0,Z123),"0")</f>
        <v>0</v>
      </c>
      <c r="AA124" s="618"/>
      <c r="AB124" s="618"/>
      <c r="AC124" s="618"/>
    </row>
    <row r="125" spans="1:68" hidden="1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38" t="s">
        <v>71</v>
      </c>
      <c r="Q125" s="636"/>
      <c r="R125" s="636"/>
      <c r="S125" s="636"/>
      <c r="T125" s="636"/>
      <c r="U125" s="636"/>
      <c r="V125" s="637"/>
      <c r="W125" s="37" t="s">
        <v>66</v>
      </c>
      <c r="X125" s="617">
        <f>IFERROR(SUM(X120:X123),"0")</f>
        <v>0</v>
      </c>
      <c r="Y125" s="617">
        <f>IFERROR(SUM(Y120:Y123),"0")</f>
        <v>0</v>
      </c>
      <c r="Z125" s="37"/>
      <c r="AA125" s="618"/>
      <c r="AB125" s="618"/>
      <c r="AC125" s="618"/>
    </row>
    <row r="126" spans="1:68" ht="14.25" hidden="1" customHeight="1" x14ac:dyDescent="0.25">
      <c r="A126" s="628" t="s">
        <v>169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11"/>
      <c r="AB126" s="611"/>
      <c r="AC126" s="611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7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4"/>
      <c r="V127" s="34"/>
      <c r="W127" s="35" t="s">
        <v>66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38" t="s">
        <v>71</v>
      </c>
      <c r="Q128" s="636"/>
      <c r="R128" s="636"/>
      <c r="S128" s="636"/>
      <c r="T128" s="636"/>
      <c r="U128" s="636"/>
      <c r="V128" s="637"/>
      <c r="W128" s="37" t="s">
        <v>72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38" t="s">
        <v>71</v>
      </c>
      <c r="Q129" s="636"/>
      <c r="R129" s="636"/>
      <c r="S129" s="636"/>
      <c r="T129" s="636"/>
      <c r="U129" s="636"/>
      <c r="V129" s="637"/>
      <c r="W129" s="37" t="s">
        <v>66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42" t="s">
        <v>236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10"/>
      <c r="AB130" s="610"/>
      <c r="AC130" s="610"/>
    </row>
    <row r="131" spans="1:68" ht="14.25" hidden="1" customHeight="1" x14ac:dyDescent="0.25">
      <c r="A131" s="628" t="s">
        <v>116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11"/>
      <c r="AB131" s="611"/>
      <c r="AC131" s="611"/>
    </row>
    <row r="132" spans="1:68" ht="27" hidden="1" customHeight="1" x14ac:dyDescent="0.25">
      <c r="A132" s="54" t="s">
        <v>237</v>
      </c>
      <c r="B132" s="54" t="s">
        <v>238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76</v>
      </c>
      <c r="L132" s="32"/>
      <c r="M132" s="33" t="s">
        <v>94</v>
      </c>
      <c r="N132" s="33"/>
      <c r="O132" s="32">
        <v>90</v>
      </c>
      <c r="P132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4"/>
      <c r="V132" s="34"/>
      <c r="W132" s="35" t="s">
        <v>66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239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237</v>
      </c>
      <c r="B133" s="54" t="s">
        <v>240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76</v>
      </c>
      <c r="L133" s="32"/>
      <c r="M133" s="33" t="s">
        <v>94</v>
      </c>
      <c r="N133" s="33"/>
      <c r="O133" s="32">
        <v>90</v>
      </c>
      <c r="P133" s="6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4"/>
      <c r="V133" s="34"/>
      <c r="W133" s="35" t="s">
        <v>66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239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38" t="s">
        <v>71</v>
      </c>
      <c r="Q134" s="636"/>
      <c r="R134" s="636"/>
      <c r="S134" s="636"/>
      <c r="T134" s="636"/>
      <c r="U134" s="636"/>
      <c r="V134" s="637"/>
      <c r="W134" s="37" t="s">
        <v>72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38" t="s">
        <v>71</v>
      </c>
      <c r="Q135" s="636"/>
      <c r="R135" s="636"/>
      <c r="S135" s="636"/>
      <c r="T135" s="636"/>
      <c r="U135" s="636"/>
      <c r="V135" s="637"/>
      <c r="W135" s="37" t="s">
        <v>66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61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11"/>
      <c r="AB136" s="611"/>
      <c r="AC136" s="611"/>
    </row>
    <row r="137" spans="1:68" ht="27" hidden="1" customHeight="1" x14ac:dyDescent="0.25">
      <c r="A137" s="54" t="s">
        <v>241</v>
      </c>
      <c r="B137" s="54" t="s">
        <v>242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76</v>
      </c>
      <c r="L137" s="32"/>
      <c r="M137" s="33" t="s">
        <v>94</v>
      </c>
      <c r="N137" s="33"/>
      <c r="O137" s="32">
        <v>90</v>
      </c>
      <c r="P137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4"/>
      <c r="V137" s="34"/>
      <c r="W137" s="35" t="s">
        <v>66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243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241</v>
      </c>
      <c r="B138" s="54" t="s">
        <v>244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76</v>
      </c>
      <c r="L138" s="32"/>
      <c r="M138" s="33" t="s">
        <v>94</v>
      </c>
      <c r="N138" s="33"/>
      <c r="O138" s="32">
        <v>90</v>
      </c>
      <c r="P138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4"/>
      <c r="V138" s="34"/>
      <c r="W138" s="35" t="s">
        <v>66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243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38" t="s">
        <v>71</v>
      </c>
      <c r="Q139" s="636"/>
      <c r="R139" s="636"/>
      <c r="S139" s="636"/>
      <c r="T139" s="636"/>
      <c r="U139" s="636"/>
      <c r="V139" s="637"/>
      <c r="W139" s="37" t="s">
        <v>72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38" t="s">
        <v>71</v>
      </c>
      <c r="Q140" s="636"/>
      <c r="R140" s="636"/>
      <c r="S140" s="636"/>
      <c r="T140" s="636"/>
      <c r="U140" s="636"/>
      <c r="V140" s="637"/>
      <c r="W140" s="37" t="s">
        <v>66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73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11"/>
      <c r="AB141" s="611"/>
      <c r="AC141" s="611"/>
    </row>
    <row r="142" spans="1:68" ht="16.5" hidden="1" customHeight="1" x14ac:dyDescent="0.25">
      <c r="A142" s="54" t="s">
        <v>245</v>
      </c>
      <c r="B142" s="54" t="s">
        <v>246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4"/>
      <c r="V142" s="34"/>
      <c r="W142" s="35" t="s">
        <v>66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239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245</v>
      </c>
      <c r="B143" s="54" t="s">
        <v>247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76</v>
      </c>
      <c r="L143" s="32"/>
      <c r="M143" s="33" t="s">
        <v>94</v>
      </c>
      <c r="N143" s="33"/>
      <c r="O143" s="32">
        <v>60</v>
      </c>
      <c r="P143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4"/>
      <c r="V143" s="34"/>
      <c r="W143" s="35" t="s">
        <v>66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239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38" t="s">
        <v>71</v>
      </c>
      <c r="Q144" s="636"/>
      <c r="R144" s="636"/>
      <c r="S144" s="636"/>
      <c r="T144" s="636"/>
      <c r="U144" s="636"/>
      <c r="V144" s="637"/>
      <c r="W144" s="37" t="s">
        <v>72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38" t="s">
        <v>71</v>
      </c>
      <c r="Q145" s="636"/>
      <c r="R145" s="636"/>
      <c r="S145" s="636"/>
      <c r="T145" s="636"/>
      <c r="U145" s="636"/>
      <c r="V145" s="637"/>
      <c r="W145" s="37" t="s">
        <v>66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42" t="s">
        <v>248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10"/>
      <c r="AB146" s="610"/>
      <c r="AC146" s="610"/>
    </row>
    <row r="147" spans="1:68" ht="14.25" hidden="1" customHeight="1" x14ac:dyDescent="0.25">
      <c r="A147" s="628" t="s">
        <v>73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11"/>
      <c r="AB147" s="611"/>
      <c r="AC147" s="611"/>
    </row>
    <row r="148" spans="1:68" ht="27" hidden="1" customHeight="1" x14ac:dyDescent="0.25">
      <c r="A148" s="54" t="s">
        <v>249</v>
      </c>
      <c r="B148" s="54" t="s">
        <v>250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9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4"/>
      <c r="V148" s="34"/>
      <c r="W148" s="35" t="s">
        <v>66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251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252</v>
      </c>
      <c r="B149" s="54" t="s">
        <v>253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4"/>
      <c r="V149" s="34"/>
      <c r="W149" s="35" t="s">
        <v>66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254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4"/>
      <c r="V150" s="34"/>
      <c r="W150" s="35" t="s">
        <v>66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3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4"/>
      <c r="V151" s="34"/>
      <c r="W151" s="35" t="s">
        <v>66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38" t="s">
        <v>71</v>
      </c>
      <c r="Q152" s="636"/>
      <c r="R152" s="636"/>
      <c r="S152" s="636"/>
      <c r="T152" s="636"/>
      <c r="U152" s="636"/>
      <c r="V152" s="637"/>
      <c r="W152" s="37" t="s">
        <v>72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38" t="s">
        <v>71</v>
      </c>
      <c r="Q153" s="636"/>
      <c r="R153" s="636"/>
      <c r="S153" s="636"/>
      <c r="T153" s="636"/>
      <c r="U153" s="636"/>
      <c r="V153" s="637"/>
      <c r="W153" s="37" t="s">
        <v>66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42" t="s">
        <v>114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10"/>
      <c r="AB154" s="610"/>
      <c r="AC154" s="610"/>
    </row>
    <row r="155" spans="1:68" ht="14.25" hidden="1" customHeight="1" x14ac:dyDescent="0.25">
      <c r="A155" s="628" t="s">
        <v>116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11"/>
      <c r="AB155" s="611"/>
      <c r="AC155" s="611"/>
    </row>
    <row r="156" spans="1:68" ht="16.5" hidden="1" customHeight="1" x14ac:dyDescent="0.25">
      <c r="A156" s="54" t="s">
        <v>261</v>
      </c>
      <c r="B156" s="54" t="s">
        <v>262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76</v>
      </c>
      <c r="L156" s="32"/>
      <c r="M156" s="33" t="s">
        <v>77</v>
      </c>
      <c r="N156" s="33"/>
      <c r="O156" s="32">
        <v>55</v>
      </c>
      <c r="P156" s="79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4"/>
      <c r="V156" s="34"/>
      <c r="W156" s="35" t="s">
        <v>66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263</v>
      </c>
      <c r="AC156" s="203" t="s">
        <v>264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119</v>
      </c>
      <c r="L157" s="32"/>
      <c r="M157" s="33" t="s">
        <v>120</v>
      </c>
      <c r="N157" s="33"/>
      <c r="O157" s="32">
        <v>55</v>
      </c>
      <c r="P157" s="9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4"/>
      <c r="V157" s="34"/>
      <c r="W157" s="35" t="s">
        <v>66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128</v>
      </c>
      <c r="L158" s="32"/>
      <c r="M158" s="33" t="s">
        <v>120</v>
      </c>
      <c r="N158" s="33"/>
      <c r="O158" s="32">
        <v>50</v>
      </c>
      <c r="P158" s="9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4"/>
      <c r="V158" s="34"/>
      <c r="W158" s="35" t="s">
        <v>66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38" t="s">
        <v>71</v>
      </c>
      <c r="Q159" s="636"/>
      <c r="R159" s="636"/>
      <c r="S159" s="636"/>
      <c r="T159" s="636"/>
      <c r="U159" s="636"/>
      <c r="V159" s="637"/>
      <c r="W159" s="37" t="s">
        <v>72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38" t="s">
        <v>71</v>
      </c>
      <c r="Q160" s="636"/>
      <c r="R160" s="636"/>
      <c r="S160" s="636"/>
      <c r="T160" s="636"/>
      <c r="U160" s="636"/>
      <c r="V160" s="637"/>
      <c r="W160" s="37" t="s">
        <v>66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152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11"/>
      <c r="AB161" s="611"/>
      <c r="AC161" s="611"/>
    </row>
    <row r="162" spans="1:68" ht="16.5" hidden="1" customHeight="1" x14ac:dyDescent="0.25">
      <c r="A162" s="54" t="s">
        <v>271</v>
      </c>
      <c r="B162" s="54" t="s">
        <v>272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64</v>
      </c>
      <c r="L162" s="32"/>
      <c r="M162" s="33" t="s">
        <v>65</v>
      </c>
      <c r="N162" s="33"/>
      <c r="O162" s="32">
        <v>30</v>
      </c>
      <c r="P162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4"/>
      <c r="V162" s="34"/>
      <c r="W162" s="35" t="s">
        <v>66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38" t="s">
        <v>71</v>
      </c>
      <c r="Q163" s="636"/>
      <c r="R163" s="636"/>
      <c r="S163" s="636"/>
      <c r="T163" s="636"/>
      <c r="U163" s="636"/>
      <c r="V163" s="637"/>
      <c r="W163" s="37" t="s">
        <v>72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38" t="s">
        <v>71</v>
      </c>
      <c r="Q164" s="636"/>
      <c r="R164" s="636"/>
      <c r="S164" s="636"/>
      <c r="T164" s="636"/>
      <c r="U164" s="636"/>
      <c r="V164" s="637"/>
      <c r="W164" s="37" t="s">
        <v>66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61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11"/>
      <c r="AB165" s="611"/>
      <c r="AC165" s="611"/>
    </row>
    <row r="166" spans="1:68" ht="27" hidden="1" customHeight="1" x14ac:dyDescent="0.25">
      <c r="A166" s="54" t="s">
        <v>274</v>
      </c>
      <c r="B166" s="54" t="s">
        <v>275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128</v>
      </c>
      <c r="L166" s="32"/>
      <c r="M166" s="33" t="s">
        <v>65</v>
      </c>
      <c r="N166" s="33"/>
      <c r="O166" s="32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4"/>
      <c r="V166" s="34"/>
      <c r="W166" s="35" t="s">
        <v>66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119</v>
      </c>
      <c r="L167" s="32"/>
      <c r="M167" s="33" t="s">
        <v>65</v>
      </c>
      <c r="N167" s="33"/>
      <c r="O167" s="32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4"/>
      <c r="V167" s="34"/>
      <c r="W167" s="35" t="s">
        <v>66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280</v>
      </c>
      <c r="B168" s="54" t="s">
        <v>281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128</v>
      </c>
      <c r="L168" s="32"/>
      <c r="M168" s="33" t="s">
        <v>65</v>
      </c>
      <c r="N168" s="33"/>
      <c r="O168" s="32">
        <v>45</v>
      </c>
      <c r="P168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4"/>
      <c r="V168" s="34"/>
      <c r="W168" s="35" t="s">
        <v>66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283</v>
      </c>
      <c r="B169" s="54" t="s">
        <v>284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128</v>
      </c>
      <c r="L169" s="32"/>
      <c r="M169" s="33" t="s">
        <v>65</v>
      </c>
      <c r="N169" s="33"/>
      <c r="O169" s="32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4"/>
      <c r="V169" s="34"/>
      <c r="W169" s="35" t="s">
        <v>66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286</v>
      </c>
      <c r="B170" s="54" t="s">
        <v>287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128</v>
      </c>
      <c r="L170" s="32"/>
      <c r="M170" s="33" t="s">
        <v>65</v>
      </c>
      <c r="N170" s="33"/>
      <c r="O170" s="32">
        <v>40</v>
      </c>
      <c r="P170" s="9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4"/>
      <c r="V170" s="34"/>
      <c r="W170" s="35" t="s">
        <v>66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289</v>
      </c>
      <c r="B171" s="54" t="s">
        <v>290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124</v>
      </c>
      <c r="L171" s="32"/>
      <c r="M171" s="33" t="s">
        <v>65</v>
      </c>
      <c r="N171" s="33"/>
      <c r="O171" s="32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4"/>
      <c r="V171" s="34"/>
      <c r="W171" s="35" t="s">
        <v>66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291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64</v>
      </c>
      <c r="L172" s="32"/>
      <c r="M172" s="33" t="s">
        <v>65</v>
      </c>
      <c r="N172" s="33"/>
      <c r="O172" s="32">
        <v>40</v>
      </c>
      <c r="P172" s="9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4"/>
      <c r="V172" s="34"/>
      <c r="W172" s="35" t="s">
        <v>66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276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124</v>
      </c>
      <c r="L173" s="32"/>
      <c r="M173" s="33" t="s">
        <v>65</v>
      </c>
      <c r="N173" s="33"/>
      <c r="O173" s="32">
        <v>45</v>
      </c>
      <c r="P173" s="9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4"/>
      <c r="V173" s="34"/>
      <c r="W173" s="35" t="s">
        <v>66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294</v>
      </c>
      <c r="B174" s="54" t="s">
        <v>297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124</v>
      </c>
      <c r="L174" s="32"/>
      <c r="M174" s="33" t="s">
        <v>65</v>
      </c>
      <c r="N174" s="33"/>
      <c r="O174" s="32">
        <v>45</v>
      </c>
      <c r="P174" s="6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4"/>
      <c r="V174" s="34"/>
      <c r="W174" s="35" t="s">
        <v>66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296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64</v>
      </c>
      <c r="L175" s="32"/>
      <c r="M175" s="33" t="s">
        <v>65</v>
      </c>
      <c r="N175" s="33"/>
      <c r="O175" s="32">
        <v>40</v>
      </c>
      <c r="P175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4"/>
      <c r="V175" s="34"/>
      <c r="W175" s="35" t="s">
        <v>66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124</v>
      </c>
      <c r="L176" s="32"/>
      <c r="M176" s="33" t="s">
        <v>65</v>
      </c>
      <c r="N176" s="33"/>
      <c r="O176" s="32">
        <v>45</v>
      </c>
      <c r="P176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4"/>
      <c r="V176" s="34"/>
      <c r="W176" s="35" t="s">
        <v>66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302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64</v>
      </c>
      <c r="L177" s="32"/>
      <c r="M177" s="33" t="s">
        <v>65</v>
      </c>
      <c r="N177" s="33"/>
      <c r="O177" s="32">
        <v>40</v>
      </c>
      <c r="P177" s="74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4"/>
      <c r="V177" s="34"/>
      <c r="W177" s="35" t="s">
        <v>66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288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38" t="s">
        <v>71</v>
      </c>
      <c r="Q178" s="636"/>
      <c r="R178" s="636"/>
      <c r="S178" s="636"/>
      <c r="T178" s="636"/>
      <c r="U178" s="636"/>
      <c r="V178" s="637"/>
      <c r="W178" s="37" t="s">
        <v>72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38" t="s">
        <v>71</v>
      </c>
      <c r="Q179" s="636"/>
      <c r="R179" s="636"/>
      <c r="S179" s="636"/>
      <c r="T179" s="636"/>
      <c r="U179" s="636"/>
      <c r="V179" s="637"/>
      <c r="W179" s="37" t="s">
        <v>66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73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11"/>
      <c r="AB180" s="611"/>
      <c r="AC180" s="611"/>
    </row>
    <row r="181" spans="1:68" ht="16.5" hidden="1" customHeight="1" x14ac:dyDescent="0.25">
      <c r="A181" s="54" t="s">
        <v>305</v>
      </c>
      <c r="B181" s="54" t="s">
        <v>306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76</v>
      </c>
      <c r="L181" s="32"/>
      <c r="M181" s="33" t="s">
        <v>83</v>
      </c>
      <c r="N181" s="33"/>
      <c r="O181" s="32">
        <v>40</v>
      </c>
      <c r="P181" s="71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4"/>
      <c r="V181" s="34"/>
      <c r="W181" s="35" t="s">
        <v>66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307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308</v>
      </c>
      <c r="B182" s="54" t="s">
        <v>309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76</v>
      </c>
      <c r="L182" s="32"/>
      <c r="M182" s="33" t="s">
        <v>83</v>
      </c>
      <c r="N182" s="33"/>
      <c r="O182" s="32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4"/>
      <c r="V182" s="34"/>
      <c r="W182" s="35" t="s">
        <v>66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310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76</v>
      </c>
      <c r="L183" s="32"/>
      <c r="M183" s="33" t="s">
        <v>77</v>
      </c>
      <c r="N183" s="33"/>
      <c r="O183" s="32">
        <v>45</v>
      </c>
      <c r="P183" s="71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4"/>
      <c r="V183" s="34"/>
      <c r="W183" s="35" t="s">
        <v>66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313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38" t="s">
        <v>71</v>
      </c>
      <c r="Q184" s="636"/>
      <c r="R184" s="636"/>
      <c r="S184" s="636"/>
      <c r="T184" s="636"/>
      <c r="U184" s="636"/>
      <c r="V184" s="637"/>
      <c r="W184" s="37" t="s">
        <v>72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38" t="s">
        <v>71</v>
      </c>
      <c r="Q185" s="636"/>
      <c r="R185" s="636"/>
      <c r="S185" s="636"/>
      <c r="T185" s="636"/>
      <c r="U185" s="636"/>
      <c r="V185" s="637"/>
      <c r="W185" s="37" t="s">
        <v>66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91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11"/>
      <c r="AB186" s="611"/>
      <c r="AC186" s="611"/>
    </row>
    <row r="187" spans="1:68" ht="16.5" hidden="1" customHeight="1" x14ac:dyDescent="0.25">
      <c r="A187" s="54" t="s">
        <v>314</v>
      </c>
      <c r="B187" s="54" t="s">
        <v>315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316</v>
      </c>
      <c r="L187" s="32"/>
      <c r="M187" s="33" t="s">
        <v>317</v>
      </c>
      <c r="N187" s="33"/>
      <c r="O187" s="32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4"/>
      <c r="V187" s="34"/>
      <c r="W187" s="35" t="s">
        <v>66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318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319</v>
      </c>
      <c r="B188" s="54" t="s">
        <v>320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316</v>
      </c>
      <c r="L188" s="32"/>
      <c r="M188" s="33" t="s">
        <v>317</v>
      </c>
      <c r="N188" s="33"/>
      <c r="O188" s="32">
        <v>45</v>
      </c>
      <c r="P188" s="74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4"/>
      <c r="V188" s="34"/>
      <c r="W188" s="35" t="s">
        <v>66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321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38" t="s">
        <v>71</v>
      </c>
      <c r="Q189" s="636"/>
      <c r="R189" s="636"/>
      <c r="S189" s="636"/>
      <c r="T189" s="636"/>
      <c r="U189" s="636"/>
      <c r="V189" s="637"/>
      <c r="W189" s="37" t="s">
        <v>72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38" t="s">
        <v>71</v>
      </c>
      <c r="Q190" s="636"/>
      <c r="R190" s="636"/>
      <c r="S190" s="636"/>
      <c r="T190" s="636"/>
      <c r="U190" s="636"/>
      <c r="V190" s="637"/>
      <c r="W190" s="37" t="s">
        <v>66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322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11"/>
      <c r="AB191" s="611"/>
      <c r="AC191" s="611"/>
    </row>
    <row r="192" spans="1:68" ht="27" hidden="1" customHeight="1" x14ac:dyDescent="0.25">
      <c r="A192" s="54" t="s">
        <v>323</v>
      </c>
      <c r="B192" s="54" t="s">
        <v>324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316</v>
      </c>
      <c r="L192" s="32"/>
      <c r="M192" s="33" t="s">
        <v>317</v>
      </c>
      <c r="N192" s="33"/>
      <c r="O192" s="32">
        <v>60</v>
      </c>
      <c r="P192" s="9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4"/>
      <c r="V192" s="34"/>
      <c r="W192" s="35" t="s">
        <v>66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38" t="s">
        <v>71</v>
      </c>
      <c r="Q193" s="636"/>
      <c r="R193" s="636"/>
      <c r="S193" s="636"/>
      <c r="T193" s="636"/>
      <c r="U193" s="636"/>
      <c r="V193" s="637"/>
      <c r="W193" s="37" t="s">
        <v>72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38" t="s">
        <v>71</v>
      </c>
      <c r="Q194" s="636"/>
      <c r="R194" s="636"/>
      <c r="S194" s="636"/>
      <c r="T194" s="636"/>
      <c r="U194" s="636"/>
      <c r="V194" s="637"/>
      <c r="W194" s="37" t="s">
        <v>66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19" t="s">
        <v>326</v>
      </c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0"/>
      <c r="P195" s="720"/>
      <c r="Q195" s="720"/>
      <c r="R195" s="720"/>
      <c r="S195" s="720"/>
      <c r="T195" s="720"/>
      <c r="U195" s="720"/>
      <c r="V195" s="720"/>
      <c r="W195" s="720"/>
      <c r="X195" s="720"/>
      <c r="Y195" s="720"/>
      <c r="Z195" s="720"/>
      <c r="AA195" s="48"/>
      <c r="AB195" s="48"/>
      <c r="AC195" s="48"/>
    </row>
    <row r="196" spans="1:68" ht="16.5" hidden="1" customHeight="1" x14ac:dyDescent="0.25">
      <c r="A196" s="642" t="s">
        <v>327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10"/>
      <c r="AB196" s="610"/>
      <c r="AC196" s="610"/>
    </row>
    <row r="197" spans="1:68" ht="14.25" hidden="1" customHeight="1" x14ac:dyDescent="0.25">
      <c r="A197" s="628" t="s">
        <v>116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11"/>
      <c r="AB197" s="611"/>
      <c r="AC197" s="611"/>
    </row>
    <row r="198" spans="1:68" ht="27" hidden="1" customHeight="1" x14ac:dyDescent="0.25">
      <c r="A198" s="54" t="s">
        <v>328</v>
      </c>
      <c r="B198" s="54" t="s">
        <v>329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119</v>
      </c>
      <c r="L198" s="32"/>
      <c r="M198" s="33" t="s">
        <v>77</v>
      </c>
      <c r="N198" s="33"/>
      <c r="O198" s="32">
        <v>35</v>
      </c>
      <c r="P198" s="7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4"/>
      <c r="V198" s="34"/>
      <c r="W198" s="35" t="s">
        <v>66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121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119</v>
      </c>
      <c r="L199" s="32"/>
      <c r="M199" s="33" t="s">
        <v>77</v>
      </c>
      <c r="N199" s="33"/>
      <c r="O199" s="32">
        <v>35</v>
      </c>
      <c r="P199" s="6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4"/>
      <c r="V199" s="34"/>
      <c r="W199" s="35" t="s">
        <v>66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119</v>
      </c>
      <c r="L200" s="32"/>
      <c r="M200" s="33" t="s">
        <v>77</v>
      </c>
      <c r="N200" s="33"/>
      <c r="O200" s="32">
        <v>35</v>
      </c>
      <c r="P200" s="6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4"/>
      <c r="V200" s="34"/>
      <c r="W200" s="35" t="s">
        <v>66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119</v>
      </c>
      <c r="L201" s="32"/>
      <c r="M201" s="33" t="s">
        <v>77</v>
      </c>
      <c r="N201" s="33"/>
      <c r="O201" s="32">
        <v>35</v>
      </c>
      <c r="P201" s="7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4"/>
      <c r="V201" s="34"/>
      <c r="W201" s="35" t="s">
        <v>66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339</v>
      </c>
      <c r="B202" s="54" t="s">
        <v>340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119</v>
      </c>
      <c r="L202" s="32"/>
      <c r="M202" s="33" t="s">
        <v>77</v>
      </c>
      <c r="N202" s="33"/>
      <c r="O202" s="32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4"/>
      <c r="V202" s="34"/>
      <c r="W202" s="35" t="s">
        <v>66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342</v>
      </c>
      <c r="B203" s="54" t="s">
        <v>343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119</v>
      </c>
      <c r="L203" s="32"/>
      <c r="M203" s="33" t="s">
        <v>77</v>
      </c>
      <c r="N203" s="33"/>
      <c r="O203" s="32">
        <v>35</v>
      </c>
      <c r="P20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4"/>
      <c r="V203" s="34"/>
      <c r="W203" s="35" t="s">
        <v>66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119</v>
      </c>
      <c r="L204" s="32"/>
      <c r="M204" s="33" t="s">
        <v>77</v>
      </c>
      <c r="N204" s="33"/>
      <c r="O204" s="32">
        <v>35</v>
      </c>
      <c r="P20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4"/>
      <c r="V204" s="34"/>
      <c r="W204" s="35" t="s">
        <v>66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38" t="s">
        <v>71</v>
      </c>
      <c r="Q205" s="636"/>
      <c r="R205" s="636"/>
      <c r="S205" s="636"/>
      <c r="T205" s="636"/>
      <c r="U205" s="636"/>
      <c r="V205" s="637"/>
      <c r="W205" s="37" t="s">
        <v>72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38" t="s">
        <v>71</v>
      </c>
      <c r="Q206" s="636"/>
      <c r="R206" s="636"/>
      <c r="S206" s="636"/>
      <c r="T206" s="636"/>
      <c r="U206" s="636"/>
      <c r="V206" s="637"/>
      <c r="W206" s="37" t="s">
        <v>66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42" t="s">
        <v>348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10"/>
      <c r="AB207" s="610"/>
      <c r="AC207" s="610"/>
    </row>
    <row r="208" spans="1:68" ht="14.25" hidden="1" customHeight="1" x14ac:dyDescent="0.25">
      <c r="A208" s="628" t="s">
        <v>152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11"/>
      <c r="AB208" s="611"/>
      <c r="AC208" s="611"/>
    </row>
    <row r="209" spans="1:68" ht="27" hidden="1" customHeight="1" x14ac:dyDescent="0.25">
      <c r="A209" s="54" t="s">
        <v>349</v>
      </c>
      <c r="B209" s="54" t="s">
        <v>350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64</v>
      </c>
      <c r="L209" s="32"/>
      <c r="M209" s="33" t="s">
        <v>65</v>
      </c>
      <c r="N209" s="33"/>
      <c r="O209" s="32">
        <v>40</v>
      </c>
      <c r="P209" s="9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4"/>
      <c r="V209" s="34"/>
      <c r="W209" s="35" t="s">
        <v>66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351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38" t="s">
        <v>71</v>
      </c>
      <c r="Q210" s="636"/>
      <c r="R210" s="636"/>
      <c r="S210" s="636"/>
      <c r="T210" s="636"/>
      <c r="U210" s="636"/>
      <c r="V210" s="637"/>
      <c r="W210" s="37" t="s">
        <v>72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38" t="s">
        <v>71</v>
      </c>
      <c r="Q211" s="636"/>
      <c r="R211" s="636"/>
      <c r="S211" s="636"/>
      <c r="T211" s="636"/>
      <c r="U211" s="636"/>
      <c r="V211" s="637"/>
      <c r="W211" s="37" t="s">
        <v>66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61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11"/>
      <c r="AB212" s="611"/>
      <c r="AC212" s="611"/>
    </row>
    <row r="213" spans="1:68" ht="27" hidden="1" customHeight="1" x14ac:dyDescent="0.25">
      <c r="A213" s="54" t="s">
        <v>352</v>
      </c>
      <c r="B213" s="54" t="s">
        <v>353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128</v>
      </c>
      <c r="L213" s="32"/>
      <c r="M213" s="33" t="s">
        <v>65</v>
      </c>
      <c r="N213" s="33"/>
      <c r="O213" s="32">
        <v>40</v>
      </c>
      <c r="P213" s="96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4"/>
      <c r="V213" s="34"/>
      <c r="W213" s="35" t="s">
        <v>66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354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355</v>
      </c>
      <c r="B214" s="54" t="s">
        <v>356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128</v>
      </c>
      <c r="L214" s="32"/>
      <c r="M214" s="33" t="s">
        <v>65</v>
      </c>
      <c r="N214" s="33"/>
      <c r="O214" s="32">
        <v>40</v>
      </c>
      <c r="P214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4"/>
      <c r="V214" s="34"/>
      <c r="W214" s="35" t="s">
        <v>66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128</v>
      </c>
      <c r="L215" s="32"/>
      <c r="M215" s="33" t="s">
        <v>65</v>
      </c>
      <c r="N215" s="33"/>
      <c r="O215" s="32">
        <v>40</v>
      </c>
      <c r="P215" s="9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4"/>
      <c r="V215" s="34"/>
      <c r="W215" s="35" t="s">
        <v>66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361</v>
      </c>
      <c r="B216" s="54" t="s">
        <v>362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64</v>
      </c>
      <c r="L216" s="32"/>
      <c r="M216" s="33" t="s">
        <v>65</v>
      </c>
      <c r="N216" s="33"/>
      <c r="O216" s="32">
        <v>45</v>
      </c>
      <c r="P216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4"/>
      <c r="V216" s="34"/>
      <c r="W216" s="35" t="s">
        <v>66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4"/>
      <c r="V217" s="34"/>
      <c r="W217" s="35" t="s">
        <v>66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354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45</v>
      </c>
      <c r="P218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4"/>
      <c r="V218" s="34"/>
      <c r="W218" s="35" t="s">
        <v>66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368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4"/>
      <c r="V219" s="34"/>
      <c r="W219" s="35" t="s">
        <v>66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357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64</v>
      </c>
      <c r="L220" s="32"/>
      <c r="M220" s="33" t="s">
        <v>65</v>
      </c>
      <c r="N220" s="33"/>
      <c r="O220" s="32">
        <v>45</v>
      </c>
      <c r="P220" s="96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4"/>
      <c r="V220" s="34"/>
      <c r="W220" s="35" t="s">
        <v>66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373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64</v>
      </c>
      <c r="L221" s="32"/>
      <c r="M221" s="33" t="s">
        <v>65</v>
      </c>
      <c r="N221" s="33"/>
      <c r="O221" s="32">
        <v>45</v>
      </c>
      <c r="P221" s="96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4"/>
      <c r="V221" s="34"/>
      <c r="W221" s="35" t="s">
        <v>66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64</v>
      </c>
      <c r="L222" s="32"/>
      <c r="M222" s="33" t="s">
        <v>65</v>
      </c>
      <c r="N222" s="33"/>
      <c r="O222" s="32">
        <v>40</v>
      </c>
      <c r="P222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4"/>
      <c r="V222" s="34"/>
      <c r="W222" s="35" t="s">
        <v>66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124</v>
      </c>
      <c r="L223" s="32"/>
      <c r="M223" s="33" t="s">
        <v>65</v>
      </c>
      <c r="N223" s="33"/>
      <c r="O223" s="32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4"/>
      <c r="V223" s="34"/>
      <c r="W223" s="35" t="s">
        <v>66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4"/>
      <c r="V224" s="34"/>
      <c r="W224" s="35" t="s">
        <v>66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360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76</v>
      </c>
      <c r="L225" s="32"/>
      <c r="M225" s="33" t="s">
        <v>65</v>
      </c>
      <c r="N225" s="33"/>
      <c r="O225" s="32">
        <v>40</v>
      </c>
      <c r="P225" s="7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4"/>
      <c r="V225" s="34"/>
      <c r="W225" s="35" t="s">
        <v>66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360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7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4"/>
      <c r="V226" s="34"/>
      <c r="W226" s="35" t="s">
        <v>66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38" t="s">
        <v>71</v>
      </c>
      <c r="Q227" s="636"/>
      <c r="R227" s="636"/>
      <c r="S227" s="636"/>
      <c r="T227" s="636"/>
      <c r="U227" s="636"/>
      <c r="V227" s="637"/>
      <c r="W227" s="37" t="s">
        <v>72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38" t="s">
        <v>71</v>
      </c>
      <c r="Q228" s="636"/>
      <c r="R228" s="636"/>
      <c r="S228" s="636"/>
      <c r="T228" s="636"/>
      <c r="U228" s="636"/>
      <c r="V228" s="637"/>
      <c r="W228" s="37" t="s">
        <v>66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73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11"/>
      <c r="AB229" s="611"/>
      <c r="AC229" s="611"/>
    </row>
    <row r="230" spans="1:68" ht="27" hidden="1" customHeight="1" x14ac:dyDescent="0.25">
      <c r="A230" s="54" t="s">
        <v>390</v>
      </c>
      <c r="B230" s="54" t="s">
        <v>391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128</v>
      </c>
      <c r="L230" s="32"/>
      <c r="M230" s="33" t="s">
        <v>83</v>
      </c>
      <c r="N230" s="33"/>
      <c r="O230" s="32">
        <v>35</v>
      </c>
      <c r="P230" s="90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4"/>
      <c r="V230" s="34"/>
      <c r="W230" s="35" t="s">
        <v>66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263</v>
      </c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393</v>
      </c>
      <c r="B231" s="54" t="s">
        <v>394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119</v>
      </c>
      <c r="L231" s="32"/>
      <c r="M231" s="33" t="s">
        <v>83</v>
      </c>
      <c r="N231" s="33"/>
      <c r="O231" s="32">
        <v>35</v>
      </c>
      <c r="P231" s="97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4"/>
      <c r="V231" s="34"/>
      <c r="W231" s="35" t="s">
        <v>66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119</v>
      </c>
      <c r="L232" s="32"/>
      <c r="M232" s="33" t="s">
        <v>83</v>
      </c>
      <c r="N232" s="33"/>
      <c r="O232" s="32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4"/>
      <c r="V232" s="34"/>
      <c r="W232" s="35" t="s">
        <v>66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398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399</v>
      </c>
      <c r="B233" s="54" t="s">
        <v>400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128</v>
      </c>
      <c r="L233" s="32"/>
      <c r="M233" s="33" t="s">
        <v>83</v>
      </c>
      <c r="N233" s="33"/>
      <c r="O233" s="32">
        <v>35</v>
      </c>
      <c r="P233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4"/>
      <c r="V233" s="34"/>
      <c r="W233" s="35" t="s">
        <v>66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401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128</v>
      </c>
      <c r="L234" s="32"/>
      <c r="M234" s="33" t="s">
        <v>83</v>
      </c>
      <c r="N234" s="33"/>
      <c r="O234" s="32">
        <v>35</v>
      </c>
      <c r="P234" s="9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4"/>
      <c r="V234" s="34"/>
      <c r="W234" s="35" t="s">
        <v>66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398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38" t="s">
        <v>71</v>
      </c>
      <c r="Q235" s="636"/>
      <c r="R235" s="636"/>
      <c r="S235" s="636"/>
      <c r="T235" s="636"/>
      <c r="U235" s="636"/>
      <c r="V235" s="637"/>
      <c r="W235" s="37" t="s">
        <v>72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38" t="s">
        <v>71</v>
      </c>
      <c r="Q236" s="636"/>
      <c r="R236" s="636"/>
      <c r="S236" s="636"/>
      <c r="T236" s="636"/>
      <c r="U236" s="636"/>
      <c r="V236" s="637"/>
      <c r="W236" s="37" t="s">
        <v>66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91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11"/>
      <c r="AB237" s="611"/>
      <c r="AC237" s="611"/>
    </row>
    <row r="238" spans="1:68" ht="27" hidden="1" customHeight="1" x14ac:dyDescent="0.25">
      <c r="A238" s="54" t="s">
        <v>404</v>
      </c>
      <c r="B238" s="54" t="s">
        <v>405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316</v>
      </c>
      <c r="L238" s="32"/>
      <c r="M238" s="33" t="s">
        <v>317</v>
      </c>
      <c r="N238" s="33"/>
      <c r="O238" s="32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4"/>
      <c r="V238" s="34"/>
      <c r="W238" s="35" t="s">
        <v>66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406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407</v>
      </c>
      <c r="B239" s="54" t="s">
        <v>408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316</v>
      </c>
      <c r="L239" s="32"/>
      <c r="M239" s="33" t="s">
        <v>317</v>
      </c>
      <c r="N239" s="33"/>
      <c r="O239" s="32">
        <v>90</v>
      </c>
      <c r="P239" s="85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4"/>
      <c r="V239" s="34"/>
      <c r="W239" s="35" t="s">
        <v>66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316</v>
      </c>
      <c r="L240" s="32"/>
      <c r="M240" s="33" t="s">
        <v>317</v>
      </c>
      <c r="N240" s="33"/>
      <c r="O240" s="32">
        <v>90</v>
      </c>
      <c r="P240" s="9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4"/>
      <c r="V240" s="34"/>
      <c r="W240" s="35" t="s">
        <v>66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409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38" t="s">
        <v>71</v>
      </c>
      <c r="Q241" s="636"/>
      <c r="R241" s="636"/>
      <c r="S241" s="636"/>
      <c r="T241" s="636"/>
      <c r="U241" s="636"/>
      <c r="V241" s="637"/>
      <c r="W241" s="37" t="s">
        <v>72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38" t="s">
        <v>71</v>
      </c>
      <c r="Q242" s="636"/>
      <c r="R242" s="636"/>
      <c r="S242" s="636"/>
      <c r="T242" s="636"/>
      <c r="U242" s="636"/>
      <c r="V242" s="637"/>
      <c r="W242" s="37" t="s">
        <v>66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412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11"/>
      <c r="AB243" s="611"/>
      <c r="AC243" s="611"/>
    </row>
    <row r="244" spans="1:68" ht="27" hidden="1" customHeight="1" x14ac:dyDescent="0.25">
      <c r="A244" s="54" t="s">
        <v>413</v>
      </c>
      <c r="B244" s="54" t="s">
        <v>414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316</v>
      </c>
      <c r="L244" s="32"/>
      <c r="M244" s="33" t="s">
        <v>317</v>
      </c>
      <c r="N244" s="33"/>
      <c r="O244" s="32">
        <v>90</v>
      </c>
      <c r="P244" s="9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4"/>
      <c r="V244" s="34"/>
      <c r="W244" s="35" t="s">
        <v>66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409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38" t="s">
        <v>71</v>
      </c>
      <c r="Q245" s="636"/>
      <c r="R245" s="636"/>
      <c r="S245" s="636"/>
      <c r="T245" s="636"/>
      <c r="U245" s="636"/>
      <c r="V245" s="637"/>
      <c r="W245" s="37" t="s">
        <v>72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38" t="s">
        <v>71</v>
      </c>
      <c r="Q246" s="636"/>
      <c r="R246" s="636"/>
      <c r="S246" s="636"/>
      <c r="T246" s="636"/>
      <c r="U246" s="636"/>
      <c r="V246" s="637"/>
      <c r="W246" s="37" t="s">
        <v>66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42" t="s">
        <v>415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10"/>
      <c r="AB247" s="610"/>
      <c r="AC247" s="610"/>
    </row>
    <row r="248" spans="1:68" ht="14.25" hidden="1" customHeight="1" x14ac:dyDescent="0.25">
      <c r="A248" s="628" t="s">
        <v>116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11"/>
      <c r="AB248" s="611"/>
      <c r="AC248" s="611"/>
    </row>
    <row r="249" spans="1:68" ht="27" hidden="1" customHeight="1" x14ac:dyDescent="0.25">
      <c r="A249" s="54" t="s">
        <v>416</v>
      </c>
      <c r="B249" s="54" t="s">
        <v>417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119</v>
      </c>
      <c r="L249" s="32"/>
      <c r="M249" s="33" t="s">
        <v>120</v>
      </c>
      <c r="N249" s="33"/>
      <c r="O249" s="32">
        <v>55</v>
      </c>
      <c r="P249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4"/>
      <c r="V249" s="34"/>
      <c r="W249" s="35" t="s">
        <v>66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418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419</v>
      </c>
      <c r="B250" s="54" t="s">
        <v>420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76</v>
      </c>
      <c r="L250" s="32"/>
      <c r="M250" s="33" t="s">
        <v>120</v>
      </c>
      <c r="N250" s="33"/>
      <c r="O250" s="32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4"/>
      <c r="V250" s="34"/>
      <c r="W250" s="35" t="s">
        <v>66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38" t="s">
        <v>71</v>
      </c>
      <c r="Q251" s="636"/>
      <c r="R251" s="636"/>
      <c r="S251" s="636"/>
      <c r="T251" s="636"/>
      <c r="U251" s="636"/>
      <c r="V251" s="637"/>
      <c r="W251" s="37" t="s">
        <v>72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38" t="s">
        <v>71</v>
      </c>
      <c r="Q252" s="636"/>
      <c r="R252" s="636"/>
      <c r="S252" s="636"/>
      <c r="T252" s="636"/>
      <c r="U252" s="636"/>
      <c r="V252" s="637"/>
      <c r="W252" s="37" t="s">
        <v>66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152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11"/>
      <c r="AB253" s="611"/>
      <c r="AC253" s="611"/>
    </row>
    <row r="254" spans="1:68" ht="16.5" hidden="1" customHeight="1" x14ac:dyDescent="0.25">
      <c r="A254" s="54" t="s">
        <v>421</v>
      </c>
      <c r="B254" s="54" t="s">
        <v>422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119</v>
      </c>
      <c r="L254" s="32"/>
      <c r="M254" s="33" t="s">
        <v>120</v>
      </c>
      <c r="N254" s="33"/>
      <c r="O254" s="32">
        <v>50</v>
      </c>
      <c r="P254" s="7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4"/>
      <c r="V254" s="34"/>
      <c r="W254" s="35" t="s">
        <v>66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423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424</v>
      </c>
      <c r="B255" s="54" t="s">
        <v>425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76</v>
      </c>
      <c r="L255" s="32"/>
      <c r="M255" s="33" t="s">
        <v>120</v>
      </c>
      <c r="N255" s="33"/>
      <c r="O255" s="32">
        <v>50</v>
      </c>
      <c r="P255" s="9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4"/>
      <c r="V255" s="34"/>
      <c r="W255" s="35" t="s">
        <v>66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423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38" t="s">
        <v>71</v>
      </c>
      <c r="Q256" s="636"/>
      <c r="R256" s="636"/>
      <c r="S256" s="636"/>
      <c r="T256" s="636"/>
      <c r="U256" s="636"/>
      <c r="V256" s="637"/>
      <c r="W256" s="37" t="s">
        <v>72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38" t="s">
        <v>71</v>
      </c>
      <c r="Q257" s="636"/>
      <c r="R257" s="636"/>
      <c r="S257" s="636"/>
      <c r="T257" s="636"/>
      <c r="U257" s="636"/>
      <c r="V257" s="637"/>
      <c r="W257" s="37" t="s">
        <v>66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61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11"/>
      <c r="AB258" s="611"/>
      <c r="AC258" s="611"/>
    </row>
    <row r="259" spans="1:68" ht="27" hidden="1" customHeight="1" x14ac:dyDescent="0.25">
      <c r="A259" s="54" t="s">
        <v>426</v>
      </c>
      <c r="B259" s="54" t="s">
        <v>427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128</v>
      </c>
      <c r="L259" s="32"/>
      <c r="M259" s="33" t="s">
        <v>65</v>
      </c>
      <c r="N259" s="33"/>
      <c r="O259" s="32">
        <v>40</v>
      </c>
      <c r="P259" s="9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4"/>
      <c r="V259" s="34"/>
      <c r="W259" s="35" t="s">
        <v>66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428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128</v>
      </c>
      <c r="L260" s="32"/>
      <c r="M260" s="33" t="s">
        <v>65</v>
      </c>
      <c r="N260" s="33"/>
      <c r="O260" s="32">
        <v>40</v>
      </c>
      <c r="P260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4"/>
      <c r="V260" s="34"/>
      <c r="W260" s="35" t="s">
        <v>66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431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hidden="1" customHeight="1" x14ac:dyDescent="0.25">
      <c r="A261" s="54" t="s">
        <v>432</v>
      </c>
      <c r="B261" s="54" t="s">
        <v>433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128</v>
      </c>
      <c r="L261" s="32"/>
      <c r="M261" s="33" t="s">
        <v>65</v>
      </c>
      <c r="N261" s="33"/>
      <c r="O261" s="32">
        <v>40</v>
      </c>
      <c r="P261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4"/>
      <c r="V261" s="34"/>
      <c r="W261" s="35" t="s">
        <v>66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434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hidden="1" customHeight="1" x14ac:dyDescent="0.25">
      <c r="A262" s="54" t="s">
        <v>435</v>
      </c>
      <c r="B262" s="54" t="s">
        <v>436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128</v>
      </c>
      <c r="L262" s="32"/>
      <c r="M262" s="33" t="s">
        <v>65</v>
      </c>
      <c r="N262" s="33"/>
      <c r="O262" s="32">
        <v>40</v>
      </c>
      <c r="P262" s="6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4"/>
      <c r="V262" s="34"/>
      <c r="W262" s="35" t="s">
        <v>66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437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64</v>
      </c>
      <c r="L263" s="32"/>
      <c r="M263" s="33" t="s">
        <v>65</v>
      </c>
      <c r="N263" s="33"/>
      <c r="O263" s="32">
        <v>40</v>
      </c>
      <c r="P263" s="6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4"/>
      <c r="V263" s="34"/>
      <c r="W263" s="35" t="s">
        <v>66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428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64</v>
      </c>
      <c r="L264" s="32"/>
      <c r="M264" s="33" t="s">
        <v>65</v>
      </c>
      <c r="N264" s="33"/>
      <c r="O264" s="32">
        <v>40</v>
      </c>
      <c r="P264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4"/>
      <c r="V264" s="34"/>
      <c r="W264" s="35" t="s">
        <v>66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431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64</v>
      </c>
      <c r="L265" s="32"/>
      <c r="M265" s="33" t="s">
        <v>65</v>
      </c>
      <c r="N265" s="33"/>
      <c r="O265" s="32">
        <v>40</v>
      </c>
      <c r="P265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4"/>
      <c r="V265" s="34"/>
      <c r="W265" s="35" t="s">
        <v>66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434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64</v>
      </c>
      <c r="L266" s="32"/>
      <c r="M266" s="33" t="s">
        <v>65</v>
      </c>
      <c r="N266" s="33"/>
      <c r="O266" s="32">
        <v>40</v>
      </c>
      <c r="P26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4"/>
      <c r="V266" s="34"/>
      <c r="W266" s="35" t="s">
        <v>66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437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hidden="1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38" t="s">
        <v>71</v>
      </c>
      <c r="Q267" s="636"/>
      <c r="R267" s="636"/>
      <c r="S267" s="636"/>
      <c r="T267" s="636"/>
      <c r="U267" s="636"/>
      <c r="V267" s="637"/>
      <c r="W267" s="37" t="s">
        <v>72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hidden="1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38" t="s">
        <v>71</v>
      </c>
      <c r="Q268" s="636"/>
      <c r="R268" s="636"/>
      <c r="S268" s="636"/>
      <c r="T268" s="636"/>
      <c r="U268" s="636"/>
      <c r="V268" s="637"/>
      <c r="W268" s="37" t="s">
        <v>66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hidden="1" customHeight="1" x14ac:dyDescent="0.25">
      <c r="A269" s="628" t="s">
        <v>73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11"/>
      <c r="AB269" s="611"/>
      <c r="AC269" s="611"/>
    </row>
    <row r="270" spans="1:68" ht="27" hidden="1" customHeight="1" x14ac:dyDescent="0.25">
      <c r="A270" s="54" t="s">
        <v>446</v>
      </c>
      <c r="B270" s="54" t="s">
        <v>447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119</v>
      </c>
      <c r="L270" s="32"/>
      <c r="M270" s="33" t="s">
        <v>77</v>
      </c>
      <c r="N270" s="33"/>
      <c r="O270" s="32">
        <v>40</v>
      </c>
      <c r="P270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4"/>
      <c r="V270" s="34"/>
      <c r="W270" s="35" t="s">
        <v>66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448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119</v>
      </c>
      <c r="L271" s="32"/>
      <c r="M271" s="33" t="s">
        <v>77</v>
      </c>
      <c r="N271" s="33"/>
      <c r="O271" s="32">
        <v>40</v>
      </c>
      <c r="P271" s="9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4"/>
      <c r="V271" s="34"/>
      <c r="W271" s="35" t="s">
        <v>66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451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452</v>
      </c>
      <c r="B272" s="54" t="s">
        <v>453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119</v>
      </c>
      <c r="L272" s="32"/>
      <c r="M272" s="33" t="s">
        <v>77</v>
      </c>
      <c r="N272" s="33"/>
      <c r="O272" s="32">
        <v>45</v>
      </c>
      <c r="P272" s="8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4"/>
      <c r="V272" s="34"/>
      <c r="W272" s="35" t="s">
        <v>66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454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455</v>
      </c>
      <c r="B273" s="54" t="s">
        <v>456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40</v>
      </c>
      <c r="P273" s="9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4"/>
      <c r="V273" s="34"/>
      <c r="W273" s="35" t="s">
        <v>66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76</v>
      </c>
      <c r="L274" s="32"/>
      <c r="M274" s="33" t="s">
        <v>83</v>
      </c>
      <c r="N274" s="33"/>
      <c r="O274" s="32">
        <v>45</v>
      </c>
      <c r="P274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4"/>
      <c r="V274" s="34"/>
      <c r="W274" s="35" t="s">
        <v>66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454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128</v>
      </c>
      <c r="L275" s="32"/>
      <c r="M275" s="33" t="s">
        <v>77</v>
      </c>
      <c r="N275" s="33"/>
      <c r="O275" s="32">
        <v>45</v>
      </c>
      <c r="P275" s="9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4"/>
      <c r="V275" s="34"/>
      <c r="W275" s="35" t="s">
        <v>66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461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hidden="1" customHeight="1" x14ac:dyDescent="0.25">
      <c r="A276" s="54" t="s">
        <v>462</v>
      </c>
      <c r="B276" s="54" t="s">
        <v>463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76</v>
      </c>
      <c r="L276" s="32"/>
      <c r="M276" s="33" t="s">
        <v>77</v>
      </c>
      <c r="N276" s="33"/>
      <c r="O276" s="32">
        <v>45</v>
      </c>
      <c r="P276" s="7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4"/>
      <c r="V276" s="34"/>
      <c r="W276" s="35" t="s">
        <v>66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454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hidden="1" customHeight="1" x14ac:dyDescent="0.25">
      <c r="A277" s="54" t="s">
        <v>464</v>
      </c>
      <c r="B277" s="54" t="s">
        <v>465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119</v>
      </c>
      <c r="L277" s="32"/>
      <c r="M277" s="33" t="s">
        <v>77</v>
      </c>
      <c r="N277" s="33"/>
      <c r="O277" s="32">
        <v>45</v>
      </c>
      <c r="P27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4"/>
      <c r="V277" s="34"/>
      <c r="W277" s="35" t="s">
        <v>66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461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466</v>
      </c>
      <c r="B278" s="54" t="s">
        <v>467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76</v>
      </c>
      <c r="L278" s="32"/>
      <c r="M278" s="33" t="s">
        <v>77</v>
      </c>
      <c r="N278" s="33"/>
      <c r="O278" s="32">
        <v>45</v>
      </c>
      <c r="P278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4"/>
      <c r="V278" s="34"/>
      <c r="W278" s="35" t="s">
        <v>66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454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76</v>
      </c>
      <c r="L279" s="32"/>
      <c r="M279" s="33" t="s">
        <v>83</v>
      </c>
      <c r="N279" s="33"/>
      <c r="O279" s="32">
        <v>40</v>
      </c>
      <c r="P279" s="7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4"/>
      <c r="V279" s="34"/>
      <c r="W279" s="35" t="s">
        <v>66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470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76</v>
      </c>
      <c r="L280" s="32"/>
      <c r="M280" s="33" t="s">
        <v>77</v>
      </c>
      <c r="N280" s="33"/>
      <c r="O280" s="32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4"/>
      <c r="V280" s="34"/>
      <c r="W280" s="35" t="s">
        <v>66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473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474</v>
      </c>
      <c r="B281" s="54" t="s">
        <v>475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4"/>
      <c r="V281" s="34"/>
      <c r="W281" s="35" t="s">
        <v>66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476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idden="1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38" t="s">
        <v>71</v>
      </c>
      <c r="Q282" s="636"/>
      <c r="R282" s="636"/>
      <c r="S282" s="636"/>
      <c r="T282" s="636"/>
      <c r="U282" s="636"/>
      <c r="V282" s="637"/>
      <c r="W282" s="37" t="s">
        <v>72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hidden="1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38" t="s">
        <v>71</v>
      </c>
      <c r="Q283" s="636"/>
      <c r="R283" s="636"/>
      <c r="S283" s="636"/>
      <c r="T283" s="636"/>
      <c r="U283" s="636"/>
      <c r="V283" s="637"/>
      <c r="W283" s="37" t="s">
        <v>66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hidden="1" customHeight="1" x14ac:dyDescent="0.25">
      <c r="A284" s="628" t="s">
        <v>169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11"/>
      <c r="AB284" s="611"/>
      <c r="AC284" s="611"/>
    </row>
    <row r="285" spans="1:68" ht="27" hidden="1" customHeight="1" x14ac:dyDescent="0.25">
      <c r="A285" s="54" t="s">
        <v>477</v>
      </c>
      <c r="B285" s="54" t="s">
        <v>478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4"/>
      <c r="V285" s="34"/>
      <c r="W285" s="35" t="s">
        <v>66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479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480</v>
      </c>
      <c r="B286" s="54" t="s">
        <v>481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4"/>
      <c r="V286" s="34"/>
      <c r="W286" s="35" t="s">
        <v>66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482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38" t="s">
        <v>71</v>
      </c>
      <c r="Q287" s="636"/>
      <c r="R287" s="636"/>
      <c r="S287" s="636"/>
      <c r="T287" s="636"/>
      <c r="U287" s="636"/>
      <c r="V287" s="637"/>
      <c r="W287" s="37" t="s">
        <v>72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38" t="s">
        <v>71</v>
      </c>
      <c r="Q288" s="636"/>
      <c r="R288" s="636"/>
      <c r="S288" s="636"/>
      <c r="T288" s="636"/>
      <c r="U288" s="636"/>
      <c r="V288" s="637"/>
      <c r="W288" s="37" t="s">
        <v>66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42" t="s">
        <v>483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10"/>
      <c r="AB289" s="610"/>
      <c r="AC289" s="610"/>
    </row>
    <row r="290" spans="1:68" ht="14.25" hidden="1" customHeight="1" x14ac:dyDescent="0.25">
      <c r="A290" s="628" t="s">
        <v>116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11"/>
      <c r="AB290" s="611"/>
      <c r="AC290" s="611"/>
    </row>
    <row r="291" spans="1:68" ht="27" hidden="1" customHeight="1" x14ac:dyDescent="0.25">
      <c r="A291" s="54" t="s">
        <v>484</v>
      </c>
      <c r="B291" s="54" t="s">
        <v>485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119</v>
      </c>
      <c r="L291" s="32"/>
      <c r="M291" s="33" t="s">
        <v>120</v>
      </c>
      <c r="N291" s="33"/>
      <c r="O291" s="32">
        <v>55</v>
      </c>
      <c r="P291" s="6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4"/>
      <c r="V291" s="34"/>
      <c r="W291" s="35" t="s">
        <v>66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486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487</v>
      </c>
      <c r="B292" s="54" t="s">
        <v>488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119</v>
      </c>
      <c r="L292" s="32"/>
      <c r="M292" s="33" t="s">
        <v>120</v>
      </c>
      <c r="N292" s="33"/>
      <c r="O292" s="32">
        <v>55</v>
      </c>
      <c r="P292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4"/>
      <c r="V292" s="34"/>
      <c r="W292" s="35" t="s">
        <v>66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489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490</v>
      </c>
      <c r="B293" s="54" t="s">
        <v>491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119</v>
      </c>
      <c r="L293" s="32"/>
      <c r="M293" s="33" t="s">
        <v>120</v>
      </c>
      <c r="N293" s="33"/>
      <c r="O293" s="32">
        <v>55</v>
      </c>
      <c r="P293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4"/>
      <c r="V293" s="34"/>
      <c r="W293" s="35" t="s">
        <v>66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344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128</v>
      </c>
      <c r="L294" s="32"/>
      <c r="M294" s="33" t="s">
        <v>120</v>
      </c>
      <c r="N294" s="33"/>
      <c r="O294" s="32">
        <v>55</v>
      </c>
      <c r="P294" s="6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4"/>
      <c r="V294" s="34"/>
      <c r="W294" s="35" t="s">
        <v>66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486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128</v>
      </c>
      <c r="L295" s="32"/>
      <c r="M295" s="33" t="s">
        <v>120</v>
      </c>
      <c r="N295" s="33"/>
      <c r="O295" s="32">
        <v>55</v>
      </c>
      <c r="P295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4"/>
      <c r="V295" s="34"/>
      <c r="W295" s="35" t="s">
        <v>66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496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497</v>
      </c>
      <c r="B296" s="54" t="s">
        <v>498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76</v>
      </c>
      <c r="L296" s="32"/>
      <c r="M296" s="33" t="s">
        <v>120</v>
      </c>
      <c r="N296" s="33"/>
      <c r="O296" s="32">
        <v>55</v>
      </c>
      <c r="P296" s="8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4"/>
      <c r="V296" s="34"/>
      <c r="W296" s="35" t="s">
        <v>66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499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500</v>
      </c>
      <c r="B297" s="54" t="s">
        <v>501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128</v>
      </c>
      <c r="L297" s="32"/>
      <c r="M297" s="33" t="s">
        <v>120</v>
      </c>
      <c r="N297" s="33"/>
      <c r="O297" s="32">
        <v>55</v>
      </c>
      <c r="P297" s="6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4"/>
      <c r="V297" s="34"/>
      <c r="W297" s="35" t="s">
        <v>66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344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38" t="s">
        <v>71</v>
      </c>
      <c r="Q298" s="636"/>
      <c r="R298" s="636"/>
      <c r="S298" s="636"/>
      <c r="T298" s="636"/>
      <c r="U298" s="636"/>
      <c r="V298" s="637"/>
      <c r="W298" s="37" t="s">
        <v>72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38" t="s">
        <v>71</v>
      </c>
      <c r="Q299" s="636"/>
      <c r="R299" s="636"/>
      <c r="S299" s="636"/>
      <c r="T299" s="636"/>
      <c r="U299" s="636"/>
      <c r="V299" s="637"/>
      <c r="W299" s="37" t="s">
        <v>66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152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11"/>
      <c r="AB300" s="611"/>
      <c r="AC300" s="611"/>
    </row>
    <row r="301" spans="1:68" ht="27" hidden="1" customHeight="1" x14ac:dyDescent="0.25">
      <c r="A301" s="54" t="s">
        <v>502</v>
      </c>
      <c r="B301" s="54" t="s">
        <v>503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64</v>
      </c>
      <c r="L301" s="32"/>
      <c r="M301" s="33" t="s">
        <v>77</v>
      </c>
      <c r="N301" s="33"/>
      <c r="O301" s="32">
        <v>50</v>
      </c>
      <c r="P301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4"/>
      <c r="V301" s="34"/>
      <c r="W301" s="35" t="s">
        <v>66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38" t="s">
        <v>71</v>
      </c>
      <c r="Q302" s="636"/>
      <c r="R302" s="636"/>
      <c r="S302" s="636"/>
      <c r="T302" s="636"/>
      <c r="U302" s="636"/>
      <c r="V302" s="637"/>
      <c r="W302" s="37" t="s">
        <v>72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38" t="s">
        <v>71</v>
      </c>
      <c r="Q303" s="636"/>
      <c r="R303" s="636"/>
      <c r="S303" s="636"/>
      <c r="T303" s="636"/>
      <c r="U303" s="636"/>
      <c r="V303" s="637"/>
      <c r="W303" s="37" t="s">
        <v>66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505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11"/>
      <c r="AB304" s="611"/>
      <c r="AC304" s="611"/>
    </row>
    <row r="305" spans="1:68" ht="27" hidden="1" customHeight="1" x14ac:dyDescent="0.25">
      <c r="A305" s="54" t="s">
        <v>506</v>
      </c>
      <c r="B305" s="54" t="s">
        <v>507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316</v>
      </c>
      <c r="L305" s="32"/>
      <c r="M305" s="33" t="s">
        <v>317</v>
      </c>
      <c r="N305" s="33"/>
      <c r="O305" s="32">
        <v>45</v>
      </c>
      <c r="P305" s="86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4"/>
      <c r="V305" s="34"/>
      <c r="W305" s="35" t="s">
        <v>66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508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38" t="s">
        <v>71</v>
      </c>
      <c r="Q306" s="636"/>
      <c r="R306" s="636"/>
      <c r="S306" s="636"/>
      <c r="T306" s="636"/>
      <c r="U306" s="636"/>
      <c r="V306" s="637"/>
      <c r="W306" s="37" t="s">
        <v>72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38" t="s">
        <v>71</v>
      </c>
      <c r="Q307" s="636"/>
      <c r="R307" s="636"/>
      <c r="S307" s="636"/>
      <c r="T307" s="636"/>
      <c r="U307" s="636"/>
      <c r="V307" s="637"/>
      <c r="W307" s="37" t="s">
        <v>66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322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11"/>
      <c r="AB308" s="611"/>
      <c r="AC308" s="611"/>
    </row>
    <row r="309" spans="1:68" ht="27" hidden="1" customHeight="1" x14ac:dyDescent="0.25">
      <c r="A309" s="54" t="s">
        <v>509</v>
      </c>
      <c r="B309" s="54" t="s">
        <v>510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316</v>
      </c>
      <c r="L309" s="32"/>
      <c r="M309" s="33" t="s">
        <v>317</v>
      </c>
      <c r="N309" s="33"/>
      <c r="O309" s="32">
        <v>90</v>
      </c>
      <c r="P309" s="8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4"/>
      <c r="V309" s="34"/>
      <c r="W309" s="35" t="s">
        <v>66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511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512</v>
      </c>
      <c r="B310" s="54" t="s">
        <v>513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316</v>
      </c>
      <c r="L310" s="32"/>
      <c r="M310" s="33" t="s">
        <v>317</v>
      </c>
      <c r="N310" s="33"/>
      <c r="O310" s="32">
        <v>90</v>
      </c>
      <c r="P310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4"/>
      <c r="V310" s="34"/>
      <c r="W310" s="35" t="s">
        <v>66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511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316</v>
      </c>
      <c r="L311" s="32"/>
      <c r="M311" s="33" t="s">
        <v>317</v>
      </c>
      <c r="N311" s="33"/>
      <c r="O311" s="32">
        <v>90</v>
      </c>
      <c r="P311" s="8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4"/>
      <c r="V311" s="34"/>
      <c r="W311" s="35" t="s">
        <v>66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511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38" t="s">
        <v>71</v>
      </c>
      <c r="Q312" s="636"/>
      <c r="R312" s="636"/>
      <c r="S312" s="636"/>
      <c r="T312" s="636"/>
      <c r="U312" s="636"/>
      <c r="V312" s="637"/>
      <c r="W312" s="37" t="s">
        <v>72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38" t="s">
        <v>71</v>
      </c>
      <c r="Q313" s="636"/>
      <c r="R313" s="636"/>
      <c r="S313" s="636"/>
      <c r="T313" s="636"/>
      <c r="U313" s="636"/>
      <c r="V313" s="637"/>
      <c r="W313" s="37" t="s">
        <v>66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42" t="s">
        <v>516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10"/>
      <c r="AB314" s="610"/>
      <c r="AC314" s="610"/>
    </row>
    <row r="315" spans="1:68" ht="14.25" hidden="1" customHeight="1" x14ac:dyDescent="0.25">
      <c r="A315" s="628" t="s">
        <v>116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11"/>
      <c r="AB315" s="611"/>
      <c r="AC315" s="611"/>
    </row>
    <row r="316" spans="1:68" ht="27" hidden="1" customHeight="1" x14ac:dyDescent="0.25">
      <c r="A316" s="54" t="s">
        <v>517</v>
      </c>
      <c r="B316" s="54" t="s">
        <v>518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119</v>
      </c>
      <c r="L316" s="32"/>
      <c r="M316" s="33" t="s">
        <v>120</v>
      </c>
      <c r="N316" s="33"/>
      <c r="O316" s="32">
        <v>55</v>
      </c>
      <c r="P316" s="9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4"/>
      <c r="V316" s="34"/>
      <c r="W316" s="35" t="s">
        <v>66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519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520</v>
      </c>
      <c r="B317" s="54" t="s">
        <v>521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119</v>
      </c>
      <c r="L317" s="32"/>
      <c r="M317" s="33" t="s">
        <v>120</v>
      </c>
      <c r="N317" s="33"/>
      <c r="O317" s="32">
        <v>55</v>
      </c>
      <c r="P317" s="6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4"/>
      <c r="V317" s="34"/>
      <c r="W317" s="35" t="s">
        <v>66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522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523</v>
      </c>
      <c r="B318" s="54" t="s">
        <v>524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119</v>
      </c>
      <c r="L318" s="32"/>
      <c r="M318" s="33" t="s">
        <v>120</v>
      </c>
      <c r="N318" s="33"/>
      <c r="O318" s="32">
        <v>55</v>
      </c>
      <c r="P318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4"/>
      <c r="V318" s="34"/>
      <c r="W318" s="35" t="s">
        <v>66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525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526</v>
      </c>
      <c r="B319" s="54" t="s">
        <v>527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128</v>
      </c>
      <c r="L319" s="32"/>
      <c r="M319" s="33" t="s">
        <v>120</v>
      </c>
      <c r="N319" s="33"/>
      <c r="O319" s="32">
        <v>55</v>
      </c>
      <c r="P319" s="6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4"/>
      <c r="V319" s="34"/>
      <c r="W319" s="35" t="s">
        <v>66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528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529</v>
      </c>
      <c r="B320" s="54" t="s">
        <v>530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128</v>
      </c>
      <c r="L320" s="32"/>
      <c r="M320" s="33" t="s">
        <v>120</v>
      </c>
      <c r="N320" s="33"/>
      <c r="O320" s="32">
        <v>55</v>
      </c>
      <c r="P320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4"/>
      <c r="V320" s="34"/>
      <c r="W320" s="35" t="s">
        <v>66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531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38" t="s">
        <v>71</v>
      </c>
      <c r="Q321" s="636"/>
      <c r="R321" s="636"/>
      <c r="S321" s="636"/>
      <c r="T321" s="636"/>
      <c r="U321" s="636"/>
      <c r="V321" s="637"/>
      <c r="W321" s="37" t="s">
        <v>72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38" t="s">
        <v>71</v>
      </c>
      <c r="Q322" s="636"/>
      <c r="R322" s="636"/>
      <c r="S322" s="636"/>
      <c r="T322" s="636"/>
      <c r="U322" s="636"/>
      <c r="V322" s="637"/>
      <c r="W322" s="37" t="s">
        <v>66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42" t="s">
        <v>532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10"/>
      <c r="AB323" s="610"/>
      <c r="AC323" s="610"/>
    </row>
    <row r="324" spans="1:68" ht="14.25" hidden="1" customHeight="1" x14ac:dyDescent="0.25">
      <c r="A324" s="628" t="s">
        <v>73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11"/>
      <c r="AB324" s="611"/>
      <c r="AC324" s="611"/>
    </row>
    <row r="325" spans="1:68" ht="27" hidden="1" customHeight="1" x14ac:dyDescent="0.25">
      <c r="A325" s="54" t="s">
        <v>533</v>
      </c>
      <c r="B325" s="54" t="s">
        <v>534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76</v>
      </c>
      <c r="L325" s="32"/>
      <c r="M325" s="33" t="s">
        <v>77</v>
      </c>
      <c r="N325" s="33"/>
      <c r="O325" s="32">
        <v>45</v>
      </c>
      <c r="P325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4"/>
      <c r="V325" s="34"/>
      <c r="W325" s="35" t="s">
        <v>66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535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536</v>
      </c>
      <c r="B326" s="54" t="s">
        <v>537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76</v>
      </c>
      <c r="L326" s="32"/>
      <c r="M326" s="33" t="s">
        <v>83</v>
      </c>
      <c r="N326" s="33"/>
      <c r="O326" s="32">
        <v>40</v>
      </c>
      <c r="P326" s="9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4"/>
      <c r="V326" s="34"/>
      <c r="W326" s="35" t="s">
        <v>66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538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76</v>
      </c>
      <c r="L327" s="32"/>
      <c r="M327" s="33" t="s">
        <v>77</v>
      </c>
      <c r="N327" s="33"/>
      <c r="O327" s="32">
        <v>45</v>
      </c>
      <c r="P327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4"/>
      <c r="V327" s="34"/>
      <c r="W327" s="35" t="s">
        <v>66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535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38" t="s">
        <v>71</v>
      </c>
      <c r="Q328" s="636"/>
      <c r="R328" s="636"/>
      <c r="S328" s="636"/>
      <c r="T328" s="636"/>
      <c r="U328" s="636"/>
      <c r="V328" s="637"/>
      <c r="W328" s="37" t="s">
        <v>72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38" t="s">
        <v>71</v>
      </c>
      <c r="Q329" s="636"/>
      <c r="R329" s="636"/>
      <c r="S329" s="636"/>
      <c r="T329" s="636"/>
      <c r="U329" s="636"/>
      <c r="V329" s="637"/>
      <c r="W329" s="37" t="s">
        <v>66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42" t="s">
        <v>541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10"/>
      <c r="AB330" s="610"/>
      <c r="AC330" s="610"/>
    </row>
    <row r="331" spans="1:68" ht="14.25" hidden="1" customHeight="1" x14ac:dyDescent="0.25">
      <c r="A331" s="628" t="s">
        <v>61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11"/>
      <c r="AB331" s="611"/>
      <c r="AC331" s="611"/>
    </row>
    <row r="332" spans="1:68" ht="27" hidden="1" customHeight="1" x14ac:dyDescent="0.25">
      <c r="A332" s="54" t="s">
        <v>542</v>
      </c>
      <c r="B332" s="54" t="s">
        <v>543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64</v>
      </c>
      <c r="L332" s="32"/>
      <c r="M332" s="33" t="s">
        <v>65</v>
      </c>
      <c r="N332" s="33"/>
      <c r="O332" s="32">
        <v>45</v>
      </c>
      <c r="P332" s="8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4"/>
      <c r="V332" s="34"/>
      <c r="W332" s="35" t="s">
        <v>66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376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544</v>
      </c>
      <c r="B333" s="54" t="s">
        <v>545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64</v>
      </c>
      <c r="L333" s="32"/>
      <c r="M333" s="33" t="s">
        <v>65</v>
      </c>
      <c r="N333" s="33"/>
      <c r="O333" s="32">
        <v>40</v>
      </c>
      <c r="P333" s="74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4"/>
      <c r="V333" s="34"/>
      <c r="W333" s="35" t="s">
        <v>66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546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547</v>
      </c>
      <c r="B334" s="54" t="s">
        <v>548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64</v>
      </c>
      <c r="L334" s="32"/>
      <c r="M334" s="33" t="s">
        <v>65</v>
      </c>
      <c r="N334" s="33"/>
      <c r="O334" s="32">
        <v>40</v>
      </c>
      <c r="P334" s="9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4"/>
      <c r="V334" s="34"/>
      <c r="W334" s="35" t="s">
        <v>66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549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550</v>
      </c>
      <c r="B335" s="54" t="s">
        <v>551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76</v>
      </c>
      <c r="L335" s="32"/>
      <c r="M335" s="33" t="s">
        <v>65</v>
      </c>
      <c r="N335" s="33"/>
      <c r="O335" s="32">
        <v>40</v>
      </c>
      <c r="P335" s="74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4"/>
      <c r="V335" s="34"/>
      <c r="W335" s="35" t="s">
        <v>66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552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553</v>
      </c>
      <c r="B336" s="54" t="s">
        <v>554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64</v>
      </c>
      <c r="L336" s="32"/>
      <c r="M336" s="33" t="s">
        <v>65</v>
      </c>
      <c r="N336" s="33"/>
      <c r="O336" s="32">
        <v>40</v>
      </c>
      <c r="P336" s="7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4"/>
      <c r="V336" s="34"/>
      <c r="W336" s="35" t="s">
        <v>66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555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38" t="s">
        <v>71</v>
      </c>
      <c r="Q337" s="636"/>
      <c r="R337" s="636"/>
      <c r="S337" s="636"/>
      <c r="T337" s="636"/>
      <c r="U337" s="636"/>
      <c r="V337" s="637"/>
      <c r="W337" s="37" t="s">
        <v>72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38" t="s">
        <v>71</v>
      </c>
      <c r="Q338" s="636"/>
      <c r="R338" s="636"/>
      <c r="S338" s="636"/>
      <c r="T338" s="636"/>
      <c r="U338" s="636"/>
      <c r="V338" s="637"/>
      <c r="W338" s="37" t="s">
        <v>66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73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11"/>
      <c r="AB339" s="611"/>
      <c r="AC339" s="611"/>
    </row>
    <row r="340" spans="1:68" ht="27" hidden="1" customHeight="1" x14ac:dyDescent="0.25">
      <c r="A340" s="54" t="s">
        <v>556</v>
      </c>
      <c r="B340" s="54" t="s">
        <v>557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128</v>
      </c>
      <c r="L340" s="32"/>
      <c r="M340" s="33" t="s">
        <v>77</v>
      </c>
      <c r="N340" s="33"/>
      <c r="O340" s="32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4"/>
      <c r="V340" s="34"/>
      <c r="W340" s="35" t="s">
        <v>66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558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128</v>
      </c>
      <c r="L341" s="32"/>
      <c r="M341" s="33" t="s">
        <v>77</v>
      </c>
      <c r="N341" s="33"/>
      <c r="O341" s="32">
        <v>45</v>
      </c>
      <c r="P341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4"/>
      <c r="V341" s="34"/>
      <c r="W341" s="35" t="s">
        <v>66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561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38" t="s">
        <v>71</v>
      </c>
      <c r="Q342" s="636"/>
      <c r="R342" s="636"/>
      <c r="S342" s="636"/>
      <c r="T342" s="636"/>
      <c r="U342" s="636"/>
      <c r="V342" s="637"/>
      <c r="W342" s="37" t="s">
        <v>72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38" t="s">
        <v>71</v>
      </c>
      <c r="Q343" s="636"/>
      <c r="R343" s="636"/>
      <c r="S343" s="636"/>
      <c r="T343" s="636"/>
      <c r="U343" s="636"/>
      <c r="V343" s="637"/>
      <c r="W343" s="37" t="s">
        <v>66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42" t="s">
        <v>562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10"/>
      <c r="AB344" s="610"/>
      <c r="AC344" s="610"/>
    </row>
    <row r="345" spans="1:68" ht="14.25" hidden="1" customHeight="1" x14ac:dyDescent="0.25">
      <c r="A345" s="628" t="s">
        <v>116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11"/>
      <c r="AB345" s="611"/>
      <c r="AC345" s="611"/>
    </row>
    <row r="346" spans="1:68" ht="27" hidden="1" customHeight="1" x14ac:dyDescent="0.25">
      <c r="A346" s="54" t="s">
        <v>563</v>
      </c>
      <c r="B346" s="54" t="s">
        <v>564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119</v>
      </c>
      <c r="L346" s="32"/>
      <c r="M346" s="33" t="s">
        <v>77</v>
      </c>
      <c r="N346" s="33"/>
      <c r="O346" s="32">
        <v>60</v>
      </c>
      <c r="P346" s="73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4"/>
      <c r="V346" s="34"/>
      <c r="W346" s="35" t="s">
        <v>66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565</v>
      </c>
      <c r="B347" s="54" t="s">
        <v>566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119</v>
      </c>
      <c r="L347" s="32"/>
      <c r="M347" s="33" t="s">
        <v>77</v>
      </c>
      <c r="N347" s="33"/>
      <c r="O347" s="32">
        <v>60</v>
      </c>
      <c r="P347" s="7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4"/>
      <c r="V347" s="34"/>
      <c r="W347" s="35" t="s">
        <v>66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567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568</v>
      </c>
      <c r="B348" s="54" t="s">
        <v>569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119</v>
      </c>
      <c r="L348" s="32"/>
      <c r="M348" s="33" t="s">
        <v>77</v>
      </c>
      <c r="N348" s="33"/>
      <c r="O348" s="32">
        <v>60</v>
      </c>
      <c r="P348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4"/>
      <c r="V348" s="34"/>
      <c r="W348" s="35" t="s">
        <v>66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570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38" t="s">
        <v>71</v>
      </c>
      <c r="Q349" s="636"/>
      <c r="R349" s="636"/>
      <c r="S349" s="636"/>
      <c r="T349" s="636"/>
      <c r="U349" s="636"/>
      <c r="V349" s="637"/>
      <c r="W349" s="37" t="s">
        <v>72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38" t="s">
        <v>71</v>
      </c>
      <c r="Q350" s="636"/>
      <c r="R350" s="636"/>
      <c r="S350" s="636"/>
      <c r="T350" s="636"/>
      <c r="U350" s="636"/>
      <c r="V350" s="637"/>
      <c r="W350" s="37" t="s">
        <v>66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42" t="s">
        <v>571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10"/>
      <c r="AB351" s="610"/>
      <c r="AC351" s="610"/>
    </row>
    <row r="352" spans="1:68" ht="14.25" hidden="1" customHeight="1" x14ac:dyDescent="0.25">
      <c r="A352" s="628" t="s">
        <v>116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11"/>
      <c r="AB352" s="611"/>
      <c r="AC352" s="611"/>
    </row>
    <row r="353" spans="1:68" ht="27" hidden="1" customHeight="1" x14ac:dyDescent="0.25">
      <c r="A353" s="54" t="s">
        <v>572</v>
      </c>
      <c r="B353" s="54" t="s">
        <v>573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119</v>
      </c>
      <c r="L353" s="32"/>
      <c r="M353" s="33" t="s">
        <v>120</v>
      </c>
      <c r="N353" s="33"/>
      <c r="O353" s="32">
        <v>55</v>
      </c>
      <c r="P353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4"/>
      <c r="V353" s="34"/>
      <c r="W353" s="35" t="s">
        <v>66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574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575</v>
      </c>
      <c r="B354" s="54" t="s">
        <v>576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119</v>
      </c>
      <c r="L354" s="32"/>
      <c r="M354" s="33" t="s">
        <v>120</v>
      </c>
      <c r="N354" s="33"/>
      <c r="O354" s="32">
        <v>55</v>
      </c>
      <c r="P354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4"/>
      <c r="V354" s="34"/>
      <c r="W354" s="35" t="s">
        <v>66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577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578</v>
      </c>
      <c r="B355" s="54" t="s">
        <v>579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119</v>
      </c>
      <c r="L355" s="32"/>
      <c r="M355" s="33" t="s">
        <v>77</v>
      </c>
      <c r="N355" s="33"/>
      <c r="O355" s="32">
        <v>55</v>
      </c>
      <c r="P355" s="6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4"/>
      <c r="V355" s="34"/>
      <c r="W355" s="35" t="s">
        <v>66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580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581</v>
      </c>
      <c r="B356" s="54" t="s">
        <v>582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128</v>
      </c>
      <c r="L356" s="32"/>
      <c r="M356" s="33" t="s">
        <v>120</v>
      </c>
      <c r="N356" s="33"/>
      <c r="O356" s="32">
        <v>55</v>
      </c>
      <c r="P356" s="8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4"/>
      <c r="V356" s="34"/>
      <c r="W356" s="35" t="s">
        <v>66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574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583</v>
      </c>
      <c r="B357" s="54" t="s">
        <v>584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128</v>
      </c>
      <c r="L357" s="32"/>
      <c r="M357" s="33" t="s">
        <v>120</v>
      </c>
      <c r="N357" s="33"/>
      <c r="O357" s="32">
        <v>55</v>
      </c>
      <c r="P357" s="71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4"/>
      <c r="V357" s="34"/>
      <c r="W357" s="35" t="s">
        <v>66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585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38" t="s">
        <v>71</v>
      </c>
      <c r="Q358" s="636"/>
      <c r="R358" s="636"/>
      <c r="S358" s="636"/>
      <c r="T358" s="636"/>
      <c r="U358" s="636"/>
      <c r="V358" s="637"/>
      <c r="W358" s="37" t="s">
        <v>72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38" t="s">
        <v>71</v>
      </c>
      <c r="Q359" s="636"/>
      <c r="R359" s="636"/>
      <c r="S359" s="636"/>
      <c r="T359" s="636"/>
      <c r="U359" s="636"/>
      <c r="V359" s="637"/>
      <c r="W359" s="37" t="s">
        <v>66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61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11"/>
      <c r="AB360" s="611"/>
      <c r="AC360" s="611"/>
    </row>
    <row r="361" spans="1:68" ht="27" hidden="1" customHeight="1" x14ac:dyDescent="0.25">
      <c r="A361" s="54" t="s">
        <v>586</v>
      </c>
      <c r="B361" s="54" t="s">
        <v>587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128</v>
      </c>
      <c r="L361" s="32"/>
      <c r="M361" s="33" t="s">
        <v>65</v>
      </c>
      <c r="N361" s="33"/>
      <c r="O361" s="32">
        <v>35</v>
      </c>
      <c r="P361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4"/>
      <c r="V361" s="34"/>
      <c r="W361" s="35" t="s">
        <v>66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128</v>
      </c>
      <c r="L362" s="32"/>
      <c r="M362" s="33" t="s">
        <v>65</v>
      </c>
      <c r="N362" s="33"/>
      <c r="O362" s="32">
        <v>40</v>
      </c>
      <c r="P362" s="7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4"/>
      <c r="V362" s="34"/>
      <c r="W362" s="35" t="s">
        <v>66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128</v>
      </c>
      <c r="L363" s="32"/>
      <c r="M363" s="33" t="s">
        <v>65</v>
      </c>
      <c r="N363" s="33"/>
      <c r="O363" s="32">
        <v>45</v>
      </c>
      <c r="P363" s="6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4"/>
      <c r="V363" s="34"/>
      <c r="W363" s="35" t="s">
        <v>66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595</v>
      </c>
      <c r="B364" s="54" t="s">
        <v>596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64</v>
      </c>
      <c r="L364" s="32"/>
      <c r="M364" s="33" t="s">
        <v>65</v>
      </c>
      <c r="N364" s="33"/>
      <c r="O364" s="32">
        <v>40</v>
      </c>
      <c r="P364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4"/>
      <c r="V364" s="34"/>
      <c r="W364" s="35" t="s">
        <v>66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597</v>
      </c>
      <c r="B365" s="54" t="s">
        <v>598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64</v>
      </c>
      <c r="L365" s="32"/>
      <c r="M365" s="33" t="s">
        <v>65</v>
      </c>
      <c r="N365" s="33"/>
      <c r="O365" s="32">
        <v>40</v>
      </c>
      <c r="P365" s="7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4"/>
      <c r="V365" s="34"/>
      <c r="W365" s="35" t="s">
        <v>66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599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600</v>
      </c>
      <c r="B366" s="54" t="s">
        <v>601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128</v>
      </c>
      <c r="L366" s="32"/>
      <c r="M366" s="33" t="s">
        <v>65</v>
      </c>
      <c r="N366" s="33"/>
      <c r="O366" s="32">
        <v>45</v>
      </c>
      <c r="P366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4"/>
      <c r="V366" s="34"/>
      <c r="W366" s="35" t="s">
        <v>66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602</v>
      </c>
      <c r="B367" s="54" t="s">
        <v>603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76</v>
      </c>
      <c r="L367" s="32"/>
      <c r="M367" s="33" t="s">
        <v>65</v>
      </c>
      <c r="N367" s="33"/>
      <c r="O367" s="32">
        <v>40</v>
      </c>
      <c r="P367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4"/>
      <c r="V367" s="34"/>
      <c r="W367" s="35" t="s">
        <v>66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604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38" t="s">
        <v>71</v>
      </c>
      <c r="Q368" s="636"/>
      <c r="R368" s="636"/>
      <c r="S368" s="636"/>
      <c r="T368" s="636"/>
      <c r="U368" s="636"/>
      <c r="V368" s="637"/>
      <c r="W368" s="37" t="s">
        <v>72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38" t="s">
        <v>71</v>
      </c>
      <c r="Q369" s="636"/>
      <c r="R369" s="636"/>
      <c r="S369" s="636"/>
      <c r="T369" s="636"/>
      <c r="U369" s="636"/>
      <c r="V369" s="637"/>
      <c r="W369" s="37" t="s">
        <v>66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73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11"/>
      <c r="AB370" s="611"/>
      <c r="AC370" s="611"/>
    </row>
    <row r="371" spans="1:68" ht="27" hidden="1" customHeight="1" x14ac:dyDescent="0.25">
      <c r="A371" s="54" t="s">
        <v>605</v>
      </c>
      <c r="B371" s="54" t="s">
        <v>606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119</v>
      </c>
      <c r="L371" s="32"/>
      <c r="M371" s="33" t="s">
        <v>77</v>
      </c>
      <c r="N371" s="33"/>
      <c r="O371" s="32">
        <v>40</v>
      </c>
      <c r="P371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4"/>
      <c r="V371" s="34"/>
      <c r="W371" s="35" t="s">
        <v>66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607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608</v>
      </c>
      <c r="B372" s="54" t="s">
        <v>609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119</v>
      </c>
      <c r="L372" s="32"/>
      <c r="M372" s="33" t="s">
        <v>77</v>
      </c>
      <c r="N372" s="33"/>
      <c r="O372" s="32">
        <v>40</v>
      </c>
      <c r="P372" s="8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4"/>
      <c r="V372" s="34"/>
      <c r="W372" s="35" t="s">
        <v>66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610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611</v>
      </c>
      <c r="B373" s="54" t="s">
        <v>612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119</v>
      </c>
      <c r="L373" s="32"/>
      <c r="M373" s="33" t="s">
        <v>77</v>
      </c>
      <c r="N373" s="33"/>
      <c r="O373" s="32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4"/>
      <c r="V373" s="34"/>
      <c r="W373" s="35" t="s">
        <v>66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613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614</v>
      </c>
      <c r="B374" s="54" t="s">
        <v>615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76</v>
      </c>
      <c r="L374" s="32"/>
      <c r="M374" s="33" t="s">
        <v>77</v>
      </c>
      <c r="N374" s="33"/>
      <c r="O374" s="32">
        <v>40</v>
      </c>
      <c r="P374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4"/>
      <c r="V374" s="34"/>
      <c r="W374" s="35" t="s">
        <v>66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607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38" t="s">
        <v>71</v>
      </c>
      <c r="Q375" s="636"/>
      <c r="R375" s="636"/>
      <c r="S375" s="636"/>
      <c r="T375" s="636"/>
      <c r="U375" s="636"/>
      <c r="V375" s="637"/>
      <c r="W375" s="37" t="s">
        <v>72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38" t="s">
        <v>71</v>
      </c>
      <c r="Q376" s="636"/>
      <c r="R376" s="636"/>
      <c r="S376" s="636"/>
      <c r="T376" s="636"/>
      <c r="U376" s="636"/>
      <c r="V376" s="637"/>
      <c r="W376" s="37" t="s">
        <v>66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169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11"/>
      <c r="AB377" s="611"/>
      <c r="AC377" s="611"/>
    </row>
    <row r="378" spans="1:68" ht="27" hidden="1" customHeight="1" x14ac:dyDescent="0.25">
      <c r="A378" s="54" t="s">
        <v>616</v>
      </c>
      <c r="B378" s="54" t="s">
        <v>617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119</v>
      </c>
      <c r="L378" s="32"/>
      <c r="M378" s="33" t="s">
        <v>77</v>
      </c>
      <c r="N378" s="33"/>
      <c r="O378" s="32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4"/>
      <c r="V378" s="34"/>
      <c r="W378" s="35" t="s">
        <v>66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618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619</v>
      </c>
      <c r="B379" s="54" t="s">
        <v>620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119</v>
      </c>
      <c r="L379" s="32"/>
      <c r="M379" s="33" t="s">
        <v>77</v>
      </c>
      <c r="N379" s="33"/>
      <c r="O379" s="32">
        <v>30</v>
      </c>
      <c r="P379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4"/>
      <c r="V379" s="34"/>
      <c r="W379" s="35" t="s">
        <v>66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621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622</v>
      </c>
      <c r="B380" s="54" t="s">
        <v>623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119</v>
      </c>
      <c r="L380" s="32"/>
      <c r="M380" s="33" t="s">
        <v>83</v>
      </c>
      <c r="N380" s="33"/>
      <c r="O380" s="32">
        <v>30</v>
      </c>
      <c r="P380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4"/>
      <c r="V380" s="34"/>
      <c r="W380" s="35" t="s">
        <v>66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624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38" t="s">
        <v>71</v>
      </c>
      <c r="Q381" s="636"/>
      <c r="R381" s="636"/>
      <c r="S381" s="636"/>
      <c r="T381" s="636"/>
      <c r="U381" s="636"/>
      <c r="V381" s="637"/>
      <c r="W381" s="37" t="s">
        <v>72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38" t="s">
        <v>71</v>
      </c>
      <c r="Q382" s="636"/>
      <c r="R382" s="636"/>
      <c r="S382" s="636"/>
      <c r="T382" s="636"/>
      <c r="U382" s="636"/>
      <c r="V382" s="637"/>
      <c r="W382" s="37" t="s">
        <v>66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91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11"/>
      <c r="AB383" s="611"/>
      <c r="AC383" s="611"/>
    </row>
    <row r="384" spans="1:68" ht="27" hidden="1" customHeight="1" x14ac:dyDescent="0.25">
      <c r="A384" s="54" t="s">
        <v>625</v>
      </c>
      <c r="B384" s="54" t="s">
        <v>626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128</v>
      </c>
      <c r="L384" s="32"/>
      <c r="M384" s="33" t="s">
        <v>94</v>
      </c>
      <c r="N384" s="33"/>
      <c r="O384" s="32">
        <v>180</v>
      </c>
      <c r="P384" s="9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4"/>
      <c r="V384" s="34"/>
      <c r="W384" s="35" t="s">
        <v>66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627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128</v>
      </c>
      <c r="L385" s="32"/>
      <c r="M385" s="33" t="s">
        <v>94</v>
      </c>
      <c r="N385" s="33"/>
      <c r="O385" s="32">
        <v>180</v>
      </c>
      <c r="P385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4"/>
      <c r="V385" s="34"/>
      <c r="W385" s="35" t="s">
        <v>66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627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630</v>
      </c>
      <c r="B386" s="54" t="s">
        <v>631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76</v>
      </c>
      <c r="L386" s="32"/>
      <c r="M386" s="33" t="s">
        <v>94</v>
      </c>
      <c r="N386" s="33"/>
      <c r="O386" s="32">
        <v>180</v>
      </c>
      <c r="P386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4"/>
      <c r="V386" s="34"/>
      <c r="W386" s="35" t="s">
        <v>66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627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76</v>
      </c>
      <c r="L387" s="32"/>
      <c r="M387" s="33" t="s">
        <v>94</v>
      </c>
      <c r="N387" s="33"/>
      <c r="O387" s="32">
        <v>180</v>
      </c>
      <c r="P387" s="8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4"/>
      <c r="V387" s="34"/>
      <c r="W387" s="35" t="s">
        <v>66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627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38" t="s">
        <v>71</v>
      </c>
      <c r="Q388" s="636"/>
      <c r="R388" s="636"/>
      <c r="S388" s="636"/>
      <c r="T388" s="636"/>
      <c r="U388" s="636"/>
      <c r="V388" s="637"/>
      <c r="W388" s="37" t="s">
        <v>72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38" t="s">
        <v>71</v>
      </c>
      <c r="Q389" s="636"/>
      <c r="R389" s="636"/>
      <c r="S389" s="636"/>
      <c r="T389" s="636"/>
      <c r="U389" s="636"/>
      <c r="V389" s="637"/>
      <c r="W389" s="37" t="s">
        <v>66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634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11"/>
      <c r="AB390" s="611"/>
      <c r="AC390" s="611"/>
    </row>
    <row r="391" spans="1:68" ht="16.5" hidden="1" customHeight="1" x14ac:dyDescent="0.25">
      <c r="A391" s="54" t="s">
        <v>635</v>
      </c>
      <c r="B391" s="54" t="s">
        <v>636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76</v>
      </c>
      <c r="L391" s="32"/>
      <c r="M391" s="33" t="s">
        <v>637</v>
      </c>
      <c r="N391" s="33"/>
      <c r="O391" s="32">
        <v>731</v>
      </c>
      <c r="P391" s="9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4"/>
      <c r="V391" s="34"/>
      <c r="W391" s="35" t="s">
        <v>66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638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76</v>
      </c>
      <c r="L392" s="32"/>
      <c r="M392" s="33" t="s">
        <v>637</v>
      </c>
      <c r="N392" s="33"/>
      <c r="O392" s="32">
        <v>731</v>
      </c>
      <c r="P39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4"/>
      <c r="V392" s="34"/>
      <c r="W392" s="35" t="s">
        <v>66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638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641</v>
      </c>
      <c r="B393" s="54" t="s">
        <v>642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76</v>
      </c>
      <c r="L393" s="32"/>
      <c r="M393" s="33" t="s">
        <v>637</v>
      </c>
      <c r="N393" s="33"/>
      <c r="O393" s="32">
        <v>731</v>
      </c>
      <c r="P393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4"/>
      <c r="V393" s="34"/>
      <c r="W393" s="35" t="s">
        <v>66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638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38" t="s">
        <v>71</v>
      </c>
      <c r="Q394" s="636"/>
      <c r="R394" s="636"/>
      <c r="S394" s="636"/>
      <c r="T394" s="636"/>
      <c r="U394" s="636"/>
      <c r="V394" s="637"/>
      <c r="W394" s="37" t="s">
        <v>72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38" t="s">
        <v>71</v>
      </c>
      <c r="Q395" s="636"/>
      <c r="R395" s="636"/>
      <c r="S395" s="636"/>
      <c r="T395" s="636"/>
      <c r="U395" s="636"/>
      <c r="V395" s="637"/>
      <c r="W395" s="37" t="s">
        <v>66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643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11"/>
      <c r="AB396" s="611"/>
      <c r="AC396" s="611"/>
    </row>
    <row r="397" spans="1:68" ht="27" hidden="1" customHeight="1" x14ac:dyDescent="0.25">
      <c r="A397" s="54" t="s">
        <v>644</v>
      </c>
      <c r="B397" s="54" t="s">
        <v>645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76</v>
      </c>
      <c r="L397" s="32"/>
      <c r="M397" s="33" t="s">
        <v>637</v>
      </c>
      <c r="N397" s="33"/>
      <c r="O397" s="32">
        <v>1095</v>
      </c>
      <c r="P397" s="8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4"/>
      <c r="V397" s="34"/>
      <c r="W397" s="35" t="s">
        <v>66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263</v>
      </c>
      <c r="AC397" s="473" t="s">
        <v>646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647</v>
      </c>
      <c r="B398" s="54" t="s">
        <v>648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128</v>
      </c>
      <c r="L398" s="32"/>
      <c r="M398" s="33" t="s">
        <v>637</v>
      </c>
      <c r="N398" s="33"/>
      <c r="O398" s="32">
        <v>1095</v>
      </c>
      <c r="P398" s="77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4"/>
      <c r="V398" s="34"/>
      <c r="W398" s="35" t="s">
        <v>66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263</v>
      </c>
      <c r="AC398" s="475" t="s">
        <v>649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76</v>
      </c>
      <c r="L399" s="32"/>
      <c r="M399" s="33" t="s">
        <v>637</v>
      </c>
      <c r="N399" s="33"/>
      <c r="O399" s="32">
        <v>1095</v>
      </c>
      <c r="P399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4"/>
      <c r="V399" s="34"/>
      <c r="W399" s="35" t="s">
        <v>66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263</v>
      </c>
      <c r="AC399" s="477" t="s">
        <v>646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38" t="s">
        <v>71</v>
      </c>
      <c r="Q400" s="636"/>
      <c r="R400" s="636"/>
      <c r="S400" s="636"/>
      <c r="T400" s="636"/>
      <c r="U400" s="636"/>
      <c r="V400" s="637"/>
      <c r="W400" s="37" t="s">
        <v>72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38" t="s">
        <v>71</v>
      </c>
      <c r="Q401" s="636"/>
      <c r="R401" s="636"/>
      <c r="S401" s="636"/>
      <c r="T401" s="636"/>
      <c r="U401" s="636"/>
      <c r="V401" s="637"/>
      <c r="W401" s="37" t="s">
        <v>66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42" t="s">
        <v>652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10"/>
      <c r="AB402" s="610"/>
      <c r="AC402" s="610"/>
    </row>
    <row r="403" spans="1:68" ht="14.25" hidden="1" customHeight="1" x14ac:dyDescent="0.25">
      <c r="A403" s="628" t="s">
        <v>73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11"/>
      <c r="AB403" s="611"/>
      <c r="AC403" s="611"/>
    </row>
    <row r="404" spans="1:68" ht="27" hidden="1" customHeight="1" x14ac:dyDescent="0.25">
      <c r="A404" s="54" t="s">
        <v>653</v>
      </c>
      <c r="B404" s="54" t="s">
        <v>654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119</v>
      </c>
      <c r="L404" s="32"/>
      <c r="M404" s="33" t="s">
        <v>83</v>
      </c>
      <c r="N404" s="33"/>
      <c r="O404" s="32">
        <v>45</v>
      </c>
      <c r="P404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4"/>
      <c r="V404" s="34"/>
      <c r="W404" s="35" t="s">
        <v>66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655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656</v>
      </c>
      <c r="B405" s="54" t="s">
        <v>657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76</v>
      </c>
      <c r="L405" s="32"/>
      <c r="M405" s="33" t="s">
        <v>77</v>
      </c>
      <c r="N405" s="33"/>
      <c r="O405" s="32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4"/>
      <c r="V405" s="34"/>
      <c r="W405" s="35" t="s">
        <v>66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658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76</v>
      </c>
      <c r="L406" s="32"/>
      <c r="M406" s="33" t="s">
        <v>83</v>
      </c>
      <c r="N406" s="33"/>
      <c r="O406" s="32">
        <v>40</v>
      </c>
      <c r="P406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4"/>
      <c r="V406" s="34"/>
      <c r="W406" s="35" t="s">
        <v>66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661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38" t="s">
        <v>71</v>
      </c>
      <c r="Q407" s="636"/>
      <c r="R407" s="636"/>
      <c r="S407" s="636"/>
      <c r="T407" s="636"/>
      <c r="U407" s="636"/>
      <c r="V407" s="637"/>
      <c r="W407" s="37" t="s">
        <v>72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38" t="s">
        <v>71</v>
      </c>
      <c r="Q408" s="636"/>
      <c r="R408" s="636"/>
      <c r="S408" s="636"/>
      <c r="T408" s="636"/>
      <c r="U408" s="636"/>
      <c r="V408" s="637"/>
      <c r="W408" s="37" t="s">
        <v>66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19" t="s">
        <v>662</v>
      </c>
      <c r="B409" s="720"/>
      <c r="C409" s="720"/>
      <c r="D409" s="720"/>
      <c r="E409" s="720"/>
      <c r="F409" s="720"/>
      <c r="G409" s="720"/>
      <c r="H409" s="720"/>
      <c r="I409" s="720"/>
      <c r="J409" s="720"/>
      <c r="K409" s="720"/>
      <c r="L409" s="720"/>
      <c r="M409" s="720"/>
      <c r="N409" s="720"/>
      <c r="O409" s="720"/>
      <c r="P409" s="720"/>
      <c r="Q409" s="720"/>
      <c r="R409" s="720"/>
      <c r="S409" s="720"/>
      <c r="T409" s="720"/>
      <c r="U409" s="720"/>
      <c r="V409" s="720"/>
      <c r="W409" s="720"/>
      <c r="X409" s="720"/>
      <c r="Y409" s="720"/>
      <c r="Z409" s="720"/>
      <c r="AA409" s="48"/>
      <c r="AB409" s="48"/>
      <c r="AC409" s="48"/>
    </row>
    <row r="410" spans="1:68" ht="16.5" hidden="1" customHeight="1" x14ac:dyDescent="0.25">
      <c r="A410" s="642" t="s">
        <v>663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10"/>
      <c r="AB410" s="610"/>
      <c r="AC410" s="610"/>
    </row>
    <row r="411" spans="1:68" ht="14.25" hidden="1" customHeight="1" x14ac:dyDescent="0.25">
      <c r="A411" s="628" t="s">
        <v>116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11"/>
      <c r="AB411" s="611"/>
      <c r="AC411" s="611"/>
    </row>
    <row r="412" spans="1:68" ht="27" hidden="1" customHeight="1" x14ac:dyDescent="0.25">
      <c r="A412" s="54" t="s">
        <v>664</v>
      </c>
      <c r="B412" s="54" t="s">
        <v>665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119</v>
      </c>
      <c r="L412" s="32"/>
      <c r="M412" s="33" t="s">
        <v>83</v>
      </c>
      <c r="N412" s="33"/>
      <c r="O412" s="32">
        <v>60</v>
      </c>
      <c r="P41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4"/>
      <c r="V412" s="34"/>
      <c r="W412" s="35" t="s">
        <v>66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666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667</v>
      </c>
      <c r="B413" s="54" t="s">
        <v>668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119</v>
      </c>
      <c r="L413" s="32"/>
      <c r="M413" s="33" t="s">
        <v>65</v>
      </c>
      <c r="N413" s="33"/>
      <c r="O413" s="32">
        <v>60</v>
      </c>
      <c r="P413" s="9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4"/>
      <c r="V413" s="34"/>
      <c r="W413" s="35" t="s">
        <v>66</v>
      </c>
      <c r="X413" s="615">
        <v>800</v>
      </c>
      <c r="Y413" s="616">
        <f t="shared" si="47"/>
        <v>810</v>
      </c>
      <c r="Z413" s="36">
        <f>IFERROR(IF(Y413=0,"",ROUNDUP(Y413/H413,0)*0.02175),"")</f>
        <v>1.1744999999999999</v>
      </c>
      <c r="AA413" s="56"/>
      <c r="AB413" s="57"/>
      <c r="AC413" s="487" t="s">
        <v>669</v>
      </c>
      <c r="AG413" s="64"/>
      <c r="AJ413" s="68"/>
      <c r="AK413" s="68">
        <v>0</v>
      </c>
      <c r="BB413" s="488" t="s">
        <v>1</v>
      </c>
      <c r="BM413" s="64">
        <f t="shared" si="48"/>
        <v>825.06666666666672</v>
      </c>
      <c r="BN413" s="64">
        <f t="shared" si="49"/>
        <v>835.38</v>
      </c>
      <c r="BO413" s="64">
        <f t="shared" si="50"/>
        <v>1.1111111111111112</v>
      </c>
      <c r="BP413" s="64">
        <f t="shared" si="51"/>
        <v>1.125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119</v>
      </c>
      <c r="L414" s="32"/>
      <c r="M414" s="33" t="s">
        <v>120</v>
      </c>
      <c r="N414" s="33"/>
      <c r="O414" s="32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4"/>
      <c r="V414" s="34"/>
      <c r="W414" s="35" t="s">
        <v>66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672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673</v>
      </c>
      <c r="B415" s="54" t="s">
        <v>674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119</v>
      </c>
      <c r="L415" s="32"/>
      <c r="M415" s="33" t="s">
        <v>65</v>
      </c>
      <c r="N415" s="33"/>
      <c r="O415" s="32">
        <v>60</v>
      </c>
      <c r="P415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4"/>
      <c r="V415" s="34"/>
      <c r="W415" s="35" t="s">
        <v>66</v>
      </c>
      <c r="X415" s="615">
        <v>800</v>
      </c>
      <c r="Y415" s="616">
        <f t="shared" si="47"/>
        <v>810</v>
      </c>
      <c r="Z415" s="36">
        <f>IFERROR(IF(Y415=0,"",ROUNDUP(Y415/H415,0)*0.02175),"")</f>
        <v>1.1744999999999999</v>
      </c>
      <c r="AA415" s="56"/>
      <c r="AB415" s="57"/>
      <c r="AC415" s="491" t="s">
        <v>675</v>
      </c>
      <c r="AG415" s="64"/>
      <c r="AJ415" s="68"/>
      <c r="AK415" s="68">
        <v>0</v>
      </c>
      <c r="BB415" s="492" t="s">
        <v>1</v>
      </c>
      <c r="BM415" s="64">
        <f t="shared" si="48"/>
        <v>825.06666666666672</v>
      </c>
      <c r="BN415" s="64">
        <f t="shared" si="49"/>
        <v>835.38</v>
      </c>
      <c r="BO415" s="64">
        <f t="shared" si="50"/>
        <v>1.1111111111111112</v>
      </c>
      <c r="BP415" s="64">
        <f t="shared" si="51"/>
        <v>1.125</v>
      </c>
    </row>
    <row r="416" spans="1:68" ht="27" hidden="1" customHeight="1" x14ac:dyDescent="0.25">
      <c r="A416" s="54" t="s">
        <v>676</v>
      </c>
      <c r="B416" s="54" t="s">
        <v>677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119</v>
      </c>
      <c r="L416" s="32"/>
      <c r="M416" s="33" t="s">
        <v>83</v>
      </c>
      <c r="N416" s="33"/>
      <c r="O416" s="32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4"/>
      <c r="V416" s="34"/>
      <c r="W416" s="35" t="s">
        <v>66</v>
      </c>
      <c r="X416" s="615">
        <v>0</v>
      </c>
      <c r="Y416" s="616">
        <f t="shared" si="47"/>
        <v>0</v>
      </c>
      <c r="Z416" s="36" t="str">
        <f>IFERROR(IF(Y416=0,"",ROUNDUP(Y416/H416,0)*0.02175),"")</f>
        <v/>
      </c>
      <c r="AA416" s="56"/>
      <c r="AB416" s="57"/>
      <c r="AC416" s="493" t="s">
        <v>678</v>
      </c>
      <c r="AG416" s="64"/>
      <c r="AJ416" s="68"/>
      <c r="AK416" s="68">
        <v>0</v>
      </c>
      <c r="BB416" s="494" t="s">
        <v>1</v>
      </c>
      <c r="BM416" s="64">
        <f t="shared" si="48"/>
        <v>0</v>
      </c>
      <c r="BN416" s="64">
        <f t="shared" si="49"/>
        <v>0</v>
      </c>
      <c r="BO416" s="64">
        <f t="shared" si="50"/>
        <v>0</v>
      </c>
      <c r="BP416" s="64">
        <f t="shared" si="51"/>
        <v>0</v>
      </c>
    </row>
    <row r="417" spans="1:68" ht="27" hidden="1" customHeight="1" x14ac:dyDescent="0.25">
      <c r="A417" s="54" t="s">
        <v>679</v>
      </c>
      <c r="B417" s="54" t="s">
        <v>680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128</v>
      </c>
      <c r="L417" s="32"/>
      <c r="M417" s="33" t="s">
        <v>120</v>
      </c>
      <c r="N417" s="33"/>
      <c r="O417" s="32">
        <v>90</v>
      </c>
      <c r="P417" s="72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4"/>
      <c r="V417" s="34"/>
      <c r="W417" s="35" t="s">
        <v>66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681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682</v>
      </c>
      <c r="B418" s="54" t="s">
        <v>683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128</v>
      </c>
      <c r="L418" s="32"/>
      <c r="M418" s="33" t="s">
        <v>65</v>
      </c>
      <c r="N418" s="33"/>
      <c r="O418" s="32">
        <v>60</v>
      </c>
      <c r="P41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4"/>
      <c r="V418" s="34"/>
      <c r="W418" s="35" t="s">
        <v>66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684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685</v>
      </c>
      <c r="B419" s="54" t="s">
        <v>686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128</v>
      </c>
      <c r="L419" s="32"/>
      <c r="M419" s="33" t="s">
        <v>65</v>
      </c>
      <c r="N419" s="33"/>
      <c r="O419" s="32">
        <v>60</v>
      </c>
      <c r="P419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4"/>
      <c r="V419" s="34"/>
      <c r="W419" s="35" t="s">
        <v>66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687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38" t="s">
        <v>71</v>
      </c>
      <c r="Q420" s="636"/>
      <c r="R420" s="636"/>
      <c r="S420" s="636"/>
      <c r="T420" s="636"/>
      <c r="U420" s="636"/>
      <c r="V420" s="637"/>
      <c r="W420" s="37" t="s">
        <v>72</v>
      </c>
      <c r="X420" s="617">
        <f>IFERROR(X412/H412,"0")+IFERROR(X413/H413,"0")+IFERROR(X414/H414,"0")+IFERROR(X415/H415,"0")+IFERROR(X416/H416,"0")+IFERROR(X417/H417,"0")+IFERROR(X418/H418,"0")+IFERROR(X419/H419,"0")</f>
        <v>106.66666666666667</v>
      </c>
      <c r="Y420" s="617">
        <f>IFERROR(Y412/H412,"0")+IFERROR(Y413/H413,"0")+IFERROR(Y414/H414,"0")+IFERROR(Y415/H415,"0")+IFERROR(Y416/H416,"0")+IFERROR(Y417/H417,"0")+IFERROR(Y418/H418,"0")+IFERROR(Y419/H419,"0")</f>
        <v>108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2.3489999999999998</v>
      </c>
      <c r="AA420" s="618"/>
      <c r="AB420" s="618"/>
      <c r="AC420" s="618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38" t="s">
        <v>71</v>
      </c>
      <c r="Q421" s="636"/>
      <c r="R421" s="636"/>
      <c r="S421" s="636"/>
      <c r="T421" s="636"/>
      <c r="U421" s="636"/>
      <c r="V421" s="637"/>
      <c r="W421" s="37" t="s">
        <v>66</v>
      </c>
      <c r="X421" s="617">
        <f>IFERROR(SUM(X412:X419),"0")</f>
        <v>1600</v>
      </c>
      <c r="Y421" s="617">
        <f>IFERROR(SUM(Y412:Y419),"0")</f>
        <v>1620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152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11"/>
      <c r="AB422" s="611"/>
      <c r="AC422" s="611"/>
    </row>
    <row r="423" spans="1:68" ht="27" hidden="1" customHeight="1" x14ac:dyDescent="0.25">
      <c r="A423" s="54" t="s">
        <v>688</v>
      </c>
      <c r="B423" s="54" t="s">
        <v>689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119</v>
      </c>
      <c r="L423" s="32"/>
      <c r="M423" s="33" t="s">
        <v>120</v>
      </c>
      <c r="N423" s="33"/>
      <c r="O423" s="32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4"/>
      <c r="V423" s="34"/>
      <c r="W423" s="35" t="s">
        <v>66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50</v>
      </c>
      <c r="P424" s="84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4"/>
      <c r="V424" s="34"/>
      <c r="W424" s="35" t="s">
        <v>66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128</v>
      </c>
      <c r="L425" s="32"/>
      <c r="M425" s="33" t="s">
        <v>120</v>
      </c>
      <c r="N425" s="33"/>
      <c r="O425" s="32">
        <v>50</v>
      </c>
      <c r="P425" s="8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4"/>
      <c r="V425" s="34"/>
      <c r="W425" s="35" t="s">
        <v>66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38" t="s">
        <v>71</v>
      </c>
      <c r="Q426" s="636"/>
      <c r="R426" s="636"/>
      <c r="S426" s="636"/>
      <c r="T426" s="636"/>
      <c r="U426" s="636"/>
      <c r="V426" s="637"/>
      <c r="W426" s="37" t="s">
        <v>72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hidden="1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38" t="s">
        <v>71</v>
      </c>
      <c r="Q427" s="636"/>
      <c r="R427" s="636"/>
      <c r="S427" s="636"/>
      <c r="T427" s="636"/>
      <c r="U427" s="636"/>
      <c r="V427" s="637"/>
      <c r="W427" s="37" t="s">
        <v>66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73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11"/>
      <c r="AB428" s="611"/>
      <c r="AC428" s="611"/>
    </row>
    <row r="429" spans="1:68" ht="16.5" hidden="1" customHeight="1" x14ac:dyDescent="0.25">
      <c r="A429" s="54" t="s">
        <v>697</v>
      </c>
      <c r="B429" s="54" t="s">
        <v>698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119</v>
      </c>
      <c r="L429" s="32"/>
      <c r="M429" s="33" t="s">
        <v>77</v>
      </c>
      <c r="N429" s="33"/>
      <c r="O429" s="32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4"/>
      <c r="V429" s="34"/>
      <c r="W429" s="35" t="s">
        <v>66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263</v>
      </c>
      <c r="AC429" s="507" t="s">
        <v>699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119</v>
      </c>
      <c r="L430" s="32"/>
      <c r="M430" s="33" t="s">
        <v>77</v>
      </c>
      <c r="N430" s="33"/>
      <c r="O430" s="32">
        <v>40</v>
      </c>
      <c r="P430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4"/>
      <c r="V430" s="34"/>
      <c r="W430" s="35" t="s">
        <v>66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702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703</v>
      </c>
      <c r="B431" s="54" t="s">
        <v>704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119</v>
      </c>
      <c r="L431" s="32"/>
      <c r="M431" s="33" t="s">
        <v>77</v>
      </c>
      <c r="N431" s="33"/>
      <c r="O431" s="32">
        <v>40</v>
      </c>
      <c r="P431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4"/>
      <c r="V431" s="34"/>
      <c r="W431" s="35" t="s">
        <v>66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705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38" t="s">
        <v>71</v>
      </c>
      <c r="Q432" s="636"/>
      <c r="R432" s="636"/>
      <c r="S432" s="636"/>
      <c r="T432" s="636"/>
      <c r="U432" s="636"/>
      <c r="V432" s="637"/>
      <c r="W432" s="37" t="s">
        <v>72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38" t="s">
        <v>71</v>
      </c>
      <c r="Q433" s="636"/>
      <c r="R433" s="636"/>
      <c r="S433" s="636"/>
      <c r="T433" s="636"/>
      <c r="U433" s="636"/>
      <c r="V433" s="637"/>
      <c r="W433" s="37" t="s">
        <v>66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169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11"/>
      <c r="AB434" s="611"/>
      <c r="AC434" s="611"/>
    </row>
    <row r="435" spans="1:68" ht="27" hidden="1" customHeight="1" x14ac:dyDescent="0.25">
      <c r="A435" s="54" t="s">
        <v>706</v>
      </c>
      <c r="B435" s="54" t="s">
        <v>707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119</v>
      </c>
      <c r="L435" s="32"/>
      <c r="M435" s="33" t="s">
        <v>77</v>
      </c>
      <c r="N435" s="33"/>
      <c r="O435" s="32">
        <v>30</v>
      </c>
      <c r="P435" s="6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4"/>
      <c r="V435" s="34"/>
      <c r="W435" s="35" t="s">
        <v>66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263</v>
      </c>
      <c r="AC435" s="513" t="s">
        <v>708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709</v>
      </c>
      <c r="B436" s="54" t="s">
        <v>710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119</v>
      </c>
      <c r="L436" s="32"/>
      <c r="M436" s="33" t="s">
        <v>77</v>
      </c>
      <c r="N436" s="33"/>
      <c r="O436" s="32">
        <v>40</v>
      </c>
      <c r="P436" s="6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4"/>
      <c r="V436" s="34"/>
      <c r="W436" s="35" t="s">
        <v>66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711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38" t="s">
        <v>71</v>
      </c>
      <c r="Q437" s="636"/>
      <c r="R437" s="636"/>
      <c r="S437" s="636"/>
      <c r="T437" s="636"/>
      <c r="U437" s="636"/>
      <c r="V437" s="637"/>
      <c r="W437" s="37" t="s">
        <v>72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38" t="s">
        <v>71</v>
      </c>
      <c r="Q438" s="636"/>
      <c r="R438" s="636"/>
      <c r="S438" s="636"/>
      <c r="T438" s="636"/>
      <c r="U438" s="636"/>
      <c r="V438" s="637"/>
      <c r="W438" s="37" t="s">
        <v>66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42" t="s">
        <v>712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10"/>
      <c r="AB439" s="610"/>
      <c r="AC439" s="610"/>
    </row>
    <row r="440" spans="1:68" ht="14.25" hidden="1" customHeight="1" x14ac:dyDescent="0.25">
      <c r="A440" s="628" t="s">
        <v>116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11"/>
      <c r="AB440" s="611"/>
      <c r="AC440" s="611"/>
    </row>
    <row r="441" spans="1:68" ht="27" hidden="1" customHeight="1" x14ac:dyDescent="0.25">
      <c r="A441" s="54" t="s">
        <v>713</v>
      </c>
      <c r="B441" s="54" t="s">
        <v>714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119</v>
      </c>
      <c r="L441" s="32"/>
      <c r="M441" s="33" t="s">
        <v>65</v>
      </c>
      <c r="N441" s="33"/>
      <c r="O441" s="32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4"/>
      <c r="V441" s="34"/>
      <c r="W441" s="35" t="s">
        <v>66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715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716</v>
      </c>
      <c r="B442" s="54" t="s">
        <v>717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128</v>
      </c>
      <c r="L442" s="32"/>
      <c r="M442" s="33" t="s">
        <v>65</v>
      </c>
      <c r="N442" s="33"/>
      <c r="O442" s="32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4"/>
      <c r="V442" s="34"/>
      <c r="W442" s="35" t="s">
        <v>66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715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38" t="s">
        <v>71</v>
      </c>
      <c r="Q443" s="636"/>
      <c r="R443" s="636"/>
      <c r="S443" s="636"/>
      <c r="T443" s="636"/>
      <c r="U443" s="636"/>
      <c r="V443" s="637"/>
      <c r="W443" s="37" t="s">
        <v>72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38" t="s">
        <v>71</v>
      </c>
      <c r="Q444" s="636"/>
      <c r="R444" s="636"/>
      <c r="S444" s="636"/>
      <c r="T444" s="636"/>
      <c r="U444" s="636"/>
      <c r="V444" s="637"/>
      <c r="W444" s="37" t="s">
        <v>66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61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11"/>
      <c r="AB445" s="611"/>
      <c r="AC445" s="611"/>
    </row>
    <row r="446" spans="1:68" ht="27" hidden="1" customHeight="1" x14ac:dyDescent="0.25">
      <c r="A446" s="54" t="s">
        <v>718</v>
      </c>
      <c r="B446" s="54" t="s">
        <v>719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128</v>
      </c>
      <c r="L446" s="32"/>
      <c r="M446" s="33" t="s">
        <v>65</v>
      </c>
      <c r="N446" s="33"/>
      <c r="O446" s="32">
        <v>50</v>
      </c>
      <c r="P446" s="8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4"/>
      <c r="V446" s="34"/>
      <c r="W446" s="35" t="s">
        <v>66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720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38" t="s">
        <v>71</v>
      </c>
      <c r="Q447" s="636"/>
      <c r="R447" s="636"/>
      <c r="S447" s="636"/>
      <c r="T447" s="636"/>
      <c r="U447" s="636"/>
      <c r="V447" s="637"/>
      <c r="W447" s="37" t="s">
        <v>72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38" t="s">
        <v>71</v>
      </c>
      <c r="Q448" s="636"/>
      <c r="R448" s="636"/>
      <c r="S448" s="636"/>
      <c r="T448" s="636"/>
      <c r="U448" s="636"/>
      <c r="V448" s="637"/>
      <c r="W448" s="37" t="s">
        <v>66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73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11"/>
      <c r="AB449" s="611"/>
      <c r="AC449" s="611"/>
    </row>
    <row r="450" spans="1:68" ht="27" hidden="1" customHeight="1" x14ac:dyDescent="0.25">
      <c r="A450" s="54" t="s">
        <v>721</v>
      </c>
      <c r="B450" s="54" t="s">
        <v>722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119</v>
      </c>
      <c r="L450" s="32"/>
      <c r="M450" s="33" t="s">
        <v>77</v>
      </c>
      <c r="N450" s="33"/>
      <c r="O450" s="32">
        <v>40</v>
      </c>
      <c r="P450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4"/>
      <c r="V450" s="34"/>
      <c r="W450" s="35" t="s">
        <v>66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723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724</v>
      </c>
      <c r="B451" s="54" t="s">
        <v>725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40</v>
      </c>
      <c r="P451" s="8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4"/>
      <c r="V451" s="34"/>
      <c r="W451" s="35" t="s">
        <v>66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723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724</v>
      </c>
      <c r="B452" s="54" t="s">
        <v>726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40</v>
      </c>
      <c r="P452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4"/>
      <c r="V452" s="34"/>
      <c r="W452" s="35" t="s">
        <v>66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727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38" t="s">
        <v>71</v>
      </c>
      <c r="Q453" s="636"/>
      <c r="R453" s="636"/>
      <c r="S453" s="636"/>
      <c r="T453" s="636"/>
      <c r="U453" s="636"/>
      <c r="V453" s="637"/>
      <c r="W453" s="37" t="s">
        <v>72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38" t="s">
        <v>71</v>
      </c>
      <c r="Q454" s="636"/>
      <c r="R454" s="636"/>
      <c r="S454" s="636"/>
      <c r="T454" s="636"/>
      <c r="U454" s="636"/>
      <c r="V454" s="637"/>
      <c r="W454" s="37" t="s">
        <v>66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19" t="s">
        <v>728</v>
      </c>
      <c r="B455" s="720"/>
      <c r="C455" s="720"/>
      <c r="D455" s="720"/>
      <c r="E455" s="720"/>
      <c r="F455" s="720"/>
      <c r="G455" s="720"/>
      <c r="H455" s="720"/>
      <c r="I455" s="720"/>
      <c r="J455" s="720"/>
      <c r="K455" s="720"/>
      <c r="L455" s="720"/>
      <c r="M455" s="720"/>
      <c r="N455" s="720"/>
      <c r="O455" s="720"/>
      <c r="P455" s="720"/>
      <c r="Q455" s="720"/>
      <c r="R455" s="720"/>
      <c r="S455" s="720"/>
      <c r="T455" s="720"/>
      <c r="U455" s="720"/>
      <c r="V455" s="720"/>
      <c r="W455" s="720"/>
      <c r="X455" s="720"/>
      <c r="Y455" s="720"/>
      <c r="Z455" s="720"/>
      <c r="AA455" s="48"/>
      <c r="AB455" s="48"/>
      <c r="AC455" s="48"/>
    </row>
    <row r="456" spans="1:68" ht="16.5" hidden="1" customHeight="1" x14ac:dyDescent="0.25">
      <c r="A456" s="642" t="s">
        <v>729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10"/>
      <c r="AB456" s="610"/>
      <c r="AC456" s="610"/>
    </row>
    <row r="457" spans="1:68" ht="14.25" hidden="1" customHeight="1" x14ac:dyDescent="0.25">
      <c r="A457" s="628" t="s">
        <v>61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11"/>
      <c r="AB457" s="611"/>
      <c r="AC457" s="611"/>
    </row>
    <row r="458" spans="1:68" ht="27" hidden="1" customHeight="1" x14ac:dyDescent="0.25">
      <c r="A458" s="54" t="s">
        <v>730</v>
      </c>
      <c r="B458" s="54" t="s">
        <v>731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128</v>
      </c>
      <c r="L458" s="32"/>
      <c r="M458" s="33" t="s">
        <v>65</v>
      </c>
      <c r="N458" s="33"/>
      <c r="O458" s="32">
        <v>50</v>
      </c>
      <c r="P458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4"/>
      <c r="V458" s="34"/>
      <c r="W458" s="35" t="s">
        <v>66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732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733</v>
      </c>
      <c r="B459" s="54" t="s">
        <v>734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128</v>
      </c>
      <c r="L459" s="32"/>
      <c r="M459" s="33" t="s">
        <v>65</v>
      </c>
      <c r="N459" s="33"/>
      <c r="O459" s="32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4"/>
      <c r="V459" s="34"/>
      <c r="W459" s="35" t="s">
        <v>66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735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736</v>
      </c>
      <c r="B460" s="54" t="s">
        <v>737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64</v>
      </c>
      <c r="L460" s="32"/>
      <c r="M460" s="33" t="s">
        <v>65</v>
      </c>
      <c r="N460" s="33"/>
      <c r="O460" s="32">
        <v>50</v>
      </c>
      <c r="P460" s="7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4"/>
      <c r="V460" s="34"/>
      <c r="W460" s="35" t="s">
        <v>66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732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738</v>
      </c>
      <c r="B461" s="54" t="s">
        <v>739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64</v>
      </c>
      <c r="L461" s="32"/>
      <c r="M461" s="33" t="s">
        <v>65</v>
      </c>
      <c r="N461" s="33"/>
      <c r="O461" s="32">
        <v>50</v>
      </c>
      <c r="P461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4"/>
      <c r="V461" s="34"/>
      <c r="W461" s="35" t="s">
        <v>66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740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741</v>
      </c>
      <c r="B462" s="54" t="s">
        <v>742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64</v>
      </c>
      <c r="L462" s="32"/>
      <c r="M462" s="33" t="s">
        <v>65</v>
      </c>
      <c r="N462" s="33"/>
      <c r="O462" s="32">
        <v>50</v>
      </c>
      <c r="P462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4"/>
      <c r="V462" s="34"/>
      <c r="W462" s="35" t="s">
        <v>66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743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744</v>
      </c>
      <c r="B463" s="54" t="s">
        <v>745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64</v>
      </c>
      <c r="L463" s="32"/>
      <c r="M463" s="33" t="s">
        <v>65</v>
      </c>
      <c r="N463" s="33"/>
      <c r="O463" s="32">
        <v>50</v>
      </c>
      <c r="P463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4"/>
      <c r="V463" s="34"/>
      <c r="W463" s="35" t="s">
        <v>66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740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38" t="s">
        <v>71</v>
      </c>
      <c r="Q464" s="636"/>
      <c r="R464" s="636"/>
      <c r="S464" s="636"/>
      <c r="T464" s="636"/>
      <c r="U464" s="636"/>
      <c r="V464" s="637"/>
      <c r="W464" s="37" t="s">
        <v>72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38" t="s">
        <v>71</v>
      </c>
      <c r="Q465" s="636"/>
      <c r="R465" s="636"/>
      <c r="S465" s="636"/>
      <c r="T465" s="636"/>
      <c r="U465" s="636"/>
      <c r="V465" s="637"/>
      <c r="W465" s="37" t="s">
        <v>66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73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11"/>
      <c r="AB466" s="611"/>
      <c r="AC466" s="611"/>
    </row>
    <row r="467" spans="1:68" ht="27" hidden="1" customHeight="1" x14ac:dyDescent="0.25">
      <c r="A467" s="54" t="s">
        <v>746</v>
      </c>
      <c r="B467" s="54" t="s">
        <v>747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128</v>
      </c>
      <c r="L467" s="32"/>
      <c r="M467" s="33" t="s">
        <v>77</v>
      </c>
      <c r="N467" s="33"/>
      <c r="O467" s="32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4"/>
      <c r="V467" s="34"/>
      <c r="W467" s="35" t="s">
        <v>66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748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749</v>
      </c>
      <c r="B468" s="54" t="s">
        <v>750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76</v>
      </c>
      <c r="L468" s="32"/>
      <c r="M468" s="33" t="s">
        <v>77</v>
      </c>
      <c r="N468" s="33"/>
      <c r="O468" s="32">
        <v>45</v>
      </c>
      <c r="P468" s="9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4"/>
      <c r="V468" s="34"/>
      <c r="W468" s="35" t="s">
        <v>66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751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38" t="s">
        <v>71</v>
      </c>
      <c r="Q469" s="636"/>
      <c r="R469" s="636"/>
      <c r="S469" s="636"/>
      <c r="T469" s="636"/>
      <c r="U469" s="636"/>
      <c r="V469" s="637"/>
      <c r="W469" s="37" t="s">
        <v>72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38" t="s">
        <v>71</v>
      </c>
      <c r="Q470" s="636"/>
      <c r="R470" s="636"/>
      <c r="S470" s="636"/>
      <c r="T470" s="636"/>
      <c r="U470" s="636"/>
      <c r="V470" s="637"/>
      <c r="W470" s="37" t="s">
        <v>66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42" t="s">
        <v>752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10"/>
      <c r="AB471" s="610"/>
      <c r="AC471" s="610"/>
    </row>
    <row r="472" spans="1:68" ht="14.25" hidden="1" customHeight="1" x14ac:dyDescent="0.25">
      <c r="A472" s="628" t="s">
        <v>152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11"/>
      <c r="AB472" s="611"/>
      <c r="AC472" s="611"/>
    </row>
    <row r="473" spans="1:68" ht="27" hidden="1" customHeight="1" x14ac:dyDescent="0.25">
      <c r="A473" s="54" t="s">
        <v>753</v>
      </c>
      <c r="B473" s="54" t="s">
        <v>754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76</v>
      </c>
      <c r="L473" s="32"/>
      <c r="M473" s="33" t="s">
        <v>65</v>
      </c>
      <c r="N473" s="33"/>
      <c r="O473" s="32">
        <v>40</v>
      </c>
      <c r="P473" s="9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4"/>
      <c r="V473" s="34"/>
      <c r="W473" s="35" t="s">
        <v>66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755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38" t="s">
        <v>71</v>
      </c>
      <c r="Q474" s="636"/>
      <c r="R474" s="636"/>
      <c r="S474" s="636"/>
      <c r="T474" s="636"/>
      <c r="U474" s="636"/>
      <c r="V474" s="637"/>
      <c r="W474" s="37" t="s">
        <v>72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38" t="s">
        <v>71</v>
      </c>
      <c r="Q475" s="636"/>
      <c r="R475" s="636"/>
      <c r="S475" s="636"/>
      <c r="T475" s="636"/>
      <c r="U475" s="636"/>
      <c r="V475" s="637"/>
      <c r="W475" s="37" t="s">
        <v>66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61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11"/>
      <c r="AB476" s="611"/>
      <c r="AC476" s="611"/>
    </row>
    <row r="477" spans="1:68" ht="27" hidden="1" customHeight="1" x14ac:dyDescent="0.25">
      <c r="A477" s="54" t="s">
        <v>756</v>
      </c>
      <c r="B477" s="54" t="s">
        <v>757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128</v>
      </c>
      <c r="L477" s="32"/>
      <c r="M477" s="33" t="s">
        <v>65</v>
      </c>
      <c r="N477" s="33"/>
      <c r="O477" s="32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4"/>
      <c r="V477" s="34"/>
      <c r="W477" s="35" t="s">
        <v>66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758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759</v>
      </c>
      <c r="B478" s="54" t="s">
        <v>760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4"/>
      <c r="V478" s="34"/>
      <c r="W478" s="35" t="s">
        <v>66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761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763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4"/>
      <c r="V479" s="34"/>
      <c r="W479" s="35" t="s">
        <v>66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761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38" t="s">
        <v>71</v>
      </c>
      <c r="Q480" s="636"/>
      <c r="R480" s="636"/>
      <c r="S480" s="636"/>
      <c r="T480" s="636"/>
      <c r="U480" s="636"/>
      <c r="V480" s="637"/>
      <c r="W480" s="37" t="s">
        <v>72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38" t="s">
        <v>71</v>
      </c>
      <c r="Q481" s="636"/>
      <c r="R481" s="636"/>
      <c r="S481" s="636"/>
      <c r="T481" s="636"/>
      <c r="U481" s="636"/>
      <c r="V481" s="637"/>
      <c r="W481" s="37" t="s">
        <v>66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19" t="s">
        <v>764</v>
      </c>
      <c r="B482" s="720"/>
      <c r="C482" s="720"/>
      <c r="D482" s="720"/>
      <c r="E482" s="720"/>
      <c r="F482" s="720"/>
      <c r="G482" s="720"/>
      <c r="H482" s="720"/>
      <c r="I482" s="720"/>
      <c r="J482" s="720"/>
      <c r="K482" s="720"/>
      <c r="L482" s="720"/>
      <c r="M482" s="720"/>
      <c r="N482" s="720"/>
      <c r="O482" s="720"/>
      <c r="P482" s="720"/>
      <c r="Q482" s="720"/>
      <c r="R482" s="720"/>
      <c r="S482" s="720"/>
      <c r="T482" s="720"/>
      <c r="U482" s="720"/>
      <c r="V482" s="720"/>
      <c r="W482" s="720"/>
      <c r="X482" s="720"/>
      <c r="Y482" s="720"/>
      <c r="Z482" s="720"/>
      <c r="AA482" s="48"/>
      <c r="AB482" s="48"/>
      <c r="AC482" s="48"/>
    </row>
    <row r="483" spans="1:68" ht="16.5" hidden="1" customHeight="1" x14ac:dyDescent="0.25">
      <c r="A483" s="642" t="s">
        <v>764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10"/>
      <c r="AB483" s="610"/>
      <c r="AC483" s="610"/>
    </row>
    <row r="484" spans="1:68" ht="14.25" hidden="1" customHeight="1" x14ac:dyDescent="0.25">
      <c r="A484" s="628" t="s">
        <v>116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11"/>
      <c r="AB484" s="611"/>
      <c r="AC484" s="611"/>
    </row>
    <row r="485" spans="1:68" ht="27" hidden="1" customHeight="1" x14ac:dyDescent="0.25">
      <c r="A485" s="54" t="s">
        <v>765</v>
      </c>
      <c r="B485" s="54" t="s">
        <v>766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119</v>
      </c>
      <c r="L485" s="32"/>
      <c r="M485" s="33" t="s">
        <v>77</v>
      </c>
      <c r="N485" s="33"/>
      <c r="O485" s="32">
        <v>60</v>
      </c>
      <c r="P485" s="7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4"/>
      <c r="V485" s="34"/>
      <c r="W485" s="35" t="s">
        <v>66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121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767</v>
      </c>
      <c r="B486" s="54" t="s">
        <v>768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119</v>
      </c>
      <c r="L486" s="32"/>
      <c r="M486" s="33" t="s">
        <v>120</v>
      </c>
      <c r="N486" s="33"/>
      <c r="O486" s="32">
        <v>60</v>
      </c>
      <c r="P48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4"/>
      <c r="V486" s="34"/>
      <c r="W486" s="35" t="s">
        <v>66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769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770</v>
      </c>
      <c r="B487" s="54" t="s">
        <v>771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119</v>
      </c>
      <c r="L487" s="32"/>
      <c r="M487" s="33" t="s">
        <v>120</v>
      </c>
      <c r="N487" s="33"/>
      <c r="O487" s="32">
        <v>60</v>
      </c>
      <c r="P487" s="7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4"/>
      <c r="V487" s="34"/>
      <c r="W487" s="35" t="s">
        <v>66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773</v>
      </c>
      <c r="B488" s="54" t="s">
        <v>774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119</v>
      </c>
      <c r="L488" s="32"/>
      <c r="M488" s="33" t="s">
        <v>120</v>
      </c>
      <c r="N488" s="33"/>
      <c r="O488" s="32">
        <v>60</v>
      </c>
      <c r="P488" s="7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4"/>
      <c r="V488" s="34"/>
      <c r="W488" s="35" t="s">
        <v>66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775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776</v>
      </c>
      <c r="B489" s="54" t="s">
        <v>777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119</v>
      </c>
      <c r="L489" s="32"/>
      <c r="M489" s="33" t="s">
        <v>77</v>
      </c>
      <c r="N489" s="33"/>
      <c r="O489" s="32">
        <v>60</v>
      </c>
      <c r="P489" s="8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4"/>
      <c r="V489" s="34"/>
      <c r="W489" s="35" t="s">
        <v>66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778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hidden="1" customHeight="1" x14ac:dyDescent="0.25">
      <c r="A490" s="54" t="s">
        <v>779</v>
      </c>
      <c r="B490" s="54" t="s">
        <v>780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119</v>
      </c>
      <c r="L490" s="32"/>
      <c r="M490" s="33" t="s">
        <v>120</v>
      </c>
      <c r="N490" s="33"/>
      <c r="O490" s="32">
        <v>60</v>
      </c>
      <c r="P490" s="7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4"/>
      <c r="V490" s="34"/>
      <c r="W490" s="35" t="s">
        <v>66</v>
      </c>
      <c r="X490" s="615">
        <v>0</v>
      </c>
      <c r="Y490" s="616">
        <f t="shared" si="57"/>
        <v>0</v>
      </c>
      <c r="Z490" s="36" t="str">
        <f t="shared" si="58"/>
        <v/>
      </c>
      <c r="AA490" s="56"/>
      <c r="AB490" s="57"/>
      <c r="AC490" s="563" t="s">
        <v>781</v>
      </c>
      <c r="AG490" s="64"/>
      <c r="AJ490" s="68"/>
      <c r="AK490" s="68">
        <v>0</v>
      </c>
      <c r="BB490" s="564" t="s">
        <v>1</v>
      </c>
      <c r="BM490" s="64">
        <f t="shared" si="59"/>
        <v>0</v>
      </c>
      <c r="BN490" s="64">
        <f t="shared" si="60"/>
        <v>0</v>
      </c>
      <c r="BO490" s="64">
        <f t="shared" si="61"/>
        <v>0</v>
      </c>
      <c r="BP490" s="64">
        <f t="shared" si="62"/>
        <v>0</v>
      </c>
    </row>
    <row r="491" spans="1:68" ht="27" hidden="1" customHeight="1" x14ac:dyDescent="0.25">
      <c r="A491" s="54" t="s">
        <v>782</v>
      </c>
      <c r="B491" s="54" t="s">
        <v>783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76</v>
      </c>
      <c r="L491" s="32"/>
      <c r="M491" s="33" t="s">
        <v>77</v>
      </c>
      <c r="N491" s="33"/>
      <c r="O491" s="32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4"/>
      <c r="V491" s="34"/>
      <c r="W491" s="35" t="s">
        <v>66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121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128</v>
      </c>
      <c r="L492" s="32"/>
      <c r="M492" s="33" t="s">
        <v>77</v>
      </c>
      <c r="N492" s="33"/>
      <c r="O492" s="32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4"/>
      <c r="V492" s="34"/>
      <c r="W492" s="35" t="s">
        <v>66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121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786</v>
      </c>
      <c r="B493" s="54" t="s">
        <v>787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128</v>
      </c>
      <c r="L493" s="32"/>
      <c r="M493" s="33" t="s">
        <v>120</v>
      </c>
      <c r="N493" s="33"/>
      <c r="O493" s="32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4"/>
      <c r="V493" s="34"/>
      <c r="W493" s="35" t="s">
        <v>66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781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hidden="1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38" t="s">
        <v>71</v>
      </c>
      <c r="Q494" s="636"/>
      <c r="R494" s="636"/>
      <c r="S494" s="636"/>
      <c r="T494" s="636"/>
      <c r="U494" s="636"/>
      <c r="V494" s="637"/>
      <c r="W494" s="37" t="s">
        <v>72</v>
      </c>
      <c r="X494" s="617">
        <f>IFERROR(X485/H485,"0")+IFERROR(X486/H486,"0")+IFERROR(X487/H487,"0")+IFERROR(X488/H488,"0")+IFERROR(X489/H489,"0")+IFERROR(X490/H490,"0")+IFERROR(X491/H491,"0")+IFERROR(X492/H492,"0")+IFERROR(X493/H493,"0")</f>
        <v>0</v>
      </c>
      <c r="Y494" s="617">
        <f>IFERROR(Y485/H485,"0")+IFERROR(Y486/H486,"0")+IFERROR(Y487/H487,"0")+IFERROR(Y488/H488,"0")+IFERROR(Y489/H489,"0")+IFERROR(Y490/H490,"0")+IFERROR(Y491/H491,"0")+IFERROR(Y492/H492,"0")+IFERROR(Y493/H493,"0")</f>
        <v>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18"/>
      <c r="AB494" s="618"/>
      <c r="AC494" s="618"/>
    </row>
    <row r="495" spans="1:68" hidden="1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38" t="s">
        <v>71</v>
      </c>
      <c r="Q495" s="636"/>
      <c r="R495" s="636"/>
      <c r="S495" s="636"/>
      <c r="T495" s="636"/>
      <c r="U495" s="636"/>
      <c r="V495" s="637"/>
      <c r="W495" s="37" t="s">
        <v>66</v>
      </c>
      <c r="X495" s="617">
        <f>IFERROR(SUM(X485:X493),"0")</f>
        <v>0</v>
      </c>
      <c r="Y495" s="617">
        <f>IFERROR(SUM(Y485:Y493),"0")</f>
        <v>0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152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11"/>
      <c r="AB496" s="611"/>
      <c r="AC496" s="611"/>
    </row>
    <row r="497" spans="1:68" ht="16.5" hidden="1" customHeight="1" x14ac:dyDescent="0.25">
      <c r="A497" s="54" t="s">
        <v>788</v>
      </c>
      <c r="B497" s="54" t="s">
        <v>789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119</v>
      </c>
      <c r="L497" s="32"/>
      <c r="M497" s="33" t="s">
        <v>77</v>
      </c>
      <c r="N497" s="33"/>
      <c r="O497" s="32">
        <v>70</v>
      </c>
      <c r="P49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4"/>
      <c r="V497" s="34"/>
      <c r="W497" s="35" t="s">
        <v>66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790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hidden="1" customHeight="1" x14ac:dyDescent="0.25">
      <c r="A498" s="54" t="s">
        <v>791</v>
      </c>
      <c r="B498" s="54" t="s">
        <v>792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76</v>
      </c>
      <c r="L498" s="32"/>
      <c r="M498" s="33" t="s">
        <v>120</v>
      </c>
      <c r="N498" s="33"/>
      <c r="O498" s="32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4"/>
      <c r="V498" s="34"/>
      <c r="W498" s="35" t="s">
        <v>66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790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793</v>
      </c>
      <c r="B499" s="54" t="s">
        <v>794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128</v>
      </c>
      <c r="L499" s="32"/>
      <c r="M499" s="33" t="s">
        <v>120</v>
      </c>
      <c r="N499" s="33"/>
      <c r="O499" s="32">
        <v>70</v>
      </c>
      <c r="P499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4"/>
      <c r="V499" s="34"/>
      <c r="W499" s="35" t="s">
        <v>66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790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38" t="s">
        <v>71</v>
      </c>
      <c r="Q500" s="636"/>
      <c r="R500" s="636"/>
      <c r="S500" s="636"/>
      <c r="T500" s="636"/>
      <c r="U500" s="636"/>
      <c r="V500" s="637"/>
      <c r="W500" s="37" t="s">
        <v>72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hidden="1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38" t="s">
        <v>71</v>
      </c>
      <c r="Q501" s="636"/>
      <c r="R501" s="636"/>
      <c r="S501" s="636"/>
      <c r="T501" s="636"/>
      <c r="U501" s="636"/>
      <c r="V501" s="637"/>
      <c r="W501" s="37" t="s">
        <v>66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hidden="1" customHeight="1" x14ac:dyDescent="0.25">
      <c r="A502" s="628" t="s">
        <v>61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11"/>
      <c r="AB502" s="611"/>
      <c r="AC502" s="611"/>
    </row>
    <row r="503" spans="1:68" ht="27" hidden="1" customHeight="1" x14ac:dyDescent="0.25">
      <c r="A503" s="54" t="s">
        <v>795</v>
      </c>
      <c r="B503" s="54" t="s">
        <v>796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119</v>
      </c>
      <c r="L503" s="32"/>
      <c r="M503" s="33" t="s">
        <v>120</v>
      </c>
      <c r="N503" s="33"/>
      <c r="O503" s="32">
        <v>70</v>
      </c>
      <c r="P503" s="8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4"/>
      <c r="V503" s="34"/>
      <c r="W503" s="35" t="s">
        <v>66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797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hidden="1" customHeight="1" x14ac:dyDescent="0.25">
      <c r="A504" s="54" t="s">
        <v>798</v>
      </c>
      <c r="B504" s="54" t="s">
        <v>799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119</v>
      </c>
      <c r="L504" s="32"/>
      <c r="M504" s="33" t="s">
        <v>65</v>
      </c>
      <c r="N504" s="33"/>
      <c r="O504" s="32">
        <v>70</v>
      </c>
      <c r="P504" s="8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4"/>
      <c r="V504" s="34"/>
      <c r="W504" s="35" t="s">
        <v>66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800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hidden="1" customHeight="1" x14ac:dyDescent="0.25">
      <c r="A505" s="54" t="s">
        <v>801</v>
      </c>
      <c r="B505" s="54" t="s">
        <v>802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119</v>
      </c>
      <c r="L505" s="32"/>
      <c r="M505" s="33" t="s">
        <v>65</v>
      </c>
      <c r="N505" s="33"/>
      <c r="O505" s="32">
        <v>70</v>
      </c>
      <c r="P505" s="6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4"/>
      <c r="V505" s="34"/>
      <c r="W505" s="35" t="s">
        <v>66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803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804</v>
      </c>
      <c r="B506" s="54" t="s">
        <v>805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128</v>
      </c>
      <c r="L506" s="32"/>
      <c r="M506" s="33" t="s">
        <v>120</v>
      </c>
      <c r="N506" s="33"/>
      <c r="O506" s="32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4"/>
      <c r="V506" s="34"/>
      <c r="W506" s="35" t="s">
        <v>66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797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806</v>
      </c>
      <c r="B507" s="54" t="s">
        <v>807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128</v>
      </c>
      <c r="L507" s="32"/>
      <c r="M507" s="33" t="s">
        <v>65</v>
      </c>
      <c r="N507" s="33"/>
      <c r="O507" s="32">
        <v>70</v>
      </c>
      <c r="P507" s="6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4"/>
      <c r="V507" s="34"/>
      <c r="W507" s="35" t="s">
        <v>66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800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806</v>
      </c>
      <c r="B508" s="54" t="s">
        <v>808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128</v>
      </c>
      <c r="L508" s="32"/>
      <c r="M508" s="33" t="s">
        <v>65</v>
      </c>
      <c r="N508" s="33"/>
      <c r="O508" s="32">
        <v>70</v>
      </c>
      <c r="P508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4"/>
      <c r="V508" s="34"/>
      <c r="W508" s="35" t="s">
        <v>66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800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809</v>
      </c>
      <c r="B509" s="54" t="s">
        <v>810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128</v>
      </c>
      <c r="L509" s="32"/>
      <c r="M509" s="33" t="s">
        <v>65</v>
      </c>
      <c r="N509" s="33"/>
      <c r="O509" s="32">
        <v>70</v>
      </c>
      <c r="P509" s="69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4"/>
      <c r="V509" s="34"/>
      <c r="W509" s="35" t="s">
        <v>66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803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hidden="1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38" t="s">
        <v>71</v>
      </c>
      <c r="Q510" s="636"/>
      <c r="R510" s="636"/>
      <c r="S510" s="636"/>
      <c r="T510" s="636"/>
      <c r="U510" s="636"/>
      <c r="V510" s="637"/>
      <c r="W510" s="37" t="s">
        <v>72</v>
      </c>
      <c r="X510" s="617">
        <f>IFERROR(X503/H503,"0")+IFERROR(X504/H504,"0")+IFERROR(X505/H505,"0")+IFERROR(X506/H506,"0")+IFERROR(X507/H507,"0")+IFERROR(X508/H508,"0")+IFERROR(X509/H509,"0")</f>
        <v>0</v>
      </c>
      <c r="Y510" s="617">
        <f>IFERROR(Y503/H503,"0")+IFERROR(Y504/H504,"0")+IFERROR(Y505/H505,"0")+IFERROR(Y506/H506,"0")+IFERROR(Y507/H507,"0")+IFERROR(Y508/H508,"0")+IFERROR(Y509/H509,"0")</f>
        <v>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18"/>
      <c r="AB510" s="618"/>
      <c r="AC510" s="618"/>
    </row>
    <row r="511" spans="1:68" hidden="1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38" t="s">
        <v>71</v>
      </c>
      <c r="Q511" s="636"/>
      <c r="R511" s="636"/>
      <c r="S511" s="636"/>
      <c r="T511" s="636"/>
      <c r="U511" s="636"/>
      <c r="V511" s="637"/>
      <c r="W511" s="37" t="s">
        <v>66</v>
      </c>
      <c r="X511" s="617">
        <f>IFERROR(SUM(X503:X509),"0")</f>
        <v>0</v>
      </c>
      <c r="Y511" s="617">
        <f>IFERROR(SUM(Y503:Y509),"0")</f>
        <v>0</v>
      </c>
      <c r="Z511" s="37"/>
      <c r="AA511" s="618"/>
      <c r="AB511" s="618"/>
      <c r="AC511" s="618"/>
    </row>
    <row r="512" spans="1:68" ht="27.75" hidden="1" customHeight="1" x14ac:dyDescent="0.2">
      <c r="A512" s="719" t="s">
        <v>811</v>
      </c>
      <c r="B512" s="720"/>
      <c r="C512" s="720"/>
      <c r="D512" s="720"/>
      <c r="E512" s="720"/>
      <c r="F512" s="720"/>
      <c r="G512" s="720"/>
      <c r="H512" s="720"/>
      <c r="I512" s="720"/>
      <c r="J512" s="720"/>
      <c r="K512" s="720"/>
      <c r="L512" s="720"/>
      <c r="M512" s="720"/>
      <c r="N512" s="720"/>
      <c r="O512" s="720"/>
      <c r="P512" s="720"/>
      <c r="Q512" s="720"/>
      <c r="R512" s="720"/>
      <c r="S512" s="720"/>
      <c r="T512" s="720"/>
      <c r="U512" s="720"/>
      <c r="V512" s="720"/>
      <c r="W512" s="720"/>
      <c r="X512" s="720"/>
      <c r="Y512" s="720"/>
      <c r="Z512" s="720"/>
      <c r="AA512" s="48"/>
      <c r="AB512" s="48"/>
      <c r="AC512" s="48"/>
    </row>
    <row r="513" spans="1:68" ht="16.5" hidden="1" customHeight="1" x14ac:dyDescent="0.25">
      <c r="A513" s="642" t="s">
        <v>811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10"/>
      <c r="AB513" s="610"/>
      <c r="AC513" s="610"/>
    </row>
    <row r="514" spans="1:68" ht="14.25" hidden="1" customHeight="1" x14ac:dyDescent="0.25">
      <c r="A514" s="628" t="s">
        <v>116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11"/>
      <c r="AB514" s="611"/>
      <c r="AC514" s="611"/>
    </row>
    <row r="515" spans="1:68" ht="27" hidden="1" customHeight="1" x14ac:dyDescent="0.25">
      <c r="A515" s="54" t="s">
        <v>812</v>
      </c>
      <c r="B515" s="54" t="s">
        <v>813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119</v>
      </c>
      <c r="L515" s="32"/>
      <c r="M515" s="33" t="s">
        <v>120</v>
      </c>
      <c r="N515" s="33"/>
      <c r="O515" s="32">
        <v>50</v>
      </c>
      <c r="P515" s="7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4"/>
      <c r="V515" s="34"/>
      <c r="W515" s="35" t="s">
        <v>66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38" t="s">
        <v>71</v>
      </c>
      <c r="Q516" s="636"/>
      <c r="R516" s="636"/>
      <c r="S516" s="636"/>
      <c r="T516" s="636"/>
      <c r="U516" s="636"/>
      <c r="V516" s="637"/>
      <c r="W516" s="37" t="s">
        <v>72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38" t="s">
        <v>71</v>
      </c>
      <c r="Q517" s="636"/>
      <c r="R517" s="636"/>
      <c r="S517" s="636"/>
      <c r="T517" s="636"/>
      <c r="U517" s="636"/>
      <c r="V517" s="637"/>
      <c r="W517" s="37" t="s">
        <v>66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152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11"/>
      <c r="AB518" s="611"/>
      <c r="AC518" s="611"/>
    </row>
    <row r="519" spans="1:68" ht="27" hidden="1" customHeight="1" x14ac:dyDescent="0.25">
      <c r="A519" s="54" t="s">
        <v>815</v>
      </c>
      <c r="B519" s="54" t="s">
        <v>816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119</v>
      </c>
      <c r="L519" s="32"/>
      <c r="M519" s="33" t="s">
        <v>120</v>
      </c>
      <c r="N519" s="33"/>
      <c r="O519" s="32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4"/>
      <c r="V519" s="34"/>
      <c r="W519" s="35" t="s">
        <v>66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817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38" t="s">
        <v>71</v>
      </c>
      <c r="Q520" s="636"/>
      <c r="R520" s="636"/>
      <c r="S520" s="636"/>
      <c r="T520" s="636"/>
      <c r="U520" s="636"/>
      <c r="V520" s="637"/>
      <c r="W520" s="37" t="s">
        <v>72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38" t="s">
        <v>71</v>
      </c>
      <c r="Q521" s="636"/>
      <c r="R521" s="636"/>
      <c r="S521" s="636"/>
      <c r="T521" s="636"/>
      <c r="U521" s="636"/>
      <c r="V521" s="637"/>
      <c r="W521" s="37" t="s">
        <v>66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61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11"/>
      <c r="AB522" s="611"/>
      <c r="AC522" s="611"/>
    </row>
    <row r="523" spans="1:68" ht="27" hidden="1" customHeight="1" x14ac:dyDescent="0.25">
      <c r="A523" s="54" t="s">
        <v>818</v>
      </c>
      <c r="B523" s="54" t="s">
        <v>819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128</v>
      </c>
      <c r="L523" s="32"/>
      <c r="M523" s="33" t="s">
        <v>65</v>
      </c>
      <c r="N523" s="33"/>
      <c r="O523" s="32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4"/>
      <c r="V523" s="34"/>
      <c r="W523" s="35" t="s">
        <v>66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820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818</v>
      </c>
      <c r="B524" s="54" t="s">
        <v>821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128</v>
      </c>
      <c r="L524" s="32"/>
      <c r="M524" s="33" t="s">
        <v>65</v>
      </c>
      <c r="N524" s="33"/>
      <c r="O524" s="32">
        <v>40</v>
      </c>
      <c r="P524" s="86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4"/>
      <c r="V524" s="34"/>
      <c r="W524" s="35" t="s">
        <v>66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38" t="s">
        <v>71</v>
      </c>
      <c r="Q525" s="636"/>
      <c r="R525" s="636"/>
      <c r="S525" s="636"/>
      <c r="T525" s="636"/>
      <c r="U525" s="636"/>
      <c r="V525" s="637"/>
      <c r="W525" s="37" t="s">
        <v>72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38" t="s">
        <v>71</v>
      </c>
      <c r="Q526" s="636"/>
      <c r="R526" s="636"/>
      <c r="S526" s="636"/>
      <c r="T526" s="636"/>
      <c r="U526" s="636"/>
      <c r="V526" s="637"/>
      <c r="W526" s="37" t="s">
        <v>66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73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11"/>
      <c r="AB527" s="611"/>
      <c r="AC527" s="611"/>
    </row>
    <row r="528" spans="1:68" ht="27" hidden="1" customHeight="1" x14ac:dyDescent="0.25">
      <c r="A528" s="54" t="s">
        <v>823</v>
      </c>
      <c r="B528" s="54" t="s">
        <v>824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119</v>
      </c>
      <c r="L528" s="32"/>
      <c r="M528" s="33" t="s">
        <v>77</v>
      </c>
      <c r="N528" s="33"/>
      <c r="O528" s="32">
        <v>45</v>
      </c>
      <c r="P528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4"/>
      <c r="V528" s="34"/>
      <c r="W528" s="35" t="s">
        <v>66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825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38" t="s">
        <v>71</v>
      </c>
      <c r="Q529" s="636"/>
      <c r="R529" s="636"/>
      <c r="S529" s="636"/>
      <c r="T529" s="636"/>
      <c r="U529" s="636"/>
      <c r="V529" s="637"/>
      <c r="W529" s="37" t="s">
        <v>72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38" t="s">
        <v>71</v>
      </c>
      <c r="Q530" s="636"/>
      <c r="R530" s="636"/>
      <c r="S530" s="636"/>
      <c r="T530" s="636"/>
      <c r="U530" s="636"/>
      <c r="V530" s="637"/>
      <c r="W530" s="37" t="s">
        <v>66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169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11"/>
      <c r="AB531" s="611"/>
      <c r="AC531" s="611"/>
    </row>
    <row r="532" spans="1:68" ht="27" hidden="1" customHeight="1" x14ac:dyDescent="0.25">
      <c r="A532" s="54" t="s">
        <v>826</v>
      </c>
      <c r="B532" s="54" t="s">
        <v>827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119</v>
      </c>
      <c r="L532" s="32"/>
      <c r="M532" s="33" t="s">
        <v>77</v>
      </c>
      <c r="N532" s="33"/>
      <c r="O532" s="32">
        <v>40</v>
      </c>
      <c r="P532" s="8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4"/>
      <c r="V532" s="34"/>
      <c r="W532" s="35" t="s">
        <v>66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828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829</v>
      </c>
      <c r="B533" s="54" t="s">
        <v>830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119</v>
      </c>
      <c r="L533" s="32"/>
      <c r="M533" s="33" t="s">
        <v>77</v>
      </c>
      <c r="N533" s="33"/>
      <c r="O533" s="32">
        <v>40</v>
      </c>
      <c r="P533" s="7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4"/>
      <c r="V533" s="34"/>
      <c r="W533" s="35" t="s">
        <v>66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831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38" t="s">
        <v>71</v>
      </c>
      <c r="Q534" s="636"/>
      <c r="R534" s="636"/>
      <c r="S534" s="636"/>
      <c r="T534" s="636"/>
      <c r="U534" s="636"/>
      <c r="V534" s="637"/>
      <c r="W534" s="37" t="s">
        <v>72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38" t="s">
        <v>71</v>
      </c>
      <c r="Q535" s="636"/>
      <c r="R535" s="636"/>
      <c r="S535" s="636"/>
      <c r="T535" s="636"/>
      <c r="U535" s="636"/>
      <c r="V535" s="637"/>
      <c r="W535" s="37" t="s">
        <v>66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42" t="s">
        <v>832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10"/>
      <c r="AB536" s="610"/>
      <c r="AC536" s="610"/>
    </row>
    <row r="537" spans="1:68" ht="14.25" hidden="1" customHeight="1" x14ac:dyDescent="0.25">
      <c r="A537" s="628" t="s">
        <v>152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11"/>
      <c r="AB537" s="611"/>
      <c r="AC537" s="611"/>
    </row>
    <row r="538" spans="1:68" ht="27" hidden="1" customHeight="1" x14ac:dyDescent="0.25">
      <c r="A538" s="54" t="s">
        <v>833</v>
      </c>
      <c r="B538" s="54" t="s">
        <v>834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119</v>
      </c>
      <c r="L538" s="32"/>
      <c r="M538" s="33" t="s">
        <v>120</v>
      </c>
      <c r="N538" s="33"/>
      <c r="O538" s="32">
        <v>50</v>
      </c>
      <c r="P538" s="80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4"/>
      <c r="V538" s="34"/>
      <c r="W538" s="35" t="s">
        <v>66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835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38" t="s">
        <v>71</v>
      </c>
      <c r="Q539" s="636"/>
      <c r="R539" s="636"/>
      <c r="S539" s="636"/>
      <c r="T539" s="636"/>
      <c r="U539" s="636"/>
      <c r="V539" s="637"/>
      <c r="W539" s="37" t="s">
        <v>72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38" t="s">
        <v>71</v>
      </c>
      <c r="Q540" s="636"/>
      <c r="R540" s="636"/>
      <c r="S540" s="636"/>
      <c r="T540" s="636"/>
      <c r="U540" s="636"/>
      <c r="V540" s="637"/>
      <c r="W540" s="37" t="s">
        <v>66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921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4"/>
      <c r="P541" s="644" t="s">
        <v>836</v>
      </c>
      <c r="Q541" s="645"/>
      <c r="R541" s="645"/>
      <c r="S541" s="645"/>
      <c r="T541" s="645"/>
      <c r="U541" s="645"/>
      <c r="V541" s="646"/>
      <c r="W541" s="37" t="s">
        <v>66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1700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1728</v>
      </c>
      <c r="Z541" s="37"/>
      <c r="AA541" s="618"/>
      <c r="AB541" s="618"/>
      <c r="AC541" s="618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4"/>
      <c r="P542" s="644" t="s">
        <v>837</v>
      </c>
      <c r="Q542" s="645"/>
      <c r="R542" s="645"/>
      <c r="S542" s="645"/>
      <c r="T542" s="645"/>
      <c r="U542" s="645"/>
      <c r="V542" s="646"/>
      <c r="W542" s="37" t="s">
        <v>66</v>
      </c>
      <c r="X542" s="617">
        <f>IFERROR(SUM(BM22:BM538),"0")</f>
        <v>1753.9296296296297</v>
      </c>
      <c r="Y542" s="617">
        <f>IFERROR(SUM(BN22:BN538),"0")</f>
        <v>1782.8600000000001</v>
      </c>
      <c r="Z542" s="37"/>
      <c r="AA542" s="618"/>
      <c r="AB542" s="618"/>
      <c r="AC542" s="618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4"/>
      <c r="P543" s="644" t="s">
        <v>838</v>
      </c>
      <c r="Q543" s="645"/>
      <c r="R543" s="645"/>
      <c r="S543" s="645"/>
      <c r="T543" s="645"/>
      <c r="U543" s="645"/>
      <c r="V543" s="646"/>
      <c r="W543" s="37" t="s">
        <v>839</v>
      </c>
      <c r="X543" s="38">
        <f>ROUNDUP(SUM(BO22:BO538),0)</f>
        <v>3</v>
      </c>
      <c r="Y543" s="38">
        <f>ROUNDUP(SUM(BP22:BP538),0)</f>
        <v>3</v>
      </c>
      <c r="Z543" s="37"/>
      <c r="AA543" s="618"/>
      <c r="AB543" s="618"/>
      <c r="AC543" s="618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4"/>
      <c r="P544" s="644" t="s">
        <v>840</v>
      </c>
      <c r="Q544" s="645"/>
      <c r="R544" s="645"/>
      <c r="S544" s="645"/>
      <c r="T544" s="645"/>
      <c r="U544" s="645"/>
      <c r="V544" s="646"/>
      <c r="W544" s="37" t="s">
        <v>66</v>
      </c>
      <c r="X544" s="617">
        <f>GrossWeightTotal+PalletQtyTotal*25</f>
        <v>1828.9296296296297</v>
      </c>
      <c r="Y544" s="617">
        <f>GrossWeightTotalR+PalletQtyTotalR*25</f>
        <v>1857.8600000000001</v>
      </c>
      <c r="Z544" s="37"/>
      <c r="AA544" s="618"/>
      <c r="AB544" s="618"/>
      <c r="AC544" s="618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4"/>
      <c r="P545" s="644" t="s">
        <v>841</v>
      </c>
      <c r="Q545" s="645"/>
      <c r="R545" s="645"/>
      <c r="S545" s="645"/>
      <c r="T545" s="645"/>
      <c r="U545" s="645"/>
      <c r="V545" s="646"/>
      <c r="W545" s="37" t="s">
        <v>839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115.92592592592592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118</v>
      </c>
      <c r="Z545" s="37"/>
      <c r="AA545" s="618"/>
      <c r="AB545" s="618"/>
      <c r="AC545" s="618"/>
    </row>
    <row r="546" spans="1:32" ht="14.25" hidden="1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4"/>
      <c r="P546" s="644" t="s">
        <v>842</v>
      </c>
      <c r="Q546" s="645"/>
      <c r="R546" s="645"/>
      <c r="S546" s="645"/>
      <c r="T546" s="645"/>
      <c r="U546" s="645"/>
      <c r="V546" s="646"/>
      <c r="W546" s="39" t="s">
        <v>843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2.5387999999999997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844</v>
      </c>
      <c r="B548" s="612" t="s">
        <v>60</v>
      </c>
      <c r="C548" s="612" t="s">
        <v>97</v>
      </c>
      <c r="D548" s="656" t="s">
        <v>114</v>
      </c>
      <c r="E548" s="793"/>
      <c r="F548" s="793"/>
      <c r="G548" s="793"/>
      <c r="H548" s="793"/>
      <c r="I548" s="793"/>
      <c r="J548" s="725"/>
      <c r="K548" s="656" t="s">
        <v>326</v>
      </c>
      <c r="L548" s="793"/>
      <c r="M548" s="793"/>
      <c r="N548" s="793"/>
      <c r="O548" s="793"/>
      <c r="P548" s="793"/>
      <c r="Q548" s="793"/>
      <c r="R548" s="793"/>
      <c r="S548" s="793"/>
      <c r="T548" s="793"/>
      <c r="U548" s="725"/>
      <c r="V548" s="656" t="s">
        <v>662</v>
      </c>
      <c r="W548" s="725"/>
      <c r="X548" s="656" t="s">
        <v>728</v>
      </c>
      <c r="Y548" s="725"/>
      <c r="Z548" s="612" t="s">
        <v>764</v>
      </c>
      <c r="AA548" s="656" t="s">
        <v>811</v>
      </c>
      <c r="AB548" s="725"/>
      <c r="AC548" s="52"/>
      <c r="AF548" s="613"/>
    </row>
    <row r="549" spans="1:32" ht="14.25" customHeight="1" thickTop="1" x14ac:dyDescent="0.2">
      <c r="A549" s="816" t="s">
        <v>845</v>
      </c>
      <c r="B549" s="656" t="s">
        <v>60</v>
      </c>
      <c r="C549" s="656" t="s">
        <v>98</v>
      </c>
      <c r="D549" s="656" t="s">
        <v>115</v>
      </c>
      <c r="E549" s="656" t="s">
        <v>131</v>
      </c>
      <c r="F549" s="656" t="s">
        <v>176</v>
      </c>
      <c r="G549" s="656" t="s">
        <v>197</v>
      </c>
      <c r="H549" s="656" t="s">
        <v>236</v>
      </c>
      <c r="I549" s="656" t="s">
        <v>248</v>
      </c>
      <c r="J549" s="656" t="s">
        <v>114</v>
      </c>
      <c r="K549" s="656" t="s">
        <v>327</v>
      </c>
      <c r="L549" s="656" t="s">
        <v>348</v>
      </c>
      <c r="M549" s="656" t="s">
        <v>415</v>
      </c>
      <c r="N549" s="613"/>
      <c r="O549" s="656" t="s">
        <v>483</v>
      </c>
      <c r="P549" s="656" t="s">
        <v>516</v>
      </c>
      <c r="Q549" s="656" t="s">
        <v>532</v>
      </c>
      <c r="R549" s="656" t="s">
        <v>541</v>
      </c>
      <c r="S549" s="656" t="s">
        <v>562</v>
      </c>
      <c r="T549" s="656" t="s">
        <v>571</v>
      </c>
      <c r="U549" s="656" t="s">
        <v>652</v>
      </c>
      <c r="V549" s="656" t="s">
        <v>663</v>
      </c>
      <c r="W549" s="656" t="s">
        <v>712</v>
      </c>
      <c r="X549" s="656" t="s">
        <v>729</v>
      </c>
      <c r="Y549" s="656" t="s">
        <v>752</v>
      </c>
      <c r="Z549" s="656" t="s">
        <v>764</v>
      </c>
      <c r="AA549" s="656" t="s">
        <v>811</v>
      </c>
      <c r="AB549" s="656" t="s">
        <v>832</v>
      </c>
      <c r="AC549" s="52"/>
      <c r="AF549" s="613"/>
    </row>
    <row r="550" spans="1:32" ht="13.5" customHeight="1" thickBot="1" x14ac:dyDescent="0.25">
      <c r="A550" s="817"/>
      <c r="B550" s="657"/>
      <c r="C550" s="657"/>
      <c r="D550" s="657"/>
      <c r="E550" s="657"/>
      <c r="F550" s="657"/>
      <c r="G550" s="657"/>
      <c r="H550" s="657"/>
      <c r="I550" s="657"/>
      <c r="J550" s="657"/>
      <c r="K550" s="657"/>
      <c r="L550" s="657"/>
      <c r="M550" s="657"/>
      <c r="N550" s="613"/>
      <c r="O550" s="657"/>
      <c r="P550" s="657"/>
      <c r="Q550" s="657"/>
      <c r="R550" s="657"/>
      <c r="S550" s="657"/>
      <c r="T550" s="657"/>
      <c r="U550" s="657"/>
      <c r="V550" s="657"/>
      <c r="W550" s="657"/>
      <c r="X550" s="657"/>
      <c r="Y550" s="657"/>
      <c r="Z550" s="657"/>
      <c r="AA550" s="657"/>
      <c r="AB550" s="657"/>
      <c r="AC550" s="52"/>
      <c r="AF550" s="613"/>
    </row>
    <row r="551" spans="1:32" ht="18" customHeight="1" thickTop="1" thickBot="1" x14ac:dyDescent="0.25">
      <c r="A551" s="40" t="s">
        <v>846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108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1620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 700,00"/>
        <filter val="1 753,93"/>
        <filter val="1 828,93"/>
        <filter val="100,00"/>
        <filter val="106,67"/>
        <filter val="115,93"/>
        <filter val="3"/>
        <filter val="800,00"/>
        <filter val="9,26"/>
      </filters>
    </filterColumn>
    <filterColumn colId="29" showButton="0"/>
    <filterColumn colId="30" showButton="0"/>
  </autoFilter>
  <mergeCells count="969"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Q11:R11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847</v>
      </c>
      <c r="H1" s="52"/>
    </row>
    <row r="3" spans="2:8" x14ac:dyDescent="0.2">
      <c r="B3" s="47" t="s">
        <v>848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849</v>
      </c>
      <c r="C6" s="47" t="s">
        <v>850</v>
      </c>
      <c r="D6" s="47" t="s">
        <v>851</v>
      </c>
      <c r="E6" s="47"/>
    </row>
    <row r="7" spans="2:8" x14ac:dyDescent="0.2">
      <c r="B7" s="47" t="s">
        <v>852</v>
      </c>
      <c r="C7" s="47" t="s">
        <v>853</v>
      </c>
      <c r="D7" s="47" t="s">
        <v>854</v>
      </c>
      <c r="E7" s="47"/>
    </row>
    <row r="8" spans="2:8" x14ac:dyDescent="0.2">
      <c r="B8" s="47" t="s">
        <v>855</v>
      </c>
      <c r="C8" s="47" t="s">
        <v>856</v>
      </c>
      <c r="D8" s="47" t="s">
        <v>857</v>
      </c>
      <c r="E8" s="47"/>
    </row>
    <row r="9" spans="2:8" x14ac:dyDescent="0.2">
      <c r="B9" s="47" t="s">
        <v>858</v>
      </c>
      <c r="C9" s="47" t="s">
        <v>859</v>
      </c>
      <c r="D9" s="47" t="s">
        <v>860</v>
      </c>
      <c r="E9" s="47"/>
    </row>
    <row r="10" spans="2:8" x14ac:dyDescent="0.2">
      <c r="B10" s="47" t="s">
        <v>861</v>
      </c>
      <c r="C10" s="47" t="s">
        <v>862</v>
      </c>
      <c r="D10" s="47" t="s">
        <v>863</v>
      </c>
      <c r="E10" s="47"/>
    </row>
    <row r="11" spans="2:8" x14ac:dyDescent="0.2">
      <c r="B11" s="47" t="s">
        <v>864</v>
      </c>
      <c r="C11" s="47" t="s">
        <v>865</v>
      </c>
      <c r="D11" s="47" t="s">
        <v>866</v>
      </c>
      <c r="E11" s="47"/>
    </row>
    <row r="12" spans="2:8" x14ac:dyDescent="0.2">
      <c r="B12" s="47" t="s">
        <v>867</v>
      </c>
      <c r="C12" s="47" t="s">
        <v>868</v>
      </c>
      <c r="D12" s="47" t="s">
        <v>869</v>
      </c>
      <c r="E12" s="47"/>
    </row>
    <row r="14" spans="2:8" x14ac:dyDescent="0.2">
      <c r="B14" s="47" t="s">
        <v>870</v>
      </c>
      <c r="C14" s="47" t="s">
        <v>850</v>
      </c>
      <c r="D14" s="47"/>
      <c r="E14" s="47"/>
    </row>
    <row r="16" spans="2:8" x14ac:dyDescent="0.2">
      <c r="B16" s="47" t="s">
        <v>871</v>
      </c>
      <c r="C16" s="47" t="s">
        <v>853</v>
      </c>
      <c r="D16" s="47"/>
      <c r="E16" s="47"/>
    </row>
    <row r="18" spans="2:5" x14ac:dyDescent="0.2">
      <c r="B18" s="47" t="s">
        <v>872</v>
      </c>
      <c r="C18" s="47" t="s">
        <v>856</v>
      </c>
      <c r="D18" s="47"/>
      <c r="E18" s="47"/>
    </row>
    <row r="20" spans="2:5" x14ac:dyDescent="0.2">
      <c r="B20" s="47" t="s">
        <v>873</v>
      </c>
      <c r="C20" s="47" t="s">
        <v>859</v>
      </c>
      <c r="D20" s="47"/>
      <c r="E20" s="47"/>
    </row>
    <row r="22" spans="2:5" x14ac:dyDescent="0.2">
      <c r="B22" s="47" t="s">
        <v>874</v>
      </c>
      <c r="C22" s="47" t="s">
        <v>862</v>
      </c>
      <c r="D22" s="47"/>
      <c r="E22" s="47"/>
    </row>
    <row r="24" spans="2:5" x14ac:dyDescent="0.2">
      <c r="B24" s="47" t="s">
        <v>875</v>
      </c>
      <c r="C24" s="47" t="s">
        <v>865</v>
      </c>
      <c r="D24" s="47"/>
      <c r="E24" s="47"/>
    </row>
    <row r="26" spans="2:5" x14ac:dyDescent="0.2">
      <c r="B26" s="47" t="s">
        <v>876</v>
      </c>
      <c r="C26" s="47" t="s">
        <v>868</v>
      </c>
      <c r="D26" s="47"/>
      <c r="E26" s="47"/>
    </row>
    <row r="28" spans="2:5" x14ac:dyDescent="0.2">
      <c r="B28" s="47" t="s">
        <v>877</v>
      </c>
      <c r="C28" s="47"/>
      <c r="D28" s="47"/>
      <c r="E28" s="47"/>
    </row>
    <row r="29" spans="2:5" x14ac:dyDescent="0.2">
      <c r="B29" s="47" t="s">
        <v>878</v>
      </c>
      <c r="C29" s="47"/>
      <c r="D29" s="47"/>
      <c r="E29" s="47"/>
    </row>
    <row r="30" spans="2:5" x14ac:dyDescent="0.2">
      <c r="B30" s="47" t="s">
        <v>879</v>
      </c>
      <c r="C30" s="47"/>
      <c r="D30" s="47"/>
      <c r="E30" s="47"/>
    </row>
    <row r="31" spans="2:5" x14ac:dyDescent="0.2">
      <c r="B31" s="47" t="s">
        <v>880</v>
      </c>
      <c r="C31" s="47"/>
      <c r="D31" s="47"/>
      <c r="E31" s="47"/>
    </row>
    <row r="32" spans="2:5" x14ac:dyDescent="0.2">
      <c r="B32" s="47" t="s">
        <v>881</v>
      </c>
      <c r="C32" s="47"/>
      <c r="D32" s="47"/>
      <c r="E32" s="47"/>
    </row>
    <row r="33" spans="2:5" x14ac:dyDescent="0.2">
      <c r="B33" s="47" t="s">
        <v>882</v>
      </c>
      <c r="C33" s="47"/>
      <c r="D33" s="47"/>
      <c r="E33" s="47"/>
    </row>
    <row r="34" spans="2:5" x14ac:dyDescent="0.2">
      <c r="B34" s="47" t="s">
        <v>883</v>
      </c>
      <c r="C34" s="47"/>
      <c r="D34" s="47"/>
      <c r="E34" s="47"/>
    </row>
    <row r="35" spans="2:5" x14ac:dyDescent="0.2">
      <c r="B35" s="47" t="s">
        <v>884</v>
      </c>
      <c r="C35" s="47"/>
      <c r="D35" s="47"/>
      <c r="E35" s="47"/>
    </row>
    <row r="36" spans="2:5" x14ac:dyDescent="0.2">
      <c r="B36" s="47" t="s">
        <v>885</v>
      </c>
      <c r="C36" s="47"/>
      <c r="D36" s="47"/>
      <c r="E36" s="47"/>
    </row>
    <row r="37" spans="2:5" x14ac:dyDescent="0.2">
      <c r="B37" s="47" t="s">
        <v>886</v>
      </c>
      <c r="C37" s="47"/>
      <c r="D37" s="47"/>
      <c r="E37" s="47"/>
    </row>
    <row r="38" spans="2:5" x14ac:dyDescent="0.2">
      <c r="B38" s="47" t="s">
        <v>887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2026-07-20T08:47:45Z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