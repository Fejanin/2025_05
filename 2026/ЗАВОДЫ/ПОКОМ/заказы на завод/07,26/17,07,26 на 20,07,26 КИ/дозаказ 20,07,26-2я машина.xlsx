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60F4D8-131D-4854-9B17-1355F68DB15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Z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Z431" i="2"/>
  <c r="Y431" i="2"/>
  <c r="BN431" i="2" s="1"/>
  <c r="P431" i="2"/>
  <c r="BP430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P419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N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N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N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N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N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N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N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P187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Y163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N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N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P30" i="2"/>
  <c r="BO30" i="2"/>
  <c r="BM30" i="2"/>
  <c r="Y30" i="2"/>
  <c r="BN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15" i="2" l="1"/>
  <c r="Z188" i="2"/>
  <c r="BN115" i="2"/>
  <c r="BN188" i="2"/>
  <c r="Z170" i="2"/>
  <c r="BN336" i="2"/>
  <c r="Z425" i="2"/>
  <c r="BP431" i="2"/>
  <c r="BN442" i="2"/>
  <c r="Z59" i="2"/>
  <c r="BN170" i="2"/>
  <c r="BP182" i="2"/>
  <c r="BN452" i="2"/>
  <c r="BN494" i="2"/>
  <c r="BN425" i="2"/>
  <c r="Z30" i="2"/>
  <c r="BN59" i="2"/>
  <c r="Z316" i="2"/>
  <c r="Z113" i="2"/>
  <c r="Y306" i="2"/>
  <c r="BP113" i="2"/>
  <c r="BN325" i="2"/>
  <c r="Z506" i="2"/>
  <c r="BN420" i="2"/>
  <c r="Z121" i="2"/>
  <c r="BN381" i="2"/>
  <c r="BN416" i="2"/>
  <c r="Y84" i="2"/>
  <c r="BN121" i="2"/>
  <c r="Z176" i="2"/>
  <c r="BP260" i="2"/>
  <c r="BN447" i="2"/>
  <c r="BN474" i="2"/>
  <c r="BN520" i="2"/>
  <c r="Z52" i="2"/>
  <c r="Z372" i="2"/>
  <c r="Y428" i="2"/>
  <c r="Z509" i="2"/>
  <c r="BN172" i="2"/>
  <c r="BN183" i="2"/>
  <c r="Y242" i="2"/>
  <c r="BN71" i="2"/>
  <c r="Z151" i="2"/>
  <c r="BN261" i="2"/>
  <c r="BN386" i="2"/>
  <c r="Z413" i="2"/>
  <c r="Y521" i="2"/>
  <c r="BP52" i="2"/>
  <c r="BN273" i="2"/>
  <c r="Z301" i="2"/>
  <c r="Z302" i="2" s="1"/>
  <c r="Z310" i="2"/>
  <c r="BN353" i="2"/>
  <c r="Y476" i="2"/>
  <c r="Z498" i="2"/>
  <c r="BP509" i="2"/>
  <c r="BN151" i="2"/>
  <c r="Y382" i="2"/>
  <c r="BN491" i="2"/>
  <c r="BP413" i="2"/>
  <c r="BN162" i="2"/>
  <c r="Z262" i="2"/>
  <c r="BP301" i="2"/>
  <c r="Z394" i="2"/>
  <c r="Y470" i="2"/>
  <c r="Z214" i="2"/>
  <c r="BN83" i="2"/>
  <c r="BN223" i="2"/>
  <c r="BN319" i="2"/>
  <c r="BP394" i="2"/>
  <c r="BN499" i="2"/>
  <c r="Y536" i="2"/>
  <c r="Z138" i="2"/>
  <c r="BN62" i="2"/>
  <c r="Z77" i="2"/>
  <c r="BN138" i="2"/>
  <c r="Z182" i="2"/>
  <c r="BN426" i="2"/>
  <c r="BN462" i="2"/>
  <c r="Y56" i="2"/>
  <c r="BN175" i="2"/>
  <c r="BN215" i="2"/>
  <c r="BN271" i="2"/>
  <c r="BN363" i="2"/>
  <c r="BN375" i="2"/>
  <c r="Y390" i="2"/>
  <c r="BN489" i="2"/>
  <c r="Y445" i="2"/>
  <c r="Y471" i="2"/>
  <c r="BN51" i="2"/>
  <c r="BN95" i="2"/>
  <c r="BN103" i="2"/>
  <c r="BN200" i="2"/>
  <c r="Z385" i="2"/>
  <c r="Y396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28" i="2" s="1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Z337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349" i="2" l="1"/>
  <c r="Z287" i="2"/>
  <c r="Z144" i="2"/>
  <c r="Z421" i="2"/>
  <c r="Z124" i="2"/>
  <c r="Z67" i="2"/>
  <c r="Z535" i="2"/>
  <c r="Z152" i="2"/>
  <c r="Z454" i="2"/>
  <c r="Z46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<sst xmlns="http://schemas.openxmlformats.org/spreadsheetml/2006/main" count="4110" uniqueCount="873">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</sst>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6" sqref="AA41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66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67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871</v>
      </c>
      <c r="I5" s="626"/>
      <c r="J5" s="626"/>
      <c r="K5" s="626"/>
      <c r="L5" s="626"/>
      <c r="M5" s="626"/>
      <c r="N5" s="69"/>
      <c r="P5" s="26" t="s">
        <v>4</v>
      </c>
      <c r="Q5" s="628">
        <v>46223</v>
      </c>
      <c r="R5" s="628"/>
      <c r="T5" s="629" t="s">
        <v>3</v>
      </c>
      <c r="U5" s="630"/>
      <c r="V5" s="631" t="s">
        <v>852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853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635" t="s">
        <v>5</v>
      </c>
      <c r="U6" s="636"/>
      <c r="V6" s="637" t="s">
        <v>69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57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0.41666666666666669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70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872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71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72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74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60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58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65</v>
      </c>
      <c r="L17" s="667" t="s">
        <v>63</v>
      </c>
      <c r="M17" s="667" t="s">
        <v>2</v>
      </c>
      <c r="N17" s="667" t="s">
        <v>62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55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59</v>
      </c>
      <c r="AB17" s="681" t="s">
        <v>19</v>
      </c>
      <c r="AC17" s="681" t="s">
        <v>64</v>
      </c>
      <c r="AD17" s="683" t="s">
        <v>56</v>
      </c>
      <c r="AE17" s="684"/>
      <c r="AF17" s="685"/>
      <c r="AG17" s="77"/>
      <c r="BD17" s="76" t="s">
        <v>61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75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76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85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103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109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85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125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126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127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142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127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91" t="s">
        <v>163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85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180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187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127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91" t="s">
        <v>85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90" t="s">
        <v>208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127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91" t="s">
        <v>163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85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91" t="s">
        <v>180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247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127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108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248</v>
      </c>
      <c r="B133" s="60" t="s">
        <v>251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108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76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252</v>
      </c>
      <c r="B137" s="60" t="s">
        <v>253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108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254</v>
      </c>
      <c r="AG137" s="75"/>
      <c r="AJ137" s="79" t="s">
        <v>46</v>
      </c>
      <c r="AK137" s="79">
        <v>0</v>
      </c>
      <c r="BB137" s="20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252</v>
      </c>
      <c r="B138" s="60" t="s">
        <v>255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108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254</v>
      </c>
      <c r="AG138" s="75"/>
      <c r="AJ138" s="79" t="s">
        <v>46</v>
      </c>
      <c r="AK138" s="79">
        <v>0</v>
      </c>
      <c r="BB138" s="20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85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256</v>
      </c>
      <c r="B142" s="60" t="s">
        <v>257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250</v>
      </c>
      <c r="AG142" s="75"/>
      <c r="AJ142" s="79" t="s">
        <v>46</v>
      </c>
      <c r="AK142" s="79">
        <v>0</v>
      </c>
      <c r="BB142" s="20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256</v>
      </c>
      <c r="B143" s="60" t="s">
        <v>258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108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250</v>
      </c>
      <c r="AG143" s="75"/>
      <c r="AJ143" s="79" t="s">
        <v>46</v>
      </c>
      <c r="AK143" s="79">
        <v>0</v>
      </c>
      <c r="BB143" s="20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259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85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260</v>
      </c>
      <c r="B148" s="60" t="s">
        <v>261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262</v>
      </c>
      <c r="AG148" s="75"/>
      <c r="AJ148" s="79" t="s">
        <v>46</v>
      </c>
      <c r="AK148" s="79">
        <v>0</v>
      </c>
      <c r="BB148" s="208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263</v>
      </c>
      <c r="B149" s="60" t="s">
        <v>264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265</v>
      </c>
      <c r="AG149" s="75"/>
      <c r="AJ149" s="79" t="s">
        <v>46</v>
      </c>
      <c r="AK149" s="79">
        <v>0</v>
      </c>
      <c r="BB149" s="210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125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127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272</v>
      </c>
      <c r="B156" s="60" t="s">
        <v>273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90</v>
      </c>
      <c r="L156" s="35" t="s">
        <v>46</v>
      </c>
      <c r="M156" s="36" t="s">
        <v>89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275</v>
      </c>
      <c r="AC156" s="215" t="s">
        <v>274</v>
      </c>
      <c r="AG156" s="75"/>
      <c r="AJ156" s="79" t="s">
        <v>46</v>
      </c>
      <c r="AK156" s="79">
        <v>0</v>
      </c>
      <c r="BB156" s="216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132</v>
      </c>
      <c r="L157" s="35" t="s">
        <v>46</v>
      </c>
      <c r="M157" s="36" t="s">
        <v>131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139</v>
      </c>
      <c r="L158" s="35" t="s">
        <v>46</v>
      </c>
      <c r="M158" s="36" t="s">
        <v>131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163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81</v>
      </c>
      <c r="L162" s="35" t="s">
        <v>46</v>
      </c>
      <c r="M162" s="36" t="s">
        <v>80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76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139</v>
      </c>
      <c r="L166" s="35" t="s">
        <v>46</v>
      </c>
      <c r="M166" s="36" t="s">
        <v>80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66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132</v>
      </c>
      <c r="L167" s="35" t="s">
        <v>46</v>
      </c>
      <c r="M167" s="36" t="s">
        <v>80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66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139</v>
      </c>
      <c r="L168" s="35" t="s">
        <v>46</v>
      </c>
      <c r="M168" s="36" t="s">
        <v>80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66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139</v>
      </c>
      <c r="L169" s="35" t="s">
        <v>46</v>
      </c>
      <c r="M169" s="36" t="s">
        <v>80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66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297</v>
      </c>
      <c r="B170" s="60" t="s">
        <v>298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139</v>
      </c>
      <c r="L170" s="35" t="s">
        <v>46</v>
      </c>
      <c r="M170" s="36" t="s">
        <v>80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66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300</v>
      </c>
      <c r="B171" s="60" t="s">
        <v>301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136</v>
      </c>
      <c r="L171" s="35" t="s">
        <v>46</v>
      </c>
      <c r="M171" s="36" t="s">
        <v>80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302</v>
      </c>
      <c r="AG171" s="75"/>
      <c r="AJ171" s="79" t="s">
        <v>46</v>
      </c>
      <c r="AK171" s="79">
        <v>0</v>
      </c>
      <c r="BB171" s="234" t="s">
        <v>66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81</v>
      </c>
      <c r="L172" s="35" t="s">
        <v>46</v>
      </c>
      <c r="M172" s="36" t="s">
        <v>80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287</v>
      </c>
      <c r="AG172" s="75"/>
      <c r="AJ172" s="79" t="s">
        <v>46</v>
      </c>
      <c r="AK172" s="79">
        <v>0</v>
      </c>
      <c r="BB172" s="236" t="s">
        <v>66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136</v>
      </c>
      <c r="L173" s="35" t="s">
        <v>46</v>
      </c>
      <c r="M173" s="36" t="s">
        <v>80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307</v>
      </c>
      <c r="AG173" s="75"/>
      <c r="AJ173" s="79" t="s">
        <v>46</v>
      </c>
      <c r="AK173" s="79">
        <v>0</v>
      </c>
      <c r="BB173" s="238" t="s">
        <v>66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305</v>
      </c>
      <c r="B174" s="60" t="s">
        <v>308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136</v>
      </c>
      <c r="L174" s="35" t="s">
        <v>46</v>
      </c>
      <c r="M174" s="36" t="s">
        <v>80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307</v>
      </c>
      <c r="AG174" s="75"/>
      <c r="AJ174" s="79" t="s">
        <v>46</v>
      </c>
      <c r="AK174" s="79">
        <v>0</v>
      </c>
      <c r="BB174" s="240" t="s">
        <v>66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309</v>
      </c>
      <c r="B175" s="60" t="s">
        <v>310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81</v>
      </c>
      <c r="L175" s="35" t="s">
        <v>46</v>
      </c>
      <c r="M175" s="36" t="s">
        <v>80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66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311</v>
      </c>
      <c r="B176" s="60" t="s">
        <v>312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136</v>
      </c>
      <c r="L176" s="35" t="s">
        <v>46</v>
      </c>
      <c r="M176" s="36" t="s">
        <v>80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313</v>
      </c>
      <c r="AG176" s="75"/>
      <c r="AJ176" s="79" t="s">
        <v>46</v>
      </c>
      <c r="AK176" s="79">
        <v>0</v>
      </c>
      <c r="BB176" s="244" t="s">
        <v>66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81</v>
      </c>
      <c r="L177" s="35" t="s">
        <v>46</v>
      </c>
      <c r="M177" s="36" t="s">
        <v>80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299</v>
      </c>
      <c r="AG177" s="75"/>
      <c r="AJ177" s="79" t="s">
        <v>46</v>
      </c>
      <c r="AK177" s="79">
        <v>0</v>
      </c>
      <c r="BB177" s="246" t="s">
        <v>66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85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316</v>
      </c>
      <c r="B181" s="60" t="s">
        <v>317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90</v>
      </c>
      <c r="L181" s="35" t="s">
        <v>46</v>
      </c>
      <c r="M181" s="36" t="s">
        <v>96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318</v>
      </c>
      <c r="AG181" s="75"/>
      <c r="AJ181" s="79" t="s">
        <v>46</v>
      </c>
      <c r="AK181" s="79">
        <v>0</v>
      </c>
      <c r="BB181" s="248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319</v>
      </c>
      <c r="B182" s="60" t="s">
        <v>320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90</v>
      </c>
      <c r="L182" s="35" t="s">
        <v>46</v>
      </c>
      <c r="M182" s="36" t="s">
        <v>96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321</v>
      </c>
      <c r="AG182" s="75"/>
      <c r="AJ182" s="79" t="s">
        <v>46</v>
      </c>
      <c r="AK182" s="79">
        <v>0</v>
      </c>
      <c r="BB182" s="250" t="s">
        <v>66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322</v>
      </c>
      <c r="B183" s="60" t="s">
        <v>323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90</v>
      </c>
      <c r="L183" s="35" t="s">
        <v>46</v>
      </c>
      <c r="M183" s="36" t="s">
        <v>89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324</v>
      </c>
      <c r="AG183" s="75"/>
      <c r="AJ183" s="79" t="s">
        <v>46</v>
      </c>
      <c r="AK183" s="79">
        <v>0</v>
      </c>
      <c r="BB183" s="252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103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325</v>
      </c>
      <c r="B187" s="60" t="s">
        <v>326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329</v>
      </c>
      <c r="L187" s="35" t="s">
        <v>46</v>
      </c>
      <c r="M187" s="36" t="s">
        <v>328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327</v>
      </c>
      <c r="AG187" s="75"/>
      <c r="AJ187" s="79" t="s">
        <v>46</v>
      </c>
      <c r="AK187" s="79">
        <v>0</v>
      </c>
      <c r="BB187" s="254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330</v>
      </c>
      <c r="B188" s="60" t="s">
        <v>331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329</v>
      </c>
      <c r="L188" s="35" t="s">
        <v>46</v>
      </c>
      <c r="M188" s="36" t="s">
        <v>328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332</v>
      </c>
      <c r="AG188" s="75"/>
      <c r="AJ188" s="79" t="s">
        <v>46</v>
      </c>
      <c r="AK188" s="79">
        <v>0</v>
      </c>
      <c r="BB188" s="256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333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334</v>
      </c>
      <c r="B192" s="60" t="s">
        <v>335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329</v>
      </c>
      <c r="L192" s="35" t="s">
        <v>46</v>
      </c>
      <c r="M192" s="36" t="s">
        <v>328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336</v>
      </c>
      <c r="AG192" s="75"/>
      <c r="AJ192" s="79" t="s">
        <v>46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337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338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127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339</v>
      </c>
      <c r="B198" s="60" t="s">
        <v>340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132</v>
      </c>
      <c r="L198" s="35" t="s">
        <v>46</v>
      </c>
      <c r="M198" s="36" t="s">
        <v>89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130</v>
      </c>
      <c r="AG198" s="75"/>
      <c r="AJ198" s="79" t="s">
        <v>46</v>
      </c>
      <c r="AK198" s="79">
        <v>0</v>
      </c>
      <c r="BB198" s="260" t="s">
        <v>66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132</v>
      </c>
      <c r="L199" s="35" t="s">
        <v>46</v>
      </c>
      <c r="M199" s="36" t="s">
        <v>89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343</v>
      </c>
      <c r="AG199" s="75"/>
      <c r="AJ199" s="79" t="s">
        <v>46</v>
      </c>
      <c r="AK199" s="79">
        <v>0</v>
      </c>
      <c r="BB199" s="262" t="s">
        <v>66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132</v>
      </c>
      <c r="L200" s="35" t="s">
        <v>46</v>
      </c>
      <c r="M200" s="36" t="s">
        <v>89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346</v>
      </c>
      <c r="AG200" s="75"/>
      <c r="AJ200" s="79" t="s">
        <v>46</v>
      </c>
      <c r="AK200" s="79">
        <v>0</v>
      </c>
      <c r="BB200" s="264" t="s">
        <v>66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132</v>
      </c>
      <c r="L201" s="35" t="s">
        <v>46</v>
      </c>
      <c r="M201" s="36" t="s">
        <v>89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349</v>
      </c>
      <c r="AG201" s="75"/>
      <c r="AJ201" s="79" t="s">
        <v>46</v>
      </c>
      <c r="AK201" s="79">
        <v>0</v>
      </c>
      <c r="BB201" s="266" t="s">
        <v>66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350</v>
      </c>
      <c r="B202" s="60" t="s">
        <v>351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132</v>
      </c>
      <c r="L202" s="35" t="s">
        <v>46</v>
      </c>
      <c r="M202" s="36" t="s">
        <v>89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352</v>
      </c>
      <c r="AG202" s="75"/>
      <c r="AJ202" s="79" t="s">
        <v>46</v>
      </c>
      <c r="AK202" s="79">
        <v>0</v>
      </c>
      <c r="BB202" s="268" t="s">
        <v>66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132</v>
      </c>
      <c r="L203" s="35" t="s">
        <v>46</v>
      </c>
      <c r="M203" s="36" t="s">
        <v>89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355</v>
      </c>
      <c r="AG203" s="75"/>
      <c r="AJ203" s="79" t="s">
        <v>46</v>
      </c>
      <c r="AK203" s="79">
        <v>0</v>
      </c>
      <c r="BB203" s="270" t="s">
        <v>66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356</v>
      </c>
      <c r="B204" s="60" t="s">
        <v>357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132</v>
      </c>
      <c r="L204" s="35" t="s">
        <v>46</v>
      </c>
      <c r="M204" s="36" t="s">
        <v>89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358</v>
      </c>
      <c r="AG204" s="75"/>
      <c r="AJ204" s="79" t="s">
        <v>46</v>
      </c>
      <c r="AK204" s="79">
        <v>0</v>
      </c>
      <c r="BB204" s="272" t="s">
        <v>66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359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163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360</v>
      </c>
      <c r="B209" s="60" t="s">
        <v>361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81</v>
      </c>
      <c r="L209" s="35" t="s">
        <v>46</v>
      </c>
      <c r="M209" s="36" t="s">
        <v>80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362</v>
      </c>
      <c r="AG209" s="75"/>
      <c r="AJ209" s="79" t="s">
        <v>46</v>
      </c>
      <c r="AK209" s="79">
        <v>0</v>
      </c>
      <c r="BB209" s="274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76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363</v>
      </c>
      <c r="B213" s="60" t="s">
        <v>364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139</v>
      </c>
      <c r="L213" s="35" t="s">
        <v>46</v>
      </c>
      <c r="M213" s="36" t="s">
        <v>80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365</v>
      </c>
      <c r="AG213" s="75"/>
      <c r="AJ213" s="79" t="s">
        <v>46</v>
      </c>
      <c r="AK213" s="79">
        <v>0</v>
      </c>
      <c r="BB213" s="276" t="s">
        <v>66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366</v>
      </c>
      <c r="B214" s="60" t="s">
        <v>367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139</v>
      </c>
      <c r="L214" s="35" t="s">
        <v>46</v>
      </c>
      <c r="M214" s="36" t="s">
        <v>80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66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139</v>
      </c>
      <c r="L215" s="35" t="s">
        <v>46</v>
      </c>
      <c r="M215" s="36" t="s">
        <v>80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66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372</v>
      </c>
      <c r="B216" s="60" t="s">
        <v>373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81</v>
      </c>
      <c r="L216" s="35" t="s">
        <v>46</v>
      </c>
      <c r="M216" s="36" t="s">
        <v>80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66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81</v>
      </c>
      <c r="L217" s="35" t="s">
        <v>46</v>
      </c>
      <c r="M217" s="36" t="s">
        <v>80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365</v>
      </c>
      <c r="AG217" s="75"/>
      <c r="AJ217" s="79" t="s">
        <v>46</v>
      </c>
      <c r="AK217" s="79">
        <v>0</v>
      </c>
      <c r="BB217" s="284" t="s">
        <v>66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377</v>
      </c>
      <c r="B218" s="60" t="s">
        <v>378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379</v>
      </c>
      <c r="AG218" s="75"/>
      <c r="AJ218" s="79" t="s">
        <v>46</v>
      </c>
      <c r="AK218" s="79">
        <v>0</v>
      </c>
      <c r="BB218" s="286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380</v>
      </c>
      <c r="B219" s="60" t="s">
        <v>381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368</v>
      </c>
      <c r="AG219" s="75"/>
      <c r="AJ219" s="79" t="s">
        <v>46</v>
      </c>
      <c r="AK219" s="79">
        <v>0</v>
      </c>
      <c r="BB219" s="288" t="s">
        <v>66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382</v>
      </c>
      <c r="B220" s="60" t="s">
        <v>383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384</v>
      </c>
      <c r="AG220" s="75"/>
      <c r="AJ220" s="79" t="s">
        <v>46</v>
      </c>
      <c r="AK220" s="79">
        <v>0</v>
      </c>
      <c r="BB220" s="290" t="s">
        <v>66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390</v>
      </c>
      <c r="AG222" s="75"/>
      <c r="AJ222" s="79" t="s">
        <v>46</v>
      </c>
      <c r="AK222" s="79">
        <v>0</v>
      </c>
      <c r="BB222" s="294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136</v>
      </c>
      <c r="L223" s="35" t="s">
        <v>46</v>
      </c>
      <c r="M223" s="36" t="s">
        <v>80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393</v>
      </c>
      <c r="AG223" s="75"/>
      <c r="AJ223" s="79" t="s">
        <v>46</v>
      </c>
      <c r="AK223" s="79">
        <v>0</v>
      </c>
      <c r="BB223" s="296" t="s">
        <v>66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394</v>
      </c>
      <c r="B224" s="60" t="s">
        <v>395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371</v>
      </c>
      <c r="AG224" s="75"/>
      <c r="AJ224" s="79" t="s">
        <v>46</v>
      </c>
      <c r="AK224" s="79">
        <v>0</v>
      </c>
      <c r="BB224" s="298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396</v>
      </c>
      <c r="B225" s="60" t="s">
        <v>397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90</v>
      </c>
      <c r="L225" s="35" t="s">
        <v>46</v>
      </c>
      <c r="M225" s="36" t="s">
        <v>80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371</v>
      </c>
      <c r="AG225" s="75"/>
      <c r="AJ225" s="79" t="s">
        <v>46</v>
      </c>
      <c r="AK225" s="79">
        <v>0</v>
      </c>
      <c r="BB225" s="300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398</v>
      </c>
      <c r="B226" s="60" t="s">
        <v>399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400</v>
      </c>
      <c r="AG226" s="75"/>
      <c r="AJ226" s="79" t="s">
        <v>46</v>
      </c>
      <c r="AK226" s="79">
        <v>0</v>
      </c>
      <c r="BB226" s="30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85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401</v>
      </c>
      <c r="B230" s="60" t="s">
        <v>402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139</v>
      </c>
      <c r="L230" s="35" t="s">
        <v>46</v>
      </c>
      <c r="M230" s="36" t="s">
        <v>96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275</v>
      </c>
      <c r="AC230" s="303" t="s">
        <v>403</v>
      </c>
      <c r="AG230" s="75"/>
      <c r="AJ230" s="79" t="s">
        <v>46</v>
      </c>
      <c r="AK230" s="79">
        <v>0</v>
      </c>
      <c r="BB230" s="304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404</v>
      </c>
      <c r="B231" s="60" t="s">
        <v>405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132</v>
      </c>
      <c r="L231" s="35" t="s">
        <v>46</v>
      </c>
      <c r="M231" s="36" t="s">
        <v>96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406</v>
      </c>
      <c r="AG231" s="75"/>
      <c r="AJ231" s="79" t="s">
        <v>46</v>
      </c>
      <c r="AK231" s="79">
        <v>0</v>
      </c>
      <c r="BB231" s="306" t="s">
        <v>66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407</v>
      </c>
      <c r="B232" s="60" t="s">
        <v>408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132</v>
      </c>
      <c r="L232" s="35" t="s">
        <v>46</v>
      </c>
      <c r="M232" s="36" t="s">
        <v>96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409</v>
      </c>
      <c r="AG232" s="75"/>
      <c r="AJ232" s="79" t="s">
        <v>46</v>
      </c>
      <c r="AK232" s="79">
        <v>0</v>
      </c>
      <c r="BB232" s="308" t="s">
        <v>66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410</v>
      </c>
      <c r="B233" s="60" t="s">
        <v>411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139</v>
      </c>
      <c r="L233" s="35" t="s">
        <v>46</v>
      </c>
      <c r="M233" s="36" t="s">
        <v>96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412</v>
      </c>
      <c r="AG233" s="75"/>
      <c r="AJ233" s="79" t="s">
        <v>46</v>
      </c>
      <c r="AK233" s="79">
        <v>0</v>
      </c>
      <c r="BB233" s="310" t="s">
        <v>66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413</v>
      </c>
      <c r="B234" s="60" t="s">
        <v>414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139</v>
      </c>
      <c r="L234" s="35" t="s">
        <v>46</v>
      </c>
      <c r="M234" s="36" t="s">
        <v>96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409</v>
      </c>
      <c r="AG234" s="75"/>
      <c r="AJ234" s="79" t="s">
        <v>46</v>
      </c>
      <c r="AK234" s="79">
        <v>0</v>
      </c>
      <c r="BB234" s="312" t="s">
        <v>66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103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415</v>
      </c>
      <c r="B238" s="60" t="s">
        <v>416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329</v>
      </c>
      <c r="L238" s="35" t="s">
        <v>46</v>
      </c>
      <c r="M238" s="36" t="s">
        <v>328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417</v>
      </c>
      <c r="AG238" s="75"/>
      <c r="AJ238" s="79" t="s">
        <v>46</v>
      </c>
      <c r="AK238" s="79">
        <v>0</v>
      </c>
      <c r="BB238" s="314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418</v>
      </c>
      <c r="B239" s="60" t="s">
        <v>419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329</v>
      </c>
      <c r="L239" s="35" t="s">
        <v>46</v>
      </c>
      <c r="M239" s="36" t="s">
        <v>328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420</v>
      </c>
      <c r="AG239" s="75"/>
      <c r="AJ239" s="79" t="s">
        <v>46</v>
      </c>
      <c r="AK239" s="79">
        <v>0</v>
      </c>
      <c r="BB239" s="316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329</v>
      </c>
      <c r="L240" s="35" t="s">
        <v>46</v>
      </c>
      <c r="M240" s="36" t="s">
        <v>328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420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423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424</v>
      </c>
      <c r="B244" s="60" t="s">
        <v>425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329</v>
      </c>
      <c r="L244" s="35" t="s">
        <v>46</v>
      </c>
      <c r="M244" s="36" t="s">
        <v>328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420</v>
      </c>
      <c r="AG244" s="75"/>
      <c r="AJ244" s="79" t="s">
        <v>46</v>
      </c>
      <c r="AK244" s="79">
        <v>0</v>
      </c>
      <c r="BB244" s="320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426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127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132</v>
      </c>
      <c r="L249" s="35" t="s">
        <v>46</v>
      </c>
      <c r="M249" s="36" t="s">
        <v>131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429</v>
      </c>
      <c r="AG249" s="75"/>
      <c r="AJ249" s="79" t="s">
        <v>46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430</v>
      </c>
      <c r="B250" s="60" t="s">
        <v>431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90</v>
      </c>
      <c r="L250" s="35" t="s">
        <v>46</v>
      </c>
      <c r="M250" s="36" t="s">
        <v>131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429</v>
      </c>
      <c r="AG250" s="75"/>
      <c r="AJ250" s="79" t="s">
        <v>46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163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432</v>
      </c>
      <c r="B254" s="60" t="s">
        <v>433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132</v>
      </c>
      <c r="L254" s="35" t="s">
        <v>46</v>
      </c>
      <c r="M254" s="36" t="s">
        <v>131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434</v>
      </c>
      <c r="AG254" s="75"/>
      <c r="AJ254" s="79" t="s">
        <v>46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435</v>
      </c>
      <c r="B255" s="60" t="s">
        <v>436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90</v>
      </c>
      <c r="L255" s="35" t="s">
        <v>46</v>
      </c>
      <c r="M255" s="36" t="s">
        <v>131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434</v>
      </c>
      <c r="AG255" s="75"/>
      <c r="AJ255" s="79" t="s">
        <v>46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76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437</v>
      </c>
      <c r="B259" s="60" t="s">
        <v>438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139</v>
      </c>
      <c r="L259" s="35" t="s">
        <v>46</v>
      </c>
      <c r="M259" s="36" t="s">
        <v>80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439</v>
      </c>
      <c r="AG259" s="75"/>
      <c r="AJ259" s="79" t="s">
        <v>46</v>
      </c>
      <c r="AK259" s="79">
        <v>0</v>
      </c>
      <c r="BB259" s="330" t="s">
        <v>66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139</v>
      </c>
      <c r="L260" s="35" t="s">
        <v>46</v>
      </c>
      <c r="M260" s="36" t="s">
        <v>80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442</v>
      </c>
      <c r="AG260" s="75"/>
      <c r="AJ260" s="79" t="s">
        <v>46</v>
      </c>
      <c r="AK260" s="79">
        <v>0</v>
      </c>
      <c r="BB260" s="332" t="s">
        <v>66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443</v>
      </c>
      <c r="B261" s="60" t="s">
        <v>444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139</v>
      </c>
      <c r="L261" s="35" t="s">
        <v>46</v>
      </c>
      <c r="M261" s="36" t="s">
        <v>80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445</v>
      </c>
      <c r="AG261" s="75"/>
      <c r="AJ261" s="79" t="s">
        <v>46</v>
      </c>
      <c r="AK261" s="79">
        <v>0</v>
      </c>
      <c r="BB261" s="334" t="s">
        <v>66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446</v>
      </c>
      <c r="B262" s="60" t="s">
        <v>447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139</v>
      </c>
      <c r="L262" s="35" t="s">
        <v>46</v>
      </c>
      <c r="M262" s="36" t="s">
        <v>80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448</v>
      </c>
      <c r="AG262" s="75"/>
      <c r="AJ262" s="79" t="s">
        <v>46</v>
      </c>
      <c r="AK262" s="79">
        <v>0</v>
      </c>
      <c r="BB262" s="336" t="s">
        <v>66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449</v>
      </c>
      <c r="B263" s="60" t="s">
        <v>450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81</v>
      </c>
      <c r="L263" s="35" t="s">
        <v>46</v>
      </c>
      <c r="M263" s="36" t="s">
        <v>80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439</v>
      </c>
      <c r="AG263" s="75"/>
      <c r="AJ263" s="79" t="s">
        <v>46</v>
      </c>
      <c r="AK263" s="79">
        <v>0</v>
      </c>
      <c r="BB263" s="338" t="s">
        <v>66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451</v>
      </c>
      <c r="B264" s="60" t="s">
        <v>452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81</v>
      </c>
      <c r="L264" s="35" t="s">
        <v>46</v>
      </c>
      <c r="M264" s="36" t="s">
        <v>80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442</v>
      </c>
      <c r="AG264" s="75"/>
      <c r="AJ264" s="79" t="s">
        <v>46</v>
      </c>
      <c r="AK264" s="79">
        <v>0</v>
      </c>
      <c r="BB264" s="340" t="s">
        <v>66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453</v>
      </c>
      <c r="B265" s="60" t="s">
        <v>454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81</v>
      </c>
      <c r="L265" s="35" t="s">
        <v>46</v>
      </c>
      <c r="M265" s="36" t="s">
        <v>80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445</v>
      </c>
      <c r="AG265" s="75"/>
      <c r="AJ265" s="79" t="s">
        <v>46</v>
      </c>
      <c r="AK265" s="79">
        <v>0</v>
      </c>
      <c r="BB265" s="342" t="s">
        <v>66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455</v>
      </c>
      <c r="B266" s="60" t="s">
        <v>456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81</v>
      </c>
      <c r="L266" s="35" t="s">
        <v>46</v>
      </c>
      <c r="M266" s="36" t="s">
        <v>80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448</v>
      </c>
      <c r="AG266" s="75"/>
      <c r="AJ266" s="79" t="s">
        <v>46</v>
      </c>
      <c r="AK266" s="79">
        <v>0</v>
      </c>
      <c r="BB266" s="344" t="s">
        <v>66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85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457</v>
      </c>
      <c r="B270" s="60" t="s">
        <v>458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132</v>
      </c>
      <c r="L270" s="35" t="s">
        <v>46</v>
      </c>
      <c r="M270" s="36" t="s">
        <v>89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459</v>
      </c>
      <c r="AG270" s="75"/>
      <c r="AJ270" s="79" t="s">
        <v>46</v>
      </c>
      <c r="AK270" s="79">
        <v>0</v>
      </c>
      <c r="BB270" s="346" t="s">
        <v>66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460</v>
      </c>
      <c r="B271" s="60" t="s">
        <v>461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132</v>
      </c>
      <c r="L271" s="35" t="s">
        <v>46</v>
      </c>
      <c r="M271" s="36" t="s">
        <v>89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462</v>
      </c>
      <c r="AG271" s="75"/>
      <c r="AJ271" s="79" t="s">
        <v>46</v>
      </c>
      <c r="AK271" s="79">
        <v>0</v>
      </c>
      <c r="BB271" s="348" t="s">
        <v>66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463</v>
      </c>
      <c r="B272" s="60" t="s">
        <v>464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132</v>
      </c>
      <c r="L272" s="35" t="s">
        <v>46</v>
      </c>
      <c r="M272" s="36" t="s">
        <v>89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465</v>
      </c>
      <c r="AG272" s="75"/>
      <c r="AJ272" s="79" t="s">
        <v>46</v>
      </c>
      <c r="AK272" s="79">
        <v>0</v>
      </c>
      <c r="BB272" s="350" t="s">
        <v>66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466</v>
      </c>
      <c r="B273" s="60" t="s">
        <v>467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90</v>
      </c>
      <c r="L273" s="35" t="s">
        <v>46</v>
      </c>
      <c r="M273" s="36" t="s">
        <v>89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468</v>
      </c>
      <c r="B274" s="60" t="s">
        <v>469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90</v>
      </c>
      <c r="L274" s="35" t="s">
        <v>46</v>
      </c>
      <c r="M274" s="36" t="s">
        <v>96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465</v>
      </c>
      <c r="AG274" s="75"/>
      <c r="AJ274" s="79" t="s">
        <v>46</v>
      </c>
      <c r="AK274" s="79">
        <v>0</v>
      </c>
      <c r="BB274" s="354" t="s">
        <v>66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470</v>
      </c>
      <c r="B275" s="60" t="s">
        <v>471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139</v>
      </c>
      <c r="L275" s="35" t="s">
        <v>46</v>
      </c>
      <c r="M275" s="36" t="s">
        <v>89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472</v>
      </c>
      <c r="AG275" s="75"/>
      <c r="AJ275" s="79" t="s">
        <v>46</v>
      </c>
      <c r="AK275" s="79">
        <v>0</v>
      </c>
      <c r="BB275" s="356" t="s">
        <v>66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473</v>
      </c>
      <c r="B276" s="60" t="s">
        <v>474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90</v>
      </c>
      <c r="L276" s="35" t="s">
        <v>46</v>
      </c>
      <c r="M276" s="36" t="s">
        <v>89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465</v>
      </c>
      <c r="AG276" s="75"/>
      <c r="AJ276" s="79" t="s">
        <v>46</v>
      </c>
      <c r="AK276" s="79">
        <v>0</v>
      </c>
      <c r="BB276" s="358" t="s">
        <v>66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475</v>
      </c>
      <c r="B277" s="60" t="s">
        <v>476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132</v>
      </c>
      <c r="L277" s="35" t="s">
        <v>46</v>
      </c>
      <c r="M277" s="36" t="s">
        <v>89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472</v>
      </c>
      <c r="AG277" s="75"/>
      <c r="AJ277" s="79" t="s">
        <v>46</v>
      </c>
      <c r="AK277" s="79">
        <v>0</v>
      </c>
      <c r="BB277" s="360" t="s">
        <v>66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477</v>
      </c>
      <c r="B278" s="60" t="s">
        <v>478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90</v>
      </c>
      <c r="L278" s="35" t="s">
        <v>46</v>
      </c>
      <c r="M278" s="36" t="s">
        <v>89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465</v>
      </c>
      <c r="AG278" s="75"/>
      <c r="AJ278" s="79" t="s">
        <v>46</v>
      </c>
      <c r="AK278" s="79">
        <v>0</v>
      </c>
      <c r="BB278" s="362" t="s">
        <v>66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90</v>
      </c>
      <c r="L279" s="35" t="s">
        <v>46</v>
      </c>
      <c r="M279" s="36" t="s">
        <v>96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481</v>
      </c>
      <c r="AG279" s="75"/>
      <c r="AJ279" s="79" t="s">
        <v>46</v>
      </c>
      <c r="AK279" s="79">
        <v>0</v>
      </c>
      <c r="BB279" s="364" t="s">
        <v>66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484</v>
      </c>
      <c r="AG280" s="75"/>
      <c r="AJ280" s="79" t="s">
        <v>46</v>
      </c>
      <c r="AK280" s="79">
        <v>0</v>
      </c>
      <c r="BB280" s="366" t="s">
        <v>66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485</v>
      </c>
      <c r="B281" s="60" t="s">
        <v>486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90</v>
      </c>
      <c r="L281" s="35" t="s">
        <v>46</v>
      </c>
      <c r="M281" s="36" t="s">
        <v>89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487</v>
      </c>
      <c r="AG281" s="75"/>
      <c r="AJ281" s="79" t="s">
        <v>46</v>
      </c>
      <c r="AK281" s="79">
        <v>0</v>
      </c>
      <c r="BB281" s="368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91" t="s">
        <v>180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488</v>
      </c>
      <c r="B285" s="60" t="s">
        <v>489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490</v>
      </c>
      <c r="AG285" s="75"/>
      <c r="AJ285" s="79" t="s">
        <v>46</v>
      </c>
      <c r="AK285" s="79">
        <v>0</v>
      </c>
      <c r="BB285" s="370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491</v>
      </c>
      <c r="B286" s="60" t="s">
        <v>492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493</v>
      </c>
      <c r="AG286" s="75"/>
      <c r="AJ286" s="79" t="s">
        <v>46</v>
      </c>
      <c r="AK286" s="79">
        <v>0</v>
      </c>
      <c r="BB286" s="37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494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127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495</v>
      </c>
      <c r="B291" s="60" t="s">
        <v>496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132</v>
      </c>
      <c r="L291" s="35" t="s">
        <v>46</v>
      </c>
      <c r="M291" s="36" t="s">
        <v>131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497</v>
      </c>
      <c r="AG291" s="75"/>
      <c r="AJ291" s="79" t="s">
        <v>46</v>
      </c>
      <c r="AK291" s="79">
        <v>0</v>
      </c>
      <c r="BB291" s="374" t="s">
        <v>66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498</v>
      </c>
      <c r="B292" s="60" t="s">
        <v>499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132</v>
      </c>
      <c r="L292" s="35" t="s">
        <v>46</v>
      </c>
      <c r="M292" s="36" t="s">
        <v>131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500</v>
      </c>
      <c r="AG292" s="75"/>
      <c r="AJ292" s="79" t="s">
        <v>46</v>
      </c>
      <c r="AK292" s="79">
        <v>0</v>
      </c>
      <c r="BB292" s="376" t="s">
        <v>66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501</v>
      </c>
      <c r="B293" s="60" t="s">
        <v>502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132</v>
      </c>
      <c r="L293" s="35" t="s">
        <v>46</v>
      </c>
      <c r="M293" s="36" t="s">
        <v>131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355</v>
      </c>
      <c r="AG293" s="75"/>
      <c r="AJ293" s="79" t="s">
        <v>46</v>
      </c>
      <c r="AK293" s="79">
        <v>0</v>
      </c>
      <c r="BB293" s="378" t="s">
        <v>66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503</v>
      </c>
      <c r="B294" s="60" t="s">
        <v>504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139</v>
      </c>
      <c r="L294" s="35" t="s">
        <v>46</v>
      </c>
      <c r="M294" s="36" t="s">
        <v>131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497</v>
      </c>
      <c r="AG294" s="75"/>
      <c r="AJ294" s="79" t="s">
        <v>46</v>
      </c>
      <c r="AK294" s="79">
        <v>0</v>
      </c>
      <c r="BB294" s="380" t="s">
        <v>66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505</v>
      </c>
      <c r="B295" s="60" t="s">
        <v>506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139</v>
      </c>
      <c r="L295" s="35" t="s">
        <v>46</v>
      </c>
      <c r="M295" s="36" t="s">
        <v>131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507</v>
      </c>
      <c r="AG295" s="75"/>
      <c r="AJ295" s="79" t="s">
        <v>46</v>
      </c>
      <c r="AK295" s="79">
        <v>0</v>
      </c>
      <c r="BB295" s="382" t="s">
        <v>66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508</v>
      </c>
      <c r="B296" s="60" t="s">
        <v>509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90</v>
      </c>
      <c r="L296" s="35" t="s">
        <v>46</v>
      </c>
      <c r="M296" s="36" t="s">
        <v>131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510</v>
      </c>
      <c r="AG296" s="75"/>
      <c r="AJ296" s="79" t="s">
        <v>46</v>
      </c>
      <c r="AK296" s="79">
        <v>0</v>
      </c>
      <c r="BB296" s="384" t="s">
        <v>66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511</v>
      </c>
      <c r="B297" s="60" t="s">
        <v>512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139</v>
      </c>
      <c r="L297" s="35" t="s">
        <v>46</v>
      </c>
      <c r="M297" s="36" t="s">
        <v>131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355</v>
      </c>
      <c r="AG297" s="75"/>
      <c r="AJ297" s="79" t="s">
        <v>46</v>
      </c>
      <c r="AK297" s="79">
        <v>0</v>
      </c>
      <c r="BB297" s="386" t="s">
        <v>66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163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513</v>
      </c>
      <c r="B301" s="60" t="s">
        <v>514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81</v>
      </c>
      <c r="L301" s="35" t="s">
        <v>46</v>
      </c>
      <c r="M301" s="36" t="s">
        <v>89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515</v>
      </c>
      <c r="AG301" s="75"/>
      <c r="AJ301" s="79" t="s">
        <v>46</v>
      </c>
      <c r="AK301" s="79">
        <v>0</v>
      </c>
      <c r="BB301" s="38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516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517</v>
      </c>
      <c r="B305" s="60" t="s">
        <v>518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329</v>
      </c>
      <c r="L305" s="35" t="s">
        <v>46</v>
      </c>
      <c r="M305" s="36" t="s">
        <v>328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519</v>
      </c>
      <c r="AG305" s="75"/>
      <c r="AJ305" s="79" t="s">
        <v>46</v>
      </c>
      <c r="AK305" s="79">
        <v>0</v>
      </c>
      <c r="BB305" s="390" t="s">
        <v>66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333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520</v>
      </c>
      <c r="B309" s="60" t="s">
        <v>521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329</v>
      </c>
      <c r="L309" s="35" t="s">
        <v>46</v>
      </c>
      <c r="M309" s="36" t="s">
        <v>328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522</v>
      </c>
      <c r="AG309" s="75"/>
      <c r="AJ309" s="79" t="s">
        <v>46</v>
      </c>
      <c r="AK309" s="79">
        <v>0</v>
      </c>
      <c r="BB309" s="39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523</v>
      </c>
      <c r="B310" s="60" t="s">
        <v>524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329</v>
      </c>
      <c r="L310" s="35" t="s">
        <v>46</v>
      </c>
      <c r="M310" s="36" t="s">
        <v>328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522</v>
      </c>
      <c r="AG310" s="75"/>
      <c r="AJ310" s="79" t="s">
        <v>46</v>
      </c>
      <c r="AK310" s="79">
        <v>0</v>
      </c>
      <c r="BB310" s="39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525</v>
      </c>
      <c r="B311" s="60" t="s">
        <v>526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329</v>
      </c>
      <c r="L311" s="35" t="s">
        <v>46</v>
      </c>
      <c r="M311" s="36" t="s">
        <v>328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522</v>
      </c>
      <c r="AG311" s="75"/>
      <c r="AJ311" s="79" t="s">
        <v>46</v>
      </c>
      <c r="AK311" s="79">
        <v>0</v>
      </c>
      <c r="BB311" s="39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527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127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528</v>
      </c>
      <c r="B316" s="60" t="s">
        <v>529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132</v>
      </c>
      <c r="L316" s="35" t="s">
        <v>46</v>
      </c>
      <c r="M316" s="36" t="s">
        <v>131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530</v>
      </c>
      <c r="AG316" s="75"/>
      <c r="AJ316" s="79" t="s">
        <v>46</v>
      </c>
      <c r="AK316" s="79">
        <v>0</v>
      </c>
      <c r="BB316" s="398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531</v>
      </c>
      <c r="B317" s="60" t="s">
        <v>532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132</v>
      </c>
      <c r="L317" s="35" t="s">
        <v>46</v>
      </c>
      <c r="M317" s="36" t="s">
        <v>131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533</v>
      </c>
      <c r="AG317" s="75"/>
      <c r="AJ317" s="79" t="s">
        <v>46</v>
      </c>
      <c r="AK317" s="79">
        <v>0</v>
      </c>
      <c r="BB317" s="400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534</v>
      </c>
      <c r="B318" s="60" t="s">
        <v>535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132</v>
      </c>
      <c r="L318" s="35" t="s">
        <v>46</v>
      </c>
      <c r="M318" s="36" t="s">
        <v>131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536</v>
      </c>
      <c r="AG318" s="75"/>
      <c r="AJ318" s="79" t="s">
        <v>46</v>
      </c>
      <c r="AK318" s="79">
        <v>0</v>
      </c>
      <c r="BB318" s="40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537</v>
      </c>
      <c r="B319" s="60" t="s">
        <v>538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139</v>
      </c>
      <c r="L319" s="35" t="s">
        <v>46</v>
      </c>
      <c r="M319" s="36" t="s">
        <v>131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539</v>
      </c>
      <c r="AG319" s="75"/>
      <c r="AJ319" s="79" t="s">
        <v>46</v>
      </c>
      <c r="AK319" s="79">
        <v>0</v>
      </c>
      <c r="BB319" s="404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540</v>
      </c>
      <c r="B320" s="60" t="s">
        <v>541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139</v>
      </c>
      <c r="L320" s="35" t="s">
        <v>46</v>
      </c>
      <c r="M320" s="36" t="s">
        <v>131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542</v>
      </c>
      <c r="AG320" s="75"/>
      <c r="AJ320" s="79" t="s">
        <v>46</v>
      </c>
      <c r="AK320" s="79">
        <v>0</v>
      </c>
      <c r="BB320" s="406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543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85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544</v>
      </c>
      <c r="B325" s="60" t="s">
        <v>545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90</v>
      </c>
      <c r="L325" s="35" t="s">
        <v>46</v>
      </c>
      <c r="M325" s="36" t="s">
        <v>89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546</v>
      </c>
      <c r="AG325" s="75"/>
      <c r="AJ325" s="79" t="s">
        <v>46</v>
      </c>
      <c r="AK325" s="79">
        <v>0</v>
      </c>
      <c r="BB325" s="408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547</v>
      </c>
      <c r="B326" s="60" t="s">
        <v>548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90</v>
      </c>
      <c r="L326" s="35" t="s">
        <v>46</v>
      </c>
      <c r="M326" s="36" t="s">
        <v>96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549</v>
      </c>
      <c r="AG326" s="75"/>
      <c r="AJ326" s="79" t="s">
        <v>46</v>
      </c>
      <c r="AK326" s="79">
        <v>0</v>
      </c>
      <c r="BB326" s="410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550</v>
      </c>
      <c r="B327" s="60" t="s">
        <v>551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90</v>
      </c>
      <c r="L327" s="35" t="s">
        <v>46</v>
      </c>
      <c r="M327" s="36" t="s">
        <v>89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546</v>
      </c>
      <c r="AG327" s="75"/>
      <c r="AJ327" s="79" t="s">
        <v>46</v>
      </c>
      <c r="AK327" s="79">
        <v>0</v>
      </c>
      <c r="BB327" s="412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552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76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81</v>
      </c>
      <c r="L332" s="35" t="s">
        <v>46</v>
      </c>
      <c r="M332" s="36" t="s">
        <v>80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387</v>
      </c>
      <c r="AG332" s="75"/>
      <c r="AJ332" s="79" t="s">
        <v>46</v>
      </c>
      <c r="AK332" s="79">
        <v>0</v>
      </c>
      <c r="BB332" s="414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555</v>
      </c>
      <c r="B333" s="60" t="s">
        <v>556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81</v>
      </c>
      <c r="L333" s="35" t="s">
        <v>46</v>
      </c>
      <c r="M333" s="36" t="s">
        <v>80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557</v>
      </c>
      <c r="AG333" s="75"/>
      <c r="AJ333" s="79" t="s">
        <v>46</v>
      </c>
      <c r="AK333" s="79">
        <v>0</v>
      </c>
      <c r="BB333" s="416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558</v>
      </c>
      <c r="B334" s="60" t="s">
        <v>559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81</v>
      </c>
      <c r="L334" s="35" t="s">
        <v>46</v>
      </c>
      <c r="M334" s="36" t="s">
        <v>80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560</v>
      </c>
      <c r="AG334" s="75"/>
      <c r="AJ334" s="79" t="s">
        <v>46</v>
      </c>
      <c r="AK334" s="79">
        <v>0</v>
      </c>
      <c r="BB334" s="418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561</v>
      </c>
      <c r="B335" s="60" t="s">
        <v>562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90</v>
      </c>
      <c r="L335" s="35" t="s">
        <v>46</v>
      </c>
      <c r="M335" s="36" t="s">
        <v>80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563</v>
      </c>
      <c r="AG335" s="75"/>
      <c r="AJ335" s="79" t="s">
        <v>46</v>
      </c>
      <c r="AK335" s="79">
        <v>0</v>
      </c>
      <c r="BB335" s="420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564</v>
      </c>
      <c r="B336" s="60" t="s">
        <v>565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81</v>
      </c>
      <c r="L336" s="35" t="s">
        <v>46</v>
      </c>
      <c r="M336" s="36" t="s">
        <v>80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566</v>
      </c>
      <c r="AG336" s="75"/>
      <c r="AJ336" s="79" t="s">
        <v>46</v>
      </c>
      <c r="AK336" s="79">
        <v>0</v>
      </c>
      <c r="BB336" s="422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85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567</v>
      </c>
      <c r="B340" s="60" t="s">
        <v>568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139</v>
      </c>
      <c r="L340" s="35" t="s">
        <v>46</v>
      </c>
      <c r="M340" s="36" t="s">
        <v>89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569</v>
      </c>
      <c r="AG340" s="75"/>
      <c r="AJ340" s="79" t="s">
        <v>46</v>
      </c>
      <c r="AK340" s="79">
        <v>0</v>
      </c>
      <c r="BB340" s="424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570</v>
      </c>
      <c r="B341" s="60" t="s">
        <v>571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139</v>
      </c>
      <c r="L341" s="35" t="s">
        <v>46</v>
      </c>
      <c r="M341" s="36" t="s">
        <v>89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572</v>
      </c>
      <c r="AG341" s="75"/>
      <c r="AJ341" s="79" t="s">
        <v>46</v>
      </c>
      <c r="AK341" s="79">
        <v>0</v>
      </c>
      <c r="BB341" s="426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573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127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132</v>
      </c>
      <c r="L346" s="35" t="s">
        <v>46</v>
      </c>
      <c r="M346" s="36" t="s">
        <v>89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346</v>
      </c>
      <c r="AG346" s="75"/>
      <c r="AJ346" s="79" t="s">
        <v>46</v>
      </c>
      <c r="AK346" s="79">
        <v>0</v>
      </c>
      <c r="BB346" s="42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576</v>
      </c>
      <c r="B347" s="60" t="s">
        <v>577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132</v>
      </c>
      <c r="L347" s="35" t="s">
        <v>46</v>
      </c>
      <c r="M347" s="36" t="s">
        <v>89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578</v>
      </c>
      <c r="AG347" s="75"/>
      <c r="AJ347" s="79" t="s">
        <v>46</v>
      </c>
      <c r="AK347" s="79">
        <v>0</v>
      </c>
      <c r="BB347" s="43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579</v>
      </c>
      <c r="B348" s="60" t="s">
        <v>580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132</v>
      </c>
      <c r="L348" s="35" t="s">
        <v>46</v>
      </c>
      <c r="M348" s="36" t="s">
        <v>89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581</v>
      </c>
      <c r="AG348" s="75"/>
      <c r="AJ348" s="79" t="s">
        <v>46</v>
      </c>
      <c r="AK348" s="79">
        <v>0</v>
      </c>
      <c r="BB348" s="432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582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127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583</v>
      </c>
      <c r="B353" s="60" t="s">
        <v>584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132</v>
      </c>
      <c r="L353" s="35" t="s">
        <v>46</v>
      </c>
      <c r="M353" s="36" t="s">
        <v>131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585</v>
      </c>
      <c r="AG353" s="75"/>
      <c r="AJ353" s="79" t="s">
        <v>46</v>
      </c>
      <c r="AK353" s="79">
        <v>0</v>
      </c>
      <c r="BB353" s="434" t="s">
        <v>66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586</v>
      </c>
      <c r="B354" s="60" t="s">
        <v>587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132</v>
      </c>
      <c r="L354" s="35" t="s">
        <v>46</v>
      </c>
      <c r="M354" s="36" t="s">
        <v>131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588</v>
      </c>
      <c r="AG354" s="75"/>
      <c r="AJ354" s="79" t="s">
        <v>46</v>
      </c>
      <c r="AK354" s="79">
        <v>0</v>
      </c>
      <c r="BB354" s="436" t="s">
        <v>66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589</v>
      </c>
      <c r="B355" s="60" t="s">
        <v>590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132</v>
      </c>
      <c r="L355" s="35" t="s">
        <v>46</v>
      </c>
      <c r="M355" s="36" t="s">
        <v>131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591</v>
      </c>
      <c r="AG355" s="75"/>
      <c r="AJ355" s="79" t="s">
        <v>46</v>
      </c>
      <c r="AK355" s="79">
        <v>0</v>
      </c>
      <c r="BB355" s="438" t="s">
        <v>66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592</v>
      </c>
      <c r="B356" s="60" t="s">
        <v>593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594</v>
      </c>
      <c r="AG356" s="75"/>
      <c r="AJ356" s="79" t="s">
        <v>46</v>
      </c>
      <c r="AK356" s="79">
        <v>0</v>
      </c>
      <c r="BB356" s="440" t="s">
        <v>66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595</v>
      </c>
      <c r="B357" s="60" t="s">
        <v>596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139</v>
      </c>
      <c r="L357" s="35" t="s">
        <v>46</v>
      </c>
      <c r="M357" s="36" t="s">
        <v>131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588</v>
      </c>
      <c r="AG357" s="75"/>
      <c r="AJ357" s="79" t="s">
        <v>46</v>
      </c>
      <c r="AK357" s="79">
        <v>0</v>
      </c>
      <c r="BB357" s="442" t="s">
        <v>66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597</v>
      </c>
      <c r="B358" s="60" t="s">
        <v>598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139</v>
      </c>
      <c r="L358" s="35" t="s">
        <v>46</v>
      </c>
      <c r="M358" s="36" t="s">
        <v>131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599</v>
      </c>
      <c r="AG358" s="75"/>
      <c r="AJ358" s="79" t="s">
        <v>46</v>
      </c>
      <c r="AK358" s="79">
        <v>0</v>
      </c>
      <c r="BB358" s="444" t="s">
        <v>66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76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600</v>
      </c>
      <c r="B362" s="60" t="s">
        <v>601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139</v>
      </c>
      <c r="L362" s="35" t="s">
        <v>46</v>
      </c>
      <c r="M362" s="36" t="s">
        <v>80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602</v>
      </c>
      <c r="AG362" s="75"/>
      <c r="AJ362" s="79" t="s">
        <v>46</v>
      </c>
      <c r="AK362" s="79">
        <v>0</v>
      </c>
      <c r="BB362" s="446" t="s">
        <v>66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603</v>
      </c>
      <c r="B363" s="60" t="s">
        <v>604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139</v>
      </c>
      <c r="L363" s="35" t="s">
        <v>46</v>
      </c>
      <c r="M363" s="36" t="s">
        <v>80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139</v>
      </c>
      <c r="L364" s="35" t="s">
        <v>46</v>
      </c>
      <c r="M364" s="36" t="s">
        <v>80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81</v>
      </c>
      <c r="L365" s="35" t="s">
        <v>46</v>
      </c>
      <c r="M365" s="36" t="s">
        <v>80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605</v>
      </c>
      <c r="AG365" s="75"/>
      <c r="AJ365" s="79" t="s">
        <v>46</v>
      </c>
      <c r="AK365" s="79">
        <v>0</v>
      </c>
      <c r="BB365" s="452" t="s">
        <v>66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611</v>
      </c>
      <c r="B366" s="60" t="s">
        <v>612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81</v>
      </c>
      <c r="L366" s="35" t="s">
        <v>46</v>
      </c>
      <c r="M366" s="36" t="s">
        <v>80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613</v>
      </c>
      <c r="AG366" s="75"/>
      <c r="AJ366" s="79" t="s">
        <v>46</v>
      </c>
      <c r="AK366" s="79">
        <v>0</v>
      </c>
      <c r="BB366" s="454" t="s">
        <v>66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139</v>
      </c>
      <c r="L367" s="35" t="s">
        <v>46</v>
      </c>
      <c r="M367" s="36" t="s">
        <v>80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616</v>
      </c>
      <c r="B368" s="60" t="s">
        <v>617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90</v>
      </c>
      <c r="L368" s="35" t="s">
        <v>46</v>
      </c>
      <c r="M368" s="36" t="s">
        <v>80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618</v>
      </c>
      <c r="AG368" s="75"/>
      <c r="AJ368" s="79" t="s">
        <v>46</v>
      </c>
      <c r="AK368" s="79">
        <v>0</v>
      </c>
      <c r="BB368" s="458" t="s">
        <v>66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85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619</v>
      </c>
      <c r="B372" s="60" t="s">
        <v>620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132</v>
      </c>
      <c r="L372" s="35" t="s">
        <v>46</v>
      </c>
      <c r="M372" s="36" t="s">
        <v>89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621</v>
      </c>
      <c r="AG372" s="75"/>
      <c r="AJ372" s="79" t="s">
        <v>46</v>
      </c>
      <c r="AK372" s="79">
        <v>0</v>
      </c>
      <c r="BB372" s="460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622</v>
      </c>
      <c r="B373" s="60" t="s">
        <v>623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132</v>
      </c>
      <c r="L373" s="35" t="s">
        <v>46</v>
      </c>
      <c r="M373" s="36" t="s">
        <v>89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624</v>
      </c>
      <c r="AG373" s="75"/>
      <c r="AJ373" s="79" t="s">
        <v>46</v>
      </c>
      <c r="AK373" s="79">
        <v>0</v>
      </c>
      <c r="BB373" s="46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625</v>
      </c>
      <c r="B374" s="60" t="s">
        <v>626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132</v>
      </c>
      <c r="L374" s="35" t="s">
        <v>46</v>
      </c>
      <c r="M374" s="36" t="s">
        <v>89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627</v>
      </c>
      <c r="AG374" s="75"/>
      <c r="AJ374" s="79" t="s">
        <v>46</v>
      </c>
      <c r="AK374" s="79">
        <v>0</v>
      </c>
      <c r="BB374" s="46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90</v>
      </c>
      <c r="L375" s="35" t="s">
        <v>46</v>
      </c>
      <c r="M375" s="36" t="s">
        <v>89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621</v>
      </c>
      <c r="AG375" s="75"/>
      <c r="AJ375" s="79" t="s">
        <v>46</v>
      </c>
      <c r="AK375" s="79">
        <v>0</v>
      </c>
      <c r="BB375" s="466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180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630</v>
      </c>
      <c r="B379" s="60" t="s">
        <v>631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132</v>
      </c>
      <c r="L379" s="35" t="s">
        <v>46</v>
      </c>
      <c r="M379" s="36" t="s">
        <v>89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632</v>
      </c>
      <c r="AG379" s="75"/>
      <c r="AJ379" s="79" t="s">
        <v>46</v>
      </c>
      <c r="AK379" s="79">
        <v>0</v>
      </c>
      <c r="BB379" s="46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132</v>
      </c>
      <c r="L380" s="35" t="s">
        <v>46</v>
      </c>
      <c r="M380" s="36" t="s">
        <v>89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635</v>
      </c>
      <c r="AG380" s="75"/>
      <c r="AJ380" s="79" t="s">
        <v>46</v>
      </c>
      <c r="AK380" s="79">
        <v>0</v>
      </c>
      <c r="BB380" s="470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16.5" hidden="1" customHeight="1" x14ac:dyDescent="0.25">
      <c r="A381" s="60" t="s">
        <v>636</v>
      </c>
      <c r="B381" s="60" t="s">
        <v>637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132</v>
      </c>
      <c r="L381" s="35" t="s">
        <v>46</v>
      </c>
      <c r="M381" s="36" t="s">
        <v>96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91" t="s">
        <v>103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639</v>
      </c>
      <c r="B385" s="60" t="s">
        <v>640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139</v>
      </c>
      <c r="L385" s="35" t="s">
        <v>46</v>
      </c>
      <c r="M385" s="36" t="s">
        <v>108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641</v>
      </c>
      <c r="AG385" s="75"/>
      <c r="AJ385" s="79" t="s">
        <v>46</v>
      </c>
      <c r="AK385" s="79">
        <v>0</v>
      </c>
      <c r="BB385" s="474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139</v>
      </c>
      <c r="L386" s="35" t="s">
        <v>46</v>
      </c>
      <c r="M386" s="36" t="s">
        <v>108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641</v>
      </c>
      <c r="AG386" s="75"/>
      <c r="AJ386" s="79" t="s">
        <v>46</v>
      </c>
      <c r="AK386" s="79">
        <v>0</v>
      </c>
      <c r="BB386" s="476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90</v>
      </c>
      <c r="L387" s="35" t="s">
        <v>46</v>
      </c>
      <c r="M387" s="36" t="s">
        <v>108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641</v>
      </c>
      <c r="AG387" s="75"/>
      <c r="AJ387" s="79" t="s">
        <v>46</v>
      </c>
      <c r="AK387" s="79">
        <v>0</v>
      </c>
      <c r="BB387" s="478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90</v>
      </c>
      <c r="L388" s="35" t="s">
        <v>46</v>
      </c>
      <c r="M388" s="36" t="s">
        <v>108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641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648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649</v>
      </c>
      <c r="B392" s="60" t="s">
        <v>650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90</v>
      </c>
      <c r="L392" s="35" t="s">
        <v>46</v>
      </c>
      <c r="M392" s="36" t="s">
        <v>652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651</v>
      </c>
      <c r="AG392" s="75"/>
      <c r="AJ392" s="79" t="s">
        <v>46</v>
      </c>
      <c r="AK392" s="79">
        <v>0</v>
      </c>
      <c r="BB392" s="482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90</v>
      </c>
      <c r="L393" s="35" t="s">
        <v>46</v>
      </c>
      <c r="M393" s="36" t="s">
        <v>652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651</v>
      </c>
      <c r="AG393" s="75"/>
      <c r="AJ393" s="79" t="s">
        <v>46</v>
      </c>
      <c r="AK393" s="79">
        <v>0</v>
      </c>
      <c r="BB393" s="48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655</v>
      </c>
      <c r="B394" s="60" t="s">
        <v>656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90</v>
      </c>
      <c r="L394" s="35" t="s">
        <v>46</v>
      </c>
      <c r="M394" s="36" t="s">
        <v>652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651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657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658</v>
      </c>
      <c r="B398" s="60" t="s">
        <v>659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90</v>
      </c>
      <c r="L398" s="35" t="s">
        <v>46</v>
      </c>
      <c r="M398" s="36" t="s">
        <v>652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275</v>
      </c>
      <c r="AC398" s="487" t="s">
        <v>660</v>
      </c>
      <c r="AG398" s="75"/>
      <c r="AJ398" s="79" t="s">
        <v>46</v>
      </c>
      <c r="AK398" s="79">
        <v>0</v>
      </c>
      <c r="BB398" s="48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139</v>
      </c>
      <c r="L399" s="35" t="s">
        <v>46</v>
      </c>
      <c r="M399" s="36" t="s">
        <v>652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275</v>
      </c>
      <c r="AC399" s="489" t="s">
        <v>663</v>
      </c>
      <c r="AG399" s="75"/>
      <c r="AJ399" s="79" t="s">
        <v>46</v>
      </c>
      <c r="AK399" s="79">
        <v>0</v>
      </c>
      <c r="BB399" s="490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664</v>
      </c>
      <c r="B400" s="60" t="s">
        <v>665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90</v>
      </c>
      <c r="L400" s="35" t="s">
        <v>46</v>
      </c>
      <c r="M400" s="36" t="s">
        <v>652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275</v>
      </c>
      <c r="AC400" s="491" t="s">
        <v>660</v>
      </c>
      <c r="AG400" s="75"/>
      <c r="AJ400" s="79" t="s">
        <v>46</v>
      </c>
      <c r="AK400" s="79">
        <v>0</v>
      </c>
      <c r="BB400" s="492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666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85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667</v>
      </c>
      <c r="B405" s="60" t="s">
        <v>668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132</v>
      </c>
      <c r="L405" s="35" t="s">
        <v>46</v>
      </c>
      <c r="M405" s="36" t="s">
        <v>96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669</v>
      </c>
      <c r="AG405" s="75"/>
      <c r="AJ405" s="79" t="s">
        <v>46</v>
      </c>
      <c r="AK405" s="79">
        <v>0</v>
      </c>
      <c r="BB405" s="49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90</v>
      </c>
      <c r="L406" s="35" t="s">
        <v>46</v>
      </c>
      <c r="M406" s="36" t="s">
        <v>89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 t="s">
        <v>46</v>
      </c>
      <c r="AB406" s="66" t="s">
        <v>46</v>
      </c>
      <c r="AC406" s="495" t="s">
        <v>672</v>
      </c>
      <c r="AG406" s="75"/>
      <c r="AJ406" s="79" t="s">
        <v>46</v>
      </c>
      <c r="AK406" s="79">
        <v>0</v>
      </c>
      <c r="BB406" s="49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90</v>
      </c>
      <c r="L407" s="35" t="s">
        <v>46</v>
      </c>
      <c r="M407" s="36" t="s">
        <v>96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 t="s">
        <v>46</v>
      </c>
      <c r="AB407" s="66" t="s">
        <v>46</v>
      </c>
      <c r="AC407" s="497" t="s">
        <v>675</v>
      </c>
      <c r="AG407" s="75"/>
      <c r="AJ407" s="79" t="s">
        <v>46</v>
      </c>
      <c r="AK407" s="79">
        <v>0</v>
      </c>
      <c r="BB407" s="49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27.75" hidden="1" customHeight="1" x14ac:dyDescent="0.2">
      <c r="A410" s="689" t="s">
        <v>676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677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127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678</v>
      </c>
      <c r="B413" s="60" t="s">
        <v>679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132</v>
      </c>
      <c r="L413" s="35" t="s">
        <v>46</v>
      </c>
      <c r="M413" s="36" t="s">
        <v>96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680</v>
      </c>
      <c r="AG413" s="75"/>
      <c r="AJ413" s="79" t="s">
        <v>46</v>
      </c>
      <c r="AK413" s="79">
        <v>0</v>
      </c>
      <c r="BB413" s="500" t="s">
        <v>66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customHeight="1" x14ac:dyDescent="0.25">
      <c r="A414" s="60" t="s">
        <v>681</v>
      </c>
      <c r="B414" s="60" t="s">
        <v>682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132</v>
      </c>
      <c r="L414" s="35" t="s">
        <v>46</v>
      </c>
      <c r="M414" s="36" t="s">
        <v>80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1100</v>
      </c>
      <c r="Y414" s="53">
        <f t="shared" si="52"/>
        <v>1110</v>
      </c>
      <c r="Z414" s="39">
        <f>IFERROR(IF(Y414=0,"",ROUNDUP(Y414/H414,0)*0.02175),"")</f>
        <v>1.6094999999999999</v>
      </c>
      <c r="AA414" s="65" t="s">
        <v>46</v>
      </c>
      <c r="AB414" s="66" t="s">
        <v>46</v>
      </c>
      <c r="AC414" s="501" t="s">
        <v>683</v>
      </c>
      <c r="AG414" s="75"/>
      <c r="AJ414" s="79" t="s">
        <v>46</v>
      </c>
      <c r="AK414" s="79">
        <v>0</v>
      </c>
      <c r="BB414" s="502" t="s">
        <v>66</v>
      </c>
      <c r="BM414" s="75">
        <f t="shared" si="53"/>
        <v>1134.4666666666667</v>
      </c>
      <c r="BN414" s="75">
        <f t="shared" si="54"/>
        <v>1144.78</v>
      </c>
      <c r="BO414" s="75">
        <f t="shared" si="55"/>
        <v>1.5277777777777777</v>
      </c>
      <c r="BP414" s="75">
        <f t="shared" si="56"/>
        <v>1.5416666666666665</v>
      </c>
    </row>
    <row r="415" spans="1:68" ht="27" hidden="1" customHeight="1" x14ac:dyDescent="0.25">
      <c r="A415" s="60" t="s">
        <v>684</v>
      </c>
      <c r="B415" s="60" t="s">
        <v>685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132</v>
      </c>
      <c r="L415" s="35" t="s">
        <v>46</v>
      </c>
      <c r="M415" s="36" t="s">
        <v>131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686</v>
      </c>
      <c r="AG415" s="75"/>
      <c r="AJ415" s="79" t="s">
        <v>46</v>
      </c>
      <c r="AK415" s="79">
        <v>0</v>
      </c>
      <c r="BB415" s="504" t="s">
        <v>66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customHeight="1" x14ac:dyDescent="0.25">
      <c r="A416" s="60" t="s">
        <v>687</v>
      </c>
      <c r="B416" s="60" t="s">
        <v>688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132</v>
      </c>
      <c r="L416" s="35" t="s">
        <v>46</v>
      </c>
      <c r="M416" s="36" t="s">
        <v>80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1100</v>
      </c>
      <c r="Y416" s="53">
        <f t="shared" si="52"/>
        <v>1110</v>
      </c>
      <c r="Z416" s="39">
        <f>IFERROR(IF(Y416=0,"",ROUNDUP(Y416/H416,0)*0.02175),"")</f>
        <v>1.6094999999999999</v>
      </c>
      <c r="AA416" s="65" t="s">
        <v>46</v>
      </c>
      <c r="AB416" s="66" t="s">
        <v>46</v>
      </c>
      <c r="AC416" s="505" t="s">
        <v>689</v>
      </c>
      <c r="AG416" s="75"/>
      <c r="AJ416" s="79" t="s">
        <v>46</v>
      </c>
      <c r="AK416" s="79">
        <v>0</v>
      </c>
      <c r="BB416" s="506" t="s">
        <v>66</v>
      </c>
      <c r="BM416" s="75">
        <f t="shared" si="53"/>
        <v>1134.4666666666667</v>
      </c>
      <c r="BN416" s="75">
        <f t="shared" si="54"/>
        <v>1144.78</v>
      </c>
      <c r="BO416" s="75">
        <f t="shared" si="55"/>
        <v>1.5277777777777777</v>
      </c>
      <c r="BP416" s="75">
        <f t="shared" si="56"/>
        <v>1.5416666666666665</v>
      </c>
    </row>
    <row r="417" spans="1:68" ht="27" hidden="1" customHeight="1" x14ac:dyDescent="0.25">
      <c r="A417" s="60" t="s">
        <v>690</v>
      </c>
      <c r="B417" s="60" t="s">
        <v>691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132</v>
      </c>
      <c r="L417" s="35" t="s">
        <v>46</v>
      </c>
      <c r="M417" s="36" t="s">
        <v>96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0</v>
      </c>
      <c r="Y417" s="53">
        <f t="shared" si="52"/>
        <v>0</v>
      </c>
      <c r="Z417" s="39" t="str">
        <f>IFERROR(IF(Y417=0,"",ROUNDUP(Y417/H417,0)*0.02175),"")</f>
        <v/>
      </c>
      <c r="AA417" s="65" t="s">
        <v>46</v>
      </c>
      <c r="AB417" s="66" t="s">
        <v>46</v>
      </c>
      <c r="AC417" s="507" t="s">
        <v>692</v>
      </c>
      <c r="AG417" s="75"/>
      <c r="AJ417" s="79" t="s">
        <v>46</v>
      </c>
      <c r="AK417" s="79">
        <v>0</v>
      </c>
      <c r="BB417" s="508" t="s">
        <v>66</v>
      </c>
      <c r="BM417" s="75">
        <f t="shared" si="53"/>
        <v>0</v>
      </c>
      <c r="BN417" s="75">
        <f t="shared" si="54"/>
        <v>0</v>
      </c>
      <c r="BO417" s="75">
        <f t="shared" si="55"/>
        <v>0</v>
      </c>
      <c r="BP417" s="75">
        <f t="shared" si="56"/>
        <v>0</v>
      </c>
    </row>
    <row r="418" spans="1:68" ht="27" hidden="1" customHeight="1" x14ac:dyDescent="0.25">
      <c r="A418" s="60" t="s">
        <v>693</v>
      </c>
      <c r="B418" s="60" t="s">
        <v>694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139</v>
      </c>
      <c r="L418" s="35" t="s">
        <v>46</v>
      </c>
      <c r="M418" s="36" t="s">
        <v>131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695</v>
      </c>
      <c r="AG418" s="75"/>
      <c r="AJ418" s="79" t="s">
        <v>46</v>
      </c>
      <c r="AK418" s="79">
        <v>0</v>
      </c>
      <c r="BB418" s="510" t="s">
        <v>66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696</v>
      </c>
      <c r="B419" s="60" t="s">
        <v>697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139</v>
      </c>
      <c r="L419" s="35" t="s">
        <v>46</v>
      </c>
      <c r="M419" s="36" t="s">
        <v>80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698</v>
      </c>
      <c r="AG419" s="75"/>
      <c r="AJ419" s="79" t="s">
        <v>46</v>
      </c>
      <c r="AK419" s="79">
        <v>0</v>
      </c>
      <c r="BB419" s="512" t="s">
        <v>66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699</v>
      </c>
      <c r="B420" s="60" t="s">
        <v>700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139</v>
      </c>
      <c r="L420" s="35" t="s">
        <v>46</v>
      </c>
      <c r="M420" s="36" t="s">
        <v>80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701</v>
      </c>
      <c r="AG420" s="75"/>
      <c r="AJ420" s="79" t="s">
        <v>46</v>
      </c>
      <c r="AK420" s="79">
        <v>0</v>
      </c>
      <c r="BB420" s="514" t="s">
        <v>66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146.66666666666666</v>
      </c>
      <c r="Y421" s="41">
        <f>IFERROR(Y413/H413,"0")+IFERROR(Y414/H414,"0")+IFERROR(Y415/H415,"0")+IFERROR(Y416/H416,"0")+IFERROR(Y417/H417,"0")+IFERROR(Y418/H418,"0")+IFERROR(Y419/H419,"0")+IFERROR(Y420/H420,"0")</f>
        <v>148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3.2189999999999999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2200</v>
      </c>
      <c r="Y422" s="41">
        <f>IFERROR(SUM(Y413:Y420),"0")</f>
        <v>2220</v>
      </c>
      <c r="Z422" s="40"/>
      <c r="AA422" s="64"/>
      <c r="AB422" s="64"/>
      <c r="AC422" s="64"/>
    </row>
    <row r="423" spans="1:68" ht="14.25" hidden="1" customHeight="1" x14ac:dyDescent="0.25">
      <c r="A423" s="691" t="s">
        <v>163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hidden="1" customHeight="1" x14ac:dyDescent="0.25">
      <c r="A424" s="60" t="s">
        <v>702</v>
      </c>
      <c r="B424" s="60" t="s">
        <v>703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139</v>
      </c>
      <c r="L426" s="35" t="s">
        <v>46</v>
      </c>
      <c r="M426" s="36" t="s">
        <v>131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691" t="s">
        <v>85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711</v>
      </c>
      <c r="B430" s="60" t="s">
        <v>712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132</v>
      </c>
      <c r="L430" s="35" t="s">
        <v>46</v>
      </c>
      <c r="M430" s="36" t="s">
        <v>89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275</v>
      </c>
      <c r="AC430" s="521" t="s">
        <v>713</v>
      </c>
      <c r="AG430" s="75"/>
      <c r="AJ430" s="79" t="s">
        <v>46</v>
      </c>
      <c r="AK430" s="79">
        <v>0</v>
      </c>
      <c r="BB430" s="522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714</v>
      </c>
      <c r="B431" s="60" t="s">
        <v>715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132</v>
      </c>
      <c r="L431" s="35" t="s">
        <v>46</v>
      </c>
      <c r="M431" s="36" t="s">
        <v>89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716</v>
      </c>
      <c r="AG431" s="75"/>
      <c r="AJ431" s="79" t="s">
        <v>46</v>
      </c>
      <c r="AK431" s="79">
        <v>0</v>
      </c>
      <c r="BB431" s="524" t="s">
        <v>66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717</v>
      </c>
      <c r="B432" s="60" t="s">
        <v>718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132</v>
      </c>
      <c r="L432" s="35" t="s">
        <v>46</v>
      </c>
      <c r="M432" s="36" t="s">
        <v>89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719</v>
      </c>
      <c r="AG432" s="75"/>
      <c r="AJ432" s="79" t="s">
        <v>46</v>
      </c>
      <c r="AK432" s="79">
        <v>0</v>
      </c>
      <c r="BB432" s="526" t="s">
        <v>66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180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720</v>
      </c>
      <c r="B436" s="60" t="s">
        <v>721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132</v>
      </c>
      <c r="L436" s="35" t="s">
        <v>46</v>
      </c>
      <c r="M436" s="36" t="s">
        <v>89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275</v>
      </c>
      <c r="AC436" s="527" t="s">
        <v>722</v>
      </c>
      <c r="AG436" s="75"/>
      <c r="AJ436" s="79" t="s">
        <v>46</v>
      </c>
      <c r="AK436" s="79">
        <v>0</v>
      </c>
      <c r="BB436" s="52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723</v>
      </c>
      <c r="B437" s="60" t="s">
        <v>724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132</v>
      </c>
      <c r="L437" s="35" t="s">
        <v>46</v>
      </c>
      <c r="M437" s="36" t="s">
        <v>89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725</v>
      </c>
      <c r="AG437" s="75"/>
      <c r="AJ437" s="79" t="s">
        <v>46</v>
      </c>
      <c r="AK437" s="79">
        <v>0</v>
      </c>
      <c r="BB437" s="53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726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127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727</v>
      </c>
      <c r="B442" s="60" t="s">
        <v>728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132</v>
      </c>
      <c r="L442" s="35" t="s">
        <v>46</v>
      </c>
      <c r="M442" s="36" t="s">
        <v>80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729</v>
      </c>
      <c r="AG442" s="75"/>
      <c r="AJ442" s="79" t="s">
        <v>46</v>
      </c>
      <c r="AK442" s="79">
        <v>0</v>
      </c>
      <c r="BB442" s="532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730</v>
      </c>
      <c r="B443" s="60" t="s">
        <v>731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139</v>
      </c>
      <c r="L443" s="35" t="s">
        <v>46</v>
      </c>
      <c r="M443" s="36" t="s">
        <v>80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729</v>
      </c>
      <c r="AG443" s="75"/>
      <c r="AJ443" s="79" t="s">
        <v>46</v>
      </c>
      <c r="AK443" s="79">
        <v>0</v>
      </c>
      <c r="BB443" s="534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76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732</v>
      </c>
      <c r="B447" s="60" t="s">
        <v>733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139</v>
      </c>
      <c r="L447" s="35" t="s">
        <v>46</v>
      </c>
      <c r="M447" s="36" t="s">
        <v>80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734</v>
      </c>
      <c r="AG447" s="75"/>
      <c r="AJ447" s="79" t="s">
        <v>46</v>
      </c>
      <c r="AK447" s="79">
        <v>0</v>
      </c>
      <c r="BB447" s="536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85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735</v>
      </c>
      <c r="B451" s="60" t="s">
        <v>736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132</v>
      </c>
      <c r="L451" s="35" t="s">
        <v>46</v>
      </c>
      <c r="M451" s="36" t="s">
        <v>89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737</v>
      </c>
      <c r="AG451" s="75"/>
      <c r="AJ451" s="79" t="s">
        <v>46</v>
      </c>
      <c r="AK451" s="79">
        <v>0</v>
      </c>
      <c r="BB451" s="538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738</v>
      </c>
      <c r="B452" s="60" t="s">
        <v>739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90</v>
      </c>
      <c r="L452" s="35" t="s">
        <v>46</v>
      </c>
      <c r="M452" s="36" t="s">
        <v>89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737</v>
      </c>
      <c r="AG452" s="75"/>
      <c r="AJ452" s="79" t="s">
        <v>46</v>
      </c>
      <c r="AK452" s="79">
        <v>0</v>
      </c>
      <c r="BB452" s="540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738</v>
      </c>
      <c r="B453" s="60" t="s">
        <v>740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90</v>
      </c>
      <c r="L453" s="35" t="s">
        <v>46</v>
      </c>
      <c r="M453" s="36" t="s">
        <v>89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741</v>
      </c>
      <c r="AG453" s="75"/>
      <c r="AJ453" s="79" t="s">
        <v>46</v>
      </c>
      <c r="AK453" s="79">
        <v>0</v>
      </c>
      <c r="BB453" s="542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742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743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76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744</v>
      </c>
      <c r="B459" s="60" t="s">
        <v>745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139</v>
      </c>
      <c r="L459" s="35" t="s">
        <v>46</v>
      </c>
      <c r="M459" s="36" t="s">
        <v>80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746</v>
      </c>
      <c r="AG459" s="75"/>
      <c r="AJ459" s="79" t="s">
        <v>46</v>
      </c>
      <c r="AK459" s="79">
        <v>0</v>
      </c>
      <c r="BB459" s="544" t="s">
        <v>66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139</v>
      </c>
      <c r="L460" s="35" t="s">
        <v>46</v>
      </c>
      <c r="M460" s="36" t="s">
        <v>80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749</v>
      </c>
      <c r="AG460" s="75"/>
      <c r="AJ460" s="79" t="s">
        <v>46</v>
      </c>
      <c r="AK460" s="79">
        <v>0</v>
      </c>
      <c r="BB460" s="546" t="s">
        <v>66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81</v>
      </c>
      <c r="L461" s="35" t="s">
        <v>46</v>
      </c>
      <c r="M461" s="36" t="s">
        <v>80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746</v>
      </c>
      <c r="AG461" s="75"/>
      <c r="AJ461" s="79" t="s">
        <v>46</v>
      </c>
      <c r="AK461" s="79">
        <v>0</v>
      </c>
      <c r="BB461" s="548" t="s">
        <v>66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752</v>
      </c>
      <c r="B462" s="60" t="s">
        <v>753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81</v>
      </c>
      <c r="L462" s="35" t="s">
        <v>46</v>
      </c>
      <c r="M462" s="36" t="s">
        <v>80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754</v>
      </c>
      <c r="AG462" s="75"/>
      <c r="AJ462" s="79" t="s">
        <v>46</v>
      </c>
      <c r="AK462" s="79">
        <v>0</v>
      </c>
      <c r="BB462" s="550" t="s">
        <v>66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755</v>
      </c>
      <c r="B463" s="60" t="s">
        <v>756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81</v>
      </c>
      <c r="L463" s="35" t="s">
        <v>46</v>
      </c>
      <c r="M463" s="36" t="s">
        <v>80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757</v>
      </c>
      <c r="AG463" s="75"/>
      <c r="AJ463" s="79" t="s">
        <v>46</v>
      </c>
      <c r="AK463" s="79">
        <v>0</v>
      </c>
      <c r="BB463" s="552" t="s">
        <v>66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758</v>
      </c>
      <c r="B464" s="60" t="s">
        <v>759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81</v>
      </c>
      <c r="L464" s="35" t="s">
        <v>46</v>
      </c>
      <c r="M464" s="36" t="s">
        <v>80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754</v>
      </c>
      <c r="AG464" s="75"/>
      <c r="AJ464" s="79" t="s">
        <v>46</v>
      </c>
      <c r="AK464" s="79">
        <v>0</v>
      </c>
      <c r="BB464" s="554" t="s">
        <v>66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85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760</v>
      </c>
      <c r="B468" s="60" t="s">
        <v>761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139</v>
      </c>
      <c r="L468" s="35" t="s">
        <v>46</v>
      </c>
      <c r="M468" s="36" t="s">
        <v>89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762</v>
      </c>
      <c r="AG468" s="75"/>
      <c r="AJ468" s="79" t="s">
        <v>46</v>
      </c>
      <c r="AK468" s="79">
        <v>0</v>
      </c>
      <c r="BB468" s="556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763</v>
      </c>
      <c r="B469" s="60" t="s">
        <v>764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765</v>
      </c>
      <c r="AG469" s="75"/>
      <c r="AJ469" s="79" t="s">
        <v>46</v>
      </c>
      <c r="AK469" s="79">
        <v>0</v>
      </c>
      <c r="BB469" s="558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766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163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767</v>
      </c>
      <c r="B474" s="60" t="s">
        <v>768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90</v>
      </c>
      <c r="L474" s="35" t="s">
        <v>46</v>
      </c>
      <c r="M474" s="36" t="s">
        <v>80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769</v>
      </c>
      <c r="AG474" s="75"/>
      <c r="AJ474" s="79" t="s">
        <v>46</v>
      </c>
      <c r="AK474" s="79">
        <v>0</v>
      </c>
      <c r="BB474" s="560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76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770</v>
      </c>
      <c r="B478" s="60" t="s">
        <v>771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139</v>
      </c>
      <c r="L478" s="35" t="s">
        <v>46</v>
      </c>
      <c r="M478" s="36" t="s">
        <v>80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772</v>
      </c>
      <c r="AG478" s="75"/>
      <c r="AJ478" s="79" t="s">
        <v>46</v>
      </c>
      <c r="AK478" s="79">
        <v>0</v>
      </c>
      <c r="BB478" s="562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775</v>
      </c>
      <c r="AG479" s="75"/>
      <c r="AJ479" s="79" t="s">
        <v>46</v>
      </c>
      <c r="AK479" s="79">
        <v>0</v>
      </c>
      <c r="BB479" s="56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775</v>
      </c>
      <c r="AG480" s="75"/>
      <c r="AJ480" s="79" t="s">
        <v>46</v>
      </c>
      <c r="AK480" s="79">
        <v>0</v>
      </c>
      <c r="BB480" s="56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778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778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127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779</v>
      </c>
      <c r="B486" s="60" t="s">
        <v>780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132</v>
      </c>
      <c r="L486" s="35" t="s">
        <v>46</v>
      </c>
      <c r="M486" s="36" t="s">
        <v>89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130</v>
      </c>
      <c r="AG486" s="75"/>
      <c r="AJ486" s="79" t="s">
        <v>46</v>
      </c>
      <c r="AK486" s="79">
        <v>0</v>
      </c>
      <c r="BB486" s="568" t="s">
        <v>66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781</v>
      </c>
      <c r="B487" s="60" t="s">
        <v>782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132</v>
      </c>
      <c r="L487" s="35" t="s">
        <v>46</v>
      </c>
      <c r="M487" s="36" t="s">
        <v>131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783</v>
      </c>
      <c r="AG487" s="75"/>
      <c r="AJ487" s="79" t="s">
        <v>46</v>
      </c>
      <c r="AK487" s="79">
        <v>0</v>
      </c>
      <c r="BB487" s="570" t="s">
        <v>66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784</v>
      </c>
      <c r="B488" s="60" t="s">
        <v>785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132</v>
      </c>
      <c r="L488" s="35" t="s">
        <v>46</v>
      </c>
      <c r="M488" s="36" t="s">
        <v>131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786</v>
      </c>
      <c r="AG488" s="75"/>
      <c r="AJ488" s="79" t="s">
        <v>46</v>
      </c>
      <c r="AK488" s="79">
        <v>0</v>
      </c>
      <c r="BB488" s="572" t="s">
        <v>66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787</v>
      </c>
      <c r="B489" s="60" t="s">
        <v>788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132</v>
      </c>
      <c r="L489" s="35" t="s">
        <v>46</v>
      </c>
      <c r="M489" s="36" t="s">
        <v>131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789</v>
      </c>
      <c r="AG489" s="75"/>
      <c r="AJ489" s="79" t="s">
        <v>46</v>
      </c>
      <c r="AK489" s="79">
        <v>0</v>
      </c>
      <c r="BB489" s="574" t="s">
        <v>66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790</v>
      </c>
      <c r="B490" s="60" t="s">
        <v>791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132</v>
      </c>
      <c r="L490" s="35" t="s">
        <v>46</v>
      </c>
      <c r="M490" s="36" t="s">
        <v>89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792</v>
      </c>
      <c r="AG490" s="75"/>
      <c r="AJ490" s="79" t="s">
        <v>46</v>
      </c>
      <c r="AK490" s="79">
        <v>0</v>
      </c>
      <c r="BB490" s="576" t="s">
        <v>66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793</v>
      </c>
      <c r="B491" s="60" t="s">
        <v>794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132</v>
      </c>
      <c r="L491" s="35" t="s">
        <v>46</v>
      </c>
      <c r="M491" s="36" t="s">
        <v>131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795</v>
      </c>
      <c r="AG491" s="75"/>
      <c r="AJ491" s="79" t="s">
        <v>46</v>
      </c>
      <c r="AK491" s="79">
        <v>0</v>
      </c>
      <c r="BB491" s="578" t="s">
        <v>66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796</v>
      </c>
      <c r="B492" s="60" t="s">
        <v>797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90</v>
      </c>
      <c r="L492" s="35" t="s">
        <v>46</v>
      </c>
      <c r="M492" s="36" t="s">
        <v>89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130</v>
      </c>
      <c r="AG492" s="75"/>
      <c r="AJ492" s="79" t="s">
        <v>46</v>
      </c>
      <c r="AK492" s="79">
        <v>0</v>
      </c>
      <c r="BB492" s="580" t="s">
        <v>66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798</v>
      </c>
      <c r="B493" s="60" t="s">
        <v>799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139</v>
      </c>
      <c r="L493" s="35" t="s">
        <v>46</v>
      </c>
      <c r="M493" s="36" t="s">
        <v>89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130</v>
      </c>
      <c r="AG493" s="75"/>
      <c r="AJ493" s="79" t="s">
        <v>46</v>
      </c>
      <c r="AK493" s="79">
        <v>0</v>
      </c>
      <c r="BB493" s="582" t="s">
        <v>66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800</v>
      </c>
      <c r="B494" s="60" t="s">
        <v>801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139</v>
      </c>
      <c r="L494" s="35" t="s">
        <v>46</v>
      </c>
      <c r="M494" s="36" t="s">
        <v>131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795</v>
      </c>
      <c r="AG494" s="75"/>
      <c r="AJ494" s="79" t="s">
        <v>46</v>
      </c>
      <c r="AK494" s="79">
        <v>0</v>
      </c>
      <c r="BB494" s="584" t="s">
        <v>66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163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802</v>
      </c>
      <c r="B498" s="60" t="s">
        <v>803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89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804</v>
      </c>
      <c r="AG498" s="75"/>
      <c r="AJ498" s="79" t="s">
        <v>46</v>
      </c>
      <c r="AK498" s="79">
        <v>0</v>
      </c>
      <c r="BB498" s="586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805</v>
      </c>
      <c r="B499" s="60" t="s">
        <v>806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90</v>
      </c>
      <c r="L499" s="35" t="s">
        <v>46</v>
      </c>
      <c r="M499" s="36" t="s">
        <v>131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804</v>
      </c>
      <c r="AG499" s="75"/>
      <c r="AJ499" s="79" t="s">
        <v>46</v>
      </c>
      <c r="AK499" s="79">
        <v>0</v>
      </c>
      <c r="BB499" s="588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807</v>
      </c>
      <c r="B500" s="60" t="s">
        <v>808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139</v>
      </c>
      <c r="L500" s="35" t="s">
        <v>46</v>
      </c>
      <c r="M500" s="36" t="s">
        <v>131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804</v>
      </c>
      <c r="AG500" s="75"/>
      <c r="AJ500" s="79" t="s">
        <v>46</v>
      </c>
      <c r="AK500" s="79">
        <v>0</v>
      </c>
      <c r="BB500" s="590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76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809</v>
      </c>
      <c r="B504" s="60" t="s">
        <v>810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132</v>
      </c>
      <c r="L504" s="35" t="s">
        <v>46</v>
      </c>
      <c r="M504" s="36" t="s">
        <v>131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811</v>
      </c>
      <c r="AG504" s="75"/>
      <c r="AJ504" s="79" t="s">
        <v>46</v>
      </c>
      <c r="AK504" s="79">
        <v>0</v>
      </c>
      <c r="BB504" s="592" t="s">
        <v>66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812</v>
      </c>
      <c r="B505" s="60" t="s">
        <v>813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132</v>
      </c>
      <c r="L505" s="35" t="s">
        <v>46</v>
      </c>
      <c r="M505" s="36" t="s">
        <v>80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814</v>
      </c>
      <c r="AG505" s="75"/>
      <c r="AJ505" s="79" t="s">
        <v>46</v>
      </c>
      <c r="AK505" s="79">
        <v>0</v>
      </c>
      <c r="BB505" s="594" t="s">
        <v>66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815</v>
      </c>
      <c r="B506" s="60" t="s">
        <v>816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132</v>
      </c>
      <c r="L506" s="35" t="s">
        <v>46</v>
      </c>
      <c r="M506" s="36" t="s">
        <v>80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817</v>
      </c>
      <c r="AG506" s="75"/>
      <c r="AJ506" s="79" t="s">
        <v>46</v>
      </c>
      <c r="AK506" s="79">
        <v>0</v>
      </c>
      <c r="BB506" s="596" t="s">
        <v>66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818</v>
      </c>
      <c r="B507" s="60" t="s">
        <v>819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139</v>
      </c>
      <c r="L507" s="35" t="s">
        <v>46</v>
      </c>
      <c r="M507" s="36" t="s">
        <v>131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811</v>
      </c>
      <c r="AG507" s="75"/>
      <c r="AJ507" s="79" t="s">
        <v>46</v>
      </c>
      <c r="AK507" s="79">
        <v>0</v>
      </c>
      <c r="BB507" s="598" t="s">
        <v>66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820</v>
      </c>
      <c r="B508" s="60" t="s">
        <v>821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139</v>
      </c>
      <c r="L508" s="35" t="s">
        <v>46</v>
      </c>
      <c r="M508" s="36" t="s">
        <v>80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814</v>
      </c>
      <c r="AG508" s="75"/>
      <c r="AJ508" s="79" t="s">
        <v>46</v>
      </c>
      <c r="AK508" s="79">
        <v>0</v>
      </c>
      <c r="BB508" s="600" t="s">
        <v>66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820</v>
      </c>
      <c r="B509" s="60" t="s">
        <v>822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139</v>
      </c>
      <c r="L509" s="35" t="s">
        <v>46</v>
      </c>
      <c r="M509" s="36" t="s">
        <v>80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814</v>
      </c>
      <c r="AG509" s="75"/>
      <c r="AJ509" s="79" t="s">
        <v>46</v>
      </c>
      <c r="AK509" s="79">
        <v>0</v>
      </c>
      <c r="BB509" s="602" t="s">
        <v>66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139</v>
      </c>
      <c r="L510" s="35" t="s">
        <v>46</v>
      </c>
      <c r="M510" s="36" t="s">
        <v>80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817</v>
      </c>
      <c r="AG510" s="75"/>
      <c r="AJ510" s="79" t="s">
        <v>46</v>
      </c>
      <c r="AK510" s="79">
        <v>0</v>
      </c>
      <c r="BB510" s="604" t="s">
        <v>66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825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825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127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826</v>
      </c>
      <c r="B516" s="60" t="s">
        <v>827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132</v>
      </c>
      <c r="L516" s="35" t="s">
        <v>46</v>
      </c>
      <c r="M516" s="36" t="s">
        <v>131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828</v>
      </c>
      <c r="AG516" s="75"/>
      <c r="AJ516" s="79" t="s">
        <v>46</v>
      </c>
      <c r="AK516" s="79">
        <v>0</v>
      </c>
      <c r="BB516" s="606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163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132</v>
      </c>
      <c r="L520" s="35" t="s">
        <v>46</v>
      </c>
      <c r="M520" s="36" t="s">
        <v>131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831</v>
      </c>
      <c r="AG520" s="75"/>
      <c r="AJ520" s="79" t="s">
        <v>46</v>
      </c>
      <c r="AK520" s="79">
        <v>0</v>
      </c>
      <c r="BB520" s="608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76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832</v>
      </c>
      <c r="B524" s="60" t="s">
        <v>833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139</v>
      </c>
      <c r="L524" s="35" t="s">
        <v>46</v>
      </c>
      <c r="M524" s="36" t="s">
        <v>80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834</v>
      </c>
      <c r="AG524" s="75"/>
      <c r="AJ524" s="79" t="s">
        <v>46</v>
      </c>
      <c r="AK524" s="79">
        <v>0</v>
      </c>
      <c r="BB524" s="610" t="s">
        <v>66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832</v>
      </c>
      <c r="B525" s="60" t="s">
        <v>835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139</v>
      </c>
      <c r="L525" s="35" t="s">
        <v>46</v>
      </c>
      <c r="M525" s="36" t="s">
        <v>80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836</v>
      </c>
      <c r="AG525" s="75"/>
      <c r="AJ525" s="79" t="s">
        <v>46</v>
      </c>
      <c r="AK525" s="79">
        <v>0</v>
      </c>
      <c r="BB525" s="612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85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132</v>
      </c>
      <c r="L529" s="35" t="s">
        <v>46</v>
      </c>
      <c r="M529" s="36" t="s">
        <v>89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3" t="s">
        <v>839</v>
      </c>
      <c r="AG529" s="75"/>
      <c r="AJ529" s="79" t="s">
        <v>46</v>
      </c>
      <c r="AK529" s="79">
        <v>0</v>
      </c>
      <c r="BB529" s="614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180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132</v>
      </c>
      <c r="L533" s="35" t="s">
        <v>46</v>
      </c>
      <c r="M533" s="36" t="s">
        <v>89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842</v>
      </c>
      <c r="AG533" s="75"/>
      <c r="AJ533" s="79" t="s">
        <v>46</v>
      </c>
      <c r="AK533" s="79">
        <v>0</v>
      </c>
      <c r="BB533" s="616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843</v>
      </c>
      <c r="B534" s="60" t="s">
        <v>844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132</v>
      </c>
      <c r="L534" s="35" t="s">
        <v>46</v>
      </c>
      <c r="M534" s="36" t="s">
        <v>89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845</v>
      </c>
      <c r="AG534" s="75"/>
      <c r="AJ534" s="79" t="s">
        <v>46</v>
      </c>
      <c r="AK534" s="79">
        <v>0</v>
      </c>
      <c r="BB534" s="618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846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163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847</v>
      </c>
      <c r="B539" s="60" t="s">
        <v>848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132</v>
      </c>
      <c r="L539" s="35" t="s">
        <v>46</v>
      </c>
      <c r="M539" s="36" t="s">
        <v>131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849</v>
      </c>
      <c r="AG539" s="75"/>
      <c r="AJ539" s="79" t="s">
        <v>46</v>
      </c>
      <c r="AK539" s="79">
        <v>0</v>
      </c>
      <c r="BB539" s="620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2200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2220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2268.9333333333334</v>
      </c>
      <c r="Y543" s="41">
        <f>IFERROR(SUM(BN22:BN539),"0")</f>
        <v>2289.56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4</v>
      </c>
      <c r="Y544" s="42">
        <f>ROUNDUP(SUM(BP22:BP539),0)</f>
        <v>4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2368.9333333333334</v>
      </c>
      <c r="Y545" s="41">
        <f>GrossWeightTotalR+PalletQtyTotalR*25</f>
        <v>2389.56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146.66666666666666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148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3.2189999999999999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75</v>
      </c>
      <c r="C549" s="80" t="s">
        <v>45</v>
      </c>
      <c r="D549" s="976" t="s">
        <v>125</v>
      </c>
      <c r="E549" s="976" t="s">
        <v>125</v>
      </c>
      <c r="F549" s="976" t="s">
        <v>125</v>
      </c>
      <c r="G549" s="976" t="s">
        <v>125</v>
      </c>
      <c r="H549" s="976" t="s">
        <v>125</v>
      </c>
      <c r="I549" s="976" t="s">
        <v>125</v>
      </c>
      <c r="J549" s="976" t="s">
        <v>125</v>
      </c>
      <c r="K549" s="976" t="s">
        <v>337</v>
      </c>
      <c r="L549" s="976" t="s">
        <v>337</v>
      </c>
      <c r="M549" s="976" t="s">
        <v>337</v>
      </c>
      <c r="N549" s="977"/>
      <c r="O549" s="976" t="s">
        <v>337</v>
      </c>
      <c r="P549" s="976" t="s">
        <v>337</v>
      </c>
      <c r="Q549" s="976" t="s">
        <v>337</v>
      </c>
      <c r="R549" s="976" t="s">
        <v>337</v>
      </c>
      <c r="S549" s="976" t="s">
        <v>337</v>
      </c>
      <c r="T549" s="976" t="s">
        <v>337</v>
      </c>
      <c r="U549" s="976" t="s">
        <v>337</v>
      </c>
      <c r="V549" s="976" t="s">
        <v>676</v>
      </c>
      <c r="W549" s="976" t="s">
        <v>676</v>
      </c>
      <c r="X549" s="976" t="s">
        <v>742</v>
      </c>
      <c r="Y549" s="976" t="s">
        <v>742</v>
      </c>
      <c r="Z549" s="80" t="s">
        <v>778</v>
      </c>
      <c r="AA549" s="976" t="s">
        <v>825</v>
      </c>
      <c r="AB549" s="976" t="s">
        <v>825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75</v>
      </c>
      <c r="C550" s="976" t="s">
        <v>109</v>
      </c>
      <c r="D550" s="976" t="s">
        <v>126</v>
      </c>
      <c r="E550" s="976" t="s">
        <v>142</v>
      </c>
      <c r="F550" s="976" t="s">
        <v>187</v>
      </c>
      <c r="G550" s="976" t="s">
        <v>208</v>
      </c>
      <c r="H550" s="976" t="s">
        <v>247</v>
      </c>
      <c r="I550" s="976" t="s">
        <v>259</v>
      </c>
      <c r="J550" s="976" t="s">
        <v>125</v>
      </c>
      <c r="K550" s="976" t="s">
        <v>338</v>
      </c>
      <c r="L550" s="976" t="s">
        <v>359</v>
      </c>
      <c r="M550" s="976" t="s">
        <v>426</v>
      </c>
      <c r="N550" s="1"/>
      <c r="O550" s="976" t="s">
        <v>494</v>
      </c>
      <c r="P550" s="976" t="s">
        <v>527</v>
      </c>
      <c r="Q550" s="976" t="s">
        <v>543</v>
      </c>
      <c r="R550" s="976" t="s">
        <v>552</v>
      </c>
      <c r="S550" s="976" t="s">
        <v>573</v>
      </c>
      <c r="T550" s="976" t="s">
        <v>582</v>
      </c>
      <c r="U550" s="976" t="s">
        <v>666</v>
      </c>
      <c r="V550" s="976" t="s">
        <v>677</v>
      </c>
      <c r="W550" s="976" t="s">
        <v>726</v>
      </c>
      <c r="X550" s="976" t="s">
        <v>743</v>
      </c>
      <c r="Y550" s="976" t="s">
        <v>766</v>
      </c>
      <c r="Z550" s="976" t="s">
        <v>778</v>
      </c>
      <c r="AA550" s="976" t="s">
        <v>825</v>
      </c>
      <c r="AB550" s="976" t="s">
        <v>846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0">
        <f>IFERROR(Y88*1,"0")+IFERROR(Y89*1,"0")+IFERROR(Y90*1,"0")+IFERROR(Y91*1,"0")+IFERROR(Y95*1,"0")+IFERROR(Y96*1,"0")+IFERROR(Y97*1,"0")+IFERROR(Y98*1,"0")</f>
        <v>0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0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0">
        <f>IFERROR(Y405*1,"0")+IFERROR(Y406*1,"0")+IFERROR(Y407*1,"0")</f>
        <v>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2220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46,67"/>
        <filter val="2 200,00"/>
        <filter val="2 268,93"/>
        <filter val="2 368,93"/>
        <filter val="4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1" t="s">
        <v>851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853</v>
      </c>
      <c r="C6" s="51" t="s">
        <v>854</v>
      </c>
      <c r="D6" s="51" t="s">
        <v>855</v>
      </c>
      <c r="E6" s="51" t="s">
        <v>46</v>
      </c>
    </row>
    <row r="7" spans="2:8" x14ac:dyDescent="0.2">
      <c r="B7" s="51" t="s">
        <v>856</v>
      </c>
      <c r="C7" s="51" t="s">
        <v>857</v>
      </c>
      <c r="D7" s="51" t="s">
        <v>858</v>
      </c>
      <c r="E7" s="51" t="s">
        <v>46</v>
      </c>
    </row>
    <row r="9" spans="2:8" x14ac:dyDescent="0.2">
      <c r="B9" s="51" t="s">
        <v>859</v>
      </c>
      <c r="C9" s="51" t="s">
        <v>854</v>
      </c>
      <c r="D9" s="51" t="s">
        <v>46</v>
      </c>
      <c r="E9" s="51" t="s">
        <v>46</v>
      </c>
    </row>
    <row r="11" spans="2:8" x14ac:dyDescent="0.2">
      <c r="B11" s="51" t="s">
        <v>859</v>
      </c>
      <c r="C11" s="51" t="s">
        <v>857</v>
      </c>
      <c r="D11" s="51" t="s">
        <v>46</v>
      </c>
      <c r="E11" s="51" t="s">
        <v>46</v>
      </c>
    </row>
    <row r="13" spans="2:8" x14ac:dyDescent="0.2">
      <c r="B13" s="51" t="s">
        <v>860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870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