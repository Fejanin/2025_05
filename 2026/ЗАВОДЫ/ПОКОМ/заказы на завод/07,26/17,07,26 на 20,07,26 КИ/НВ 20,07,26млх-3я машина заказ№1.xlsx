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607FB69-1C5D-4B64-8C26-16486E3466A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N532" i="1" s="1"/>
  <c r="P532" i="1"/>
  <c r="X530" i="1"/>
  <c r="X529" i="1"/>
  <c r="BO528" i="1"/>
  <c r="BM528" i="1"/>
  <c r="Y528" i="1"/>
  <c r="Z528" i="1" s="1"/>
  <c r="Z529" i="1" s="1"/>
  <c r="P528" i="1"/>
  <c r="X526" i="1"/>
  <c r="X525" i="1"/>
  <c r="BP524" i="1"/>
  <c r="BO524" i="1"/>
  <c r="BM524" i="1"/>
  <c r="Z524" i="1"/>
  <c r="Y524" i="1"/>
  <c r="BN524" i="1" s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N508" i="1"/>
  <c r="BM508" i="1"/>
  <c r="Y508" i="1"/>
  <c r="BP508" i="1" s="1"/>
  <c r="P508" i="1"/>
  <c r="BO507" i="1"/>
  <c r="BM507" i="1"/>
  <c r="Y507" i="1"/>
  <c r="P507" i="1"/>
  <c r="BP506" i="1"/>
  <c r="BO506" i="1"/>
  <c r="BN506" i="1"/>
  <c r="BM506" i="1"/>
  <c r="Y506" i="1"/>
  <c r="Z506" i="1" s="1"/>
  <c r="P506" i="1"/>
  <c r="BO505" i="1"/>
  <c r="BM505" i="1"/>
  <c r="Y505" i="1"/>
  <c r="P505" i="1"/>
  <c r="BO504" i="1"/>
  <c r="BM504" i="1"/>
  <c r="Z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Y498" i="1"/>
  <c r="Z498" i="1" s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O488" i="1"/>
  <c r="BM488" i="1"/>
  <c r="Y488" i="1"/>
  <c r="BN488" i="1" s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BN478" i="1" s="1"/>
  <c r="P478" i="1"/>
  <c r="BO477" i="1"/>
  <c r="BM477" i="1"/>
  <c r="Y477" i="1"/>
  <c r="P477" i="1"/>
  <c r="X475" i="1"/>
  <c r="Y474" i="1"/>
  <c r="X474" i="1"/>
  <c r="BO473" i="1"/>
  <c r="BM473" i="1"/>
  <c r="Y473" i="1"/>
  <c r="Y475" i="1" s="1"/>
  <c r="P473" i="1"/>
  <c r="X470" i="1"/>
  <c r="X469" i="1"/>
  <c r="BO468" i="1"/>
  <c r="BN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BP463" i="1" s="1"/>
  <c r="P463" i="1"/>
  <c r="BO462" i="1"/>
  <c r="BM462" i="1"/>
  <c r="Y462" i="1"/>
  <c r="BN462" i="1" s="1"/>
  <c r="P462" i="1"/>
  <c r="BO461" i="1"/>
  <c r="BM461" i="1"/>
  <c r="Y461" i="1"/>
  <c r="BP461" i="1" s="1"/>
  <c r="P461" i="1"/>
  <c r="BO460" i="1"/>
  <c r="BM460" i="1"/>
  <c r="Y460" i="1"/>
  <c r="P460" i="1"/>
  <c r="BO459" i="1"/>
  <c r="BM459" i="1"/>
  <c r="Y459" i="1"/>
  <c r="BP459" i="1" s="1"/>
  <c r="P459" i="1"/>
  <c r="BO458" i="1"/>
  <c r="BN458" i="1"/>
  <c r="BM458" i="1"/>
  <c r="Y458" i="1"/>
  <c r="BP458" i="1" s="1"/>
  <c r="P458" i="1"/>
  <c r="X454" i="1"/>
  <c r="X453" i="1"/>
  <c r="BO452" i="1"/>
  <c r="BM452" i="1"/>
  <c r="Y452" i="1"/>
  <c r="P452" i="1"/>
  <c r="BO451" i="1"/>
  <c r="BM451" i="1"/>
  <c r="Y451" i="1"/>
  <c r="BP451" i="1" s="1"/>
  <c r="P451" i="1"/>
  <c r="BO450" i="1"/>
  <c r="BN450" i="1"/>
  <c r="BM450" i="1"/>
  <c r="Y450" i="1"/>
  <c r="P450" i="1"/>
  <c r="X448" i="1"/>
  <c r="X447" i="1"/>
  <c r="BO446" i="1"/>
  <c r="BM446" i="1"/>
  <c r="Y446" i="1"/>
  <c r="Z446" i="1" s="1"/>
  <c r="Z447" i="1" s="1"/>
  <c r="P446" i="1"/>
  <c r="X444" i="1"/>
  <c r="X443" i="1"/>
  <c r="BO442" i="1"/>
  <c r="BN442" i="1"/>
  <c r="BM442" i="1"/>
  <c r="Z442" i="1"/>
  <c r="Y442" i="1"/>
  <c r="BP442" i="1" s="1"/>
  <c r="P442" i="1"/>
  <c r="BO441" i="1"/>
  <c r="BM441" i="1"/>
  <c r="Y441" i="1"/>
  <c r="P441" i="1"/>
  <c r="X438" i="1"/>
  <c r="X437" i="1"/>
  <c r="BO436" i="1"/>
  <c r="BM436" i="1"/>
  <c r="Y436" i="1"/>
  <c r="BP436" i="1" s="1"/>
  <c r="P436" i="1"/>
  <c r="BO435" i="1"/>
  <c r="BN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N429" i="1"/>
  <c r="BM429" i="1"/>
  <c r="Y429" i="1"/>
  <c r="P429" i="1"/>
  <c r="X427" i="1"/>
  <c r="X426" i="1"/>
  <c r="BO425" i="1"/>
  <c r="BM425" i="1"/>
  <c r="Y425" i="1"/>
  <c r="P425" i="1"/>
  <c r="BO424" i="1"/>
  <c r="BM424" i="1"/>
  <c r="Y424" i="1"/>
  <c r="BP424" i="1" s="1"/>
  <c r="P424" i="1"/>
  <c r="BO423" i="1"/>
  <c r="BN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BP418" i="1" s="1"/>
  <c r="P418" i="1"/>
  <c r="BO417" i="1"/>
  <c r="BM417" i="1"/>
  <c r="Y417" i="1"/>
  <c r="BP417" i="1" s="1"/>
  <c r="P417" i="1"/>
  <c r="BO416" i="1"/>
  <c r="BM416" i="1"/>
  <c r="Y416" i="1"/>
  <c r="BP416" i="1" s="1"/>
  <c r="P416" i="1"/>
  <c r="BO415" i="1"/>
  <c r="BM415" i="1"/>
  <c r="Y415" i="1"/>
  <c r="BN415" i="1" s="1"/>
  <c r="P415" i="1"/>
  <c r="BO414" i="1"/>
  <c r="BM414" i="1"/>
  <c r="Y414" i="1"/>
  <c r="BP414" i="1" s="1"/>
  <c r="P414" i="1"/>
  <c r="BO413" i="1"/>
  <c r="BM413" i="1"/>
  <c r="Z413" i="1"/>
  <c r="Y413" i="1"/>
  <c r="BN413" i="1" s="1"/>
  <c r="P413" i="1"/>
  <c r="BO412" i="1"/>
  <c r="BM412" i="1"/>
  <c r="Y412" i="1"/>
  <c r="P412" i="1"/>
  <c r="X408" i="1"/>
  <c r="X407" i="1"/>
  <c r="BO406" i="1"/>
  <c r="BM406" i="1"/>
  <c r="Y406" i="1"/>
  <c r="BP406" i="1" s="1"/>
  <c r="P406" i="1"/>
  <c r="BO405" i="1"/>
  <c r="BN405" i="1"/>
  <c r="BM405" i="1"/>
  <c r="Y405" i="1"/>
  <c r="BP405" i="1" s="1"/>
  <c r="P405" i="1"/>
  <c r="BO404" i="1"/>
  <c r="BM404" i="1"/>
  <c r="Y404" i="1"/>
  <c r="P404" i="1"/>
  <c r="X401" i="1"/>
  <c r="X400" i="1"/>
  <c r="BO399" i="1"/>
  <c r="BM399" i="1"/>
  <c r="Y399" i="1"/>
  <c r="BP399" i="1" s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BP393" i="1" s="1"/>
  <c r="P393" i="1"/>
  <c r="BO392" i="1"/>
  <c r="BM392" i="1"/>
  <c r="Y392" i="1"/>
  <c r="BN392" i="1" s="1"/>
  <c r="P392" i="1"/>
  <c r="BO391" i="1"/>
  <c r="BM391" i="1"/>
  <c r="Y391" i="1"/>
  <c r="P391" i="1"/>
  <c r="X389" i="1"/>
  <c r="X388" i="1"/>
  <c r="BO387" i="1"/>
  <c r="BM387" i="1"/>
  <c r="Y387" i="1"/>
  <c r="BP387" i="1" s="1"/>
  <c r="P387" i="1"/>
  <c r="BO386" i="1"/>
  <c r="BM386" i="1"/>
  <c r="Y386" i="1"/>
  <c r="BN386" i="1" s="1"/>
  <c r="P386" i="1"/>
  <c r="BO385" i="1"/>
  <c r="BM385" i="1"/>
  <c r="Y385" i="1"/>
  <c r="BP385" i="1" s="1"/>
  <c r="P385" i="1"/>
  <c r="BO384" i="1"/>
  <c r="BN384" i="1"/>
  <c r="BM384" i="1"/>
  <c r="Y384" i="1"/>
  <c r="P384" i="1"/>
  <c r="X382" i="1"/>
  <c r="X381" i="1"/>
  <c r="BO380" i="1"/>
  <c r="BM380" i="1"/>
  <c r="Y380" i="1"/>
  <c r="BN380" i="1" s="1"/>
  <c r="P380" i="1"/>
  <c r="BO379" i="1"/>
  <c r="BM379" i="1"/>
  <c r="Y379" i="1"/>
  <c r="BP379" i="1" s="1"/>
  <c r="P379" i="1"/>
  <c r="BO378" i="1"/>
  <c r="BN378" i="1"/>
  <c r="BM378" i="1"/>
  <c r="Y378" i="1"/>
  <c r="P378" i="1"/>
  <c r="X376" i="1"/>
  <c r="X375" i="1"/>
  <c r="BO374" i="1"/>
  <c r="BM374" i="1"/>
  <c r="Y374" i="1"/>
  <c r="BN374" i="1" s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O366" i="1"/>
  <c r="BM366" i="1"/>
  <c r="Y366" i="1"/>
  <c r="BN366" i="1" s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O362" i="1"/>
  <c r="BN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BN340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O334" i="1"/>
  <c r="BM334" i="1"/>
  <c r="Y334" i="1"/>
  <c r="BN334" i="1" s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N327" i="1"/>
  <c r="BM327" i="1"/>
  <c r="Z327" i="1"/>
  <c r="Y327" i="1"/>
  <c r="BP327" i="1" s="1"/>
  <c r="P327" i="1"/>
  <c r="BO326" i="1"/>
  <c r="BM326" i="1"/>
  <c r="Y326" i="1"/>
  <c r="P326" i="1"/>
  <c r="BO325" i="1"/>
  <c r="BM325" i="1"/>
  <c r="Y325" i="1"/>
  <c r="P325" i="1"/>
  <c r="X322" i="1"/>
  <c r="X321" i="1"/>
  <c r="BP320" i="1"/>
  <c r="BO320" i="1"/>
  <c r="BM320" i="1"/>
  <c r="Z320" i="1"/>
  <c r="Y320" i="1"/>
  <c r="BN320" i="1" s="1"/>
  <c r="P320" i="1"/>
  <c r="BO319" i="1"/>
  <c r="BM319" i="1"/>
  <c r="Y319" i="1"/>
  <c r="P319" i="1"/>
  <c r="BO318" i="1"/>
  <c r="BM318" i="1"/>
  <c r="Y318" i="1"/>
  <c r="BN318" i="1" s="1"/>
  <c r="P318" i="1"/>
  <c r="BO317" i="1"/>
  <c r="BM317" i="1"/>
  <c r="Y317" i="1"/>
  <c r="BP317" i="1" s="1"/>
  <c r="P317" i="1"/>
  <c r="BO316" i="1"/>
  <c r="BM316" i="1"/>
  <c r="Y316" i="1"/>
  <c r="P316" i="1"/>
  <c r="X313" i="1"/>
  <c r="X312" i="1"/>
  <c r="BO311" i="1"/>
  <c r="BM311" i="1"/>
  <c r="Y311" i="1"/>
  <c r="BN311" i="1" s="1"/>
  <c r="P311" i="1"/>
  <c r="BO310" i="1"/>
  <c r="BM310" i="1"/>
  <c r="Y310" i="1"/>
  <c r="BP310" i="1" s="1"/>
  <c r="P310" i="1"/>
  <c r="BO309" i="1"/>
  <c r="BM309" i="1"/>
  <c r="Y309" i="1"/>
  <c r="BN309" i="1" s="1"/>
  <c r="P309" i="1"/>
  <c r="X307" i="1"/>
  <c r="X306" i="1"/>
  <c r="BP305" i="1"/>
  <c r="BO305" i="1"/>
  <c r="BM305" i="1"/>
  <c r="Z305" i="1"/>
  <c r="Z306" i="1" s="1"/>
  <c r="Y305" i="1"/>
  <c r="Y307" i="1" s="1"/>
  <c r="P305" i="1"/>
  <c r="X303" i="1"/>
  <c r="X302" i="1"/>
  <c r="BO301" i="1"/>
  <c r="BN301" i="1"/>
  <c r="BM301" i="1"/>
  <c r="Y301" i="1"/>
  <c r="P301" i="1"/>
  <c r="X299" i="1"/>
  <c r="X298" i="1"/>
  <c r="BO297" i="1"/>
  <c r="BM297" i="1"/>
  <c r="Y297" i="1"/>
  <c r="BN297" i="1" s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Y294" i="1"/>
  <c r="BP294" i="1" s="1"/>
  <c r="P294" i="1"/>
  <c r="BO293" i="1"/>
  <c r="BN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O280" i="1"/>
  <c r="BN280" i="1"/>
  <c r="BM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N276" i="1"/>
  <c r="BM276" i="1"/>
  <c r="Z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N274" i="1" s="1"/>
  <c r="P274" i="1"/>
  <c r="BO273" i="1"/>
  <c r="BM273" i="1"/>
  <c r="Y273" i="1"/>
  <c r="BP273" i="1" s="1"/>
  <c r="P273" i="1"/>
  <c r="BO272" i="1"/>
  <c r="BM272" i="1"/>
  <c r="Y272" i="1"/>
  <c r="BN272" i="1" s="1"/>
  <c r="P272" i="1"/>
  <c r="BO271" i="1"/>
  <c r="BM271" i="1"/>
  <c r="Y271" i="1"/>
  <c r="BP271" i="1" s="1"/>
  <c r="P271" i="1"/>
  <c r="BO270" i="1"/>
  <c r="BM270" i="1"/>
  <c r="Y270" i="1"/>
  <c r="BN270" i="1" s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N264" i="1"/>
  <c r="BM264" i="1"/>
  <c r="Y264" i="1"/>
  <c r="BP264" i="1" s="1"/>
  <c r="P264" i="1"/>
  <c r="BO263" i="1"/>
  <c r="BM263" i="1"/>
  <c r="Y263" i="1"/>
  <c r="BP263" i="1" s="1"/>
  <c r="P263" i="1"/>
  <c r="BO262" i="1"/>
  <c r="BN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M254" i="1"/>
  <c r="Y254" i="1"/>
  <c r="BN254" i="1" s="1"/>
  <c r="P254" i="1"/>
  <c r="X252" i="1"/>
  <c r="X251" i="1"/>
  <c r="BO250" i="1"/>
  <c r="BM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N238" i="1"/>
  <c r="BM238" i="1"/>
  <c r="Y238" i="1"/>
  <c r="BP238" i="1" s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M230" i="1"/>
  <c r="Z230" i="1"/>
  <c r="Y230" i="1"/>
  <c r="BN230" i="1" s="1"/>
  <c r="P230" i="1"/>
  <c r="X228" i="1"/>
  <c r="X227" i="1"/>
  <c r="BO226" i="1"/>
  <c r="BN226" i="1"/>
  <c r="BM226" i="1"/>
  <c r="Y226" i="1"/>
  <c r="BP226" i="1" s="1"/>
  <c r="P226" i="1"/>
  <c r="BO225" i="1"/>
  <c r="BM225" i="1"/>
  <c r="Y225" i="1"/>
  <c r="BP225" i="1" s="1"/>
  <c r="P225" i="1"/>
  <c r="BO224" i="1"/>
  <c r="BN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N222" i="1" s="1"/>
  <c r="P222" i="1"/>
  <c r="BO221" i="1"/>
  <c r="BM221" i="1"/>
  <c r="Y221" i="1"/>
  <c r="BP221" i="1" s="1"/>
  <c r="P221" i="1"/>
  <c r="BO220" i="1"/>
  <c r="BM220" i="1"/>
  <c r="Y220" i="1"/>
  <c r="BN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Y216" i="1"/>
  <c r="Z216" i="1" s="1"/>
  <c r="P216" i="1"/>
  <c r="BO215" i="1"/>
  <c r="BM215" i="1"/>
  <c r="Y215" i="1"/>
  <c r="BP215" i="1" s="1"/>
  <c r="P215" i="1"/>
  <c r="BO214" i="1"/>
  <c r="BM214" i="1"/>
  <c r="Y214" i="1"/>
  <c r="BN214" i="1" s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N201" i="1"/>
  <c r="BM201" i="1"/>
  <c r="Y201" i="1"/>
  <c r="BP201" i="1" s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O187" i="1"/>
  <c r="BM187" i="1"/>
  <c r="Y187" i="1"/>
  <c r="Z187" i="1" s="1"/>
  <c r="P187" i="1"/>
  <c r="X185" i="1"/>
  <c r="X184" i="1"/>
  <c r="BO183" i="1"/>
  <c r="BN183" i="1"/>
  <c r="BM183" i="1"/>
  <c r="Z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P181" i="1"/>
  <c r="X179" i="1"/>
  <c r="X178" i="1"/>
  <c r="BO177" i="1"/>
  <c r="BN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N173" i="1" s="1"/>
  <c r="P173" i="1"/>
  <c r="BO172" i="1"/>
  <c r="BM172" i="1"/>
  <c r="Y172" i="1"/>
  <c r="BP172" i="1" s="1"/>
  <c r="P172" i="1"/>
  <c r="BO171" i="1"/>
  <c r="BN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N167" i="1" s="1"/>
  <c r="P167" i="1"/>
  <c r="BO166" i="1"/>
  <c r="BM166" i="1"/>
  <c r="Y166" i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P156" i="1"/>
  <c r="X153" i="1"/>
  <c r="X152" i="1"/>
  <c r="BO151" i="1"/>
  <c r="BM151" i="1"/>
  <c r="Y151" i="1"/>
  <c r="BP151" i="1" s="1"/>
  <c r="P151" i="1"/>
  <c r="BO150" i="1"/>
  <c r="BM150" i="1"/>
  <c r="Y150" i="1"/>
  <c r="BN150" i="1" s="1"/>
  <c r="P150" i="1"/>
  <c r="BO149" i="1"/>
  <c r="BM149" i="1"/>
  <c r="Y149" i="1"/>
  <c r="BP149" i="1" s="1"/>
  <c r="P149" i="1"/>
  <c r="BO148" i="1"/>
  <c r="BM148" i="1"/>
  <c r="Y148" i="1"/>
  <c r="BN148" i="1" s="1"/>
  <c r="P148" i="1"/>
  <c r="X145" i="1"/>
  <c r="X144" i="1"/>
  <c r="BO143" i="1"/>
  <c r="BM143" i="1"/>
  <c r="Y143" i="1"/>
  <c r="BN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N137" i="1"/>
  <c r="BM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BN122" i="1" s="1"/>
  <c r="P122" i="1"/>
  <c r="BO121" i="1"/>
  <c r="BM121" i="1"/>
  <c r="Y121" i="1"/>
  <c r="BP121" i="1" s="1"/>
  <c r="P121" i="1"/>
  <c r="BO120" i="1"/>
  <c r="BN120" i="1"/>
  <c r="BM120" i="1"/>
  <c r="Y120" i="1"/>
  <c r="P120" i="1"/>
  <c r="X118" i="1"/>
  <c r="X117" i="1"/>
  <c r="BO116" i="1"/>
  <c r="BM116" i="1"/>
  <c r="Y116" i="1"/>
  <c r="BN116" i="1" s="1"/>
  <c r="P116" i="1"/>
  <c r="BO115" i="1"/>
  <c r="BM115" i="1"/>
  <c r="Y115" i="1"/>
  <c r="BP115" i="1" s="1"/>
  <c r="P115" i="1"/>
  <c r="BP114" i="1"/>
  <c r="BO114" i="1"/>
  <c r="BN114" i="1"/>
  <c r="BM114" i="1"/>
  <c r="Y114" i="1"/>
  <c r="Z114" i="1" s="1"/>
  <c r="P114" i="1"/>
  <c r="BO113" i="1"/>
  <c r="BM113" i="1"/>
  <c r="Y113" i="1"/>
  <c r="BP113" i="1" s="1"/>
  <c r="P113" i="1"/>
  <c r="BO112" i="1"/>
  <c r="BM112" i="1"/>
  <c r="Y112" i="1"/>
  <c r="BN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N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N97" i="1" s="1"/>
  <c r="P97" i="1"/>
  <c r="BO96" i="1"/>
  <c r="BM96" i="1"/>
  <c r="Y96" i="1"/>
  <c r="BP96" i="1" s="1"/>
  <c r="P96" i="1"/>
  <c r="BO95" i="1"/>
  <c r="BM95" i="1"/>
  <c r="Y95" i="1"/>
  <c r="BP95" i="1" s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N89" i="1"/>
  <c r="BM89" i="1"/>
  <c r="Z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N82" i="1"/>
  <c r="BM82" i="1"/>
  <c r="Y82" i="1"/>
  <c r="P82" i="1"/>
  <c r="X80" i="1"/>
  <c r="X79" i="1"/>
  <c r="BO78" i="1"/>
  <c r="BN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BP71" i="1" s="1"/>
  <c r="P71" i="1"/>
  <c r="BO70" i="1"/>
  <c r="BN70" i="1"/>
  <c r="BM70" i="1"/>
  <c r="Y70" i="1"/>
  <c r="BP70" i="1" s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O64" i="1"/>
  <c r="BN64" i="1"/>
  <c r="BM64" i="1"/>
  <c r="Y64" i="1"/>
  <c r="BP64" i="1" s="1"/>
  <c r="P64" i="1"/>
  <c r="BO63" i="1"/>
  <c r="BM63" i="1"/>
  <c r="Y63" i="1"/>
  <c r="BP63" i="1" s="1"/>
  <c r="P63" i="1"/>
  <c r="BO62" i="1"/>
  <c r="BN62" i="1"/>
  <c r="BM62" i="1"/>
  <c r="Y62" i="1"/>
  <c r="BP62" i="1" s="1"/>
  <c r="P62" i="1"/>
  <c r="BO61" i="1"/>
  <c r="BM61" i="1"/>
  <c r="Y61" i="1"/>
  <c r="BP61" i="1" s="1"/>
  <c r="P61" i="1"/>
  <c r="BO60" i="1"/>
  <c r="BN60" i="1"/>
  <c r="BM60" i="1"/>
  <c r="Z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N53" i="1"/>
  <c r="BM53" i="1"/>
  <c r="Y53" i="1"/>
  <c r="BP53" i="1" s="1"/>
  <c r="P53" i="1"/>
  <c r="BO52" i="1"/>
  <c r="BM52" i="1"/>
  <c r="Y52" i="1"/>
  <c r="BP52" i="1" s="1"/>
  <c r="P52" i="1"/>
  <c r="BO51" i="1"/>
  <c r="BN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N41" i="1" s="1"/>
  <c r="P41" i="1"/>
  <c r="X37" i="1"/>
  <c r="X36" i="1"/>
  <c r="BO35" i="1"/>
  <c r="BN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N29" i="1"/>
  <c r="BM29" i="1"/>
  <c r="Y29" i="1"/>
  <c r="BP29" i="1" s="1"/>
  <c r="P29" i="1"/>
  <c r="BO28" i="1"/>
  <c r="BM28" i="1"/>
  <c r="Y28" i="1"/>
  <c r="BP28" i="1" s="1"/>
  <c r="P28" i="1"/>
  <c r="BO27" i="1"/>
  <c r="BN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27" i="1" l="1"/>
  <c r="BP415" i="1"/>
  <c r="BN31" i="1"/>
  <c r="Z51" i="1"/>
  <c r="Y124" i="1"/>
  <c r="Z137" i="1"/>
  <c r="Z224" i="1"/>
  <c r="Z262" i="1"/>
  <c r="Y306" i="1"/>
  <c r="Z95" i="1"/>
  <c r="BN278" i="1"/>
  <c r="Y470" i="1"/>
  <c r="BN43" i="1"/>
  <c r="Y251" i="1"/>
  <c r="BN95" i="1"/>
  <c r="Z43" i="1"/>
  <c r="BN286" i="1"/>
  <c r="BN417" i="1"/>
  <c r="BN108" i="1"/>
  <c r="Z177" i="1"/>
  <c r="Z405" i="1"/>
  <c r="Z488" i="1"/>
  <c r="X543" i="1"/>
  <c r="Z104" i="1"/>
  <c r="Y36" i="1"/>
  <c r="Z122" i="1"/>
  <c r="BN232" i="1"/>
  <c r="Z380" i="1"/>
  <c r="BN492" i="1"/>
  <c r="Z133" i="1"/>
  <c r="BN23" i="1"/>
  <c r="BP122" i="1"/>
  <c r="Z169" i="1"/>
  <c r="Z291" i="1"/>
  <c r="Z462" i="1"/>
  <c r="BN45" i="1"/>
  <c r="BN133" i="1"/>
  <c r="BN354" i="1"/>
  <c r="X545" i="1"/>
  <c r="BN169" i="1"/>
  <c r="Z254" i="1"/>
  <c r="BN291" i="1"/>
  <c r="Y394" i="1"/>
  <c r="BN398" i="1"/>
  <c r="Z415" i="1"/>
  <c r="BN218" i="1"/>
  <c r="BN305" i="1"/>
  <c r="BN473" i="1"/>
  <c r="BP143" i="1"/>
  <c r="Y185" i="1"/>
  <c r="BN181" i="1"/>
  <c r="BP266" i="1"/>
  <c r="Z266" i="1"/>
  <c r="BP316" i="1"/>
  <c r="Z316" i="1"/>
  <c r="Y329" i="1"/>
  <c r="BN325" i="1"/>
  <c r="Y328" i="1"/>
  <c r="BP334" i="1"/>
  <c r="BP366" i="1"/>
  <c r="BP372" i="1"/>
  <c r="Z372" i="1"/>
  <c r="Z386" i="1"/>
  <c r="BP419" i="1"/>
  <c r="Z419" i="1"/>
  <c r="BP425" i="1"/>
  <c r="Z425" i="1"/>
  <c r="BP431" i="1"/>
  <c r="Z431" i="1"/>
  <c r="BP452" i="1"/>
  <c r="Z452" i="1"/>
  <c r="BP460" i="1"/>
  <c r="Z460" i="1"/>
  <c r="BP478" i="1"/>
  <c r="BP486" i="1"/>
  <c r="Z486" i="1"/>
  <c r="BP91" i="1"/>
  <c r="Z91" i="1"/>
  <c r="BP332" i="1"/>
  <c r="Z332" i="1"/>
  <c r="BP347" i="1"/>
  <c r="Z347" i="1"/>
  <c r="BP356" i="1"/>
  <c r="Z356" i="1"/>
  <c r="BP364" i="1"/>
  <c r="Z364" i="1"/>
  <c r="J551" i="1"/>
  <c r="BP175" i="1"/>
  <c r="Z181" i="1"/>
  <c r="BP203" i="1"/>
  <c r="Z203" i="1"/>
  <c r="BP295" i="1"/>
  <c r="Z295" i="1"/>
  <c r="BP325" i="1"/>
  <c r="B551" i="1"/>
  <c r="Z31" i="1"/>
  <c r="Z64" i="1"/>
  <c r="Z70" i="1"/>
  <c r="Z78" i="1"/>
  <c r="Y84" i="1"/>
  <c r="BP82" i="1"/>
  <c r="Z82" i="1"/>
  <c r="BN91" i="1"/>
  <c r="BP97" i="1"/>
  <c r="Z97" i="1"/>
  <c r="Z108" i="1"/>
  <c r="Y118" i="1"/>
  <c r="BP112" i="1"/>
  <c r="Z112" i="1"/>
  <c r="BP116" i="1"/>
  <c r="Z150" i="1"/>
  <c r="Y179" i="1"/>
  <c r="BP167" i="1"/>
  <c r="Z175" i="1"/>
  <c r="Y228" i="1"/>
  <c r="BP214" i="1"/>
  <c r="Z222" i="1"/>
  <c r="Y267" i="1"/>
  <c r="BP260" i="1"/>
  <c r="BN266" i="1"/>
  <c r="Z274" i="1"/>
  <c r="BP297" i="1"/>
  <c r="Y303" i="1"/>
  <c r="BP301" i="1"/>
  <c r="Z301" i="1"/>
  <c r="Z302" i="1" s="1"/>
  <c r="Z311" i="1"/>
  <c r="BP318" i="1"/>
  <c r="Z325" i="1"/>
  <c r="BN332" i="1"/>
  <c r="Z334" i="1"/>
  <c r="BN347" i="1"/>
  <c r="BN356" i="1"/>
  <c r="BN364" i="1"/>
  <c r="Z366" i="1"/>
  <c r="BP374" i="1"/>
  <c r="Y382" i="1"/>
  <c r="BP378" i="1"/>
  <c r="Z378" i="1"/>
  <c r="BP462" i="1"/>
  <c r="BP468" i="1"/>
  <c r="Z468" i="1"/>
  <c r="Z478" i="1"/>
  <c r="BP488" i="1"/>
  <c r="BP106" i="1"/>
  <c r="Z106" i="1"/>
  <c r="BP148" i="1"/>
  <c r="Z148" i="1"/>
  <c r="BP173" i="1"/>
  <c r="Z173" i="1"/>
  <c r="BP181" i="1"/>
  <c r="BP220" i="1"/>
  <c r="Z220" i="1"/>
  <c r="BP272" i="1"/>
  <c r="Z272" i="1"/>
  <c r="Y312" i="1"/>
  <c r="BP309" i="1"/>
  <c r="Z309" i="1"/>
  <c r="BP340" i="1"/>
  <c r="BP386" i="1"/>
  <c r="BP392" i="1"/>
  <c r="Z392" i="1"/>
  <c r="Y448" i="1"/>
  <c r="Y447" i="1"/>
  <c r="BN446" i="1"/>
  <c r="BP446" i="1"/>
  <c r="Y530" i="1"/>
  <c r="Y529" i="1"/>
  <c r="BN528" i="1"/>
  <c r="BP528" i="1"/>
  <c r="X541" i="1"/>
  <c r="Z41" i="1"/>
  <c r="BP41" i="1"/>
  <c r="Z66" i="1"/>
  <c r="BP66" i="1"/>
  <c r="Y74" i="1"/>
  <c r="Z72" i="1"/>
  <c r="BP72" i="1"/>
  <c r="Y80" i="1"/>
  <c r="Z143" i="1"/>
  <c r="BP150" i="1"/>
  <c r="BP157" i="1"/>
  <c r="Z157" i="1"/>
  <c r="BP222" i="1"/>
  <c r="BP234" i="1"/>
  <c r="Z234" i="1"/>
  <c r="BP250" i="1"/>
  <c r="Z250" i="1"/>
  <c r="BP274" i="1"/>
  <c r="BP311" i="1"/>
  <c r="Z340" i="1"/>
  <c r="X542" i="1"/>
  <c r="X544" i="1" s="1"/>
  <c r="Z23" i="1"/>
  <c r="Y33" i="1"/>
  <c r="Z29" i="1"/>
  <c r="Z35" i="1"/>
  <c r="Z36" i="1" s="1"/>
  <c r="BP35" i="1"/>
  <c r="Z45" i="1"/>
  <c r="Z53" i="1"/>
  <c r="E551" i="1"/>
  <c r="Z62" i="1"/>
  <c r="Z116" i="1"/>
  <c r="Z120" i="1"/>
  <c r="BP120" i="1"/>
  <c r="BN157" i="1"/>
  <c r="Z167" i="1"/>
  <c r="Y189" i="1"/>
  <c r="BN187" i="1"/>
  <c r="BP187" i="1"/>
  <c r="BN203" i="1"/>
  <c r="Z214" i="1"/>
  <c r="BN234" i="1"/>
  <c r="BN250" i="1"/>
  <c r="Z260" i="1"/>
  <c r="BP280" i="1"/>
  <c r="Z280" i="1"/>
  <c r="BN295" i="1"/>
  <c r="Z297" i="1"/>
  <c r="Y302" i="1"/>
  <c r="BN316" i="1"/>
  <c r="Z318" i="1"/>
  <c r="BN372" i="1"/>
  <c r="Z374" i="1"/>
  <c r="BP380" i="1"/>
  <c r="Y388" i="1"/>
  <c r="BP384" i="1"/>
  <c r="Z384" i="1"/>
  <c r="V551" i="1"/>
  <c r="BP413" i="1"/>
  <c r="BN419" i="1"/>
  <c r="BN425" i="1"/>
  <c r="BN431" i="1"/>
  <c r="BN452" i="1"/>
  <c r="BN460" i="1"/>
  <c r="BN486" i="1"/>
  <c r="BP504" i="1"/>
  <c r="F551" i="1"/>
  <c r="Y99" i="1"/>
  <c r="G551" i="1"/>
  <c r="H551" i="1"/>
  <c r="L551" i="1"/>
  <c r="Y283" i="1"/>
  <c r="T551" i="1"/>
  <c r="Y368" i="1"/>
  <c r="Y400" i="1"/>
  <c r="Y427" i="1"/>
  <c r="Y433" i="1"/>
  <c r="Y437" i="1"/>
  <c r="Y454" i="1"/>
  <c r="Y534" i="1"/>
  <c r="Y139" i="1"/>
  <c r="Z171" i="1"/>
  <c r="K551" i="1"/>
  <c r="Z201" i="1"/>
  <c r="Z218" i="1"/>
  <c r="Z226" i="1"/>
  <c r="Y236" i="1"/>
  <c r="Z232" i="1"/>
  <c r="Z238" i="1"/>
  <c r="Z264" i="1"/>
  <c r="Z270" i="1"/>
  <c r="BP270" i="1"/>
  <c r="Z278" i="1"/>
  <c r="Z286" i="1"/>
  <c r="Z293" i="1"/>
  <c r="Z354" i="1"/>
  <c r="Z362" i="1"/>
  <c r="Z398" i="1"/>
  <c r="Y407" i="1"/>
  <c r="Z417" i="1"/>
  <c r="Z423" i="1"/>
  <c r="BP423" i="1"/>
  <c r="Z429" i="1"/>
  <c r="BP429" i="1"/>
  <c r="Z435" i="1"/>
  <c r="BP435" i="1"/>
  <c r="W551" i="1"/>
  <c r="Z450" i="1"/>
  <c r="BP450" i="1"/>
  <c r="Z458" i="1"/>
  <c r="Z473" i="1"/>
  <c r="Z474" i="1" s="1"/>
  <c r="BP473" i="1"/>
  <c r="Z492" i="1"/>
  <c r="Z508" i="1"/>
  <c r="Z532" i="1"/>
  <c r="BP532" i="1"/>
  <c r="H9" i="1"/>
  <c r="A10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Y129" i="1"/>
  <c r="Y134" i="1"/>
  <c r="Y140" i="1"/>
  <c r="Y144" i="1"/>
  <c r="Y153" i="1"/>
  <c r="Y160" i="1"/>
  <c r="Y164" i="1"/>
  <c r="Y178" i="1"/>
  <c r="Y184" i="1"/>
  <c r="Y190" i="1"/>
  <c r="Y194" i="1"/>
  <c r="Y206" i="1"/>
  <c r="Y211" i="1"/>
  <c r="Y227" i="1"/>
  <c r="Y235" i="1"/>
  <c r="Y257" i="1"/>
  <c r="BP255" i="1"/>
  <c r="BN255" i="1"/>
  <c r="Z255" i="1"/>
  <c r="Z256" i="1" s="1"/>
  <c r="F9" i="1"/>
  <c r="J9" i="1"/>
  <c r="Z22" i="1"/>
  <c r="Z24" i="1" s="1"/>
  <c r="BN22" i="1"/>
  <c r="BP22" i="1"/>
  <c r="Y25" i="1"/>
  <c r="Z28" i="1"/>
  <c r="BN28" i="1"/>
  <c r="Z30" i="1"/>
  <c r="BN30" i="1"/>
  <c r="C551" i="1"/>
  <c r="Z42" i="1"/>
  <c r="Z46" i="1" s="1"/>
  <c r="BN42" i="1"/>
  <c r="Z44" i="1"/>
  <c r="BN44" i="1"/>
  <c r="Y47" i="1"/>
  <c r="D551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BN77" i="1"/>
  <c r="BP77" i="1"/>
  <c r="Z83" i="1"/>
  <c r="Z84" i="1" s="1"/>
  <c r="BN83" i="1"/>
  <c r="Z88" i="1"/>
  <c r="BN88" i="1"/>
  <c r="BP88" i="1"/>
  <c r="Z90" i="1"/>
  <c r="BN90" i="1"/>
  <c r="Y93" i="1"/>
  <c r="Z96" i="1"/>
  <c r="Z99" i="1" s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BN142" i="1"/>
  <c r="BP142" i="1"/>
  <c r="I551" i="1"/>
  <c r="Z149" i="1"/>
  <c r="Z152" i="1" s="1"/>
  <c r="BN149" i="1"/>
  <c r="Z151" i="1"/>
  <c r="BN151" i="1"/>
  <c r="Y152" i="1"/>
  <c r="Z156" i="1"/>
  <c r="BN156" i="1"/>
  <c r="BP156" i="1"/>
  <c r="Z158" i="1"/>
  <c r="BN158" i="1"/>
  <c r="Y159" i="1"/>
  <c r="Z162" i="1"/>
  <c r="Z163" i="1" s="1"/>
  <c r="BN162" i="1"/>
  <c r="BP162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Z235" i="1" s="1"/>
  <c r="BN231" i="1"/>
  <c r="Z233" i="1"/>
  <c r="BN233" i="1"/>
  <c r="Y241" i="1"/>
  <c r="Z239" i="1"/>
  <c r="BN239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Y256" i="1"/>
  <c r="Z259" i="1"/>
  <c r="BN259" i="1"/>
  <c r="BP259" i="1"/>
  <c r="Z261" i="1"/>
  <c r="BN261" i="1"/>
  <c r="Z263" i="1"/>
  <c r="BN263" i="1"/>
  <c r="Z265" i="1"/>
  <c r="BN265" i="1"/>
  <c r="Y268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51" i="1"/>
  <c r="Z292" i="1"/>
  <c r="BN292" i="1"/>
  <c r="Z294" i="1"/>
  <c r="BN294" i="1"/>
  <c r="Z296" i="1"/>
  <c r="BN296" i="1"/>
  <c r="Y299" i="1"/>
  <c r="Z310" i="1"/>
  <c r="Z312" i="1" s="1"/>
  <c r="BN310" i="1"/>
  <c r="Y313" i="1"/>
  <c r="P551" i="1"/>
  <c r="Y322" i="1"/>
  <c r="Z317" i="1"/>
  <c r="BN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Y298" i="1"/>
  <c r="BP319" i="1"/>
  <c r="BN319" i="1"/>
  <c r="Z319" i="1"/>
  <c r="BP333" i="1"/>
  <c r="BN333" i="1"/>
  <c r="Z333" i="1"/>
  <c r="Y337" i="1"/>
  <c r="BP341" i="1"/>
  <c r="BN341" i="1"/>
  <c r="Z341" i="1"/>
  <c r="Z342" i="1" s="1"/>
  <c r="Y343" i="1"/>
  <c r="S551" i="1"/>
  <c r="Y349" i="1"/>
  <c r="BP346" i="1"/>
  <c r="BN346" i="1"/>
  <c r="Z346" i="1"/>
  <c r="Y350" i="1"/>
  <c r="Y359" i="1"/>
  <c r="Y369" i="1"/>
  <c r="Y375" i="1"/>
  <c r="Y381" i="1"/>
  <c r="Y389" i="1"/>
  <c r="Y395" i="1"/>
  <c r="Y401" i="1"/>
  <c r="Y408" i="1"/>
  <c r="Y420" i="1"/>
  <c r="Y426" i="1"/>
  <c r="Y432" i="1"/>
  <c r="Y438" i="1"/>
  <c r="Y443" i="1"/>
  <c r="Y453" i="1"/>
  <c r="Y465" i="1"/>
  <c r="Y469" i="1"/>
  <c r="BP479" i="1"/>
  <c r="BN479" i="1"/>
  <c r="Z479" i="1"/>
  <c r="Y481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BP505" i="1"/>
  <c r="BN505" i="1"/>
  <c r="Z505" i="1"/>
  <c r="BP509" i="1"/>
  <c r="BN509" i="1"/>
  <c r="Z509" i="1"/>
  <c r="Y511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Q551" i="1"/>
  <c r="U551" i="1"/>
  <c r="Y551" i="1"/>
  <c r="R551" i="1"/>
  <c r="Y338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Z371" i="1"/>
  <c r="BN371" i="1"/>
  <c r="BP371" i="1"/>
  <c r="Z373" i="1"/>
  <c r="BN373" i="1"/>
  <c r="Z379" i="1"/>
  <c r="Z381" i="1" s="1"/>
  <c r="BN379" i="1"/>
  <c r="Z385" i="1"/>
  <c r="BN385" i="1"/>
  <c r="Z387" i="1"/>
  <c r="BN387" i="1"/>
  <c r="Z391" i="1"/>
  <c r="Z394" i="1" s="1"/>
  <c r="BN391" i="1"/>
  <c r="BP391" i="1"/>
  <c r="Z393" i="1"/>
  <c r="BN393" i="1"/>
  <c r="Z397" i="1"/>
  <c r="BN397" i="1"/>
  <c r="BP397" i="1"/>
  <c r="Z399" i="1"/>
  <c r="BN399" i="1"/>
  <c r="Z404" i="1"/>
  <c r="BN404" i="1"/>
  <c r="BP404" i="1"/>
  <c r="Z406" i="1"/>
  <c r="BN406" i="1"/>
  <c r="Z412" i="1"/>
  <c r="BN412" i="1"/>
  <c r="BP412" i="1"/>
  <c r="Z414" i="1"/>
  <c r="BN414" i="1"/>
  <c r="Z416" i="1"/>
  <c r="BN416" i="1"/>
  <c r="Z418" i="1"/>
  <c r="BN418" i="1"/>
  <c r="Y421" i="1"/>
  <c r="Z424" i="1"/>
  <c r="Z426" i="1" s="1"/>
  <c r="BN424" i="1"/>
  <c r="Z430" i="1"/>
  <c r="Z432" i="1" s="1"/>
  <c r="BN430" i="1"/>
  <c r="Z436" i="1"/>
  <c r="Z437" i="1" s="1"/>
  <c r="BN436" i="1"/>
  <c r="Z441" i="1"/>
  <c r="Z443" i="1" s="1"/>
  <c r="BN441" i="1"/>
  <c r="BP441" i="1"/>
  <c r="Y444" i="1"/>
  <c r="Z451" i="1"/>
  <c r="Z453" i="1" s="1"/>
  <c r="BN451" i="1"/>
  <c r="X551" i="1"/>
  <c r="Z459" i="1"/>
  <c r="BN459" i="1"/>
  <c r="Z461" i="1"/>
  <c r="BN461" i="1"/>
  <c r="Z463" i="1"/>
  <c r="BN463" i="1"/>
  <c r="Y464" i="1"/>
  <c r="Z467" i="1"/>
  <c r="Z469" i="1" s="1"/>
  <c r="BN467" i="1"/>
  <c r="BP467" i="1"/>
  <c r="Y480" i="1"/>
  <c r="BP477" i="1"/>
  <c r="BN477" i="1"/>
  <c r="Z477" i="1"/>
  <c r="Z480" i="1" s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BP507" i="1"/>
  <c r="BN507" i="1"/>
  <c r="Z507" i="1"/>
  <c r="Y525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AA551" i="1"/>
  <c r="Z144" i="1" l="1"/>
  <c r="Z79" i="1"/>
  <c r="Z407" i="1"/>
  <c r="Z349" i="1"/>
  <c r="Z464" i="1"/>
  <c r="Z337" i="1"/>
  <c r="Z241" i="1"/>
  <c r="Z282" i="1"/>
  <c r="Z109" i="1"/>
  <c r="Z388" i="1"/>
  <c r="Z368" i="1"/>
  <c r="Z358" i="1"/>
  <c r="Z32" i="1"/>
  <c r="Z321" i="1"/>
  <c r="Z298" i="1"/>
  <c r="Z267" i="1"/>
  <c r="Z159" i="1"/>
  <c r="Z92" i="1"/>
  <c r="Z55" i="1"/>
  <c r="Z510" i="1"/>
  <c r="Z420" i="1"/>
  <c r="Z400" i="1"/>
  <c r="Z375" i="1"/>
  <c r="Z500" i="1"/>
  <c r="Z227" i="1"/>
  <c r="Z205" i="1"/>
  <c r="Z178" i="1"/>
  <c r="Z67" i="1"/>
  <c r="Y543" i="1"/>
  <c r="Z494" i="1"/>
  <c r="Y541" i="1"/>
  <c r="Y542" i="1"/>
  <c r="Y544" i="1" s="1"/>
  <c r="Y545" i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<sst xmlns="http://schemas.openxmlformats.org/spreadsheetml/2006/main" count="2450" uniqueCount="890">
  <si>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</si>
  <si>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</si>
  <si>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</si>
  <si>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</si>
  <si>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</si>
  <si>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</si>
  <si>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</si>
  <si>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</si>
  <si>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</si>
  <si>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</si>
  <si>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</si>
  <si>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</si>
  <si>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</si>
  <si>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</si>
  <si>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</si>
  <si>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</si>
  <si>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</si>
  <si>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</si>
  <si>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</si>
  <si>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</si>
  <si>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</si>
  <si>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</si>
  <si>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</si>
  <si>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</si>
  <si>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</si>
  <si>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</si>
  <si>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</si>
  <si>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</si>
  <si>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</si>
  <si>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</si>
  <si>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</si>
  <si>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</si>
  <si>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</si>
  <si>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</si>
  <si>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</si>
  <si>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</si>
  <si>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</si>
  <si>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</si>
  <si>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</si>
  <si>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</si>
  <si>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</si>
  <si>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</si>
  <si>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</si>
  <si>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</si>
  <si>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</si>
  <si>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</si>
  <si>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</si>
  <si>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</si>
  <si>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</si>
  <si>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</si>
  <si>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</si>
  <si>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</si>
  <si>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</si>
  <si>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</si>
  <si>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</si>
  <si>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</si>
  <si>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</si>
  <si>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</si>
  <si>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</si>
  <si>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</si>
  <si>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</si>
  <si>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</si>
  <si>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</si>
  <si>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</si>
  <si>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</si>
  <si>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</si>
  <si>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</si>
  <si>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</si>
  <si>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</si>
  <si>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</si>
  <si>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</si>
  <si>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</si>
  <si>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</si>
  <si>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</si>
  <si>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</si>
  <si>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</si>
  <si>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</si>
  <si>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</si>
  <si>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</si>
  <si>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</si>
  <si>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</si>
  <si>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</si>
  <si>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</si>
  <si>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</si>
  <si>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</si>
  <si>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</si>
  <si>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</si>
  <si>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</si>
  <si>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</si>
  <si>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</si>
  <si>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</si>
  <si>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</si>
  <si>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</si>
  <si>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</si>
  <si>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</si>
  <si>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</si>
  <si>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</si>
  <si>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</si>
  <si>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</si>
  <si>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</si>
  <si>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</si>
  <si>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</si>
  <si>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</si>
  <si>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</si>
  <si>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</si>
  <si>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</si>
  <si>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</si>
  <si>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</si>
  <si>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</si>
  <si>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</si>
  <si>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</si>
  <si>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</si>
  <si>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</si>
  <si>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</si>
  <si>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</si>
  <si>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</si>
  <si>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</si>
  <si>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</si>
  <si>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</si>
  <si>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</si>
  <si>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</si>
  <si>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</si>
  <si>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</si>
  <si>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</si>
  <si>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</si>
  <si>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</si>
  <si>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</si>
  <si>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</si>
  <si>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</si>
  <si>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</si>
  <si>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</si>
  <si>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</si>
  <si>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</si>
  <si>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</si>
  <si>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</si>
  <si>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</si>
  <si>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</si>
  <si>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</si>
  <si>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</si>
  <si>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</si>
  <si>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</si>
  <si>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</si>
  <si>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</si>
  <si>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</si>
  <si>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</si>
  <si>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</si>
  <si>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</si>
  <si>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</si>
  <si>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</si>
  <si>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</si>
  <si>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</si>
  <si>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</si>
  <si>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</si>
  <si>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</si>
  <si>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</si>
  <si>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</si>
  <si>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</si>
  <si>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</si>
  <si>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</si>
  <si>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</si>
  <si>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</si>
  <si>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</si>
  <si>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</si>
  <si>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</si>
  <si>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</si>
  <si>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</si>
  <si>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</si>
  <si>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</si>
  <si>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</si>
  <si>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</si>
  <si>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</si>
  <si>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</si>
  <si>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</si>
  <si>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</si>
  <si>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</si>
  <si>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</si>
  <si>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</si>
  <si>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</si>
  <si>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</si>
  <si>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</si>
  <si>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</si>
  <si>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</si>
  <si>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</si>
  <si>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</si>
  <si>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</si>
  <si>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</si>
  <si>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</si>
  <si>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</si>
  <si>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</si>
  <si>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</si>
  <si>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</si>
  <si>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</si>
  <si>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</si>
  <si>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</si>
  <si>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</si>
  <si>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</si>
  <si>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</si>
  <si>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</si>
  <si>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</si>
  <si>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</si>
  <si>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</si>
  <si>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</si>
  <si>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</si>
  <si>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</si>
  <si>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</si>
  <si>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</si>
  <si>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</si>
  <si>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</si>
  <si>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</si>
  <si>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</si>
  <si>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</si>
  <si>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</si>
  <si>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</si>
  <si>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</si>
  <si>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</si>
  <si>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</si>
  <si>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</si>
  <si>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</si>
  <si>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</si>
  <si>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</si>
  <si>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</si>
  <si>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</si>
  <si>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</si>
  <si>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</si>
  <si>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</si>
  <si>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</si>
  <si>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</si>
  <si>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</si>
  <si>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</si>
  <si>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</si>
  <si>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</si>
  <si>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</si>
  <si>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</si>
  <si>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</si>
  <si>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</si>
  <si>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</si>
  <si>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</si>
  <si>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</si>
  <si>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</si>
  <si>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</si>
  <si>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</si>
  <si>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</si>
  <si>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</si>
  <si>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</si>
  <si>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</si>
  <si>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</si>
  <si>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</si>
  <si>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</si>
  <si>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</si>
  <si>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</si>
  <si>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</si>
  <si>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</si>
  <si>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</si>
  <si>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</si>
  <si>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</si>
  <si>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</si>
  <si>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</si>
  <si>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</si>
  <si>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</si>
  <si>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</si>
  <si>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</si>
  <si>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</si>
  <si>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</si>
  <si>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</si>
  <si>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</si>
  <si>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</si>
  <si>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</si>
  <si>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</si>
  <si>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</si>
  <si>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</si>
  <si>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</si>
  <si>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</si>
  <si>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</si>
  <si>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</si>
  <si>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</si>
  <si>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</si>
  <si>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</si>
  <si>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</si>
  <si>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</si>
  <si>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</si>
  <si>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</si>
  <si>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</si>
  <si>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</si>
  <si>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</si>
  <si>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</si>
  <si>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</si>
  <si>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</si>
  <si>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</si>
  <si>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</si>
  <si>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</si>
  <si>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</si>
  <si>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</si>
  <si>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</si>
  <si>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</si>
  <si>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</si>
  <si>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</si>
  <si>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</si>
  <si>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</si>
  <si>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</si>
  <si>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</si>
  <si>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</si>
  <si>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</si>
  <si>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</si>
  <si>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</si>
  <si>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</si>
  <si>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</si>
  <si>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</si>
  <si>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</si>
  <si>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</si>
  <si>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</si>
  <si>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</si>
  <si>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</si>
  <si>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</si>
  <si>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</si>
  <si>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</si>
  <si>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</si>
  <si>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</si>
  <si>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</si>
  <si>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</si>
  <si>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</si>
  <si>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</si>
  <si>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</si>
  <si>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</si>
  <si>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</si>
  <si>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</si>
  <si>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</si>
  <si>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</si>
  <si>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</si>
  <si>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</si>
  <si>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</si>
  <si>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</si>
  <si>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</si>
  <si>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</si>
  <si>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</si>
  <si>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</si>
  <si>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</si>
  <si>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</si>
  <si>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</si>
  <si>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</si>
  <si>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</si>
  <si>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</si>
  <si>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</si>
  <si>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</si>
  <si>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</si>
  <si>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</si>
  <si>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</si>
  <si>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</si>
  <si>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</si>
  <si>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</si>
  <si>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</si>
  <si>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</si>
  <si>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</si>
  <si>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</si>
  <si>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</si>
  <si>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</si>
  <si>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</si>
  <si>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</si>
  <si>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</si>
  <si>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</si>
  <si>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</si>
  <si>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</si>
  <si>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</si>
  <si>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</si>
  <si>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</si>
  <si>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</si>
  <si>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</si>
  <si>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</si>
  <si>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</si>
  <si>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</si>
  <si>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</si>
  <si>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</si>
  <si>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</si>
  <si>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</si>
  <si>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</si>
  <si>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</si>
  <si>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</si>
  <si>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</si>
  <si>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</si>
  <si>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</si>
  <si>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</si>
  <si>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</si>
  <si>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</si>
  <si>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</si>
  <si>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</si>
  <si>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</si>
  <si>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</si>
  <si>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</si>
  <si>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</si>
  <si>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</si>
  <si>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</si>
  <si>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</si>
  <si>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</si>
  <si>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</si>
  <si>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</si>
  <si>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</si>
  <si>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</si>
  <si>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</si>
  <si>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</si>
  <si>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</si>
  <si>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</si>
  <si>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</si>
  <si>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</si>
  <si>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</si>
  <si>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</si>
  <si>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</si>
  <si>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</si>
  <si>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</si>
  <si>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</si>
  <si>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</si>
  <si>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</si>
  <si>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</si>
  <si>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</si>
  <si>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</si>
  <si>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</si>
  <si>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</si>
  <si>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</si>
  <si>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</si>
  <si>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</si>
  <si>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</si>
  <si>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</si>
  <si>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</si>
  <si>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</si>
  <si>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</si>
  <si>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</si>
  <si>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</si>
  <si>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</si>
  <si>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</si>
  <si>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</si>
  <si>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</si>
  <si>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</si>
  <si>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</si>
  <si>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</si>
  <si>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</si>
  <si>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</si>
  <si>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</si>
  <si>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</si>
  <si>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</si>
  <si>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</si>
  <si>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</si>
  <si>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</si>
  <si>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</si>
  <si>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</si>
  <si>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</si>
  <si>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</si>
  <si>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</si>
  <si>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</si>
  <si>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</si>
  <si>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</si>
  <si>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</si>
  <si>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</si>
  <si>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</si>
  <si>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</si>
  <si>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</si>
  <si>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</si>
  <si>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</si>
  <si>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</si>
  <si>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</si>
  <si>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</si>
  <si>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</si>
  <si>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</si>
  <si>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</si>
  <si>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</si>
  <si>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</si>
  <si>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</si>
  <si>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</si>
  <si>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</si>
  <si>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</si>
  <si>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</si>
  <si>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</si>
  <si>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</si>
  <si>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</si>
  <si>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</si>
  <si>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</si>
  <si>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</si>
  <si>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</si>
  <si>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</si>
  <si>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</si>
  <si>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</si>
  <si>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</si>
  <si>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</si>
  <si>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</si>
  <si>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</si>
  <si>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</si>
  <si>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</si>
  <si>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</si>
  <si>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</si>
  <si>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</si>
  <si>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</si>
  <si>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</si>
  <si>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</si>
  <si>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</si>
  <si>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</si>
  <si>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</si>
  <si>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</si>
  <si>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</si>
  <si>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</si>
  <si>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</si>
  <si>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</si>
  <si>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</si>
  <si>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</si>
  <si>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</si>
  <si>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</si>
  <si>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</si>
  <si>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</si>
  <si>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</si>
  <si>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</si>
  <si>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</si>
  <si>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</si>
  <si>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</si>
  <si>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</si>
  <si>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</si>
  <si>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</si>
  <si>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</si>
  <si>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</si>
  <si>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</si>
  <si>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</si>
  <si>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</si>
  <si>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</si>
  <si>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</si>
  <si>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</si>
  <si>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</si>
  <si>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</si>
  <si>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</si>
  <si>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</si>
  <si>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</si>
  <si>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</si>
  <si>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</si>
  <si>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</si>
  <si>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</si>
  <si>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</si>
  <si>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</si>
  <si>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</si>
  <si>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</si>
  <si>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</si>
  <si>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</si>
  <si>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</si>
  <si>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</si>
  <si>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</si>
  <si>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</si>
  <si>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</si>
  <si>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</si>
  <si>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</si>
  <si>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</si>
  <si>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</si>
  <si>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</si>
  <si>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</si>
  <si>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</si>
  <si>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</si>
  <si>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</si>
  <si>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</si>
  <si>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</si>
  <si>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</si>
  <si>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</si>
  <si>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</si>
  <si>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</si>
  <si>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</si>
  <si>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</si>
  <si>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</si>
  <si>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</si>
  <si>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</si>
  <si>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</si>
  <si>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</si>
  <si>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</si>
  <si>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</si>
  <si>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</si>
  <si>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</si>
  <si>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</si>
  <si>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</si>
  <si>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</si>
  <si>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</si>
  <si>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</si>
  <si>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</si>
  <si>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</si>
  <si>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</si>
  <si>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</si>
  <si>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</si>
  <si>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</si>
  <si>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</si>
  <si>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</si>
  <si>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</si>
  <si>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</si>
  <si>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</si>
  <si>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</si>
  <si>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</si>
  <si>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</si>
  <si>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</si>
  <si>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</si>
  <si>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</si>
  <si>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</si>
  <si>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</si>
  <si>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</si>
  <si>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</si>
  <si>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</si>
  <si>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</si>
  <si>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</si>
  <si>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</si>
  <si>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</si>
  <si>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</si>
  <si>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</si>
  <si>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</si>
  <si>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</si>
  <si>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</si>
  <si>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</si>
  <si>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</si>
  <si>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</si>
  <si>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</si>
  <si>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</si>
  <si>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</si>
  <si>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</si>
  <si>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</si>
  <si>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</si>
  <si>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</si>
  <si>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</si>
  <si>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</si>
  <si>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</si>
  <si>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</si>
  <si>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</si>
  <si>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</si>
  <si>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</si>
  <si>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</si>
  <si>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</si>
  <si>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</si>
  <si>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</si>
  <si>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</si>
  <si>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</si>
  <si>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</si>
  <si>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</si>
  <si>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</si>
  <si>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</si>
  <si>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</si>
  <si>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</si>
  <si>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</si>
  <si>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</si>
  <si>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</si>
  <si>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</si>
  <si>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</si>
  <si>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</si>
  <si>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</si>
  <si>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</si>
  <si>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</si>
  <si>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</si>
  <si>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</si>
  <si>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</si>
  <si>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</si>
  <si>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</si>
  <si>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</si>
  <si>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</si>
  <si>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</si>
  <si>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</si>
  <si>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</si>
  <si>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</si>
  <si>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</si>
  <si>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</si>
  <si>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</si>
  <si>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</si>
  <si>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</si>
  <si>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</si>
  <si>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</si>
  <si>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</si>
  <si>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</si>
  <si>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</si>
  <si>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</si>
  <si>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</si>
  <si>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</si>
  <si>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</si>
  <si>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</si>
  <si>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</si>
  <si>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</si>
  <si>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</si>
  <si>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</si>
  <si>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</si>
  <si>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</si>
  <si>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</si>
  <si>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</si>
  <si>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</si>
  <si>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</si>
  <si>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</si>
  <si>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</si>
  <si>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</si>
  <si>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</si>
  <si>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</si>
  <si>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</si>
  <si>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</si>
  <si>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</si>
  <si>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</si>
  <si>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</si>
  <si>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</si>
  <si>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</si>
  <si>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</si>
  <si>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</si>
  <si>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</si>
  <si>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</si>
  <si>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</si>
  <si>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</si>
  <si>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</si>
  <si>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</si>
  <si>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</si>
  <si>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</si>
  <si>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</si>
  <si>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</si>
  <si>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</si>
  <si>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</si>
  <si>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</si>
  <si>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</si>
  <si>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</si>
  <si>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</si>
  <si>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</si>
  <si>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</si>
  <si>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</si>
  <si>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</si>
  <si>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</si>
  <si>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</si>
  <si>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</si>
  <si>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</si>
  <si>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</si>
  <si>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</si>
  <si>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</si>
  <si>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</si>
  <si>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</si>
  <si>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</si>
  <si>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</si>
  <si>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</si>
  <si>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</si>
  <si>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</si>
  <si>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</si>
  <si>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</si>
  <si>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</si>
  <si>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</si>
  <si>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</si>
  <si>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</si>
  <si>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</si>
  <si>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</si>
  <si>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</si>
  <si>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</si>
  <si>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</si>
  <si>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</si>
  <si>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</si>
  <si>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</si>
  <si>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</si>
  <si>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</si>
  <si>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</si>
  <si>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</si>
  <si>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</si>
  <si>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</si>
  <si>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</si>
  <si>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</si>
  <si>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</si>
  <si>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</si>
  <si>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</si>
  <si>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</si>
  <si>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</si>
  <si>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</si>
  <si>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</si>
  <si>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</si>
  <si>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</si>
  <si>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</si>
  <si>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</si>
  <si>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</si>
  <si>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</si>
  <si>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</si>
  <si>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</si>
  <si>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</si>
  <si>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</si>
  <si>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</si>
  <si>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</si>
  <si>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</si>
  <si>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</si>
  <si>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</si>
  <si>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</si>
  <si>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</si>
  <si>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</si>
  <si>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</si>
  <si>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</si>
  <si>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</si>
  <si>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</si>
  <si>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</si>
  <si>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</si>
  <si>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</si>
  <si>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</si>
  <si>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</si>
  <si>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</si>
  <si>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</si>
  <si>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</si>
  <si>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</si>
  <si>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</si>
  <si>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</si>
  <si>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</si>
  <si>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</si>
  <si>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</si>
  <si>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</si>
  <si>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</si>
  <si>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</si>
  <si>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</si>
  <si>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</si>
  <si>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</si>
  <si>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</si>
  <si>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</si>
  <si>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</si>
  <si>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</si>
  <si>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</si>
  <si>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</si>
  <si>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</si>
  <si>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</si>
  <si>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</si>
  <si>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</si>
  <si>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</si>
  <si>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</si>
  <si>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</si>
  <si>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</si>
  <si>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</si>
  <si>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</si>
  <si>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</si>
  <si>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</si>
  <si>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</si>
  <si>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</si>
  <si>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</si>
  <si>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</si>
  <si>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</si>
  <si>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</si>
  <si>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</si>
  <si>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</si>
  <si>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</si>
  <si>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</si>
  <si>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</si>
  <si>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</si>
  <si>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</si>
  <si>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</si>
  <si>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</si>
  <si>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</si>
  <si>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</si>
  <si>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</si>
  <si>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</si>
  <si>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</si>
  <si>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</si>
  <si>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</si>
  <si>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</si>
  <si>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</si>
  <si>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</si>
  <si>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</si>
  <si>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</si>
  <si>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</si>
  <si>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</si>
  <si>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</si>
  <si>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</si>
  <si>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</si>
  <si>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</si>
  <si>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</si>
  <si>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</si>
  <si>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</si>
  <si>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</si>
  <si>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</si>
  <si>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</si>
  <si>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</si>
  <si>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</si>
  <si>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</si>
  <si>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</si>
  <si>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</si>
  <si>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</si>
  <si>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</si>
  <si>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</si>
  <si>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</si>
  <si>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</si>
  <si>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</si>
  <si>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</si>
  <si>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</si>
  <si>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</si>
  <si>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</si>
  <si>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</si>
  <si>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</si>
  <si>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</si>
  <si>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</si>
  <si>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</si>
  <si>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</si>
  <si>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</si>
  <si>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</si>
  <si>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</si>
  <si>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</si>
  <si>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</si>
  <si>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</si>
  <si>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</si>
  <si>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</si>
  <si>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</si>
  <si>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</si>
  <si>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</si>
  <si>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</si>
  <si>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</si>
  <si>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</si>
  <si>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</si>
  <si>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</si>
  <si>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14 европалет,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</si>
</sst>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1" t="s">
        <v>0</v>
      </c>
      <c r="E1" s="654"/>
      <c r="F1" s="654"/>
      <c r="G1" s="12" t="s">
        <v>1</v>
      </c>
      <c r="H1" s="911" t="s">
        <v>2</v>
      </c>
      <c r="I1" s="654"/>
      <c r="J1" s="654"/>
      <c r="K1" s="654"/>
      <c r="L1" s="654"/>
      <c r="M1" s="654"/>
      <c r="N1" s="654"/>
      <c r="O1" s="654"/>
      <c r="P1" s="654"/>
      <c r="Q1" s="654"/>
      <c r="R1" s="928" t="s">
        <v>3</v>
      </c>
      <c r="S1" s="654"/>
      <c r="T1" s="65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5" t="s">
        <v>8</v>
      </c>
      <c r="B5" s="651"/>
      <c r="C5" s="652"/>
      <c r="D5" s="758"/>
      <c r="E5" s="760"/>
      <c r="F5" s="694" t="s">
        <v>9</v>
      </c>
      <c r="G5" s="652"/>
      <c r="H5" s="758" t="s">
        <v>889</v>
      </c>
      <c r="I5" s="759"/>
      <c r="J5" s="759"/>
      <c r="K5" s="759"/>
      <c r="L5" s="759"/>
      <c r="M5" s="760"/>
      <c r="N5" s="58"/>
      <c r="P5" s="24" t="s">
        <v>10</v>
      </c>
      <c r="Q5" s="672">
        <v>46223</v>
      </c>
      <c r="R5" s="673"/>
      <c r="T5" s="826" t="s">
        <v>11</v>
      </c>
      <c r="U5" s="827"/>
      <c r="V5" s="828" t="s">
        <v>12</v>
      </c>
      <c r="W5" s="673"/>
      <c r="AB5" s="51"/>
      <c r="AC5" s="51"/>
      <c r="AD5" s="51"/>
      <c r="AE5" s="51"/>
    </row>
    <row r="6" spans="1:32" s="609" customFormat="1" ht="24" customHeight="1" x14ac:dyDescent="0.2">
      <c r="A6" s="865" t="s">
        <v>13</v>
      </c>
      <c r="B6" s="651"/>
      <c r="C6" s="652"/>
      <c r="D6" s="763" t="s">
        <v>868</v>
      </c>
      <c r="E6" s="764"/>
      <c r="F6" s="764"/>
      <c r="G6" s="764"/>
      <c r="H6" s="764"/>
      <c r="I6" s="764"/>
      <c r="J6" s="764"/>
      <c r="K6" s="764"/>
      <c r="L6" s="764"/>
      <c r="M6" s="673"/>
      <c r="N6" s="59"/>
      <c r="P6" s="24" t="s">
        <v>14</v>
      </c>
      <c r="Q6" s="66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836" t="s">
        <v>15</v>
      </c>
      <c r="U6" s="827"/>
      <c r="V6" s="767" t="s">
        <v>16</v>
      </c>
      <c r="W6" s="768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32" t="str">
        <f>IFERROR(VLOOKUP(DeliveryAddress,Table,3,0),1)</f>
        <v>7</v>
      </c>
      <c r="E7" s="933"/>
      <c r="F7" s="933"/>
      <c r="G7" s="933"/>
      <c r="H7" s="933"/>
      <c r="I7" s="933"/>
      <c r="J7" s="933"/>
      <c r="K7" s="933"/>
      <c r="L7" s="933"/>
      <c r="M7" s="833"/>
      <c r="N7" s="60"/>
      <c r="P7" s="24"/>
      <c r="Q7" s="42"/>
      <c r="R7" s="42"/>
      <c r="T7" s="629"/>
      <c r="U7" s="827"/>
      <c r="V7" s="769"/>
      <c r="W7" s="770"/>
      <c r="AB7" s="51"/>
      <c r="AC7" s="51"/>
      <c r="AD7" s="51"/>
      <c r="AE7" s="51"/>
    </row>
    <row r="8" spans="1:32" s="609" customFormat="1" ht="25.5" customHeight="1" x14ac:dyDescent="0.2">
      <c r="A8" s="643" t="s">
        <v>17</v>
      </c>
      <c r="B8" s="641"/>
      <c r="C8" s="642"/>
      <c r="D8" s="940"/>
      <c r="E8" s="941"/>
      <c r="F8" s="941"/>
      <c r="G8" s="941"/>
      <c r="H8" s="941"/>
      <c r="I8" s="941"/>
      <c r="J8" s="941"/>
      <c r="K8" s="941"/>
      <c r="L8" s="941"/>
      <c r="M8" s="942"/>
      <c r="N8" s="61"/>
      <c r="P8" s="24" t="s">
        <v>18</v>
      </c>
      <c r="Q8" s="832">
        <v>0.45833333333333331</v>
      </c>
      <c r="R8" s="833"/>
      <c r="T8" s="629"/>
      <c r="U8" s="827"/>
      <c r="V8" s="769"/>
      <c r="W8" s="770"/>
      <c r="AB8" s="51"/>
      <c r="AC8" s="51"/>
      <c r="AD8" s="51"/>
      <c r="AE8" s="51"/>
    </row>
    <row r="9" spans="1:32" s="609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13"/>
      <c r="E9" s="714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6" t="str">
        <f>IF(AND($A$9="Тип доверенности/получателя при получении в адресе перегруза:",$D$9="Разовая доверенность"),"Введите ФИО","")</f>
        <v/>
      </c>
      <c r="I9" s="714"/>
      <c r="J9" s="8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4"/>
      <c r="L9" s="714"/>
      <c r="M9" s="714"/>
      <c r="N9" s="607"/>
      <c r="P9" s="26" t="s">
        <v>19</v>
      </c>
      <c r="Q9" s="915"/>
      <c r="R9" s="698"/>
      <c r="T9" s="629"/>
      <c r="U9" s="827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13"/>
      <c r="E10" s="714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80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7"/>
      <c r="R10" s="838"/>
      <c r="U10" s="24" t="s">
        <v>21</v>
      </c>
      <c r="V10" s="961" t="s">
        <v>22</v>
      </c>
      <c r="W10" s="768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8"/>
      <c r="R11" s="673"/>
      <c r="U11" s="24" t="s">
        <v>25</v>
      </c>
      <c r="V11" s="697" t="s">
        <v>26</v>
      </c>
      <c r="W11" s="698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76" t="s">
        <v>27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2"/>
      <c r="N12" s="62"/>
      <c r="P12" s="24" t="s">
        <v>28</v>
      </c>
      <c r="Q12" s="832"/>
      <c r="R12" s="833"/>
      <c r="S12" s="23"/>
      <c r="U12" s="24"/>
      <c r="V12" s="654"/>
      <c r="W12" s="629"/>
      <c r="AB12" s="51"/>
      <c r="AC12" s="51"/>
      <c r="AD12" s="51"/>
      <c r="AE12" s="51"/>
    </row>
    <row r="13" spans="1:32" s="609" customFormat="1" ht="23.25" customHeight="1" x14ac:dyDescent="0.2">
      <c r="A13" s="776" t="s">
        <v>29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2"/>
      <c r="N13" s="62"/>
      <c r="O13" s="26"/>
      <c r="P13" s="26" t="s">
        <v>30</v>
      </c>
      <c r="Q13" s="697"/>
      <c r="R13" s="6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76" t="s">
        <v>31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3" t="s">
        <v>32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2"/>
      <c r="N15" s="63"/>
      <c r="P15" s="846" t="s">
        <v>33</v>
      </c>
      <c r="Q15" s="654"/>
      <c r="R15" s="654"/>
      <c r="S15" s="654"/>
      <c r="T15" s="65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7"/>
      <c r="Q16" s="847"/>
      <c r="R16" s="847"/>
      <c r="S16" s="847"/>
      <c r="T16" s="84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34</v>
      </c>
      <c r="B17" s="621" t="s">
        <v>35</v>
      </c>
      <c r="C17" s="870" t="s">
        <v>36</v>
      </c>
      <c r="D17" s="621" t="s">
        <v>37</v>
      </c>
      <c r="E17" s="622"/>
      <c r="F17" s="621" t="s">
        <v>38</v>
      </c>
      <c r="G17" s="621" t="s">
        <v>39</v>
      </c>
      <c r="H17" s="621" t="s">
        <v>40</v>
      </c>
      <c r="I17" s="621" t="s">
        <v>41</v>
      </c>
      <c r="J17" s="621" t="s">
        <v>42</v>
      </c>
      <c r="K17" s="621" t="s">
        <v>43</v>
      </c>
      <c r="L17" s="621" t="s">
        <v>44</v>
      </c>
      <c r="M17" s="621" t="s">
        <v>45</v>
      </c>
      <c r="N17" s="621" t="s">
        <v>46</v>
      </c>
      <c r="O17" s="621" t="s">
        <v>47</v>
      </c>
      <c r="P17" s="621" t="s">
        <v>48</v>
      </c>
      <c r="Q17" s="898"/>
      <c r="R17" s="898"/>
      <c r="S17" s="898"/>
      <c r="T17" s="622"/>
      <c r="U17" s="682" t="s">
        <v>49</v>
      </c>
      <c r="V17" s="652"/>
      <c r="W17" s="621" t="s">
        <v>50</v>
      </c>
      <c r="X17" s="621" t="s">
        <v>51</v>
      </c>
      <c r="Y17" s="660" t="s">
        <v>52</v>
      </c>
      <c r="Z17" s="637" t="s">
        <v>53</v>
      </c>
      <c r="AA17" s="688" t="s">
        <v>54</v>
      </c>
      <c r="AB17" s="688" t="s">
        <v>55</v>
      </c>
      <c r="AC17" s="688" t="s">
        <v>56</v>
      </c>
      <c r="AD17" s="688" t="s">
        <v>57</v>
      </c>
      <c r="AE17" s="689"/>
      <c r="AF17" s="690"/>
      <c r="AG17" s="66"/>
      <c r="BD17" s="65" t="s">
        <v>58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59</v>
      </c>
      <c r="V18" s="67" t="s">
        <v>60</v>
      </c>
      <c r="W18" s="634"/>
      <c r="X18" s="634"/>
      <c r="Y18" s="661"/>
      <c r="Z18" s="638"/>
      <c r="AA18" s="757"/>
      <c r="AB18" s="757"/>
      <c r="AC18" s="757"/>
      <c r="AD18" s="691"/>
      <c r="AE18" s="692"/>
      <c r="AF18" s="693"/>
      <c r="AG18" s="66"/>
      <c r="BD18" s="65"/>
    </row>
    <row r="19" spans="1:68" ht="27.75" hidden="1" customHeight="1" x14ac:dyDescent="0.2">
      <c r="A19" s="723" t="s">
        <v>61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48"/>
      <c r="AB19" s="48"/>
      <c r="AC19" s="48"/>
    </row>
    <row r="20" spans="1:68" ht="16.5" hidden="1" customHeight="1" x14ac:dyDescent="0.25">
      <c r="A20" s="635" t="s">
        <v>61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hidden="1" customHeight="1" x14ac:dyDescent="0.25">
      <c r="A21" s="628" t="s">
        <v>62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6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40" t="s">
        <v>72</v>
      </c>
      <c r="Q24" s="641"/>
      <c r="R24" s="641"/>
      <c r="S24" s="641"/>
      <c r="T24" s="641"/>
      <c r="U24" s="641"/>
      <c r="V24" s="64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40" t="s">
        <v>72</v>
      </c>
      <c r="Q25" s="641"/>
      <c r="R25" s="641"/>
      <c r="S25" s="641"/>
      <c r="T25" s="641"/>
      <c r="U25" s="641"/>
      <c r="V25" s="64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7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1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4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40" t="s">
        <v>72</v>
      </c>
      <c r="Q32" s="641"/>
      <c r="R32" s="641"/>
      <c r="S32" s="641"/>
      <c r="T32" s="641"/>
      <c r="U32" s="641"/>
      <c r="V32" s="64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40" t="s">
        <v>72</v>
      </c>
      <c r="Q33" s="641"/>
      <c r="R33" s="641"/>
      <c r="S33" s="641"/>
      <c r="T33" s="641"/>
      <c r="U33" s="641"/>
      <c r="V33" s="64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77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40" t="s">
        <v>72</v>
      </c>
      <c r="Q36" s="641"/>
      <c r="R36" s="641"/>
      <c r="S36" s="641"/>
      <c r="T36" s="641"/>
      <c r="U36" s="641"/>
      <c r="V36" s="64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40" t="s">
        <v>72</v>
      </c>
      <c r="Q37" s="641"/>
      <c r="R37" s="641"/>
      <c r="S37" s="641"/>
      <c r="T37" s="641"/>
      <c r="U37" s="641"/>
      <c r="V37" s="64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23" t="s">
        <v>98</v>
      </c>
      <c r="B38" s="724"/>
      <c r="C38" s="724"/>
      <c r="D38" s="724"/>
      <c r="E38" s="724"/>
      <c r="F38" s="724"/>
      <c r="G38" s="724"/>
      <c r="H38" s="724"/>
      <c r="I38" s="724"/>
      <c r="J38" s="724"/>
      <c r="K38" s="724"/>
      <c r="L38" s="724"/>
      <c r="M38" s="724"/>
      <c r="N38" s="724"/>
      <c r="O38" s="724"/>
      <c r="P38" s="724"/>
      <c r="Q38" s="724"/>
      <c r="R38" s="724"/>
      <c r="S38" s="724"/>
      <c r="T38" s="724"/>
      <c r="U38" s="724"/>
      <c r="V38" s="724"/>
      <c r="W38" s="724"/>
      <c r="X38" s="724"/>
      <c r="Y38" s="724"/>
      <c r="Z38" s="724"/>
      <c r="AA38" s="48"/>
      <c r="AB38" s="48"/>
      <c r="AC38" s="48"/>
    </row>
    <row r="39" spans="1:68" ht="16.5" hidden="1" customHeight="1" x14ac:dyDescent="0.25">
      <c r="A39" s="635" t="s">
        <v>99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hidden="1" customHeight="1" x14ac:dyDescent="0.25">
      <c r="A40" s="628" t="s">
        <v>74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4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9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8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40" t="s">
        <v>72</v>
      </c>
      <c r="Q46" s="641"/>
      <c r="R46" s="641"/>
      <c r="S46" s="641"/>
      <c r="T46" s="641"/>
      <c r="U46" s="641"/>
      <c r="V46" s="64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40" t="s">
        <v>72</v>
      </c>
      <c r="Q47" s="641"/>
      <c r="R47" s="641"/>
      <c r="S47" s="641"/>
      <c r="T47" s="641"/>
      <c r="U47" s="641"/>
      <c r="V47" s="64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23" t="s">
        <v>115</v>
      </c>
      <c r="B48" s="724"/>
      <c r="C48" s="724"/>
      <c r="D48" s="724"/>
      <c r="E48" s="724"/>
      <c r="F48" s="724"/>
      <c r="G48" s="724"/>
      <c r="H48" s="724"/>
      <c r="I48" s="724"/>
      <c r="J48" s="724"/>
      <c r="K48" s="724"/>
      <c r="L48" s="724"/>
      <c r="M48" s="724"/>
      <c r="N48" s="724"/>
      <c r="O48" s="724"/>
      <c r="P48" s="724"/>
      <c r="Q48" s="724"/>
      <c r="R48" s="724"/>
      <c r="S48" s="724"/>
      <c r="T48" s="724"/>
      <c r="U48" s="724"/>
      <c r="V48" s="724"/>
      <c r="W48" s="724"/>
      <c r="X48" s="724"/>
      <c r="Y48" s="724"/>
      <c r="Z48" s="724"/>
      <c r="AA48" s="48"/>
      <c r="AB48" s="48"/>
      <c r="AC48" s="48"/>
    </row>
    <row r="49" spans="1:68" ht="16.5" hidden="1" customHeight="1" x14ac:dyDescent="0.25">
      <c r="A49" s="635" t="s">
        <v>116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hidden="1" customHeight="1" x14ac:dyDescent="0.25">
      <c r="A50" s="628" t="s">
        <v>117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67</v>
      </c>
      <c r="X51" s="615">
        <v>90</v>
      </c>
      <c r="Y51" s="616">
        <f>IFERROR(IF(X51="",0,CEILING((X51/$H51),1)*$H51),"")</f>
        <v>97.2</v>
      </c>
      <c r="Z51" s="36">
        <f>IFERROR(IF(Y51=0,"",ROUNDUP(Y51/H51,0)*0.01898),"")</f>
        <v>0.17082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93.416666666666671</v>
      </c>
      <c r="BN51" s="64">
        <f>IFERROR(Y51*I51/H51,"0")</f>
        <v>100.89</v>
      </c>
      <c r="BO51" s="64">
        <f>IFERROR(1/J51*(X51/H51),"0")</f>
        <v>0.13020833333333331</v>
      </c>
      <c r="BP51" s="64">
        <f>IFERROR(1/J51*(Y51/H51),"0")</f>
        <v>0.140625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7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40" t="s">
        <v>72</v>
      </c>
      <c r="Q55" s="641"/>
      <c r="R55" s="641"/>
      <c r="S55" s="641"/>
      <c r="T55" s="641"/>
      <c r="U55" s="641"/>
      <c r="V55" s="642"/>
      <c r="W55" s="37" t="s">
        <v>73</v>
      </c>
      <c r="X55" s="617">
        <f>IFERROR(X51/H51,"0")+IFERROR(X52/H52,"0")+IFERROR(X53/H53,"0")+IFERROR(X54/H54,"0")</f>
        <v>8.3333333333333321</v>
      </c>
      <c r="Y55" s="617">
        <f>IFERROR(Y51/H51,"0")+IFERROR(Y52/H52,"0")+IFERROR(Y53/H53,"0")+IFERROR(Y54/H54,"0")</f>
        <v>9</v>
      </c>
      <c r="Z55" s="617">
        <f>IFERROR(IF(Z51="",0,Z51),"0")+IFERROR(IF(Z52="",0,Z52),"0")+IFERROR(IF(Z53="",0,Z53),"0")+IFERROR(IF(Z54="",0,Z54),"0")</f>
        <v>0.17082</v>
      </c>
      <c r="AA55" s="618"/>
      <c r="AB55" s="618"/>
      <c r="AC55" s="618"/>
    </row>
    <row r="56" spans="1:68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40" t="s">
        <v>72</v>
      </c>
      <c r="Q56" s="641"/>
      <c r="R56" s="641"/>
      <c r="S56" s="641"/>
      <c r="T56" s="641"/>
      <c r="U56" s="641"/>
      <c r="V56" s="642"/>
      <c r="W56" s="37" t="s">
        <v>67</v>
      </c>
      <c r="X56" s="617">
        <f>IFERROR(SUM(X51:X54),"0")</f>
        <v>90</v>
      </c>
      <c r="Y56" s="617">
        <f>IFERROR(SUM(Y51:Y54),"0")</f>
        <v>97.2</v>
      </c>
      <c r="Z56" s="37"/>
      <c r="AA56" s="618"/>
      <c r="AB56" s="618"/>
      <c r="AC56" s="618"/>
    </row>
    <row r="57" spans="1:68" ht="16.5" hidden="1" customHeight="1" x14ac:dyDescent="0.25">
      <c r="A57" s="635" t="s">
        <v>132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hidden="1" customHeight="1" x14ac:dyDescent="0.25">
      <c r="A58" s="628" t="s">
        <v>117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7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6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8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67</v>
      </c>
      <c r="X66" s="615">
        <v>33</v>
      </c>
      <c r="Y66" s="616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34.393333333333338</v>
      </c>
      <c r="BN66" s="64">
        <f t="shared" si="2"/>
        <v>37.520000000000003</v>
      </c>
      <c r="BO66" s="64">
        <f t="shared" si="3"/>
        <v>5.5555555555555552E-2</v>
      </c>
      <c r="BP66" s="64">
        <f t="shared" si="4"/>
        <v>6.0606060606060608E-2</v>
      </c>
    </row>
    <row r="67" spans="1:68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40" t="s">
        <v>72</v>
      </c>
      <c r="Q67" s="641"/>
      <c r="R67" s="641"/>
      <c r="S67" s="641"/>
      <c r="T67" s="641"/>
      <c r="U67" s="641"/>
      <c r="V67" s="64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7.333333333333333</v>
      </c>
      <c r="Y67" s="617">
        <f>IFERROR(Y59/H59,"0")+IFERROR(Y60/H60,"0")+IFERROR(Y61/H61,"0")+IFERROR(Y62/H62,"0")+IFERROR(Y63/H63,"0")+IFERROR(Y64/H64,"0")+IFERROR(Y65/H65,"0")+IFERROR(Y66/H66,"0")</f>
        <v>8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7.2160000000000002E-2</v>
      </c>
      <c r="AA67" s="618"/>
      <c r="AB67" s="618"/>
      <c r="AC67" s="618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40" t="s">
        <v>72</v>
      </c>
      <c r="Q68" s="641"/>
      <c r="R68" s="641"/>
      <c r="S68" s="641"/>
      <c r="T68" s="641"/>
      <c r="U68" s="641"/>
      <c r="V68" s="642"/>
      <c r="W68" s="37" t="s">
        <v>67</v>
      </c>
      <c r="X68" s="617">
        <f>IFERROR(SUM(X59:X66),"0")</f>
        <v>33</v>
      </c>
      <c r="Y68" s="617">
        <f>IFERROR(SUM(Y59:Y66),"0")</f>
        <v>36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68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68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9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40" t="s">
        <v>72</v>
      </c>
      <c r="Q74" s="641"/>
      <c r="R74" s="641"/>
      <c r="S74" s="641"/>
      <c r="T74" s="641"/>
      <c r="U74" s="641"/>
      <c r="V74" s="642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40" t="s">
        <v>72</v>
      </c>
      <c r="Q75" s="641"/>
      <c r="R75" s="641"/>
      <c r="S75" s="641"/>
      <c r="T75" s="641"/>
      <c r="U75" s="641"/>
      <c r="V75" s="642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40" t="s">
        <v>72</v>
      </c>
      <c r="Q79" s="641"/>
      <c r="R79" s="641"/>
      <c r="S79" s="641"/>
      <c r="T79" s="641"/>
      <c r="U79" s="641"/>
      <c r="V79" s="64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40" t="s">
        <v>72</v>
      </c>
      <c r="Q80" s="641"/>
      <c r="R80" s="641"/>
      <c r="S80" s="641"/>
      <c r="T80" s="641"/>
      <c r="U80" s="641"/>
      <c r="V80" s="64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6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6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40" t="s">
        <v>72</v>
      </c>
      <c r="Q84" s="641"/>
      <c r="R84" s="641"/>
      <c r="S84" s="641"/>
      <c r="T84" s="641"/>
      <c r="U84" s="641"/>
      <c r="V84" s="642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40" t="s">
        <v>72</v>
      </c>
      <c r="Q85" s="641"/>
      <c r="R85" s="641"/>
      <c r="S85" s="641"/>
      <c r="T85" s="641"/>
      <c r="U85" s="641"/>
      <c r="V85" s="642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35" t="s">
        <v>177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hidden="1" customHeight="1" x14ac:dyDescent="0.25">
      <c r="A87" s="628" t="s">
        <v>117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2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67</v>
      </c>
      <c r="X88" s="615">
        <v>90</v>
      </c>
      <c r="Y88" s="616">
        <f>IFERROR(IF(X88="",0,CEILING((X88/$H88),1)*$H88),"")</f>
        <v>97.2</v>
      </c>
      <c r="Z88" s="36">
        <f>IFERROR(IF(Y88=0,"",ROUNDUP(Y88/H88,0)*0.01898),"")</f>
        <v>0.17082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93.416666666666671</v>
      </c>
      <c r="BN88" s="64">
        <f>IFERROR(Y88*I88/H88,"0")</f>
        <v>100.89</v>
      </c>
      <c r="BO88" s="64">
        <f>IFERROR(1/J88*(X88/H88),"0")</f>
        <v>0.13020833333333331</v>
      </c>
      <c r="BP88" s="64">
        <f>IFERROR(1/J88*(Y88/H88),"0")</f>
        <v>0.140625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7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79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40" t="s">
        <v>72</v>
      </c>
      <c r="Q92" s="641"/>
      <c r="R92" s="641"/>
      <c r="S92" s="641"/>
      <c r="T92" s="641"/>
      <c r="U92" s="641"/>
      <c r="V92" s="642"/>
      <c r="W92" s="37" t="s">
        <v>73</v>
      </c>
      <c r="X92" s="617">
        <f>IFERROR(X88/H88,"0")+IFERROR(X89/H89,"0")+IFERROR(X90/H90,"0")+IFERROR(X91/H91,"0")</f>
        <v>8.3333333333333321</v>
      </c>
      <c r="Y92" s="617">
        <f>IFERROR(Y88/H88,"0")+IFERROR(Y89/H89,"0")+IFERROR(Y90/H90,"0")+IFERROR(Y91/H91,"0")</f>
        <v>9</v>
      </c>
      <c r="Z92" s="617">
        <f>IFERROR(IF(Z88="",0,Z88),"0")+IFERROR(IF(Z89="",0,Z89),"0")+IFERROR(IF(Z90="",0,Z90),"0")+IFERROR(IF(Z91="",0,Z91),"0")</f>
        <v>0.17082</v>
      </c>
      <c r="AA92" s="618"/>
      <c r="AB92" s="618"/>
      <c r="AC92" s="618"/>
    </row>
    <row r="93" spans="1:68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40" t="s">
        <v>72</v>
      </c>
      <c r="Q93" s="641"/>
      <c r="R93" s="641"/>
      <c r="S93" s="641"/>
      <c r="T93" s="641"/>
      <c r="U93" s="641"/>
      <c r="V93" s="642"/>
      <c r="W93" s="37" t="s">
        <v>67</v>
      </c>
      <c r="X93" s="617">
        <f>IFERROR(SUM(X88:X91),"0")</f>
        <v>90</v>
      </c>
      <c r="Y93" s="617">
        <f>IFERROR(SUM(Y88:Y91),"0")</f>
        <v>97.2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67</v>
      </c>
      <c r="X95" s="615">
        <v>277</v>
      </c>
      <c r="Y95" s="616">
        <f>IFERROR(IF(X95="",0,CEILING((X95/$H95),1)*$H95),"")</f>
        <v>283.5</v>
      </c>
      <c r="Z95" s="36">
        <f>IFERROR(IF(Y95=0,"",ROUNDUP(Y95/H95,0)*0.01898),"")</f>
        <v>0.6643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293.89358024691359</v>
      </c>
      <c r="BN95" s="64">
        <f>IFERROR(Y95*I95/H95,"0")</f>
        <v>300.79000000000002</v>
      </c>
      <c r="BO95" s="64">
        <f>IFERROR(1/J95*(X95/H95),"0")</f>
        <v>0.53433641975308643</v>
      </c>
      <c r="BP95" s="64">
        <f>IFERROR(1/J95*(Y95/H95),"0")</f>
        <v>0.546875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91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67</v>
      </c>
      <c r="X97" s="615">
        <v>28</v>
      </c>
      <c r="Y97" s="616">
        <f>IFERROR(IF(X97="",0,CEILING((X97/$H97),1)*$H97),"")</f>
        <v>29.700000000000003</v>
      </c>
      <c r="Z97" s="36">
        <f>IFERROR(IF(Y97=0,"",ROUNDUP(Y97/H97,0)*0.00651),"")</f>
        <v>7.1610000000000007E-2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30.613333333333333</v>
      </c>
      <c r="BN97" s="64">
        <f>IFERROR(Y97*I97/H97,"0")</f>
        <v>32.472000000000001</v>
      </c>
      <c r="BO97" s="64">
        <f>IFERROR(1/J97*(X97/H97),"0")</f>
        <v>5.6980056980056981E-2</v>
      </c>
      <c r="BP97" s="64">
        <f>IFERROR(1/J97*(Y97/H97),"0")</f>
        <v>6.0439560439560447E-2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7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40" t="s">
        <v>72</v>
      </c>
      <c r="Q99" s="641"/>
      <c r="R99" s="641"/>
      <c r="S99" s="641"/>
      <c r="T99" s="641"/>
      <c r="U99" s="641"/>
      <c r="V99" s="642"/>
      <c r="W99" s="37" t="s">
        <v>73</v>
      </c>
      <c r="X99" s="617">
        <f>IFERROR(X95/H95,"0")+IFERROR(X96/H96,"0")+IFERROR(X97/H97,"0")+IFERROR(X98/H98,"0")</f>
        <v>44.567901234567898</v>
      </c>
      <c r="Y99" s="617">
        <f>IFERROR(Y95/H95,"0")+IFERROR(Y96/H96,"0")+IFERROR(Y97/H97,"0")+IFERROR(Y98/H98,"0")</f>
        <v>46</v>
      </c>
      <c r="Z99" s="617">
        <f>IFERROR(IF(Z95="",0,Z95),"0")+IFERROR(IF(Z96="",0,Z96),"0")+IFERROR(IF(Z97="",0,Z97),"0")+IFERROR(IF(Z98="",0,Z98),"0")</f>
        <v>0.73591000000000006</v>
      </c>
      <c r="AA99" s="618"/>
      <c r="AB99" s="618"/>
      <c r="AC99" s="618"/>
    </row>
    <row r="100" spans="1:68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40" t="s">
        <v>72</v>
      </c>
      <c r="Q100" s="641"/>
      <c r="R100" s="641"/>
      <c r="S100" s="641"/>
      <c r="T100" s="641"/>
      <c r="U100" s="641"/>
      <c r="V100" s="642"/>
      <c r="W100" s="37" t="s">
        <v>67</v>
      </c>
      <c r="X100" s="617">
        <f>IFERROR(SUM(X95:X98),"0")</f>
        <v>305</v>
      </c>
      <c r="Y100" s="617">
        <f>IFERROR(SUM(Y95:Y98),"0")</f>
        <v>313.2</v>
      </c>
      <c r="Z100" s="37"/>
      <c r="AA100" s="618"/>
      <c r="AB100" s="618"/>
      <c r="AC100" s="618"/>
    </row>
    <row r="101" spans="1:68" ht="16.5" hidden="1" customHeight="1" x14ac:dyDescent="0.25">
      <c r="A101" s="635" t="s">
        <v>198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9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67</v>
      </c>
      <c r="X103" s="615">
        <v>43</v>
      </c>
      <c r="Y103" s="616">
        <f t="shared" ref="Y103:Y108" si="5">IFERROR(IF(X103="",0,CEILING((X103/$H103),1)*$H103),"")</f>
        <v>43.2</v>
      </c>
      <c r="Z103" s="36">
        <f>IFERROR(IF(Y103=0,"",ROUNDUP(Y103/H103,0)*0.01898),"")</f>
        <v>7.5920000000000001E-2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44.632407407407406</v>
      </c>
      <c r="BN103" s="64">
        <f t="shared" ref="BN103:BN108" si="7">IFERROR(Y103*I103/H103,"0")</f>
        <v>44.84</v>
      </c>
      <c r="BO103" s="64">
        <f t="shared" ref="BO103:BO108" si="8">IFERROR(1/J103*(X103/H103),"0")</f>
        <v>6.2210648148148147E-2</v>
      </c>
      <c r="BP103" s="64">
        <f t="shared" ref="BP103:BP108" si="9">IFERROR(1/J103*(Y103/H103),"0")</f>
        <v>6.25E-2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4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40" t="s">
        <v>72</v>
      </c>
      <c r="Q109" s="641"/>
      <c r="R109" s="641"/>
      <c r="S109" s="641"/>
      <c r="T109" s="641"/>
      <c r="U109" s="641"/>
      <c r="V109" s="642"/>
      <c r="W109" s="37" t="s">
        <v>73</v>
      </c>
      <c r="X109" s="617">
        <f>IFERROR(X103/H103,"0")+IFERROR(X104/H104,"0")+IFERROR(X105/H105,"0")+IFERROR(X106/H106,"0")+IFERROR(X107/H107,"0")+IFERROR(X108/H108,"0")</f>
        <v>3.9814814814814814</v>
      </c>
      <c r="Y109" s="617">
        <f>IFERROR(Y103/H103,"0")+IFERROR(Y104/H104,"0")+IFERROR(Y105/H105,"0")+IFERROR(Y106/H106,"0")+IFERROR(Y107/H107,"0")+IFERROR(Y108/H108,"0")</f>
        <v>4</v>
      </c>
      <c r="Z109" s="617">
        <f>IFERROR(IF(Z103="",0,Z103),"0")+IFERROR(IF(Z104="",0,Z104),"0")+IFERROR(IF(Z105="",0,Z105),"0")+IFERROR(IF(Z106="",0,Z106),"0")+IFERROR(IF(Z107="",0,Z107),"0")+IFERROR(IF(Z108="",0,Z108),"0")</f>
        <v>7.5920000000000001E-2</v>
      </c>
      <c r="AA109" s="618"/>
      <c r="AB109" s="618"/>
      <c r="AC109" s="618"/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40" t="s">
        <v>72</v>
      </c>
      <c r="Q110" s="641"/>
      <c r="R110" s="641"/>
      <c r="S110" s="641"/>
      <c r="T110" s="641"/>
      <c r="U110" s="641"/>
      <c r="V110" s="642"/>
      <c r="W110" s="37" t="s">
        <v>67</v>
      </c>
      <c r="X110" s="617">
        <f>IFERROR(SUM(X103:X108),"0")</f>
        <v>43</v>
      </c>
      <c r="Y110" s="617">
        <f>IFERROR(SUM(Y103:Y108),"0")</f>
        <v>43.2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4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67</v>
      </c>
      <c r="X112" s="615">
        <v>18</v>
      </c>
      <c r="Y112" s="616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18.683333333333334</v>
      </c>
      <c r="BN112" s="64">
        <f>IFERROR(Y112*I112/H112,"0")</f>
        <v>22.42</v>
      </c>
      <c r="BO112" s="64">
        <f>IFERROR(1/J112*(X112/H112),"0")</f>
        <v>2.6041666666666664E-2</v>
      </c>
      <c r="BP112" s="64">
        <f>IFERROR(1/J112*(Y112/H112),"0")</f>
        <v>3.125E-2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7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40" t="s">
        <v>72</v>
      </c>
      <c r="Q117" s="641"/>
      <c r="R117" s="641"/>
      <c r="S117" s="641"/>
      <c r="T117" s="641"/>
      <c r="U117" s="641"/>
      <c r="V117" s="642"/>
      <c r="W117" s="37" t="s">
        <v>73</v>
      </c>
      <c r="X117" s="617">
        <f>IFERROR(X112/H112,"0")+IFERROR(X113/H113,"0")+IFERROR(X114/H114,"0")+IFERROR(X115/H115,"0")+IFERROR(X116/H116,"0")</f>
        <v>1.6666666666666665</v>
      </c>
      <c r="Y117" s="617">
        <f>IFERROR(Y112/H112,"0")+IFERROR(Y113/H113,"0")+IFERROR(Y114/H114,"0")+IFERROR(Y115/H115,"0")+IFERROR(Y116/H116,"0")</f>
        <v>2</v>
      </c>
      <c r="Z117" s="617">
        <f>IFERROR(IF(Z112="",0,Z112),"0")+IFERROR(IF(Z113="",0,Z113),"0")+IFERROR(IF(Z114="",0,Z114),"0")+IFERROR(IF(Z115="",0,Z115),"0")+IFERROR(IF(Z116="",0,Z116),"0")</f>
        <v>3.7960000000000001E-2</v>
      </c>
      <c r="AA117" s="618"/>
      <c r="AB117" s="618"/>
      <c r="AC117" s="618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40" t="s">
        <v>72</v>
      </c>
      <c r="Q118" s="641"/>
      <c r="R118" s="641"/>
      <c r="S118" s="641"/>
      <c r="T118" s="641"/>
      <c r="U118" s="641"/>
      <c r="V118" s="642"/>
      <c r="W118" s="37" t="s">
        <v>67</v>
      </c>
      <c r="X118" s="617">
        <f>IFERROR(SUM(X112:X116),"0")</f>
        <v>18</v>
      </c>
      <c r="Y118" s="617">
        <f>IFERROR(SUM(Y112:Y116),"0")</f>
        <v>21.6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67</v>
      </c>
      <c r="X120" s="615">
        <v>186</v>
      </c>
      <c r="Y120" s="616">
        <f>IFERROR(IF(X120="",0,CEILING((X120/$H120),1)*$H120),"")</f>
        <v>186.29999999999998</v>
      </c>
      <c r="Z120" s="36">
        <f>IFERROR(IF(Y120=0,"",ROUNDUP(Y120/H120,0)*0.01898),"")</f>
        <v>0.43653999999999998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197.20592592592592</v>
      </c>
      <c r="BN120" s="64">
        <f>IFERROR(Y120*I120/H120,"0")</f>
        <v>197.52399999999997</v>
      </c>
      <c r="BO120" s="64">
        <f>IFERROR(1/J120*(X120/H120),"0")</f>
        <v>0.35879629629629634</v>
      </c>
      <c r="BP120" s="64">
        <f>IFERROR(1/J120*(Y120/H120),"0")</f>
        <v>0.359375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7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9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67</v>
      </c>
      <c r="X122" s="615">
        <v>101</v>
      </c>
      <c r="Y122" s="616">
        <f>IFERROR(IF(X122="",0,CEILING((X122/$H122),1)*$H122),"")</f>
        <v>102.60000000000001</v>
      </c>
      <c r="Z122" s="36">
        <f>IFERROR(IF(Y122=0,"",ROUNDUP(Y122/H122,0)*0.00651),"")</f>
        <v>0.24738000000000002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110.42666666666665</v>
      </c>
      <c r="BN122" s="64">
        <f>IFERROR(Y122*I122/H122,"0")</f>
        <v>112.176</v>
      </c>
      <c r="BO122" s="64">
        <f>IFERROR(1/J122*(X122/H122),"0")</f>
        <v>0.20553520553520555</v>
      </c>
      <c r="BP122" s="64">
        <f>IFERROR(1/J122*(Y122/H122),"0")</f>
        <v>0.2087912087912088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64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40" t="s">
        <v>72</v>
      </c>
      <c r="Q124" s="641"/>
      <c r="R124" s="641"/>
      <c r="S124" s="641"/>
      <c r="T124" s="641"/>
      <c r="U124" s="641"/>
      <c r="V124" s="642"/>
      <c r="W124" s="37" t="s">
        <v>73</v>
      </c>
      <c r="X124" s="617">
        <f>IFERROR(X120/H120,"0")+IFERROR(X121/H121,"0")+IFERROR(X122/H122,"0")+IFERROR(X123/H123,"0")</f>
        <v>60.370370370370367</v>
      </c>
      <c r="Y124" s="617">
        <f>IFERROR(Y120/H120,"0")+IFERROR(Y121/H121,"0")+IFERROR(Y122/H122,"0")+IFERROR(Y123/H123,"0")</f>
        <v>61</v>
      </c>
      <c r="Z124" s="617">
        <f>IFERROR(IF(Z120="",0,Z120),"0")+IFERROR(IF(Z121="",0,Z121),"0")+IFERROR(IF(Z122="",0,Z122),"0")+IFERROR(IF(Z123="",0,Z123),"0")</f>
        <v>0.68391999999999997</v>
      </c>
      <c r="AA124" s="618"/>
      <c r="AB124" s="618"/>
      <c r="AC124" s="618"/>
    </row>
    <row r="125" spans="1:68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40" t="s">
        <v>72</v>
      </c>
      <c r="Q125" s="641"/>
      <c r="R125" s="641"/>
      <c r="S125" s="641"/>
      <c r="T125" s="641"/>
      <c r="U125" s="641"/>
      <c r="V125" s="642"/>
      <c r="W125" s="37" t="s">
        <v>67</v>
      </c>
      <c r="X125" s="617">
        <f>IFERROR(SUM(X120:X123),"0")</f>
        <v>287</v>
      </c>
      <c r="Y125" s="617">
        <f>IFERROR(SUM(Y120:Y123),"0")</f>
        <v>288.89999999999998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70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67</v>
      </c>
      <c r="X127" s="615">
        <v>3</v>
      </c>
      <c r="Y127" s="616">
        <f>IFERROR(IF(X127="",0,CEILING((X127/$H127),1)*$H127),"")</f>
        <v>3.96</v>
      </c>
      <c r="Z127" s="36">
        <f>IFERROR(IF(Y127=0,"",ROUNDUP(Y127/H127,0)*0.00651),"")</f>
        <v>1.302E-2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3.3909090909090911</v>
      </c>
      <c r="BN127" s="64">
        <f>IFERROR(Y127*I127/H127,"0")</f>
        <v>4.476</v>
      </c>
      <c r="BO127" s="64">
        <f>IFERROR(1/J127*(X127/H127),"0")</f>
        <v>8.3250083250083259E-3</v>
      </c>
      <c r="BP127" s="64">
        <f>IFERROR(1/J127*(Y127/H127),"0")</f>
        <v>1.098901098901099E-2</v>
      </c>
    </row>
    <row r="128" spans="1:68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40" t="s">
        <v>72</v>
      </c>
      <c r="Q128" s="641"/>
      <c r="R128" s="641"/>
      <c r="S128" s="641"/>
      <c r="T128" s="641"/>
      <c r="U128" s="641"/>
      <c r="V128" s="642"/>
      <c r="W128" s="37" t="s">
        <v>73</v>
      </c>
      <c r="X128" s="617">
        <f>IFERROR(X127/H127,"0")</f>
        <v>1.5151515151515151</v>
      </c>
      <c r="Y128" s="617">
        <f>IFERROR(Y127/H127,"0")</f>
        <v>2</v>
      </c>
      <c r="Z128" s="617">
        <f>IFERROR(IF(Z127="",0,Z127),"0")</f>
        <v>1.302E-2</v>
      </c>
      <c r="AA128" s="618"/>
      <c r="AB128" s="618"/>
      <c r="AC128" s="618"/>
    </row>
    <row r="129" spans="1:68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40" t="s">
        <v>72</v>
      </c>
      <c r="Q129" s="641"/>
      <c r="R129" s="641"/>
      <c r="S129" s="641"/>
      <c r="T129" s="641"/>
      <c r="U129" s="641"/>
      <c r="V129" s="642"/>
      <c r="W129" s="37" t="s">
        <v>67</v>
      </c>
      <c r="X129" s="617">
        <f>IFERROR(SUM(X127:X127),"0")</f>
        <v>3</v>
      </c>
      <c r="Y129" s="617">
        <f>IFERROR(SUM(Y127:Y127),"0")</f>
        <v>3.96</v>
      </c>
      <c r="Z129" s="37"/>
      <c r="AA129" s="618"/>
      <c r="AB129" s="618"/>
      <c r="AC129" s="618"/>
    </row>
    <row r="130" spans="1:68" ht="16.5" hidden="1" customHeight="1" x14ac:dyDescent="0.25">
      <c r="A130" s="635" t="s">
        <v>237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67</v>
      </c>
      <c r="X132" s="615">
        <v>11</v>
      </c>
      <c r="Y132" s="616">
        <f>IFERROR(IF(X132="",0,CEILING((X132/$H132),1)*$H132),"")</f>
        <v>12.8</v>
      </c>
      <c r="Z132" s="36">
        <f>IFERROR(IF(Y132=0,"",ROUNDUP(Y132/H132,0)*0.00651),"")</f>
        <v>2.6040000000000001E-2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11.618749999999999</v>
      </c>
      <c r="BN132" s="64">
        <f>IFERROR(Y132*I132/H132,"0")</f>
        <v>13.52</v>
      </c>
      <c r="BO132" s="64">
        <f>IFERROR(1/J132*(X132/H132),"0")</f>
        <v>1.888736263736264E-2</v>
      </c>
      <c r="BP132" s="64">
        <f>IFERROR(1/J132*(Y132/H132),"0")</f>
        <v>2.197802197802198E-2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70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40" t="s">
        <v>72</v>
      </c>
      <c r="Q134" s="641"/>
      <c r="R134" s="641"/>
      <c r="S134" s="641"/>
      <c r="T134" s="641"/>
      <c r="U134" s="641"/>
      <c r="V134" s="642"/>
      <c r="W134" s="37" t="s">
        <v>73</v>
      </c>
      <c r="X134" s="617">
        <f>IFERROR(X132/H132,"0")+IFERROR(X133/H133,"0")</f>
        <v>3.4375</v>
      </c>
      <c r="Y134" s="617">
        <f>IFERROR(Y132/H132,"0")+IFERROR(Y133/H133,"0")</f>
        <v>4</v>
      </c>
      <c r="Z134" s="617">
        <f>IFERROR(IF(Z132="",0,Z132),"0")+IFERROR(IF(Z133="",0,Z133),"0")</f>
        <v>2.6040000000000001E-2</v>
      </c>
      <c r="AA134" s="618"/>
      <c r="AB134" s="618"/>
      <c r="AC134" s="618"/>
    </row>
    <row r="135" spans="1:68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40" t="s">
        <v>72</v>
      </c>
      <c r="Q135" s="641"/>
      <c r="R135" s="641"/>
      <c r="S135" s="641"/>
      <c r="T135" s="641"/>
      <c r="U135" s="641"/>
      <c r="V135" s="642"/>
      <c r="W135" s="37" t="s">
        <v>67</v>
      </c>
      <c r="X135" s="617">
        <f>IFERROR(SUM(X132:X133),"0")</f>
        <v>11</v>
      </c>
      <c r="Y135" s="617">
        <f>IFERROR(SUM(Y132:Y133),"0")</f>
        <v>12.8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hidden="1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8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84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40" t="s">
        <v>72</v>
      </c>
      <c r="Q139" s="641"/>
      <c r="R139" s="641"/>
      <c r="S139" s="641"/>
      <c r="T139" s="641"/>
      <c r="U139" s="641"/>
      <c r="V139" s="64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40" t="s">
        <v>72</v>
      </c>
      <c r="Q140" s="641"/>
      <c r="R140" s="641"/>
      <c r="S140" s="641"/>
      <c r="T140" s="641"/>
      <c r="U140" s="641"/>
      <c r="V140" s="64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67</v>
      </c>
      <c r="X142" s="615">
        <v>21</v>
      </c>
      <c r="Y142" s="616">
        <f>IFERROR(IF(X142="",0,CEILING((X142/$H142),1)*$H142),"")</f>
        <v>21.12</v>
      </c>
      <c r="Z142" s="36">
        <f>IFERROR(IF(Y142=0,"",ROUNDUP(Y142/H142,0)*0.00651),"")</f>
        <v>5.2080000000000001E-2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23.131818181818179</v>
      </c>
      <c r="BN142" s="64">
        <f>IFERROR(Y142*I142/H142,"0")</f>
        <v>23.263999999999999</v>
      </c>
      <c r="BO142" s="64">
        <f>IFERROR(1/J142*(X142/H142),"0")</f>
        <v>4.3706293706293704E-2</v>
      </c>
      <c r="BP142" s="64">
        <f>IFERROR(1/J142*(Y142/H142),"0")</f>
        <v>4.3956043956043959E-2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1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40" t="s">
        <v>72</v>
      </c>
      <c r="Q144" s="641"/>
      <c r="R144" s="641"/>
      <c r="S144" s="641"/>
      <c r="T144" s="641"/>
      <c r="U144" s="641"/>
      <c r="V144" s="642"/>
      <c r="W144" s="37" t="s">
        <v>73</v>
      </c>
      <c r="X144" s="617">
        <f>IFERROR(X142/H142,"0")+IFERROR(X143/H143,"0")</f>
        <v>7.9545454545454541</v>
      </c>
      <c r="Y144" s="617">
        <f>IFERROR(Y142/H142,"0")+IFERROR(Y143/H143,"0")</f>
        <v>8</v>
      </c>
      <c r="Z144" s="617">
        <f>IFERROR(IF(Z142="",0,Z142),"0")+IFERROR(IF(Z143="",0,Z143),"0")</f>
        <v>5.2080000000000001E-2</v>
      </c>
      <c r="AA144" s="618"/>
      <c r="AB144" s="618"/>
      <c r="AC144" s="618"/>
    </row>
    <row r="145" spans="1:68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40" t="s">
        <v>72</v>
      </c>
      <c r="Q145" s="641"/>
      <c r="R145" s="641"/>
      <c r="S145" s="641"/>
      <c r="T145" s="641"/>
      <c r="U145" s="641"/>
      <c r="V145" s="642"/>
      <c r="W145" s="37" t="s">
        <v>67</v>
      </c>
      <c r="X145" s="617">
        <f>IFERROR(SUM(X142:X143),"0")</f>
        <v>21</v>
      </c>
      <c r="Y145" s="617">
        <f>IFERROR(SUM(Y142:Y143),"0")</f>
        <v>21.12</v>
      </c>
      <c r="Z145" s="37"/>
      <c r="AA145" s="618"/>
      <c r="AB145" s="618"/>
      <c r="AC145" s="618"/>
    </row>
    <row r="146" spans="1:68" ht="16.5" hidden="1" customHeight="1" x14ac:dyDescent="0.25">
      <c r="A146" s="635" t="s">
        <v>249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91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4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40" t="s">
        <v>72</v>
      </c>
      <c r="Q152" s="641"/>
      <c r="R152" s="641"/>
      <c r="S152" s="641"/>
      <c r="T152" s="641"/>
      <c r="U152" s="641"/>
      <c r="V152" s="64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40" t="s">
        <v>72</v>
      </c>
      <c r="Q153" s="641"/>
      <c r="R153" s="641"/>
      <c r="S153" s="641"/>
      <c r="T153" s="641"/>
      <c r="U153" s="641"/>
      <c r="V153" s="64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5" t="s">
        <v>115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79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9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9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40" t="s">
        <v>72</v>
      </c>
      <c r="Q159" s="641"/>
      <c r="R159" s="641"/>
      <c r="S159" s="641"/>
      <c r="T159" s="641"/>
      <c r="U159" s="641"/>
      <c r="V159" s="64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40" t="s">
        <v>72</v>
      </c>
      <c r="Q160" s="641"/>
      <c r="R160" s="641"/>
      <c r="S160" s="641"/>
      <c r="T160" s="641"/>
      <c r="U160" s="641"/>
      <c r="V160" s="64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40" t="s">
        <v>72</v>
      </c>
      <c r="Q163" s="641"/>
      <c r="R163" s="641"/>
      <c r="S163" s="641"/>
      <c r="T163" s="641"/>
      <c r="U163" s="641"/>
      <c r="V163" s="64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40" t="s">
        <v>72</v>
      </c>
      <c r="Q164" s="641"/>
      <c r="R164" s="641"/>
      <c r="S164" s="641"/>
      <c r="T164" s="641"/>
      <c r="U164" s="641"/>
      <c r="V164" s="64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67</v>
      </c>
      <c r="X166" s="615">
        <v>87</v>
      </c>
      <c r="Y166" s="616">
        <f t="shared" ref="Y166:Y177" si="10">IFERROR(IF(X166="",0,CEILING((X166/$H166),1)*$H166),"")</f>
        <v>87.5</v>
      </c>
      <c r="Z166" s="36">
        <f>IFERROR(IF(Y166=0,"",ROUNDUP(Y166/H166,0)*0.00902),"")</f>
        <v>0.22550000000000001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91.722857142857137</v>
      </c>
      <c r="BN166" s="64">
        <f t="shared" ref="BN166:BN177" si="12">IFERROR(Y166*I166/H166,"0")</f>
        <v>92.25</v>
      </c>
      <c r="BO166" s="64">
        <f t="shared" ref="BO166:BO177" si="13">IFERROR(1/J166*(X166/H166),"0")</f>
        <v>0.18831168831168832</v>
      </c>
      <c r="BP166" s="64">
        <f t="shared" ref="BP166:BP177" si="14">IFERROR(1/J166*(Y166/H166),"0")</f>
        <v>0.18939393939393939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90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67</v>
      </c>
      <c r="X169" s="615">
        <v>64</v>
      </c>
      <c r="Y169" s="616">
        <f t="shared" si="10"/>
        <v>66.5</v>
      </c>
      <c r="Z169" s="36">
        <f>IFERROR(IF(Y169=0,"",ROUNDUP(Y169/H169,0)*0.00902),"")</f>
        <v>0.17138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67.474285714285713</v>
      </c>
      <c r="BN169" s="64">
        <f t="shared" si="12"/>
        <v>70.11</v>
      </c>
      <c r="BO169" s="64">
        <f t="shared" si="13"/>
        <v>0.13852813852813853</v>
      </c>
      <c r="BP169" s="64">
        <f t="shared" si="14"/>
        <v>0.14393939393939395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9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67</v>
      </c>
      <c r="X170" s="615">
        <v>48</v>
      </c>
      <c r="Y170" s="616">
        <f t="shared" si="10"/>
        <v>49</v>
      </c>
      <c r="Z170" s="36">
        <f>IFERROR(IF(Y170=0,"",ROUNDUP(Y170/H170,0)*0.00902),"")</f>
        <v>0.12628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50.605714285714285</v>
      </c>
      <c r="BN170" s="64">
        <f t="shared" si="12"/>
        <v>51.660000000000004</v>
      </c>
      <c r="BO170" s="64">
        <f t="shared" si="13"/>
        <v>0.10389610389610389</v>
      </c>
      <c r="BP170" s="64">
        <f t="shared" si="14"/>
        <v>0.10606060606060606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67</v>
      </c>
      <c r="X172" s="615">
        <v>46</v>
      </c>
      <c r="Y172" s="616">
        <f t="shared" si="10"/>
        <v>47.04</v>
      </c>
      <c r="Z172" s="36">
        <f>IFERROR(IF(Y172=0,"",ROUNDUP(Y172/H172,0)*0.00502),"")</f>
        <v>0.14056000000000002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48.738095238095234</v>
      </c>
      <c r="BN172" s="64">
        <f t="shared" si="12"/>
        <v>49.84</v>
      </c>
      <c r="BO172" s="64">
        <f t="shared" si="13"/>
        <v>0.11701261701261703</v>
      </c>
      <c r="BP172" s="64">
        <f t="shared" si="14"/>
        <v>0.11965811965811968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93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65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7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73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7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67</v>
      </c>
      <c r="X177" s="615">
        <v>20</v>
      </c>
      <c r="Y177" s="616">
        <f t="shared" si="10"/>
        <v>20.16</v>
      </c>
      <c r="Z177" s="36">
        <f>IFERROR(IF(Y177=0,"",ROUNDUP(Y177/H177,0)*0.00502),"")</f>
        <v>6.0240000000000002E-2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21.190476190476193</v>
      </c>
      <c r="BN177" s="64">
        <f t="shared" si="12"/>
        <v>21.36</v>
      </c>
      <c r="BO177" s="64">
        <f t="shared" si="13"/>
        <v>5.0875050875050884E-2</v>
      </c>
      <c r="BP177" s="64">
        <f t="shared" si="14"/>
        <v>5.1282051282051287E-2</v>
      </c>
    </row>
    <row r="178" spans="1:68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40" t="s">
        <v>72</v>
      </c>
      <c r="Q178" s="641"/>
      <c r="R178" s="641"/>
      <c r="S178" s="641"/>
      <c r="T178" s="641"/>
      <c r="U178" s="641"/>
      <c r="V178" s="64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96.142857142857139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98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0.72396000000000005</v>
      </c>
      <c r="AA178" s="618"/>
      <c r="AB178" s="618"/>
      <c r="AC178" s="618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40" t="s">
        <v>72</v>
      </c>
      <c r="Q179" s="641"/>
      <c r="R179" s="641"/>
      <c r="S179" s="641"/>
      <c r="T179" s="641"/>
      <c r="U179" s="641"/>
      <c r="V179" s="642"/>
      <c r="W179" s="37" t="s">
        <v>67</v>
      </c>
      <c r="X179" s="617">
        <f>IFERROR(SUM(X166:X177),"0")</f>
        <v>265</v>
      </c>
      <c r="Y179" s="617">
        <f>IFERROR(SUM(Y166:Y177),"0")</f>
        <v>270.2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71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40" t="s">
        <v>72</v>
      </c>
      <c r="Q184" s="641"/>
      <c r="R184" s="641"/>
      <c r="S184" s="641"/>
      <c r="T184" s="641"/>
      <c r="U184" s="641"/>
      <c r="V184" s="64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40" t="s">
        <v>72</v>
      </c>
      <c r="Q185" s="641"/>
      <c r="R185" s="641"/>
      <c r="S185" s="641"/>
      <c r="T185" s="641"/>
      <c r="U185" s="641"/>
      <c r="V185" s="64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6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40" t="s">
        <v>72</v>
      </c>
      <c r="Q189" s="641"/>
      <c r="R189" s="641"/>
      <c r="S189" s="641"/>
      <c r="T189" s="641"/>
      <c r="U189" s="641"/>
      <c r="V189" s="64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40" t="s">
        <v>72</v>
      </c>
      <c r="Q190" s="641"/>
      <c r="R190" s="641"/>
      <c r="S190" s="641"/>
      <c r="T190" s="641"/>
      <c r="U190" s="641"/>
      <c r="V190" s="64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9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40" t="s">
        <v>72</v>
      </c>
      <c r="Q193" s="641"/>
      <c r="R193" s="641"/>
      <c r="S193" s="641"/>
      <c r="T193" s="641"/>
      <c r="U193" s="641"/>
      <c r="V193" s="64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40" t="s">
        <v>72</v>
      </c>
      <c r="Q194" s="641"/>
      <c r="R194" s="641"/>
      <c r="S194" s="641"/>
      <c r="T194" s="641"/>
      <c r="U194" s="641"/>
      <c r="V194" s="64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23" t="s">
        <v>327</v>
      </c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4"/>
      <c r="P195" s="724"/>
      <c r="Q195" s="724"/>
      <c r="R195" s="724"/>
      <c r="S195" s="724"/>
      <c r="T195" s="724"/>
      <c r="U195" s="724"/>
      <c r="V195" s="724"/>
      <c r="W195" s="724"/>
      <c r="X195" s="724"/>
      <c r="Y195" s="724"/>
      <c r="Z195" s="724"/>
      <c r="AA195" s="48"/>
      <c r="AB195" s="48"/>
      <c r="AC195" s="48"/>
    </row>
    <row r="196" spans="1:68" ht="16.5" hidden="1" customHeight="1" x14ac:dyDescent="0.25">
      <c r="A196" s="635" t="s">
        <v>328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70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67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66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7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40" t="s">
        <v>72</v>
      </c>
      <c r="Q205" s="641"/>
      <c r="R205" s="641"/>
      <c r="S205" s="641"/>
      <c r="T205" s="641"/>
      <c r="U205" s="641"/>
      <c r="V205" s="64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40" t="s">
        <v>72</v>
      </c>
      <c r="Q206" s="641"/>
      <c r="R206" s="641"/>
      <c r="S206" s="641"/>
      <c r="T206" s="641"/>
      <c r="U206" s="641"/>
      <c r="V206" s="64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5" t="s">
        <v>349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9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40" t="s">
        <v>72</v>
      </c>
      <c r="Q210" s="641"/>
      <c r="R210" s="641"/>
      <c r="S210" s="641"/>
      <c r="T210" s="641"/>
      <c r="U210" s="641"/>
      <c r="V210" s="64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40" t="s">
        <v>72</v>
      </c>
      <c r="Q211" s="641"/>
      <c r="R211" s="641"/>
      <c r="S211" s="641"/>
      <c r="T211" s="641"/>
      <c r="U211" s="641"/>
      <c r="V211" s="64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hidden="1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95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7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96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67</v>
      </c>
      <c r="X216" s="615">
        <v>7</v>
      </c>
      <c r="Y216" s="616">
        <f t="shared" si="21"/>
        <v>7.2</v>
      </c>
      <c r="Z216" s="36">
        <f>IFERROR(IF(Y216=0,"",ROUNDUP(Y216/H216,0)*0.00556),"")</f>
        <v>5.0040000000000001E-2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8.1375000000000011</v>
      </c>
      <c r="BN216" s="64">
        <f t="shared" si="23"/>
        <v>8.370000000000001</v>
      </c>
      <c r="BO216" s="64">
        <f t="shared" si="24"/>
        <v>3.4722222222222224E-2</v>
      </c>
      <c r="BP216" s="64">
        <f t="shared" si="25"/>
        <v>3.5714285714285712E-2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67</v>
      </c>
      <c r="X217" s="615">
        <v>28</v>
      </c>
      <c r="Y217" s="616">
        <f t="shared" si="21"/>
        <v>29.400000000000002</v>
      </c>
      <c r="Z217" s="36">
        <f t="shared" ref="Z217:Z222" si="26">IFERROR(IF(Y217=0,"",ROUNDUP(Y217/H217,0)*0.00502),"")</f>
        <v>7.0280000000000009E-2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29.733333333333331</v>
      </c>
      <c r="BN217" s="64">
        <f t="shared" si="23"/>
        <v>31.22</v>
      </c>
      <c r="BO217" s="64">
        <f t="shared" si="24"/>
        <v>5.6980056980056981E-2</v>
      </c>
      <c r="BP217" s="64">
        <f t="shared" si="25"/>
        <v>5.9829059829059839E-2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6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9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96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7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67</v>
      </c>
      <c r="X223" s="615">
        <v>8</v>
      </c>
      <c r="Y223" s="616">
        <f t="shared" si="21"/>
        <v>8</v>
      </c>
      <c r="Z223" s="36">
        <f>IFERROR(IF(Y223=0,"",ROUNDUP(Y223/H223,0)*0.00417),"")</f>
        <v>4.1700000000000001E-2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10.1</v>
      </c>
      <c r="BN223" s="64">
        <f t="shared" si="23"/>
        <v>10.1</v>
      </c>
      <c r="BO223" s="64">
        <f t="shared" si="24"/>
        <v>2.976190476190476E-2</v>
      </c>
      <c r="BP223" s="64">
        <f t="shared" si="25"/>
        <v>2.976190476190476E-2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67</v>
      </c>
      <c r="X224" s="615">
        <v>1</v>
      </c>
      <c r="Y224" s="616">
        <f t="shared" si="21"/>
        <v>2.1</v>
      </c>
      <c r="Z224" s="36">
        <f>IFERROR(IF(Y224=0,"",ROUNDUP(Y224/H224,0)*0.00502),"")</f>
        <v>5.0200000000000002E-3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1.0476190476190477</v>
      </c>
      <c r="BN224" s="64">
        <f t="shared" si="23"/>
        <v>2.2000000000000002</v>
      </c>
      <c r="BO224" s="64">
        <f t="shared" si="24"/>
        <v>2.0350020350020353E-3</v>
      </c>
      <c r="BP224" s="64">
        <f t="shared" si="25"/>
        <v>4.2735042735042739E-3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40" t="s">
        <v>72</v>
      </c>
      <c r="Q227" s="641"/>
      <c r="R227" s="641"/>
      <c r="S227" s="641"/>
      <c r="T227" s="641"/>
      <c r="U227" s="641"/>
      <c r="V227" s="64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32.559523809523803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34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0.16703999999999999</v>
      </c>
      <c r="AA227" s="618"/>
      <c r="AB227" s="618"/>
      <c r="AC227" s="618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40" t="s">
        <v>72</v>
      </c>
      <c r="Q228" s="641"/>
      <c r="R228" s="641"/>
      <c r="S228" s="641"/>
      <c r="T228" s="641"/>
      <c r="U228" s="641"/>
      <c r="V228" s="642"/>
      <c r="W228" s="37" t="s">
        <v>67</v>
      </c>
      <c r="X228" s="617">
        <f>IFERROR(SUM(X213:X226),"0")</f>
        <v>44</v>
      </c>
      <c r="Y228" s="617">
        <f>IFERROR(SUM(Y213:Y226),"0")</f>
        <v>46.7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8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79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94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40" t="s">
        <v>72</v>
      </c>
      <c r="Q235" s="641"/>
      <c r="R235" s="641"/>
      <c r="S235" s="641"/>
      <c r="T235" s="641"/>
      <c r="U235" s="641"/>
      <c r="V235" s="64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40" t="s">
        <v>72</v>
      </c>
      <c r="Q236" s="641"/>
      <c r="R236" s="641"/>
      <c r="S236" s="641"/>
      <c r="T236" s="641"/>
      <c r="U236" s="641"/>
      <c r="V236" s="64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67</v>
      </c>
      <c r="X239" s="615">
        <v>4</v>
      </c>
      <c r="Y239" s="61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9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40" t="s">
        <v>72</v>
      </c>
      <c r="Q241" s="641"/>
      <c r="R241" s="641"/>
      <c r="S241" s="641"/>
      <c r="T241" s="641"/>
      <c r="U241" s="641"/>
      <c r="V241" s="642"/>
      <c r="W241" s="37" t="s">
        <v>73</v>
      </c>
      <c r="X241" s="617">
        <f>IFERROR(X238/H238,"0")+IFERROR(X239/H239,"0")+IFERROR(X240/H240,"0")</f>
        <v>3.1746031746031744</v>
      </c>
      <c r="Y241" s="617">
        <f>IFERROR(Y238/H238,"0")+IFERROR(Y239/H239,"0")+IFERROR(Y240/H240,"0")</f>
        <v>4</v>
      </c>
      <c r="Z241" s="617">
        <f>IFERROR(IF(Z238="",0,Z238),"0")+IFERROR(IF(Z239="",0,Z239),"0")+IFERROR(IF(Z240="",0,Z240),"0")</f>
        <v>2.3599999999999999E-2</v>
      </c>
      <c r="AA241" s="618"/>
      <c r="AB241" s="618"/>
      <c r="AC241" s="618"/>
    </row>
    <row r="242" spans="1:68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40" t="s">
        <v>72</v>
      </c>
      <c r="Q242" s="641"/>
      <c r="R242" s="641"/>
      <c r="S242" s="641"/>
      <c r="T242" s="641"/>
      <c r="U242" s="641"/>
      <c r="V242" s="642"/>
      <c r="W242" s="37" t="s">
        <v>67</v>
      </c>
      <c r="X242" s="617">
        <f>IFERROR(SUM(X238:X240),"0")</f>
        <v>4</v>
      </c>
      <c r="Y242" s="617">
        <f>IFERROR(SUM(Y238:Y240),"0")</f>
        <v>5.04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93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67</v>
      </c>
      <c r="X244" s="615">
        <v>3</v>
      </c>
      <c r="Y244" s="616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40" t="s">
        <v>72</v>
      </c>
      <c r="Q245" s="641"/>
      <c r="R245" s="641"/>
      <c r="S245" s="641"/>
      <c r="T245" s="641"/>
      <c r="U245" s="641"/>
      <c r="V245" s="642"/>
      <c r="W245" s="37" t="s">
        <v>73</v>
      </c>
      <c r="X245" s="617">
        <f>IFERROR(X244/H244,"0")</f>
        <v>2.3809523809523809</v>
      </c>
      <c r="Y245" s="617">
        <f>IFERROR(Y244/H244,"0")</f>
        <v>3</v>
      </c>
      <c r="Z245" s="617">
        <f>IFERROR(IF(Z244="",0,Z244),"0")</f>
        <v>1.77E-2</v>
      </c>
      <c r="AA245" s="618"/>
      <c r="AB245" s="618"/>
      <c r="AC245" s="618"/>
    </row>
    <row r="246" spans="1:68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40" t="s">
        <v>72</v>
      </c>
      <c r="Q246" s="641"/>
      <c r="R246" s="641"/>
      <c r="S246" s="641"/>
      <c r="T246" s="641"/>
      <c r="U246" s="641"/>
      <c r="V246" s="642"/>
      <c r="W246" s="37" t="s">
        <v>67</v>
      </c>
      <c r="X246" s="617">
        <f>IFERROR(SUM(X244:X244),"0")</f>
        <v>3</v>
      </c>
      <c r="Y246" s="617">
        <f>IFERROR(SUM(Y244:Y244),"0")</f>
        <v>3.7800000000000002</v>
      </c>
      <c r="Z246" s="37"/>
      <c r="AA246" s="618"/>
      <c r="AB246" s="618"/>
      <c r="AC246" s="618"/>
    </row>
    <row r="247" spans="1:68" ht="16.5" hidden="1" customHeight="1" x14ac:dyDescent="0.25">
      <c r="A247" s="635" t="s">
        <v>416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95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40" t="s">
        <v>72</v>
      </c>
      <c r="Q251" s="641"/>
      <c r="R251" s="641"/>
      <c r="S251" s="641"/>
      <c r="T251" s="641"/>
      <c r="U251" s="641"/>
      <c r="V251" s="64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40" t="s">
        <v>72</v>
      </c>
      <c r="Q252" s="641"/>
      <c r="R252" s="641"/>
      <c r="S252" s="641"/>
      <c r="T252" s="641"/>
      <c r="U252" s="641"/>
      <c r="V252" s="64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78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9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40" t="s">
        <v>72</v>
      </c>
      <c r="Q256" s="641"/>
      <c r="R256" s="641"/>
      <c r="S256" s="641"/>
      <c r="T256" s="641"/>
      <c r="U256" s="641"/>
      <c r="V256" s="64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40" t="s">
        <v>72</v>
      </c>
      <c r="Q257" s="641"/>
      <c r="R257" s="641"/>
      <c r="S257" s="641"/>
      <c r="T257" s="641"/>
      <c r="U257" s="641"/>
      <c r="V257" s="64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hidden="1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9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67</v>
      </c>
      <c r="X260" s="615">
        <v>64</v>
      </c>
      <c r="Y260" s="616">
        <f t="shared" si="27"/>
        <v>64.800000000000011</v>
      </c>
      <c r="Z260" s="36">
        <f>IFERROR(IF(Y260=0,"",ROUNDUP(Y260/H260,0)*0.00902),"")</f>
        <v>0.10824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66.251851851851839</v>
      </c>
      <c r="BN260" s="64">
        <f t="shared" si="29"/>
        <v>67.08</v>
      </c>
      <c r="BO260" s="64">
        <f t="shared" si="30"/>
        <v>8.9786756453423114E-2</v>
      </c>
      <c r="BP260" s="64">
        <f t="shared" si="31"/>
        <v>9.0909090909090925E-2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67</v>
      </c>
      <c r="X261" s="615">
        <v>6</v>
      </c>
      <c r="Y261" s="616">
        <f t="shared" si="27"/>
        <v>10.8</v>
      </c>
      <c r="Z261" s="36">
        <f>IFERROR(IF(Y261=0,"",ROUNDUP(Y261/H261,0)*0.00902),"")</f>
        <v>1.804E-2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6.2111111111111104</v>
      </c>
      <c r="BN261" s="64">
        <f t="shared" si="29"/>
        <v>11.18</v>
      </c>
      <c r="BO261" s="64">
        <f t="shared" si="30"/>
        <v>8.4175084175084156E-3</v>
      </c>
      <c r="BP261" s="64">
        <f t="shared" si="31"/>
        <v>1.5151515151515152E-2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68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67</v>
      </c>
      <c r="X262" s="615">
        <v>50</v>
      </c>
      <c r="Y262" s="616">
        <f t="shared" si="27"/>
        <v>54</v>
      </c>
      <c r="Z262" s="36">
        <f>IFERROR(IF(Y262=0,"",ROUNDUP(Y262/H262,0)*0.00902),"")</f>
        <v>9.0200000000000002E-2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51.759259259259252</v>
      </c>
      <c r="BN262" s="64">
        <f t="shared" si="29"/>
        <v>55.9</v>
      </c>
      <c r="BO262" s="64">
        <f t="shared" si="30"/>
        <v>7.0145903479236812E-2</v>
      </c>
      <c r="BP262" s="64">
        <f t="shared" si="31"/>
        <v>7.575757575757576E-2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6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67</v>
      </c>
      <c r="X263" s="615">
        <v>23</v>
      </c>
      <c r="Y263" s="616">
        <f t="shared" si="27"/>
        <v>23.400000000000002</v>
      </c>
      <c r="Z263" s="36">
        <f>IFERROR(IF(Y263=0,"",ROUNDUP(Y263/H263,0)*0.00502),"")</f>
        <v>6.5259999999999999E-2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24.661111111111111</v>
      </c>
      <c r="BN263" s="64">
        <f t="shared" si="29"/>
        <v>25.090000000000003</v>
      </c>
      <c r="BO263" s="64">
        <f t="shared" si="30"/>
        <v>5.4605887939221276E-2</v>
      </c>
      <c r="BP263" s="64">
        <f t="shared" si="31"/>
        <v>5.5555555555555559E-2</v>
      </c>
    </row>
    <row r="264" spans="1:68" ht="27" hidden="1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85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9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67</v>
      </c>
      <c r="X266" s="615">
        <v>2</v>
      </c>
      <c r="Y266" s="616">
        <f t="shared" si="27"/>
        <v>3.6</v>
      </c>
      <c r="Z266" s="36">
        <f>IFERROR(IF(Y266=0,"",ROUNDUP(Y266/H266,0)*0.00502),"")</f>
        <v>1.004E-2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2.1111111111111112</v>
      </c>
      <c r="BN266" s="64">
        <f t="shared" si="29"/>
        <v>3.8</v>
      </c>
      <c r="BO266" s="64">
        <f t="shared" si="30"/>
        <v>4.7483380816714157E-3</v>
      </c>
      <c r="BP266" s="64">
        <f t="shared" si="31"/>
        <v>8.5470085470085479E-3</v>
      </c>
    </row>
    <row r="267" spans="1:68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40" t="s">
        <v>72</v>
      </c>
      <c r="Q267" s="641"/>
      <c r="R267" s="641"/>
      <c r="S267" s="641"/>
      <c r="T267" s="641"/>
      <c r="U267" s="641"/>
      <c r="V267" s="64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36.111111111111114</v>
      </c>
      <c r="Y267" s="617">
        <f>IFERROR(Y259/H259,"0")+IFERROR(Y260/H260,"0")+IFERROR(Y261/H261,"0")+IFERROR(Y262/H262,"0")+IFERROR(Y263/H263,"0")+IFERROR(Y264/H264,"0")+IFERROR(Y265/H265,"0")+IFERROR(Y266/H266,"0")</f>
        <v>39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0.29177999999999998</v>
      </c>
      <c r="AA267" s="618"/>
      <c r="AB267" s="618"/>
      <c r="AC267" s="618"/>
    </row>
    <row r="268" spans="1:68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40" t="s">
        <v>72</v>
      </c>
      <c r="Q268" s="641"/>
      <c r="R268" s="641"/>
      <c r="S268" s="641"/>
      <c r="T268" s="641"/>
      <c r="U268" s="641"/>
      <c r="V268" s="642"/>
      <c r="W268" s="37" t="s">
        <v>67</v>
      </c>
      <c r="X268" s="617">
        <f>IFERROR(SUM(X259:X266),"0")</f>
        <v>145</v>
      </c>
      <c r="Y268" s="617">
        <f>IFERROR(SUM(Y259:Y266),"0")</f>
        <v>156.60000000000002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67</v>
      </c>
      <c r="X270" s="615">
        <v>12</v>
      </c>
      <c r="Y270" s="616">
        <f t="shared" ref="Y270:Y281" si="32">IFERROR(IF(X270="",0,CEILING((X270/$H270),1)*$H270),"")</f>
        <v>16.2</v>
      </c>
      <c r="Z270" s="36">
        <f>IFERROR(IF(Y270=0,"",ROUNDUP(Y270/H270,0)*0.01898),"")</f>
        <v>3.7960000000000001E-2</v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12.73185185185185</v>
      </c>
      <c r="BN270" s="64">
        <f t="shared" ref="BN270:BN281" si="34">IFERROR(Y270*I270/H270,"0")</f>
        <v>17.187999999999999</v>
      </c>
      <c r="BO270" s="64">
        <f t="shared" ref="BO270:BO281" si="35">IFERROR(1/J270*(X270/H270),"0")</f>
        <v>2.314814814814815E-2</v>
      </c>
      <c r="BP270" s="64">
        <f t="shared" ref="BP270:BP281" si="36">IFERROR(1/J270*(Y270/H270),"0")</f>
        <v>3.125E-2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93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9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67</v>
      </c>
      <c r="X273" s="615">
        <v>8</v>
      </c>
      <c r="Y273" s="616">
        <f t="shared" si="32"/>
        <v>9.6</v>
      </c>
      <c r="Z273" s="36">
        <f>IFERROR(IF(Y273=0,"",ROUNDUP(Y273/H273,0)*0.00651),"")</f>
        <v>2.6040000000000001E-2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8.9</v>
      </c>
      <c r="BN273" s="64">
        <f t="shared" si="34"/>
        <v>10.68</v>
      </c>
      <c r="BO273" s="64">
        <f t="shared" si="35"/>
        <v>1.8315018315018316E-2</v>
      </c>
      <c r="BP273" s="64">
        <f t="shared" si="36"/>
        <v>2.197802197802198E-2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7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97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73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67</v>
      </c>
      <c r="X276" s="615">
        <v>141</v>
      </c>
      <c r="Y276" s="616">
        <f t="shared" si="32"/>
        <v>141.6</v>
      </c>
      <c r="Z276" s="36">
        <f>IFERROR(IF(Y276=0,"",ROUNDUP(Y276/H276,0)*0.00651),"")</f>
        <v>0.38408999999999999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155.80500000000001</v>
      </c>
      <c r="BN276" s="64">
        <f t="shared" si="34"/>
        <v>156.46800000000002</v>
      </c>
      <c r="BO276" s="64">
        <f t="shared" si="35"/>
        <v>0.32280219780219782</v>
      </c>
      <c r="BP276" s="64">
        <f t="shared" si="36"/>
        <v>0.32417582417582419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9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7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67</v>
      </c>
      <c r="X278" s="615">
        <v>27</v>
      </c>
      <c r="Y278" s="616">
        <f t="shared" si="32"/>
        <v>28.799999999999997</v>
      </c>
      <c r="Z278" s="36">
        <f>IFERROR(IF(Y278=0,"",ROUNDUP(Y278/H278,0)*0.00651),"")</f>
        <v>7.8119999999999995E-2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29.835000000000001</v>
      </c>
      <c r="BN278" s="64">
        <f t="shared" si="34"/>
        <v>31.824000000000002</v>
      </c>
      <c r="BO278" s="64">
        <f t="shared" si="35"/>
        <v>6.1813186813186816E-2</v>
      </c>
      <c r="BP278" s="64">
        <f t="shared" si="36"/>
        <v>6.5934065934065936E-2</v>
      </c>
    </row>
    <row r="279" spans="1:68" ht="27" hidden="1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7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67</v>
      </c>
      <c r="X280" s="615">
        <v>30</v>
      </c>
      <c r="Y280" s="616">
        <f t="shared" si="32"/>
        <v>31.2</v>
      </c>
      <c r="Z280" s="36">
        <f>IFERROR(IF(Y280=0,"",ROUNDUP(Y280/H280,0)*0.00651),"")</f>
        <v>8.4629999999999997E-2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33.225000000000001</v>
      </c>
      <c r="BN280" s="64">
        <f t="shared" si="34"/>
        <v>34.554000000000002</v>
      </c>
      <c r="BO280" s="64">
        <f t="shared" si="35"/>
        <v>6.8681318681318687E-2</v>
      </c>
      <c r="BP280" s="64">
        <f t="shared" si="36"/>
        <v>7.1428571428571438E-2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40" t="s">
        <v>72</v>
      </c>
      <c r="Q282" s="641"/>
      <c r="R282" s="641"/>
      <c r="S282" s="641"/>
      <c r="T282" s="641"/>
      <c r="U282" s="641"/>
      <c r="V282" s="64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87.31481481481481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0.61083999999999994</v>
      </c>
      <c r="AA282" s="618"/>
      <c r="AB282" s="618"/>
      <c r="AC282" s="618"/>
    </row>
    <row r="283" spans="1:68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40" t="s">
        <v>72</v>
      </c>
      <c r="Q283" s="641"/>
      <c r="R283" s="641"/>
      <c r="S283" s="641"/>
      <c r="T283" s="641"/>
      <c r="U283" s="641"/>
      <c r="V283" s="642"/>
      <c r="W283" s="37" t="s">
        <v>67</v>
      </c>
      <c r="X283" s="617">
        <f>IFERROR(SUM(X270:X281),"0")</f>
        <v>218</v>
      </c>
      <c r="Y283" s="617">
        <f>IFERROR(SUM(Y270:Y281),"0")</f>
        <v>227.39999999999998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hidden="1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85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67</v>
      </c>
      <c r="X286" s="615">
        <v>25</v>
      </c>
      <c r="Y286" s="616">
        <f>IFERROR(IF(X286="",0,CEILING((X286/$H286),1)*$H286),"")</f>
        <v>26.4</v>
      </c>
      <c r="Z286" s="36">
        <f>IFERROR(IF(Y286=0,"",ROUNDUP(Y286/H286,0)*0.00651),"")</f>
        <v>7.1610000000000007E-2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27.625</v>
      </c>
      <c r="BN286" s="64">
        <f>IFERROR(Y286*I286/H286,"0")</f>
        <v>29.172000000000001</v>
      </c>
      <c r="BO286" s="64">
        <f>IFERROR(1/J286*(X286/H286),"0")</f>
        <v>5.7234432234432246E-2</v>
      </c>
      <c r="BP286" s="64">
        <f>IFERROR(1/J286*(Y286/H286),"0")</f>
        <v>6.0439560439560447E-2</v>
      </c>
    </row>
    <row r="287" spans="1:68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40" t="s">
        <v>72</v>
      </c>
      <c r="Q287" s="641"/>
      <c r="R287" s="641"/>
      <c r="S287" s="641"/>
      <c r="T287" s="641"/>
      <c r="U287" s="641"/>
      <c r="V287" s="642"/>
      <c r="W287" s="37" t="s">
        <v>73</v>
      </c>
      <c r="X287" s="617">
        <f>IFERROR(X285/H285,"0")+IFERROR(X286/H286,"0")</f>
        <v>10.416666666666668</v>
      </c>
      <c r="Y287" s="617">
        <f>IFERROR(Y285/H285,"0")+IFERROR(Y286/H286,"0")</f>
        <v>11</v>
      </c>
      <c r="Z287" s="617">
        <f>IFERROR(IF(Z285="",0,Z285),"0")+IFERROR(IF(Z286="",0,Z286),"0")</f>
        <v>7.1610000000000007E-2</v>
      </c>
      <c r="AA287" s="618"/>
      <c r="AB287" s="618"/>
      <c r="AC287" s="618"/>
    </row>
    <row r="288" spans="1:68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40" t="s">
        <v>72</v>
      </c>
      <c r="Q288" s="641"/>
      <c r="R288" s="641"/>
      <c r="S288" s="641"/>
      <c r="T288" s="641"/>
      <c r="U288" s="641"/>
      <c r="V288" s="642"/>
      <c r="W288" s="37" t="s">
        <v>67</v>
      </c>
      <c r="X288" s="617">
        <f>IFERROR(SUM(X285:X286),"0")</f>
        <v>25</v>
      </c>
      <c r="Y288" s="617">
        <f>IFERROR(SUM(Y285:Y286),"0")</f>
        <v>26.4</v>
      </c>
      <c r="Z288" s="37"/>
      <c r="AA288" s="618"/>
      <c r="AB288" s="618"/>
      <c r="AC288" s="618"/>
    </row>
    <row r="289" spans="1:68" ht="16.5" hidden="1" customHeight="1" x14ac:dyDescent="0.25">
      <c r="A289" s="635" t="s">
        <v>484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6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66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6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7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6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40" t="s">
        <v>72</v>
      </c>
      <c r="Q298" s="641"/>
      <c r="R298" s="641"/>
      <c r="S298" s="641"/>
      <c r="T298" s="641"/>
      <c r="U298" s="641"/>
      <c r="V298" s="64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40" t="s">
        <v>72</v>
      </c>
      <c r="Q299" s="641"/>
      <c r="R299" s="641"/>
      <c r="S299" s="641"/>
      <c r="T299" s="641"/>
      <c r="U299" s="641"/>
      <c r="V299" s="64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40" t="s">
        <v>72</v>
      </c>
      <c r="Q302" s="641"/>
      <c r="R302" s="641"/>
      <c r="S302" s="641"/>
      <c r="T302" s="641"/>
      <c r="U302" s="641"/>
      <c r="V302" s="64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40" t="s">
        <v>72</v>
      </c>
      <c r="Q303" s="641"/>
      <c r="R303" s="641"/>
      <c r="S303" s="641"/>
      <c r="T303" s="641"/>
      <c r="U303" s="641"/>
      <c r="V303" s="64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8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40" t="s">
        <v>72</v>
      </c>
      <c r="Q306" s="641"/>
      <c r="R306" s="641"/>
      <c r="S306" s="641"/>
      <c r="T306" s="641"/>
      <c r="U306" s="641"/>
      <c r="V306" s="64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40" t="s">
        <v>72</v>
      </c>
      <c r="Q307" s="641"/>
      <c r="R307" s="641"/>
      <c r="S307" s="641"/>
      <c r="T307" s="641"/>
      <c r="U307" s="641"/>
      <c r="V307" s="64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2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8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40" t="s">
        <v>72</v>
      </c>
      <c r="Q312" s="641"/>
      <c r="R312" s="641"/>
      <c r="S312" s="641"/>
      <c r="T312" s="641"/>
      <c r="U312" s="641"/>
      <c r="V312" s="64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40" t="s">
        <v>72</v>
      </c>
      <c r="Q313" s="641"/>
      <c r="R313" s="641"/>
      <c r="S313" s="641"/>
      <c r="T313" s="641"/>
      <c r="U313" s="641"/>
      <c r="V313" s="64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5" t="s">
        <v>517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9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7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6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40" t="s">
        <v>72</v>
      </c>
      <c r="Q321" s="641"/>
      <c r="R321" s="641"/>
      <c r="S321" s="641"/>
      <c r="T321" s="641"/>
      <c r="U321" s="641"/>
      <c r="V321" s="64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40" t="s">
        <v>72</v>
      </c>
      <c r="Q322" s="641"/>
      <c r="R322" s="641"/>
      <c r="S322" s="641"/>
      <c r="T322" s="641"/>
      <c r="U322" s="641"/>
      <c r="V322" s="64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5" t="s">
        <v>533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79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9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67</v>
      </c>
      <c r="X326" s="615">
        <v>48</v>
      </c>
      <c r="Y326" s="616">
        <f>IFERROR(IF(X326="",0,CEILING((X326/$H326),1)*$H326),"")</f>
        <v>48</v>
      </c>
      <c r="Z326" s="36">
        <f>IFERROR(IF(Y326=0,"",ROUNDUP(Y326/H326,0)*0.00651),"")</f>
        <v>0.13020000000000001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53.040000000000006</v>
      </c>
      <c r="BN326" s="64">
        <f>IFERROR(Y326*I326/H326,"0")</f>
        <v>53.040000000000006</v>
      </c>
      <c r="BO326" s="64">
        <f>IFERROR(1/J326*(X326/H326),"0")</f>
        <v>0.1098901098901099</v>
      </c>
      <c r="BP326" s="64">
        <f>IFERROR(1/J326*(Y326/H326),"0")</f>
        <v>0.1098901098901099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7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67</v>
      </c>
      <c r="X327" s="615">
        <v>33</v>
      </c>
      <c r="Y327" s="616">
        <f>IFERROR(IF(X327="",0,CEILING((X327/$H327),1)*$H327),"")</f>
        <v>33.6</v>
      </c>
      <c r="Z327" s="36">
        <f>IFERROR(IF(Y327=0,"",ROUNDUP(Y327/H327,0)*0.00651),"")</f>
        <v>9.1139999999999999E-2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35.475000000000001</v>
      </c>
      <c r="BN327" s="64">
        <f>IFERROR(Y327*I327/H327,"0")</f>
        <v>36.120000000000005</v>
      </c>
      <c r="BO327" s="64">
        <f>IFERROR(1/J327*(X327/H327),"0")</f>
        <v>7.5549450549450559E-2</v>
      </c>
      <c r="BP327" s="64">
        <f>IFERROR(1/J327*(Y327/H327),"0")</f>
        <v>7.6923076923076941E-2</v>
      </c>
    </row>
    <row r="328" spans="1:68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40" t="s">
        <v>72</v>
      </c>
      <c r="Q328" s="641"/>
      <c r="R328" s="641"/>
      <c r="S328" s="641"/>
      <c r="T328" s="641"/>
      <c r="U328" s="641"/>
      <c r="V328" s="642"/>
      <c r="W328" s="37" t="s">
        <v>73</v>
      </c>
      <c r="X328" s="617">
        <f>IFERROR(X325/H325,"0")+IFERROR(X326/H326,"0")+IFERROR(X327/H327,"0")</f>
        <v>33.75</v>
      </c>
      <c r="Y328" s="617">
        <f>IFERROR(Y325/H325,"0")+IFERROR(Y326/H326,"0")+IFERROR(Y327/H327,"0")</f>
        <v>34</v>
      </c>
      <c r="Z328" s="617">
        <f>IFERROR(IF(Z325="",0,Z325),"0")+IFERROR(IF(Z326="",0,Z326),"0")+IFERROR(IF(Z327="",0,Z327),"0")</f>
        <v>0.22134000000000001</v>
      </c>
      <c r="AA328" s="618"/>
      <c r="AB328" s="618"/>
      <c r="AC328" s="618"/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40" t="s">
        <v>72</v>
      </c>
      <c r="Q329" s="641"/>
      <c r="R329" s="641"/>
      <c r="S329" s="641"/>
      <c r="T329" s="641"/>
      <c r="U329" s="641"/>
      <c r="V329" s="642"/>
      <c r="W329" s="37" t="s">
        <v>67</v>
      </c>
      <c r="X329" s="617">
        <f>IFERROR(SUM(X325:X327),"0")</f>
        <v>81</v>
      </c>
      <c r="Y329" s="617">
        <f>IFERROR(SUM(Y325:Y327),"0")</f>
        <v>81.599999999999994</v>
      </c>
      <c r="Z329" s="37"/>
      <c r="AA329" s="618"/>
      <c r="AB329" s="618"/>
      <c r="AC329" s="618"/>
    </row>
    <row r="330" spans="1:68" ht="16.5" hidden="1" customHeight="1" x14ac:dyDescent="0.25">
      <c r="A330" s="635" t="s">
        <v>542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75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93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40" t="s">
        <v>72</v>
      </c>
      <c r="Q337" s="641"/>
      <c r="R337" s="641"/>
      <c r="S337" s="641"/>
      <c r="T337" s="641"/>
      <c r="U337" s="641"/>
      <c r="V337" s="64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40" t="s">
        <v>72</v>
      </c>
      <c r="Q338" s="641"/>
      <c r="R338" s="641"/>
      <c r="S338" s="641"/>
      <c r="T338" s="641"/>
      <c r="U338" s="641"/>
      <c r="V338" s="64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7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40" t="s">
        <v>72</v>
      </c>
      <c r="Q342" s="641"/>
      <c r="R342" s="641"/>
      <c r="S342" s="641"/>
      <c r="T342" s="641"/>
      <c r="U342" s="641"/>
      <c r="V342" s="64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40" t="s">
        <v>72</v>
      </c>
      <c r="Q343" s="641"/>
      <c r="R343" s="641"/>
      <c r="S343" s="641"/>
      <c r="T343" s="641"/>
      <c r="U343" s="641"/>
      <c r="V343" s="64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5" t="s">
        <v>563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74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67</v>
      </c>
      <c r="X346" s="615">
        <v>41</v>
      </c>
      <c r="Y346" s="616">
        <f>IFERROR(IF(X346="",0,CEILING((X346/$H346),1)*$H346),"")</f>
        <v>46.8</v>
      </c>
      <c r="Z346" s="36">
        <f>IFERROR(IF(Y346=0,"",ROUNDUP(Y346/H346,0)*0.01898),"")</f>
        <v>0.11388000000000001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43.155128205128207</v>
      </c>
      <c r="BN346" s="64">
        <f>IFERROR(Y346*I346/H346,"0")</f>
        <v>49.260000000000005</v>
      </c>
      <c r="BO346" s="64">
        <f>IFERROR(1/J346*(X346/H346),"0")</f>
        <v>8.2131410256410256E-2</v>
      </c>
      <c r="BP346" s="64">
        <f>IFERROR(1/J346*(Y346/H346),"0")</f>
        <v>9.375E-2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67</v>
      </c>
      <c r="X347" s="615">
        <v>49</v>
      </c>
      <c r="Y347" s="616">
        <f>IFERROR(IF(X347="",0,CEILING((X347/$H347),1)*$H347),"")</f>
        <v>54.6</v>
      </c>
      <c r="Z347" s="36">
        <f>IFERROR(IF(Y347=0,"",ROUNDUP(Y347/H347,0)*0.01898),"")</f>
        <v>0.13286000000000001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51.575641025641026</v>
      </c>
      <c r="BN347" s="64">
        <f>IFERROR(Y347*I347/H347,"0")</f>
        <v>57.470000000000013</v>
      </c>
      <c r="BO347" s="64">
        <f>IFERROR(1/J347*(X347/H347),"0")</f>
        <v>9.815705128205128E-2</v>
      </c>
      <c r="BP347" s="64">
        <f>IFERROR(1/J347*(Y347/H347),"0")</f>
        <v>0.109375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74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67</v>
      </c>
      <c r="X348" s="615">
        <v>23</v>
      </c>
      <c r="Y348" s="616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24.208974358974363</v>
      </c>
      <c r="BN348" s="64">
        <f>IFERROR(Y348*I348/H348,"0")</f>
        <v>24.630000000000003</v>
      </c>
      <c r="BO348" s="64">
        <f>IFERROR(1/J348*(X348/H348),"0")</f>
        <v>4.6073717948717952E-2</v>
      </c>
      <c r="BP348" s="64">
        <f>IFERROR(1/J348*(Y348/H348),"0")</f>
        <v>4.6875E-2</v>
      </c>
    </row>
    <row r="349" spans="1:68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40" t="s">
        <v>72</v>
      </c>
      <c r="Q349" s="641"/>
      <c r="R349" s="641"/>
      <c r="S349" s="641"/>
      <c r="T349" s="641"/>
      <c r="U349" s="641"/>
      <c r="V349" s="642"/>
      <c r="W349" s="37" t="s">
        <v>73</v>
      </c>
      <c r="X349" s="617">
        <f>IFERROR(X346/H346,"0")+IFERROR(X347/H347,"0")+IFERROR(X348/H348,"0")</f>
        <v>14.487179487179487</v>
      </c>
      <c r="Y349" s="617">
        <f>IFERROR(Y346/H346,"0")+IFERROR(Y347/H347,"0")+IFERROR(Y348/H348,"0")</f>
        <v>16</v>
      </c>
      <c r="Z349" s="617">
        <f>IFERROR(IF(Z346="",0,Z346),"0")+IFERROR(IF(Z347="",0,Z347),"0")+IFERROR(IF(Z348="",0,Z348),"0")</f>
        <v>0.30368000000000001</v>
      </c>
      <c r="AA349" s="618"/>
      <c r="AB349" s="618"/>
      <c r="AC349" s="618"/>
    </row>
    <row r="350" spans="1:68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40" t="s">
        <v>72</v>
      </c>
      <c r="Q350" s="641"/>
      <c r="R350" s="641"/>
      <c r="S350" s="641"/>
      <c r="T350" s="641"/>
      <c r="U350" s="641"/>
      <c r="V350" s="642"/>
      <c r="W350" s="37" t="s">
        <v>67</v>
      </c>
      <c r="X350" s="617">
        <f>IFERROR(SUM(X346:X348),"0")</f>
        <v>113</v>
      </c>
      <c r="Y350" s="617">
        <f>IFERROR(SUM(Y346:Y348),"0")</f>
        <v>124.80000000000001</v>
      </c>
      <c r="Z350" s="37"/>
      <c r="AA350" s="618"/>
      <c r="AB350" s="618"/>
      <c r="AC350" s="618"/>
    </row>
    <row r="351" spans="1:68" ht="16.5" hidden="1" customHeight="1" x14ac:dyDescent="0.25">
      <c r="A351" s="635" t="s">
        <v>572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8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7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6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7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40" t="s">
        <v>72</v>
      </c>
      <c r="Q358" s="641"/>
      <c r="R358" s="641"/>
      <c r="S358" s="641"/>
      <c r="T358" s="641"/>
      <c r="U358" s="641"/>
      <c r="V358" s="64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40" t="s">
        <v>72</v>
      </c>
      <c r="Q359" s="641"/>
      <c r="R359" s="641"/>
      <c r="S359" s="641"/>
      <c r="T359" s="641"/>
      <c r="U359" s="641"/>
      <c r="V359" s="64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7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6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7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7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9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69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40" t="s">
        <v>72</v>
      </c>
      <c r="Q368" s="641"/>
      <c r="R368" s="641"/>
      <c r="S368" s="641"/>
      <c r="T368" s="641"/>
      <c r="U368" s="641"/>
      <c r="V368" s="64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40" t="s">
        <v>72</v>
      </c>
      <c r="Q369" s="641"/>
      <c r="R369" s="641"/>
      <c r="S369" s="641"/>
      <c r="T369" s="641"/>
      <c r="U369" s="641"/>
      <c r="V369" s="642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8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84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8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40" t="s">
        <v>72</v>
      </c>
      <c r="Q375" s="641"/>
      <c r="R375" s="641"/>
      <c r="S375" s="641"/>
      <c r="T375" s="641"/>
      <c r="U375" s="641"/>
      <c r="V375" s="64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40" t="s">
        <v>72</v>
      </c>
      <c r="Q376" s="641"/>
      <c r="R376" s="641"/>
      <c r="S376" s="641"/>
      <c r="T376" s="641"/>
      <c r="U376" s="641"/>
      <c r="V376" s="64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67</v>
      </c>
      <c r="X378" s="615">
        <v>59</v>
      </c>
      <c r="Y378" s="616">
        <f>IFERROR(IF(X378="",0,CEILING((X378/$H378),1)*$H378),"")</f>
        <v>67.2</v>
      </c>
      <c r="Z378" s="36">
        <f>IFERROR(IF(Y378=0,"",ROUNDUP(Y378/H378,0)*0.01898),"")</f>
        <v>0.15184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62.469761904761903</v>
      </c>
      <c r="BN378" s="64">
        <f>IFERROR(Y378*I378/H378,"0")</f>
        <v>71.152000000000001</v>
      </c>
      <c r="BO378" s="64">
        <f>IFERROR(1/J378*(X378/H378),"0")</f>
        <v>0.10974702380952381</v>
      </c>
      <c r="BP378" s="64">
        <f>IFERROR(1/J378*(Y378/H378),"0")</f>
        <v>0.125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9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67</v>
      </c>
      <c r="X379" s="615">
        <v>477</v>
      </c>
      <c r="Y379" s="616">
        <f>IFERROR(IF(X379="",0,CEILING((X379/$H379),1)*$H379),"")</f>
        <v>483.59999999999997</v>
      </c>
      <c r="Z379" s="36">
        <f>IFERROR(IF(Y379=0,"",ROUNDUP(Y379/H379,0)*0.01898),"")</f>
        <v>1.17676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507.21000000000004</v>
      </c>
      <c r="BN379" s="64">
        <f>IFERROR(Y379*I379/H379,"0")</f>
        <v>514.22799999999995</v>
      </c>
      <c r="BO379" s="64">
        <f>IFERROR(1/J379*(X379/H379),"0")</f>
        <v>0.95552884615384615</v>
      </c>
      <c r="BP379" s="64">
        <f>IFERROR(1/J379*(Y379/H379),"0")</f>
        <v>0.96875</v>
      </c>
    </row>
    <row r="380" spans="1:68" ht="16.5" hidden="1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40" t="s">
        <v>72</v>
      </c>
      <c r="Q381" s="641"/>
      <c r="R381" s="641"/>
      <c r="S381" s="641"/>
      <c r="T381" s="641"/>
      <c r="U381" s="641"/>
      <c r="V381" s="642"/>
      <c r="W381" s="37" t="s">
        <v>73</v>
      </c>
      <c r="X381" s="617">
        <f>IFERROR(X378/H378,"0")+IFERROR(X379/H379,"0")+IFERROR(X380/H380,"0")</f>
        <v>68.177655677655679</v>
      </c>
      <c r="Y381" s="617">
        <f>IFERROR(Y378/H378,"0")+IFERROR(Y379/H379,"0")+IFERROR(Y380/H380,"0")</f>
        <v>70</v>
      </c>
      <c r="Z381" s="617">
        <f>IFERROR(IF(Z378="",0,Z378),"0")+IFERROR(IF(Z379="",0,Z379),"0")+IFERROR(IF(Z380="",0,Z380),"0")</f>
        <v>1.3286</v>
      </c>
      <c r="AA381" s="618"/>
      <c r="AB381" s="618"/>
      <c r="AC381" s="618"/>
    </row>
    <row r="382" spans="1:68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40" t="s">
        <v>72</v>
      </c>
      <c r="Q382" s="641"/>
      <c r="R382" s="641"/>
      <c r="S382" s="641"/>
      <c r="T382" s="641"/>
      <c r="U382" s="641"/>
      <c r="V382" s="642"/>
      <c r="W382" s="37" t="s">
        <v>67</v>
      </c>
      <c r="X382" s="617">
        <f>IFERROR(SUM(X378:X380),"0")</f>
        <v>536</v>
      </c>
      <c r="Y382" s="617">
        <f>IFERROR(SUM(Y378:Y380),"0")</f>
        <v>550.79999999999995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9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6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67</v>
      </c>
      <c r="X385" s="615">
        <v>7</v>
      </c>
      <c r="Y385" s="616">
        <f>IFERROR(IF(X385="",0,CEILING((X385/$H385),1)*$H385),"")</f>
        <v>9.120000000000001</v>
      </c>
      <c r="Z385" s="36">
        <f>IFERROR(IF(Y385=0,"",ROUNDUP(Y385/H385,0)*0.00902),"")</f>
        <v>2.7060000000000001E-2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7.5296052631578947</v>
      </c>
      <c r="BN385" s="64">
        <f>IFERROR(Y385*I385/H385,"0")</f>
        <v>9.81</v>
      </c>
      <c r="BO385" s="64">
        <f>IFERROR(1/J385*(X385/H385),"0")</f>
        <v>1.7444178628389158E-2</v>
      </c>
      <c r="BP385" s="64">
        <f>IFERROR(1/J385*(Y385/H385),"0")</f>
        <v>2.2727272727272731E-2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9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40" t="s">
        <v>72</v>
      </c>
      <c r="Q388" s="641"/>
      <c r="R388" s="641"/>
      <c r="S388" s="641"/>
      <c r="T388" s="641"/>
      <c r="U388" s="641"/>
      <c r="V388" s="642"/>
      <c r="W388" s="37" t="s">
        <v>73</v>
      </c>
      <c r="X388" s="617">
        <f>IFERROR(X384/H384,"0")+IFERROR(X385/H385,"0")+IFERROR(X386/H386,"0")+IFERROR(X387/H387,"0")</f>
        <v>2.3026315789473686</v>
      </c>
      <c r="Y388" s="617">
        <f>IFERROR(Y384/H384,"0")+IFERROR(Y385/H385,"0")+IFERROR(Y386/H386,"0")+IFERROR(Y387/H387,"0")</f>
        <v>3.0000000000000004</v>
      </c>
      <c r="Z388" s="617">
        <f>IFERROR(IF(Z384="",0,Z384),"0")+IFERROR(IF(Z385="",0,Z385),"0")+IFERROR(IF(Z386="",0,Z386),"0")+IFERROR(IF(Z387="",0,Z387),"0")</f>
        <v>2.7060000000000001E-2</v>
      </c>
      <c r="AA388" s="618"/>
      <c r="AB388" s="618"/>
      <c r="AC388" s="618"/>
    </row>
    <row r="389" spans="1:68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40" t="s">
        <v>72</v>
      </c>
      <c r="Q389" s="641"/>
      <c r="R389" s="641"/>
      <c r="S389" s="641"/>
      <c r="T389" s="641"/>
      <c r="U389" s="641"/>
      <c r="V389" s="642"/>
      <c r="W389" s="37" t="s">
        <v>67</v>
      </c>
      <c r="X389" s="617">
        <f>IFERROR(SUM(X384:X387),"0")</f>
        <v>7</v>
      </c>
      <c r="Y389" s="617">
        <f>IFERROR(SUM(Y384:Y387),"0")</f>
        <v>9.120000000000001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97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67</v>
      </c>
      <c r="X391" s="615">
        <v>14</v>
      </c>
      <c r="Y391" s="616">
        <f>IFERROR(IF(X391="",0,CEILING((X391/$H391),1)*$H391),"")</f>
        <v>14</v>
      </c>
      <c r="Z391" s="36">
        <f>IFERROR(IF(Y391=0,"",ROUNDUP(Y391/H391,0)*0.00474),"")</f>
        <v>3.3180000000000001E-2</v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15.680000000000001</v>
      </c>
      <c r="BN391" s="64">
        <f>IFERROR(Y391*I391/H391,"0")</f>
        <v>15.680000000000001</v>
      </c>
      <c r="BO391" s="64">
        <f>IFERROR(1/J391*(X391/H391),"0")</f>
        <v>2.9411764705882353E-2</v>
      </c>
      <c r="BP391" s="64">
        <f>IFERROR(1/J391*(Y391/H391),"0")</f>
        <v>2.9411764705882353E-2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9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67</v>
      </c>
      <c r="X392" s="615">
        <v>16</v>
      </c>
      <c r="Y392" s="616">
        <f>IFERROR(IF(X392="",0,CEILING((X392/$H392),1)*$H392),"")</f>
        <v>16</v>
      </c>
      <c r="Z392" s="36">
        <f>IFERROR(IF(Y392=0,"",ROUNDUP(Y392/H392,0)*0.00474),"")</f>
        <v>3.7920000000000002E-2</v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17.920000000000002</v>
      </c>
      <c r="BN392" s="64">
        <f>IFERROR(Y392*I392/H392,"0")</f>
        <v>17.920000000000002</v>
      </c>
      <c r="BO392" s="64">
        <f>IFERROR(1/J392*(X392/H392),"0")</f>
        <v>3.3613445378151259E-2</v>
      </c>
      <c r="BP392" s="64">
        <f>IFERROR(1/J392*(Y392/H392),"0")</f>
        <v>3.3613445378151259E-2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7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40" t="s">
        <v>72</v>
      </c>
      <c r="Q394" s="641"/>
      <c r="R394" s="641"/>
      <c r="S394" s="641"/>
      <c r="T394" s="641"/>
      <c r="U394" s="641"/>
      <c r="V394" s="642"/>
      <c r="W394" s="37" t="s">
        <v>73</v>
      </c>
      <c r="X394" s="617">
        <f>IFERROR(X391/H391,"0")+IFERROR(X392/H392,"0")+IFERROR(X393/H393,"0")</f>
        <v>15</v>
      </c>
      <c r="Y394" s="617">
        <f>IFERROR(Y391/H391,"0")+IFERROR(Y392/H392,"0")+IFERROR(Y393/H393,"0")</f>
        <v>15</v>
      </c>
      <c r="Z394" s="617">
        <f>IFERROR(IF(Z391="",0,Z391),"0")+IFERROR(IF(Z392="",0,Z392),"0")+IFERROR(IF(Z393="",0,Z393),"0")</f>
        <v>7.1099999999999997E-2</v>
      </c>
      <c r="AA394" s="618"/>
      <c r="AB394" s="618"/>
      <c r="AC394" s="618"/>
    </row>
    <row r="395" spans="1:68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40" t="s">
        <v>72</v>
      </c>
      <c r="Q395" s="641"/>
      <c r="R395" s="641"/>
      <c r="S395" s="641"/>
      <c r="T395" s="641"/>
      <c r="U395" s="641"/>
      <c r="V395" s="642"/>
      <c r="W395" s="37" t="s">
        <v>67</v>
      </c>
      <c r="X395" s="617">
        <f>IFERROR(SUM(X391:X393),"0")</f>
        <v>30</v>
      </c>
      <c r="Y395" s="617">
        <f>IFERROR(SUM(Y391:Y393),"0")</f>
        <v>30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hidden="1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8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75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40" t="s">
        <v>72</v>
      </c>
      <c r="Q400" s="641"/>
      <c r="R400" s="641"/>
      <c r="S400" s="641"/>
      <c r="T400" s="641"/>
      <c r="U400" s="641"/>
      <c r="V400" s="64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40" t="s">
        <v>72</v>
      </c>
      <c r="Q401" s="641"/>
      <c r="R401" s="641"/>
      <c r="S401" s="641"/>
      <c r="T401" s="641"/>
      <c r="U401" s="641"/>
      <c r="V401" s="64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5" t="s">
        <v>653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95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8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40" t="s">
        <v>72</v>
      </c>
      <c r="Q407" s="641"/>
      <c r="R407" s="641"/>
      <c r="S407" s="641"/>
      <c r="T407" s="641"/>
      <c r="U407" s="641"/>
      <c r="V407" s="642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40" t="s">
        <v>72</v>
      </c>
      <c r="Q408" s="641"/>
      <c r="R408" s="641"/>
      <c r="S408" s="641"/>
      <c r="T408" s="641"/>
      <c r="U408" s="641"/>
      <c r="V408" s="642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23" t="s">
        <v>663</v>
      </c>
      <c r="B409" s="724"/>
      <c r="C409" s="724"/>
      <c r="D409" s="724"/>
      <c r="E409" s="724"/>
      <c r="F409" s="724"/>
      <c r="G409" s="724"/>
      <c r="H409" s="724"/>
      <c r="I409" s="724"/>
      <c r="J409" s="724"/>
      <c r="K409" s="724"/>
      <c r="L409" s="724"/>
      <c r="M409" s="724"/>
      <c r="N409" s="724"/>
      <c r="O409" s="724"/>
      <c r="P409" s="724"/>
      <c r="Q409" s="724"/>
      <c r="R409" s="724"/>
      <c r="S409" s="724"/>
      <c r="T409" s="724"/>
      <c r="U409" s="724"/>
      <c r="V409" s="724"/>
      <c r="W409" s="724"/>
      <c r="X409" s="724"/>
      <c r="Y409" s="724"/>
      <c r="Z409" s="724"/>
      <c r="AA409" s="48"/>
      <c r="AB409" s="48"/>
      <c r="AC409" s="48"/>
    </row>
    <row r="410" spans="1:68" ht="16.5" hidden="1" customHeight="1" x14ac:dyDescent="0.25">
      <c r="A410" s="635" t="s">
        <v>664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hidden="1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9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67</v>
      </c>
      <c r="X413" s="615">
        <v>1336</v>
      </c>
      <c r="Y413" s="616">
        <f t="shared" si="47"/>
        <v>1350</v>
      </c>
      <c r="Z413" s="36">
        <f>IFERROR(IF(Y413=0,"",ROUNDUP(Y413/H413,0)*0.02175),"")</f>
        <v>1.9574999999999998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1377.8613333333335</v>
      </c>
      <c r="BN413" s="64">
        <f t="shared" si="49"/>
        <v>1392.3</v>
      </c>
      <c r="BO413" s="64">
        <f t="shared" si="50"/>
        <v>1.8555555555555554</v>
      </c>
      <c r="BP413" s="64">
        <f t="shared" si="51"/>
        <v>1.875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67</v>
      </c>
      <c r="X414" s="615">
        <v>962</v>
      </c>
      <c r="Y414" s="616">
        <f t="shared" si="47"/>
        <v>975</v>
      </c>
      <c r="Z414" s="36">
        <f>IFERROR(IF(Y414=0,"",ROUNDUP(Y414/H414,0)*0.02175),"")</f>
        <v>1.4137499999999998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992.14266666666674</v>
      </c>
      <c r="BN414" s="64">
        <f t="shared" si="49"/>
        <v>1005.55</v>
      </c>
      <c r="BO414" s="64">
        <f t="shared" si="50"/>
        <v>1.3361111111111112</v>
      </c>
      <c r="BP414" s="64">
        <f t="shared" si="51"/>
        <v>1.3541666666666665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6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67</v>
      </c>
      <c r="X415" s="615">
        <v>111</v>
      </c>
      <c r="Y415" s="616">
        <f t="shared" si="47"/>
        <v>120</v>
      </c>
      <c r="Z415" s="36">
        <f>IFERROR(IF(Y415=0,"",ROUNDUP(Y415/H415,0)*0.02175),"")</f>
        <v>0.17399999999999999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114.47800000000001</v>
      </c>
      <c r="BN415" s="64">
        <f t="shared" si="49"/>
        <v>123.76</v>
      </c>
      <c r="BO415" s="64">
        <f t="shared" si="50"/>
        <v>0.15416666666666667</v>
      </c>
      <c r="BP415" s="64">
        <f t="shared" si="51"/>
        <v>0.16666666666666666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67</v>
      </c>
      <c r="X416" s="615">
        <v>891</v>
      </c>
      <c r="Y416" s="616">
        <f t="shared" si="47"/>
        <v>900</v>
      </c>
      <c r="Z416" s="36">
        <f>IFERROR(IF(Y416=0,"",ROUNDUP(Y416/H416,0)*0.02175),"")</f>
        <v>1.3049999999999999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918.91800000000001</v>
      </c>
      <c r="BN416" s="64">
        <f t="shared" si="49"/>
        <v>928.2</v>
      </c>
      <c r="BO416" s="64">
        <f t="shared" si="50"/>
        <v>1.2374999999999998</v>
      </c>
      <c r="BP416" s="64">
        <f t="shared" si="51"/>
        <v>1.25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40" t="s">
        <v>72</v>
      </c>
      <c r="Q420" s="641"/>
      <c r="R420" s="641"/>
      <c r="S420" s="641"/>
      <c r="T420" s="641"/>
      <c r="U420" s="641"/>
      <c r="V420" s="64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220</v>
      </c>
      <c r="Y420" s="617">
        <f>IFERROR(Y412/H412,"0")+IFERROR(Y413/H413,"0")+IFERROR(Y414/H414,"0")+IFERROR(Y415/H415,"0")+IFERROR(Y416/H416,"0")+IFERROR(Y417/H417,"0")+IFERROR(Y418/H418,"0")+IFERROR(Y419/H419,"0")</f>
        <v>223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4.85025</v>
      </c>
      <c r="AA420" s="618"/>
      <c r="AB420" s="618"/>
      <c r="AC420" s="618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40" t="s">
        <v>72</v>
      </c>
      <c r="Q421" s="641"/>
      <c r="R421" s="641"/>
      <c r="S421" s="641"/>
      <c r="T421" s="641"/>
      <c r="U421" s="641"/>
      <c r="V421" s="642"/>
      <c r="W421" s="37" t="s">
        <v>67</v>
      </c>
      <c r="X421" s="617">
        <f>IFERROR(SUM(X412:X419),"0")</f>
        <v>3300</v>
      </c>
      <c r="Y421" s="617">
        <f>IFERROR(SUM(Y412:Y419),"0")</f>
        <v>3345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67</v>
      </c>
      <c r="X423" s="615">
        <v>576</v>
      </c>
      <c r="Y423" s="616">
        <f>IFERROR(IF(X423="",0,CEILING((X423/$H423),1)*$H423),"")</f>
        <v>585</v>
      </c>
      <c r="Z423" s="36">
        <f>IFERROR(IF(Y423=0,"",ROUNDUP(Y423/H423,0)*0.02175),"")</f>
        <v>0.84824999999999995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594.04800000000012</v>
      </c>
      <c r="BN423" s="64">
        <f>IFERROR(Y423*I423/H423,"0")</f>
        <v>603.33000000000004</v>
      </c>
      <c r="BO423" s="64">
        <f>IFERROR(1/J423*(X423/H423),"0")</f>
        <v>0.79999999999999993</v>
      </c>
      <c r="BP423" s="64">
        <f>IFERROR(1/J423*(Y423/H423),"0")</f>
        <v>0.8125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84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67</v>
      </c>
      <c r="X424" s="615">
        <v>45</v>
      </c>
      <c r="Y424" s="616">
        <f>IFERROR(IF(X424="",0,CEILING((X424/$H424),1)*$H424),"")</f>
        <v>45</v>
      </c>
      <c r="Z424" s="36">
        <f>IFERROR(IF(Y424=0,"",ROUNDUP(Y424/H424,0)*0.02175),"")</f>
        <v>6.5250000000000002E-2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46.41</v>
      </c>
      <c r="BN424" s="64">
        <f>IFERROR(Y424*I424/H424,"0")</f>
        <v>46.41</v>
      </c>
      <c r="BO424" s="64">
        <f>IFERROR(1/J424*(X424/H424),"0")</f>
        <v>6.25E-2</v>
      </c>
      <c r="BP424" s="64">
        <f>IFERROR(1/J424*(Y424/H424),"0")</f>
        <v>6.25E-2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40" t="s">
        <v>72</v>
      </c>
      <c r="Q426" s="641"/>
      <c r="R426" s="641"/>
      <c r="S426" s="641"/>
      <c r="T426" s="641"/>
      <c r="U426" s="641"/>
      <c r="V426" s="642"/>
      <c r="W426" s="37" t="s">
        <v>73</v>
      </c>
      <c r="X426" s="617">
        <f>IFERROR(X423/H423,"0")+IFERROR(X424/H424,"0")+IFERROR(X425/H425,"0")</f>
        <v>41.4</v>
      </c>
      <c r="Y426" s="617">
        <f>IFERROR(Y423/H423,"0")+IFERROR(Y424/H424,"0")+IFERROR(Y425/H425,"0")</f>
        <v>42</v>
      </c>
      <c r="Z426" s="617">
        <f>IFERROR(IF(Z423="",0,Z423),"0")+IFERROR(IF(Z424="",0,Z424),"0")+IFERROR(IF(Z425="",0,Z425),"0")</f>
        <v>0.91349999999999998</v>
      </c>
      <c r="AA426" s="618"/>
      <c r="AB426" s="618"/>
      <c r="AC426" s="618"/>
    </row>
    <row r="427" spans="1:68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40" t="s">
        <v>72</v>
      </c>
      <c r="Q427" s="641"/>
      <c r="R427" s="641"/>
      <c r="S427" s="641"/>
      <c r="T427" s="641"/>
      <c r="U427" s="641"/>
      <c r="V427" s="642"/>
      <c r="W427" s="37" t="s">
        <v>67</v>
      </c>
      <c r="X427" s="617">
        <f>IFERROR(SUM(X423:X425),"0")</f>
        <v>621</v>
      </c>
      <c r="Y427" s="617">
        <f>IFERROR(SUM(Y423:Y425),"0")</f>
        <v>630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7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8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67</v>
      </c>
      <c r="X431" s="615">
        <v>80</v>
      </c>
      <c r="Y431" s="616">
        <f>IFERROR(IF(X431="",0,CEILING((X431/$H431),1)*$H431),"")</f>
        <v>81</v>
      </c>
      <c r="Z431" s="36">
        <f>IFERROR(IF(Y431=0,"",ROUNDUP(Y431/H431,0)*0.01898),"")</f>
        <v>0.17082</v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84.391111111111115</v>
      </c>
      <c r="BN431" s="64">
        <f>IFERROR(Y431*I431/H431,"0")</f>
        <v>85.445999999999998</v>
      </c>
      <c r="BO431" s="64">
        <f>IFERROR(1/J431*(X431/H431),"0")</f>
        <v>0.1388888888888889</v>
      </c>
      <c r="BP431" s="64">
        <f>IFERROR(1/J431*(Y431/H431),"0")</f>
        <v>0.140625</v>
      </c>
    </row>
    <row r="432" spans="1:68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40" t="s">
        <v>72</v>
      </c>
      <c r="Q432" s="641"/>
      <c r="R432" s="641"/>
      <c r="S432" s="641"/>
      <c r="T432" s="641"/>
      <c r="U432" s="641"/>
      <c r="V432" s="642"/>
      <c r="W432" s="37" t="s">
        <v>73</v>
      </c>
      <c r="X432" s="617">
        <f>IFERROR(X429/H429,"0")+IFERROR(X430/H430,"0")+IFERROR(X431/H431,"0")</f>
        <v>8.8888888888888893</v>
      </c>
      <c r="Y432" s="617">
        <f>IFERROR(Y429/H429,"0")+IFERROR(Y430/H430,"0")+IFERROR(Y431/H431,"0")</f>
        <v>9</v>
      </c>
      <c r="Z432" s="617">
        <f>IFERROR(IF(Z429="",0,Z429),"0")+IFERROR(IF(Z430="",0,Z430),"0")+IFERROR(IF(Z431="",0,Z431),"0")</f>
        <v>0.17082</v>
      </c>
      <c r="AA432" s="618"/>
      <c r="AB432" s="618"/>
      <c r="AC432" s="618"/>
    </row>
    <row r="433" spans="1:68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40" t="s">
        <v>72</v>
      </c>
      <c r="Q433" s="641"/>
      <c r="R433" s="641"/>
      <c r="S433" s="641"/>
      <c r="T433" s="641"/>
      <c r="U433" s="641"/>
      <c r="V433" s="642"/>
      <c r="W433" s="37" t="s">
        <v>67</v>
      </c>
      <c r="X433" s="617">
        <f>IFERROR(SUM(X429:X431),"0")</f>
        <v>80</v>
      </c>
      <c r="Y433" s="617">
        <f>IFERROR(SUM(Y429:Y431),"0")</f>
        <v>81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67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6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67</v>
      </c>
      <c r="X436" s="615">
        <v>85</v>
      </c>
      <c r="Y436" s="616">
        <f>IFERROR(IF(X436="",0,CEILING((X436/$H436),1)*$H436),"")</f>
        <v>90</v>
      </c>
      <c r="Z436" s="36">
        <f>IFERROR(IF(Y436=0,"",ROUNDUP(Y436/H436,0)*0.01898),"")</f>
        <v>0.1898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89.665555555555557</v>
      </c>
      <c r="BN436" s="64">
        <f>IFERROR(Y436*I436/H436,"0")</f>
        <v>94.94</v>
      </c>
      <c r="BO436" s="64">
        <f>IFERROR(1/J436*(X436/H436),"0")</f>
        <v>0.14756944444444445</v>
      </c>
      <c r="BP436" s="64">
        <f>IFERROR(1/J436*(Y436/H436),"0")</f>
        <v>0.15625</v>
      </c>
    </row>
    <row r="437" spans="1:68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40" t="s">
        <v>72</v>
      </c>
      <c r="Q437" s="641"/>
      <c r="R437" s="641"/>
      <c r="S437" s="641"/>
      <c r="T437" s="641"/>
      <c r="U437" s="641"/>
      <c r="V437" s="642"/>
      <c r="W437" s="37" t="s">
        <v>73</v>
      </c>
      <c r="X437" s="617">
        <f>IFERROR(X435/H435,"0")+IFERROR(X436/H436,"0")</f>
        <v>9.4444444444444446</v>
      </c>
      <c r="Y437" s="617">
        <f>IFERROR(Y435/H435,"0")+IFERROR(Y436/H436,"0")</f>
        <v>10</v>
      </c>
      <c r="Z437" s="617">
        <f>IFERROR(IF(Z435="",0,Z435),"0")+IFERROR(IF(Z436="",0,Z436),"0")</f>
        <v>0.1898</v>
      </c>
      <c r="AA437" s="618"/>
      <c r="AB437" s="618"/>
      <c r="AC437" s="618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40" t="s">
        <v>72</v>
      </c>
      <c r="Q438" s="641"/>
      <c r="R438" s="641"/>
      <c r="S438" s="641"/>
      <c r="T438" s="641"/>
      <c r="U438" s="641"/>
      <c r="V438" s="642"/>
      <c r="W438" s="37" t="s">
        <v>67</v>
      </c>
      <c r="X438" s="617">
        <f>IFERROR(SUM(X435:X436),"0")</f>
        <v>85</v>
      </c>
      <c r="Y438" s="617">
        <f>IFERROR(SUM(Y435:Y436),"0")</f>
        <v>90</v>
      </c>
      <c r="Z438" s="37"/>
      <c r="AA438" s="618"/>
      <c r="AB438" s="618"/>
      <c r="AC438" s="618"/>
    </row>
    <row r="439" spans="1:68" ht="16.5" hidden="1" customHeight="1" x14ac:dyDescent="0.25">
      <c r="A439" s="635" t="s">
        <v>713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40" t="s">
        <v>72</v>
      </c>
      <c r="Q443" s="641"/>
      <c r="R443" s="641"/>
      <c r="S443" s="641"/>
      <c r="T443" s="641"/>
      <c r="U443" s="641"/>
      <c r="V443" s="64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40" t="s">
        <v>72</v>
      </c>
      <c r="Q444" s="641"/>
      <c r="R444" s="641"/>
      <c r="S444" s="641"/>
      <c r="T444" s="641"/>
      <c r="U444" s="641"/>
      <c r="V444" s="64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40" t="s">
        <v>72</v>
      </c>
      <c r="Q447" s="641"/>
      <c r="R447" s="641"/>
      <c r="S447" s="641"/>
      <c r="T447" s="641"/>
      <c r="U447" s="641"/>
      <c r="V447" s="64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40" t="s">
        <v>72</v>
      </c>
      <c r="Q448" s="641"/>
      <c r="R448" s="641"/>
      <c r="S448" s="641"/>
      <c r="T448" s="641"/>
      <c r="U448" s="641"/>
      <c r="V448" s="64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84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67</v>
      </c>
      <c r="X450" s="615">
        <v>784</v>
      </c>
      <c r="Y450" s="616">
        <f>IFERROR(IF(X450="",0,CEILING((X450/$H450),1)*$H450),"")</f>
        <v>792</v>
      </c>
      <c r="Z450" s="36">
        <f>IFERROR(IF(Y450=0,"",ROUNDUP(Y450/H450,0)*0.01898),"")</f>
        <v>1.6702399999999999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827.03288888888892</v>
      </c>
      <c r="BN450" s="64">
        <f>IFERROR(Y450*I450/H450,"0")</f>
        <v>835.47199999999998</v>
      </c>
      <c r="BO450" s="64">
        <f>IFERROR(1/J450*(X450/H450),"0")</f>
        <v>1.3611111111111112</v>
      </c>
      <c r="BP450" s="64">
        <f>IFERROR(1/J450*(Y450/H450),"0")</f>
        <v>1.375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67</v>
      </c>
      <c r="X451" s="615">
        <v>2</v>
      </c>
      <c r="Y451" s="616">
        <f>IFERROR(IF(X451="",0,CEILING((X451/$H451),1)*$H451),"")</f>
        <v>2.4</v>
      </c>
      <c r="Z451" s="36">
        <f>IFERROR(IF(Y451=0,"",ROUNDUP(Y451/H451,0)*0.00651),"")</f>
        <v>6.5100000000000002E-3</v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2.2200000000000002</v>
      </c>
      <c r="BN451" s="64">
        <f>IFERROR(Y451*I451/H451,"0")</f>
        <v>2.6640000000000001</v>
      </c>
      <c r="BO451" s="64">
        <f>IFERROR(1/J451*(X451/H451),"0")</f>
        <v>4.578754578754579E-3</v>
      </c>
      <c r="BP451" s="64">
        <f>IFERROR(1/J451*(Y451/H451),"0")</f>
        <v>5.4945054945054949E-3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40" t="s">
        <v>72</v>
      </c>
      <c r="Q453" s="641"/>
      <c r="R453" s="641"/>
      <c r="S453" s="641"/>
      <c r="T453" s="641"/>
      <c r="U453" s="641"/>
      <c r="V453" s="642"/>
      <c r="W453" s="37" t="s">
        <v>73</v>
      </c>
      <c r="X453" s="617">
        <f>IFERROR(X450/H450,"0")+IFERROR(X451/H451,"0")+IFERROR(X452/H452,"0")</f>
        <v>87.944444444444443</v>
      </c>
      <c r="Y453" s="617">
        <f>IFERROR(Y450/H450,"0")+IFERROR(Y451/H451,"0")+IFERROR(Y452/H452,"0")</f>
        <v>89</v>
      </c>
      <c r="Z453" s="617">
        <f>IFERROR(IF(Z450="",0,Z450),"0")+IFERROR(IF(Z451="",0,Z451),"0")+IFERROR(IF(Z452="",0,Z452),"0")</f>
        <v>1.67675</v>
      </c>
      <c r="AA453" s="618"/>
      <c r="AB453" s="618"/>
      <c r="AC453" s="618"/>
    </row>
    <row r="454" spans="1:68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40" t="s">
        <v>72</v>
      </c>
      <c r="Q454" s="641"/>
      <c r="R454" s="641"/>
      <c r="S454" s="641"/>
      <c r="T454" s="641"/>
      <c r="U454" s="641"/>
      <c r="V454" s="642"/>
      <c r="W454" s="37" t="s">
        <v>67</v>
      </c>
      <c r="X454" s="617">
        <f>IFERROR(SUM(X450:X452),"0")</f>
        <v>786</v>
      </c>
      <c r="Y454" s="617">
        <f>IFERROR(SUM(Y450:Y452),"0")</f>
        <v>794.4</v>
      </c>
      <c r="Z454" s="37"/>
      <c r="AA454" s="618"/>
      <c r="AB454" s="618"/>
      <c r="AC454" s="618"/>
    </row>
    <row r="455" spans="1:68" ht="27.75" hidden="1" customHeight="1" x14ac:dyDescent="0.2">
      <c r="A455" s="723" t="s">
        <v>729</v>
      </c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4"/>
      <c r="P455" s="724"/>
      <c r="Q455" s="724"/>
      <c r="R455" s="724"/>
      <c r="S455" s="724"/>
      <c r="T455" s="724"/>
      <c r="U455" s="724"/>
      <c r="V455" s="724"/>
      <c r="W455" s="724"/>
      <c r="X455" s="724"/>
      <c r="Y455" s="724"/>
      <c r="Z455" s="724"/>
      <c r="AA455" s="48"/>
      <c r="AB455" s="48"/>
      <c r="AC455" s="48"/>
    </row>
    <row r="456" spans="1:68" ht="16.5" hidden="1" customHeight="1" x14ac:dyDescent="0.25">
      <c r="A456" s="635" t="s">
        <v>730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7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7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40" t="s">
        <v>72</v>
      </c>
      <c r="Q464" s="641"/>
      <c r="R464" s="641"/>
      <c r="S464" s="641"/>
      <c r="T464" s="641"/>
      <c r="U464" s="641"/>
      <c r="V464" s="64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40" t="s">
        <v>72</v>
      </c>
      <c r="Q465" s="641"/>
      <c r="R465" s="641"/>
      <c r="S465" s="641"/>
      <c r="T465" s="641"/>
      <c r="U465" s="641"/>
      <c r="V465" s="64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96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40" t="s">
        <v>72</v>
      </c>
      <c r="Q469" s="641"/>
      <c r="R469" s="641"/>
      <c r="S469" s="641"/>
      <c r="T469" s="641"/>
      <c r="U469" s="641"/>
      <c r="V469" s="64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40" t="s">
        <v>72</v>
      </c>
      <c r="Q470" s="641"/>
      <c r="R470" s="641"/>
      <c r="S470" s="641"/>
      <c r="T470" s="641"/>
      <c r="U470" s="641"/>
      <c r="V470" s="64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5" t="s">
        <v>753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9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40" t="s">
        <v>72</v>
      </c>
      <c r="Q474" s="641"/>
      <c r="R474" s="641"/>
      <c r="S474" s="641"/>
      <c r="T474" s="641"/>
      <c r="U474" s="641"/>
      <c r="V474" s="64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40" t="s">
        <v>72</v>
      </c>
      <c r="Q475" s="641"/>
      <c r="R475" s="641"/>
      <c r="S475" s="641"/>
      <c r="T475" s="641"/>
      <c r="U475" s="641"/>
      <c r="V475" s="64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hidden="1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78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40" t="s">
        <v>72</v>
      </c>
      <c r="Q480" s="641"/>
      <c r="R480" s="641"/>
      <c r="S480" s="641"/>
      <c r="T480" s="641"/>
      <c r="U480" s="641"/>
      <c r="V480" s="64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40" t="s">
        <v>72</v>
      </c>
      <c r="Q481" s="641"/>
      <c r="R481" s="641"/>
      <c r="S481" s="641"/>
      <c r="T481" s="641"/>
      <c r="U481" s="641"/>
      <c r="V481" s="64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23" t="s">
        <v>765</v>
      </c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4"/>
      <c r="P482" s="724"/>
      <c r="Q482" s="724"/>
      <c r="R482" s="724"/>
      <c r="S482" s="724"/>
      <c r="T482" s="724"/>
      <c r="U482" s="724"/>
      <c r="V482" s="724"/>
      <c r="W482" s="724"/>
      <c r="X482" s="724"/>
      <c r="Y482" s="724"/>
      <c r="Z482" s="724"/>
      <c r="AA482" s="48"/>
      <c r="AB482" s="48"/>
      <c r="AC482" s="48"/>
    </row>
    <row r="483" spans="1:68" ht="16.5" hidden="1" customHeight="1" x14ac:dyDescent="0.25">
      <c r="A483" s="635" t="s">
        <v>765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7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67</v>
      </c>
      <c r="X485" s="615">
        <v>62</v>
      </c>
      <c r="Y485" s="616">
        <f t="shared" ref="Y485:Y493" si="57">IFERROR(IF(X485="",0,CEILING((X485/$H485),1)*$H485),"")</f>
        <v>63.36</v>
      </c>
      <c r="Z485" s="36">
        <f t="shared" ref="Z485:Z490" si="58">IFERROR(IF(Y485=0,"",ROUNDUP(Y485/H485,0)*0.01196),"")</f>
        <v>0.14352000000000001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66.109848484848484</v>
      </c>
      <c r="BN485" s="64">
        <f t="shared" ref="BN485:BN493" si="60">IFERROR(Y485*I485/H485,"0")</f>
        <v>67.559999999999988</v>
      </c>
      <c r="BO485" s="64">
        <f t="shared" ref="BO485:BO493" si="61">IFERROR(1/J485*(X485/H485),"0")</f>
        <v>0.11290792540792541</v>
      </c>
      <c r="BP485" s="64">
        <f t="shared" ref="BP485:BP493" si="62">IFERROR(1/J485*(Y485/H485),"0")</f>
        <v>0.11538461538461539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7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67</v>
      </c>
      <c r="X487" s="615">
        <v>27</v>
      </c>
      <c r="Y487" s="616">
        <f t="shared" si="57"/>
        <v>31.68</v>
      </c>
      <c r="Z487" s="36">
        <f t="shared" si="58"/>
        <v>7.1760000000000004E-2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28.789772727272723</v>
      </c>
      <c r="BN487" s="64">
        <f t="shared" si="60"/>
        <v>33.779999999999994</v>
      </c>
      <c r="BO487" s="64">
        <f t="shared" si="61"/>
        <v>4.9169580419580416E-2</v>
      </c>
      <c r="BP487" s="64">
        <f t="shared" si="62"/>
        <v>5.7692307692307696E-2</v>
      </c>
    </row>
    <row r="488" spans="1:68" ht="27" hidden="1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7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7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67</v>
      </c>
      <c r="X490" s="615">
        <v>136</v>
      </c>
      <c r="Y490" s="616">
        <f t="shared" si="57"/>
        <v>137.28</v>
      </c>
      <c r="Z490" s="36">
        <f t="shared" si="58"/>
        <v>0.31096000000000001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145.0151515151515</v>
      </c>
      <c r="BN490" s="64">
        <f t="shared" si="60"/>
        <v>146.38</v>
      </c>
      <c r="BO490" s="64">
        <f t="shared" si="61"/>
        <v>0.24766899766899769</v>
      </c>
      <c r="BP490" s="64">
        <f t="shared" si="62"/>
        <v>0.25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67</v>
      </c>
      <c r="X493" s="615">
        <v>18</v>
      </c>
      <c r="Y493" s="616">
        <f t="shared" si="57"/>
        <v>19.2</v>
      </c>
      <c r="Z493" s="36">
        <f>IFERROR(IF(Y493=0,"",ROUNDUP(Y493/H493,0)*0.00902),"")</f>
        <v>3.6080000000000001E-2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25.912500000000001</v>
      </c>
      <c r="BN493" s="64">
        <f t="shared" si="60"/>
        <v>27.64</v>
      </c>
      <c r="BO493" s="64">
        <f t="shared" si="61"/>
        <v>2.8409090909090912E-2</v>
      </c>
      <c r="BP493" s="64">
        <f t="shared" si="62"/>
        <v>3.0303030303030304E-2</v>
      </c>
    </row>
    <row r="494" spans="1:68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40" t="s">
        <v>72</v>
      </c>
      <c r="Q494" s="641"/>
      <c r="R494" s="641"/>
      <c r="S494" s="641"/>
      <c r="T494" s="641"/>
      <c r="U494" s="641"/>
      <c r="V494" s="64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46.36363636363636</v>
      </c>
      <c r="Y494" s="617">
        <f>IFERROR(Y485/H485,"0")+IFERROR(Y486/H486,"0")+IFERROR(Y487/H487,"0")+IFERROR(Y488/H488,"0")+IFERROR(Y489/H489,"0")+IFERROR(Y490/H490,"0")+IFERROR(Y491/H491,"0")+IFERROR(Y492/H492,"0")+IFERROR(Y493/H493,"0")</f>
        <v>48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0.56232000000000004</v>
      </c>
      <c r="AA494" s="618"/>
      <c r="AB494" s="618"/>
      <c r="AC494" s="618"/>
    </row>
    <row r="495" spans="1:68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40" t="s">
        <v>72</v>
      </c>
      <c r="Q495" s="641"/>
      <c r="R495" s="641"/>
      <c r="S495" s="641"/>
      <c r="T495" s="641"/>
      <c r="U495" s="641"/>
      <c r="V495" s="642"/>
      <c r="W495" s="37" t="s">
        <v>67</v>
      </c>
      <c r="X495" s="617">
        <f>IFERROR(SUM(X485:X493),"0")</f>
        <v>243</v>
      </c>
      <c r="Y495" s="617">
        <f>IFERROR(SUM(Y485:Y493),"0")</f>
        <v>251.51999999999998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hidden="1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67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6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40" t="s">
        <v>72</v>
      </c>
      <c r="Q500" s="641"/>
      <c r="R500" s="641"/>
      <c r="S500" s="641"/>
      <c r="T500" s="641"/>
      <c r="U500" s="641"/>
      <c r="V500" s="642"/>
      <c r="W500" s="37" t="s">
        <v>73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40" t="s">
        <v>72</v>
      </c>
      <c r="Q501" s="641"/>
      <c r="R501" s="641"/>
      <c r="S501" s="641"/>
      <c r="T501" s="641"/>
      <c r="U501" s="641"/>
      <c r="V501" s="642"/>
      <c r="W501" s="37" t="s">
        <v>67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67</v>
      </c>
      <c r="X503" s="615">
        <v>34</v>
      </c>
      <c r="Y503" s="616">
        <f t="shared" ref="Y503:Y509" si="63">IFERROR(IF(X503="",0,CEILING((X503/$H503),1)*$H503),"")</f>
        <v>36.96</v>
      </c>
      <c r="Z503" s="36">
        <f>IFERROR(IF(Y503=0,"",ROUNDUP(Y503/H503,0)*0.01196),"")</f>
        <v>8.3720000000000003E-2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36.253787878787875</v>
      </c>
      <c r="BN503" s="64">
        <f t="shared" ref="BN503:BN509" si="65">IFERROR(Y503*I503/H503,"0")</f>
        <v>39.409999999999997</v>
      </c>
      <c r="BO503" s="64">
        <f t="shared" ref="BO503:BO509" si="66">IFERROR(1/J503*(X503/H503),"0")</f>
        <v>6.1917249417249423E-2</v>
      </c>
      <c r="BP503" s="64">
        <f t="shared" ref="BP503:BP509" si="67">IFERROR(1/J503*(Y503/H503),"0")</f>
        <v>6.7307692307692318E-2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0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67</v>
      </c>
      <c r="X504" s="615">
        <v>165</v>
      </c>
      <c r="Y504" s="616">
        <f t="shared" si="63"/>
        <v>168.96</v>
      </c>
      <c r="Z504" s="36">
        <f>IFERROR(IF(Y504=0,"",ROUNDUP(Y504/H504,0)*0.01196),"")</f>
        <v>0.38272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175.93749999999997</v>
      </c>
      <c r="BN504" s="64">
        <f t="shared" si="65"/>
        <v>180.16</v>
      </c>
      <c r="BO504" s="64">
        <f t="shared" si="66"/>
        <v>0.30048076923076927</v>
      </c>
      <c r="BP504" s="64">
        <f t="shared" si="67"/>
        <v>0.30769230769230771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67</v>
      </c>
      <c r="X505" s="615">
        <v>42</v>
      </c>
      <c r="Y505" s="616">
        <f t="shared" si="63"/>
        <v>42.24</v>
      </c>
      <c r="Z505" s="36">
        <f>IFERROR(IF(Y505=0,"",ROUNDUP(Y505/H505,0)*0.01196),"")</f>
        <v>9.5680000000000001E-2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44.784090909090907</v>
      </c>
      <c r="BN505" s="64">
        <f t="shared" si="65"/>
        <v>45.04</v>
      </c>
      <c r="BO505" s="64">
        <f t="shared" si="66"/>
        <v>7.6486013986013984E-2</v>
      </c>
      <c r="BP505" s="64">
        <f t="shared" si="67"/>
        <v>7.6923076923076927E-2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6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9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6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67</v>
      </c>
      <c r="X509" s="615">
        <v>7</v>
      </c>
      <c r="Y509" s="616">
        <f t="shared" si="63"/>
        <v>9.6</v>
      </c>
      <c r="Z509" s="36">
        <f>IFERROR(IF(Y509=0,"",ROUNDUP(Y509/H509,0)*0.00902),"")</f>
        <v>1.804E-2</v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9.7270833333333329</v>
      </c>
      <c r="BN509" s="64">
        <f t="shared" si="65"/>
        <v>13.34</v>
      </c>
      <c r="BO509" s="64">
        <f t="shared" si="66"/>
        <v>1.10479797979798E-2</v>
      </c>
      <c r="BP509" s="64">
        <f t="shared" si="67"/>
        <v>1.5151515151515152E-2</v>
      </c>
    </row>
    <row r="510" spans="1:68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40" t="s">
        <v>72</v>
      </c>
      <c r="Q510" s="641"/>
      <c r="R510" s="641"/>
      <c r="S510" s="641"/>
      <c r="T510" s="641"/>
      <c r="U510" s="641"/>
      <c r="V510" s="64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47.102272727272727</v>
      </c>
      <c r="Y510" s="617">
        <f>IFERROR(Y503/H503,"0")+IFERROR(Y504/H504,"0")+IFERROR(Y505/H505,"0")+IFERROR(Y506/H506,"0")+IFERROR(Y507/H507,"0")+IFERROR(Y508/H508,"0")+IFERROR(Y509/H509,"0")</f>
        <v>49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0.58016000000000001</v>
      </c>
      <c r="AA510" s="618"/>
      <c r="AB510" s="618"/>
      <c r="AC510" s="618"/>
    </row>
    <row r="511" spans="1:68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40" t="s">
        <v>72</v>
      </c>
      <c r="Q511" s="641"/>
      <c r="R511" s="641"/>
      <c r="S511" s="641"/>
      <c r="T511" s="641"/>
      <c r="U511" s="641"/>
      <c r="V511" s="642"/>
      <c r="W511" s="37" t="s">
        <v>67</v>
      </c>
      <c r="X511" s="617">
        <f>IFERROR(SUM(X503:X509),"0")</f>
        <v>248</v>
      </c>
      <c r="Y511" s="617">
        <f>IFERROR(SUM(Y503:Y509),"0")</f>
        <v>257.76000000000005</v>
      </c>
      <c r="Z511" s="37"/>
      <c r="AA511" s="618"/>
      <c r="AB511" s="618"/>
      <c r="AC511" s="618"/>
    </row>
    <row r="512" spans="1:68" ht="27.75" hidden="1" customHeight="1" x14ac:dyDescent="0.2">
      <c r="A512" s="723" t="s">
        <v>812</v>
      </c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4"/>
      <c r="P512" s="724"/>
      <c r="Q512" s="724"/>
      <c r="R512" s="724"/>
      <c r="S512" s="724"/>
      <c r="T512" s="724"/>
      <c r="U512" s="724"/>
      <c r="V512" s="724"/>
      <c r="W512" s="724"/>
      <c r="X512" s="724"/>
      <c r="Y512" s="724"/>
      <c r="Z512" s="724"/>
      <c r="AA512" s="48"/>
      <c r="AB512" s="48"/>
      <c r="AC512" s="48"/>
    </row>
    <row r="513" spans="1:68" ht="16.5" hidden="1" customHeight="1" x14ac:dyDescent="0.25">
      <c r="A513" s="635" t="s">
        <v>812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7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40" t="s">
        <v>72</v>
      </c>
      <c r="Q516" s="641"/>
      <c r="R516" s="641"/>
      <c r="S516" s="641"/>
      <c r="T516" s="641"/>
      <c r="U516" s="641"/>
      <c r="V516" s="64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40" t="s">
        <v>72</v>
      </c>
      <c r="Q517" s="641"/>
      <c r="R517" s="641"/>
      <c r="S517" s="641"/>
      <c r="T517" s="641"/>
      <c r="U517" s="641"/>
      <c r="V517" s="64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40" t="s">
        <v>72</v>
      </c>
      <c r="Q520" s="641"/>
      <c r="R520" s="641"/>
      <c r="S520" s="641"/>
      <c r="T520" s="641"/>
      <c r="U520" s="641"/>
      <c r="V520" s="64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40" t="s">
        <v>72</v>
      </c>
      <c r="Q521" s="641"/>
      <c r="R521" s="641"/>
      <c r="S521" s="641"/>
      <c r="T521" s="641"/>
      <c r="U521" s="641"/>
      <c r="V521" s="64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8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40" t="s">
        <v>72</v>
      </c>
      <c r="Q525" s="641"/>
      <c r="R525" s="641"/>
      <c r="S525" s="641"/>
      <c r="T525" s="641"/>
      <c r="U525" s="641"/>
      <c r="V525" s="64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40" t="s">
        <v>72</v>
      </c>
      <c r="Q526" s="641"/>
      <c r="R526" s="641"/>
      <c r="S526" s="641"/>
      <c r="T526" s="641"/>
      <c r="U526" s="641"/>
      <c r="V526" s="64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40" t="s">
        <v>72</v>
      </c>
      <c r="Q529" s="641"/>
      <c r="R529" s="641"/>
      <c r="S529" s="641"/>
      <c r="T529" s="641"/>
      <c r="U529" s="641"/>
      <c r="V529" s="64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40" t="s">
        <v>72</v>
      </c>
      <c r="Q530" s="641"/>
      <c r="R530" s="641"/>
      <c r="S530" s="641"/>
      <c r="T530" s="641"/>
      <c r="U530" s="641"/>
      <c r="V530" s="64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79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40" t="s">
        <v>72</v>
      </c>
      <c r="Q534" s="641"/>
      <c r="R534" s="641"/>
      <c r="S534" s="641"/>
      <c r="T534" s="641"/>
      <c r="U534" s="641"/>
      <c r="V534" s="64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40" t="s">
        <v>72</v>
      </c>
      <c r="Q535" s="641"/>
      <c r="R535" s="641"/>
      <c r="S535" s="641"/>
      <c r="T535" s="641"/>
      <c r="U535" s="641"/>
      <c r="V535" s="64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5" t="s">
        <v>833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0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40" t="s">
        <v>72</v>
      </c>
      <c r="Q539" s="641"/>
      <c r="R539" s="641"/>
      <c r="S539" s="641"/>
      <c r="T539" s="641"/>
      <c r="U539" s="641"/>
      <c r="V539" s="64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40" t="s">
        <v>72</v>
      </c>
      <c r="Q540" s="641"/>
      <c r="R540" s="641"/>
      <c r="S540" s="641"/>
      <c r="T540" s="641"/>
      <c r="U540" s="641"/>
      <c r="V540" s="64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0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7"/>
      <c r="P541" s="650" t="s">
        <v>837</v>
      </c>
      <c r="Q541" s="651"/>
      <c r="R541" s="651"/>
      <c r="S541" s="651"/>
      <c r="T541" s="651"/>
      <c r="U541" s="651"/>
      <c r="V541" s="652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7735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7917.2999999999993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7"/>
      <c r="P542" s="650" t="s">
        <v>838</v>
      </c>
      <c r="Q542" s="651"/>
      <c r="R542" s="651"/>
      <c r="S542" s="651"/>
      <c r="T542" s="651"/>
      <c r="U542" s="651"/>
      <c r="V542" s="652"/>
      <c r="W542" s="37" t="s">
        <v>67</v>
      </c>
      <c r="X542" s="617">
        <f>IFERROR(SUM(BM22:BM538),"0")</f>
        <v>8108.706524818911</v>
      </c>
      <c r="Y542" s="617">
        <f>IFERROR(SUM(BN22:BN538),"0")</f>
        <v>8301.67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7"/>
      <c r="P543" s="650" t="s">
        <v>839</v>
      </c>
      <c r="Q543" s="651"/>
      <c r="R543" s="651"/>
      <c r="S543" s="651"/>
      <c r="T543" s="651"/>
      <c r="U543" s="651"/>
      <c r="V543" s="652"/>
      <c r="W543" s="37" t="s">
        <v>840</v>
      </c>
      <c r="X543" s="38">
        <f>ROUNDUP(SUM(BO22:BO538),0)</f>
        <v>13</v>
      </c>
      <c r="Y543" s="38">
        <f>ROUNDUP(SUM(BP22:BP538),0)</f>
        <v>14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7"/>
      <c r="P544" s="650" t="s">
        <v>841</v>
      </c>
      <c r="Q544" s="651"/>
      <c r="R544" s="651"/>
      <c r="S544" s="651"/>
      <c r="T544" s="651"/>
      <c r="U544" s="651"/>
      <c r="V544" s="652"/>
      <c r="W544" s="37" t="s">
        <v>67</v>
      </c>
      <c r="X544" s="617">
        <f>GrossWeightTotal+PalletQtyTotal*25</f>
        <v>8433.7065248189101</v>
      </c>
      <c r="Y544" s="617">
        <f>GrossWeightTotalR+PalletQtyTotalR*25</f>
        <v>8651.67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7"/>
      <c r="P545" s="650" t="s">
        <v>842</v>
      </c>
      <c r="Q545" s="651"/>
      <c r="R545" s="651"/>
      <c r="S545" s="651"/>
      <c r="T545" s="651"/>
      <c r="U545" s="651"/>
      <c r="V545" s="652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1010.4552994357821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1040</v>
      </c>
      <c r="Z545" s="37"/>
      <c r="AA545" s="618"/>
      <c r="AB545" s="618"/>
      <c r="AC545" s="618"/>
    </row>
    <row r="546" spans="1:32" ht="14.25" hidden="1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7"/>
      <c r="P546" s="650" t="s">
        <v>843</v>
      </c>
      <c r="Q546" s="651"/>
      <c r="R546" s="651"/>
      <c r="S546" s="651"/>
      <c r="T546" s="651"/>
      <c r="U546" s="651"/>
      <c r="V546" s="652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14.840559999999998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62" t="s">
        <v>115</v>
      </c>
      <c r="E548" s="795"/>
      <c r="F548" s="795"/>
      <c r="G548" s="795"/>
      <c r="H548" s="795"/>
      <c r="I548" s="795"/>
      <c r="J548" s="732"/>
      <c r="K548" s="662" t="s">
        <v>327</v>
      </c>
      <c r="L548" s="795"/>
      <c r="M548" s="795"/>
      <c r="N548" s="795"/>
      <c r="O548" s="795"/>
      <c r="P548" s="795"/>
      <c r="Q548" s="795"/>
      <c r="R548" s="795"/>
      <c r="S548" s="795"/>
      <c r="T548" s="795"/>
      <c r="U548" s="732"/>
      <c r="V548" s="662" t="s">
        <v>663</v>
      </c>
      <c r="W548" s="732"/>
      <c r="X548" s="662" t="s">
        <v>729</v>
      </c>
      <c r="Y548" s="732"/>
      <c r="Z548" s="612" t="s">
        <v>765</v>
      </c>
      <c r="AA548" s="662" t="s">
        <v>812</v>
      </c>
      <c r="AB548" s="732"/>
      <c r="AC548" s="52"/>
      <c r="AF548" s="613"/>
    </row>
    <row r="549" spans="1:32" ht="14.25" customHeight="1" thickTop="1" x14ac:dyDescent="0.2">
      <c r="A549" s="819" t="s">
        <v>846</v>
      </c>
      <c r="B549" s="662" t="s">
        <v>61</v>
      </c>
      <c r="C549" s="662" t="s">
        <v>99</v>
      </c>
      <c r="D549" s="662" t="s">
        <v>116</v>
      </c>
      <c r="E549" s="662" t="s">
        <v>132</v>
      </c>
      <c r="F549" s="662" t="s">
        <v>177</v>
      </c>
      <c r="G549" s="662" t="s">
        <v>198</v>
      </c>
      <c r="H549" s="662" t="s">
        <v>237</v>
      </c>
      <c r="I549" s="662" t="s">
        <v>249</v>
      </c>
      <c r="J549" s="662" t="s">
        <v>115</v>
      </c>
      <c r="K549" s="662" t="s">
        <v>328</v>
      </c>
      <c r="L549" s="662" t="s">
        <v>349</v>
      </c>
      <c r="M549" s="662" t="s">
        <v>416</v>
      </c>
      <c r="N549" s="613"/>
      <c r="O549" s="662" t="s">
        <v>484</v>
      </c>
      <c r="P549" s="662" t="s">
        <v>517</v>
      </c>
      <c r="Q549" s="662" t="s">
        <v>533</v>
      </c>
      <c r="R549" s="662" t="s">
        <v>542</v>
      </c>
      <c r="S549" s="662" t="s">
        <v>563</v>
      </c>
      <c r="T549" s="662" t="s">
        <v>572</v>
      </c>
      <c r="U549" s="662" t="s">
        <v>653</v>
      </c>
      <c r="V549" s="662" t="s">
        <v>664</v>
      </c>
      <c r="W549" s="662" t="s">
        <v>713</v>
      </c>
      <c r="X549" s="662" t="s">
        <v>730</v>
      </c>
      <c r="Y549" s="662" t="s">
        <v>753</v>
      </c>
      <c r="Z549" s="662" t="s">
        <v>765</v>
      </c>
      <c r="AA549" s="662" t="s">
        <v>812</v>
      </c>
      <c r="AB549" s="662" t="s">
        <v>833</v>
      </c>
      <c r="AC549" s="52"/>
      <c r="AF549" s="613"/>
    </row>
    <row r="550" spans="1:32" ht="13.5" customHeight="1" thickBot="1" x14ac:dyDescent="0.25">
      <c r="A550" s="820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13"/>
      <c r="O550" s="663"/>
      <c r="P550" s="663"/>
      <c r="Q550" s="663"/>
      <c r="R550" s="663"/>
      <c r="S550" s="663"/>
      <c r="T550" s="663"/>
      <c r="U550" s="663"/>
      <c r="V550" s="663"/>
      <c r="W550" s="663"/>
      <c r="X550" s="663"/>
      <c r="Y550" s="663"/>
      <c r="Z550" s="663"/>
      <c r="AA550" s="663"/>
      <c r="AB550" s="663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97.2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36</v>
      </c>
      <c r="F551" s="46">
        <f>IFERROR(Y88*1,"0")+IFERROR(Y89*1,"0")+IFERROR(Y90*1,"0")+IFERROR(Y91*1,"0")+IFERROR(Y95*1,"0")+IFERROR(Y96*1,"0")+IFERROR(Y97*1,"0")+IFERROR(Y98*1,"0")</f>
        <v>410.4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357.65999999999997</v>
      </c>
      <c r="H551" s="46">
        <f>IFERROR(Y132*1,"0")+IFERROR(Y133*1,"0")+IFERROR(Y137*1,"0")+IFERROR(Y138*1,"0")+IFERROR(Y142*1,"0")+IFERROR(Y143*1,"0")</f>
        <v>33.92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270.2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55.52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410.4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81.599999999999994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124.80000000000001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589.91999999999996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4146</v>
      </c>
      <c r="W551" s="46">
        <f>IFERROR(Y441*1,"0")+IFERROR(Y442*1,"0")+IFERROR(Y446*1,"0")+IFERROR(Y450*1,"0")+IFERROR(Y451*1,"0")+IFERROR(Y452*1,"0")</f>
        <v>794.4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509.28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46"/>
        <filter val="1 336,00"/>
        <filter val="1,00"/>
        <filter val="1,52"/>
        <filter val="1,67"/>
        <filter val="10,42"/>
        <filter val="101,00"/>
        <filter val="11,00"/>
        <filter val="111,00"/>
        <filter val="113,00"/>
        <filter val="12,00"/>
        <filter val="13"/>
        <filter val="136,00"/>
        <filter val="14,00"/>
        <filter val="14,49"/>
        <filter val="141,00"/>
        <filter val="145,00"/>
        <filter val="15,00"/>
        <filter val="16,00"/>
        <filter val="165,00"/>
        <filter val="18,00"/>
        <filter val="186,00"/>
        <filter val="2,00"/>
        <filter val="2,30"/>
        <filter val="2,38"/>
        <filter val="20,00"/>
        <filter val="21,00"/>
        <filter val="218,00"/>
        <filter val="220,00"/>
        <filter val="23,00"/>
        <filter val="243,00"/>
        <filter val="248,00"/>
        <filter val="25,00"/>
        <filter val="265,00"/>
        <filter val="27,00"/>
        <filter val="277,00"/>
        <filter val="28,00"/>
        <filter val="287,00"/>
        <filter val="3 300,00"/>
        <filter val="3,00"/>
        <filter val="3,17"/>
        <filter val="3,44"/>
        <filter val="3,98"/>
        <filter val="30,00"/>
        <filter val="305,00"/>
        <filter val="32,56"/>
        <filter val="33,00"/>
        <filter val="33,75"/>
        <filter val="34,00"/>
        <filter val="36,11"/>
        <filter val="4,00"/>
        <filter val="41,00"/>
        <filter val="41,40"/>
        <filter val="42,00"/>
        <filter val="43,00"/>
        <filter val="44,00"/>
        <filter val="44,57"/>
        <filter val="45,00"/>
        <filter val="46,00"/>
        <filter val="46,36"/>
        <filter val="47,10"/>
        <filter val="477,00"/>
        <filter val="48,00"/>
        <filter val="49,00"/>
        <filter val="50,00"/>
        <filter val="536,00"/>
        <filter val="576,00"/>
        <filter val="59,00"/>
        <filter val="6,00"/>
        <filter val="60,37"/>
        <filter val="62,00"/>
        <filter val="621,00"/>
        <filter val="64,00"/>
        <filter val="68,18"/>
        <filter val="7 735,00"/>
        <filter val="7,00"/>
        <filter val="7,33"/>
        <filter val="7,95"/>
        <filter val="784,00"/>
        <filter val="786,00"/>
        <filter val="8 108,71"/>
        <filter val="8 433,71"/>
        <filter val="8,00"/>
        <filter val="8,33"/>
        <filter val="8,89"/>
        <filter val="80,00"/>
        <filter val="81,00"/>
        <filter val="85,00"/>
        <filter val="87,00"/>
        <filter val="87,31"/>
        <filter val="87,94"/>
        <filter val="891,00"/>
        <filter val="9,44"/>
        <filter val="90,00"/>
        <filter val="96,14"/>
        <filter val="962,00"/>
      </filters>
    </filterColumn>
    <filterColumn colId="29" showButton="0"/>
    <filterColumn colId="30" showButton="0"/>
  </autoFilter>
  <mergeCells count="969"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A128:O129"/>
    <mergeCell ref="D386:E386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P103:T103"/>
    <mergeCell ref="P107:T107"/>
    <mergeCell ref="D106:E106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