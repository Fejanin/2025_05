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C7BD14-E8E0-4C50-9152-CCF73CB4A0B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N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N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N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N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N105" i="2"/>
  <c r="BM105" i="2"/>
  <c r="Y105" i="2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176" i="2" l="1"/>
  <c r="BN218" i="2"/>
  <c r="Y390" i="2"/>
  <c r="Y428" i="2"/>
  <c r="BN83" i="2"/>
  <c r="Z151" i="2"/>
  <c r="Z262" i="2"/>
  <c r="Z316" i="2"/>
  <c r="BN426" i="2"/>
  <c r="BN108" i="2"/>
  <c r="BN115" i="2"/>
  <c r="BN255" i="2"/>
  <c r="BN499" i="2"/>
  <c r="BP425" i="2"/>
  <c r="Z425" i="2"/>
  <c r="Z413" i="2"/>
  <c r="BN175" i="2"/>
  <c r="BN416" i="2"/>
  <c r="BN494" i="2"/>
  <c r="BN261" i="2"/>
  <c r="BN381" i="2"/>
  <c r="Y536" i="2"/>
  <c r="Y521" i="2"/>
  <c r="BN520" i="2"/>
  <c r="BP509" i="2"/>
  <c r="Z509" i="2"/>
  <c r="Z506" i="2"/>
  <c r="Z498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9" i="2"/>
  <c r="BN318" i="2"/>
  <c r="Z310" i="2"/>
  <c r="Y306" i="2"/>
  <c r="BN305" i="2"/>
  <c r="Z301" i="2"/>
  <c r="Z302" i="2" s="1"/>
  <c r="BP301" i="2"/>
  <c r="BN275" i="2"/>
  <c r="BN273" i="2"/>
  <c r="Z260" i="2"/>
  <c r="BP260" i="2"/>
  <c r="Y242" i="2"/>
  <c r="BN222" i="2"/>
  <c r="Z214" i="2"/>
  <c r="BN200" i="2"/>
  <c r="Z188" i="2"/>
  <c r="BN183" i="2"/>
  <c r="BN182" i="2"/>
  <c r="Z182" i="2"/>
  <c r="BN172" i="2"/>
  <c r="BN170" i="2"/>
  <c r="Z170" i="2"/>
  <c r="Y163" i="2"/>
  <c r="BN151" i="2"/>
  <c r="Z138" i="2"/>
  <c r="BP138" i="2"/>
  <c r="Z121" i="2"/>
  <c r="BN121" i="2"/>
  <c r="Z115" i="2"/>
  <c r="BP113" i="2"/>
  <c r="Z113" i="2"/>
  <c r="BN103" i="2"/>
  <c r="BN97" i="2"/>
  <c r="BN95" i="2"/>
  <c r="Y84" i="2"/>
  <c r="Z77" i="2"/>
  <c r="BN71" i="2"/>
  <c r="BN62" i="2"/>
  <c r="Z59" i="2"/>
  <c r="BN59" i="2"/>
  <c r="BP52" i="2"/>
  <c r="Z52" i="2"/>
  <c r="Y56" i="2"/>
  <c r="BN51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389" i="2" l="1"/>
  <c r="Z67" i="2"/>
  <c r="Z454" i="2"/>
  <c r="Z328" i="2"/>
  <c r="Z433" i="2"/>
  <c r="Z535" i="2"/>
  <c r="Z124" i="2"/>
  <c r="Z189" i="2"/>
  <c r="Z152" i="2"/>
  <c r="Z256" i="2"/>
  <c r="Z46" i="2"/>
  <c r="Z421" i="2"/>
  <c r="Z337" i="2"/>
  <c r="Z144" i="2"/>
  <c r="Z99" i="2"/>
  <c r="X545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<sst xmlns="http://schemas.openxmlformats.org/spreadsheetml/2006/main" count="4110" uniqueCount="873">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</sst>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59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872</v>
      </c>
      <c r="I5" s="971"/>
      <c r="J5" s="971"/>
      <c r="K5" s="971"/>
      <c r="L5" s="971"/>
      <c r="M5" s="971"/>
      <c r="N5" s="69"/>
      <c r="P5" s="26" t="s">
        <v>4</v>
      </c>
      <c r="Q5" s="973">
        <v>46223</v>
      </c>
      <c r="R5" s="973"/>
      <c r="T5" s="974" t="s">
        <v>3</v>
      </c>
      <c r="U5" s="975"/>
      <c r="V5" s="976" t="s">
        <v>853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854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Понедельник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1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0.375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6" t="s">
        <v>76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52"/>
      <c r="AB19" s="52"/>
      <c r="AC19" s="52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2"/>
      <c r="AB20" s="62"/>
      <c r="AC20" s="62"/>
    </row>
    <row r="21" spans="1:68" ht="14.25" hidden="1" customHeight="1" x14ac:dyDescent="0.25">
      <c r="A21" s="625" t="s">
        <v>77</v>
      </c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26">
        <v>4680115886643</v>
      </c>
      <c r="E22" s="62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8"/>
      <c r="R22" s="628"/>
      <c r="S22" s="628"/>
      <c r="T22" s="62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26">
        <v>4680115889071</v>
      </c>
      <c r="E23" s="62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0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8"/>
      <c r="R23" s="628"/>
      <c r="S23" s="628"/>
      <c r="T23" s="62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33"/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4"/>
      <c r="P25" s="630" t="s">
        <v>40</v>
      </c>
      <c r="Q25" s="631"/>
      <c r="R25" s="631"/>
      <c r="S25" s="631"/>
      <c r="T25" s="631"/>
      <c r="U25" s="631"/>
      <c r="V25" s="632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5" t="s">
        <v>86</v>
      </c>
      <c r="B26" s="625"/>
      <c r="C26" s="625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6">
        <v>4680115885912</v>
      </c>
      <c r="E27" s="62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8"/>
      <c r="R27" s="628"/>
      <c r="S27" s="628"/>
      <c r="T27" s="62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26">
        <v>4607091388237</v>
      </c>
      <c r="E28" s="62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0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8"/>
      <c r="R28" s="628"/>
      <c r="S28" s="628"/>
      <c r="T28" s="62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26">
        <v>4680115887350</v>
      </c>
      <c r="E29" s="62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0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8"/>
      <c r="R29" s="628"/>
      <c r="S29" s="628"/>
      <c r="T29" s="62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26">
        <v>4680115885905</v>
      </c>
      <c r="E30" s="62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8"/>
      <c r="R30" s="628"/>
      <c r="S30" s="628"/>
      <c r="T30" s="62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26">
        <v>4680115887619</v>
      </c>
      <c r="E31" s="62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8"/>
      <c r="R31" s="628"/>
      <c r="S31" s="628"/>
      <c r="T31" s="62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33"/>
      <c r="B33" s="633"/>
      <c r="C33" s="633"/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634"/>
      <c r="P33" s="630" t="s">
        <v>40</v>
      </c>
      <c r="Q33" s="631"/>
      <c r="R33" s="631"/>
      <c r="S33" s="631"/>
      <c r="T33" s="631"/>
      <c r="U33" s="631"/>
      <c r="V33" s="632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25" t="s">
        <v>104</v>
      </c>
      <c r="B34" s="625"/>
      <c r="C34" s="625"/>
      <c r="D34" s="625"/>
      <c r="E34" s="625"/>
      <c r="F34" s="625"/>
      <c r="G34" s="625"/>
      <c r="H34" s="625"/>
      <c r="I34" s="625"/>
      <c r="J34" s="625"/>
      <c r="K34" s="625"/>
      <c r="L34" s="625"/>
      <c r="M34" s="625"/>
      <c r="N34" s="625"/>
      <c r="O34" s="625"/>
      <c r="P34" s="625"/>
      <c r="Q34" s="625"/>
      <c r="R34" s="625"/>
      <c r="S34" s="625"/>
      <c r="T34" s="625"/>
      <c r="U34" s="625"/>
      <c r="V34" s="625"/>
      <c r="W34" s="625"/>
      <c r="X34" s="625"/>
      <c r="Y34" s="625"/>
      <c r="Z34" s="625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26">
        <v>4607091388503</v>
      </c>
      <c r="E35" s="62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8"/>
      <c r="R35" s="628"/>
      <c r="S35" s="628"/>
      <c r="T35" s="62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33"/>
      <c r="B36" s="633"/>
      <c r="C36" s="633"/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634"/>
      <c r="P36" s="630" t="s">
        <v>40</v>
      </c>
      <c r="Q36" s="631"/>
      <c r="R36" s="631"/>
      <c r="S36" s="631"/>
      <c r="T36" s="631"/>
      <c r="U36" s="631"/>
      <c r="V36" s="632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33"/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4"/>
      <c r="P37" s="630" t="s">
        <v>40</v>
      </c>
      <c r="Q37" s="631"/>
      <c r="R37" s="631"/>
      <c r="S37" s="631"/>
      <c r="T37" s="631"/>
      <c r="U37" s="631"/>
      <c r="V37" s="632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46" t="s">
        <v>45</v>
      </c>
      <c r="B38" s="646"/>
      <c r="C38" s="646"/>
      <c r="D38" s="646"/>
      <c r="E38" s="646"/>
      <c r="F38" s="646"/>
      <c r="G38" s="646"/>
      <c r="H38" s="646"/>
      <c r="I38" s="646"/>
      <c r="J38" s="646"/>
      <c r="K38" s="646"/>
      <c r="L38" s="646"/>
      <c r="M38" s="646"/>
      <c r="N38" s="646"/>
      <c r="O38" s="646"/>
      <c r="P38" s="646"/>
      <c r="Q38" s="646"/>
      <c r="R38" s="646"/>
      <c r="S38" s="646"/>
      <c r="T38" s="646"/>
      <c r="U38" s="646"/>
      <c r="V38" s="646"/>
      <c r="W38" s="646"/>
      <c r="X38" s="646"/>
      <c r="Y38" s="646"/>
      <c r="Z38" s="646"/>
      <c r="AA38" s="52"/>
      <c r="AB38" s="52"/>
      <c r="AC38" s="52"/>
    </row>
    <row r="39" spans="1:68" ht="16.5" hidden="1" customHeight="1" x14ac:dyDescent="0.25">
      <c r="A39" s="641" t="s">
        <v>110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62"/>
      <c r="AB39" s="62"/>
      <c r="AC39" s="62"/>
    </row>
    <row r="40" spans="1:68" ht="14.25" hidden="1" customHeight="1" x14ac:dyDescent="0.25">
      <c r="A40" s="625" t="s">
        <v>86</v>
      </c>
      <c r="B40" s="625"/>
      <c r="C40" s="625"/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26">
        <v>4680115889354</v>
      </c>
      <c r="E41" s="62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89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8"/>
      <c r="R41" s="628"/>
      <c r="S41" s="628"/>
      <c r="T41" s="62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26">
        <v>4680115888463</v>
      </c>
      <c r="E42" s="62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8"/>
      <c r="R42" s="628"/>
      <c r="S42" s="628"/>
      <c r="T42" s="62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26">
        <v>4680115888494</v>
      </c>
      <c r="E43" s="62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8"/>
      <c r="R43" s="628"/>
      <c r="S43" s="628"/>
      <c r="T43" s="62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26">
        <v>4680115888272</v>
      </c>
      <c r="E44" s="62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8"/>
      <c r="R44" s="628"/>
      <c r="S44" s="628"/>
      <c r="T44" s="629"/>
      <c r="U44" s="37" t="s">
        <v>46</v>
      </c>
      <c r="V44" s="37" t="s">
        <v>46</v>
      </c>
      <c r="W44" s="38" t="s">
        <v>0</v>
      </c>
      <c r="X44" s="56">
        <v>32</v>
      </c>
      <c r="Y44" s="53">
        <f>IFERROR(IF(X44="",0,CEILING((X44/$H44),1)*$H44),"")</f>
        <v>32.64</v>
      </c>
      <c r="Z44" s="39">
        <f>IFERROR(IF(Y44=0,"",ROUNDUP(Y44/H44,0)*0.00651),"")</f>
        <v>0.11067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35</v>
      </c>
      <c r="BN44" s="75">
        <f>IFERROR(Y44*I44/H44,"0")</f>
        <v>35.70000000000001</v>
      </c>
      <c r="BO44" s="75">
        <f>IFERROR(1/J44*(X44/H44),"0")</f>
        <v>9.1575091575091583E-2</v>
      </c>
      <c r="BP44" s="75">
        <f>IFERROR(1/J44*(Y44/H44),"0")</f>
        <v>9.3406593406593408E-2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26">
        <v>4680115888364</v>
      </c>
      <c r="E45" s="62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9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8"/>
      <c r="R45" s="628"/>
      <c r="S45" s="628"/>
      <c r="T45" s="629"/>
      <c r="U45" s="37" t="s">
        <v>46</v>
      </c>
      <c r="V45" s="37" t="s">
        <v>46</v>
      </c>
      <c r="W45" s="38" t="s">
        <v>0</v>
      </c>
      <c r="X45" s="56">
        <v>44.800000000000004</v>
      </c>
      <c r="Y45" s="53">
        <f>IFERROR(IF(X45="",0,CEILING((X45/$H45),1)*$H45),"")</f>
        <v>46.08</v>
      </c>
      <c r="Z45" s="39">
        <f>IFERROR(IF(Y45=0,"",ROUNDUP(Y45/H45,0)*0.00651),"")</f>
        <v>0.15623999999999999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49.000000000000007</v>
      </c>
      <c r="BN45" s="75">
        <f>IFERROR(Y45*I45/H45,"0")</f>
        <v>50.400000000000006</v>
      </c>
      <c r="BO45" s="75">
        <f>IFERROR(1/J45*(X45/H45),"0")</f>
        <v>0.12820512820512822</v>
      </c>
      <c r="BP45" s="75">
        <f>IFERROR(1/J45*(Y45/H45),"0")</f>
        <v>0.13186813186813187</v>
      </c>
    </row>
    <row r="46" spans="1:68" x14ac:dyDescent="0.2">
      <c r="A46" s="633"/>
      <c r="B46" s="633"/>
      <c r="C46" s="633"/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4"/>
      <c r="P46" s="630" t="s">
        <v>40</v>
      </c>
      <c r="Q46" s="631"/>
      <c r="R46" s="631"/>
      <c r="S46" s="631"/>
      <c r="T46" s="631"/>
      <c r="U46" s="631"/>
      <c r="V46" s="632"/>
      <c r="W46" s="40" t="s">
        <v>39</v>
      </c>
      <c r="X46" s="41">
        <f>IFERROR(X41/H41,"0")+IFERROR(X42/H42,"0")+IFERROR(X43/H43,"0")+IFERROR(X44/H44,"0")+IFERROR(X45/H45,"0")</f>
        <v>40</v>
      </c>
      <c r="Y46" s="41">
        <f>IFERROR(Y41/H41,"0")+IFERROR(Y42/H42,"0")+IFERROR(Y43/H43,"0")+IFERROR(Y44/H44,"0")+IFERROR(Y45/H45,"0")</f>
        <v>41</v>
      </c>
      <c r="Z46" s="41">
        <f>IFERROR(IF(Z41="",0,Z41),"0")+IFERROR(IF(Z42="",0,Z42),"0")+IFERROR(IF(Z43="",0,Z43),"0")+IFERROR(IF(Z44="",0,Z44),"0")+IFERROR(IF(Z45="",0,Z45),"0")</f>
        <v>0.26690999999999998</v>
      </c>
      <c r="AA46" s="64"/>
      <c r="AB46" s="64"/>
      <c r="AC46" s="64"/>
    </row>
    <row r="47" spans="1:68" x14ac:dyDescent="0.2">
      <c r="A47" s="633"/>
      <c r="B47" s="633"/>
      <c r="C47" s="633"/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4"/>
      <c r="P47" s="630" t="s">
        <v>40</v>
      </c>
      <c r="Q47" s="631"/>
      <c r="R47" s="631"/>
      <c r="S47" s="631"/>
      <c r="T47" s="631"/>
      <c r="U47" s="631"/>
      <c r="V47" s="632"/>
      <c r="W47" s="40" t="s">
        <v>0</v>
      </c>
      <c r="X47" s="41">
        <f>IFERROR(SUM(X41:X45),"0")</f>
        <v>76.800000000000011</v>
      </c>
      <c r="Y47" s="41">
        <f>IFERROR(SUM(Y41:Y45),"0")</f>
        <v>78.72</v>
      </c>
      <c r="Z47" s="40"/>
      <c r="AA47" s="64"/>
      <c r="AB47" s="64"/>
      <c r="AC47" s="64"/>
    </row>
    <row r="48" spans="1:68" ht="27.75" hidden="1" customHeight="1" x14ac:dyDescent="0.2">
      <c r="A48" s="646" t="s">
        <v>126</v>
      </c>
      <c r="B48" s="646"/>
      <c r="C48" s="646"/>
      <c r="D48" s="646"/>
      <c r="E48" s="646"/>
      <c r="F48" s="646"/>
      <c r="G48" s="646"/>
      <c r="H48" s="646"/>
      <c r="I48" s="646"/>
      <c r="J48" s="646"/>
      <c r="K48" s="646"/>
      <c r="L48" s="646"/>
      <c r="M48" s="646"/>
      <c r="N48" s="646"/>
      <c r="O48" s="646"/>
      <c r="P48" s="646"/>
      <c r="Q48" s="646"/>
      <c r="R48" s="646"/>
      <c r="S48" s="646"/>
      <c r="T48" s="646"/>
      <c r="U48" s="646"/>
      <c r="V48" s="646"/>
      <c r="W48" s="646"/>
      <c r="X48" s="646"/>
      <c r="Y48" s="646"/>
      <c r="Z48" s="646"/>
      <c r="AA48" s="52"/>
      <c r="AB48" s="52"/>
      <c r="AC48" s="52"/>
    </row>
    <row r="49" spans="1:68" ht="16.5" hidden="1" customHeight="1" x14ac:dyDescent="0.25">
      <c r="A49" s="641" t="s">
        <v>127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62"/>
      <c r="AB49" s="62"/>
      <c r="AC49" s="62"/>
    </row>
    <row r="50" spans="1:68" ht="14.25" hidden="1" customHeight="1" x14ac:dyDescent="0.25">
      <c r="A50" s="625" t="s">
        <v>128</v>
      </c>
      <c r="B50" s="625"/>
      <c r="C50" s="625"/>
      <c r="D50" s="625"/>
      <c r="E50" s="625"/>
      <c r="F50" s="625"/>
      <c r="G50" s="625"/>
      <c r="H50" s="625"/>
      <c r="I50" s="625"/>
      <c r="J50" s="625"/>
      <c r="K50" s="625"/>
      <c r="L50" s="625"/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26">
        <v>4607091385670</v>
      </c>
      <c r="E51" s="62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9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8"/>
      <c r="R51" s="628"/>
      <c r="S51" s="628"/>
      <c r="T51" s="629"/>
      <c r="U51" s="37" t="s">
        <v>46</v>
      </c>
      <c r="V51" s="37" t="s">
        <v>46</v>
      </c>
      <c r="W51" s="38" t="s">
        <v>0</v>
      </c>
      <c r="X51" s="56">
        <v>500</v>
      </c>
      <c r="Y51" s="53">
        <f>IFERROR(IF(X51="",0,CEILING((X51/$H51),1)*$H51),"")</f>
        <v>507.6</v>
      </c>
      <c r="Z51" s="39">
        <f>IFERROR(IF(Y51=0,"",ROUNDUP(Y51/H51,0)*0.01898),"")</f>
        <v>0.89205999999999996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518.98148148148141</v>
      </c>
      <c r="BN51" s="75">
        <f>IFERROR(Y51*I51/H51,"0")</f>
        <v>526.87</v>
      </c>
      <c r="BO51" s="75">
        <f>IFERROR(1/J51*(X51/H51),"0")</f>
        <v>0.72337962962962954</v>
      </c>
      <c r="BP51" s="75">
        <f>IFERROR(1/J51*(Y51/H51),"0")</f>
        <v>0.734375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26">
        <v>4680115887725</v>
      </c>
      <c r="E52" s="62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9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8"/>
      <c r="R52" s="628"/>
      <c r="S52" s="628"/>
      <c r="T52" s="62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26">
        <v>4607091385687</v>
      </c>
      <c r="E53" s="62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8"/>
      <c r="R53" s="628"/>
      <c r="S53" s="628"/>
      <c r="T53" s="629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26">
        <v>4680115882539</v>
      </c>
      <c r="E54" s="62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9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8"/>
      <c r="R54" s="628"/>
      <c r="S54" s="628"/>
      <c r="T54" s="62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3"/>
      <c r="B55" s="633"/>
      <c r="C55" s="633"/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4"/>
      <c r="P55" s="630" t="s">
        <v>40</v>
      </c>
      <c r="Q55" s="631"/>
      <c r="R55" s="631"/>
      <c r="S55" s="631"/>
      <c r="T55" s="631"/>
      <c r="U55" s="631"/>
      <c r="V55" s="632"/>
      <c r="W55" s="40" t="s">
        <v>39</v>
      </c>
      <c r="X55" s="41">
        <f>IFERROR(X51/H51,"0")+IFERROR(X52/H52,"0")+IFERROR(X53/H53,"0")+IFERROR(X54/H54,"0")</f>
        <v>96.296296296296291</v>
      </c>
      <c r="Y55" s="41">
        <f>IFERROR(Y51/H51,"0")+IFERROR(Y52/H52,"0")+IFERROR(Y53/H53,"0")+IFERROR(Y54/H54,"0")</f>
        <v>97</v>
      </c>
      <c r="Z55" s="41">
        <f>IFERROR(IF(Z51="",0,Z51),"0")+IFERROR(IF(Z52="",0,Z52),"0")+IFERROR(IF(Z53="",0,Z53),"0")+IFERROR(IF(Z54="",0,Z54),"0")</f>
        <v>1.3430599999999999</v>
      </c>
      <c r="AA55" s="64"/>
      <c r="AB55" s="64"/>
      <c r="AC55" s="64"/>
    </row>
    <row r="56" spans="1:68" x14ac:dyDescent="0.2">
      <c r="A56" s="633"/>
      <c r="B56" s="633"/>
      <c r="C56" s="633"/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4"/>
      <c r="P56" s="630" t="s">
        <v>40</v>
      </c>
      <c r="Q56" s="631"/>
      <c r="R56" s="631"/>
      <c r="S56" s="631"/>
      <c r="T56" s="631"/>
      <c r="U56" s="631"/>
      <c r="V56" s="632"/>
      <c r="W56" s="40" t="s">
        <v>0</v>
      </c>
      <c r="X56" s="41">
        <f>IFERROR(SUM(X51:X54),"0")</f>
        <v>700</v>
      </c>
      <c r="Y56" s="41">
        <f>IFERROR(SUM(Y51:Y54),"0")</f>
        <v>707.6</v>
      </c>
      <c r="Z56" s="40"/>
      <c r="AA56" s="64"/>
      <c r="AB56" s="64"/>
      <c r="AC56" s="64"/>
    </row>
    <row r="57" spans="1:68" ht="16.5" hidden="1" customHeight="1" x14ac:dyDescent="0.25">
      <c r="A57" s="641" t="s">
        <v>143</v>
      </c>
      <c r="B57" s="641"/>
      <c r="C57" s="641"/>
      <c r="D57" s="641"/>
      <c r="E57" s="641"/>
      <c r="F57" s="641"/>
      <c r="G57" s="641"/>
      <c r="H57" s="641"/>
      <c r="I57" s="641"/>
      <c r="J57" s="641"/>
      <c r="K57" s="641"/>
      <c r="L57" s="641"/>
      <c r="M57" s="641"/>
      <c r="N57" s="641"/>
      <c r="O57" s="641"/>
      <c r="P57" s="641"/>
      <c r="Q57" s="641"/>
      <c r="R57" s="641"/>
      <c r="S57" s="641"/>
      <c r="T57" s="641"/>
      <c r="U57" s="641"/>
      <c r="V57" s="641"/>
      <c r="W57" s="641"/>
      <c r="X57" s="641"/>
      <c r="Y57" s="641"/>
      <c r="Z57" s="641"/>
      <c r="AA57" s="62"/>
      <c r="AB57" s="62"/>
      <c r="AC57" s="62"/>
    </row>
    <row r="58" spans="1:68" ht="14.25" hidden="1" customHeight="1" x14ac:dyDescent="0.25">
      <c r="A58" s="625" t="s">
        <v>128</v>
      </c>
      <c r="B58" s="625"/>
      <c r="C58" s="625"/>
      <c r="D58" s="625"/>
      <c r="E58" s="625"/>
      <c r="F58" s="625"/>
      <c r="G58" s="625"/>
      <c r="H58" s="625"/>
      <c r="I58" s="625"/>
      <c r="J58" s="625"/>
      <c r="K58" s="625"/>
      <c r="L58" s="625"/>
      <c r="M58" s="625"/>
      <c r="N58" s="625"/>
      <c r="O58" s="625"/>
      <c r="P58" s="625"/>
      <c r="Q58" s="625"/>
      <c r="R58" s="625"/>
      <c r="S58" s="625"/>
      <c r="T58" s="625"/>
      <c r="U58" s="625"/>
      <c r="V58" s="625"/>
      <c r="W58" s="625"/>
      <c r="X58" s="625"/>
      <c r="Y58" s="625"/>
      <c r="Z58" s="625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26">
        <v>4680115885882</v>
      </c>
      <c r="E59" s="62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8"/>
      <c r="R59" s="628"/>
      <c r="S59" s="628"/>
      <c r="T59" s="62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26">
        <v>4680115885882</v>
      </c>
      <c r="E60" s="62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9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8"/>
      <c r="R60" s="628"/>
      <c r="S60" s="628"/>
      <c r="T60" s="62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26">
        <v>4680115881426</v>
      </c>
      <c r="E61" s="62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8"/>
      <c r="R61" s="628"/>
      <c r="S61" s="628"/>
      <c r="T61" s="629"/>
      <c r="U61" s="37" t="s">
        <v>46</v>
      </c>
      <c r="V61" s="37" t="s">
        <v>46</v>
      </c>
      <c r="W61" s="38" t="s">
        <v>0</v>
      </c>
      <c r="X61" s="56">
        <v>100</v>
      </c>
      <c r="Y61" s="53">
        <f t="shared" si="0"/>
        <v>108</v>
      </c>
      <c r="Z61" s="39">
        <f>IFERROR(IF(Y61=0,"",ROUNDUP(Y61/H61,0)*0.01898),"")</f>
        <v>0.1898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103.79629629629629</v>
      </c>
      <c r="BN61" s="75">
        <f t="shared" si="2"/>
        <v>112.1</v>
      </c>
      <c r="BO61" s="75">
        <f t="shared" si="3"/>
        <v>0.14467592592592593</v>
      </c>
      <c r="BP61" s="75">
        <f t="shared" si="4"/>
        <v>0.15625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26">
        <v>4680115880283</v>
      </c>
      <c r="E62" s="62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8"/>
      <c r="R62" s="628"/>
      <c r="S62" s="628"/>
      <c r="T62" s="62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26">
        <v>4680115880283</v>
      </c>
      <c r="E63" s="62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88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8"/>
      <c r="R63" s="628"/>
      <c r="S63" s="628"/>
      <c r="T63" s="62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26">
        <v>4680115881525</v>
      </c>
      <c r="E64" s="62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8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8"/>
      <c r="R64" s="628"/>
      <c r="S64" s="628"/>
      <c r="T64" s="62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26">
        <v>4680115885899</v>
      </c>
      <c r="E65" s="62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8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8"/>
      <c r="R65" s="628"/>
      <c r="S65" s="628"/>
      <c r="T65" s="62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26">
        <v>4680115881419</v>
      </c>
      <c r="E66" s="62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8"/>
      <c r="R66" s="628"/>
      <c r="S66" s="628"/>
      <c r="T66" s="629"/>
      <c r="U66" s="37" t="s">
        <v>46</v>
      </c>
      <c r="V66" s="37" t="s">
        <v>46</v>
      </c>
      <c r="W66" s="38" t="s">
        <v>0</v>
      </c>
      <c r="X66" s="56">
        <v>360</v>
      </c>
      <c r="Y66" s="53">
        <f t="shared" si="0"/>
        <v>360</v>
      </c>
      <c r="Z66" s="39">
        <f>IFERROR(IF(Y66=0,"",ROUNDUP(Y66/H66,0)*0.00902),"")</f>
        <v>0.72160000000000002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375.20000000000005</v>
      </c>
      <c r="BN66" s="75">
        <f t="shared" si="2"/>
        <v>375.20000000000005</v>
      </c>
      <c r="BO66" s="75">
        <f t="shared" si="3"/>
        <v>0.60606060606060608</v>
      </c>
      <c r="BP66" s="75">
        <f t="shared" si="4"/>
        <v>0.60606060606060608</v>
      </c>
    </row>
    <row r="67" spans="1:68" x14ac:dyDescent="0.2">
      <c r="A67" s="633"/>
      <c r="B67" s="633"/>
      <c r="C67" s="633"/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4"/>
      <c r="P67" s="630" t="s">
        <v>40</v>
      </c>
      <c r="Q67" s="631"/>
      <c r="R67" s="631"/>
      <c r="S67" s="631"/>
      <c r="T67" s="631"/>
      <c r="U67" s="631"/>
      <c r="V67" s="632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89.259259259259267</v>
      </c>
      <c r="Y67" s="41">
        <f>IFERROR(Y59/H59,"0")+IFERROR(Y60/H60,"0")+IFERROR(Y61/H61,"0")+IFERROR(Y62/H62,"0")+IFERROR(Y63/H63,"0")+IFERROR(Y64/H64,"0")+IFERROR(Y65/H65,"0")+IFERROR(Y66/H66,"0")</f>
        <v>90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0.91139999999999999</v>
      </c>
      <c r="AA67" s="64"/>
      <c r="AB67" s="64"/>
      <c r="AC67" s="64"/>
    </row>
    <row r="68" spans="1:68" x14ac:dyDescent="0.2">
      <c r="A68" s="633"/>
      <c r="B68" s="633"/>
      <c r="C68" s="633"/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4"/>
      <c r="P68" s="630" t="s">
        <v>40</v>
      </c>
      <c r="Q68" s="631"/>
      <c r="R68" s="631"/>
      <c r="S68" s="631"/>
      <c r="T68" s="631"/>
      <c r="U68" s="631"/>
      <c r="V68" s="632"/>
      <c r="W68" s="40" t="s">
        <v>0</v>
      </c>
      <c r="X68" s="41">
        <f>IFERROR(SUM(X59:X66),"0")</f>
        <v>460</v>
      </c>
      <c r="Y68" s="41">
        <f>IFERROR(SUM(Y59:Y66),"0")</f>
        <v>468</v>
      </c>
      <c r="Z68" s="40"/>
      <c r="AA68" s="64"/>
      <c r="AB68" s="64"/>
      <c r="AC68" s="64"/>
    </row>
    <row r="69" spans="1:68" ht="14.25" hidden="1" customHeight="1" x14ac:dyDescent="0.25">
      <c r="A69" s="625" t="s">
        <v>164</v>
      </c>
      <c r="B69" s="625"/>
      <c r="C69" s="625"/>
      <c r="D69" s="625"/>
      <c r="E69" s="625"/>
      <c r="F69" s="625"/>
      <c r="G69" s="625"/>
      <c r="H69" s="625"/>
      <c r="I69" s="625"/>
      <c r="J69" s="625"/>
      <c r="K69" s="625"/>
      <c r="L69" s="625"/>
      <c r="M69" s="625"/>
      <c r="N69" s="625"/>
      <c r="O69" s="625"/>
      <c r="P69" s="625"/>
      <c r="Q69" s="625"/>
      <c r="R69" s="625"/>
      <c r="S69" s="625"/>
      <c r="T69" s="625"/>
      <c r="U69" s="625"/>
      <c r="V69" s="625"/>
      <c r="W69" s="625"/>
      <c r="X69" s="625"/>
      <c r="Y69" s="625"/>
      <c r="Z69" s="625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26">
        <v>4680115881440</v>
      </c>
      <c r="E70" s="62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8"/>
      <c r="R70" s="628"/>
      <c r="S70" s="628"/>
      <c r="T70" s="629"/>
      <c r="U70" s="37" t="s">
        <v>46</v>
      </c>
      <c r="V70" s="37" t="s">
        <v>46</v>
      </c>
      <c r="W70" s="38" t="s">
        <v>0</v>
      </c>
      <c r="X70" s="56">
        <v>100</v>
      </c>
      <c r="Y70" s="53">
        <f>IFERROR(IF(X70="",0,CEILING((X70/$H70),1)*$H70),"")</f>
        <v>108</v>
      </c>
      <c r="Z70" s="39">
        <f>IFERROR(IF(Y70=0,"",ROUNDUP(Y70/H70,0)*0.01898),"")</f>
        <v>0.1898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103.79629629629629</v>
      </c>
      <c r="BN70" s="75">
        <f>IFERROR(Y70*I70/H70,"0")</f>
        <v>112.1</v>
      </c>
      <c r="BO70" s="75">
        <f>IFERROR(1/J70*(X70/H70),"0")</f>
        <v>0.14467592592592593</v>
      </c>
      <c r="BP70" s="75">
        <f>IFERROR(1/J70*(Y70/H70),"0")</f>
        <v>0.15625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26">
        <v>4680115885950</v>
      </c>
      <c r="E71" s="62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8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8"/>
      <c r="R71" s="628"/>
      <c r="S71" s="628"/>
      <c r="T71" s="62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26">
        <v>4680115887688</v>
      </c>
      <c r="E72" s="62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8"/>
      <c r="R72" s="628"/>
      <c r="S72" s="628"/>
      <c r="T72" s="62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626">
        <v>4680115881433</v>
      </c>
      <c r="E73" s="62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8"/>
      <c r="R73" s="628"/>
      <c r="S73" s="628"/>
      <c r="T73" s="62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0" t="s">
        <v>39</v>
      </c>
      <c r="X74" s="41">
        <f>IFERROR(X70/H70,"0")+IFERROR(X71/H71,"0")+IFERROR(X72/H72,"0")+IFERROR(X73/H73,"0")</f>
        <v>9.2592592592592595</v>
      </c>
      <c r="Y74" s="41">
        <f>IFERROR(Y70/H70,"0")+IFERROR(Y71/H71,"0")+IFERROR(Y72/H72,"0")+IFERROR(Y73/H73,"0")</f>
        <v>10</v>
      </c>
      <c r="Z74" s="41">
        <f>IFERROR(IF(Z70="",0,Z70),"0")+IFERROR(IF(Z71="",0,Z71),"0")+IFERROR(IF(Z72="",0,Z72),"0")+IFERROR(IF(Z73="",0,Z73),"0")</f>
        <v>0.1898</v>
      </c>
      <c r="AA74" s="64"/>
      <c r="AB74" s="64"/>
      <c r="AC74" s="64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0" t="s">
        <v>0</v>
      </c>
      <c r="X75" s="41">
        <f>IFERROR(SUM(X70:X73),"0")</f>
        <v>100</v>
      </c>
      <c r="Y75" s="41">
        <f>IFERROR(SUM(Y70:Y73),"0")</f>
        <v>108</v>
      </c>
      <c r="Z75" s="40"/>
      <c r="AA75" s="64"/>
      <c r="AB75" s="64"/>
      <c r="AC75" s="64"/>
    </row>
    <row r="76" spans="1:68" ht="14.25" hidden="1" customHeight="1" x14ac:dyDescent="0.25">
      <c r="A76" s="625" t="s">
        <v>86</v>
      </c>
      <c r="B76" s="625"/>
      <c r="C76" s="625"/>
      <c r="D76" s="625"/>
      <c r="E76" s="625"/>
      <c r="F76" s="625"/>
      <c r="G76" s="625"/>
      <c r="H76" s="625"/>
      <c r="I76" s="625"/>
      <c r="J76" s="625"/>
      <c r="K76" s="625"/>
      <c r="L76" s="625"/>
      <c r="M76" s="625"/>
      <c r="N76" s="625"/>
      <c r="O76" s="625"/>
      <c r="P76" s="625"/>
      <c r="Q76" s="625"/>
      <c r="R76" s="625"/>
      <c r="S76" s="625"/>
      <c r="T76" s="625"/>
      <c r="U76" s="625"/>
      <c r="V76" s="625"/>
      <c r="W76" s="625"/>
      <c r="X76" s="625"/>
      <c r="Y76" s="625"/>
      <c r="Z76" s="625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26">
        <v>4680115884311</v>
      </c>
      <c r="E77" s="62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8"/>
      <c r="R77" s="628"/>
      <c r="S77" s="628"/>
      <c r="T77" s="62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26">
        <v>4680115884403</v>
      </c>
      <c r="E78" s="62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8"/>
      <c r="R78" s="628"/>
      <c r="S78" s="628"/>
      <c r="T78" s="62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33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4"/>
      <c r="P79" s="630" t="s">
        <v>40</v>
      </c>
      <c r="Q79" s="631"/>
      <c r="R79" s="631"/>
      <c r="S79" s="631"/>
      <c r="T79" s="631"/>
      <c r="U79" s="631"/>
      <c r="V79" s="632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25" t="s">
        <v>181</v>
      </c>
      <c r="B81" s="625"/>
      <c r="C81" s="625"/>
      <c r="D81" s="625"/>
      <c r="E81" s="625"/>
      <c r="F81" s="625"/>
      <c r="G81" s="625"/>
      <c r="H81" s="625"/>
      <c r="I81" s="625"/>
      <c r="J81" s="625"/>
      <c r="K81" s="625"/>
      <c r="L81" s="625"/>
      <c r="M81" s="625"/>
      <c r="N81" s="625"/>
      <c r="O81" s="625"/>
      <c r="P81" s="625"/>
      <c r="Q81" s="625"/>
      <c r="R81" s="625"/>
      <c r="S81" s="625"/>
      <c r="T81" s="625"/>
      <c r="U81" s="625"/>
      <c r="V81" s="625"/>
      <c r="W81" s="625"/>
      <c r="X81" s="625"/>
      <c r="Y81" s="625"/>
      <c r="Z81" s="625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626">
        <v>4680115881532</v>
      </c>
      <c r="E82" s="62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8"/>
      <c r="R82" s="628"/>
      <c r="S82" s="628"/>
      <c r="T82" s="62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26">
        <v>4680115881464</v>
      </c>
      <c r="E83" s="62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7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8"/>
      <c r="R83" s="628"/>
      <c r="S83" s="628"/>
      <c r="T83" s="62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33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4"/>
      <c r="P84" s="630" t="s">
        <v>40</v>
      </c>
      <c r="Q84" s="631"/>
      <c r="R84" s="631"/>
      <c r="S84" s="631"/>
      <c r="T84" s="631"/>
      <c r="U84" s="631"/>
      <c r="V84" s="632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33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4"/>
      <c r="P85" s="630" t="s">
        <v>40</v>
      </c>
      <c r="Q85" s="631"/>
      <c r="R85" s="631"/>
      <c r="S85" s="631"/>
      <c r="T85" s="631"/>
      <c r="U85" s="631"/>
      <c r="V85" s="632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41" t="s">
        <v>188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2"/>
      <c r="AB86" s="62"/>
      <c r="AC86" s="62"/>
    </row>
    <row r="87" spans="1:68" ht="14.25" hidden="1" customHeight="1" x14ac:dyDescent="0.25">
      <c r="A87" s="625" t="s">
        <v>128</v>
      </c>
      <c r="B87" s="625"/>
      <c r="C87" s="625"/>
      <c r="D87" s="625"/>
      <c r="E87" s="625"/>
      <c r="F87" s="625"/>
      <c r="G87" s="625"/>
      <c r="H87" s="625"/>
      <c r="I87" s="625"/>
      <c r="J87" s="625"/>
      <c r="K87" s="625"/>
      <c r="L87" s="625"/>
      <c r="M87" s="625"/>
      <c r="N87" s="625"/>
      <c r="O87" s="625"/>
      <c r="P87" s="625"/>
      <c r="Q87" s="625"/>
      <c r="R87" s="625"/>
      <c r="S87" s="625"/>
      <c r="T87" s="625"/>
      <c r="U87" s="625"/>
      <c r="V87" s="625"/>
      <c r="W87" s="625"/>
      <c r="X87" s="625"/>
      <c r="Y87" s="625"/>
      <c r="Z87" s="625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26">
        <v>4680115881327</v>
      </c>
      <c r="E88" s="62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8"/>
      <c r="R88" s="628"/>
      <c r="S88" s="628"/>
      <c r="T88" s="629"/>
      <c r="U88" s="37" t="s">
        <v>46</v>
      </c>
      <c r="V88" s="37" t="s">
        <v>46</v>
      </c>
      <c r="W88" s="38" t="s">
        <v>0</v>
      </c>
      <c r="X88" s="56">
        <v>150</v>
      </c>
      <c r="Y88" s="53">
        <f>IFERROR(IF(X88="",0,CEILING((X88/$H88),1)*$H88),"")</f>
        <v>151.20000000000002</v>
      </c>
      <c r="Z88" s="39">
        <f>IFERROR(IF(Y88=0,"",ROUNDUP(Y88/H88,0)*0.01898),"")</f>
        <v>0.26572000000000001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155.69444444444446</v>
      </c>
      <c r="BN88" s="75">
        <f>IFERROR(Y88*I88/H88,"0")</f>
        <v>156.94</v>
      </c>
      <c r="BO88" s="75">
        <f>IFERROR(1/J88*(X88/H88),"0")</f>
        <v>0.21701388888888887</v>
      </c>
      <c r="BP88" s="75">
        <f>IFERROR(1/J88*(Y88/H88),"0")</f>
        <v>0.21875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26">
        <v>4680115887732</v>
      </c>
      <c r="E89" s="62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8"/>
      <c r="R89" s="628"/>
      <c r="S89" s="628"/>
      <c r="T89" s="62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26">
        <v>4680115881518</v>
      </c>
      <c r="E90" s="62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8"/>
      <c r="R90" s="628"/>
      <c r="S90" s="628"/>
      <c r="T90" s="62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26">
        <v>4680115881303</v>
      </c>
      <c r="E91" s="62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8"/>
      <c r="R91" s="628"/>
      <c r="S91" s="628"/>
      <c r="T91" s="629"/>
      <c r="U91" s="37" t="s">
        <v>46</v>
      </c>
      <c r="V91" s="37" t="s">
        <v>46</v>
      </c>
      <c r="W91" s="38" t="s">
        <v>0</v>
      </c>
      <c r="X91" s="56">
        <v>180</v>
      </c>
      <c r="Y91" s="53">
        <f>IFERROR(IF(X91="",0,CEILING((X91/$H91),1)*$H91),"")</f>
        <v>180</v>
      </c>
      <c r="Z91" s="39">
        <f>IFERROR(IF(Y91=0,"",ROUNDUP(Y91/H91,0)*0.00902),"")</f>
        <v>0.36080000000000001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187.60000000000002</v>
      </c>
      <c r="BN91" s="75">
        <f>IFERROR(Y91*I91/H91,"0")</f>
        <v>187.60000000000002</v>
      </c>
      <c r="BO91" s="75">
        <f>IFERROR(1/J91*(X91/H91),"0")</f>
        <v>0.30303030303030304</v>
      </c>
      <c r="BP91" s="75">
        <f>IFERROR(1/J91*(Y91/H91),"0")</f>
        <v>0.30303030303030304</v>
      </c>
    </row>
    <row r="92" spans="1:68" x14ac:dyDescent="0.2">
      <c r="A92" s="633"/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4"/>
      <c r="P92" s="630" t="s">
        <v>40</v>
      </c>
      <c r="Q92" s="631"/>
      <c r="R92" s="631"/>
      <c r="S92" s="631"/>
      <c r="T92" s="631"/>
      <c r="U92" s="631"/>
      <c r="V92" s="632"/>
      <c r="W92" s="40" t="s">
        <v>39</v>
      </c>
      <c r="X92" s="41">
        <f>IFERROR(X88/H88,"0")+IFERROR(X89/H89,"0")+IFERROR(X90/H90,"0")+IFERROR(X91/H91,"0")</f>
        <v>53.888888888888886</v>
      </c>
      <c r="Y92" s="41">
        <f>IFERROR(Y88/H88,"0")+IFERROR(Y89/H89,"0")+IFERROR(Y90/H90,"0")+IFERROR(Y91/H91,"0")</f>
        <v>54</v>
      </c>
      <c r="Z92" s="41">
        <f>IFERROR(IF(Z88="",0,Z88),"0")+IFERROR(IF(Z89="",0,Z89),"0")+IFERROR(IF(Z90="",0,Z90),"0")+IFERROR(IF(Z91="",0,Z91),"0")</f>
        <v>0.62651999999999997</v>
      </c>
      <c r="AA92" s="64"/>
      <c r="AB92" s="64"/>
      <c r="AC92" s="64"/>
    </row>
    <row r="93" spans="1:68" x14ac:dyDescent="0.2">
      <c r="A93" s="633"/>
      <c r="B93" s="633"/>
      <c r="C93" s="633"/>
      <c r="D93" s="633"/>
      <c r="E93" s="633"/>
      <c r="F93" s="633"/>
      <c r="G93" s="633"/>
      <c r="H93" s="633"/>
      <c r="I93" s="633"/>
      <c r="J93" s="633"/>
      <c r="K93" s="633"/>
      <c r="L93" s="633"/>
      <c r="M93" s="633"/>
      <c r="N93" s="633"/>
      <c r="O93" s="634"/>
      <c r="P93" s="630" t="s">
        <v>40</v>
      </c>
      <c r="Q93" s="631"/>
      <c r="R93" s="631"/>
      <c r="S93" s="631"/>
      <c r="T93" s="631"/>
      <c r="U93" s="631"/>
      <c r="V93" s="632"/>
      <c r="W93" s="40" t="s">
        <v>0</v>
      </c>
      <c r="X93" s="41">
        <f>IFERROR(SUM(X88:X91),"0")</f>
        <v>330</v>
      </c>
      <c r="Y93" s="41">
        <f>IFERROR(SUM(Y88:Y91),"0")</f>
        <v>331.20000000000005</v>
      </c>
      <c r="Z93" s="40"/>
      <c r="AA93" s="64"/>
      <c r="AB93" s="64"/>
      <c r="AC93" s="64"/>
    </row>
    <row r="94" spans="1:68" ht="14.25" hidden="1" customHeight="1" x14ac:dyDescent="0.25">
      <c r="A94" s="625" t="s">
        <v>86</v>
      </c>
      <c r="B94" s="625"/>
      <c r="C94" s="625"/>
      <c r="D94" s="625"/>
      <c r="E94" s="625"/>
      <c r="F94" s="625"/>
      <c r="G94" s="625"/>
      <c r="H94" s="625"/>
      <c r="I94" s="625"/>
      <c r="J94" s="625"/>
      <c r="K94" s="625"/>
      <c r="L94" s="625"/>
      <c r="M94" s="625"/>
      <c r="N94" s="625"/>
      <c r="O94" s="625"/>
      <c r="P94" s="625"/>
      <c r="Q94" s="625"/>
      <c r="R94" s="625"/>
      <c r="S94" s="625"/>
      <c r="T94" s="625"/>
      <c r="U94" s="625"/>
      <c r="V94" s="625"/>
      <c r="W94" s="625"/>
      <c r="X94" s="625"/>
      <c r="Y94" s="625"/>
      <c r="Z94" s="625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26">
        <v>4607091386967</v>
      </c>
      <c r="E95" s="62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8"/>
      <c r="R95" s="628"/>
      <c r="S95" s="628"/>
      <c r="T95" s="629"/>
      <c r="U95" s="37" t="s">
        <v>46</v>
      </c>
      <c r="V95" s="37" t="s">
        <v>46</v>
      </c>
      <c r="W95" s="38" t="s">
        <v>0</v>
      </c>
      <c r="X95" s="56">
        <v>100</v>
      </c>
      <c r="Y95" s="53">
        <f>IFERROR(IF(X95="",0,CEILING((X95/$H95),1)*$H95),"")</f>
        <v>105.3</v>
      </c>
      <c r="Z95" s="39">
        <f>IFERROR(IF(Y95=0,"",ROUNDUP(Y95/H95,0)*0.01898),"")</f>
        <v>0.24674000000000001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106.09876543209877</v>
      </c>
      <c r="BN95" s="75">
        <f>IFERROR(Y95*I95/H95,"0")</f>
        <v>111.72199999999999</v>
      </c>
      <c r="BO95" s="75">
        <f>IFERROR(1/J95*(X95/H95),"0")</f>
        <v>0.19290123456790123</v>
      </c>
      <c r="BP95" s="75">
        <f>IFERROR(1/J95*(Y95/H95),"0")</f>
        <v>0.203125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26">
        <v>4680115884953</v>
      </c>
      <c r="E96" s="62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8"/>
      <c r="R96" s="628"/>
      <c r="S96" s="628"/>
      <c r="T96" s="62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26">
        <v>4607091385731</v>
      </c>
      <c r="E97" s="62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7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8"/>
      <c r="R97" s="628"/>
      <c r="S97" s="628"/>
      <c r="T97" s="629"/>
      <c r="U97" s="37" t="s">
        <v>46</v>
      </c>
      <c r="V97" s="37" t="s">
        <v>46</v>
      </c>
      <c r="W97" s="38" t="s">
        <v>0</v>
      </c>
      <c r="X97" s="56">
        <v>270</v>
      </c>
      <c r="Y97" s="53">
        <f>IFERROR(IF(X97="",0,CEILING((X97/$H97),1)*$H97),"")</f>
        <v>270</v>
      </c>
      <c r="Z97" s="39">
        <f>IFERROR(IF(Y97=0,"",ROUNDUP(Y97/H97,0)*0.00651),"")</f>
        <v>0.65100000000000002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295.2</v>
      </c>
      <c r="BN97" s="75">
        <f>IFERROR(Y97*I97/H97,"0")</f>
        <v>295.2</v>
      </c>
      <c r="BO97" s="75">
        <f>IFERROR(1/J97*(X97/H97),"0")</f>
        <v>0.5494505494505495</v>
      </c>
      <c r="BP97" s="75">
        <f>IFERROR(1/J97*(Y97/H97),"0")</f>
        <v>0.5494505494505495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26">
        <v>4680115880894</v>
      </c>
      <c r="E98" s="62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8"/>
      <c r="R98" s="628"/>
      <c r="S98" s="628"/>
      <c r="T98" s="62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3"/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4"/>
      <c r="P99" s="630" t="s">
        <v>40</v>
      </c>
      <c r="Q99" s="631"/>
      <c r="R99" s="631"/>
      <c r="S99" s="631"/>
      <c r="T99" s="631"/>
      <c r="U99" s="631"/>
      <c r="V99" s="632"/>
      <c r="W99" s="40" t="s">
        <v>39</v>
      </c>
      <c r="X99" s="41">
        <f>IFERROR(X95/H95,"0")+IFERROR(X96/H96,"0")+IFERROR(X97/H97,"0")+IFERROR(X98/H98,"0")</f>
        <v>112.34567901234568</v>
      </c>
      <c r="Y99" s="41">
        <f>IFERROR(Y95/H95,"0")+IFERROR(Y96/H96,"0")+IFERROR(Y97/H97,"0")+IFERROR(Y98/H98,"0")</f>
        <v>113</v>
      </c>
      <c r="Z99" s="41">
        <f>IFERROR(IF(Z95="",0,Z95),"0")+IFERROR(IF(Z96="",0,Z96),"0")+IFERROR(IF(Z97="",0,Z97),"0")+IFERROR(IF(Z98="",0,Z98),"0")</f>
        <v>0.89773999999999998</v>
      </c>
      <c r="AA99" s="64"/>
      <c r="AB99" s="64"/>
      <c r="AC99" s="64"/>
    </row>
    <row r="100" spans="1:68" x14ac:dyDescent="0.2">
      <c r="A100" s="633"/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4"/>
      <c r="P100" s="630" t="s">
        <v>40</v>
      </c>
      <c r="Q100" s="631"/>
      <c r="R100" s="631"/>
      <c r="S100" s="631"/>
      <c r="T100" s="631"/>
      <c r="U100" s="631"/>
      <c r="V100" s="632"/>
      <c r="W100" s="40" t="s">
        <v>0</v>
      </c>
      <c r="X100" s="41">
        <f>IFERROR(SUM(X95:X98),"0")</f>
        <v>370</v>
      </c>
      <c r="Y100" s="41">
        <f>IFERROR(SUM(Y95:Y98),"0")</f>
        <v>375.3</v>
      </c>
      <c r="Z100" s="40"/>
      <c r="AA100" s="64"/>
      <c r="AB100" s="64"/>
      <c r="AC100" s="64"/>
    </row>
    <row r="101" spans="1:68" ht="16.5" hidden="1" customHeight="1" x14ac:dyDescent="0.25">
      <c r="A101" s="641" t="s">
        <v>209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2"/>
      <c r="AB101" s="62"/>
      <c r="AC101" s="62"/>
    </row>
    <row r="102" spans="1:68" ht="14.25" hidden="1" customHeight="1" x14ac:dyDescent="0.25">
      <c r="A102" s="625" t="s">
        <v>128</v>
      </c>
      <c r="B102" s="625"/>
      <c r="C102" s="625"/>
      <c r="D102" s="625"/>
      <c r="E102" s="625"/>
      <c r="F102" s="625"/>
      <c r="G102" s="625"/>
      <c r="H102" s="625"/>
      <c r="I102" s="625"/>
      <c r="J102" s="625"/>
      <c r="K102" s="625"/>
      <c r="L102" s="625"/>
      <c r="M102" s="625"/>
      <c r="N102" s="625"/>
      <c r="O102" s="625"/>
      <c r="P102" s="625"/>
      <c r="Q102" s="625"/>
      <c r="R102" s="625"/>
      <c r="S102" s="625"/>
      <c r="T102" s="625"/>
      <c r="U102" s="625"/>
      <c r="V102" s="625"/>
      <c r="W102" s="625"/>
      <c r="X102" s="625"/>
      <c r="Y102" s="625"/>
      <c r="Z102" s="625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26">
        <v>4680115882133</v>
      </c>
      <c r="E103" s="62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8"/>
      <c r="R103" s="628"/>
      <c r="S103" s="628"/>
      <c r="T103" s="62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26">
        <v>4680115887718</v>
      </c>
      <c r="E104" s="62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8"/>
      <c r="R104" s="628"/>
      <c r="S104" s="628"/>
      <c r="T104" s="62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26">
        <v>4680115887718</v>
      </c>
      <c r="E105" s="62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6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8"/>
      <c r="R105" s="628"/>
      <c r="S105" s="628"/>
      <c r="T105" s="62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26">
        <v>4680115880269</v>
      </c>
      <c r="E106" s="62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8"/>
      <c r="R106" s="628"/>
      <c r="S106" s="628"/>
      <c r="T106" s="62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26">
        <v>4680115880429</v>
      </c>
      <c r="E107" s="62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8"/>
      <c r="R107" s="628"/>
      <c r="S107" s="628"/>
      <c r="T107" s="629"/>
      <c r="U107" s="37" t="s">
        <v>46</v>
      </c>
      <c r="V107" s="37" t="s">
        <v>46</v>
      </c>
      <c r="W107" s="38" t="s">
        <v>0</v>
      </c>
      <c r="X107" s="56">
        <v>675</v>
      </c>
      <c r="Y107" s="53">
        <f t="shared" si="5"/>
        <v>675</v>
      </c>
      <c r="Z107" s="39">
        <f>IFERROR(IF(Y107=0,"",ROUNDUP(Y107/H107,0)*0.00902),"")</f>
        <v>1.353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703.50000000000011</v>
      </c>
      <c r="BN107" s="75">
        <f t="shared" si="7"/>
        <v>703.50000000000011</v>
      </c>
      <c r="BO107" s="75">
        <f t="shared" si="8"/>
        <v>1.1363636363636365</v>
      </c>
      <c r="BP107" s="75">
        <f t="shared" si="9"/>
        <v>1.1363636363636365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26">
        <v>4680115881457</v>
      </c>
      <c r="E108" s="62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8"/>
      <c r="R108" s="628"/>
      <c r="S108" s="628"/>
      <c r="T108" s="62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0" t="s">
        <v>39</v>
      </c>
      <c r="X109" s="41">
        <f>IFERROR(X103/H103,"0")+IFERROR(X104/H104,"0")+IFERROR(X105/H105,"0")+IFERROR(X106/H106,"0")+IFERROR(X107/H107,"0")+IFERROR(X108/H108,"0")</f>
        <v>150</v>
      </c>
      <c r="Y109" s="41">
        <f>IFERROR(Y103/H103,"0")+IFERROR(Y104/H104,"0")+IFERROR(Y105/H105,"0")+IFERROR(Y106/H106,"0")+IFERROR(Y107/H107,"0")+IFERROR(Y108/H108,"0")</f>
        <v>150</v>
      </c>
      <c r="Z109" s="41">
        <f>IFERROR(IF(Z103="",0,Z103),"0")+IFERROR(IF(Z104="",0,Z104),"0")+IFERROR(IF(Z105="",0,Z105),"0")+IFERROR(IF(Z106="",0,Z106),"0")+IFERROR(IF(Z107="",0,Z107),"0")+IFERROR(IF(Z108="",0,Z108),"0")</f>
        <v>1.353</v>
      </c>
      <c r="AA109" s="64"/>
      <c r="AB109" s="64"/>
      <c r="AC109" s="64"/>
    </row>
    <row r="110" spans="1:68" x14ac:dyDescent="0.2">
      <c r="A110" s="633"/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4"/>
      <c r="P110" s="630" t="s">
        <v>40</v>
      </c>
      <c r="Q110" s="631"/>
      <c r="R110" s="631"/>
      <c r="S110" s="631"/>
      <c r="T110" s="631"/>
      <c r="U110" s="631"/>
      <c r="V110" s="632"/>
      <c r="W110" s="40" t="s">
        <v>0</v>
      </c>
      <c r="X110" s="41">
        <f>IFERROR(SUM(X103:X108),"0")</f>
        <v>675</v>
      </c>
      <c r="Y110" s="41">
        <f>IFERROR(SUM(Y103:Y108),"0")</f>
        <v>675</v>
      </c>
      <c r="Z110" s="40"/>
      <c r="AA110" s="64"/>
      <c r="AB110" s="64"/>
      <c r="AC110" s="64"/>
    </row>
    <row r="111" spans="1:68" ht="14.25" hidden="1" customHeight="1" x14ac:dyDescent="0.25">
      <c r="A111" s="625" t="s">
        <v>164</v>
      </c>
      <c r="B111" s="625"/>
      <c r="C111" s="625"/>
      <c r="D111" s="625"/>
      <c r="E111" s="625"/>
      <c r="F111" s="625"/>
      <c r="G111" s="625"/>
      <c r="H111" s="625"/>
      <c r="I111" s="625"/>
      <c r="J111" s="625"/>
      <c r="K111" s="625"/>
      <c r="L111" s="625"/>
      <c r="M111" s="625"/>
      <c r="N111" s="625"/>
      <c r="O111" s="625"/>
      <c r="P111" s="625"/>
      <c r="Q111" s="625"/>
      <c r="R111" s="625"/>
      <c r="S111" s="625"/>
      <c r="T111" s="625"/>
      <c r="U111" s="625"/>
      <c r="V111" s="625"/>
      <c r="W111" s="625"/>
      <c r="X111" s="625"/>
      <c r="Y111" s="625"/>
      <c r="Z111" s="625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26">
        <v>4680115881488</v>
      </c>
      <c r="E112" s="62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8"/>
      <c r="R112" s="628"/>
      <c r="S112" s="628"/>
      <c r="T112" s="62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26">
        <v>4680115887664</v>
      </c>
      <c r="E113" s="62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8"/>
      <c r="R113" s="628"/>
      <c r="S113" s="628"/>
      <c r="T113" s="62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26">
        <v>4680115887664</v>
      </c>
      <c r="E114" s="62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5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8"/>
      <c r="R114" s="628"/>
      <c r="S114" s="628"/>
      <c r="T114" s="62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26">
        <v>4680115882775</v>
      </c>
      <c r="E115" s="62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6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8"/>
      <c r="R115" s="628"/>
      <c r="S115" s="628"/>
      <c r="T115" s="62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26">
        <v>4680115880658</v>
      </c>
      <c r="E116" s="62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6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8"/>
      <c r="R116" s="628"/>
      <c r="S116" s="628"/>
      <c r="T116" s="62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33"/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4"/>
      <c r="P118" s="630" t="s">
        <v>40</v>
      </c>
      <c r="Q118" s="631"/>
      <c r="R118" s="631"/>
      <c r="S118" s="631"/>
      <c r="T118" s="631"/>
      <c r="U118" s="631"/>
      <c r="V118" s="632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25" t="s">
        <v>86</v>
      </c>
      <c r="B119" s="625"/>
      <c r="C119" s="625"/>
      <c r="D119" s="625"/>
      <c r="E119" s="625"/>
      <c r="F119" s="625"/>
      <c r="G119" s="625"/>
      <c r="H119" s="625"/>
      <c r="I119" s="625"/>
      <c r="J119" s="625"/>
      <c r="K119" s="625"/>
      <c r="L119" s="625"/>
      <c r="M119" s="625"/>
      <c r="N119" s="625"/>
      <c r="O119" s="625"/>
      <c r="P119" s="625"/>
      <c r="Q119" s="625"/>
      <c r="R119" s="625"/>
      <c r="S119" s="625"/>
      <c r="T119" s="625"/>
      <c r="U119" s="625"/>
      <c r="V119" s="625"/>
      <c r="W119" s="625"/>
      <c r="X119" s="625"/>
      <c r="Y119" s="625"/>
      <c r="Z119" s="625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26">
        <v>4607091385168</v>
      </c>
      <c r="E120" s="62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8"/>
      <c r="R120" s="628"/>
      <c r="S120" s="628"/>
      <c r="T120" s="629"/>
      <c r="U120" s="37" t="s">
        <v>46</v>
      </c>
      <c r="V120" s="37" t="s">
        <v>46</v>
      </c>
      <c r="W120" s="38" t="s">
        <v>0</v>
      </c>
      <c r="X120" s="56">
        <v>300</v>
      </c>
      <c r="Y120" s="53">
        <f>IFERROR(IF(X120="",0,CEILING((X120/$H120),1)*$H120),"")</f>
        <v>307.8</v>
      </c>
      <c r="Z120" s="39">
        <f>IFERROR(IF(Y120=0,"",ROUNDUP(Y120/H120,0)*0.01898),"")</f>
        <v>0.72123999999999999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318.07407407407402</v>
      </c>
      <c r="BN120" s="75">
        <f>IFERROR(Y120*I120/H120,"0")</f>
        <v>326.34399999999999</v>
      </c>
      <c r="BO120" s="75">
        <f>IFERROR(1/J120*(X120/H120),"0")</f>
        <v>0.57870370370370372</v>
      </c>
      <c r="BP120" s="75">
        <f>IFERROR(1/J120*(Y120/H120),"0")</f>
        <v>0.59375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26">
        <v>4607091383256</v>
      </c>
      <c r="E121" s="62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8"/>
      <c r="R121" s="628"/>
      <c r="S121" s="628"/>
      <c r="T121" s="62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26">
        <v>4607091385748</v>
      </c>
      <c r="E122" s="62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8"/>
      <c r="R122" s="628"/>
      <c r="S122" s="628"/>
      <c r="T122" s="629"/>
      <c r="U122" s="37" t="s">
        <v>46</v>
      </c>
      <c r="V122" s="37" t="s">
        <v>46</v>
      </c>
      <c r="W122" s="38" t="s">
        <v>0</v>
      </c>
      <c r="X122" s="56">
        <v>360</v>
      </c>
      <c r="Y122" s="53">
        <f>IFERROR(IF(X122="",0,CEILING((X122/$H122),1)*$H122),"")</f>
        <v>361.8</v>
      </c>
      <c r="Z122" s="39">
        <f>IFERROR(IF(Y122=0,"",ROUNDUP(Y122/H122,0)*0.00651),"")</f>
        <v>0.87234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393.59999999999997</v>
      </c>
      <c r="BN122" s="75">
        <f>IFERROR(Y122*I122/H122,"0")</f>
        <v>395.56799999999998</v>
      </c>
      <c r="BO122" s="75">
        <f>IFERROR(1/J122*(X122/H122),"0")</f>
        <v>0.73260073260073255</v>
      </c>
      <c r="BP122" s="75">
        <f>IFERROR(1/J122*(Y122/H122),"0")</f>
        <v>0.73626373626373631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626">
        <v>4680115884533</v>
      </c>
      <c r="E123" s="62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8"/>
      <c r="R123" s="628"/>
      <c r="S123" s="628"/>
      <c r="T123" s="62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0" t="s">
        <v>39</v>
      </c>
      <c r="X124" s="41">
        <f>IFERROR(X120/H120,"0")+IFERROR(X121/H121,"0")+IFERROR(X122/H122,"0")+IFERROR(X123/H123,"0")</f>
        <v>170.37037037037035</v>
      </c>
      <c r="Y124" s="41">
        <f>IFERROR(Y120/H120,"0")+IFERROR(Y121/H121,"0")+IFERROR(Y122/H122,"0")+IFERROR(Y123/H123,"0")</f>
        <v>172</v>
      </c>
      <c r="Z124" s="41">
        <f>IFERROR(IF(Z120="",0,Z120),"0")+IFERROR(IF(Z121="",0,Z121),"0")+IFERROR(IF(Z122="",0,Z122),"0")+IFERROR(IF(Z123="",0,Z123),"0")</f>
        <v>1.59358</v>
      </c>
      <c r="AA124" s="64"/>
      <c r="AB124" s="64"/>
      <c r="AC124" s="64"/>
    </row>
    <row r="125" spans="1:68" x14ac:dyDescent="0.2">
      <c r="A125" s="633"/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4"/>
      <c r="P125" s="630" t="s">
        <v>40</v>
      </c>
      <c r="Q125" s="631"/>
      <c r="R125" s="631"/>
      <c r="S125" s="631"/>
      <c r="T125" s="631"/>
      <c r="U125" s="631"/>
      <c r="V125" s="632"/>
      <c r="W125" s="40" t="s">
        <v>0</v>
      </c>
      <c r="X125" s="41">
        <f>IFERROR(SUM(X120:X123),"0")</f>
        <v>660</v>
      </c>
      <c r="Y125" s="41">
        <f>IFERROR(SUM(Y120:Y123),"0")</f>
        <v>669.6</v>
      </c>
      <c r="Z125" s="40"/>
      <c r="AA125" s="64"/>
      <c r="AB125" s="64"/>
      <c r="AC125" s="64"/>
    </row>
    <row r="126" spans="1:68" ht="14.25" hidden="1" customHeight="1" x14ac:dyDescent="0.25">
      <c r="A126" s="625" t="s">
        <v>181</v>
      </c>
      <c r="B126" s="625"/>
      <c r="C126" s="625"/>
      <c r="D126" s="625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26">
        <v>4680115880238</v>
      </c>
      <c r="E127" s="62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8"/>
      <c r="R127" s="628"/>
      <c r="S127" s="628"/>
      <c r="T127" s="629"/>
      <c r="U127" s="37" t="s">
        <v>46</v>
      </c>
      <c r="V127" s="37" t="s">
        <v>46</v>
      </c>
      <c r="W127" s="38" t="s">
        <v>0</v>
      </c>
      <c r="X127" s="56">
        <v>49.5</v>
      </c>
      <c r="Y127" s="53">
        <f>IFERROR(IF(X127="",0,CEILING((X127/$H127),1)*$H127),"")</f>
        <v>49.5</v>
      </c>
      <c r="Z127" s="39">
        <f>IFERROR(IF(Y127=0,"",ROUNDUP(Y127/H127,0)*0.00651),"")</f>
        <v>0.16275000000000001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55.95</v>
      </c>
      <c r="BN127" s="75">
        <f>IFERROR(Y127*I127/H127,"0")</f>
        <v>55.95</v>
      </c>
      <c r="BO127" s="75">
        <f>IFERROR(1/J127*(X127/H127),"0")</f>
        <v>0.13736263736263737</v>
      </c>
      <c r="BP127" s="75">
        <f>IFERROR(1/J127*(Y127/H127),"0")</f>
        <v>0.13736263736263737</v>
      </c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0" t="s">
        <v>39</v>
      </c>
      <c r="X128" s="41">
        <f>IFERROR(X127/H127,"0")</f>
        <v>25</v>
      </c>
      <c r="Y128" s="41">
        <f>IFERROR(Y127/H127,"0")</f>
        <v>25</v>
      </c>
      <c r="Z128" s="41">
        <f>IFERROR(IF(Z127="",0,Z127),"0")</f>
        <v>0.16275000000000001</v>
      </c>
      <c r="AA128" s="64"/>
      <c r="AB128" s="64"/>
      <c r="AC128" s="64"/>
    </row>
    <row r="129" spans="1:68" x14ac:dyDescent="0.2">
      <c r="A129" s="633"/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4"/>
      <c r="P129" s="630" t="s">
        <v>40</v>
      </c>
      <c r="Q129" s="631"/>
      <c r="R129" s="631"/>
      <c r="S129" s="631"/>
      <c r="T129" s="631"/>
      <c r="U129" s="631"/>
      <c r="V129" s="632"/>
      <c r="W129" s="40" t="s">
        <v>0</v>
      </c>
      <c r="X129" s="41">
        <f>IFERROR(SUM(X127:X127),"0")</f>
        <v>49.5</v>
      </c>
      <c r="Y129" s="41">
        <f>IFERROR(SUM(Y127:Y127),"0")</f>
        <v>49.5</v>
      </c>
      <c r="Z129" s="40"/>
      <c r="AA129" s="64"/>
      <c r="AB129" s="64"/>
      <c r="AC129" s="64"/>
    </row>
    <row r="130" spans="1:68" ht="16.5" hidden="1" customHeight="1" x14ac:dyDescent="0.25">
      <c r="A130" s="641" t="s">
        <v>248</v>
      </c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1"/>
      <c r="P130" s="641"/>
      <c r="Q130" s="641"/>
      <c r="R130" s="641"/>
      <c r="S130" s="641"/>
      <c r="T130" s="641"/>
      <c r="U130" s="641"/>
      <c r="V130" s="641"/>
      <c r="W130" s="641"/>
      <c r="X130" s="641"/>
      <c r="Y130" s="641"/>
      <c r="Z130" s="641"/>
      <c r="AA130" s="62"/>
      <c r="AB130" s="62"/>
      <c r="AC130" s="62"/>
    </row>
    <row r="131" spans="1:68" ht="14.25" hidden="1" customHeight="1" x14ac:dyDescent="0.25">
      <c r="A131" s="625" t="s">
        <v>128</v>
      </c>
      <c r="B131" s="625"/>
      <c r="C131" s="625"/>
      <c r="D131" s="625"/>
      <c r="E131" s="625"/>
      <c r="F131" s="625"/>
      <c r="G131" s="625"/>
      <c r="H131" s="625"/>
      <c r="I131" s="625"/>
      <c r="J131" s="625"/>
      <c r="K131" s="625"/>
      <c r="L131" s="625"/>
      <c r="M131" s="625"/>
      <c r="N131" s="625"/>
      <c r="O131" s="625"/>
      <c r="P131" s="625"/>
      <c r="Q131" s="625"/>
      <c r="R131" s="625"/>
      <c r="S131" s="625"/>
      <c r="T131" s="625"/>
      <c r="U131" s="625"/>
      <c r="V131" s="625"/>
      <c r="W131" s="625"/>
      <c r="X131" s="625"/>
      <c r="Y131" s="625"/>
      <c r="Z131" s="625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4301011562</v>
      </c>
      <c r="D132" s="626">
        <v>4680115882577</v>
      </c>
      <c r="E132" s="62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109</v>
      </c>
      <c r="N132" s="36"/>
      <c r="O132" s="35">
        <v>90</v>
      </c>
      <c r="P132" s="8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8"/>
      <c r="R132" s="628"/>
      <c r="S132" s="628"/>
      <c r="T132" s="62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249</v>
      </c>
      <c r="B133" s="60" t="s">
        <v>252</v>
      </c>
      <c r="C133" s="34">
        <v>4301011564</v>
      </c>
      <c r="D133" s="626">
        <v>4680115882577</v>
      </c>
      <c r="E133" s="626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109</v>
      </c>
      <c r="N133" s="36"/>
      <c r="O133" s="35">
        <v>90</v>
      </c>
      <c r="P133" s="8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8"/>
      <c r="R133" s="628"/>
      <c r="S133" s="628"/>
      <c r="T133" s="62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33"/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4"/>
      <c r="P135" s="630" t="s">
        <v>40</v>
      </c>
      <c r="Q135" s="631"/>
      <c r="R135" s="631"/>
      <c r="S135" s="631"/>
      <c r="T135" s="631"/>
      <c r="U135" s="631"/>
      <c r="V135" s="632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25" t="s">
        <v>77</v>
      </c>
      <c r="B136" s="625"/>
      <c r="C136" s="625"/>
      <c r="D136" s="625"/>
      <c r="E136" s="625"/>
      <c r="F136" s="625"/>
      <c r="G136" s="625"/>
      <c r="H136" s="625"/>
      <c r="I136" s="625"/>
      <c r="J136" s="625"/>
      <c r="K136" s="625"/>
      <c r="L136" s="625"/>
      <c r="M136" s="625"/>
      <c r="N136" s="625"/>
      <c r="O136" s="625"/>
      <c r="P136" s="625"/>
      <c r="Q136" s="625"/>
      <c r="R136" s="625"/>
      <c r="S136" s="625"/>
      <c r="T136" s="625"/>
      <c r="U136" s="625"/>
      <c r="V136" s="625"/>
      <c r="W136" s="625"/>
      <c r="X136" s="625"/>
      <c r="Y136" s="625"/>
      <c r="Z136" s="625"/>
      <c r="AA136" s="63"/>
      <c r="AB136" s="63"/>
      <c r="AC136" s="63"/>
    </row>
    <row r="137" spans="1:68" ht="27" hidden="1" customHeight="1" x14ac:dyDescent="0.25">
      <c r="A137" s="60" t="s">
        <v>253</v>
      </c>
      <c r="B137" s="60" t="s">
        <v>254</v>
      </c>
      <c r="C137" s="34">
        <v>4301031234</v>
      </c>
      <c r="D137" s="626">
        <v>4680115883444</v>
      </c>
      <c r="E137" s="62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109</v>
      </c>
      <c r="N137" s="36"/>
      <c r="O137" s="35">
        <v>90</v>
      </c>
      <c r="P137" s="8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8"/>
      <c r="R137" s="628"/>
      <c r="S137" s="628"/>
      <c r="T137" s="62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255</v>
      </c>
      <c r="AG137" s="75"/>
      <c r="AJ137" s="79" t="s">
        <v>46</v>
      </c>
      <c r="AK137" s="79">
        <v>0</v>
      </c>
      <c r="BB137" s="200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253</v>
      </c>
      <c r="B138" s="60" t="s">
        <v>256</v>
      </c>
      <c r="C138" s="34">
        <v>4301031235</v>
      </c>
      <c r="D138" s="626">
        <v>4680115883444</v>
      </c>
      <c r="E138" s="626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109</v>
      </c>
      <c r="N138" s="36"/>
      <c r="O138" s="35">
        <v>90</v>
      </c>
      <c r="P138" s="85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8"/>
      <c r="R138" s="628"/>
      <c r="S138" s="628"/>
      <c r="T138" s="629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255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33"/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4"/>
      <c r="P140" s="630" t="s">
        <v>40</v>
      </c>
      <c r="Q140" s="631"/>
      <c r="R140" s="631"/>
      <c r="S140" s="631"/>
      <c r="T140" s="631"/>
      <c r="U140" s="631"/>
      <c r="V140" s="632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25" t="s">
        <v>86</v>
      </c>
      <c r="B141" s="625"/>
      <c r="C141" s="625"/>
      <c r="D141" s="625"/>
      <c r="E141" s="625"/>
      <c r="F141" s="625"/>
      <c r="G141" s="625"/>
      <c r="H141" s="625"/>
      <c r="I141" s="625"/>
      <c r="J141" s="625"/>
      <c r="K141" s="625"/>
      <c r="L141" s="625"/>
      <c r="M141" s="625"/>
      <c r="N141" s="625"/>
      <c r="O141" s="625"/>
      <c r="P141" s="625"/>
      <c r="Q141" s="625"/>
      <c r="R141" s="625"/>
      <c r="S141" s="625"/>
      <c r="T141" s="625"/>
      <c r="U141" s="625"/>
      <c r="V141" s="625"/>
      <c r="W141" s="625"/>
      <c r="X141" s="625"/>
      <c r="Y141" s="625"/>
      <c r="Z141" s="625"/>
      <c r="AA141" s="63"/>
      <c r="AB141" s="63"/>
      <c r="AC141" s="63"/>
    </row>
    <row r="142" spans="1:68" ht="16.5" hidden="1" customHeight="1" x14ac:dyDescent="0.25">
      <c r="A142" s="60" t="s">
        <v>257</v>
      </c>
      <c r="B142" s="60" t="s">
        <v>258</v>
      </c>
      <c r="C142" s="34">
        <v>4301051476</v>
      </c>
      <c r="D142" s="626">
        <v>4680115882584</v>
      </c>
      <c r="E142" s="62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60</v>
      </c>
      <c r="P142" s="8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8"/>
      <c r="R142" s="628"/>
      <c r="S142" s="628"/>
      <c r="T142" s="62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251</v>
      </c>
      <c r="AG142" s="75"/>
      <c r="AJ142" s="79" t="s">
        <v>46</v>
      </c>
      <c r="AK142" s="79">
        <v>0</v>
      </c>
      <c r="BB142" s="204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257</v>
      </c>
      <c r="B143" s="60" t="s">
        <v>259</v>
      </c>
      <c r="C143" s="34">
        <v>4301051477</v>
      </c>
      <c r="D143" s="626">
        <v>4680115882584</v>
      </c>
      <c r="E143" s="626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109</v>
      </c>
      <c r="N143" s="36"/>
      <c r="O143" s="35">
        <v>60</v>
      </c>
      <c r="P143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8"/>
      <c r="R143" s="628"/>
      <c r="S143" s="628"/>
      <c r="T143" s="629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251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33"/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4"/>
      <c r="P145" s="630" t="s">
        <v>40</v>
      </c>
      <c r="Q145" s="631"/>
      <c r="R145" s="631"/>
      <c r="S145" s="631"/>
      <c r="T145" s="631"/>
      <c r="U145" s="631"/>
      <c r="V145" s="632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1" t="s">
        <v>260</v>
      </c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1"/>
      <c r="P146" s="641"/>
      <c r="Q146" s="641"/>
      <c r="R146" s="641"/>
      <c r="S146" s="641"/>
      <c r="T146" s="641"/>
      <c r="U146" s="641"/>
      <c r="V146" s="641"/>
      <c r="W146" s="641"/>
      <c r="X146" s="641"/>
      <c r="Y146" s="641"/>
      <c r="Z146" s="641"/>
      <c r="AA146" s="62"/>
      <c r="AB146" s="62"/>
      <c r="AC146" s="62"/>
    </row>
    <row r="147" spans="1:68" ht="14.25" hidden="1" customHeight="1" x14ac:dyDescent="0.25">
      <c r="A147" s="625" t="s">
        <v>86</v>
      </c>
      <c r="B147" s="625"/>
      <c r="C147" s="625"/>
      <c r="D147" s="625"/>
      <c r="E147" s="625"/>
      <c r="F147" s="625"/>
      <c r="G147" s="625"/>
      <c r="H147" s="625"/>
      <c r="I147" s="625"/>
      <c r="J147" s="625"/>
      <c r="K147" s="625"/>
      <c r="L147" s="625"/>
      <c r="M147" s="625"/>
      <c r="N147" s="625"/>
      <c r="O147" s="625"/>
      <c r="P147" s="625"/>
      <c r="Q147" s="625"/>
      <c r="R147" s="625"/>
      <c r="S147" s="625"/>
      <c r="T147" s="625"/>
      <c r="U147" s="625"/>
      <c r="V147" s="625"/>
      <c r="W147" s="625"/>
      <c r="X147" s="625"/>
      <c r="Y147" s="625"/>
      <c r="Z147" s="625"/>
      <c r="AA147" s="63"/>
      <c r="AB147" s="63"/>
      <c r="AC147" s="63"/>
    </row>
    <row r="148" spans="1:68" ht="27" hidden="1" customHeight="1" x14ac:dyDescent="0.25">
      <c r="A148" s="60" t="s">
        <v>261</v>
      </c>
      <c r="B148" s="60" t="s">
        <v>262</v>
      </c>
      <c r="C148" s="34">
        <v>4301052174</v>
      </c>
      <c r="D148" s="626">
        <v>4680115888203</v>
      </c>
      <c r="E148" s="62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4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8"/>
      <c r="R148" s="628"/>
      <c r="S148" s="628"/>
      <c r="T148" s="62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263</v>
      </c>
      <c r="AG148" s="75"/>
      <c r="AJ148" s="79" t="s">
        <v>46</v>
      </c>
      <c r="AK148" s="79">
        <v>0</v>
      </c>
      <c r="BB148" s="208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264</v>
      </c>
      <c r="B149" s="60" t="s">
        <v>265</v>
      </c>
      <c r="C149" s="34">
        <v>4301052172</v>
      </c>
      <c r="D149" s="626">
        <v>4680115888180</v>
      </c>
      <c r="E149" s="626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4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8"/>
      <c r="R149" s="628"/>
      <c r="S149" s="628"/>
      <c r="T149" s="62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4301052173</v>
      </c>
      <c r="D150" s="626">
        <v>4680115888197</v>
      </c>
      <c r="E150" s="626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4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8"/>
      <c r="R150" s="628"/>
      <c r="S150" s="628"/>
      <c r="T150" s="62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26">
        <v>4680115888210</v>
      </c>
      <c r="E151" s="62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4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8"/>
      <c r="R151" s="628"/>
      <c r="S151" s="628"/>
      <c r="T151" s="62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633"/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4"/>
      <c r="P153" s="630" t="s">
        <v>40</v>
      </c>
      <c r="Q153" s="631"/>
      <c r="R153" s="631"/>
      <c r="S153" s="631"/>
      <c r="T153" s="631"/>
      <c r="U153" s="631"/>
      <c r="V153" s="632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41" t="s">
        <v>126</v>
      </c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2"/>
      <c r="AB154" s="62"/>
      <c r="AC154" s="62"/>
    </row>
    <row r="155" spans="1:68" ht="14.25" hidden="1" customHeight="1" x14ac:dyDescent="0.25">
      <c r="A155" s="625" t="s">
        <v>128</v>
      </c>
      <c r="B155" s="625"/>
      <c r="C155" s="625"/>
      <c r="D155" s="625"/>
      <c r="E155" s="625"/>
      <c r="F155" s="625"/>
      <c r="G155" s="625"/>
      <c r="H155" s="625"/>
      <c r="I155" s="625"/>
      <c r="J155" s="625"/>
      <c r="K155" s="625"/>
      <c r="L155" s="625"/>
      <c r="M155" s="625"/>
      <c r="N155" s="625"/>
      <c r="O155" s="625"/>
      <c r="P155" s="625"/>
      <c r="Q155" s="625"/>
      <c r="R155" s="625"/>
      <c r="S155" s="625"/>
      <c r="T155" s="625"/>
      <c r="U155" s="625"/>
      <c r="V155" s="625"/>
      <c r="W155" s="625"/>
      <c r="X155" s="625"/>
      <c r="Y155" s="625"/>
      <c r="Z155" s="625"/>
      <c r="AA155" s="63"/>
      <c r="AB155" s="63"/>
      <c r="AC155" s="63"/>
    </row>
    <row r="156" spans="1:68" ht="16.5" hidden="1" customHeight="1" x14ac:dyDescent="0.25">
      <c r="A156" s="60" t="s">
        <v>273</v>
      </c>
      <c r="B156" s="60" t="s">
        <v>274</v>
      </c>
      <c r="C156" s="34">
        <v>4301012344</v>
      </c>
      <c r="D156" s="626">
        <v>4680115888876</v>
      </c>
      <c r="E156" s="626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91</v>
      </c>
      <c r="L156" s="35" t="s">
        <v>46</v>
      </c>
      <c r="M156" s="36" t="s">
        <v>90</v>
      </c>
      <c r="N156" s="36"/>
      <c r="O156" s="35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8"/>
      <c r="R156" s="628"/>
      <c r="S156" s="628"/>
      <c r="T156" s="62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276</v>
      </c>
      <c r="AC156" s="215" t="s">
        <v>275</v>
      </c>
      <c r="AG156" s="75"/>
      <c r="AJ156" s="79" t="s">
        <v>46</v>
      </c>
      <c r="AK156" s="79">
        <v>0</v>
      </c>
      <c r="BB156" s="216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277</v>
      </c>
      <c r="B157" s="60" t="s">
        <v>278</v>
      </c>
      <c r="C157" s="34">
        <v>4301012244</v>
      </c>
      <c r="D157" s="626">
        <v>4680115887374</v>
      </c>
      <c r="E157" s="626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8"/>
      <c r="R157" s="628"/>
      <c r="S157" s="628"/>
      <c r="T157" s="62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279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280</v>
      </c>
      <c r="B158" s="60" t="s">
        <v>281</v>
      </c>
      <c r="C158" s="34">
        <v>4301011705</v>
      </c>
      <c r="D158" s="626">
        <v>4607091384604</v>
      </c>
      <c r="E158" s="626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8"/>
      <c r="R158" s="628"/>
      <c r="S158" s="628"/>
      <c r="T158" s="629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282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33"/>
      <c r="B159" s="633"/>
      <c r="C159" s="633"/>
      <c r="D159" s="633"/>
      <c r="E159" s="633"/>
      <c r="F159" s="633"/>
      <c r="G159" s="633"/>
      <c r="H159" s="633"/>
      <c r="I159" s="633"/>
      <c r="J159" s="633"/>
      <c r="K159" s="633"/>
      <c r="L159" s="633"/>
      <c r="M159" s="633"/>
      <c r="N159" s="633"/>
      <c r="O159" s="634"/>
      <c r="P159" s="630" t="s">
        <v>40</v>
      </c>
      <c r="Q159" s="631"/>
      <c r="R159" s="631"/>
      <c r="S159" s="631"/>
      <c r="T159" s="631"/>
      <c r="U159" s="631"/>
      <c r="V159" s="632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633"/>
      <c r="B160" s="633"/>
      <c r="C160" s="633"/>
      <c r="D160" s="633"/>
      <c r="E160" s="633"/>
      <c r="F160" s="633"/>
      <c r="G160" s="633"/>
      <c r="H160" s="633"/>
      <c r="I160" s="633"/>
      <c r="J160" s="633"/>
      <c r="K160" s="633"/>
      <c r="L160" s="633"/>
      <c r="M160" s="633"/>
      <c r="N160" s="633"/>
      <c r="O160" s="634"/>
      <c r="P160" s="630" t="s">
        <v>40</v>
      </c>
      <c r="Q160" s="631"/>
      <c r="R160" s="631"/>
      <c r="S160" s="631"/>
      <c r="T160" s="631"/>
      <c r="U160" s="631"/>
      <c r="V160" s="632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25" t="s">
        <v>164</v>
      </c>
      <c r="B161" s="625"/>
      <c r="C161" s="625"/>
      <c r="D161" s="625"/>
      <c r="E161" s="625"/>
      <c r="F161" s="625"/>
      <c r="G161" s="625"/>
      <c r="H161" s="625"/>
      <c r="I161" s="625"/>
      <c r="J161" s="625"/>
      <c r="K161" s="625"/>
      <c r="L161" s="625"/>
      <c r="M161" s="625"/>
      <c r="N161" s="625"/>
      <c r="O161" s="625"/>
      <c r="P161" s="625"/>
      <c r="Q161" s="625"/>
      <c r="R161" s="625"/>
      <c r="S161" s="625"/>
      <c r="T161" s="625"/>
      <c r="U161" s="625"/>
      <c r="V161" s="625"/>
      <c r="W161" s="625"/>
      <c r="X161" s="625"/>
      <c r="Y161" s="625"/>
      <c r="Z161" s="625"/>
      <c r="AA161" s="63"/>
      <c r="AB161" s="63"/>
      <c r="AC161" s="63"/>
    </row>
    <row r="162" spans="1:68" ht="16.5" hidden="1" customHeight="1" x14ac:dyDescent="0.25">
      <c r="A162" s="60" t="s">
        <v>283</v>
      </c>
      <c r="B162" s="60" t="s">
        <v>284</v>
      </c>
      <c r="C162" s="34">
        <v>4301020410</v>
      </c>
      <c r="D162" s="626">
        <v>4680115887695</v>
      </c>
      <c r="E162" s="626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3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8"/>
      <c r="R162" s="628"/>
      <c r="S162" s="628"/>
      <c r="T162" s="62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285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25" t="s">
        <v>77</v>
      </c>
      <c r="B165" s="625"/>
      <c r="C165" s="625"/>
      <c r="D165" s="625"/>
      <c r="E165" s="625"/>
      <c r="F165" s="625"/>
      <c r="G165" s="625"/>
      <c r="H165" s="625"/>
      <c r="I165" s="625"/>
      <c r="J165" s="625"/>
      <c r="K165" s="625"/>
      <c r="L165" s="625"/>
      <c r="M165" s="625"/>
      <c r="N165" s="625"/>
      <c r="O165" s="625"/>
      <c r="P165" s="625"/>
      <c r="Q165" s="625"/>
      <c r="R165" s="625"/>
      <c r="S165" s="625"/>
      <c r="T165" s="625"/>
      <c r="U165" s="625"/>
      <c r="V165" s="625"/>
      <c r="W165" s="625"/>
      <c r="X165" s="625"/>
      <c r="Y165" s="625"/>
      <c r="Z165" s="625"/>
      <c r="AA165" s="63"/>
      <c r="AB165" s="63"/>
      <c r="AC165" s="63"/>
    </row>
    <row r="166" spans="1:68" ht="27" customHeight="1" x14ac:dyDescent="0.25">
      <c r="A166" s="60" t="s">
        <v>286</v>
      </c>
      <c r="B166" s="60" t="s">
        <v>287</v>
      </c>
      <c r="C166" s="34">
        <v>4301031496</v>
      </c>
      <c r="D166" s="626">
        <v>4680115887428</v>
      </c>
      <c r="E166" s="626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3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8"/>
      <c r="R166" s="628"/>
      <c r="S166" s="628"/>
      <c r="T166" s="629"/>
      <c r="U166" s="37" t="s">
        <v>46</v>
      </c>
      <c r="V166" s="37" t="s">
        <v>46</v>
      </c>
      <c r="W166" s="38" t="s">
        <v>0</v>
      </c>
      <c r="X166" s="56">
        <v>100</v>
      </c>
      <c r="Y166" s="53">
        <f t="shared" ref="Y166:Y177" si="10">IFERROR(IF(X166="",0,CEILING((X166/$H166),1)*$H166),"")</f>
        <v>101.5</v>
      </c>
      <c r="Z166" s="39">
        <f>IFERROR(IF(Y166=0,"",ROUNDUP(Y166/H166,0)*0.00902),"")</f>
        <v>0.26158000000000003</v>
      </c>
      <c r="AA166" s="65" t="s">
        <v>46</v>
      </c>
      <c r="AB166" s="66" t="s">
        <v>46</v>
      </c>
      <c r="AC166" s="223" t="s">
        <v>288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7" si="11">IFERROR(X166*I166/H166,"0")</f>
        <v>105.42857142857143</v>
      </c>
      <c r="BN166" s="75">
        <f t="shared" ref="BN166:BN177" si="12">IFERROR(Y166*I166/H166,"0")</f>
        <v>107.00999999999999</v>
      </c>
      <c r="BO166" s="75">
        <f t="shared" ref="BO166:BO177" si="13">IFERROR(1/J166*(X166/H166),"0")</f>
        <v>0.21645021645021648</v>
      </c>
      <c r="BP166" s="75">
        <f t="shared" ref="BP166:BP177" si="14">IFERROR(1/J166*(Y166/H166),"0")</f>
        <v>0.2196969696969697</v>
      </c>
    </row>
    <row r="167" spans="1:68" ht="27" hidden="1" customHeight="1" x14ac:dyDescent="0.25">
      <c r="A167" s="60" t="s">
        <v>289</v>
      </c>
      <c r="B167" s="60" t="s">
        <v>290</v>
      </c>
      <c r="C167" s="34">
        <v>4301030963</v>
      </c>
      <c r="D167" s="626">
        <v>4607091382426</v>
      </c>
      <c r="E167" s="626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8"/>
      <c r="R167" s="628"/>
      <c r="S167" s="628"/>
      <c r="T167" s="629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291</v>
      </c>
      <c r="AG167" s="75"/>
      <c r="AJ167" s="79" t="s">
        <v>46</v>
      </c>
      <c r="AK167" s="79">
        <v>0</v>
      </c>
      <c r="BB167" s="226" t="s">
        <v>67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292</v>
      </c>
      <c r="B168" s="60" t="s">
        <v>293</v>
      </c>
      <c r="C168" s="34">
        <v>4301031509</v>
      </c>
      <c r="D168" s="626">
        <v>4680115889170</v>
      </c>
      <c r="E168" s="626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45</v>
      </c>
      <c r="P168" s="83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8"/>
      <c r="R168" s="628"/>
      <c r="S168" s="628"/>
      <c r="T168" s="629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294</v>
      </c>
      <c r="AG168" s="75"/>
      <c r="AJ168" s="79" t="s">
        <v>46</v>
      </c>
      <c r="AK168" s="79">
        <v>0</v>
      </c>
      <c r="BB168" s="228" t="s">
        <v>67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295</v>
      </c>
      <c r="B169" s="60" t="s">
        <v>296</v>
      </c>
      <c r="C169" s="34">
        <v>4301031498</v>
      </c>
      <c r="D169" s="626">
        <v>4680115887398</v>
      </c>
      <c r="E169" s="62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83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8"/>
      <c r="R169" s="628"/>
      <c r="S169" s="628"/>
      <c r="T169" s="629"/>
      <c r="U169" s="37" t="s">
        <v>46</v>
      </c>
      <c r="V169" s="37" t="s">
        <v>46</v>
      </c>
      <c r="W169" s="38" t="s">
        <v>0</v>
      </c>
      <c r="X169" s="56">
        <v>100</v>
      </c>
      <c r="Y169" s="53">
        <f t="shared" si="10"/>
        <v>101.5</v>
      </c>
      <c r="Z169" s="39">
        <f>IFERROR(IF(Y169=0,"",ROUNDUP(Y169/H169,0)*0.00902),"")</f>
        <v>0.26158000000000003</v>
      </c>
      <c r="AA169" s="65" t="s">
        <v>46</v>
      </c>
      <c r="AB169" s="66" t="s">
        <v>46</v>
      </c>
      <c r="AC169" s="229" t="s">
        <v>297</v>
      </c>
      <c r="AG169" s="75"/>
      <c r="AJ169" s="79" t="s">
        <v>46</v>
      </c>
      <c r="AK169" s="79">
        <v>0</v>
      </c>
      <c r="BB169" s="230" t="s">
        <v>67</v>
      </c>
      <c r="BM169" s="75">
        <f t="shared" si="11"/>
        <v>105.42857142857143</v>
      </c>
      <c r="BN169" s="75">
        <f t="shared" si="12"/>
        <v>107.00999999999999</v>
      </c>
      <c r="BO169" s="75">
        <f t="shared" si="13"/>
        <v>0.21645021645021648</v>
      </c>
      <c r="BP169" s="75">
        <f t="shared" si="14"/>
        <v>0.2196969696969697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4301031497</v>
      </c>
      <c r="D170" s="626">
        <v>4680115887336</v>
      </c>
      <c r="E170" s="626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140</v>
      </c>
      <c r="L170" s="35" t="s">
        <v>46</v>
      </c>
      <c r="M170" s="36" t="s">
        <v>81</v>
      </c>
      <c r="N170" s="36"/>
      <c r="O170" s="35">
        <v>40</v>
      </c>
      <c r="P170" s="83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8"/>
      <c r="R170" s="628"/>
      <c r="S170" s="628"/>
      <c r="T170" s="629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300</v>
      </c>
      <c r="AG170" s="75"/>
      <c r="AJ170" s="79" t="s">
        <v>46</v>
      </c>
      <c r="AK170" s="79">
        <v>0</v>
      </c>
      <c r="BB170" s="232" t="s">
        <v>67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4301032049</v>
      </c>
      <c r="D171" s="626">
        <v>4680115887787</v>
      </c>
      <c r="E171" s="626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137</v>
      </c>
      <c r="L171" s="35" t="s">
        <v>46</v>
      </c>
      <c r="M171" s="36" t="s">
        <v>81</v>
      </c>
      <c r="N171" s="36"/>
      <c r="O171" s="35">
        <v>45</v>
      </c>
      <c r="P171" s="83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8"/>
      <c r="R171" s="628"/>
      <c r="S171" s="628"/>
      <c r="T171" s="629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303</v>
      </c>
      <c r="AG171" s="75"/>
      <c r="AJ171" s="79" t="s">
        <v>46</v>
      </c>
      <c r="AK171" s="79">
        <v>0</v>
      </c>
      <c r="BB171" s="234" t="s">
        <v>67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4301031448</v>
      </c>
      <c r="D172" s="626">
        <v>4680115887503</v>
      </c>
      <c r="E172" s="626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82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8"/>
      <c r="R172" s="628"/>
      <c r="S172" s="628"/>
      <c r="T172" s="62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288</v>
      </c>
      <c r="AG172" s="75"/>
      <c r="AJ172" s="79" t="s">
        <v>46</v>
      </c>
      <c r="AK172" s="79">
        <v>0</v>
      </c>
      <c r="BB172" s="236" t="s">
        <v>67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306</v>
      </c>
      <c r="B173" s="60" t="s">
        <v>307</v>
      </c>
      <c r="C173" s="34">
        <v>4301031389</v>
      </c>
      <c r="D173" s="626">
        <v>4680115887763</v>
      </c>
      <c r="E173" s="62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137</v>
      </c>
      <c r="L173" s="35" t="s">
        <v>46</v>
      </c>
      <c r="M173" s="36" t="s">
        <v>81</v>
      </c>
      <c r="N173" s="36"/>
      <c r="O173" s="35">
        <v>45</v>
      </c>
      <c r="P173" s="8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8"/>
      <c r="R173" s="628"/>
      <c r="S173" s="628"/>
      <c r="T173" s="62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67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306</v>
      </c>
      <c r="B174" s="60" t="s">
        <v>309</v>
      </c>
      <c r="C174" s="34">
        <v>4301031510</v>
      </c>
      <c r="D174" s="626">
        <v>4680115887763</v>
      </c>
      <c r="E174" s="626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83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8"/>
      <c r="R174" s="628"/>
      <c r="S174" s="628"/>
      <c r="T174" s="62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4301031454</v>
      </c>
      <c r="D175" s="626">
        <v>4680115887480</v>
      </c>
      <c r="E175" s="626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83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8"/>
      <c r="R175" s="628"/>
      <c r="S175" s="628"/>
      <c r="T175" s="629"/>
      <c r="U175" s="37" t="s">
        <v>46</v>
      </c>
      <c r="V175" s="37" t="s">
        <v>46</v>
      </c>
      <c r="W175" s="38" t="s">
        <v>0</v>
      </c>
      <c r="X175" s="56">
        <v>39.200000000000003</v>
      </c>
      <c r="Y175" s="53">
        <f t="shared" si="10"/>
        <v>40.32</v>
      </c>
      <c r="Z175" s="39">
        <f>IFERROR(IF(Y175=0,"",ROUNDUP(Y175/H175,0)*0.00502),"")</f>
        <v>0.12048</v>
      </c>
      <c r="AA175" s="65" t="s">
        <v>46</v>
      </c>
      <c r="AB175" s="66" t="s">
        <v>46</v>
      </c>
      <c r="AC175" s="241" t="s">
        <v>297</v>
      </c>
      <c r="AG175" s="75"/>
      <c r="AJ175" s="79" t="s">
        <v>46</v>
      </c>
      <c r="AK175" s="79">
        <v>0</v>
      </c>
      <c r="BB175" s="242" t="s">
        <v>67</v>
      </c>
      <c r="BM175" s="75">
        <f t="shared" si="11"/>
        <v>41.533333333333339</v>
      </c>
      <c r="BN175" s="75">
        <f t="shared" si="12"/>
        <v>42.72</v>
      </c>
      <c r="BO175" s="75">
        <f t="shared" si="13"/>
        <v>9.9715099715099731E-2</v>
      </c>
      <c r="BP175" s="75">
        <f t="shared" si="14"/>
        <v>0.10256410256410257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4301031434</v>
      </c>
      <c r="D176" s="626">
        <v>4680115888067</v>
      </c>
      <c r="E176" s="626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137</v>
      </c>
      <c r="L176" s="35" t="s">
        <v>46</v>
      </c>
      <c r="M176" s="36" t="s">
        <v>81</v>
      </c>
      <c r="N176" s="36"/>
      <c r="O176" s="35">
        <v>45</v>
      </c>
      <c r="P176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8"/>
      <c r="R176" s="628"/>
      <c r="S176" s="628"/>
      <c r="T176" s="62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314</v>
      </c>
      <c r="AG176" s="75"/>
      <c r="AJ176" s="79" t="s">
        <v>46</v>
      </c>
      <c r="AK176" s="79">
        <v>0</v>
      </c>
      <c r="BB176" s="244" t="s">
        <v>67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customHeight="1" x14ac:dyDescent="0.25">
      <c r="A177" s="60" t="s">
        <v>315</v>
      </c>
      <c r="B177" s="60" t="s">
        <v>316</v>
      </c>
      <c r="C177" s="34">
        <v>4301031451</v>
      </c>
      <c r="D177" s="626">
        <v>4680115887435</v>
      </c>
      <c r="E177" s="626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82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8"/>
      <c r="R177" s="628"/>
      <c r="S177" s="628"/>
      <c r="T177" s="629"/>
      <c r="U177" s="37" t="s">
        <v>46</v>
      </c>
      <c r="V177" s="37" t="s">
        <v>46</v>
      </c>
      <c r="W177" s="38" t="s">
        <v>0</v>
      </c>
      <c r="X177" s="56">
        <v>53.2</v>
      </c>
      <c r="Y177" s="53">
        <f t="shared" si="10"/>
        <v>53.76</v>
      </c>
      <c r="Z177" s="39">
        <f>IFERROR(IF(Y177=0,"",ROUNDUP(Y177/H177,0)*0.00502),"")</f>
        <v>0.16064000000000001</v>
      </c>
      <c r="AA177" s="65" t="s">
        <v>46</v>
      </c>
      <c r="AB177" s="66" t="s">
        <v>46</v>
      </c>
      <c r="AC177" s="245" t="s">
        <v>300</v>
      </c>
      <c r="AG177" s="75"/>
      <c r="AJ177" s="79" t="s">
        <v>46</v>
      </c>
      <c r="AK177" s="79">
        <v>0</v>
      </c>
      <c r="BB177" s="246" t="s">
        <v>67</v>
      </c>
      <c r="BM177" s="75">
        <f t="shared" si="11"/>
        <v>56.366666666666674</v>
      </c>
      <c r="BN177" s="75">
        <f t="shared" si="12"/>
        <v>56.959999999999994</v>
      </c>
      <c r="BO177" s="75">
        <f t="shared" si="13"/>
        <v>0.13532763532763534</v>
      </c>
      <c r="BP177" s="75">
        <f t="shared" si="14"/>
        <v>0.13675213675213677</v>
      </c>
    </row>
    <row r="178" spans="1:68" x14ac:dyDescent="0.2">
      <c r="A178" s="633"/>
      <c r="B178" s="633"/>
      <c r="C178" s="633"/>
      <c r="D178" s="633"/>
      <c r="E178" s="633"/>
      <c r="F178" s="633"/>
      <c r="G178" s="633"/>
      <c r="H178" s="633"/>
      <c r="I178" s="633"/>
      <c r="J178" s="633"/>
      <c r="K178" s="633"/>
      <c r="L178" s="633"/>
      <c r="M178" s="633"/>
      <c r="N178" s="633"/>
      <c r="O178" s="634"/>
      <c r="P178" s="630" t="s">
        <v>40</v>
      </c>
      <c r="Q178" s="631"/>
      <c r="R178" s="631"/>
      <c r="S178" s="631"/>
      <c r="T178" s="631"/>
      <c r="U178" s="631"/>
      <c r="V178" s="632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112.14285714285715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114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0.80428000000000011</v>
      </c>
      <c r="AA178" s="64"/>
      <c r="AB178" s="64"/>
      <c r="AC178" s="64"/>
    </row>
    <row r="179" spans="1:68" x14ac:dyDescent="0.2">
      <c r="A179" s="633"/>
      <c r="B179" s="633"/>
      <c r="C179" s="633"/>
      <c r="D179" s="633"/>
      <c r="E179" s="633"/>
      <c r="F179" s="633"/>
      <c r="G179" s="633"/>
      <c r="H179" s="633"/>
      <c r="I179" s="633"/>
      <c r="J179" s="633"/>
      <c r="K179" s="633"/>
      <c r="L179" s="633"/>
      <c r="M179" s="633"/>
      <c r="N179" s="633"/>
      <c r="O179" s="634"/>
      <c r="P179" s="630" t="s">
        <v>40</v>
      </c>
      <c r="Q179" s="631"/>
      <c r="R179" s="631"/>
      <c r="S179" s="631"/>
      <c r="T179" s="631"/>
      <c r="U179" s="631"/>
      <c r="V179" s="632"/>
      <c r="W179" s="40" t="s">
        <v>0</v>
      </c>
      <c r="X179" s="41">
        <f>IFERROR(SUM(X166:X177),"0")</f>
        <v>292.39999999999998</v>
      </c>
      <c r="Y179" s="41">
        <f>IFERROR(SUM(Y166:Y177),"0")</f>
        <v>297.08</v>
      </c>
      <c r="Z179" s="40"/>
      <c r="AA179" s="64"/>
      <c r="AB179" s="64"/>
      <c r="AC179" s="64"/>
    </row>
    <row r="180" spans="1:68" ht="14.25" hidden="1" customHeight="1" x14ac:dyDescent="0.25">
      <c r="A180" s="625" t="s">
        <v>86</v>
      </c>
      <c r="B180" s="625"/>
      <c r="C180" s="625"/>
      <c r="D180" s="625"/>
      <c r="E180" s="625"/>
      <c r="F180" s="625"/>
      <c r="G180" s="625"/>
      <c r="H180" s="625"/>
      <c r="I180" s="625"/>
      <c r="J180" s="625"/>
      <c r="K180" s="625"/>
      <c r="L180" s="625"/>
      <c r="M180" s="625"/>
      <c r="N180" s="625"/>
      <c r="O180" s="625"/>
      <c r="P180" s="625"/>
      <c r="Q180" s="625"/>
      <c r="R180" s="625"/>
      <c r="S180" s="625"/>
      <c r="T180" s="625"/>
      <c r="U180" s="625"/>
      <c r="V180" s="625"/>
      <c r="W180" s="625"/>
      <c r="X180" s="625"/>
      <c r="Y180" s="625"/>
      <c r="Z180" s="625"/>
      <c r="AA180" s="63"/>
      <c r="AB180" s="63"/>
      <c r="AC180" s="63"/>
    </row>
    <row r="181" spans="1:68" ht="16.5" hidden="1" customHeight="1" x14ac:dyDescent="0.25">
      <c r="A181" s="60" t="s">
        <v>317</v>
      </c>
      <c r="B181" s="60" t="s">
        <v>318</v>
      </c>
      <c r="C181" s="34">
        <v>4301052193</v>
      </c>
      <c r="D181" s="626">
        <v>4680115888395</v>
      </c>
      <c r="E181" s="626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82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8"/>
      <c r="R181" s="628"/>
      <c r="S181" s="628"/>
      <c r="T181" s="629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319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320</v>
      </c>
      <c r="B182" s="60" t="s">
        <v>321</v>
      </c>
      <c r="C182" s="34">
        <v>4301052191</v>
      </c>
      <c r="D182" s="626">
        <v>4680115888371</v>
      </c>
      <c r="E182" s="626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82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8"/>
      <c r="R182" s="628"/>
      <c r="S182" s="628"/>
      <c r="T182" s="62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322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323</v>
      </c>
      <c r="B183" s="60" t="s">
        <v>324</v>
      </c>
      <c r="C183" s="34">
        <v>4301052064</v>
      </c>
      <c r="D183" s="626">
        <v>4680115887459</v>
      </c>
      <c r="E183" s="626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8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8"/>
      <c r="R183" s="628"/>
      <c r="S183" s="628"/>
      <c r="T183" s="629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325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33"/>
      <c r="B184" s="633"/>
      <c r="C184" s="633"/>
      <c r="D184" s="633"/>
      <c r="E184" s="633"/>
      <c r="F184" s="633"/>
      <c r="G184" s="633"/>
      <c r="H184" s="633"/>
      <c r="I184" s="633"/>
      <c r="J184" s="633"/>
      <c r="K184" s="633"/>
      <c r="L184" s="633"/>
      <c r="M184" s="633"/>
      <c r="N184" s="633"/>
      <c r="O184" s="634"/>
      <c r="P184" s="630" t="s">
        <v>40</v>
      </c>
      <c r="Q184" s="631"/>
      <c r="R184" s="631"/>
      <c r="S184" s="631"/>
      <c r="T184" s="631"/>
      <c r="U184" s="631"/>
      <c r="V184" s="632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33"/>
      <c r="B185" s="633"/>
      <c r="C185" s="633"/>
      <c r="D185" s="633"/>
      <c r="E185" s="633"/>
      <c r="F185" s="633"/>
      <c r="G185" s="633"/>
      <c r="H185" s="633"/>
      <c r="I185" s="633"/>
      <c r="J185" s="633"/>
      <c r="K185" s="633"/>
      <c r="L185" s="633"/>
      <c r="M185" s="633"/>
      <c r="N185" s="633"/>
      <c r="O185" s="634"/>
      <c r="P185" s="630" t="s">
        <v>40</v>
      </c>
      <c r="Q185" s="631"/>
      <c r="R185" s="631"/>
      <c r="S185" s="631"/>
      <c r="T185" s="631"/>
      <c r="U185" s="631"/>
      <c r="V185" s="632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25" t="s">
        <v>104</v>
      </c>
      <c r="B186" s="625"/>
      <c r="C186" s="625"/>
      <c r="D186" s="625"/>
      <c r="E186" s="625"/>
      <c r="F186" s="625"/>
      <c r="G186" s="625"/>
      <c r="H186" s="625"/>
      <c r="I186" s="625"/>
      <c r="J186" s="625"/>
      <c r="K186" s="625"/>
      <c r="L186" s="625"/>
      <c r="M186" s="625"/>
      <c r="N186" s="625"/>
      <c r="O186" s="625"/>
      <c r="P186" s="625"/>
      <c r="Q186" s="625"/>
      <c r="R186" s="625"/>
      <c r="S186" s="625"/>
      <c r="T186" s="625"/>
      <c r="U186" s="625"/>
      <c r="V186" s="625"/>
      <c r="W186" s="625"/>
      <c r="X186" s="625"/>
      <c r="Y186" s="625"/>
      <c r="Z186" s="62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4301032058</v>
      </c>
      <c r="D187" s="626">
        <v>4680115889026</v>
      </c>
      <c r="E187" s="62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330</v>
      </c>
      <c r="L187" s="35" t="s">
        <v>46</v>
      </c>
      <c r="M187" s="36" t="s">
        <v>329</v>
      </c>
      <c r="N187" s="36"/>
      <c r="O187" s="35">
        <v>60</v>
      </c>
      <c r="P187" s="82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8"/>
      <c r="R187" s="628"/>
      <c r="S187" s="628"/>
      <c r="T187" s="62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328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331</v>
      </c>
      <c r="B188" s="60" t="s">
        <v>332</v>
      </c>
      <c r="C188" s="34">
        <v>4301032057</v>
      </c>
      <c r="D188" s="626">
        <v>4680115889088</v>
      </c>
      <c r="E188" s="626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330</v>
      </c>
      <c r="L188" s="35" t="s">
        <v>46</v>
      </c>
      <c r="M188" s="36" t="s">
        <v>329</v>
      </c>
      <c r="N188" s="36"/>
      <c r="O188" s="35">
        <v>45</v>
      </c>
      <c r="P188" s="82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8"/>
      <c r="R188" s="628"/>
      <c r="S188" s="628"/>
      <c r="T188" s="62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333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33"/>
      <c r="B189" s="633"/>
      <c r="C189" s="633"/>
      <c r="D189" s="633"/>
      <c r="E189" s="633"/>
      <c r="F189" s="633"/>
      <c r="G189" s="633"/>
      <c r="H189" s="633"/>
      <c r="I189" s="633"/>
      <c r="J189" s="633"/>
      <c r="K189" s="633"/>
      <c r="L189" s="633"/>
      <c r="M189" s="633"/>
      <c r="N189" s="633"/>
      <c r="O189" s="634"/>
      <c r="P189" s="630" t="s">
        <v>40</v>
      </c>
      <c r="Q189" s="631"/>
      <c r="R189" s="631"/>
      <c r="S189" s="631"/>
      <c r="T189" s="631"/>
      <c r="U189" s="631"/>
      <c r="V189" s="632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25" t="s">
        <v>334</v>
      </c>
      <c r="B191" s="625"/>
      <c r="C191" s="625"/>
      <c r="D191" s="625"/>
      <c r="E191" s="625"/>
      <c r="F191" s="625"/>
      <c r="G191" s="625"/>
      <c r="H191" s="625"/>
      <c r="I191" s="625"/>
      <c r="J191" s="625"/>
      <c r="K191" s="625"/>
      <c r="L191" s="625"/>
      <c r="M191" s="625"/>
      <c r="N191" s="625"/>
      <c r="O191" s="625"/>
      <c r="P191" s="625"/>
      <c r="Q191" s="625"/>
      <c r="R191" s="625"/>
      <c r="S191" s="625"/>
      <c r="T191" s="625"/>
      <c r="U191" s="625"/>
      <c r="V191" s="625"/>
      <c r="W191" s="625"/>
      <c r="X191" s="625"/>
      <c r="Y191" s="625"/>
      <c r="Z191" s="625"/>
      <c r="AA191" s="63"/>
      <c r="AB191" s="63"/>
      <c r="AC191" s="63"/>
    </row>
    <row r="192" spans="1:68" ht="27" hidden="1" customHeight="1" x14ac:dyDescent="0.25">
      <c r="A192" s="60" t="s">
        <v>335</v>
      </c>
      <c r="B192" s="60" t="s">
        <v>336</v>
      </c>
      <c r="C192" s="34">
        <v>4301041009</v>
      </c>
      <c r="D192" s="626">
        <v>4680115889033</v>
      </c>
      <c r="E192" s="626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330</v>
      </c>
      <c r="L192" s="35" t="s">
        <v>46</v>
      </c>
      <c r="M192" s="36" t="s">
        <v>329</v>
      </c>
      <c r="N192" s="36"/>
      <c r="O192" s="35">
        <v>60</v>
      </c>
      <c r="P192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8"/>
      <c r="R192" s="628"/>
      <c r="S192" s="628"/>
      <c r="T192" s="62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337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33"/>
      <c r="B193" s="633"/>
      <c r="C193" s="633"/>
      <c r="D193" s="633"/>
      <c r="E193" s="633"/>
      <c r="F193" s="633"/>
      <c r="G193" s="633"/>
      <c r="H193" s="633"/>
      <c r="I193" s="633"/>
      <c r="J193" s="633"/>
      <c r="K193" s="633"/>
      <c r="L193" s="633"/>
      <c r="M193" s="633"/>
      <c r="N193" s="633"/>
      <c r="O193" s="634"/>
      <c r="P193" s="630" t="s">
        <v>40</v>
      </c>
      <c r="Q193" s="631"/>
      <c r="R193" s="631"/>
      <c r="S193" s="631"/>
      <c r="T193" s="631"/>
      <c r="U193" s="631"/>
      <c r="V193" s="632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46" t="s">
        <v>338</v>
      </c>
      <c r="B195" s="646"/>
      <c r="C195" s="646"/>
      <c r="D195" s="646"/>
      <c r="E195" s="646"/>
      <c r="F195" s="646"/>
      <c r="G195" s="646"/>
      <c r="H195" s="646"/>
      <c r="I195" s="646"/>
      <c r="J195" s="646"/>
      <c r="K195" s="646"/>
      <c r="L195" s="646"/>
      <c r="M195" s="646"/>
      <c r="N195" s="646"/>
      <c r="O195" s="646"/>
      <c r="P195" s="646"/>
      <c r="Q195" s="646"/>
      <c r="R195" s="646"/>
      <c r="S195" s="646"/>
      <c r="T195" s="646"/>
      <c r="U195" s="646"/>
      <c r="V195" s="646"/>
      <c r="W195" s="646"/>
      <c r="X195" s="646"/>
      <c r="Y195" s="646"/>
      <c r="Z195" s="646"/>
      <c r="AA195" s="52"/>
      <c r="AB195" s="52"/>
      <c r="AC195" s="52"/>
    </row>
    <row r="196" spans="1:68" ht="16.5" hidden="1" customHeight="1" x14ac:dyDescent="0.25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62"/>
      <c r="AB196" s="62"/>
      <c r="AC196" s="62"/>
    </row>
    <row r="197" spans="1:68" ht="14.25" hidden="1" customHeight="1" x14ac:dyDescent="0.25">
      <c r="A197" s="625" t="s">
        <v>128</v>
      </c>
      <c r="B197" s="625"/>
      <c r="C197" s="625"/>
      <c r="D197" s="625"/>
      <c r="E197" s="625"/>
      <c r="F197" s="625"/>
      <c r="G197" s="625"/>
      <c r="H197" s="625"/>
      <c r="I197" s="625"/>
      <c r="J197" s="625"/>
      <c r="K197" s="625"/>
      <c r="L197" s="625"/>
      <c r="M197" s="625"/>
      <c r="N197" s="625"/>
      <c r="O197" s="625"/>
      <c r="P197" s="625"/>
      <c r="Q197" s="625"/>
      <c r="R197" s="625"/>
      <c r="S197" s="625"/>
      <c r="T197" s="625"/>
      <c r="U197" s="625"/>
      <c r="V197" s="625"/>
      <c r="W197" s="625"/>
      <c r="X197" s="625"/>
      <c r="Y197" s="625"/>
      <c r="Z197" s="625"/>
      <c r="AA197" s="63"/>
      <c r="AB197" s="63"/>
      <c r="AC197" s="63"/>
    </row>
    <row r="198" spans="1:68" ht="27" hidden="1" customHeight="1" x14ac:dyDescent="0.25">
      <c r="A198" s="60" t="s">
        <v>340</v>
      </c>
      <c r="B198" s="60" t="s">
        <v>341</v>
      </c>
      <c r="C198" s="34">
        <v>4301011223</v>
      </c>
      <c r="D198" s="626">
        <v>4607091383423</v>
      </c>
      <c r="E198" s="626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8"/>
      <c r="R198" s="628"/>
      <c r="S198" s="628"/>
      <c r="T198" s="629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131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342</v>
      </c>
      <c r="B199" s="60" t="s">
        <v>343</v>
      </c>
      <c r="C199" s="34">
        <v>4301012340</v>
      </c>
      <c r="D199" s="626">
        <v>4680115888760</v>
      </c>
      <c r="E199" s="626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133</v>
      </c>
      <c r="L199" s="35" t="s">
        <v>46</v>
      </c>
      <c r="M199" s="36" t="s">
        <v>90</v>
      </c>
      <c r="N199" s="36"/>
      <c r="O199" s="35">
        <v>35</v>
      </c>
      <c r="P199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8"/>
      <c r="R199" s="628"/>
      <c r="S199" s="628"/>
      <c r="T199" s="629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344</v>
      </c>
      <c r="AG199" s="75"/>
      <c r="AJ199" s="79" t="s">
        <v>46</v>
      </c>
      <c r="AK199" s="79">
        <v>0</v>
      </c>
      <c r="BB199" s="262" t="s">
        <v>67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345</v>
      </c>
      <c r="B200" s="60" t="s">
        <v>346</v>
      </c>
      <c r="C200" s="34">
        <v>4301012341</v>
      </c>
      <c r="D200" s="626">
        <v>4680115888807</v>
      </c>
      <c r="E200" s="626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133</v>
      </c>
      <c r="L200" s="35" t="s">
        <v>46</v>
      </c>
      <c r="M200" s="36" t="s">
        <v>90</v>
      </c>
      <c r="N200" s="36"/>
      <c r="O200" s="35">
        <v>35</v>
      </c>
      <c r="P200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8"/>
      <c r="R200" s="628"/>
      <c r="S200" s="628"/>
      <c r="T200" s="629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347</v>
      </c>
      <c r="AG200" s="75"/>
      <c r="AJ200" s="79" t="s">
        <v>46</v>
      </c>
      <c r="AK200" s="79">
        <v>0</v>
      </c>
      <c r="BB200" s="264" t="s">
        <v>67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4301012342</v>
      </c>
      <c r="D201" s="626">
        <v>4680115888852</v>
      </c>
      <c r="E201" s="626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133</v>
      </c>
      <c r="L201" s="35" t="s">
        <v>46</v>
      </c>
      <c r="M201" s="36" t="s">
        <v>90</v>
      </c>
      <c r="N201" s="36"/>
      <c r="O201" s="35">
        <v>35</v>
      </c>
      <c r="P20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8"/>
      <c r="R201" s="628"/>
      <c r="S201" s="628"/>
      <c r="T201" s="629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350</v>
      </c>
      <c r="AG201" s="75"/>
      <c r="AJ201" s="79" t="s">
        <v>46</v>
      </c>
      <c r="AK201" s="79">
        <v>0</v>
      </c>
      <c r="BB201" s="266" t="s">
        <v>67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351</v>
      </c>
      <c r="B202" s="60" t="s">
        <v>352</v>
      </c>
      <c r="C202" s="34">
        <v>4301012370</v>
      </c>
      <c r="D202" s="626">
        <v>4680115886957</v>
      </c>
      <c r="E202" s="626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133</v>
      </c>
      <c r="L202" s="35" t="s">
        <v>46</v>
      </c>
      <c r="M202" s="36" t="s">
        <v>90</v>
      </c>
      <c r="N202" s="36"/>
      <c r="O202" s="35">
        <v>35</v>
      </c>
      <c r="P20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8"/>
      <c r="R202" s="628"/>
      <c r="S202" s="628"/>
      <c r="T202" s="629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353</v>
      </c>
      <c r="AG202" s="75"/>
      <c r="AJ202" s="79" t="s">
        <v>46</v>
      </c>
      <c r="AK202" s="79">
        <v>0</v>
      </c>
      <c r="BB202" s="268" t="s">
        <v>67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4301012098</v>
      </c>
      <c r="D203" s="626">
        <v>4680115885660</v>
      </c>
      <c r="E203" s="626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133</v>
      </c>
      <c r="L203" s="35" t="s">
        <v>46</v>
      </c>
      <c r="M203" s="36" t="s">
        <v>90</v>
      </c>
      <c r="N203" s="36"/>
      <c r="O203" s="35">
        <v>35</v>
      </c>
      <c r="P20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8"/>
      <c r="R203" s="628"/>
      <c r="S203" s="628"/>
      <c r="T203" s="62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356</v>
      </c>
      <c r="AG203" s="75"/>
      <c r="AJ203" s="79" t="s">
        <v>46</v>
      </c>
      <c r="AK203" s="79">
        <v>0</v>
      </c>
      <c r="BB203" s="270" t="s">
        <v>67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357</v>
      </c>
      <c r="B204" s="60" t="s">
        <v>358</v>
      </c>
      <c r="C204" s="34">
        <v>4301012369</v>
      </c>
      <c r="D204" s="626">
        <v>4680115886773</v>
      </c>
      <c r="E204" s="626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133</v>
      </c>
      <c r="L204" s="35" t="s">
        <v>46</v>
      </c>
      <c r="M204" s="36" t="s">
        <v>90</v>
      </c>
      <c r="N204" s="36"/>
      <c r="O204" s="35">
        <v>35</v>
      </c>
      <c r="P20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8"/>
      <c r="R204" s="628"/>
      <c r="S204" s="628"/>
      <c r="T204" s="62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359</v>
      </c>
      <c r="AG204" s="75"/>
      <c r="AJ204" s="79" t="s">
        <v>46</v>
      </c>
      <c r="AK204" s="79">
        <v>0</v>
      </c>
      <c r="BB204" s="272" t="s">
        <v>67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633"/>
      <c r="B205" s="633"/>
      <c r="C205" s="633"/>
      <c r="D205" s="633"/>
      <c r="E205" s="633"/>
      <c r="F205" s="633"/>
      <c r="G205" s="633"/>
      <c r="H205" s="633"/>
      <c r="I205" s="633"/>
      <c r="J205" s="633"/>
      <c r="K205" s="633"/>
      <c r="L205" s="633"/>
      <c r="M205" s="633"/>
      <c r="N205" s="633"/>
      <c r="O205" s="634"/>
      <c r="P205" s="630" t="s">
        <v>40</v>
      </c>
      <c r="Q205" s="631"/>
      <c r="R205" s="631"/>
      <c r="S205" s="631"/>
      <c r="T205" s="631"/>
      <c r="U205" s="631"/>
      <c r="V205" s="632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41" t="s">
        <v>360</v>
      </c>
      <c r="B207" s="641"/>
      <c r="C207" s="641"/>
      <c r="D207" s="641"/>
      <c r="E207" s="641"/>
      <c r="F207" s="641"/>
      <c r="G207" s="641"/>
      <c r="H207" s="641"/>
      <c r="I207" s="641"/>
      <c r="J207" s="641"/>
      <c r="K207" s="641"/>
      <c r="L207" s="641"/>
      <c r="M207" s="641"/>
      <c r="N207" s="641"/>
      <c r="O207" s="641"/>
      <c r="P207" s="641"/>
      <c r="Q207" s="641"/>
      <c r="R207" s="641"/>
      <c r="S207" s="641"/>
      <c r="T207" s="641"/>
      <c r="U207" s="641"/>
      <c r="V207" s="641"/>
      <c r="W207" s="641"/>
      <c r="X207" s="641"/>
      <c r="Y207" s="641"/>
      <c r="Z207" s="641"/>
      <c r="AA207" s="62"/>
      <c r="AB207" s="62"/>
      <c r="AC207" s="62"/>
    </row>
    <row r="208" spans="1:68" ht="14.25" hidden="1" customHeight="1" x14ac:dyDescent="0.25">
      <c r="A208" s="625" t="s">
        <v>164</v>
      </c>
      <c r="B208" s="625"/>
      <c r="C208" s="625"/>
      <c r="D208" s="625"/>
      <c r="E208" s="625"/>
      <c r="F208" s="625"/>
      <c r="G208" s="625"/>
      <c r="H208" s="625"/>
      <c r="I208" s="625"/>
      <c r="J208" s="625"/>
      <c r="K208" s="625"/>
      <c r="L208" s="625"/>
      <c r="M208" s="625"/>
      <c r="N208" s="625"/>
      <c r="O208" s="625"/>
      <c r="P208" s="625"/>
      <c r="Q208" s="625"/>
      <c r="R208" s="625"/>
      <c r="S208" s="625"/>
      <c r="T208" s="625"/>
      <c r="U208" s="625"/>
      <c r="V208" s="625"/>
      <c r="W208" s="625"/>
      <c r="X208" s="625"/>
      <c r="Y208" s="625"/>
      <c r="Z208" s="625"/>
      <c r="AA208" s="63"/>
      <c r="AB208" s="63"/>
      <c r="AC208" s="63"/>
    </row>
    <row r="209" spans="1:68" ht="27" hidden="1" customHeight="1" x14ac:dyDescent="0.25">
      <c r="A209" s="60" t="s">
        <v>361</v>
      </c>
      <c r="B209" s="60" t="s">
        <v>362</v>
      </c>
      <c r="C209" s="34">
        <v>4301020323</v>
      </c>
      <c r="D209" s="626">
        <v>4680115886223</v>
      </c>
      <c r="E209" s="626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8"/>
      <c r="R209" s="628"/>
      <c r="S209" s="628"/>
      <c r="T209" s="62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363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33"/>
      <c r="B210" s="633"/>
      <c r="C210" s="633"/>
      <c r="D210" s="633"/>
      <c r="E210" s="633"/>
      <c r="F210" s="633"/>
      <c r="G210" s="633"/>
      <c r="H210" s="633"/>
      <c r="I210" s="633"/>
      <c r="J210" s="633"/>
      <c r="K210" s="633"/>
      <c r="L210" s="633"/>
      <c r="M210" s="633"/>
      <c r="N210" s="633"/>
      <c r="O210" s="634"/>
      <c r="P210" s="630" t="s">
        <v>40</v>
      </c>
      <c r="Q210" s="631"/>
      <c r="R210" s="631"/>
      <c r="S210" s="631"/>
      <c r="T210" s="631"/>
      <c r="U210" s="631"/>
      <c r="V210" s="632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25" t="s">
        <v>77</v>
      </c>
      <c r="B212" s="625"/>
      <c r="C212" s="625"/>
      <c r="D212" s="625"/>
      <c r="E212" s="625"/>
      <c r="F212" s="625"/>
      <c r="G212" s="625"/>
      <c r="H212" s="625"/>
      <c r="I212" s="625"/>
      <c r="J212" s="625"/>
      <c r="K212" s="625"/>
      <c r="L212" s="625"/>
      <c r="M212" s="625"/>
      <c r="N212" s="625"/>
      <c r="O212" s="625"/>
      <c r="P212" s="625"/>
      <c r="Q212" s="625"/>
      <c r="R212" s="625"/>
      <c r="S212" s="625"/>
      <c r="T212" s="625"/>
      <c r="U212" s="625"/>
      <c r="V212" s="625"/>
      <c r="W212" s="625"/>
      <c r="X212" s="625"/>
      <c r="Y212" s="625"/>
      <c r="Z212" s="625"/>
      <c r="AA212" s="63"/>
      <c r="AB212" s="63"/>
      <c r="AC212" s="63"/>
    </row>
    <row r="213" spans="1:68" ht="27" hidden="1" customHeight="1" x14ac:dyDescent="0.25">
      <c r="A213" s="60" t="s">
        <v>364</v>
      </c>
      <c r="B213" s="60" t="s">
        <v>365</v>
      </c>
      <c r="C213" s="34">
        <v>4301031191</v>
      </c>
      <c r="D213" s="626">
        <v>4680115880993</v>
      </c>
      <c r="E213" s="626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140</v>
      </c>
      <c r="L213" s="35" t="s">
        <v>46</v>
      </c>
      <c r="M213" s="36" t="s">
        <v>81</v>
      </c>
      <c r="N213" s="36"/>
      <c r="O213" s="35">
        <v>40</v>
      </c>
      <c r="P213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8"/>
      <c r="R213" s="628"/>
      <c r="S213" s="628"/>
      <c r="T213" s="62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4301031204</v>
      </c>
      <c r="D214" s="626">
        <v>4680115881761</v>
      </c>
      <c r="E214" s="626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140</v>
      </c>
      <c r="L214" s="35" t="s">
        <v>46</v>
      </c>
      <c r="M214" s="36" t="s">
        <v>81</v>
      </c>
      <c r="N214" s="36"/>
      <c r="O214" s="35">
        <v>40</v>
      </c>
      <c r="P214" s="8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8"/>
      <c r="R214" s="628"/>
      <c r="S214" s="628"/>
      <c r="T214" s="62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369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370</v>
      </c>
      <c r="B215" s="60" t="s">
        <v>371</v>
      </c>
      <c r="C215" s="34">
        <v>4301031201</v>
      </c>
      <c r="D215" s="626">
        <v>4680115881563</v>
      </c>
      <c r="E215" s="626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140</v>
      </c>
      <c r="L215" s="35" t="s">
        <v>46</v>
      </c>
      <c r="M215" s="36" t="s">
        <v>81</v>
      </c>
      <c r="N215" s="36"/>
      <c r="O215" s="35">
        <v>40</v>
      </c>
      <c r="P215" s="8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8"/>
      <c r="R215" s="628"/>
      <c r="S215" s="628"/>
      <c r="T215" s="62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372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373</v>
      </c>
      <c r="B216" s="60" t="s">
        <v>374</v>
      </c>
      <c r="C216" s="34">
        <v>4301031447</v>
      </c>
      <c r="D216" s="626">
        <v>4680115887565</v>
      </c>
      <c r="E216" s="626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8"/>
      <c r="R216" s="628"/>
      <c r="S216" s="628"/>
      <c r="T216" s="62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375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4301031199</v>
      </c>
      <c r="D217" s="626">
        <v>4680115880986</v>
      </c>
      <c r="E217" s="626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8"/>
      <c r="R217" s="628"/>
      <c r="S217" s="628"/>
      <c r="T217" s="629"/>
      <c r="U217" s="37" t="s">
        <v>46</v>
      </c>
      <c r="V217" s="37" t="s">
        <v>46</v>
      </c>
      <c r="W217" s="38" t="s">
        <v>0</v>
      </c>
      <c r="X217" s="56">
        <v>35</v>
      </c>
      <c r="Y217" s="53">
        <f t="shared" si="21"/>
        <v>35.700000000000003</v>
      </c>
      <c r="Z217" s="39">
        <f t="shared" ref="Z217:Z222" si="26">IFERROR(IF(Y217=0,"",ROUNDUP(Y217/H217,0)*0.00502),"")</f>
        <v>8.5339999999999999E-2</v>
      </c>
      <c r="AA217" s="65" t="s">
        <v>46</v>
      </c>
      <c r="AB217" s="66" t="s">
        <v>46</v>
      </c>
      <c r="AC217" s="283" t="s">
        <v>366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37.166666666666664</v>
      </c>
      <c r="BN217" s="75">
        <f t="shared" si="23"/>
        <v>37.910000000000004</v>
      </c>
      <c r="BO217" s="75">
        <f t="shared" si="24"/>
        <v>7.1225071225071226E-2</v>
      </c>
      <c r="BP217" s="75">
        <f t="shared" si="25"/>
        <v>7.2649572649572655E-2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4301031443</v>
      </c>
      <c r="D218" s="626">
        <v>4680115887213</v>
      </c>
      <c r="E218" s="626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1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8"/>
      <c r="R218" s="628"/>
      <c r="S218" s="628"/>
      <c r="T218" s="62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381</v>
      </c>
      <c r="B219" s="60" t="s">
        <v>382</v>
      </c>
      <c r="C219" s="34">
        <v>4301031205</v>
      </c>
      <c r="D219" s="626">
        <v>4680115881785</v>
      </c>
      <c r="E219" s="626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0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8"/>
      <c r="R219" s="628"/>
      <c r="S219" s="628"/>
      <c r="T219" s="629"/>
      <c r="U219" s="37" t="s">
        <v>46</v>
      </c>
      <c r="V219" s="37" t="s">
        <v>46</v>
      </c>
      <c r="W219" s="38" t="s">
        <v>0</v>
      </c>
      <c r="X219" s="56">
        <v>70</v>
      </c>
      <c r="Y219" s="53">
        <f t="shared" si="21"/>
        <v>71.400000000000006</v>
      </c>
      <c r="Z219" s="39">
        <f t="shared" si="26"/>
        <v>0.17068</v>
      </c>
      <c r="AA219" s="65" t="s">
        <v>46</v>
      </c>
      <c r="AB219" s="66" t="s">
        <v>46</v>
      </c>
      <c r="AC219" s="287" t="s">
        <v>369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74.333333333333329</v>
      </c>
      <c r="BN219" s="75">
        <f t="shared" si="23"/>
        <v>75.820000000000007</v>
      </c>
      <c r="BO219" s="75">
        <f t="shared" si="24"/>
        <v>0.14245014245014245</v>
      </c>
      <c r="BP219" s="75">
        <f t="shared" si="25"/>
        <v>0.14529914529914531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4301031499</v>
      </c>
      <c r="D220" s="626">
        <v>4680115888432</v>
      </c>
      <c r="E220" s="626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8"/>
      <c r="R220" s="628"/>
      <c r="S220" s="628"/>
      <c r="T220" s="62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385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386</v>
      </c>
      <c r="B221" s="60" t="s">
        <v>387</v>
      </c>
      <c r="C221" s="34">
        <v>4301031427</v>
      </c>
      <c r="D221" s="626">
        <v>4680115888104</v>
      </c>
      <c r="E221" s="626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8"/>
      <c r="R221" s="628"/>
      <c r="S221" s="628"/>
      <c r="T221" s="62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388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4301031399</v>
      </c>
      <c r="D222" s="626">
        <v>4680115886537</v>
      </c>
      <c r="E222" s="62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8"/>
      <c r="R222" s="628"/>
      <c r="S222" s="628"/>
      <c r="T222" s="62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391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4301031279</v>
      </c>
      <c r="D223" s="626">
        <v>4680115887596</v>
      </c>
      <c r="E223" s="626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137</v>
      </c>
      <c r="L223" s="35" t="s">
        <v>46</v>
      </c>
      <c r="M223" s="36" t="s">
        <v>81</v>
      </c>
      <c r="N223" s="36"/>
      <c r="O223" s="35">
        <v>45</v>
      </c>
      <c r="P223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8"/>
      <c r="R223" s="628"/>
      <c r="S223" s="628"/>
      <c r="T223" s="62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394</v>
      </c>
      <c r="AG223" s="75"/>
      <c r="AJ223" s="79" t="s">
        <v>46</v>
      </c>
      <c r="AK223" s="79">
        <v>0</v>
      </c>
      <c r="BB223" s="296" t="s">
        <v>67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customHeight="1" x14ac:dyDescent="0.25">
      <c r="A224" s="60" t="s">
        <v>395</v>
      </c>
      <c r="B224" s="60" t="s">
        <v>396</v>
      </c>
      <c r="C224" s="34">
        <v>4301031202</v>
      </c>
      <c r="D224" s="626">
        <v>4680115881679</v>
      </c>
      <c r="E224" s="626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8"/>
      <c r="R224" s="628"/>
      <c r="S224" s="628"/>
      <c r="T224" s="629"/>
      <c r="U224" s="37" t="s">
        <v>46</v>
      </c>
      <c r="V224" s="37" t="s">
        <v>46</v>
      </c>
      <c r="W224" s="38" t="s">
        <v>0</v>
      </c>
      <c r="X224" s="56">
        <v>70</v>
      </c>
      <c r="Y224" s="53">
        <f t="shared" si="21"/>
        <v>71.400000000000006</v>
      </c>
      <c r="Z224" s="39">
        <f>IFERROR(IF(Y224=0,"",ROUNDUP(Y224/H224,0)*0.00502),"")</f>
        <v>0.17068</v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2"/>
        <v>73.333333333333329</v>
      </c>
      <c r="BN224" s="75">
        <f t="shared" si="23"/>
        <v>74.8</v>
      </c>
      <c r="BO224" s="75">
        <f t="shared" si="24"/>
        <v>0.14245014245014245</v>
      </c>
      <c r="BP224" s="75">
        <f t="shared" si="25"/>
        <v>0.14529914529914531</v>
      </c>
    </row>
    <row r="225" spans="1:68" ht="27" hidden="1" customHeight="1" x14ac:dyDescent="0.25">
      <c r="A225" s="60" t="s">
        <v>397</v>
      </c>
      <c r="B225" s="60" t="s">
        <v>398</v>
      </c>
      <c r="C225" s="34">
        <v>4301031158</v>
      </c>
      <c r="D225" s="626">
        <v>4680115880191</v>
      </c>
      <c r="E225" s="626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8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8"/>
      <c r="R225" s="628"/>
      <c r="S225" s="628"/>
      <c r="T225" s="62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399</v>
      </c>
      <c r="B226" s="60" t="s">
        <v>400</v>
      </c>
      <c r="C226" s="34">
        <v>4301031245</v>
      </c>
      <c r="D226" s="626">
        <v>4680115883963</v>
      </c>
      <c r="E226" s="626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8"/>
      <c r="R226" s="628"/>
      <c r="S226" s="628"/>
      <c r="T226" s="62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401</v>
      </c>
      <c r="AG226" s="75"/>
      <c r="AJ226" s="79" t="s">
        <v>46</v>
      </c>
      <c r="AK226" s="79">
        <v>0</v>
      </c>
      <c r="BB226" s="302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83.333333333333314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85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0.42670000000000002</v>
      </c>
      <c r="AA227" s="64"/>
      <c r="AB227" s="64"/>
      <c r="AC227" s="64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0" t="s">
        <v>0</v>
      </c>
      <c r="X228" s="41">
        <f>IFERROR(SUM(X213:X226),"0")</f>
        <v>175</v>
      </c>
      <c r="Y228" s="41">
        <f>IFERROR(SUM(Y213:Y226),"0")</f>
        <v>178.5</v>
      </c>
      <c r="Z228" s="40"/>
      <c r="AA228" s="64"/>
      <c r="AB228" s="64"/>
      <c r="AC228" s="64"/>
    </row>
    <row r="229" spans="1:68" ht="14.25" hidden="1" customHeight="1" x14ac:dyDescent="0.25">
      <c r="A229" s="625" t="s">
        <v>86</v>
      </c>
      <c r="B229" s="625"/>
      <c r="C229" s="625"/>
      <c r="D229" s="625"/>
      <c r="E229" s="625"/>
      <c r="F229" s="625"/>
      <c r="G229" s="625"/>
      <c r="H229" s="625"/>
      <c r="I229" s="625"/>
      <c r="J229" s="625"/>
      <c r="K229" s="625"/>
      <c r="L229" s="625"/>
      <c r="M229" s="625"/>
      <c r="N229" s="625"/>
      <c r="O229" s="625"/>
      <c r="P229" s="625"/>
      <c r="Q229" s="625"/>
      <c r="R229" s="625"/>
      <c r="S229" s="625"/>
      <c r="T229" s="625"/>
      <c r="U229" s="625"/>
      <c r="V229" s="625"/>
      <c r="W229" s="625"/>
      <c r="X229" s="625"/>
      <c r="Y229" s="625"/>
      <c r="Z229" s="625"/>
      <c r="AA229" s="63"/>
      <c r="AB229" s="63"/>
      <c r="AC229" s="63"/>
    </row>
    <row r="230" spans="1:68" ht="27" hidden="1" customHeight="1" x14ac:dyDescent="0.25">
      <c r="A230" s="60" t="s">
        <v>402</v>
      </c>
      <c r="B230" s="60" t="s">
        <v>403</v>
      </c>
      <c r="C230" s="34">
        <v>4301052178</v>
      </c>
      <c r="D230" s="626">
        <v>4680115888975</v>
      </c>
      <c r="E230" s="626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140</v>
      </c>
      <c r="L230" s="35" t="s">
        <v>46</v>
      </c>
      <c r="M230" s="36" t="s">
        <v>97</v>
      </c>
      <c r="N230" s="36"/>
      <c r="O230" s="35">
        <v>35</v>
      </c>
      <c r="P230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8"/>
      <c r="R230" s="628"/>
      <c r="S230" s="628"/>
      <c r="T230" s="62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276</v>
      </c>
      <c r="AC230" s="303" t="s">
        <v>404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405</v>
      </c>
      <c r="B231" s="60" t="s">
        <v>406</v>
      </c>
      <c r="C231" s="34">
        <v>4301052209</v>
      </c>
      <c r="D231" s="626">
        <v>4680115888692</v>
      </c>
      <c r="E231" s="626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133</v>
      </c>
      <c r="L231" s="35" t="s">
        <v>46</v>
      </c>
      <c r="M231" s="36" t="s">
        <v>97</v>
      </c>
      <c r="N231" s="36"/>
      <c r="O231" s="35">
        <v>35</v>
      </c>
      <c r="P231" s="79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8"/>
      <c r="R231" s="628"/>
      <c r="S231" s="628"/>
      <c r="T231" s="62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4301052213</v>
      </c>
      <c r="D232" s="626">
        <v>4680115888722</v>
      </c>
      <c r="E232" s="626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133</v>
      </c>
      <c r="L232" s="35" t="s">
        <v>46</v>
      </c>
      <c r="M232" s="36" t="s">
        <v>97</v>
      </c>
      <c r="N232" s="36"/>
      <c r="O232" s="35">
        <v>35</v>
      </c>
      <c r="P232" s="79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8"/>
      <c r="R232" s="628"/>
      <c r="S232" s="628"/>
      <c r="T232" s="62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4301052177</v>
      </c>
      <c r="D233" s="626">
        <v>4680115888951</v>
      </c>
      <c r="E233" s="626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140</v>
      </c>
      <c r="L233" s="35" t="s">
        <v>46</v>
      </c>
      <c r="M233" s="36" t="s">
        <v>97</v>
      </c>
      <c r="N233" s="36"/>
      <c r="O233" s="35">
        <v>35</v>
      </c>
      <c r="P233" s="79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8"/>
      <c r="R233" s="628"/>
      <c r="S233" s="628"/>
      <c r="T233" s="629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4301052176</v>
      </c>
      <c r="D234" s="626">
        <v>4680115888982</v>
      </c>
      <c r="E234" s="626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140</v>
      </c>
      <c r="L234" s="35" t="s">
        <v>46</v>
      </c>
      <c r="M234" s="36" t="s">
        <v>97</v>
      </c>
      <c r="N234" s="36"/>
      <c r="O234" s="35">
        <v>35</v>
      </c>
      <c r="P234" s="7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8"/>
      <c r="R234" s="628"/>
      <c r="S234" s="628"/>
      <c r="T234" s="629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410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25" t="s">
        <v>104</v>
      </c>
      <c r="B237" s="625"/>
      <c r="C237" s="625"/>
      <c r="D237" s="625"/>
      <c r="E237" s="625"/>
      <c r="F237" s="625"/>
      <c r="G237" s="625"/>
      <c r="H237" s="625"/>
      <c r="I237" s="625"/>
      <c r="J237" s="625"/>
      <c r="K237" s="625"/>
      <c r="L237" s="625"/>
      <c r="M237" s="625"/>
      <c r="N237" s="625"/>
      <c r="O237" s="625"/>
      <c r="P237" s="625"/>
      <c r="Q237" s="625"/>
      <c r="R237" s="625"/>
      <c r="S237" s="625"/>
      <c r="T237" s="625"/>
      <c r="U237" s="625"/>
      <c r="V237" s="625"/>
      <c r="W237" s="625"/>
      <c r="X237" s="625"/>
      <c r="Y237" s="625"/>
      <c r="Z237" s="625"/>
      <c r="AA237" s="63"/>
      <c r="AB237" s="63"/>
      <c r="AC237" s="63"/>
    </row>
    <row r="238" spans="1:68" ht="27" hidden="1" customHeight="1" x14ac:dyDescent="0.25">
      <c r="A238" s="60" t="s">
        <v>416</v>
      </c>
      <c r="B238" s="60" t="s">
        <v>417</v>
      </c>
      <c r="C238" s="34">
        <v>4301032053</v>
      </c>
      <c r="D238" s="626">
        <v>4680115886780</v>
      </c>
      <c r="E238" s="626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330</v>
      </c>
      <c r="L238" s="35" t="s">
        <v>46</v>
      </c>
      <c r="M238" s="36" t="s">
        <v>329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8"/>
      <c r="R238" s="628"/>
      <c r="S238" s="628"/>
      <c r="T238" s="629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418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419</v>
      </c>
      <c r="B239" s="60" t="s">
        <v>420</v>
      </c>
      <c r="C239" s="34">
        <v>4301032051</v>
      </c>
      <c r="D239" s="626">
        <v>4680115886742</v>
      </c>
      <c r="E239" s="626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330</v>
      </c>
      <c r="L239" s="35" t="s">
        <v>46</v>
      </c>
      <c r="M239" s="36" t="s">
        <v>329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8"/>
      <c r="R239" s="628"/>
      <c r="S239" s="628"/>
      <c r="T239" s="629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421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422</v>
      </c>
      <c r="B240" s="60" t="s">
        <v>423</v>
      </c>
      <c r="C240" s="34">
        <v>4301032052</v>
      </c>
      <c r="D240" s="626">
        <v>4680115886766</v>
      </c>
      <c r="E240" s="626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330</v>
      </c>
      <c r="L240" s="35" t="s">
        <v>46</v>
      </c>
      <c r="M240" s="36" t="s">
        <v>329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8"/>
      <c r="R240" s="628"/>
      <c r="S240" s="628"/>
      <c r="T240" s="62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421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25" t="s">
        <v>424</v>
      </c>
      <c r="B243" s="625"/>
      <c r="C243" s="625"/>
      <c r="D243" s="625"/>
      <c r="E243" s="625"/>
      <c r="F243" s="625"/>
      <c r="G243" s="625"/>
      <c r="H243" s="625"/>
      <c r="I243" s="625"/>
      <c r="J243" s="625"/>
      <c r="K243" s="625"/>
      <c r="L243" s="625"/>
      <c r="M243" s="625"/>
      <c r="N243" s="625"/>
      <c r="O243" s="625"/>
      <c r="P243" s="625"/>
      <c r="Q243" s="625"/>
      <c r="R243" s="625"/>
      <c r="S243" s="625"/>
      <c r="T243" s="625"/>
      <c r="U243" s="625"/>
      <c r="V243" s="625"/>
      <c r="W243" s="625"/>
      <c r="X243" s="625"/>
      <c r="Y243" s="625"/>
      <c r="Z243" s="625"/>
      <c r="AA243" s="63"/>
      <c r="AB243" s="63"/>
      <c r="AC243" s="63"/>
    </row>
    <row r="244" spans="1:68" ht="27" hidden="1" customHeight="1" x14ac:dyDescent="0.25">
      <c r="A244" s="60" t="s">
        <v>425</v>
      </c>
      <c r="B244" s="60" t="s">
        <v>426</v>
      </c>
      <c r="C244" s="34">
        <v>4301170013</v>
      </c>
      <c r="D244" s="626">
        <v>4680115886797</v>
      </c>
      <c r="E244" s="626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330</v>
      </c>
      <c r="L244" s="35" t="s">
        <v>46</v>
      </c>
      <c r="M244" s="36" t="s">
        <v>329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8"/>
      <c r="R244" s="628"/>
      <c r="S244" s="628"/>
      <c r="T244" s="62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421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41" t="s">
        <v>427</v>
      </c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1"/>
      <c r="P247" s="641"/>
      <c r="Q247" s="641"/>
      <c r="R247" s="641"/>
      <c r="S247" s="641"/>
      <c r="T247" s="641"/>
      <c r="U247" s="641"/>
      <c r="V247" s="641"/>
      <c r="W247" s="641"/>
      <c r="X247" s="641"/>
      <c r="Y247" s="641"/>
      <c r="Z247" s="641"/>
      <c r="AA247" s="62"/>
      <c r="AB247" s="62"/>
      <c r="AC247" s="62"/>
    </row>
    <row r="248" spans="1:68" ht="14.25" hidden="1" customHeight="1" x14ac:dyDescent="0.25">
      <c r="A248" s="625" t="s">
        <v>128</v>
      </c>
      <c r="B248" s="625"/>
      <c r="C248" s="625"/>
      <c r="D248" s="625"/>
      <c r="E248" s="625"/>
      <c r="F248" s="625"/>
      <c r="G248" s="625"/>
      <c r="H248" s="625"/>
      <c r="I248" s="625"/>
      <c r="J248" s="625"/>
      <c r="K248" s="625"/>
      <c r="L248" s="625"/>
      <c r="M248" s="625"/>
      <c r="N248" s="625"/>
      <c r="O248" s="625"/>
      <c r="P248" s="625"/>
      <c r="Q248" s="625"/>
      <c r="R248" s="625"/>
      <c r="S248" s="625"/>
      <c r="T248" s="625"/>
      <c r="U248" s="625"/>
      <c r="V248" s="625"/>
      <c r="W248" s="625"/>
      <c r="X248" s="625"/>
      <c r="Y248" s="625"/>
      <c r="Z248" s="625"/>
      <c r="AA248" s="63"/>
      <c r="AB248" s="63"/>
      <c r="AC248" s="63"/>
    </row>
    <row r="249" spans="1:68" ht="27" hidden="1" customHeight="1" x14ac:dyDescent="0.25">
      <c r="A249" s="60" t="s">
        <v>428</v>
      </c>
      <c r="B249" s="60" t="s">
        <v>429</v>
      </c>
      <c r="C249" s="34">
        <v>4301011450</v>
      </c>
      <c r="D249" s="626">
        <v>4680115881402</v>
      </c>
      <c r="E249" s="626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133</v>
      </c>
      <c r="L249" s="35" t="s">
        <v>46</v>
      </c>
      <c r="M249" s="36" t="s">
        <v>132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8"/>
      <c r="R249" s="628"/>
      <c r="S249" s="628"/>
      <c r="T249" s="62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430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431</v>
      </c>
      <c r="B250" s="60" t="s">
        <v>432</v>
      </c>
      <c r="C250" s="34">
        <v>4301011768</v>
      </c>
      <c r="D250" s="626">
        <v>4680115881396</v>
      </c>
      <c r="E250" s="626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132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8"/>
      <c r="R250" s="628"/>
      <c r="S250" s="628"/>
      <c r="T250" s="62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430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25" t="s">
        <v>164</v>
      </c>
      <c r="B253" s="625"/>
      <c r="C253" s="625"/>
      <c r="D253" s="625"/>
      <c r="E253" s="625"/>
      <c r="F253" s="625"/>
      <c r="G253" s="625"/>
      <c r="H253" s="625"/>
      <c r="I253" s="625"/>
      <c r="J253" s="625"/>
      <c r="K253" s="625"/>
      <c r="L253" s="625"/>
      <c r="M253" s="625"/>
      <c r="N253" s="625"/>
      <c r="O253" s="625"/>
      <c r="P253" s="625"/>
      <c r="Q253" s="625"/>
      <c r="R253" s="625"/>
      <c r="S253" s="625"/>
      <c r="T253" s="625"/>
      <c r="U253" s="625"/>
      <c r="V253" s="625"/>
      <c r="W253" s="625"/>
      <c r="X253" s="625"/>
      <c r="Y253" s="625"/>
      <c r="Z253" s="625"/>
      <c r="AA253" s="63"/>
      <c r="AB253" s="63"/>
      <c r="AC253" s="63"/>
    </row>
    <row r="254" spans="1:68" ht="16.5" hidden="1" customHeight="1" x14ac:dyDescent="0.25">
      <c r="A254" s="60" t="s">
        <v>433</v>
      </c>
      <c r="B254" s="60" t="s">
        <v>434</v>
      </c>
      <c r="C254" s="34">
        <v>4301020261</v>
      </c>
      <c r="D254" s="626">
        <v>4680115882935</v>
      </c>
      <c r="E254" s="626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133</v>
      </c>
      <c r="L254" s="35" t="s">
        <v>46</v>
      </c>
      <c r="M254" s="36" t="s">
        <v>132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8"/>
      <c r="R254" s="628"/>
      <c r="S254" s="628"/>
      <c r="T254" s="62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435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436</v>
      </c>
      <c r="B255" s="60" t="s">
        <v>437</v>
      </c>
      <c r="C255" s="34">
        <v>4301020220</v>
      </c>
      <c r="D255" s="626">
        <v>4680115880764</v>
      </c>
      <c r="E255" s="626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132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8"/>
      <c r="R255" s="628"/>
      <c r="S255" s="628"/>
      <c r="T255" s="62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435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25" t="s">
        <v>77</v>
      </c>
      <c r="B258" s="625"/>
      <c r="C258" s="625"/>
      <c r="D258" s="625"/>
      <c r="E258" s="625"/>
      <c r="F258" s="625"/>
      <c r="G258" s="625"/>
      <c r="H258" s="625"/>
      <c r="I258" s="625"/>
      <c r="J258" s="625"/>
      <c r="K258" s="625"/>
      <c r="L258" s="625"/>
      <c r="M258" s="625"/>
      <c r="N258" s="625"/>
      <c r="O258" s="625"/>
      <c r="P258" s="625"/>
      <c r="Q258" s="625"/>
      <c r="R258" s="625"/>
      <c r="S258" s="625"/>
      <c r="T258" s="625"/>
      <c r="U258" s="625"/>
      <c r="V258" s="625"/>
      <c r="W258" s="625"/>
      <c r="X258" s="625"/>
      <c r="Y258" s="625"/>
      <c r="Z258" s="625"/>
      <c r="AA258" s="63"/>
      <c r="AB258" s="63"/>
      <c r="AC258" s="63"/>
    </row>
    <row r="259" spans="1:68" ht="27" hidden="1" customHeight="1" x14ac:dyDescent="0.25">
      <c r="A259" s="60" t="s">
        <v>438</v>
      </c>
      <c r="B259" s="60" t="s">
        <v>439</v>
      </c>
      <c r="C259" s="34">
        <v>4301031224</v>
      </c>
      <c r="D259" s="626">
        <v>4680115882683</v>
      </c>
      <c r="E259" s="626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140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8"/>
      <c r="R259" s="628"/>
      <c r="S259" s="628"/>
      <c r="T259" s="629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440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441</v>
      </c>
      <c r="B260" s="60" t="s">
        <v>442</v>
      </c>
      <c r="C260" s="34">
        <v>4301031230</v>
      </c>
      <c r="D260" s="626">
        <v>4680115882690</v>
      </c>
      <c r="E260" s="626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140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8"/>
      <c r="R260" s="628"/>
      <c r="S260" s="628"/>
      <c r="T260" s="629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443</v>
      </c>
      <c r="AG260" s="75"/>
      <c r="AJ260" s="79" t="s">
        <v>46</v>
      </c>
      <c r="AK260" s="79">
        <v>0</v>
      </c>
      <c r="BB260" s="332" t="s">
        <v>67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customHeight="1" x14ac:dyDescent="0.25">
      <c r="A261" s="60" t="s">
        <v>444</v>
      </c>
      <c r="B261" s="60" t="s">
        <v>445</v>
      </c>
      <c r="C261" s="34">
        <v>4301031220</v>
      </c>
      <c r="D261" s="626">
        <v>4680115882669</v>
      </c>
      <c r="E261" s="626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140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8"/>
      <c r="R261" s="628"/>
      <c r="S261" s="628"/>
      <c r="T261" s="629"/>
      <c r="U261" s="37" t="s">
        <v>46</v>
      </c>
      <c r="V261" s="37" t="s">
        <v>46</v>
      </c>
      <c r="W261" s="38" t="s">
        <v>0</v>
      </c>
      <c r="X261" s="56">
        <v>200</v>
      </c>
      <c r="Y261" s="53">
        <f t="shared" si="27"/>
        <v>205.20000000000002</v>
      </c>
      <c r="Z261" s="39">
        <f>IFERROR(IF(Y261=0,"",ROUNDUP(Y261/H261,0)*0.00902),"")</f>
        <v>0.34276000000000001</v>
      </c>
      <c r="AA261" s="65" t="s">
        <v>46</v>
      </c>
      <c r="AB261" s="66" t="s">
        <v>46</v>
      </c>
      <c r="AC261" s="333" t="s">
        <v>446</v>
      </c>
      <c r="AG261" s="75"/>
      <c r="AJ261" s="79" t="s">
        <v>46</v>
      </c>
      <c r="AK261" s="79">
        <v>0</v>
      </c>
      <c r="BB261" s="334" t="s">
        <v>67</v>
      </c>
      <c r="BM261" s="75">
        <f t="shared" si="28"/>
        <v>207.03703703703701</v>
      </c>
      <c r="BN261" s="75">
        <f t="shared" si="29"/>
        <v>212.42</v>
      </c>
      <c r="BO261" s="75">
        <f t="shared" si="30"/>
        <v>0.28058361391694725</v>
      </c>
      <c r="BP261" s="75">
        <f t="shared" si="31"/>
        <v>0.2878787878787879</v>
      </c>
    </row>
    <row r="262" spans="1:68" ht="27" hidden="1" customHeight="1" x14ac:dyDescent="0.25">
      <c r="A262" s="60" t="s">
        <v>447</v>
      </c>
      <c r="B262" s="60" t="s">
        <v>448</v>
      </c>
      <c r="C262" s="34">
        <v>4301031221</v>
      </c>
      <c r="D262" s="626">
        <v>4680115882676</v>
      </c>
      <c r="E262" s="626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140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8"/>
      <c r="R262" s="628"/>
      <c r="S262" s="628"/>
      <c r="T262" s="629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449</v>
      </c>
      <c r="AG262" s="75"/>
      <c r="AJ262" s="79" t="s">
        <v>46</v>
      </c>
      <c r="AK262" s="79">
        <v>0</v>
      </c>
      <c r="BB262" s="336" t="s">
        <v>67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450</v>
      </c>
      <c r="B263" s="60" t="s">
        <v>451</v>
      </c>
      <c r="C263" s="34">
        <v>4301031223</v>
      </c>
      <c r="D263" s="626">
        <v>4680115884014</v>
      </c>
      <c r="E263" s="626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8"/>
      <c r="R263" s="628"/>
      <c r="S263" s="628"/>
      <c r="T263" s="629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440</v>
      </c>
      <c r="AG263" s="75"/>
      <c r="AJ263" s="79" t="s">
        <v>46</v>
      </c>
      <c r="AK263" s="79">
        <v>0</v>
      </c>
      <c r="BB263" s="338" t="s">
        <v>67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452</v>
      </c>
      <c r="B264" s="60" t="s">
        <v>453</v>
      </c>
      <c r="C264" s="34">
        <v>4301031222</v>
      </c>
      <c r="D264" s="626">
        <v>4680115884007</v>
      </c>
      <c r="E264" s="626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8"/>
      <c r="R264" s="628"/>
      <c r="S264" s="628"/>
      <c r="T264" s="629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443</v>
      </c>
      <c r="AG264" s="75"/>
      <c r="AJ264" s="79" t="s">
        <v>46</v>
      </c>
      <c r="AK264" s="79">
        <v>0</v>
      </c>
      <c r="BB264" s="340" t="s">
        <v>67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customHeight="1" x14ac:dyDescent="0.25">
      <c r="A265" s="60" t="s">
        <v>454</v>
      </c>
      <c r="B265" s="60" t="s">
        <v>455</v>
      </c>
      <c r="C265" s="34">
        <v>4301031229</v>
      </c>
      <c r="D265" s="626">
        <v>4680115884038</v>
      </c>
      <c r="E265" s="626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8"/>
      <c r="R265" s="628"/>
      <c r="S265" s="628"/>
      <c r="T265" s="629"/>
      <c r="U265" s="37" t="s">
        <v>46</v>
      </c>
      <c r="V265" s="37" t="s">
        <v>46</v>
      </c>
      <c r="W265" s="38" t="s">
        <v>0</v>
      </c>
      <c r="X265" s="56">
        <v>60</v>
      </c>
      <c r="Y265" s="53">
        <f t="shared" si="27"/>
        <v>61.2</v>
      </c>
      <c r="Z265" s="39">
        <f>IFERROR(IF(Y265=0,"",ROUNDUP(Y265/H265,0)*0.00502),"")</f>
        <v>0.17068</v>
      </c>
      <c r="AA265" s="65" t="s">
        <v>46</v>
      </c>
      <c r="AB265" s="66" t="s">
        <v>46</v>
      </c>
      <c r="AC265" s="341" t="s">
        <v>446</v>
      </c>
      <c r="AG265" s="75"/>
      <c r="AJ265" s="79" t="s">
        <v>46</v>
      </c>
      <c r="AK265" s="79">
        <v>0</v>
      </c>
      <c r="BB265" s="342" t="s">
        <v>67</v>
      </c>
      <c r="BM265" s="75">
        <f t="shared" si="28"/>
        <v>63.333333333333329</v>
      </c>
      <c r="BN265" s="75">
        <f t="shared" si="29"/>
        <v>64.599999999999994</v>
      </c>
      <c r="BO265" s="75">
        <f t="shared" si="30"/>
        <v>0.14245014245014248</v>
      </c>
      <c r="BP265" s="75">
        <f t="shared" si="31"/>
        <v>0.14529914529914531</v>
      </c>
    </row>
    <row r="266" spans="1:68" ht="27" hidden="1" customHeight="1" x14ac:dyDescent="0.25">
      <c r="A266" s="60" t="s">
        <v>456</v>
      </c>
      <c r="B266" s="60" t="s">
        <v>457</v>
      </c>
      <c r="C266" s="34">
        <v>4301031225</v>
      </c>
      <c r="D266" s="626">
        <v>4680115884021</v>
      </c>
      <c r="E266" s="626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8"/>
      <c r="R266" s="628"/>
      <c r="S266" s="628"/>
      <c r="T266" s="629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449</v>
      </c>
      <c r="AG266" s="75"/>
      <c r="AJ266" s="79" t="s">
        <v>46</v>
      </c>
      <c r="AK266" s="79">
        <v>0</v>
      </c>
      <c r="BB266" s="344" t="s">
        <v>67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70.370370370370381</v>
      </c>
      <c r="Y267" s="41">
        <f>IFERROR(Y259/H259,"0")+IFERROR(Y260/H260,"0")+IFERROR(Y261/H261,"0")+IFERROR(Y262/H262,"0")+IFERROR(Y263/H263,"0")+IFERROR(Y264/H264,"0")+IFERROR(Y265/H265,"0")+IFERROR(Y266/H266,"0")</f>
        <v>72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0.51344000000000001</v>
      </c>
      <c r="AA267" s="64"/>
      <c r="AB267" s="64"/>
      <c r="AC267" s="64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0" t="s">
        <v>0</v>
      </c>
      <c r="X268" s="41">
        <f>IFERROR(SUM(X259:X266),"0")</f>
        <v>260</v>
      </c>
      <c r="Y268" s="41">
        <f>IFERROR(SUM(Y259:Y266),"0")</f>
        <v>266.40000000000003</v>
      </c>
      <c r="Z268" s="40"/>
      <c r="AA268" s="64"/>
      <c r="AB268" s="64"/>
      <c r="AC268" s="64"/>
    </row>
    <row r="269" spans="1:68" ht="14.25" hidden="1" customHeight="1" x14ac:dyDescent="0.25">
      <c r="A269" s="625" t="s">
        <v>86</v>
      </c>
      <c r="B269" s="625"/>
      <c r="C269" s="625"/>
      <c r="D269" s="625"/>
      <c r="E269" s="625"/>
      <c r="F269" s="625"/>
      <c r="G269" s="625"/>
      <c r="H269" s="625"/>
      <c r="I269" s="625"/>
      <c r="J269" s="625"/>
      <c r="K269" s="625"/>
      <c r="L269" s="625"/>
      <c r="M269" s="625"/>
      <c r="N269" s="625"/>
      <c r="O269" s="625"/>
      <c r="P269" s="625"/>
      <c r="Q269" s="625"/>
      <c r="R269" s="625"/>
      <c r="S269" s="625"/>
      <c r="T269" s="625"/>
      <c r="U269" s="625"/>
      <c r="V269" s="625"/>
      <c r="W269" s="625"/>
      <c r="X269" s="625"/>
      <c r="Y269" s="625"/>
      <c r="Z269" s="625"/>
      <c r="AA269" s="63"/>
      <c r="AB269" s="63"/>
      <c r="AC269" s="63"/>
    </row>
    <row r="270" spans="1:68" ht="27" hidden="1" customHeight="1" x14ac:dyDescent="0.25">
      <c r="A270" s="60" t="s">
        <v>458</v>
      </c>
      <c r="B270" s="60" t="s">
        <v>459</v>
      </c>
      <c r="C270" s="34">
        <v>4301051408</v>
      </c>
      <c r="D270" s="626">
        <v>4680115881594</v>
      </c>
      <c r="E270" s="626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133</v>
      </c>
      <c r="L270" s="35" t="s">
        <v>46</v>
      </c>
      <c r="M270" s="36" t="s">
        <v>90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8"/>
      <c r="R270" s="628"/>
      <c r="S270" s="628"/>
      <c r="T270" s="62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460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461</v>
      </c>
      <c r="B271" s="60" t="s">
        <v>462</v>
      </c>
      <c r="C271" s="34">
        <v>4301051411</v>
      </c>
      <c r="D271" s="626">
        <v>4680115881617</v>
      </c>
      <c r="E271" s="626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133</v>
      </c>
      <c r="L271" s="35" t="s">
        <v>46</v>
      </c>
      <c r="M271" s="36" t="s">
        <v>90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8"/>
      <c r="R271" s="628"/>
      <c r="S271" s="628"/>
      <c r="T271" s="62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463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customHeight="1" x14ac:dyDescent="0.25">
      <c r="A272" s="60" t="s">
        <v>464</v>
      </c>
      <c r="B272" s="60" t="s">
        <v>465</v>
      </c>
      <c r="C272" s="34">
        <v>4301051656</v>
      </c>
      <c r="D272" s="626">
        <v>4680115880573</v>
      </c>
      <c r="E272" s="626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133</v>
      </c>
      <c r="L272" s="35" t="s">
        <v>46</v>
      </c>
      <c r="M272" s="36" t="s">
        <v>90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8"/>
      <c r="R272" s="628"/>
      <c r="S272" s="628"/>
      <c r="T272" s="629"/>
      <c r="U272" s="37" t="s">
        <v>46</v>
      </c>
      <c r="V272" s="37" t="s">
        <v>46</v>
      </c>
      <c r="W272" s="38" t="s">
        <v>0</v>
      </c>
      <c r="X272" s="56">
        <v>300</v>
      </c>
      <c r="Y272" s="53">
        <f t="shared" si="32"/>
        <v>304.5</v>
      </c>
      <c r="Z272" s="39">
        <f>IFERROR(IF(Y272=0,"",ROUNDUP(Y272/H272,0)*0.01898),"")</f>
        <v>0.6643</v>
      </c>
      <c r="AA272" s="65" t="s">
        <v>46</v>
      </c>
      <c r="AB272" s="66" t="s">
        <v>46</v>
      </c>
      <c r="AC272" s="349" t="s">
        <v>466</v>
      </c>
      <c r="AG272" s="75"/>
      <c r="AJ272" s="79" t="s">
        <v>46</v>
      </c>
      <c r="AK272" s="79">
        <v>0</v>
      </c>
      <c r="BB272" s="350" t="s">
        <v>67</v>
      </c>
      <c r="BM272" s="75">
        <f t="shared" si="33"/>
        <v>317.03448275862075</v>
      </c>
      <c r="BN272" s="75">
        <f t="shared" si="34"/>
        <v>321.79000000000008</v>
      </c>
      <c r="BO272" s="75">
        <f t="shared" si="35"/>
        <v>0.53879310344827591</v>
      </c>
      <c r="BP272" s="75">
        <f t="shared" si="36"/>
        <v>0.546875</v>
      </c>
    </row>
    <row r="273" spans="1:68" ht="27" customHeight="1" x14ac:dyDescent="0.25">
      <c r="A273" s="60" t="s">
        <v>467</v>
      </c>
      <c r="B273" s="60" t="s">
        <v>468</v>
      </c>
      <c r="C273" s="34">
        <v>4301051407</v>
      </c>
      <c r="D273" s="626">
        <v>4680115882195</v>
      </c>
      <c r="E273" s="626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8"/>
      <c r="R273" s="628"/>
      <c r="S273" s="628"/>
      <c r="T273" s="629"/>
      <c r="U273" s="37" t="s">
        <v>46</v>
      </c>
      <c r="V273" s="37" t="s">
        <v>46</v>
      </c>
      <c r="W273" s="38" t="s">
        <v>0</v>
      </c>
      <c r="X273" s="56">
        <v>80</v>
      </c>
      <c r="Y273" s="53">
        <f t="shared" si="32"/>
        <v>81.599999999999994</v>
      </c>
      <c r="Z273" s="39">
        <f>IFERROR(IF(Y273=0,"",ROUNDUP(Y273/H273,0)*0.00651),"")</f>
        <v>0.22134000000000001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33"/>
        <v>89</v>
      </c>
      <c r="BN273" s="75">
        <f t="shared" si="34"/>
        <v>90.78</v>
      </c>
      <c r="BO273" s="75">
        <f t="shared" si="35"/>
        <v>0.18315018315018317</v>
      </c>
      <c r="BP273" s="75">
        <f t="shared" si="36"/>
        <v>0.18681318681318682</v>
      </c>
    </row>
    <row r="274" spans="1:68" ht="27" hidden="1" customHeight="1" x14ac:dyDescent="0.25">
      <c r="A274" s="60" t="s">
        <v>469</v>
      </c>
      <c r="B274" s="60" t="s">
        <v>470</v>
      </c>
      <c r="C274" s="34">
        <v>4301051752</v>
      </c>
      <c r="D274" s="626">
        <v>4680115882607</v>
      </c>
      <c r="E274" s="626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8"/>
      <c r="R274" s="628"/>
      <c r="S274" s="628"/>
      <c r="T274" s="62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466</v>
      </c>
      <c r="AG274" s="75"/>
      <c r="AJ274" s="79" t="s">
        <v>46</v>
      </c>
      <c r="AK274" s="79">
        <v>0</v>
      </c>
      <c r="BB274" s="354" t="s">
        <v>67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471</v>
      </c>
      <c r="B275" s="60" t="s">
        <v>472</v>
      </c>
      <c r="C275" s="34">
        <v>4301052143</v>
      </c>
      <c r="D275" s="626">
        <v>4680115882607</v>
      </c>
      <c r="E275" s="626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140</v>
      </c>
      <c r="L275" s="35" t="s">
        <v>46</v>
      </c>
      <c r="M275" s="36" t="s">
        <v>90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8"/>
      <c r="R275" s="628"/>
      <c r="S275" s="628"/>
      <c r="T275" s="62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473</v>
      </c>
      <c r="AG275" s="75"/>
      <c r="AJ275" s="79" t="s">
        <v>46</v>
      </c>
      <c r="AK275" s="79">
        <v>0</v>
      </c>
      <c r="BB275" s="356" t="s">
        <v>67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474</v>
      </c>
      <c r="B276" s="60" t="s">
        <v>475</v>
      </c>
      <c r="C276" s="34">
        <v>4301051666</v>
      </c>
      <c r="D276" s="626">
        <v>4680115880092</v>
      </c>
      <c r="E276" s="62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8"/>
      <c r="R276" s="628"/>
      <c r="S276" s="628"/>
      <c r="T276" s="629"/>
      <c r="U276" s="37" t="s">
        <v>46</v>
      </c>
      <c r="V276" s="37" t="s">
        <v>46</v>
      </c>
      <c r="W276" s="38" t="s">
        <v>0</v>
      </c>
      <c r="X276" s="56">
        <v>800</v>
      </c>
      <c r="Y276" s="53">
        <f t="shared" si="32"/>
        <v>801.6</v>
      </c>
      <c r="Z276" s="39">
        <f>IFERROR(IF(Y276=0,"",ROUNDUP(Y276/H276,0)*0.00651),"")</f>
        <v>2.1743399999999999</v>
      </c>
      <c r="AA276" s="65" t="s">
        <v>46</v>
      </c>
      <c r="AB276" s="66" t="s">
        <v>46</v>
      </c>
      <c r="AC276" s="357" t="s">
        <v>466</v>
      </c>
      <c r="AG276" s="75"/>
      <c r="AJ276" s="79" t="s">
        <v>46</v>
      </c>
      <c r="AK276" s="79">
        <v>0</v>
      </c>
      <c r="BB276" s="358" t="s">
        <v>67</v>
      </c>
      <c r="BM276" s="75">
        <f t="shared" si="33"/>
        <v>884</v>
      </c>
      <c r="BN276" s="75">
        <f t="shared" si="34"/>
        <v>885.76800000000014</v>
      </c>
      <c r="BO276" s="75">
        <f t="shared" si="35"/>
        <v>1.8315018315018319</v>
      </c>
      <c r="BP276" s="75">
        <f t="shared" si="36"/>
        <v>1.8351648351648353</v>
      </c>
    </row>
    <row r="277" spans="1:68" ht="27" hidden="1" customHeight="1" x14ac:dyDescent="0.25">
      <c r="A277" s="60" t="s">
        <v>476</v>
      </c>
      <c r="B277" s="60" t="s">
        <v>477</v>
      </c>
      <c r="C277" s="34">
        <v>4301052214</v>
      </c>
      <c r="D277" s="626">
        <v>4680115889064</v>
      </c>
      <c r="E277" s="626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133</v>
      </c>
      <c r="L277" s="35" t="s">
        <v>46</v>
      </c>
      <c r="M277" s="36" t="s">
        <v>90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8"/>
      <c r="R277" s="628"/>
      <c r="S277" s="628"/>
      <c r="T277" s="62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67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478</v>
      </c>
      <c r="B278" s="60" t="s">
        <v>479</v>
      </c>
      <c r="C278" s="34">
        <v>4301051668</v>
      </c>
      <c r="D278" s="626">
        <v>4680115880221</v>
      </c>
      <c r="E278" s="626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8"/>
      <c r="R278" s="628"/>
      <c r="S278" s="628"/>
      <c r="T278" s="62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466</v>
      </c>
      <c r="AG278" s="75"/>
      <c r="AJ278" s="79" t="s">
        <v>46</v>
      </c>
      <c r="AK278" s="79">
        <v>0</v>
      </c>
      <c r="BB278" s="362" t="s">
        <v>67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customHeight="1" x14ac:dyDescent="0.25">
      <c r="A279" s="60" t="s">
        <v>480</v>
      </c>
      <c r="B279" s="60" t="s">
        <v>481</v>
      </c>
      <c r="C279" s="34">
        <v>4301051945</v>
      </c>
      <c r="D279" s="626">
        <v>4680115880504</v>
      </c>
      <c r="E279" s="626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8"/>
      <c r="R279" s="628"/>
      <c r="S279" s="628"/>
      <c r="T279" s="629"/>
      <c r="U279" s="37" t="s">
        <v>46</v>
      </c>
      <c r="V279" s="37" t="s">
        <v>46</v>
      </c>
      <c r="W279" s="38" t="s">
        <v>0</v>
      </c>
      <c r="X279" s="56">
        <v>80</v>
      </c>
      <c r="Y279" s="53">
        <f t="shared" si="32"/>
        <v>81.599999999999994</v>
      </c>
      <c r="Z279" s="39">
        <f>IFERROR(IF(Y279=0,"",ROUNDUP(Y279/H279,0)*0.00651),"")</f>
        <v>0.22134000000000001</v>
      </c>
      <c r="AA279" s="65" t="s">
        <v>46</v>
      </c>
      <c r="AB279" s="66" t="s">
        <v>46</v>
      </c>
      <c r="AC279" s="363" t="s">
        <v>482</v>
      </c>
      <c r="AG279" s="75"/>
      <c r="AJ279" s="79" t="s">
        <v>46</v>
      </c>
      <c r="AK279" s="79">
        <v>0</v>
      </c>
      <c r="BB279" s="364" t="s">
        <v>67</v>
      </c>
      <c r="BM279" s="75">
        <f t="shared" si="33"/>
        <v>88.40000000000002</v>
      </c>
      <c r="BN279" s="75">
        <f t="shared" si="34"/>
        <v>90.168000000000006</v>
      </c>
      <c r="BO279" s="75">
        <f t="shared" si="35"/>
        <v>0.18315018315018317</v>
      </c>
      <c r="BP279" s="75">
        <f t="shared" si="36"/>
        <v>0.18681318681318682</v>
      </c>
    </row>
    <row r="280" spans="1:68" ht="27" customHeight="1" x14ac:dyDescent="0.25">
      <c r="A280" s="60" t="s">
        <v>483</v>
      </c>
      <c r="B280" s="60" t="s">
        <v>484</v>
      </c>
      <c r="C280" s="34">
        <v>4301051410</v>
      </c>
      <c r="D280" s="626">
        <v>4680115882164</v>
      </c>
      <c r="E280" s="626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8"/>
      <c r="R280" s="628"/>
      <c r="S280" s="628"/>
      <c r="T280" s="629"/>
      <c r="U280" s="37" t="s">
        <v>46</v>
      </c>
      <c r="V280" s="37" t="s">
        <v>46</v>
      </c>
      <c r="W280" s="38" t="s">
        <v>0</v>
      </c>
      <c r="X280" s="56">
        <v>80</v>
      </c>
      <c r="Y280" s="53">
        <f t="shared" si="32"/>
        <v>81.599999999999994</v>
      </c>
      <c r="Z280" s="39">
        <f>IFERROR(IF(Y280=0,"",ROUNDUP(Y280/H280,0)*0.00651),"")</f>
        <v>0.22134000000000001</v>
      </c>
      <c r="AA280" s="65" t="s">
        <v>46</v>
      </c>
      <c r="AB280" s="66" t="s">
        <v>46</v>
      </c>
      <c r="AC280" s="365" t="s">
        <v>485</v>
      </c>
      <c r="AG280" s="75"/>
      <c r="AJ280" s="79" t="s">
        <v>46</v>
      </c>
      <c r="AK280" s="79">
        <v>0</v>
      </c>
      <c r="BB280" s="366" t="s">
        <v>67</v>
      </c>
      <c r="BM280" s="75">
        <f t="shared" si="33"/>
        <v>88.6</v>
      </c>
      <c r="BN280" s="75">
        <f t="shared" si="34"/>
        <v>90.371999999999986</v>
      </c>
      <c r="BO280" s="75">
        <f t="shared" si="35"/>
        <v>0.18315018315018317</v>
      </c>
      <c r="BP280" s="75">
        <f t="shared" si="36"/>
        <v>0.18681318681318682</v>
      </c>
    </row>
    <row r="281" spans="1:68" ht="27" hidden="1" customHeight="1" x14ac:dyDescent="0.25">
      <c r="A281" s="60" t="s">
        <v>486</v>
      </c>
      <c r="B281" s="60" t="s">
        <v>487</v>
      </c>
      <c r="C281" s="34">
        <v>4301052180</v>
      </c>
      <c r="D281" s="626">
        <v>4680115888340</v>
      </c>
      <c r="E281" s="626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8"/>
      <c r="R281" s="628"/>
      <c r="S281" s="628"/>
      <c r="T281" s="62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488</v>
      </c>
      <c r="AG281" s="75"/>
      <c r="AJ281" s="79" t="s">
        <v>46</v>
      </c>
      <c r="AK281" s="79">
        <v>0</v>
      </c>
      <c r="BB281" s="368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467.81609195402302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471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3.5026600000000001</v>
      </c>
      <c r="AA282" s="64"/>
      <c r="AB282" s="64"/>
      <c r="AC282" s="64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0" t="s">
        <v>0</v>
      </c>
      <c r="X283" s="41">
        <f>IFERROR(SUM(X270:X281),"0")</f>
        <v>1340</v>
      </c>
      <c r="Y283" s="41">
        <f>IFERROR(SUM(Y270:Y281),"0")</f>
        <v>1350.8999999999999</v>
      </c>
      <c r="Z283" s="40"/>
      <c r="AA283" s="64"/>
      <c r="AB283" s="64"/>
      <c r="AC283" s="64"/>
    </row>
    <row r="284" spans="1:68" ht="14.25" hidden="1" customHeight="1" x14ac:dyDescent="0.25">
      <c r="A284" s="625" t="s">
        <v>181</v>
      </c>
      <c r="B284" s="625"/>
      <c r="C284" s="625"/>
      <c r="D284" s="625"/>
      <c r="E284" s="625"/>
      <c r="F284" s="625"/>
      <c r="G284" s="625"/>
      <c r="H284" s="625"/>
      <c r="I284" s="625"/>
      <c r="J284" s="625"/>
      <c r="K284" s="625"/>
      <c r="L284" s="625"/>
      <c r="M284" s="625"/>
      <c r="N284" s="625"/>
      <c r="O284" s="625"/>
      <c r="P284" s="625"/>
      <c r="Q284" s="625"/>
      <c r="R284" s="625"/>
      <c r="S284" s="625"/>
      <c r="T284" s="625"/>
      <c r="U284" s="625"/>
      <c r="V284" s="625"/>
      <c r="W284" s="625"/>
      <c r="X284" s="625"/>
      <c r="Y284" s="625"/>
      <c r="Z284" s="625"/>
      <c r="AA284" s="63"/>
      <c r="AB284" s="63"/>
      <c r="AC284" s="63"/>
    </row>
    <row r="285" spans="1:68" ht="27" hidden="1" customHeight="1" x14ac:dyDescent="0.25">
      <c r="A285" s="60" t="s">
        <v>489</v>
      </c>
      <c r="B285" s="60" t="s">
        <v>490</v>
      </c>
      <c r="C285" s="34">
        <v>4301060463</v>
      </c>
      <c r="D285" s="626">
        <v>4680115880818</v>
      </c>
      <c r="E285" s="626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8"/>
      <c r="R285" s="628"/>
      <c r="S285" s="628"/>
      <c r="T285" s="62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491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492</v>
      </c>
      <c r="B286" s="60" t="s">
        <v>493</v>
      </c>
      <c r="C286" s="34">
        <v>4301060389</v>
      </c>
      <c r="D286" s="626">
        <v>4680115880801</v>
      </c>
      <c r="E286" s="62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8"/>
      <c r="R286" s="628"/>
      <c r="S286" s="628"/>
      <c r="T286" s="629"/>
      <c r="U286" s="37" t="s">
        <v>46</v>
      </c>
      <c r="V286" s="37" t="s">
        <v>46</v>
      </c>
      <c r="W286" s="38" t="s">
        <v>0</v>
      </c>
      <c r="X286" s="56">
        <v>160</v>
      </c>
      <c r="Y286" s="53">
        <f>IFERROR(IF(X286="",0,CEILING((X286/$H286),1)*$H286),"")</f>
        <v>160.79999999999998</v>
      </c>
      <c r="Z286" s="39">
        <f>IFERROR(IF(Y286=0,"",ROUNDUP(Y286/H286,0)*0.00651),"")</f>
        <v>0.43617</v>
      </c>
      <c r="AA286" s="65" t="s">
        <v>46</v>
      </c>
      <c r="AB286" s="66" t="s">
        <v>46</v>
      </c>
      <c r="AC286" s="371" t="s">
        <v>494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176.80000000000004</v>
      </c>
      <c r="BN286" s="75">
        <f>IFERROR(Y286*I286/H286,"0")</f>
        <v>177.684</v>
      </c>
      <c r="BO286" s="75">
        <f>IFERROR(1/J286*(X286/H286),"0")</f>
        <v>0.36630036630036633</v>
      </c>
      <c r="BP286" s="75">
        <f>IFERROR(1/J286*(Y286/H286),"0")</f>
        <v>0.36813186813186816</v>
      </c>
    </row>
    <row r="287" spans="1:68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0" t="s">
        <v>39</v>
      </c>
      <c r="X287" s="41">
        <f>IFERROR(X285/H285,"0")+IFERROR(X286/H286,"0")</f>
        <v>66.666666666666671</v>
      </c>
      <c r="Y287" s="41">
        <f>IFERROR(Y285/H285,"0")+IFERROR(Y286/H286,"0")</f>
        <v>67</v>
      </c>
      <c r="Z287" s="41">
        <f>IFERROR(IF(Z285="",0,Z285),"0")+IFERROR(IF(Z286="",0,Z286),"0")</f>
        <v>0.43617</v>
      </c>
      <c r="AA287" s="64"/>
      <c r="AB287" s="64"/>
      <c r="AC287" s="64"/>
    </row>
    <row r="288" spans="1:68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0" t="s">
        <v>0</v>
      </c>
      <c r="X288" s="41">
        <f>IFERROR(SUM(X285:X286),"0")</f>
        <v>160</v>
      </c>
      <c r="Y288" s="41">
        <f>IFERROR(SUM(Y285:Y286),"0")</f>
        <v>160.79999999999998</v>
      </c>
      <c r="Z288" s="40"/>
      <c r="AA288" s="64"/>
      <c r="AB288" s="64"/>
      <c r="AC288" s="64"/>
    </row>
    <row r="289" spans="1:68" ht="16.5" hidden="1" customHeight="1" x14ac:dyDescent="0.25">
      <c r="A289" s="641" t="s">
        <v>495</v>
      </c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1"/>
      <c r="P289" s="641"/>
      <c r="Q289" s="641"/>
      <c r="R289" s="641"/>
      <c r="S289" s="641"/>
      <c r="T289" s="641"/>
      <c r="U289" s="641"/>
      <c r="V289" s="641"/>
      <c r="W289" s="641"/>
      <c r="X289" s="641"/>
      <c r="Y289" s="641"/>
      <c r="Z289" s="641"/>
      <c r="AA289" s="62"/>
      <c r="AB289" s="62"/>
      <c r="AC289" s="62"/>
    </row>
    <row r="290" spans="1:68" ht="14.25" hidden="1" customHeight="1" x14ac:dyDescent="0.25">
      <c r="A290" s="625" t="s">
        <v>128</v>
      </c>
      <c r="B290" s="625"/>
      <c r="C290" s="625"/>
      <c r="D290" s="625"/>
      <c r="E290" s="625"/>
      <c r="F290" s="625"/>
      <c r="G290" s="625"/>
      <c r="H290" s="625"/>
      <c r="I290" s="625"/>
      <c r="J290" s="625"/>
      <c r="K290" s="625"/>
      <c r="L290" s="625"/>
      <c r="M290" s="625"/>
      <c r="N290" s="625"/>
      <c r="O290" s="625"/>
      <c r="P290" s="625"/>
      <c r="Q290" s="625"/>
      <c r="R290" s="625"/>
      <c r="S290" s="625"/>
      <c r="T290" s="625"/>
      <c r="U290" s="625"/>
      <c r="V290" s="625"/>
      <c r="W290" s="625"/>
      <c r="X290" s="625"/>
      <c r="Y290" s="625"/>
      <c r="Z290" s="625"/>
      <c r="AA290" s="63"/>
      <c r="AB290" s="63"/>
      <c r="AC290" s="63"/>
    </row>
    <row r="291" spans="1:68" ht="27" hidden="1" customHeight="1" x14ac:dyDescent="0.25">
      <c r="A291" s="60" t="s">
        <v>496</v>
      </c>
      <c r="B291" s="60" t="s">
        <v>497</v>
      </c>
      <c r="C291" s="34">
        <v>4301011826</v>
      </c>
      <c r="D291" s="626">
        <v>4680115884137</v>
      </c>
      <c r="E291" s="626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133</v>
      </c>
      <c r="L291" s="35" t="s">
        <v>46</v>
      </c>
      <c r="M291" s="36" t="s">
        <v>132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8"/>
      <c r="R291" s="628"/>
      <c r="S291" s="628"/>
      <c r="T291" s="62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498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499</v>
      </c>
      <c r="B292" s="60" t="s">
        <v>500</v>
      </c>
      <c r="C292" s="34">
        <v>4301011724</v>
      </c>
      <c r="D292" s="626">
        <v>4680115884236</v>
      </c>
      <c r="E292" s="626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133</v>
      </c>
      <c r="L292" s="35" t="s">
        <v>46</v>
      </c>
      <c r="M292" s="36" t="s">
        <v>132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8"/>
      <c r="R292" s="628"/>
      <c r="S292" s="628"/>
      <c r="T292" s="62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501</v>
      </c>
      <c r="AG292" s="75"/>
      <c r="AJ292" s="79" t="s">
        <v>46</v>
      </c>
      <c r="AK292" s="79">
        <v>0</v>
      </c>
      <c r="BB292" s="376" t="s">
        <v>67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502</v>
      </c>
      <c r="B293" s="60" t="s">
        <v>503</v>
      </c>
      <c r="C293" s="34">
        <v>4301011721</v>
      </c>
      <c r="D293" s="626">
        <v>4680115884175</v>
      </c>
      <c r="E293" s="626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133</v>
      </c>
      <c r="L293" s="35" t="s">
        <v>46</v>
      </c>
      <c r="M293" s="36" t="s">
        <v>132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8"/>
      <c r="R293" s="628"/>
      <c r="S293" s="628"/>
      <c r="T293" s="629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504</v>
      </c>
      <c r="B294" s="60" t="s">
        <v>505</v>
      </c>
      <c r="C294" s="34">
        <v>4301011824</v>
      </c>
      <c r="D294" s="626">
        <v>4680115884144</v>
      </c>
      <c r="E294" s="626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140</v>
      </c>
      <c r="L294" s="35" t="s">
        <v>46</v>
      </c>
      <c r="M294" s="36" t="s">
        <v>132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8"/>
      <c r="R294" s="628"/>
      <c r="S294" s="628"/>
      <c r="T294" s="629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498</v>
      </c>
      <c r="AG294" s="75"/>
      <c r="AJ294" s="79" t="s">
        <v>46</v>
      </c>
      <c r="AK294" s="79">
        <v>0</v>
      </c>
      <c r="BB294" s="380" t="s">
        <v>67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506</v>
      </c>
      <c r="B295" s="60" t="s">
        <v>507</v>
      </c>
      <c r="C295" s="34">
        <v>4301012149</v>
      </c>
      <c r="D295" s="626">
        <v>4680115886551</v>
      </c>
      <c r="E295" s="626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140</v>
      </c>
      <c r="L295" s="35" t="s">
        <v>46</v>
      </c>
      <c r="M295" s="36" t="s">
        <v>132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8"/>
      <c r="R295" s="628"/>
      <c r="S295" s="628"/>
      <c r="T295" s="62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508</v>
      </c>
      <c r="AG295" s="75"/>
      <c r="AJ295" s="79" t="s">
        <v>46</v>
      </c>
      <c r="AK295" s="79">
        <v>0</v>
      </c>
      <c r="BB295" s="382" t="s">
        <v>67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509</v>
      </c>
      <c r="B296" s="60" t="s">
        <v>510</v>
      </c>
      <c r="C296" s="34">
        <v>4301012228</v>
      </c>
      <c r="D296" s="626">
        <v>4680115887282</v>
      </c>
      <c r="E296" s="626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132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8"/>
      <c r="R296" s="628"/>
      <c r="S296" s="628"/>
      <c r="T296" s="62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511</v>
      </c>
      <c r="AG296" s="75"/>
      <c r="AJ296" s="79" t="s">
        <v>46</v>
      </c>
      <c r="AK296" s="79">
        <v>0</v>
      </c>
      <c r="BB296" s="384" t="s">
        <v>67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512</v>
      </c>
      <c r="B297" s="60" t="s">
        <v>513</v>
      </c>
      <c r="C297" s="34">
        <v>4301011722</v>
      </c>
      <c r="D297" s="626">
        <v>4680115884205</v>
      </c>
      <c r="E297" s="626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140</v>
      </c>
      <c r="L297" s="35" t="s">
        <v>46</v>
      </c>
      <c r="M297" s="36" t="s">
        <v>132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8"/>
      <c r="R297" s="628"/>
      <c r="S297" s="628"/>
      <c r="T297" s="62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25" t="s">
        <v>164</v>
      </c>
      <c r="B300" s="625"/>
      <c r="C300" s="625"/>
      <c r="D300" s="625"/>
      <c r="E300" s="625"/>
      <c r="F300" s="625"/>
      <c r="G300" s="625"/>
      <c r="H300" s="625"/>
      <c r="I300" s="625"/>
      <c r="J300" s="625"/>
      <c r="K300" s="625"/>
      <c r="L300" s="625"/>
      <c r="M300" s="625"/>
      <c r="N300" s="625"/>
      <c r="O300" s="625"/>
      <c r="P300" s="625"/>
      <c r="Q300" s="625"/>
      <c r="R300" s="625"/>
      <c r="S300" s="625"/>
      <c r="T300" s="625"/>
      <c r="U300" s="625"/>
      <c r="V300" s="625"/>
      <c r="W300" s="625"/>
      <c r="X300" s="625"/>
      <c r="Y300" s="625"/>
      <c r="Z300" s="625"/>
      <c r="AA300" s="63"/>
      <c r="AB300" s="63"/>
      <c r="AC300" s="63"/>
    </row>
    <row r="301" spans="1:68" ht="27" hidden="1" customHeight="1" x14ac:dyDescent="0.25">
      <c r="A301" s="60" t="s">
        <v>514</v>
      </c>
      <c r="B301" s="60" t="s">
        <v>515</v>
      </c>
      <c r="C301" s="34">
        <v>4301020377</v>
      </c>
      <c r="D301" s="626">
        <v>4680115885981</v>
      </c>
      <c r="E301" s="626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8"/>
      <c r="R301" s="628"/>
      <c r="S301" s="628"/>
      <c r="T301" s="62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516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5" t="s">
        <v>517</v>
      </c>
      <c r="B304" s="625"/>
      <c r="C304" s="625"/>
      <c r="D304" s="625"/>
      <c r="E304" s="625"/>
      <c r="F304" s="625"/>
      <c r="G304" s="625"/>
      <c r="H304" s="625"/>
      <c r="I304" s="625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625"/>
      <c r="Y304" s="625"/>
      <c r="Z304" s="625"/>
      <c r="AA304" s="63"/>
      <c r="AB304" s="63"/>
      <c r="AC304" s="63"/>
    </row>
    <row r="305" spans="1:68" ht="27" hidden="1" customHeight="1" x14ac:dyDescent="0.25">
      <c r="A305" s="60" t="s">
        <v>518</v>
      </c>
      <c r="B305" s="60" t="s">
        <v>519</v>
      </c>
      <c r="C305" s="34">
        <v>4301040362</v>
      </c>
      <c r="D305" s="626">
        <v>4680115886803</v>
      </c>
      <c r="E305" s="626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330</v>
      </c>
      <c r="L305" s="35" t="s">
        <v>46</v>
      </c>
      <c r="M305" s="36" t="s">
        <v>329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8"/>
      <c r="R305" s="628"/>
      <c r="S305" s="628"/>
      <c r="T305" s="629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520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25" t="s">
        <v>334</v>
      </c>
      <c r="B308" s="625"/>
      <c r="C308" s="625"/>
      <c r="D308" s="625"/>
      <c r="E308" s="625"/>
      <c r="F308" s="625"/>
      <c r="G308" s="625"/>
      <c r="H308" s="625"/>
      <c r="I308" s="625"/>
      <c r="J308" s="625"/>
      <c r="K308" s="625"/>
      <c r="L308" s="625"/>
      <c r="M308" s="625"/>
      <c r="N308" s="625"/>
      <c r="O308" s="625"/>
      <c r="P308" s="625"/>
      <c r="Q308" s="625"/>
      <c r="R308" s="625"/>
      <c r="S308" s="625"/>
      <c r="T308" s="625"/>
      <c r="U308" s="625"/>
      <c r="V308" s="625"/>
      <c r="W308" s="625"/>
      <c r="X308" s="625"/>
      <c r="Y308" s="625"/>
      <c r="Z308" s="625"/>
      <c r="AA308" s="63"/>
      <c r="AB308" s="63"/>
      <c r="AC308" s="63"/>
    </row>
    <row r="309" spans="1:68" ht="27" hidden="1" customHeight="1" x14ac:dyDescent="0.25">
      <c r="A309" s="60" t="s">
        <v>521</v>
      </c>
      <c r="B309" s="60" t="s">
        <v>522</v>
      </c>
      <c r="C309" s="34">
        <v>4301041004</v>
      </c>
      <c r="D309" s="626">
        <v>4680115886704</v>
      </c>
      <c r="E309" s="626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330</v>
      </c>
      <c r="L309" s="35" t="s">
        <v>46</v>
      </c>
      <c r="M309" s="36" t="s">
        <v>329</v>
      </c>
      <c r="N309" s="36"/>
      <c r="O309" s="35">
        <v>90</v>
      </c>
      <c r="P309" s="75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8"/>
      <c r="R309" s="628"/>
      <c r="S309" s="628"/>
      <c r="T309" s="629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523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524</v>
      </c>
      <c r="B310" s="60" t="s">
        <v>525</v>
      </c>
      <c r="C310" s="34">
        <v>4301041008</v>
      </c>
      <c r="D310" s="626">
        <v>4680115886681</v>
      </c>
      <c r="E310" s="626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330</v>
      </c>
      <c r="L310" s="35" t="s">
        <v>46</v>
      </c>
      <c r="M310" s="36" t="s">
        <v>329</v>
      </c>
      <c r="N310" s="36"/>
      <c r="O310" s="35">
        <v>90</v>
      </c>
      <c r="P310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8"/>
      <c r="R310" s="628"/>
      <c r="S310" s="628"/>
      <c r="T310" s="629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523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526</v>
      </c>
      <c r="B311" s="60" t="s">
        <v>527</v>
      </c>
      <c r="C311" s="34">
        <v>4301041007</v>
      </c>
      <c r="D311" s="626">
        <v>4680115886735</v>
      </c>
      <c r="E311" s="626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330</v>
      </c>
      <c r="L311" s="35" t="s">
        <v>46</v>
      </c>
      <c r="M311" s="36" t="s">
        <v>329</v>
      </c>
      <c r="N311" s="36"/>
      <c r="O311" s="35">
        <v>90</v>
      </c>
      <c r="P311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8"/>
      <c r="R311" s="628"/>
      <c r="S311" s="628"/>
      <c r="T311" s="62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523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33"/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4"/>
      <c r="P313" s="630" t="s">
        <v>40</v>
      </c>
      <c r="Q313" s="631"/>
      <c r="R313" s="631"/>
      <c r="S313" s="631"/>
      <c r="T313" s="631"/>
      <c r="U313" s="631"/>
      <c r="V313" s="632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41" t="s">
        <v>528</v>
      </c>
      <c r="B314" s="641"/>
      <c r="C314" s="641"/>
      <c r="D314" s="641"/>
      <c r="E314" s="641"/>
      <c r="F314" s="641"/>
      <c r="G314" s="641"/>
      <c r="H314" s="641"/>
      <c r="I314" s="641"/>
      <c r="J314" s="641"/>
      <c r="K314" s="641"/>
      <c r="L314" s="641"/>
      <c r="M314" s="641"/>
      <c r="N314" s="641"/>
      <c r="O314" s="641"/>
      <c r="P314" s="641"/>
      <c r="Q314" s="641"/>
      <c r="R314" s="641"/>
      <c r="S314" s="641"/>
      <c r="T314" s="641"/>
      <c r="U314" s="641"/>
      <c r="V314" s="641"/>
      <c r="W314" s="641"/>
      <c r="X314" s="641"/>
      <c r="Y314" s="641"/>
      <c r="Z314" s="641"/>
      <c r="AA314" s="62"/>
      <c r="AB314" s="62"/>
      <c r="AC314" s="62"/>
    </row>
    <row r="315" spans="1:68" ht="14.25" hidden="1" customHeight="1" x14ac:dyDescent="0.25">
      <c r="A315" s="625" t="s">
        <v>128</v>
      </c>
      <c r="B315" s="625"/>
      <c r="C315" s="625"/>
      <c r="D315" s="625"/>
      <c r="E315" s="625"/>
      <c r="F315" s="625"/>
      <c r="G315" s="625"/>
      <c r="H315" s="625"/>
      <c r="I315" s="625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625"/>
      <c r="Y315" s="625"/>
      <c r="Z315" s="625"/>
      <c r="AA315" s="63"/>
      <c r="AB315" s="63"/>
      <c r="AC315" s="63"/>
    </row>
    <row r="316" spans="1:68" ht="27" hidden="1" customHeight="1" x14ac:dyDescent="0.25">
      <c r="A316" s="60" t="s">
        <v>529</v>
      </c>
      <c r="B316" s="60" t="s">
        <v>530</v>
      </c>
      <c r="C316" s="34">
        <v>4301011855</v>
      </c>
      <c r="D316" s="626">
        <v>4680115885837</v>
      </c>
      <c r="E316" s="626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133</v>
      </c>
      <c r="L316" s="35" t="s">
        <v>46</v>
      </c>
      <c r="M316" s="36" t="s">
        <v>132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8"/>
      <c r="R316" s="628"/>
      <c r="S316" s="628"/>
      <c r="T316" s="629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531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532</v>
      </c>
      <c r="B317" s="60" t="s">
        <v>533</v>
      </c>
      <c r="C317" s="34">
        <v>4301012234</v>
      </c>
      <c r="D317" s="626">
        <v>4680115887237</v>
      </c>
      <c r="E317" s="626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133</v>
      </c>
      <c r="L317" s="35" t="s">
        <v>46</v>
      </c>
      <c r="M317" s="36" t="s">
        <v>132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8"/>
      <c r="R317" s="628"/>
      <c r="S317" s="628"/>
      <c r="T317" s="629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534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535</v>
      </c>
      <c r="B318" s="60" t="s">
        <v>536</v>
      </c>
      <c r="C318" s="34">
        <v>4301011850</v>
      </c>
      <c r="D318" s="626">
        <v>4680115885806</v>
      </c>
      <c r="E318" s="626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133</v>
      </c>
      <c r="L318" s="35" t="s">
        <v>46</v>
      </c>
      <c r="M318" s="36" t="s">
        <v>132</v>
      </c>
      <c r="N318" s="36"/>
      <c r="O318" s="35">
        <v>55</v>
      </c>
      <c r="P318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8"/>
      <c r="R318" s="628"/>
      <c r="S318" s="628"/>
      <c r="T318" s="62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537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538</v>
      </c>
      <c r="B319" s="60" t="s">
        <v>539</v>
      </c>
      <c r="C319" s="34">
        <v>4301011852</v>
      </c>
      <c r="D319" s="626">
        <v>4680115885844</v>
      </c>
      <c r="E319" s="626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140</v>
      </c>
      <c r="L319" s="35" t="s">
        <v>46</v>
      </c>
      <c r="M319" s="36" t="s">
        <v>132</v>
      </c>
      <c r="N319" s="36"/>
      <c r="O319" s="35">
        <v>55</v>
      </c>
      <c r="P319" s="74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8"/>
      <c r="R319" s="628"/>
      <c r="S319" s="628"/>
      <c r="T319" s="62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540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541</v>
      </c>
      <c r="B320" s="60" t="s">
        <v>542</v>
      </c>
      <c r="C320" s="34">
        <v>4301011851</v>
      </c>
      <c r="D320" s="626">
        <v>4680115885820</v>
      </c>
      <c r="E320" s="626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140</v>
      </c>
      <c r="L320" s="35" t="s">
        <v>46</v>
      </c>
      <c r="M320" s="36" t="s">
        <v>132</v>
      </c>
      <c r="N320" s="36"/>
      <c r="O320" s="35">
        <v>55</v>
      </c>
      <c r="P320" s="7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8"/>
      <c r="R320" s="628"/>
      <c r="S320" s="628"/>
      <c r="T320" s="62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543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41" t="s">
        <v>544</v>
      </c>
      <c r="B323" s="641"/>
      <c r="C323" s="641"/>
      <c r="D323" s="641"/>
      <c r="E323" s="641"/>
      <c r="F323" s="641"/>
      <c r="G323" s="641"/>
      <c r="H323" s="641"/>
      <c r="I323" s="641"/>
      <c r="J323" s="641"/>
      <c r="K323" s="641"/>
      <c r="L323" s="641"/>
      <c r="M323" s="641"/>
      <c r="N323" s="641"/>
      <c r="O323" s="641"/>
      <c r="P323" s="641"/>
      <c r="Q323" s="641"/>
      <c r="R323" s="641"/>
      <c r="S323" s="641"/>
      <c r="T323" s="641"/>
      <c r="U323" s="641"/>
      <c r="V323" s="641"/>
      <c r="W323" s="641"/>
      <c r="X323" s="641"/>
      <c r="Y323" s="641"/>
      <c r="Z323" s="641"/>
      <c r="AA323" s="62"/>
      <c r="AB323" s="62"/>
      <c r="AC323" s="62"/>
    </row>
    <row r="324" spans="1:68" ht="14.25" hidden="1" customHeight="1" x14ac:dyDescent="0.25">
      <c r="A324" s="625" t="s">
        <v>86</v>
      </c>
      <c r="B324" s="625"/>
      <c r="C324" s="625"/>
      <c r="D324" s="625"/>
      <c r="E324" s="625"/>
      <c r="F324" s="625"/>
      <c r="G324" s="625"/>
      <c r="H324" s="625"/>
      <c r="I324" s="625"/>
      <c r="J324" s="625"/>
      <c r="K324" s="625"/>
      <c r="L324" s="625"/>
      <c r="M324" s="625"/>
      <c r="N324" s="625"/>
      <c r="O324" s="625"/>
      <c r="P324" s="625"/>
      <c r="Q324" s="625"/>
      <c r="R324" s="625"/>
      <c r="S324" s="625"/>
      <c r="T324" s="625"/>
      <c r="U324" s="625"/>
      <c r="V324" s="625"/>
      <c r="W324" s="625"/>
      <c r="X324" s="625"/>
      <c r="Y324" s="625"/>
      <c r="Z324" s="625"/>
      <c r="AA324" s="63"/>
      <c r="AB324" s="63"/>
      <c r="AC324" s="63"/>
    </row>
    <row r="325" spans="1:68" ht="27" hidden="1" customHeight="1" x14ac:dyDescent="0.25">
      <c r="A325" s="60" t="s">
        <v>545</v>
      </c>
      <c r="B325" s="60" t="s">
        <v>546</v>
      </c>
      <c r="C325" s="34">
        <v>4301051893</v>
      </c>
      <c r="D325" s="626">
        <v>4680115886186</v>
      </c>
      <c r="E325" s="626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8"/>
      <c r="R325" s="628"/>
      <c r="S325" s="628"/>
      <c r="T325" s="62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547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548</v>
      </c>
      <c r="B326" s="60" t="s">
        <v>549</v>
      </c>
      <c r="C326" s="34">
        <v>4301051795</v>
      </c>
      <c r="D326" s="626">
        <v>4680115881228</v>
      </c>
      <c r="E326" s="626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8"/>
      <c r="R326" s="628"/>
      <c r="S326" s="628"/>
      <c r="T326" s="629"/>
      <c r="U326" s="37" t="s">
        <v>46</v>
      </c>
      <c r="V326" s="37" t="s">
        <v>46</v>
      </c>
      <c r="W326" s="38" t="s">
        <v>0</v>
      </c>
      <c r="X326" s="56">
        <v>40</v>
      </c>
      <c r="Y326" s="53">
        <f>IFERROR(IF(X326="",0,CEILING((X326/$H326),1)*$H326),"")</f>
        <v>40.799999999999997</v>
      </c>
      <c r="Z326" s="39">
        <f>IFERROR(IF(Y326=0,"",ROUNDUP(Y326/H326,0)*0.00651),"")</f>
        <v>0.11067</v>
      </c>
      <c r="AA326" s="65" t="s">
        <v>46</v>
      </c>
      <c r="AB326" s="66" t="s">
        <v>46</v>
      </c>
      <c r="AC326" s="409" t="s">
        <v>550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44.20000000000001</v>
      </c>
      <c r="BN326" s="75">
        <f>IFERROR(Y326*I326/H326,"0")</f>
        <v>45.084000000000003</v>
      </c>
      <c r="BO326" s="75">
        <f>IFERROR(1/J326*(X326/H326),"0")</f>
        <v>9.1575091575091583E-2</v>
      </c>
      <c r="BP326" s="75">
        <f>IFERROR(1/J326*(Y326/H326),"0")</f>
        <v>9.3406593406593408E-2</v>
      </c>
    </row>
    <row r="327" spans="1:68" ht="27" customHeight="1" x14ac:dyDescent="0.25">
      <c r="A327" s="60" t="s">
        <v>551</v>
      </c>
      <c r="B327" s="60" t="s">
        <v>552</v>
      </c>
      <c r="C327" s="34">
        <v>4301051388</v>
      </c>
      <c r="D327" s="626">
        <v>4680115881211</v>
      </c>
      <c r="E327" s="62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8"/>
      <c r="R327" s="628"/>
      <c r="S327" s="628"/>
      <c r="T327" s="629"/>
      <c r="U327" s="37" t="s">
        <v>46</v>
      </c>
      <c r="V327" s="37" t="s">
        <v>46</v>
      </c>
      <c r="W327" s="38" t="s">
        <v>0</v>
      </c>
      <c r="X327" s="56">
        <v>160</v>
      </c>
      <c r="Y327" s="53">
        <f>IFERROR(IF(X327="",0,CEILING((X327/$H327),1)*$H327),"")</f>
        <v>160.79999999999998</v>
      </c>
      <c r="Z327" s="39">
        <f>IFERROR(IF(Y327=0,"",ROUNDUP(Y327/H327,0)*0.00651),"")</f>
        <v>0.43617</v>
      </c>
      <c r="AA327" s="65" t="s">
        <v>46</v>
      </c>
      <c r="AB327" s="66" t="s">
        <v>46</v>
      </c>
      <c r="AC327" s="411" t="s">
        <v>547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172</v>
      </c>
      <c r="BN327" s="75">
        <f>IFERROR(Y327*I327/H327,"0")</f>
        <v>172.85999999999999</v>
      </c>
      <c r="BO327" s="75">
        <f>IFERROR(1/J327*(X327/H327),"0")</f>
        <v>0.36630036630036633</v>
      </c>
      <c r="BP327" s="75">
        <f>IFERROR(1/J327*(Y327/H327),"0")</f>
        <v>0.36813186813186816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0" t="s">
        <v>39</v>
      </c>
      <c r="X328" s="41">
        <f>IFERROR(X325/H325,"0")+IFERROR(X326/H326,"0")+IFERROR(X327/H327,"0")</f>
        <v>83.333333333333343</v>
      </c>
      <c r="Y328" s="41">
        <f>IFERROR(Y325/H325,"0")+IFERROR(Y326/H326,"0")+IFERROR(Y327/H327,"0")</f>
        <v>84</v>
      </c>
      <c r="Z328" s="41">
        <f>IFERROR(IF(Z325="",0,Z325),"0")+IFERROR(IF(Z326="",0,Z326),"0")+IFERROR(IF(Z327="",0,Z327),"0")</f>
        <v>0.54683999999999999</v>
      </c>
      <c r="AA328" s="64"/>
      <c r="AB328" s="64"/>
      <c r="AC328" s="64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0" t="s">
        <v>0</v>
      </c>
      <c r="X329" s="41">
        <f>IFERROR(SUM(X325:X327),"0")</f>
        <v>200</v>
      </c>
      <c r="Y329" s="41">
        <f>IFERROR(SUM(Y325:Y327),"0")</f>
        <v>201.59999999999997</v>
      </c>
      <c r="Z329" s="40"/>
      <c r="AA329" s="64"/>
      <c r="AB329" s="64"/>
      <c r="AC329" s="64"/>
    </row>
    <row r="330" spans="1:68" ht="16.5" hidden="1" customHeight="1" x14ac:dyDescent="0.25">
      <c r="A330" s="641" t="s">
        <v>553</v>
      </c>
      <c r="B330" s="641"/>
      <c r="C330" s="641"/>
      <c r="D330" s="641"/>
      <c r="E330" s="641"/>
      <c r="F330" s="641"/>
      <c r="G330" s="641"/>
      <c r="H330" s="641"/>
      <c r="I330" s="641"/>
      <c r="J330" s="641"/>
      <c r="K330" s="641"/>
      <c r="L330" s="641"/>
      <c r="M330" s="641"/>
      <c r="N330" s="641"/>
      <c r="O330" s="641"/>
      <c r="P330" s="641"/>
      <c r="Q330" s="641"/>
      <c r="R330" s="641"/>
      <c r="S330" s="641"/>
      <c r="T330" s="641"/>
      <c r="U330" s="641"/>
      <c r="V330" s="641"/>
      <c r="W330" s="641"/>
      <c r="X330" s="641"/>
      <c r="Y330" s="641"/>
      <c r="Z330" s="641"/>
      <c r="AA330" s="62"/>
      <c r="AB330" s="62"/>
      <c r="AC330" s="62"/>
    </row>
    <row r="331" spans="1:68" ht="14.25" hidden="1" customHeight="1" x14ac:dyDescent="0.25">
      <c r="A331" s="625" t="s">
        <v>77</v>
      </c>
      <c r="B331" s="625"/>
      <c r="C331" s="625"/>
      <c r="D331" s="625"/>
      <c r="E331" s="625"/>
      <c r="F331" s="625"/>
      <c r="G331" s="625"/>
      <c r="H331" s="625"/>
      <c r="I331" s="625"/>
      <c r="J331" s="625"/>
      <c r="K331" s="625"/>
      <c r="L331" s="625"/>
      <c r="M331" s="625"/>
      <c r="N331" s="625"/>
      <c r="O331" s="625"/>
      <c r="P331" s="625"/>
      <c r="Q331" s="625"/>
      <c r="R331" s="625"/>
      <c r="S331" s="625"/>
      <c r="T331" s="625"/>
      <c r="U331" s="625"/>
      <c r="V331" s="625"/>
      <c r="W331" s="625"/>
      <c r="X331" s="625"/>
      <c r="Y331" s="625"/>
      <c r="Z331" s="625"/>
      <c r="AA331" s="63"/>
      <c r="AB331" s="63"/>
      <c r="AC331" s="63"/>
    </row>
    <row r="332" spans="1:68" ht="27" hidden="1" customHeight="1" x14ac:dyDescent="0.25">
      <c r="A332" s="60" t="s">
        <v>554</v>
      </c>
      <c r="B332" s="60" t="s">
        <v>555</v>
      </c>
      <c r="C332" s="34">
        <v>4301031445</v>
      </c>
      <c r="D332" s="626">
        <v>4680115888319</v>
      </c>
      <c r="E332" s="626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8"/>
      <c r="R332" s="628"/>
      <c r="S332" s="628"/>
      <c r="T332" s="62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388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556</v>
      </c>
      <c r="B333" s="60" t="s">
        <v>557</v>
      </c>
      <c r="C333" s="34">
        <v>4301031502</v>
      </c>
      <c r="D333" s="626">
        <v>4680115884700</v>
      </c>
      <c r="E333" s="626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8"/>
      <c r="R333" s="628"/>
      <c r="S333" s="628"/>
      <c r="T333" s="62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558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559</v>
      </c>
      <c r="B334" s="60" t="s">
        <v>560</v>
      </c>
      <c r="C334" s="34">
        <v>4301031307</v>
      </c>
      <c r="D334" s="626">
        <v>4680115880344</v>
      </c>
      <c r="E334" s="626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8"/>
      <c r="R334" s="628"/>
      <c r="S334" s="628"/>
      <c r="T334" s="62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561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562</v>
      </c>
      <c r="B335" s="60" t="s">
        <v>563</v>
      </c>
      <c r="C335" s="34">
        <v>4301031501</v>
      </c>
      <c r="D335" s="626">
        <v>4680115886919</v>
      </c>
      <c r="E335" s="626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8"/>
      <c r="R335" s="628"/>
      <c r="S335" s="628"/>
      <c r="T335" s="62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564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565</v>
      </c>
      <c r="B336" s="60" t="s">
        <v>566</v>
      </c>
      <c r="C336" s="34">
        <v>4301031246</v>
      </c>
      <c r="D336" s="626">
        <v>4680115883970</v>
      </c>
      <c r="E336" s="626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73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8"/>
      <c r="R336" s="628"/>
      <c r="S336" s="628"/>
      <c r="T336" s="62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567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33"/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4"/>
      <c r="P338" s="630" t="s">
        <v>40</v>
      </c>
      <c r="Q338" s="631"/>
      <c r="R338" s="631"/>
      <c r="S338" s="631"/>
      <c r="T338" s="631"/>
      <c r="U338" s="631"/>
      <c r="V338" s="632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25" t="s">
        <v>86</v>
      </c>
      <c r="B339" s="625"/>
      <c r="C339" s="625"/>
      <c r="D339" s="625"/>
      <c r="E339" s="625"/>
      <c r="F339" s="625"/>
      <c r="G339" s="625"/>
      <c r="H339" s="625"/>
      <c r="I339" s="625"/>
      <c r="J339" s="625"/>
      <c r="K339" s="625"/>
      <c r="L339" s="625"/>
      <c r="M339" s="625"/>
      <c r="N339" s="625"/>
      <c r="O339" s="625"/>
      <c r="P339" s="625"/>
      <c r="Q339" s="625"/>
      <c r="R339" s="625"/>
      <c r="S339" s="625"/>
      <c r="T339" s="625"/>
      <c r="U339" s="625"/>
      <c r="V339" s="625"/>
      <c r="W339" s="625"/>
      <c r="X339" s="625"/>
      <c r="Y339" s="625"/>
      <c r="Z339" s="625"/>
      <c r="AA339" s="63"/>
      <c r="AB339" s="63"/>
      <c r="AC339" s="63"/>
    </row>
    <row r="340" spans="1:68" ht="27" hidden="1" customHeight="1" x14ac:dyDescent="0.25">
      <c r="A340" s="60" t="s">
        <v>568</v>
      </c>
      <c r="B340" s="60" t="s">
        <v>569</v>
      </c>
      <c r="C340" s="34">
        <v>4301051782</v>
      </c>
      <c r="D340" s="626">
        <v>4680115884618</v>
      </c>
      <c r="E340" s="626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140</v>
      </c>
      <c r="L340" s="35" t="s">
        <v>46</v>
      </c>
      <c r="M340" s="36" t="s">
        <v>90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8"/>
      <c r="R340" s="628"/>
      <c r="S340" s="628"/>
      <c r="T340" s="62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570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4301052057</v>
      </c>
      <c r="D341" s="626">
        <v>4680115887114</v>
      </c>
      <c r="E341" s="626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140</v>
      </c>
      <c r="L341" s="35" t="s">
        <v>46</v>
      </c>
      <c r="M341" s="36" t="s">
        <v>90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8"/>
      <c r="R341" s="628"/>
      <c r="S341" s="628"/>
      <c r="T341" s="629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573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41" t="s">
        <v>574</v>
      </c>
      <c r="B344" s="641"/>
      <c r="C344" s="641"/>
      <c r="D344" s="641"/>
      <c r="E344" s="641"/>
      <c r="F344" s="641"/>
      <c r="G344" s="641"/>
      <c r="H344" s="641"/>
      <c r="I344" s="641"/>
      <c r="J344" s="641"/>
      <c r="K344" s="641"/>
      <c r="L344" s="641"/>
      <c r="M344" s="641"/>
      <c r="N344" s="641"/>
      <c r="O344" s="641"/>
      <c r="P344" s="641"/>
      <c r="Q344" s="641"/>
      <c r="R344" s="641"/>
      <c r="S344" s="641"/>
      <c r="T344" s="641"/>
      <c r="U344" s="641"/>
      <c r="V344" s="641"/>
      <c r="W344" s="641"/>
      <c r="X344" s="641"/>
      <c r="Y344" s="641"/>
      <c r="Z344" s="641"/>
      <c r="AA344" s="62"/>
      <c r="AB344" s="62"/>
      <c r="AC344" s="62"/>
    </row>
    <row r="345" spans="1:68" ht="14.25" hidden="1" customHeight="1" x14ac:dyDescent="0.25">
      <c r="A345" s="625" t="s">
        <v>128</v>
      </c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5"/>
      <c r="P345" s="625"/>
      <c r="Q345" s="625"/>
      <c r="R345" s="625"/>
      <c r="S345" s="625"/>
      <c r="T345" s="625"/>
      <c r="U345" s="625"/>
      <c r="V345" s="625"/>
      <c r="W345" s="625"/>
      <c r="X345" s="625"/>
      <c r="Y345" s="625"/>
      <c r="Z345" s="625"/>
      <c r="AA345" s="63"/>
      <c r="AB345" s="63"/>
      <c r="AC345" s="63"/>
    </row>
    <row r="346" spans="1:68" ht="27" hidden="1" customHeight="1" x14ac:dyDescent="0.25">
      <c r="A346" s="60" t="s">
        <v>575</v>
      </c>
      <c r="B346" s="60" t="s">
        <v>576</v>
      </c>
      <c r="C346" s="34">
        <v>4301012324</v>
      </c>
      <c r="D346" s="626">
        <v>4680115887947</v>
      </c>
      <c r="E346" s="626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133</v>
      </c>
      <c r="L346" s="35" t="s">
        <v>46</v>
      </c>
      <c r="M346" s="36" t="s">
        <v>90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8"/>
      <c r="R346" s="628"/>
      <c r="S346" s="628"/>
      <c r="T346" s="62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4301012325</v>
      </c>
      <c r="D347" s="626">
        <v>4680115887978</v>
      </c>
      <c r="E347" s="626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133</v>
      </c>
      <c r="L347" s="35" t="s">
        <v>46</v>
      </c>
      <c r="M347" s="36" t="s">
        <v>90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8"/>
      <c r="R347" s="628"/>
      <c r="S347" s="628"/>
      <c r="T347" s="629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579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4301012327</v>
      </c>
      <c r="D348" s="626">
        <v>4680115887992</v>
      </c>
      <c r="E348" s="626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133</v>
      </c>
      <c r="L348" s="35" t="s">
        <v>46</v>
      </c>
      <c r="M348" s="36" t="s">
        <v>90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8"/>
      <c r="R348" s="628"/>
      <c r="S348" s="628"/>
      <c r="T348" s="629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582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41" t="s">
        <v>583</v>
      </c>
      <c r="B351" s="641"/>
      <c r="C351" s="641"/>
      <c r="D351" s="641"/>
      <c r="E351" s="641"/>
      <c r="F351" s="641"/>
      <c r="G351" s="641"/>
      <c r="H351" s="641"/>
      <c r="I351" s="641"/>
      <c r="J351" s="641"/>
      <c r="K351" s="641"/>
      <c r="L351" s="641"/>
      <c r="M351" s="641"/>
      <c r="N351" s="641"/>
      <c r="O351" s="641"/>
      <c r="P351" s="641"/>
      <c r="Q351" s="641"/>
      <c r="R351" s="641"/>
      <c r="S351" s="641"/>
      <c r="T351" s="641"/>
      <c r="U351" s="641"/>
      <c r="V351" s="641"/>
      <c r="W351" s="641"/>
      <c r="X351" s="641"/>
      <c r="Y351" s="641"/>
      <c r="Z351" s="641"/>
      <c r="AA351" s="62"/>
      <c r="AB351" s="62"/>
      <c r="AC351" s="62"/>
    </row>
    <row r="352" spans="1:68" ht="14.25" hidden="1" customHeight="1" x14ac:dyDescent="0.25">
      <c r="A352" s="625" t="s">
        <v>128</v>
      </c>
      <c r="B352" s="625"/>
      <c r="C352" s="625"/>
      <c r="D352" s="625"/>
      <c r="E352" s="625"/>
      <c r="F352" s="625"/>
      <c r="G352" s="625"/>
      <c r="H352" s="625"/>
      <c r="I352" s="625"/>
      <c r="J352" s="625"/>
      <c r="K352" s="625"/>
      <c r="L352" s="625"/>
      <c r="M352" s="625"/>
      <c r="N352" s="625"/>
      <c r="O352" s="625"/>
      <c r="P352" s="625"/>
      <c r="Q352" s="625"/>
      <c r="R352" s="625"/>
      <c r="S352" s="625"/>
      <c r="T352" s="625"/>
      <c r="U352" s="625"/>
      <c r="V352" s="625"/>
      <c r="W352" s="625"/>
      <c r="X352" s="625"/>
      <c r="Y352" s="625"/>
      <c r="Z352" s="625"/>
      <c r="AA352" s="63"/>
      <c r="AB352" s="63"/>
      <c r="AC352" s="63"/>
    </row>
    <row r="353" spans="1:68" ht="27" hidden="1" customHeight="1" x14ac:dyDescent="0.25">
      <c r="A353" s="60" t="s">
        <v>584</v>
      </c>
      <c r="B353" s="60" t="s">
        <v>585</v>
      </c>
      <c r="C353" s="34">
        <v>4301012126</v>
      </c>
      <c r="D353" s="626">
        <v>4607091386004</v>
      </c>
      <c r="E353" s="626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133</v>
      </c>
      <c r="L353" s="35" t="s">
        <v>46</v>
      </c>
      <c r="M353" s="36" t="s">
        <v>132</v>
      </c>
      <c r="N353" s="36"/>
      <c r="O353" s="35">
        <v>55</v>
      </c>
      <c r="P353" s="7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8"/>
      <c r="R353" s="628"/>
      <c r="S353" s="628"/>
      <c r="T353" s="629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586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587</v>
      </c>
      <c r="B354" s="60" t="s">
        <v>588</v>
      </c>
      <c r="C354" s="34">
        <v>4301012235</v>
      </c>
      <c r="D354" s="626">
        <v>4680115887190</v>
      </c>
      <c r="E354" s="626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133</v>
      </c>
      <c r="L354" s="35" t="s">
        <v>46</v>
      </c>
      <c r="M354" s="36" t="s">
        <v>132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8"/>
      <c r="R354" s="628"/>
      <c r="S354" s="628"/>
      <c r="T354" s="629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589</v>
      </c>
      <c r="AG354" s="75"/>
      <c r="AJ354" s="79" t="s">
        <v>46</v>
      </c>
      <c r="AK354" s="79">
        <v>0</v>
      </c>
      <c r="BB354" s="436" t="s">
        <v>67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590</v>
      </c>
      <c r="B355" s="60" t="s">
        <v>591</v>
      </c>
      <c r="C355" s="34">
        <v>4301012233</v>
      </c>
      <c r="D355" s="626">
        <v>4680115887138</v>
      </c>
      <c r="E355" s="626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133</v>
      </c>
      <c r="L355" s="35" t="s">
        <v>46</v>
      </c>
      <c r="M355" s="36" t="s">
        <v>132</v>
      </c>
      <c r="N355" s="36"/>
      <c r="O355" s="35">
        <v>55</v>
      </c>
      <c r="P355" s="72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8"/>
      <c r="R355" s="628"/>
      <c r="S355" s="628"/>
      <c r="T355" s="629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592</v>
      </c>
      <c r="AG355" s="75"/>
      <c r="AJ355" s="79" t="s">
        <v>46</v>
      </c>
      <c r="AK355" s="79">
        <v>0</v>
      </c>
      <c r="BB355" s="438" t="s">
        <v>67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593</v>
      </c>
      <c r="B356" s="60" t="s">
        <v>594</v>
      </c>
      <c r="C356" s="34">
        <v>4301012016</v>
      </c>
      <c r="D356" s="626">
        <v>4680115885554</v>
      </c>
      <c r="E356" s="626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55</v>
      </c>
      <c r="P356" s="73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8"/>
      <c r="R356" s="628"/>
      <c r="S356" s="628"/>
      <c r="T356" s="629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595</v>
      </c>
      <c r="AG356" s="75"/>
      <c r="AJ356" s="79" t="s">
        <v>46</v>
      </c>
      <c r="AK356" s="79">
        <v>0</v>
      </c>
      <c r="BB356" s="440" t="s">
        <v>67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4301012236</v>
      </c>
      <c r="D357" s="626">
        <v>4680115887220</v>
      </c>
      <c r="E357" s="626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140</v>
      </c>
      <c r="L357" s="35" t="s">
        <v>46</v>
      </c>
      <c r="M357" s="36" t="s">
        <v>132</v>
      </c>
      <c r="N357" s="36"/>
      <c r="O357" s="35">
        <v>55</v>
      </c>
      <c r="P357" s="73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8"/>
      <c r="R357" s="628"/>
      <c r="S357" s="628"/>
      <c r="T357" s="629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589</v>
      </c>
      <c r="AG357" s="75"/>
      <c r="AJ357" s="79" t="s">
        <v>46</v>
      </c>
      <c r="AK357" s="79">
        <v>0</v>
      </c>
      <c r="BB357" s="442" t="s">
        <v>67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598</v>
      </c>
      <c r="B358" s="60" t="s">
        <v>599</v>
      </c>
      <c r="C358" s="34">
        <v>4301011859</v>
      </c>
      <c r="D358" s="626">
        <v>4680115885608</v>
      </c>
      <c r="E358" s="626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140</v>
      </c>
      <c r="L358" s="35" t="s">
        <v>46</v>
      </c>
      <c r="M358" s="36" t="s">
        <v>132</v>
      </c>
      <c r="N358" s="36"/>
      <c r="O358" s="35">
        <v>55</v>
      </c>
      <c r="P358" s="7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8"/>
      <c r="R358" s="628"/>
      <c r="S358" s="628"/>
      <c r="T358" s="629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600</v>
      </c>
      <c r="AG358" s="75"/>
      <c r="AJ358" s="79" t="s">
        <v>46</v>
      </c>
      <c r="AK358" s="79">
        <v>0</v>
      </c>
      <c r="BB358" s="444" t="s">
        <v>67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633"/>
      <c r="B359" s="633"/>
      <c r="C359" s="633"/>
      <c r="D359" s="633"/>
      <c r="E359" s="633"/>
      <c r="F359" s="633"/>
      <c r="G359" s="633"/>
      <c r="H359" s="633"/>
      <c r="I359" s="633"/>
      <c r="J359" s="633"/>
      <c r="K359" s="633"/>
      <c r="L359" s="633"/>
      <c r="M359" s="633"/>
      <c r="N359" s="633"/>
      <c r="O359" s="634"/>
      <c r="P359" s="630" t="s">
        <v>40</v>
      </c>
      <c r="Q359" s="631"/>
      <c r="R359" s="631"/>
      <c r="S359" s="631"/>
      <c r="T359" s="631"/>
      <c r="U359" s="631"/>
      <c r="V359" s="632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25" t="s">
        <v>77</v>
      </c>
      <c r="B361" s="625"/>
      <c r="C361" s="625"/>
      <c r="D361" s="625"/>
      <c r="E361" s="625"/>
      <c r="F361" s="625"/>
      <c r="G361" s="625"/>
      <c r="H361" s="625"/>
      <c r="I361" s="625"/>
      <c r="J361" s="625"/>
      <c r="K361" s="625"/>
      <c r="L361" s="625"/>
      <c r="M361" s="625"/>
      <c r="N361" s="625"/>
      <c r="O361" s="625"/>
      <c r="P361" s="625"/>
      <c r="Q361" s="625"/>
      <c r="R361" s="625"/>
      <c r="S361" s="625"/>
      <c r="T361" s="625"/>
      <c r="U361" s="625"/>
      <c r="V361" s="625"/>
      <c r="W361" s="625"/>
      <c r="X361" s="625"/>
      <c r="Y361" s="625"/>
      <c r="Z361" s="625"/>
      <c r="AA361" s="63"/>
      <c r="AB361" s="63"/>
      <c r="AC361" s="63"/>
    </row>
    <row r="362" spans="1:68" ht="27" hidden="1" customHeight="1" x14ac:dyDescent="0.25">
      <c r="A362" s="60" t="s">
        <v>601</v>
      </c>
      <c r="B362" s="60" t="s">
        <v>602</v>
      </c>
      <c r="C362" s="34">
        <v>4301030878</v>
      </c>
      <c r="D362" s="626">
        <v>4607091387193</v>
      </c>
      <c r="E362" s="626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140</v>
      </c>
      <c r="L362" s="35" t="s">
        <v>46</v>
      </c>
      <c r="M362" s="36" t="s">
        <v>81</v>
      </c>
      <c r="N362" s="36"/>
      <c r="O362" s="35">
        <v>35</v>
      </c>
      <c r="P362" s="7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8"/>
      <c r="R362" s="628"/>
      <c r="S362" s="628"/>
      <c r="T362" s="629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603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604</v>
      </c>
      <c r="B363" s="60" t="s">
        <v>605</v>
      </c>
      <c r="C363" s="34">
        <v>4301031153</v>
      </c>
      <c r="D363" s="626">
        <v>4607091387230</v>
      </c>
      <c r="E363" s="626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140</v>
      </c>
      <c r="L363" s="35" t="s">
        <v>46</v>
      </c>
      <c r="M363" s="36" t="s">
        <v>81</v>
      </c>
      <c r="N363" s="36"/>
      <c r="O363" s="35">
        <v>40</v>
      </c>
      <c r="P363" s="7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8"/>
      <c r="R363" s="628"/>
      <c r="S363" s="628"/>
      <c r="T363" s="62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4301031154</v>
      </c>
      <c r="D364" s="626">
        <v>4607091387292</v>
      </c>
      <c r="E364" s="626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140</v>
      </c>
      <c r="L364" s="35" t="s">
        <v>46</v>
      </c>
      <c r="M364" s="36" t="s">
        <v>81</v>
      </c>
      <c r="N364" s="36"/>
      <c r="O364" s="35">
        <v>45</v>
      </c>
      <c r="P364" s="7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8"/>
      <c r="R364" s="628"/>
      <c r="S364" s="628"/>
      <c r="T364" s="62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610</v>
      </c>
      <c r="B365" s="60" t="s">
        <v>611</v>
      </c>
      <c r="C365" s="34">
        <v>4301031152</v>
      </c>
      <c r="D365" s="626">
        <v>4607091387285</v>
      </c>
      <c r="E365" s="626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8"/>
      <c r="R365" s="628"/>
      <c r="S365" s="628"/>
      <c r="T365" s="62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606</v>
      </c>
      <c r="AG365" s="75"/>
      <c r="AJ365" s="79" t="s">
        <v>46</v>
      </c>
      <c r="AK365" s="79">
        <v>0</v>
      </c>
      <c r="BB365" s="452" t="s">
        <v>67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customHeight="1" x14ac:dyDescent="0.25">
      <c r="A366" s="60" t="s">
        <v>612</v>
      </c>
      <c r="B366" s="60" t="s">
        <v>613</v>
      </c>
      <c r="C366" s="34">
        <v>4301031305</v>
      </c>
      <c r="D366" s="626">
        <v>4607091389845</v>
      </c>
      <c r="E366" s="626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8"/>
      <c r="R366" s="628"/>
      <c r="S366" s="628"/>
      <c r="T366" s="629"/>
      <c r="U366" s="37" t="s">
        <v>46</v>
      </c>
      <c r="V366" s="37" t="s">
        <v>46</v>
      </c>
      <c r="W366" s="38" t="s">
        <v>0</v>
      </c>
      <c r="X366" s="56">
        <v>105</v>
      </c>
      <c r="Y366" s="53">
        <f t="shared" si="47"/>
        <v>105</v>
      </c>
      <c r="Z366" s="39">
        <f>IFERROR(IF(Y366=0,"",ROUNDUP(Y366/H366,0)*0.00502),"")</f>
        <v>0.251</v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67</v>
      </c>
      <c r="BM366" s="75">
        <f t="shared" si="48"/>
        <v>110.00000000000001</v>
      </c>
      <c r="BN366" s="75">
        <f t="shared" si="49"/>
        <v>110.00000000000001</v>
      </c>
      <c r="BO366" s="75">
        <f t="shared" si="50"/>
        <v>0.21367521367521369</v>
      </c>
      <c r="BP366" s="75">
        <f t="shared" si="51"/>
        <v>0.21367521367521369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4301031460</v>
      </c>
      <c r="D367" s="626">
        <v>4680115887442</v>
      </c>
      <c r="E367" s="626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140</v>
      </c>
      <c r="L367" s="35" t="s">
        <v>46</v>
      </c>
      <c r="M367" s="36" t="s">
        <v>81</v>
      </c>
      <c r="N367" s="36"/>
      <c r="O367" s="35">
        <v>45</v>
      </c>
      <c r="P367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8"/>
      <c r="R367" s="628"/>
      <c r="S367" s="628"/>
      <c r="T367" s="62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customHeight="1" x14ac:dyDescent="0.25">
      <c r="A368" s="60" t="s">
        <v>617</v>
      </c>
      <c r="B368" s="60" t="s">
        <v>618</v>
      </c>
      <c r="C368" s="34">
        <v>4301031066</v>
      </c>
      <c r="D368" s="626">
        <v>4607091383836</v>
      </c>
      <c r="E368" s="626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8"/>
      <c r="R368" s="628"/>
      <c r="S368" s="628"/>
      <c r="T368" s="629"/>
      <c r="U368" s="37" t="s">
        <v>46</v>
      </c>
      <c r="V368" s="37" t="s">
        <v>46</v>
      </c>
      <c r="W368" s="38" t="s">
        <v>0</v>
      </c>
      <c r="X368" s="56">
        <v>36</v>
      </c>
      <c r="Y368" s="53">
        <f t="shared" si="47"/>
        <v>36</v>
      </c>
      <c r="Z368" s="39">
        <f>IFERROR(IF(Y368=0,"",ROUNDUP(Y368/H368,0)*0.00651),"")</f>
        <v>0.13020000000000001</v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67</v>
      </c>
      <c r="BM368" s="75">
        <f t="shared" si="48"/>
        <v>40.559999999999995</v>
      </c>
      <c r="BN368" s="75">
        <f t="shared" si="49"/>
        <v>40.559999999999995</v>
      </c>
      <c r="BO368" s="75">
        <f t="shared" si="50"/>
        <v>0.1098901098901099</v>
      </c>
      <c r="BP368" s="75">
        <f t="shared" si="51"/>
        <v>0.1098901098901099</v>
      </c>
    </row>
    <row r="369" spans="1:68" x14ac:dyDescent="0.2">
      <c r="A369" s="633"/>
      <c r="B369" s="633"/>
      <c r="C369" s="633"/>
      <c r="D369" s="633"/>
      <c r="E369" s="633"/>
      <c r="F369" s="633"/>
      <c r="G369" s="633"/>
      <c r="H369" s="633"/>
      <c r="I369" s="633"/>
      <c r="J369" s="633"/>
      <c r="K369" s="633"/>
      <c r="L369" s="633"/>
      <c r="M369" s="633"/>
      <c r="N369" s="633"/>
      <c r="O369" s="634"/>
      <c r="P369" s="630" t="s">
        <v>40</v>
      </c>
      <c r="Q369" s="631"/>
      <c r="R369" s="631"/>
      <c r="S369" s="631"/>
      <c r="T369" s="631"/>
      <c r="U369" s="631"/>
      <c r="V369" s="632"/>
      <c r="W369" s="40" t="s">
        <v>39</v>
      </c>
      <c r="X369" s="41">
        <f>IFERROR(X362/H362,"0")+IFERROR(X363/H363,"0")+IFERROR(X364/H364,"0")+IFERROR(X365/H365,"0")+IFERROR(X366/H366,"0")+IFERROR(X367/H367,"0")+IFERROR(X368/H368,"0")</f>
        <v>70</v>
      </c>
      <c r="Y369" s="41">
        <f>IFERROR(Y362/H362,"0")+IFERROR(Y363/H363,"0")+IFERROR(Y364/H364,"0")+IFERROR(Y365/H365,"0")+IFERROR(Y366/H366,"0")+IFERROR(Y367/H367,"0")+IFERROR(Y368/H368,"0")</f>
        <v>70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0.38119999999999998</v>
      </c>
      <c r="AA369" s="64"/>
      <c r="AB369" s="64"/>
      <c r="AC369" s="64"/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0" t="s">
        <v>0</v>
      </c>
      <c r="X370" s="41">
        <f>IFERROR(SUM(X362:X368),"0")</f>
        <v>141</v>
      </c>
      <c r="Y370" s="41">
        <f>IFERROR(SUM(Y362:Y368),"0")</f>
        <v>141</v>
      </c>
      <c r="Z370" s="40"/>
      <c r="AA370" s="64"/>
      <c r="AB370" s="64"/>
      <c r="AC370" s="64"/>
    </row>
    <row r="371" spans="1:68" ht="14.25" hidden="1" customHeight="1" x14ac:dyDescent="0.25">
      <c r="A371" s="625" t="s">
        <v>86</v>
      </c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625"/>
      <c r="Y371" s="625"/>
      <c r="Z371" s="625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4301051100</v>
      </c>
      <c r="D372" s="626">
        <v>4607091387766</v>
      </c>
      <c r="E372" s="626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40</v>
      </c>
      <c r="P372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8"/>
      <c r="R372" s="628"/>
      <c r="S372" s="628"/>
      <c r="T372" s="62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4301051818</v>
      </c>
      <c r="D373" s="626">
        <v>4607091387957</v>
      </c>
      <c r="E373" s="626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40</v>
      </c>
      <c r="P373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8"/>
      <c r="R373" s="628"/>
      <c r="S373" s="628"/>
      <c r="T373" s="62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4301051819</v>
      </c>
      <c r="D374" s="626">
        <v>4607091387964</v>
      </c>
      <c r="E374" s="626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133</v>
      </c>
      <c r="L374" s="35" t="s">
        <v>46</v>
      </c>
      <c r="M374" s="36" t="s">
        <v>90</v>
      </c>
      <c r="N374" s="36"/>
      <c r="O374" s="35">
        <v>40</v>
      </c>
      <c r="P374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8"/>
      <c r="R374" s="628"/>
      <c r="S374" s="628"/>
      <c r="T374" s="62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4301051734</v>
      </c>
      <c r="D375" s="626">
        <v>4680115884588</v>
      </c>
      <c r="E375" s="626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72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8"/>
      <c r="R375" s="628"/>
      <c r="S375" s="628"/>
      <c r="T375" s="629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622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633"/>
      <c r="B376" s="633"/>
      <c r="C376" s="633"/>
      <c r="D376" s="633"/>
      <c r="E376" s="633"/>
      <c r="F376" s="633"/>
      <c r="G376" s="633"/>
      <c r="H376" s="633"/>
      <c r="I376" s="633"/>
      <c r="J376" s="633"/>
      <c r="K376" s="633"/>
      <c r="L376" s="633"/>
      <c r="M376" s="633"/>
      <c r="N376" s="633"/>
      <c r="O376" s="634"/>
      <c r="P376" s="630" t="s">
        <v>40</v>
      </c>
      <c r="Q376" s="631"/>
      <c r="R376" s="631"/>
      <c r="S376" s="631"/>
      <c r="T376" s="631"/>
      <c r="U376" s="631"/>
      <c r="V376" s="632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25" t="s">
        <v>181</v>
      </c>
      <c r="B378" s="625"/>
      <c r="C378" s="625"/>
      <c r="D378" s="625"/>
      <c r="E378" s="625"/>
      <c r="F378" s="625"/>
      <c r="G378" s="625"/>
      <c r="H378" s="625"/>
      <c r="I378" s="625"/>
      <c r="J378" s="625"/>
      <c r="K378" s="625"/>
      <c r="L378" s="625"/>
      <c r="M378" s="625"/>
      <c r="N378" s="625"/>
      <c r="O378" s="625"/>
      <c r="P378" s="625"/>
      <c r="Q378" s="625"/>
      <c r="R378" s="625"/>
      <c r="S378" s="625"/>
      <c r="T378" s="625"/>
      <c r="U378" s="625"/>
      <c r="V378" s="625"/>
      <c r="W378" s="625"/>
      <c r="X378" s="625"/>
      <c r="Y378" s="625"/>
      <c r="Z378" s="625"/>
      <c r="AA378" s="63"/>
      <c r="AB378" s="63"/>
      <c r="AC378" s="63"/>
    </row>
    <row r="379" spans="1:68" ht="27" customHeight="1" x14ac:dyDescent="0.25">
      <c r="A379" s="60" t="s">
        <v>631</v>
      </c>
      <c r="B379" s="60" t="s">
        <v>632</v>
      </c>
      <c r="C379" s="34">
        <v>4301060387</v>
      </c>
      <c r="D379" s="626">
        <v>4607091380880</v>
      </c>
      <c r="E379" s="626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133</v>
      </c>
      <c r="L379" s="35" t="s">
        <v>46</v>
      </c>
      <c r="M379" s="36" t="s">
        <v>90</v>
      </c>
      <c r="N379" s="36"/>
      <c r="O379" s="35">
        <v>30</v>
      </c>
      <c r="P379" s="7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8"/>
      <c r="R379" s="628"/>
      <c r="S379" s="628"/>
      <c r="T379" s="629"/>
      <c r="U379" s="37" t="s">
        <v>46</v>
      </c>
      <c r="V379" s="37" t="s">
        <v>46</v>
      </c>
      <c r="W379" s="38" t="s">
        <v>0</v>
      </c>
      <c r="X379" s="56">
        <v>200</v>
      </c>
      <c r="Y379" s="53">
        <f>IFERROR(IF(X379="",0,CEILING((X379/$H379),1)*$H379),"")</f>
        <v>201.60000000000002</v>
      </c>
      <c r="Z379" s="39">
        <f>IFERROR(IF(Y379=0,"",ROUNDUP(Y379/H379,0)*0.01898),"")</f>
        <v>0.45552000000000004</v>
      </c>
      <c r="AA379" s="65" t="s">
        <v>46</v>
      </c>
      <c r="AB379" s="66" t="s">
        <v>46</v>
      </c>
      <c r="AC379" s="467" t="s">
        <v>633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211.76190476190476</v>
      </c>
      <c r="BN379" s="75">
        <f>IFERROR(Y379*I379/H379,"0")</f>
        <v>213.45600000000002</v>
      </c>
      <c r="BO379" s="75">
        <f>IFERROR(1/J379*(X379/H379),"0")</f>
        <v>0.37202380952380953</v>
      </c>
      <c r="BP379" s="75">
        <f>IFERROR(1/J379*(Y379/H379),"0")</f>
        <v>0.375</v>
      </c>
    </row>
    <row r="380" spans="1:68" ht="27" customHeight="1" x14ac:dyDescent="0.25">
      <c r="A380" s="60" t="s">
        <v>634</v>
      </c>
      <c r="B380" s="60" t="s">
        <v>635</v>
      </c>
      <c r="C380" s="34">
        <v>4301060406</v>
      </c>
      <c r="D380" s="626">
        <v>4607091384482</v>
      </c>
      <c r="E380" s="626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133</v>
      </c>
      <c r="L380" s="35" t="s">
        <v>46</v>
      </c>
      <c r="M380" s="36" t="s">
        <v>90</v>
      </c>
      <c r="N380" s="36"/>
      <c r="O380" s="35">
        <v>30</v>
      </c>
      <c r="P380" s="7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8"/>
      <c r="R380" s="628"/>
      <c r="S380" s="628"/>
      <c r="T380" s="629"/>
      <c r="U380" s="37" t="s">
        <v>46</v>
      </c>
      <c r="V380" s="37" t="s">
        <v>46</v>
      </c>
      <c r="W380" s="38" t="s">
        <v>0</v>
      </c>
      <c r="X380" s="56">
        <v>500</v>
      </c>
      <c r="Y380" s="53">
        <f>IFERROR(IF(X380="",0,CEILING((X380/$H380),1)*$H380),"")</f>
        <v>507</v>
      </c>
      <c r="Z380" s="39">
        <f>IFERROR(IF(Y380=0,"",ROUNDUP(Y380/H380,0)*0.01898),"")</f>
        <v>1.2337</v>
      </c>
      <c r="AA380" s="65" t="s">
        <v>46</v>
      </c>
      <c r="AB380" s="66" t="s">
        <v>46</v>
      </c>
      <c r="AC380" s="469" t="s">
        <v>636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531.66666666666663</v>
      </c>
      <c r="BN380" s="75">
        <f>IFERROR(Y380*I380/H380,"0")</f>
        <v>539.11</v>
      </c>
      <c r="BO380" s="75">
        <f>IFERROR(1/J380*(X380/H380),"0")</f>
        <v>1.0016025641025641</v>
      </c>
      <c r="BP380" s="75">
        <f>IFERROR(1/J380*(Y380/H380),"0")</f>
        <v>1.015625</v>
      </c>
    </row>
    <row r="381" spans="1:68" ht="16.5" customHeight="1" x14ac:dyDescent="0.25">
      <c r="A381" s="60" t="s">
        <v>637</v>
      </c>
      <c r="B381" s="60" t="s">
        <v>638</v>
      </c>
      <c r="C381" s="34">
        <v>4301060484</v>
      </c>
      <c r="D381" s="626">
        <v>4607091380897</v>
      </c>
      <c r="E381" s="626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133</v>
      </c>
      <c r="L381" s="35" t="s">
        <v>46</v>
      </c>
      <c r="M381" s="36" t="s">
        <v>97</v>
      </c>
      <c r="N381" s="36"/>
      <c r="O381" s="35">
        <v>30</v>
      </c>
      <c r="P381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8"/>
      <c r="R381" s="628"/>
      <c r="S381" s="628"/>
      <c r="T381" s="629"/>
      <c r="U381" s="37" t="s">
        <v>46</v>
      </c>
      <c r="V381" s="37" t="s">
        <v>46</v>
      </c>
      <c r="W381" s="38" t="s">
        <v>0</v>
      </c>
      <c r="X381" s="56">
        <v>100</v>
      </c>
      <c r="Y381" s="53">
        <f>IFERROR(IF(X381="",0,CEILING((X381/$H381),1)*$H381),"")</f>
        <v>100.80000000000001</v>
      </c>
      <c r="Z381" s="39">
        <f>IFERROR(IF(Y381=0,"",ROUNDUP(Y381/H381,0)*0.01898),"")</f>
        <v>0.22776000000000002</v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105.88095238095238</v>
      </c>
      <c r="BN381" s="75">
        <f>IFERROR(Y381*I381/H381,"0")</f>
        <v>106.72800000000001</v>
      </c>
      <c r="BO381" s="75">
        <f>IFERROR(1/J381*(X381/H381),"0")</f>
        <v>0.18601190476190477</v>
      </c>
      <c r="BP381" s="75">
        <f>IFERROR(1/J381*(Y381/H381),"0")</f>
        <v>0.1875</v>
      </c>
    </row>
    <row r="382" spans="1:68" x14ac:dyDescent="0.2">
      <c r="A382" s="633"/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4"/>
      <c r="P382" s="630" t="s">
        <v>40</v>
      </c>
      <c r="Q382" s="631"/>
      <c r="R382" s="631"/>
      <c r="S382" s="631"/>
      <c r="T382" s="631"/>
      <c r="U382" s="631"/>
      <c r="V382" s="632"/>
      <c r="W382" s="40" t="s">
        <v>39</v>
      </c>
      <c r="X382" s="41">
        <f>IFERROR(X379/H379,"0")+IFERROR(X380/H380,"0")+IFERROR(X381/H381,"0")</f>
        <v>99.81684981684981</v>
      </c>
      <c r="Y382" s="41">
        <f>IFERROR(Y379/H379,"0")+IFERROR(Y380/H380,"0")+IFERROR(Y381/H381,"0")</f>
        <v>101</v>
      </c>
      <c r="Z382" s="41">
        <f>IFERROR(IF(Z379="",0,Z379),"0")+IFERROR(IF(Z380="",0,Z380),"0")+IFERROR(IF(Z381="",0,Z381),"0")</f>
        <v>1.9169800000000001</v>
      </c>
      <c r="AA382" s="64"/>
      <c r="AB382" s="64"/>
      <c r="AC382" s="64"/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0" t="s">
        <v>0</v>
      </c>
      <c r="X383" s="41">
        <f>IFERROR(SUM(X379:X381),"0")</f>
        <v>800</v>
      </c>
      <c r="Y383" s="41">
        <f>IFERROR(SUM(Y379:Y381),"0")</f>
        <v>809.40000000000009</v>
      </c>
      <c r="Z383" s="40"/>
      <c r="AA383" s="64"/>
      <c r="AB383" s="64"/>
      <c r="AC383" s="64"/>
    </row>
    <row r="384" spans="1:68" ht="14.25" hidden="1" customHeight="1" x14ac:dyDescent="0.25">
      <c r="A384" s="625" t="s">
        <v>104</v>
      </c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625"/>
      <c r="Y384" s="625"/>
      <c r="Z384" s="625"/>
      <c r="AA384" s="63"/>
      <c r="AB384" s="63"/>
      <c r="AC384" s="63"/>
    </row>
    <row r="385" spans="1:68" ht="27" hidden="1" customHeight="1" x14ac:dyDescent="0.25">
      <c r="A385" s="60" t="s">
        <v>640</v>
      </c>
      <c r="B385" s="60" t="s">
        <v>641</v>
      </c>
      <c r="C385" s="34">
        <v>4301030235</v>
      </c>
      <c r="D385" s="626">
        <v>4607091388381</v>
      </c>
      <c r="E385" s="626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140</v>
      </c>
      <c r="L385" s="35" t="s">
        <v>46</v>
      </c>
      <c r="M385" s="36" t="s">
        <v>109</v>
      </c>
      <c r="N385" s="36"/>
      <c r="O385" s="35">
        <v>180</v>
      </c>
      <c r="P385" s="71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8"/>
      <c r="R385" s="628"/>
      <c r="S385" s="628"/>
      <c r="T385" s="62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642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643</v>
      </c>
      <c r="B386" s="60" t="s">
        <v>644</v>
      </c>
      <c r="C386" s="34">
        <v>4301030232</v>
      </c>
      <c r="D386" s="626">
        <v>4607091388374</v>
      </c>
      <c r="E386" s="626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140</v>
      </c>
      <c r="L386" s="35" t="s">
        <v>46</v>
      </c>
      <c r="M386" s="36" t="s">
        <v>109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8"/>
      <c r="R386" s="628"/>
      <c r="S386" s="628"/>
      <c r="T386" s="62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4301032015</v>
      </c>
      <c r="D387" s="626">
        <v>4607091383102</v>
      </c>
      <c r="E387" s="626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8"/>
      <c r="R387" s="628"/>
      <c r="S387" s="628"/>
      <c r="T387" s="629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647</v>
      </c>
      <c r="B388" s="60" t="s">
        <v>648</v>
      </c>
      <c r="C388" s="34">
        <v>4301030233</v>
      </c>
      <c r="D388" s="626">
        <v>4607091388404</v>
      </c>
      <c r="E388" s="626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8"/>
      <c r="R388" s="628"/>
      <c r="S388" s="628"/>
      <c r="T388" s="62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33"/>
      <c r="B389" s="633"/>
      <c r="C389" s="633"/>
      <c r="D389" s="633"/>
      <c r="E389" s="633"/>
      <c r="F389" s="633"/>
      <c r="G389" s="633"/>
      <c r="H389" s="633"/>
      <c r="I389" s="633"/>
      <c r="J389" s="633"/>
      <c r="K389" s="633"/>
      <c r="L389" s="633"/>
      <c r="M389" s="633"/>
      <c r="N389" s="633"/>
      <c r="O389" s="634"/>
      <c r="P389" s="630" t="s">
        <v>40</v>
      </c>
      <c r="Q389" s="631"/>
      <c r="R389" s="631"/>
      <c r="S389" s="631"/>
      <c r="T389" s="631"/>
      <c r="U389" s="631"/>
      <c r="V389" s="632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25" t="s">
        <v>649</v>
      </c>
      <c r="B391" s="625"/>
      <c r="C391" s="625"/>
      <c r="D391" s="625"/>
      <c r="E391" s="625"/>
      <c r="F391" s="625"/>
      <c r="G391" s="625"/>
      <c r="H391" s="625"/>
      <c r="I391" s="625"/>
      <c r="J391" s="625"/>
      <c r="K391" s="625"/>
      <c r="L391" s="625"/>
      <c r="M391" s="625"/>
      <c r="N391" s="625"/>
      <c r="O391" s="625"/>
      <c r="P391" s="625"/>
      <c r="Q391" s="625"/>
      <c r="R391" s="625"/>
      <c r="S391" s="625"/>
      <c r="T391" s="625"/>
      <c r="U391" s="625"/>
      <c r="V391" s="625"/>
      <c r="W391" s="625"/>
      <c r="X391" s="625"/>
      <c r="Y391" s="625"/>
      <c r="Z391" s="625"/>
      <c r="AA391" s="63"/>
      <c r="AB391" s="63"/>
      <c r="AC391" s="63"/>
    </row>
    <row r="392" spans="1:68" ht="16.5" hidden="1" customHeight="1" x14ac:dyDescent="0.25">
      <c r="A392" s="60" t="s">
        <v>650</v>
      </c>
      <c r="B392" s="60" t="s">
        <v>651</v>
      </c>
      <c r="C392" s="34">
        <v>4301180007</v>
      </c>
      <c r="D392" s="626">
        <v>4680115881808</v>
      </c>
      <c r="E392" s="626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653</v>
      </c>
      <c r="N392" s="36"/>
      <c r="O392" s="35">
        <v>731</v>
      </c>
      <c r="P392" s="7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8"/>
      <c r="R392" s="628"/>
      <c r="S392" s="628"/>
      <c r="T392" s="629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652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4301180006</v>
      </c>
      <c r="D393" s="626">
        <v>4680115881822</v>
      </c>
      <c r="E393" s="626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8"/>
      <c r="R393" s="628"/>
      <c r="S393" s="628"/>
      <c r="T393" s="629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656</v>
      </c>
      <c r="B394" s="60" t="s">
        <v>657</v>
      </c>
      <c r="C394" s="34">
        <v>4301180001</v>
      </c>
      <c r="D394" s="626">
        <v>4680115880016</v>
      </c>
      <c r="E394" s="626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8"/>
      <c r="R394" s="628"/>
      <c r="S394" s="628"/>
      <c r="T394" s="629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33"/>
      <c r="B395" s="633"/>
      <c r="C395" s="633"/>
      <c r="D395" s="633"/>
      <c r="E395" s="633"/>
      <c r="F395" s="633"/>
      <c r="G395" s="633"/>
      <c r="H395" s="633"/>
      <c r="I395" s="633"/>
      <c r="J395" s="633"/>
      <c r="K395" s="633"/>
      <c r="L395" s="633"/>
      <c r="M395" s="633"/>
      <c r="N395" s="633"/>
      <c r="O395" s="634"/>
      <c r="P395" s="630" t="s">
        <v>40</v>
      </c>
      <c r="Q395" s="631"/>
      <c r="R395" s="631"/>
      <c r="S395" s="631"/>
      <c r="T395" s="631"/>
      <c r="U395" s="631"/>
      <c r="V395" s="632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25" t="s">
        <v>658</v>
      </c>
      <c r="B397" s="625"/>
      <c r="C397" s="625"/>
      <c r="D397" s="625"/>
      <c r="E397" s="625"/>
      <c r="F397" s="625"/>
      <c r="G397" s="625"/>
      <c r="H397" s="625"/>
      <c r="I397" s="625"/>
      <c r="J397" s="625"/>
      <c r="K397" s="625"/>
      <c r="L397" s="625"/>
      <c r="M397" s="625"/>
      <c r="N397" s="625"/>
      <c r="O397" s="625"/>
      <c r="P397" s="625"/>
      <c r="Q397" s="625"/>
      <c r="R397" s="625"/>
      <c r="S397" s="625"/>
      <c r="T397" s="625"/>
      <c r="U397" s="625"/>
      <c r="V397" s="625"/>
      <c r="W397" s="625"/>
      <c r="X397" s="625"/>
      <c r="Y397" s="625"/>
      <c r="Z397" s="625"/>
      <c r="AA397" s="63"/>
      <c r="AB397" s="63"/>
      <c r="AC397" s="63"/>
    </row>
    <row r="398" spans="1:68" ht="27" hidden="1" customHeight="1" x14ac:dyDescent="0.25">
      <c r="A398" s="60" t="s">
        <v>659</v>
      </c>
      <c r="B398" s="60" t="s">
        <v>660</v>
      </c>
      <c r="C398" s="34">
        <v>4301220003</v>
      </c>
      <c r="D398" s="626">
        <v>4680115888678</v>
      </c>
      <c r="E398" s="626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91</v>
      </c>
      <c r="L398" s="35" t="s">
        <v>46</v>
      </c>
      <c r="M398" s="36" t="s">
        <v>653</v>
      </c>
      <c r="N398" s="36"/>
      <c r="O398" s="35">
        <v>1095</v>
      </c>
      <c r="P398" s="70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28"/>
      <c r="R398" s="628"/>
      <c r="S398" s="628"/>
      <c r="T398" s="62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276</v>
      </c>
      <c r="AC398" s="487" t="s">
        <v>661</v>
      </c>
      <c r="AG398" s="75"/>
      <c r="AJ398" s="79" t="s">
        <v>46</v>
      </c>
      <c r="AK398" s="79">
        <v>0</v>
      </c>
      <c r="BB398" s="488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662</v>
      </c>
      <c r="B399" s="60" t="s">
        <v>663</v>
      </c>
      <c r="C399" s="34">
        <v>4301220001</v>
      </c>
      <c r="D399" s="626">
        <v>4680115888654</v>
      </c>
      <c r="E399" s="626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140</v>
      </c>
      <c r="L399" s="35" t="s">
        <v>46</v>
      </c>
      <c r="M399" s="36" t="s">
        <v>653</v>
      </c>
      <c r="N399" s="36"/>
      <c r="O399" s="35">
        <v>1095</v>
      </c>
      <c r="P399" s="70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28"/>
      <c r="R399" s="628"/>
      <c r="S399" s="628"/>
      <c r="T399" s="629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276</v>
      </c>
      <c r="AC399" s="489" t="s">
        <v>664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4301220002</v>
      </c>
      <c r="D400" s="626">
        <v>4680115888753</v>
      </c>
      <c r="E400" s="626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91</v>
      </c>
      <c r="L400" s="35" t="s">
        <v>46</v>
      </c>
      <c r="M400" s="36" t="s">
        <v>653</v>
      </c>
      <c r="N400" s="36"/>
      <c r="O400" s="35">
        <v>1095</v>
      </c>
      <c r="P400" s="70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28"/>
      <c r="R400" s="628"/>
      <c r="S400" s="628"/>
      <c r="T400" s="629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276</v>
      </c>
      <c r="AC400" s="491" t="s">
        <v>661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33"/>
      <c r="B401" s="633"/>
      <c r="C401" s="633"/>
      <c r="D401" s="633"/>
      <c r="E401" s="633"/>
      <c r="F401" s="633"/>
      <c r="G401" s="633"/>
      <c r="H401" s="633"/>
      <c r="I401" s="633"/>
      <c r="J401" s="633"/>
      <c r="K401" s="633"/>
      <c r="L401" s="633"/>
      <c r="M401" s="633"/>
      <c r="N401" s="633"/>
      <c r="O401" s="634"/>
      <c r="P401" s="630" t="s">
        <v>40</v>
      </c>
      <c r="Q401" s="631"/>
      <c r="R401" s="631"/>
      <c r="S401" s="631"/>
      <c r="T401" s="631"/>
      <c r="U401" s="631"/>
      <c r="V401" s="632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41" t="s">
        <v>667</v>
      </c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1"/>
      <c r="P403" s="641"/>
      <c r="Q403" s="641"/>
      <c r="R403" s="641"/>
      <c r="S403" s="641"/>
      <c r="T403" s="641"/>
      <c r="U403" s="641"/>
      <c r="V403" s="641"/>
      <c r="W403" s="641"/>
      <c r="X403" s="641"/>
      <c r="Y403" s="641"/>
      <c r="Z403" s="641"/>
      <c r="AA403" s="62"/>
      <c r="AB403" s="62"/>
      <c r="AC403" s="62"/>
    </row>
    <row r="404" spans="1:68" ht="14.25" hidden="1" customHeight="1" x14ac:dyDescent="0.25">
      <c r="A404" s="625" t="s">
        <v>86</v>
      </c>
      <c r="B404" s="625"/>
      <c r="C404" s="625"/>
      <c r="D404" s="625"/>
      <c r="E404" s="625"/>
      <c r="F404" s="625"/>
      <c r="G404" s="625"/>
      <c r="H404" s="625"/>
      <c r="I404" s="625"/>
      <c r="J404" s="625"/>
      <c r="K404" s="625"/>
      <c r="L404" s="625"/>
      <c r="M404" s="625"/>
      <c r="N404" s="625"/>
      <c r="O404" s="625"/>
      <c r="P404" s="625"/>
      <c r="Q404" s="625"/>
      <c r="R404" s="625"/>
      <c r="S404" s="625"/>
      <c r="T404" s="625"/>
      <c r="U404" s="625"/>
      <c r="V404" s="625"/>
      <c r="W404" s="625"/>
      <c r="X404" s="625"/>
      <c r="Y404" s="625"/>
      <c r="Z404" s="625"/>
      <c r="AA404" s="63"/>
      <c r="AB404" s="63"/>
      <c r="AC404" s="63"/>
    </row>
    <row r="405" spans="1:68" ht="27" hidden="1" customHeight="1" x14ac:dyDescent="0.25">
      <c r="A405" s="60" t="s">
        <v>668</v>
      </c>
      <c r="B405" s="60" t="s">
        <v>669</v>
      </c>
      <c r="C405" s="34">
        <v>4301051489</v>
      </c>
      <c r="D405" s="626">
        <v>4607091387919</v>
      </c>
      <c r="E405" s="626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133</v>
      </c>
      <c r="L405" s="35" t="s">
        <v>46</v>
      </c>
      <c r="M405" s="36" t="s">
        <v>97</v>
      </c>
      <c r="N405" s="36"/>
      <c r="O405" s="35">
        <v>45</v>
      </c>
      <c r="P405" s="7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28"/>
      <c r="R405" s="628"/>
      <c r="S405" s="628"/>
      <c r="T405" s="629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670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671</v>
      </c>
      <c r="B406" s="60" t="s">
        <v>672</v>
      </c>
      <c r="C406" s="34">
        <v>4301051461</v>
      </c>
      <c r="D406" s="626">
        <v>4680115883604</v>
      </c>
      <c r="E406" s="626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91</v>
      </c>
      <c r="L406" s="35" t="s">
        <v>46</v>
      </c>
      <c r="M406" s="36" t="s">
        <v>90</v>
      </c>
      <c r="N406" s="36"/>
      <c r="O406" s="35">
        <v>45</v>
      </c>
      <c r="P406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28"/>
      <c r="R406" s="628"/>
      <c r="S406" s="628"/>
      <c r="T406" s="629"/>
      <c r="U406" s="37" t="s">
        <v>46</v>
      </c>
      <c r="V406" s="37" t="s">
        <v>46</v>
      </c>
      <c r="W406" s="38" t="s">
        <v>0</v>
      </c>
      <c r="X406" s="56">
        <v>700</v>
      </c>
      <c r="Y406" s="53">
        <f>IFERROR(IF(X406="",0,CEILING((X406/$H406),1)*$H406),"")</f>
        <v>701.4</v>
      </c>
      <c r="Z406" s="39">
        <f>IFERROR(IF(Y406=0,"",ROUNDUP(Y406/H406,0)*0.00651),"")</f>
        <v>2.1743399999999999</v>
      </c>
      <c r="AA406" s="65" t="s">
        <v>46</v>
      </c>
      <c r="AB406" s="66" t="s">
        <v>46</v>
      </c>
      <c r="AC406" s="495" t="s">
        <v>673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783.99999999999989</v>
      </c>
      <c r="BN406" s="75">
        <f>IFERROR(Y406*I406/H406,"0")</f>
        <v>785.56799999999987</v>
      </c>
      <c r="BO406" s="75">
        <f>IFERROR(1/J406*(X406/H406),"0")</f>
        <v>1.8315018315018314</v>
      </c>
      <c r="BP406" s="75">
        <f>IFERROR(1/J406*(Y406/H406),"0")</f>
        <v>1.8351648351648353</v>
      </c>
    </row>
    <row r="407" spans="1:68" ht="27" customHeight="1" x14ac:dyDescent="0.25">
      <c r="A407" s="60" t="s">
        <v>674</v>
      </c>
      <c r="B407" s="60" t="s">
        <v>675</v>
      </c>
      <c r="C407" s="34">
        <v>4301051864</v>
      </c>
      <c r="D407" s="626">
        <v>4680115883567</v>
      </c>
      <c r="E407" s="626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91</v>
      </c>
      <c r="L407" s="35" t="s">
        <v>46</v>
      </c>
      <c r="M407" s="36" t="s">
        <v>97</v>
      </c>
      <c r="N407" s="36"/>
      <c r="O407" s="35">
        <v>40</v>
      </c>
      <c r="P407" s="7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28"/>
      <c r="R407" s="628"/>
      <c r="S407" s="628"/>
      <c r="T407" s="629"/>
      <c r="U407" s="37" t="s">
        <v>46</v>
      </c>
      <c r="V407" s="37" t="s">
        <v>46</v>
      </c>
      <c r="W407" s="38" t="s">
        <v>0</v>
      </c>
      <c r="X407" s="56">
        <v>525</v>
      </c>
      <c r="Y407" s="53">
        <f>IFERROR(IF(X407="",0,CEILING((X407/$H407),1)*$H407),"")</f>
        <v>525</v>
      </c>
      <c r="Z407" s="39">
        <f>IFERROR(IF(Y407=0,"",ROUNDUP(Y407/H407,0)*0.00651),"")</f>
        <v>1.6274999999999999</v>
      </c>
      <c r="AA407" s="65" t="s">
        <v>46</v>
      </c>
      <c r="AB407" s="66" t="s">
        <v>46</v>
      </c>
      <c r="AC407" s="497" t="s">
        <v>676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585</v>
      </c>
      <c r="BN407" s="75">
        <f>IFERROR(Y407*I407/H407,"0")</f>
        <v>585</v>
      </c>
      <c r="BO407" s="75">
        <f>IFERROR(1/J407*(X407/H407),"0")</f>
        <v>1.3736263736263736</v>
      </c>
      <c r="BP407" s="75">
        <f>IFERROR(1/J407*(Y407/H407),"0")</f>
        <v>1.3736263736263736</v>
      </c>
    </row>
    <row r="408" spans="1:68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0" t="s">
        <v>39</v>
      </c>
      <c r="X408" s="41">
        <f>IFERROR(X405/H405,"0")+IFERROR(X406/H406,"0")+IFERROR(X407/H407,"0")</f>
        <v>583.33333333333326</v>
      </c>
      <c r="Y408" s="41">
        <f>IFERROR(Y405/H405,"0")+IFERROR(Y406/H406,"0")+IFERROR(Y407/H407,"0")</f>
        <v>584</v>
      </c>
      <c r="Z408" s="41">
        <f>IFERROR(IF(Z405="",0,Z405),"0")+IFERROR(IF(Z406="",0,Z406),"0")+IFERROR(IF(Z407="",0,Z407),"0")</f>
        <v>3.8018399999999999</v>
      </c>
      <c r="AA408" s="64"/>
      <c r="AB408" s="64"/>
      <c r="AC408" s="64"/>
    </row>
    <row r="409" spans="1:68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0" t="s">
        <v>0</v>
      </c>
      <c r="X409" s="41">
        <f>IFERROR(SUM(X405:X407),"0")</f>
        <v>1225</v>
      </c>
      <c r="Y409" s="41">
        <f>IFERROR(SUM(Y405:Y407),"0")</f>
        <v>1226.4000000000001</v>
      </c>
      <c r="Z409" s="40"/>
      <c r="AA409" s="64"/>
      <c r="AB409" s="64"/>
      <c r="AC409" s="64"/>
    </row>
    <row r="410" spans="1:68" ht="27.75" hidden="1" customHeight="1" x14ac:dyDescent="0.2">
      <c r="A410" s="646" t="s">
        <v>677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52"/>
      <c r="AB410" s="52"/>
      <c r="AC410" s="52"/>
    </row>
    <row r="411" spans="1:68" ht="16.5" hidden="1" customHeight="1" x14ac:dyDescent="0.25">
      <c r="A411" s="641" t="s">
        <v>678</v>
      </c>
      <c r="B411" s="641"/>
      <c r="C411" s="641"/>
      <c r="D411" s="641"/>
      <c r="E411" s="641"/>
      <c r="F411" s="641"/>
      <c r="G411" s="641"/>
      <c r="H411" s="641"/>
      <c r="I411" s="641"/>
      <c r="J411" s="641"/>
      <c r="K411" s="641"/>
      <c r="L411" s="641"/>
      <c r="M411" s="641"/>
      <c r="N411" s="641"/>
      <c r="O411" s="641"/>
      <c r="P411" s="641"/>
      <c r="Q411" s="641"/>
      <c r="R411" s="641"/>
      <c r="S411" s="641"/>
      <c r="T411" s="641"/>
      <c r="U411" s="641"/>
      <c r="V411" s="641"/>
      <c r="W411" s="641"/>
      <c r="X411" s="641"/>
      <c r="Y411" s="641"/>
      <c r="Z411" s="641"/>
      <c r="AA411" s="62"/>
      <c r="AB411" s="62"/>
      <c r="AC411" s="62"/>
    </row>
    <row r="412" spans="1:68" ht="14.25" hidden="1" customHeight="1" x14ac:dyDescent="0.25">
      <c r="A412" s="625" t="s">
        <v>128</v>
      </c>
      <c r="B412" s="625"/>
      <c r="C412" s="625"/>
      <c r="D412" s="625"/>
      <c r="E412" s="625"/>
      <c r="F412" s="625"/>
      <c r="G412" s="625"/>
      <c r="H412" s="625"/>
      <c r="I412" s="625"/>
      <c r="J412" s="625"/>
      <c r="K412" s="625"/>
      <c r="L412" s="625"/>
      <c r="M412" s="625"/>
      <c r="N412" s="625"/>
      <c r="O412" s="625"/>
      <c r="P412" s="625"/>
      <c r="Q412" s="625"/>
      <c r="R412" s="625"/>
      <c r="S412" s="625"/>
      <c r="T412" s="625"/>
      <c r="U412" s="625"/>
      <c r="V412" s="625"/>
      <c r="W412" s="625"/>
      <c r="X412" s="625"/>
      <c r="Y412" s="625"/>
      <c r="Z412" s="625"/>
      <c r="AA412" s="63"/>
      <c r="AB412" s="63"/>
      <c r="AC412" s="63"/>
    </row>
    <row r="413" spans="1:68" ht="27" customHeight="1" x14ac:dyDescent="0.25">
      <c r="A413" s="60" t="s">
        <v>679</v>
      </c>
      <c r="B413" s="60" t="s">
        <v>680</v>
      </c>
      <c r="C413" s="34">
        <v>4301012332</v>
      </c>
      <c r="D413" s="626">
        <v>4680115888401</v>
      </c>
      <c r="E413" s="626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133</v>
      </c>
      <c r="L413" s="35" t="s">
        <v>46</v>
      </c>
      <c r="M413" s="36" t="s">
        <v>97</v>
      </c>
      <c r="N413" s="36"/>
      <c r="O413" s="35">
        <v>60</v>
      </c>
      <c r="P413" s="69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28"/>
      <c r="R413" s="628"/>
      <c r="S413" s="628"/>
      <c r="T413" s="629"/>
      <c r="U413" s="37" t="s">
        <v>46</v>
      </c>
      <c r="V413" s="37" t="s">
        <v>46</v>
      </c>
      <c r="W413" s="38" t="s">
        <v>0</v>
      </c>
      <c r="X413" s="56">
        <v>120</v>
      </c>
      <c r="Y413" s="53">
        <f t="shared" ref="Y413:Y420" si="52">IFERROR(IF(X413="",0,CEILING((X413/$H413),1)*$H413),"")</f>
        <v>120</v>
      </c>
      <c r="Z413" s="39">
        <f>IFERROR(IF(Y413=0,"",ROUNDUP(Y413/H413,0)*0.02175),"")</f>
        <v>0.17399999999999999</v>
      </c>
      <c r="AA413" s="65" t="s">
        <v>46</v>
      </c>
      <c r="AB413" s="66" t="s">
        <v>46</v>
      </c>
      <c r="AC413" s="499" t="s">
        <v>681</v>
      </c>
      <c r="AG413" s="75"/>
      <c r="AJ413" s="79" t="s">
        <v>46</v>
      </c>
      <c r="AK413" s="79">
        <v>0</v>
      </c>
      <c r="BB413" s="500" t="s">
        <v>67</v>
      </c>
      <c r="BM413" s="75">
        <f t="shared" ref="BM413:BM420" si="53">IFERROR(X413*I413/H413,"0")</f>
        <v>123.76</v>
      </c>
      <c r="BN413" s="75">
        <f t="shared" ref="BN413:BN420" si="54">IFERROR(Y413*I413/H413,"0")</f>
        <v>123.76</v>
      </c>
      <c r="BO413" s="75">
        <f t="shared" ref="BO413:BO420" si="55">IFERROR(1/J413*(X413/H413),"0")</f>
        <v>0.16666666666666666</v>
      </c>
      <c r="BP413" s="75">
        <f t="shared" ref="BP413:BP420" si="56">IFERROR(1/J413*(Y413/H413),"0")</f>
        <v>0.16666666666666666</v>
      </c>
    </row>
    <row r="414" spans="1:68" ht="37.5" hidden="1" customHeight="1" x14ac:dyDescent="0.25">
      <c r="A414" s="60" t="s">
        <v>682</v>
      </c>
      <c r="B414" s="60" t="s">
        <v>683</v>
      </c>
      <c r="C414" s="34">
        <v>4301011869</v>
      </c>
      <c r="D414" s="626">
        <v>4680115884847</v>
      </c>
      <c r="E414" s="626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133</v>
      </c>
      <c r="L414" s="35" t="s">
        <v>46</v>
      </c>
      <c r="M414" s="36" t="s">
        <v>81</v>
      </c>
      <c r="N414" s="36"/>
      <c r="O414" s="35">
        <v>60</v>
      </c>
      <c r="P414" s="69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28"/>
      <c r="R414" s="628"/>
      <c r="S414" s="628"/>
      <c r="T414" s="629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684</v>
      </c>
      <c r="AG414" s="75"/>
      <c r="AJ414" s="79" t="s">
        <v>46</v>
      </c>
      <c r="AK414" s="79">
        <v>0</v>
      </c>
      <c r="BB414" s="502" t="s">
        <v>67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hidden="1" customHeight="1" x14ac:dyDescent="0.25">
      <c r="A415" s="60" t="s">
        <v>685</v>
      </c>
      <c r="B415" s="60" t="s">
        <v>686</v>
      </c>
      <c r="C415" s="34">
        <v>4301012083</v>
      </c>
      <c r="D415" s="626">
        <v>4680115884854</v>
      </c>
      <c r="E415" s="626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133</v>
      </c>
      <c r="L415" s="35" t="s">
        <v>46</v>
      </c>
      <c r="M415" s="36" t="s">
        <v>132</v>
      </c>
      <c r="N415" s="36"/>
      <c r="O415" s="35">
        <v>60</v>
      </c>
      <c r="P415" s="6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28"/>
      <c r="R415" s="628"/>
      <c r="S415" s="628"/>
      <c r="T415" s="629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687</v>
      </c>
      <c r="AG415" s="75"/>
      <c r="AJ415" s="79" t="s">
        <v>46</v>
      </c>
      <c r="AK415" s="79">
        <v>0</v>
      </c>
      <c r="BB415" s="504" t="s">
        <v>67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688</v>
      </c>
      <c r="B416" s="60" t="s">
        <v>689</v>
      </c>
      <c r="C416" s="34">
        <v>4301011867</v>
      </c>
      <c r="D416" s="626">
        <v>4680115884830</v>
      </c>
      <c r="E416" s="626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133</v>
      </c>
      <c r="L416" s="35" t="s">
        <v>46</v>
      </c>
      <c r="M416" s="36" t="s">
        <v>81</v>
      </c>
      <c r="N416" s="36"/>
      <c r="O416" s="35">
        <v>60</v>
      </c>
      <c r="P416" s="7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28"/>
      <c r="R416" s="628"/>
      <c r="S416" s="628"/>
      <c r="T416" s="629"/>
      <c r="U416" s="37" t="s">
        <v>46</v>
      </c>
      <c r="V416" s="37" t="s">
        <v>46</v>
      </c>
      <c r="W416" s="38" t="s">
        <v>0</v>
      </c>
      <c r="X416" s="56">
        <v>300</v>
      </c>
      <c r="Y416" s="53">
        <f t="shared" si="52"/>
        <v>300</v>
      </c>
      <c r="Z416" s="39">
        <f>IFERROR(IF(Y416=0,"",ROUNDUP(Y416/H416,0)*0.02175),"")</f>
        <v>0.43499999999999994</v>
      </c>
      <c r="AA416" s="65" t="s">
        <v>46</v>
      </c>
      <c r="AB416" s="66" t="s">
        <v>46</v>
      </c>
      <c r="AC416" s="505" t="s">
        <v>690</v>
      </c>
      <c r="AG416" s="75"/>
      <c r="AJ416" s="79" t="s">
        <v>46</v>
      </c>
      <c r="AK416" s="79">
        <v>0</v>
      </c>
      <c r="BB416" s="506" t="s">
        <v>67</v>
      </c>
      <c r="BM416" s="75">
        <f t="shared" si="53"/>
        <v>309.39999999999998</v>
      </c>
      <c r="BN416" s="75">
        <f t="shared" si="54"/>
        <v>309.39999999999998</v>
      </c>
      <c r="BO416" s="75">
        <f t="shared" si="55"/>
        <v>0.41666666666666663</v>
      </c>
      <c r="BP416" s="75">
        <f t="shared" si="56"/>
        <v>0.41666666666666663</v>
      </c>
    </row>
    <row r="417" spans="1:68" ht="27" customHeight="1" x14ac:dyDescent="0.25">
      <c r="A417" s="60" t="s">
        <v>691</v>
      </c>
      <c r="B417" s="60" t="s">
        <v>692</v>
      </c>
      <c r="C417" s="34">
        <v>4301012356</v>
      </c>
      <c r="D417" s="626">
        <v>4680115889231</v>
      </c>
      <c r="E417" s="626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133</v>
      </c>
      <c r="L417" s="35" t="s">
        <v>46</v>
      </c>
      <c r="M417" s="36" t="s">
        <v>97</v>
      </c>
      <c r="N417" s="36"/>
      <c r="O417" s="35">
        <v>60</v>
      </c>
      <c r="P417" s="69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28"/>
      <c r="R417" s="628"/>
      <c r="S417" s="628"/>
      <c r="T417" s="629"/>
      <c r="U417" s="37" t="s">
        <v>46</v>
      </c>
      <c r="V417" s="37" t="s">
        <v>46</v>
      </c>
      <c r="W417" s="38" t="s">
        <v>0</v>
      </c>
      <c r="X417" s="56">
        <v>100</v>
      </c>
      <c r="Y417" s="53">
        <f t="shared" si="52"/>
        <v>105</v>
      </c>
      <c r="Z417" s="39">
        <f>IFERROR(IF(Y417=0,"",ROUNDUP(Y417/H417,0)*0.02175),"")</f>
        <v>0.15225</v>
      </c>
      <c r="AA417" s="65" t="s">
        <v>46</v>
      </c>
      <c r="AB417" s="66" t="s">
        <v>46</v>
      </c>
      <c r="AC417" s="507" t="s">
        <v>693</v>
      </c>
      <c r="AG417" s="75"/>
      <c r="AJ417" s="79" t="s">
        <v>46</v>
      </c>
      <c r="AK417" s="79">
        <v>0</v>
      </c>
      <c r="BB417" s="508" t="s">
        <v>67</v>
      </c>
      <c r="BM417" s="75">
        <f t="shared" si="53"/>
        <v>103.13333333333334</v>
      </c>
      <c r="BN417" s="75">
        <f t="shared" si="54"/>
        <v>108.29</v>
      </c>
      <c r="BO417" s="75">
        <f t="shared" si="55"/>
        <v>0.1388888888888889</v>
      </c>
      <c r="BP417" s="75">
        <f t="shared" si="56"/>
        <v>0.14583333333333331</v>
      </c>
    </row>
    <row r="418" spans="1:68" ht="27" hidden="1" customHeight="1" x14ac:dyDescent="0.25">
      <c r="A418" s="60" t="s">
        <v>694</v>
      </c>
      <c r="B418" s="60" t="s">
        <v>695</v>
      </c>
      <c r="C418" s="34">
        <v>4301011433</v>
      </c>
      <c r="D418" s="626">
        <v>4680115882638</v>
      </c>
      <c r="E418" s="626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140</v>
      </c>
      <c r="L418" s="35" t="s">
        <v>46</v>
      </c>
      <c r="M418" s="36" t="s">
        <v>132</v>
      </c>
      <c r="N418" s="36"/>
      <c r="O418" s="35">
        <v>90</v>
      </c>
      <c r="P418" s="6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28"/>
      <c r="R418" s="628"/>
      <c r="S418" s="628"/>
      <c r="T418" s="629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696</v>
      </c>
      <c r="AG418" s="75"/>
      <c r="AJ418" s="79" t="s">
        <v>46</v>
      </c>
      <c r="AK418" s="79">
        <v>0</v>
      </c>
      <c r="BB418" s="510" t="s">
        <v>67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697</v>
      </c>
      <c r="B419" s="60" t="s">
        <v>698</v>
      </c>
      <c r="C419" s="34">
        <v>4301011952</v>
      </c>
      <c r="D419" s="626">
        <v>4680115884922</v>
      </c>
      <c r="E419" s="626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140</v>
      </c>
      <c r="L419" s="35" t="s">
        <v>46</v>
      </c>
      <c r="M419" s="36" t="s">
        <v>81</v>
      </c>
      <c r="N419" s="36"/>
      <c r="O419" s="35">
        <v>60</v>
      </c>
      <c r="P419" s="6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28"/>
      <c r="R419" s="628"/>
      <c r="S419" s="628"/>
      <c r="T419" s="629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699</v>
      </c>
      <c r="AG419" s="75"/>
      <c r="AJ419" s="79" t="s">
        <v>46</v>
      </c>
      <c r="AK419" s="79">
        <v>0</v>
      </c>
      <c r="BB419" s="512" t="s">
        <v>67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700</v>
      </c>
      <c r="B420" s="60" t="s">
        <v>701</v>
      </c>
      <c r="C420" s="34">
        <v>4301011868</v>
      </c>
      <c r="D420" s="626">
        <v>4680115884861</v>
      </c>
      <c r="E420" s="626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140</v>
      </c>
      <c r="L420" s="35" t="s">
        <v>46</v>
      </c>
      <c r="M420" s="36" t="s">
        <v>81</v>
      </c>
      <c r="N420" s="36"/>
      <c r="O420" s="35">
        <v>60</v>
      </c>
      <c r="P420" s="6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28"/>
      <c r="R420" s="628"/>
      <c r="S420" s="628"/>
      <c r="T420" s="629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702</v>
      </c>
      <c r="AG420" s="75"/>
      <c r="AJ420" s="79" t="s">
        <v>46</v>
      </c>
      <c r="AK420" s="79">
        <v>0</v>
      </c>
      <c r="BB420" s="514" t="s">
        <v>67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633"/>
      <c r="B421" s="633"/>
      <c r="C421" s="633"/>
      <c r="D421" s="633"/>
      <c r="E421" s="633"/>
      <c r="F421" s="633"/>
      <c r="G421" s="633"/>
      <c r="H421" s="633"/>
      <c r="I421" s="633"/>
      <c r="J421" s="633"/>
      <c r="K421" s="633"/>
      <c r="L421" s="633"/>
      <c r="M421" s="633"/>
      <c r="N421" s="633"/>
      <c r="O421" s="634"/>
      <c r="P421" s="630" t="s">
        <v>40</v>
      </c>
      <c r="Q421" s="631"/>
      <c r="R421" s="631"/>
      <c r="S421" s="631"/>
      <c r="T421" s="631"/>
      <c r="U421" s="631"/>
      <c r="V421" s="632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34.666666666666664</v>
      </c>
      <c r="Y421" s="41">
        <f>IFERROR(Y413/H413,"0")+IFERROR(Y414/H414,"0")+IFERROR(Y415/H415,"0")+IFERROR(Y416/H416,"0")+IFERROR(Y417/H417,"0")+IFERROR(Y418/H418,"0")+IFERROR(Y419/H419,"0")+IFERROR(Y420/H420,"0")</f>
        <v>35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0.76124999999999998</v>
      </c>
      <c r="AA421" s="64"/>
      <c r="AB421" s="64"/>
      <c r="AC421" s="64"/>
    </row>
    <row r="422" spans="1:68" x14ac:dyDescent="0.2">
      <c r="A422" s="633"/>
      <c r="B422" s="633"/>
      <c r="C422" s="633"/>
      <c r="D422" s="633"/>
      <c r="E422" s="633"/>
      <c r="F422" s="633"/>
      <c r="G422" s="633"/>
      <c r="H422" s="633"/>
      <c r="I422" s="633"/>
      <c r="J422" s="633"/>
      <c r="K422" s="633"/>
      <c r="L422" s="633"/>
      <c r="M422" s="633"/>
      <c r="N422" s="633"/>
      <c r="O422" s="634"/>
      <c r="P422" s="630" t="s">
        <v>40</v>
      </c>
      <c r="Q422" s="631"/>
      <c r="R422" s="631"/>
      <c r="S422" s="631"/>
      <c r="T422" s="631"/>
      <c r="U422" s="631"/>
      <c r="V422" s="632"/>
      <c r="W422" s="40" t="s">
        <v>0</v>
      </c>
      <c r="X422" s="41">
        <f>IFERROR(SUM(X413:X420),"0")</f>
        <v>520</v>
      </c>
      <c r="Y422" s="41">
        <f>IFERROR(SUM(Y413:Y420),"0")</f>
        <v>525</v>
      </c>
      <c r="Z422" s="40"/>
      <c r="AA422" s="64"/>
      <c r="AB422" s="64"/>
      <c r="AC422" s="64"/>
    </row>
    <row r="423" spans="1:68" ht="14.25" hidden="1" customHeight="1" x14ac:dyDescent="0.25">
      <c r="A423" s="625" t="s">
        <v>164</v>
      </c>
      <c r="B423" s="625"/>
      <c r="C423" s="625"/>
      <c r="D423" s="625"/>
      <c r="E423" s="625"/>
      <c r="F423" s="625"/>
      <c r="G423" s="625"/>
      <c r="H423" s="625"/>
      <c r="I423" s="625"/>
      <c r="J423" s="625"/>
      <c r="K423" s="625"/>
      <c r="L423" s="625"/>
      <c r="M423" s="625"/>
      <c r="N423" s="625"/>
      <c r="O423" s="625"/>
      <c r="P423" s="625"/>
      <c r="Q423" s="625"/>
      <c r="R423" s="625"/>
      <c r="S423" s="625"/>
      <c r="T423" s="625"/>
      <c r="U423" s="625"/>
      <c r="V423" s="625"/>
      <c r="W423" s="625"/>
      <c r="X423" s="625"/>
      <c r="Y423" s="625"/>
      <c r="Z423" s="625"/>
      <c r="AA423" s="63"/>
      <c r="AB423" s="63"/>
      <c r="AC423" s="63"/>
    </row>
    <row r="424" spans="1:68" ht="27" customHeight="1" x14ac:dyDescent="0.25">
      <c r="A424" s="60" t="s">
        <v>703</v>
      </c>
      <c r="B424" s="60" t="s">
        <v>704</v>
      </c>
      <c r="C424" s="34">
        <v>4301020178</v>
      </c>
      <c r="D424" s="626">
        <v>4607091383980</v>
      </c>
      <c r="E424" s="62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50</v>
      </c>
      <c r="P424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28"/>
      <c r="R424" s="628"/>
      <c r="S424" s="628"/>
      <c r="T424" s="629"/>
      <c r="U424" s="37" t="s">
        <v>46</v>
      </c>
      <c r="V424" s="37" t="s">
        <v>46</v>
      </c>
      <c r="W424" s="38" t="s">
        <v>0</v>
      </c>
      <c r="X424" s="56">
        <v>2000</v>
      </c>
      <c r="Y424" s="53">
        <f>IFERROR(IF(X424="",0,CEILING((X424/$H424),1)*$H424),"")</f>
        <v>2010</v>
      </c>
      <c r="Z424" s="39">
        <f>IFERROR(IF(Y424=0,"",ROUNDUP(Y424/H424,0)*0.02175),"")</f>
        <v>2.9144999999999999</v>
      </c>
      <c r="AA424" s="65" t="s">
        <v>46</v>
      </c>
      <c r="AB424" s="66" t="s">
        <v>46</v>
      </c>
      <c r="AC424" s="515" t="s">
        <v>705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2062.6666666666665</v>
      </c>
      <c r="BN424" s="75">
        <f>IFERROR(Y424*I424/H424,"0")</f>
        <v>2072.98</v>
      </c>
      <c r="BO424" s="75">
        <f>IFERROR(1/J424*(X424/H424),"0")</f>
        <v>2.7777777777777777</v>
      </c>
      <c r="BP424" s="75">
        <f>IFERROR(1/J424*(Y424/H424),"0")</f>
        <v>2.7916666666666665</v>
      </c>
    </row>
    <row r="425" spans="1:68" ht="27" customHeight="1" x14ac:dyDescent="0.25">
      <c r="A425" s="60" t="s">
        <v>706</v>
      </c>
      <c r="B425" s="60" t="s">
        <v>707</v>
      </c>
      <c r="C425" s="34">
        <v>4301020355</v>
      </c>
      <c r="D425" s="626">
        <v>4680115888425</v>
      </c>
      <c r="E425" s="62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50</v>
      </c>
      <c r="P425" s="69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28"/>
      <c r="R425" s="628"/>
      <c r="S425" s="628"/>
      <c r="T425" s="629"/>
      <c r="U425" s="37" t="s">
        <v>46</v>
      </c>
      <c r="V425" s="37" t="s">
        <v>46</v>
      </c>
      <c r="W425" s="38" t="s">
        <v>0</v>
      </c>
      <c r="X425" s="56">
        <v>210</v>
      </c>
      <c r="Y425" s="53">
        <f>IFERROR(IF(X425="",0,CEILING((X425/$H425),1)*$H425),"")</f>
        <v>210</v>
      </c>
      <c r="Z425" s="39">
        <f>IFERROR(IF(Y425=0,"",ROUNDUP(Y425/H425,0)*0.02175),"")</f>
        <v>0.30449999999999999</v>
      </c>
      <c r="AA425" s="65" t="s">
        <v>46</v>
      </c>
      <c r="AB425" s="66" t="s">
        <v>46</v>
      </c>
      <c r="AC425" s="517" t="s">
        <v>708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216.58</v>
      </c>
      <c r="BN425" s="75">
        <f>IFERROR(Y425*I425/H425,"0")</f>
        <v>216.58</v>
      </c>
      <c r="BO425" s="75">
        <f>IFERROR(1/J425*(X425/H425),"0")</f>
        <v>0.29166666666666663</v>
      </c>
      <c r="BP425" s="75">
        <f>IFERROR(1/J425*(Y425/H425),"0")</f>
        <v>0.29166666666666663</v>
      </c>
    </row>
    <row r="426" spans="1:68" ht="27" hidden="1" customHeight="1" x14ac:dyDescent="0.25">
      <c r="A426" s="60" t="s">
        <v>709</v>
      </c>
      <c r="B426" s="60" t="s">
        <v>710</v>
      </c>
      <c r="C426" s="34">
        <v>4301020179</v>
      </c>
      <c r="D426" s="626">
        <v>4607091384178</v>
      </c>
      <c r="E426" s="626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140</v>
      </c>
      <c r="L426" s="35" t="s">
        <v>46</v>
      </c>
      <c r="M426" s="36" t="s">
        <v>132</v>
      </c>
      <c r="N426" s="36"/>
      <c r="O426" s="35">
        <v>50</v>
      </c>
      <c r="P426" s="6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28"/>
      <c r="R426" s="628"/>
      <c r="S426" s="628"/>
      <c r="T426" s="629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711</v>
      </c>
      <c r="AG426" s="75"/>
      <c r="AJ426" s="79" t="s">
        <v>46</v>
      </c>
      <c r="AK426" s="79">
        <v>0</v>
      </c>
      <c r="BB426" s="520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x14ac:dyDescent="0.2">
      <c r="A427" s="633"/>
      <c r="B427" s="633"/>
      <c r="C427" s="633"/>
      <c r="D427" s="633"/>
      <c r="E427" s="633"/>
      <c r="F427" s="633"/>
      <c r="G427" s="633"/>
      <c r="H427" s="633"/>
      <c r="I427" s="633"/>
      <c r="J427" s="633"/>
      <c r="K427" s="633"/>
      <c r="L427" s="633"/>
      <c r="M427" s="633"/>
      <c r="N427" s="633"/>
      <c r="O427" s="634"/>
      <c r="P427" s="630" t="s">
        <v>40</v>
      </c>
      <c r="Q427" s="631"/>
      <c r="R427" s="631"/>
      <c r="S427" s="631"/>
      <c r="T427" s="631"/>
      <c r="U427" s="631"/>
      <c r="V427" s="632"/>
      <c r="W427" s="40" t="s">
        <v>39</v>
      </c>
      <c r="X427" s="41">
        <f>IFERROR(X424/H424,"0")+IFERROR(X425/H425,"0")+IFERROR(X426/H426,"0")</f>
        <v>147.33333333333334</v>
      </c>
      <c r="Y427" s="41">
        <f>IFERROR(Y424/H424,"0")+IFERROR(Y425/H425,"0")+IFERROR(Y426/H426,"0")</f>
        <v>148</v>
      </c>
      <c r="Z427" s="41">
        <f>IFERROR(IF(Z424="",0,Z424),"0")+IFERROR(IF(Z425="",0,Z425),"0")+IFERROR(IF(Z426="",0,Z426),"0")</f>
        <v>3.2189999999999999</v>
      </c>
      <c r="AA427" s="64"/>
      <c r="AB427" s="64"/>
      <c r="AC427" s="64"/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0" t="s">
        <v>0</v>
      </c>
      <c r="X428" s="41">
        <f>IFERROR(SUM(X424:X426),"0")</f>
        <v>2210</v>
      </c>
      <c r="Y428" s="41">
        <f>IFERROR(SUM(Y424:Y426),"0")</f>
        <v>2220</v>
      </c>
      <c r="Z428" s="40"/>
      <c r="AA428" s="64"/>
      <c r="AB428" s="64"/>
      <c r="AC428" s="64"/>
    </row>
    <row r="429" spans="1:68" ht="14.25" hidden="1" customHeight="1" x14ac:dyDescent="0.25">
      <c r="A429" s="625" t="s">
        <v>86</v>
      </c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25"/>
      <c r="Q429" s="625"/>
      <c r="R429" s="625"/>
      <c r="S429" s="625"/>
      <c r="T429" s="625"/>
      <c r="U429" s="625"/>
      <c r="V429" s="625"/>
      <c r="W429" s="625"/>
      <c r="X429" s="625"/>
      <c r="Y429" s="625"/>
      <c r="Z429" s="625"/>
      <c r="AA429" s="63"/>
      <c r="AB429" s="63"/>
      <c r="AC429" s="63"/>
    </row>
    <row r="430" spans="1:68" ht="16.5" hidden="1" customHeight="1" x14ac:dyDescent="0.25">
      <c r="A430" s="60" t="s">
        <v>712</v>
      </c>
      <c r="B430" s="60" t="s">
        <v>713</v>
      </c>
      <c r="C430" s="34">
        <v>4301052220</v>
      </c>
      <c r="D430" s="626">
        <v>4680115889538</v>
      </c>
      <c r="E430" s="626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133</v>
      </c>
      <c r="L430" s="35" t="s">
        <v>46</v>
      </c>
      <c r="M430" s="36" t="s">
        <v>90</v>
      </c>
      <c r="N430" s="36"/>
      <c r="O430" s="35">
        <v>45</v>
      </c>
      <c r="P430" s="68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28"/>
      <c r="R430" s="628"/>
      <c r="S430" s="628"/>
      <c r="T430" s="629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276</v>
      </c>
      <c r="AC430" s="521" t="s">
        <v>714</v>
      </c>
      <c r="AG430" s="75"/>
      <c r="AJ430" s="79" t="s">
        <v>46</v>
      </c>
      <c r="AK430" s="79">
        <v>0</v>
      </c>
      <c r="BB430" s="522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715</v>
      </c>
      <c r="B431" s="60" t="s">
        <v>716</v>
      </c>
      <c r="C431" s="34">
        <v>4301051903</v>
      </c>
      <c r="D431" s="626">
        <v>4607091383928</v>
      </c>
      <c r="E431" s="626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133</v>
      </c>
      <c r="L431" s="35" t="s">
        <v>46</v>
      </c>
      <c r="M431" s="36" t="s">
        <v>90</v>
      </c>
      <c r="N431" s="36"/>
      <c r="O431" s="35">
        <v>40</v>
      </c>
      <c r="P431" s="68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28"/>
      <c r="R431" s="628"/>
      <c r="S431" s="628"/>
      <c r="T431" s="629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717</v>
      </c>
      <c r="AG431" s="75"/>
      <c r="AJ431" s="79" t="s">
        <v>46</v>
      </c>
      <c r="AK431" s="79">
        <v>0</v>
      </c>
      <c r="BB431" s="524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718</v>
      </c>
      <c r="B432" s="60" t="s">
        <v>719</v>
      </c>
      <c r="C432" s="34">
        <v>4301051897</v>
      </c>
      <c r="D432" s="626">
        <v>4607091384260</v>
      </c>
      <c r="E432" s="626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133</v>
      </c>
      <c r="L432" s="35" t="s">
        <v>46</v>
      </c>
      <c r="M432" s="36" t="s">
        <v>90</v>
      </c>
      <c r="N432" s="36"/>
      <c r="O432" s="35">
        <v>40</v>
      </c>
      <c r="P432" s="68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28"/>
      <c r="R432" s="628"/>
      <c r="S432" s="628"/>
      <c r="T432" s="629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720</v>
      </c>
      <c r="AG432" s="75"/>
      <c r="AJ432" s="79" t="s">
        <v>46</v>
      </c>
      <c r="AK432" s="79">
        <v>0</v>
      </c>
      <c r="BB432" s="526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33"/>
      <c r="B433" s="633"/>
      <c r="C433" s="633"/>
      <c r="D433" s="633"/>
      <c r="E433" s="633"/>
      <c r="F433" s="633"/>
      <c r="G433" s="633"/>
      <c r="H433" s="633"/>
      <c r="I433" s="633"/>
      <c r="J433" s="633"/>
      <c r="K433" s="633"/>
      <c r="L433" s="633"/>
      <c r="M433" s="633"/>
      <c r="N433" s="633"/>
      <c r="O433" s="634"/>
      <c r="P433" s="630" t="s">
        <v>40</v>
      </c>
      <c r="Q433" s="631"/>
      <c r="R433" s="631"/>
      <c r="S433" s="631"/>
      <c r="T433" s="631"/>
      <c r="U433" s="631"/>
      <c r="V433" s="632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25" t="s">
        <v>181</v>
      </c>
      <c r="B435" s="625"/>
      <c r="C435" s="625"/>
      <c r="D435" s="625"/>
      <c r="E435" s="625"/>
      <c r="F435" s="625"/>
      <c r="G435" s="625"/>
      <c r="H435" s="625"/>
      <c r="I435" s="625"/>
      <c r="J435" s="625"/>
      <c r="K435" s="625"/>
      <c r="L435" s="625"/>
      <c r="M435" s="625"/>
      <c r="N435" s="625"/>
      <c r="O435" s="625"/>
      <c r="P435" s="625"/>
      <c r="Q435" s="625"/>
      <c r="R435" s="625"/>
      <c r="S435" s="625"/>
      <c r="T435" s="625"/>
      <c r="U435" s="625"/>
      <c r="V435" s="625"/>
      <c r="W435" s="625"/>
      <c r="X435" s="625"/>
      <c r="Y435" s="625"/>
      <c r="Z435" s="625"/>
      <c r="AA435" s="63"/>
      <c r="AB435" s="63"/>
      <c r="AC435" s="63"/>
    </row>
    <row r="436" spans="1:68" ht="27" hidden="1" customHeight="1" x14ac:dyDescent="0.25">
      <c r="A436" s="60" t="s">
        <v>721</v>
      </c>
      <c r="B436" s="60" t="s">
        <v>722</v>
      </c>
      <c r="C436" s="34">
        <v>4301060537</v>
      </c>
      <c r="D436" s="626">
        <v>4680115889545</v>
      </c>
      <c r="E436" s="626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133</v>
      </c>
      <c r="L436" s="35" t="s">
        <v>46</v>
      </c>
      <c r="M436" s="36" t="s">
        <v>90</v>
      </c>
      <c r="N436" s="36"/>
      <c r="O436" s="35">
        <v>30</v>
      </c>
      <c r="P436" s="6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28"/>
      <c r="R436" s="628"/>
      <c r="S436" s="628"/>
      <c r="T436" s="62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276</v>
      </c>
      <c r="AC436" s="527" t="s">
        <v>723</v>
      </c>
      <c r="AG436" s="75"/>
      <c r="AJ436" s="79" t="s">
        <v>46</v>
      </c>
      <c r="AK436" s="79">
        <v>0</v>
      </c>
      <c r="BB436" s="528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724</v>
      </c>
      <c r="B437" s="60" t="s">
        <v>725</v>
      </c>
      <c r="C437" s="34">
        <v>4301060524</v>
      </c>
      <c r="D437" s="626">
        <v>4607091384673</v>
      </c>
      <c r="E437" s="626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133</v>
      </c>
      <c r="L437" s="35" t="s">
        <v>46</v>
      </c>
      <c r="M437" s="36" t="s">
        <v>90</v>
      </c>
      <c r="N437" s="36"/>
      <c r="O437" s="35">
        <v>40</v>
      </c>
      <c r="P437" s="68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28"/>
      <c r="R437" s="628"/>
      <c r="S437" s="628"/>
      <c r="T437" s="629"/>
      <c r="U437" s="37" t="s">
        <v>46</v>
      </c>
      <c r="V437" s="37" t="s">
        <v>46</v>
      </c>
      <c r="W437" s="38" t="s">
        <v>0</v>
      </c>
      <c r="X437" s="56">
        <v>100</v>
      </c>
      <c r="Y437" s="53">
        <f>IFERROR(IF(X437="",0,CEILING((X437/$H437),1)*$H437),"")</f>
        <v>108</v>
      </c>
      <c r="Z437" s="39">
        <f>IFERROR(IF(Y437=0,"",ROUNDUP(Y437/H437,0)*0.01898),"")</f>
        <v>0.22776000000000002</v>
      </c>
      <c r="AA437" s="65" t="s">
        <v>46</v>
      </c>
      <c r="AB437" s="66" t="s">
        <v>46</v>
      </c>
      <c r="AC437" s="529" t="s">
        <v>726</v>
      </c>
      <c r="AG437" s="75"/>
      <c r="AJ437" s="79" t="s">
        <v>46</v>
      </c>
      <c r="AK437" s="79">
        <v>0</v>
      </c>
      <c r="BB437" s="530" t="s">
        <v>67</v>
      </c>
      <c r="BM437" s="75">
        <f>IFERROR(X437*I437/H437,"0")</f>
        <v>105.48888888888888</v>
      </c>
      <c r="BN437" s="75">
        <f>IFERROR(Y437*I437/H437,"0")</f>
        <v>113.92799999999998</v>
      </c>
      <c r="BO437" s="75">
        <f>IFERROR(1/J437*(X437/H437),"0")</f>
        <v>0.1736111111111111</v>
      </c>
      <c r="BP437" s="75">
        <f>IFERROR(1/J437*(Y437/H437),"0")</f>
        <v>0.1875</v>
      </c>
    </row>
    <row r="438" spans="1:68" x14ac:dyDescent="0.2">
      <c r="A438" s="633"/>
      <c r="B438" s="633"/>
      <c r="C438" s="633"/>
      <c r="D438" s="633"/>
      <c r="E438" s="633"/>
      <c r="F438" s="633"/>
      <c r="G438" s="633"/>
      <c r="H438" s="633"/>
      <c r="I438" s="633"/>
      <c r="J438" s="633"/>
      <c r="K438" s="633"/>
      <c r="L438" s="633"/>
      <c r="M438" s="633"/>
      <c r="N438" s="633"/>
      <c r="O438" s="634"/>
      <c r="P438" s="630" t="s">
        <v>40</v>
      </c>
      <c r="Q438" s="631"/>
      <c r="R438" s="631"/>
      <c r="S438" s="631"/>
      <c r="T438" s="631"/>
      <c r="U438" s="631"/>
      <c r="V438" s="632"/>
      <c r="W438" s="40" t="s">
        <v>39</v>
      </c>
      <c r="X438" s="41">
        <f>IFERROR(X436/H436,"0")+IFERROR(X437/H437,"0")</f>
        <v>11.111111111111111</v>
      </c>
      <c r="Y438" s="41">
        <f>IFERROR(Y436/H436,"0")+IFERROR(Y437/H437,"0")</f>
        <v>12</v>
      </c>
      <c r="Z438" s="41">
        <f>IFERROR(IF(Z436="",0,Z436),"0")+IFERROR(IF(Z437="",0,Z437),"0")</f>
        <v>0.22776000000000002</v>
      </c>
      <c r="AA438" s="64"/>
      <c r="AB438" s="64"/>
      <c r="AC438" s="64"/>
    </row>
    <row r="439" spans="1:68" x14ac:dyDescent="0.2">
      <c r="A439" s="633"/>
      <c r="B439" s="633"/>
      <c r="C439" s="633"/>
      <c r="D439" s="633"/>
      <c r="E439" s="633"/>
      <c r="F439" s="633"/>
      <c r="G439" s="633"/>
      <c r="H439" s="633"/>
      <c r="I439" s="633"/>
      <c r="J439" s="633"/>
      <c r="K439" s="633"/>
      <c r="L439" s="633"/>
      <c r="M439" s="633"/>
      <c r="N439" s="633"/>
      <c r="O439" s="634"/>
      <c r="P439" s="630" t="s">
        <v>40</v>
      </c>
      <c r="Q439" s="631"/>
      <c r="R439" s="631"/>
      <c r="S439" s="631"/>
      <c r="T439" s="631"/>
      <c r="U439" s="631"/>
      <c r="V439" s="632"/>
      <c r="W439" s="40" t="s">
        <v>0</v>
      </c>
      <c r="X439" s="41">
        <f>IFERROR(SUM(X436:X437),"0")</f>
        <v>100</v>
      </c>
      <c r="Y439" s="41">
        <f>IFERROR(SUM(Y436:Y437),"0")</f>
        <v>108</v>
      </c>
      <c r="Z439" s="40"/>
      <c r="AA439" s="64"/>
      <c r="AB439" s="64"/>
      <c r="AC439" s="64"/>
    </row>
    <row r="440" spans="1:68" ht="16.5" hidden="1" customHeight="1" x14ac:dyDescent="0.25">
      <c r="A440" s="641" t="s">
        <v>727</v>
      </c>
      <c r="B440" s="641"/>
      <c r="C440" s="641"/>
      <c r="D440" s="641"/>
      <c r="E440" s="641"/>
      <c r="F440" s="641"/>
      <c r="G440" s="641"/>
      <c r="H440" s="641"/>
      <c r="I440" s="641"/>
      <c r="J440" s="641"/>
      <c r="K440" s="641"/>
      <c r="L440" s="641"/>
      <c r="M440" s="641"/>
      <c r="N440" s="641"/>
      <c r="O440" s="641"/>
      <c r="P440" s="641"/>
      <c r="Q440" s="641"/>
      <c r="R440" s="641"/>
      <c r="S440" s="641"/>
      <c r="T440" s="641"/>
      <c r="U440" s="641"/>
      <c r="V440" s="641"/>
      <c r="W440" s="641"/>
      <c r="X440" s="641"/>
      <c r="Y440" s="641"/>
      <c r="Z440" s="641"/>
      <c r="AA440" s="62"/>
      <c r="AB440" s="62"/>
      <c r="AC440" s="62"/>
    </row>
    <row r="441" spans="1:68" ht="14.25" hidden="1" customHeight="1" x14ac:dyDescent="0.25">
      <c r="A441" s="625" t="s">
        <v>128</v>
      </c>
      <c r="B441" s="625"/>
      <c r="C441" s="625"/>
      <c r="D441" s="625"/>
      <c r="E441" s="625"/>
      <c r="F441" s="625"/>
      <c r="G441" s="625"/>
      <c r="H441" s="625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5"/>
      <c r="V441" s="625"/>
      <c r="W441" s="625"/>
      <c r="X441" s="625"/>
      <c r="Y441" s="625"/>
      <c r="Z441" s="625"/>
      <c r="AA441" s="63"/>
      <c r="AB441" s="63"/>
      <c r="AC441" s="63"/>
    </row>
    <row r="442" spans="1:68" ht="27" hidden="1" customHeight="1" x14ac:dyDescent="0.25">
      <c r="A442" s="60" t="s">
        <v>728</v>
      </c>
      <c r="B442" s="60" t="s">
        <v>729</v>
      </c>
      <c r="C442" s="34">
        <v>4301011875</v>
      </c>
      <c r="D442" s="626">
        <v>4680115884885</v>
      </c>
      <c r="E442" s="626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133</v>
      </c>
      <c r="L442" s="35" t="s">
        <v>46</v>
      </c>
      <c r="M442" s="36" t="s">
        <v>81</v>
      </c>
      <c r="N442" s="36"/>
      <c r="O442" s="35">
        <v>60</v>
      </c>
      <c r="P442" s="6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28"/>
      <c r="R442" s="628"/>
      <c r="S442" s="628"/>
      <c r="T442" s="62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730</v>
      </c>
      <c r="AG442" s="75"/>
      <c r="AJ442" s="79" t="s">
        <v>46</v>
      </c>
      <c r="AK442" s="79">
        <v>0</v>
      </c>
      <c r="BB442" s="532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731</v>
      </c>
      <c r="B443" s="60" t="s">
        <v>732</v>
      </c>
      <c r="C443" s="34">
        <v>4301011871</v>
      </c>
      <c r="D443" s="626">
        <v>4680115884908</v>
      </c>
      <c r="E443" s="626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140</v>
      </c>
      <c r="L443" s="35" t="s">
        <v>46</v>
      </c>
      <c r="M443" s="36" t="s">
        <v>81</v>
      </c>
      <c r="N443" s="36"/>
      <c r="O443" s="35">
        <v>60</v>
      </c>
      <c r="P443" s="6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28"/>
      <c r="R443" s="628"/>
      <c r="S443" s="628"/>
      <c r="T443" s="629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633"/>
      <c r="B444" s="633"/>
      <c r="C444" s="633"/>
      <c r="D444" s="633"/>
      <c r="E444" s="633"/>
      <c r="F444" s="633"/>
      <c r="G444" s="633"/>
      <c r="H444" s="633"/>
      <c r="I444" s="633"/>
      <c r="J444" s="633"/>
      <c r="K444" s="633"/>
      <c r="L444" s="633"/>
      <c r="M444" s="633"/>
      <c r="N444" s="633"/>
      <c r="O444" s="634"/>
      <c r="P444" s="630" t="s">
        <v>40</v>
      </c>
      <c r="Q444" s="631"/>
      <c r="R444" s="631"/>
      <c r="S444" s="631"/>
      <c r="T444" s="631"/>
      <c r="U444" s="631"/>
      <c r="V444" s="632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25" t="s">
        <v>77</v>
      </c>
      <c r="B446" s="625"/>
      <c r="C446" s="625"/>
      <c r="D446" s="625"/>
      <c r="E446" s="625"/>
      <c r="F446" s="625"/>
      <c r="G446" s="625"/>
      <c r="H446" s="625"/>
      <c r="I446" s="625"/>
      <c r="J446" s="625"/>
      <c r="K446" s="625"/>
      <c r="L446" s="625"/>
      <c r="M446" s="625"/>
      <c r="N446" s="625"/>
      <c r="O446" s="625"/>
      <c r="P446" s="625"/>
      <c r="Q446" s="625"/>
      <c r="R446" s="625"/>
      <c r="S446" s="625"/>
      <c r="T446" s="625"/>
      <c r="U446" s="625"/>
      <c r="V446" s="625"/>
      <c r="W446" s="625"/>
      <c r="X446" s="625"/>
      <c r="Y446" s="625"/>
      <c r="Z446" s="625"/>
      <c r="AA446" s="63"/>
      <c r="AB446" s="63"/>
      <c r="AC446" s="63"/>
    </row>
    <row r="447" spans="1:68" ht="27" hidden="1" customHeight="1" x14ac:dyDescent="0.25">
      <c r="A447" s="60" t="s">
        <v>733</v>
      </c>
      <c r="B447" s="60" t="s">
        <v>734</v>
      </c>
      <c r="C447" s="34">
        <v>4301031457</v>
      </c>
      <c r="D447" s="626">
        <v>4607091384802</v>
      </c>
      <c r="E447" s="626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140</v>
      </c>
      <c r="L447" s="35" t="s">
        <v>46</v>
      </c>
      <c r="M447" s="36" t="s">
        <v>81</v>
      </c>
      <c r="N447" s="36"/>
      <c r="O447" s="35">
        <v>50</v>
      </c>
      <c r="P447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28"/>
      <c r="R447" s="628"/>
      <c r="S447" s="628"/>
      <c r="T447" s="62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735</v>
      </c>
      <c r="AG447" s="75"/>
      <c r="AJ447" s="79" t="s">
        <v>46</v>
      </c>
      <c r="AK447" s="79">
        <v>0</v>
      </c>
      <c r="BB447" s="536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33"/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4"/>
      <c r="P448" s="630" t="s">
        <v>40</v>
      </c>
      <c r="Q448" s="631"/>
      <c r="R448" s="631"/>
      <c r="S448" s="631"/>
      <c r="T448" s="631"/>
      <c r="U448" s="631"/>
      <c r="V448" s="632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633"/>
      <c r="B449" s="633"/>
      <c r="C449" s="633"/>
      <c r="D449" s="633"/>
      <c r="E449" s="633"/>
      <c r="F449" s="633"/>
      <c r="G449" s="633"/>
      <c r="H449" s="633"/>
      <c r="I449" s="633"/>
      <c r="J449" s="633"/>
      <c r="K449" s="633"/>
      <c r="L449" s="633"/>
      <c r="M449" s="633"/>
      <c r="N449" s="633"/>
      <c r="O449" s="634"/>
      <c r="P449" s="630" t="s">
        <v>40</v>
      </c>
      <c r="Q449" s="631"/>
      <c r="R449" s="631"/>
      <c r="S449" s="631"/>
      <c r="T449" s="631"/>
      <c r="U449" s="631"/>
      <c r="V449" s="632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25" t="s">
        <v>86</v>
      </c>
      <c r="B450" s="625"/>
      <c r="C450" s="625"/>
      <c r="D450" s="625"/>
      <c r="E450" s="625"/>
      <c r="F450" s="625"/>
      <c r="G450" s="625"/>
      <c r="H450" s="625"/>
      <c r="I450" s="625"/>
      <c r="J450" s="625"/>
      <c r="K450" s="625"/>
      <c r="L450" s="625"/>
      <c r="M450" s="625"/>
      <c r="N450" s="625"/>
      <c r="O450" s="625"/>
      <c r="P450" s="625"/>
      <c r="Q450" s="625"/>
      <c r="R450" s="625"/>
      <c r="S450" s="625"/>
      <c r="T450" s="625"/>
      <c r="U450" s="625"/>
      <c r="V450" s="625"/>
      <c r="W450" s="625"/>
      <c r="X450" s="625"/>
      <c r="Y450" s="625"/>
      <c r="Z450" s="625"/>
      <c r="AA450" s="63"/>
      <c r="AB450" s="63"/>
      <c r="AC450" s="63"/>
    </row>
    <row r="451" spans="1:68" ht="27" hidden="1" customHeight="1" x14ac:dyDescent="0.25">
      <c r="A451" s="60" t="s">
        <v>736</v>
      </c>
      <c r="B451" s="60" t="s">
        <v>737</v>
      </c>
      <c r="C451" s="34">
        <v>4301051899</v>
      </c>
      <c r="D451" s="626">
        <v>4607091384246</v>
      </c>
      <c r="E451" s="626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133</v>
      </c>
      <c r="L451" s="35" t="s">
        <v>46</v>
      </c>
      <c r="M451" s="36" t="s">
        <v>90</v>
      </c>
      <c r="N451" s="36"/>
      <c r="O451" s="35">
        <v>40</v>
      </c>
      <c r="P451" s="6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28"/>
      <c r="R451" s="628"/>
      <c r="S451" s="628"/>
      <c r="T451" s="629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738</v>
      </c>
      <c r="AG451" s="75"/>
      <c r="AJ451" s="79" t="s">
        <v>46</v>
      </c>
      <c r="AK451" s="79">
        <v>0</v>
      </c>
      <c r="BB451" s="538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739</v>
      </c>
      <c r="B452" s="60" t="s">
        <v>740</v>
      </c>
      <c r="C452" s="34">
        <v>4301051660</v>
      </c>
      <c r="D452" s="626">
        <v>4607091384253</v>
      </c>
      <c r="E452" s="626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91</v>
      </c>
      <c r="L452" s="35" t="s">
        <v>46</v>
      </c>
      <c r="M452" s="36" t="s">
        <v>90</v>
      </c>
      <c r="N452" s="36"/>
      <c r="O452" s="35">
        <v>40</v>
      </c>
      <c r="P452" s="6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28"/>
      <c r="R452" s="628"/>
      <c r="S452" s="628"/>
      <c r="T452" s="62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738</v>
      </c>
      <c r="AG452" s="75"/>
      <c r="AJ452" s="79" t="s">
        <v>46</v>
      </c>
      <c r="AK452" s="79">
        <v>0</v>
      </c>
      <c r="BB452" s="54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739</v>
      </c>
      <c r="B453" s="60" t="s">
        <v>741</v>
      </c>
      <c r="C453" s="34">
        <v>4301052069</v>
      </c>
      <c r="D453" s="626">
        <v>4607091384253</v>
      </c>
      <c r="E453" s="626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91</v>
      </c>
      <c r="L453" s="35" t="s">
        <v>46</v>
      </c>
      <c r="M453" s="36" t="s">
        <v>90</v>
      </c>
      <c r="N453" s="36"/>
      <c r="O453" s="35">
        <v>40</v>
      </c>
      <c r="P453" s="6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28"/>
      <c r="R453" s="628"/>
      <c r="S453" s="628"/>
      <c r="T453" s="62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742</v>
      </c>
      <c r="AG453" s="75"/>
      <c r="AJ453" s="79" t="s">
        <v>46</v>
      </c>
      <c r="AK453" s="79">
        <v>0</v>
      </c>
      <c r="BB453" s="54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33"/>
      <c r="B454" s="633"/>
      <c r="C454" s="633"/>
      <c r="D454" s="633"/>
      <c r="E454" s="633"/>
      <c r="F454" s="633"/>
      <c r="G454" s="633"/>
      <c r="H454" s="633"/>
      <c r="I454" s="633"/>
      <c r="J454" s="633"/>
      <c r="K454" s="633"/>
      <c r="L454" s="633"/>
      <c r="M454" s="633"/>
      <c r="N454" s="633"/>
      <c r="O454" s="634"/>
      <c r="P454" s="630" t="s">
        <v>40</v>
      </c>
      <c r="Q454" s="631"/>
      <c r="R454" s="631"/>
      <c r="S454" s="631"/>
      <c r="T454" s="631"/>
      <c r="U454" s="631"/>
      <c r="V454" s="632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46" t="s">
        <v>743</v>
      </c>
      <c r="B456" s="646"/>
      <c r="C456" s="646"/>
      <c r="D456" s="646"/>
      <c r="E456" s="646"/>
      <c r="F456" s="646"/>
      <c r="G456" s="646"/>
      <c r="H456" s="646"/>
      <c r="I456" s="646"/>
      <c r="J456" s="646"/>
      <c r="K456" s="646"/>
      <c r="L456" s="646"/>
      <c r="M456" s="646"/>
      <c r="N456" s="646"/>
      <c r="O456" s="646"/>
      <c r="P456" s="646"/>
      <c r="Q456" s="646"/>
      <c r="R456" s="646"/>
      <c r="S456" s="646"/>
      <c r="T456" s="646"/>
      <c r="U456" s="646"/>
      <c r="V456" s="646"/>
      <c r="W456" s="646"/>
      <c r="X456" s="646"/>
      <c r="Y456" s="646"/>
      <c r="Z456" s="646"/>
      <c r="AA456" s="52"/>
      <c r="AB456" s="52"/>
      <c r="AC456" s="52"/>
    </row>
    <row r="457" spans="1:68" ht="16.5" hidden="1" customHeight="1" x14ac:dyDescent="0.25">
      <c r="A457" s="641" t="s">
        <v>744</v>
      </c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1"/>
      <c r="P457" s="641"/>
      <c r="Q457" s="641"/>
      <c r="R457" s="641"/>
      <c r="S457" s="641"/>
      <c r="T457" s="641"/>
      <c r="U457" s="641"/>
      <c r="V457" s="641"/>
      <c r="W457" s="641"/>
      <c r="X457" s="641"/>
      <c r="Y457" s="641"/>
      <c r="Z457" s="641"/>
      <c r="AA457" s="62"/>
      <c r="AB457" s="62"/>
      <c r="AC457" s="62"/>
    </row>
    <row r="458" spans="1:68" ht="14.25" hidden="1" customHeight="1" x14ac:dyDescent="0.25">
      <c r="A458" s="625" t="s">
        <v>77</v>
      </c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5"/>
      <c r="P458" s="625"/>
      <c r="Q458" s="625"/>
      <c r="R458" s="625"/>
      <c r="S458" s="625"/>
      <c r="T458" s="625"/>
      <c r="U458" s="625"/>
      <c r="V458" s="625"/>
      <c r="W458" s="625"/>
      <c r="X458" s="625"/>
      <c r="Y458" s="625"/>
      <c r="Z458" s="625"/>
      <c r="AA458" s="63"/>
      <c r="AB458" s="63"/>
      <c r="AC458" s="63"/>
    </row>
    <row r="459" spans="1:68" ht="27" hidden="1" customHeight="1" x14ac:dyDescent="0.25">
      <c r="A459" s="60" t="s">
        <v>745</v>
      </c>
      <c r="B459" s="60" t="s">
        <v>746</v>
      </c>
      <c r="C459" s="34">
        <v>4301031405</v>
      </c>
      <c r="D459" s="626">
        <v>4680115886100</v>
      </c>
      <c r="E459" s="626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140</v>
      </c>
      <c r="L459" s="35" t="s">
        <v>46</v>
      </c>
      <c r="M459" s="36" t="s">
        <v>81</v>
      </c>
      <c r="N459" s="36"/>
      <c r="O459" s="35">
        <v>50</v>
      </c>
      <c r="P459" s="6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28"/>
      <c r="R459" s="628"/>
      <c r="S459" s="628"/>
      <c r="T459" s="629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747</v>
      </c>
      <c r="AG459" s="75"/>
      <c r="AJ459" s="79" t="s">
        <v>46</v>
      </c>
      <c r="AK459" s="79">
        <v>0</v>
      </c>
      <c r="BB459" s="544" t="s">
        <v>67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748</v>
      </c>
      <c r="B460" s="60" t="s">
        <v>749</v>
      </c>
      <c r="C460" s="34">
        <v>4301031402</v>
      </c>
      <c r="D460" s="626">
        <v>4680115886124</v>
      </c>
      <c r="E460" s="626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140</v>
      </c>
      <c r="L460" s="35" t="s">
        <v>46</v>
      </c>
      <c r="M460" s="36" t="s">
        <v>81</v>
      </c>
      <c r="N460" s="36"/>
      <c r="O460" s="35">
        <v>50</v>
      </c>
      <c r="P460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28"/>
      <c r="R460" s="628"/>
      <c r="S460" s="628"/>
      <c r="T460" s="629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750</v>
      </c>
      <c r="AG460" s="75"/>
      <c r="AJ460" s="79" t="s">
        <v>46</v>
      </c>
      <c r="AK460" s="79">
        <v>0</v>
      </c>
      <c r="BB460" s="546" t="s">
        <v>67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751</v>
      </c>
      <c r="B461" s="60" t="s">
        <v>752</v>
      </c>
      <c r="C461" s="34">
        <v>4301031362</v>
      </c>
      <c r="D461" s="626">
        <v>4607091384338</v>
      </c>
      <c r="E461" s="626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82</v>
      </c>
      <c r="L461" s="35" t="s">
        <v>46</v>
      </c>
      <c r="M461" s="36" t="s">
        <v>81</v>
      </c>
      <c r="N461" s="36"/>
      <c r="O461" s="35">
        <v>50</v>
      </c>
      <c r="P461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28"/>
      <c r="R461" s="628"/>
      <c r="S461" s="628"/>
      <c r="T461" s="629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747</v>
      </c>
      <c r="AG461" s="75"/>
      <c r="AJ461" s="79" t="s">
        <v>46</v>
      </c>
      <c r="AK461" s="79">
        <v>0</v>
      </c>
      <c r="BB461" s="548" t="s">
        <v>67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753</v>
      </c>
      <c r="B462" s="60" t="s">
        <v>754</v>
      </c>
      <c r="C462" s="34">
        <v>4301031364</v>
      </c>
      <c r="D462" s="626">
        <v>4680115883161</v>
      </c>
      <c r="E462" s="626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82</v>
      </c>
      <c r="L462" s="35" t="s">
        <v>46</v>
      </c>
      <c r="M462" s="36" t="s">
        <v>81</v>
      </c>
      <c r="N462" s="36"/>
      <c r="O462" s="35">
        <v>50</v>
      </c>
      <c r="P462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28"/>
      <c r="R462" s="628"/>
      <c r="S462" s="628"/>
      <c r="T462" s="629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755</v>
      </c>
      <c r="AG462" s="75"/>
      <c r="AJ462" s="79" t="s">
        <v>46</v>
      </c>
      <c r="AK462" s="79">
        <v>0</v>
      </c>
      <c r="BB462" s="550" t="s">
        <v>67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756</v>
      </c>
      <c r="B463" s="60" t="s">
        <v>757</v>
      </c>
      <c r="C463" s="34">
        <v>4301031358</v>
      </c>
      <c r="D463" s="626">
        <v>4607091389531</v>
      </c>
      <c r="E463" s="626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82</v>
      </c>
      <c r="L463" s="35" t="s">
        <v>46</v>
      </c>
      <c r="M463" s="36" t="s">
        <v>81</v>
      </c>
      <c r="N463" s="36"/>
      <c r="O463" s="35">
        <v>50</v>
      </c>
      <c r="P463" s="6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28"/>
      <c r="R463" s="628"/>
      <c r="S463" s="628"/>
      <c r="T463" s="629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758</v>
      </c>
      <c r="AG463" s="75"/>
      <c r="AJ463" s="79" t="s">
        <v>46</v>
      </c>
      <c r="AK463" s="79">
        <v>0</v>
      </c>
      <c r="BB463" s="552" t="s">
        <v>67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759</v>
      </c>
      <c r="B464" s="60" t="s">
        <v>760</v>
      </c>
      <c r="C464" s="34">
        <v>4301031360</v>
      </c>
      <c r="D464" s="626">
        <v>4607091384345</v>
      </c>
      <c r="E464" s="62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28"/>
      <c r="R464" s="628"/>
      <c r="S464" s="628"/>
      <c r="T464" s="629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755</v>
      </c>
      <c r="AG464" s="75"/>
      <c r="AJ464" s="79" t="s">
        <v>46</v>
      </c>
      <c r="AK464" s="79">
        <v>0</v>
      </c>
      <c r="BB464" s="554" t="s">
        <v>67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633"/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4"/>
      <c r="P465" s="630" t="s">
        <v>40</v>
      </c>
      <c r="Q465" s="631"/>
      <c r="R465" s="631"/>
      <c r="S465" s="631"/>
      <c r="T465" s="631"/>
      <c r="U465" s="631"/>
      <c r="V465" s="632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633"/>
      <c r="B466" s="633"/>
      <c r="C466" s="633"/>
      <c r="D466" s="633"/>
      <c r="E466" s="633"/>
      <c r="F466" s="633"/>
      <c r="G466" s="633"/>
      <c r="H466" s="633"/>
      <c r="I466" s="633"/>
      <c r="J466" s="633"/>
      <c r="K466" s="633"/>
      <c r="L466" s="633"/>
      <c r="M466" s="633"/>
      <c r="N466" s="633"/>
      <c r="O466" s="634"/>
      <c r="P466" s="630" t="s">
        <v>40</v>
      </c>
      <c r="Q466" s="631"/>
      <c r="R466" s="631"/>
      <c r="S466" s="631"/>
      <c r="T466" s="631"/>
      <c r="U466" s="631"/>
      <c r="V466" s="632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25" t="s">
        <v>86</v>
      </c>
      <c r="B467" s="625"/>
      <c r="C467" s="625"/>
      <c r="D467" s="625"/>
      <c r="E467" s="625"/>
      <c r="F467" s="625"/>
      <c r="G467" s="625"/>
      <c r="H467" s="625"/>
      <c r="I467" s="625"/>
      <c r="J467" s="625"/>
      <c r="K467" s="625"/>
      <c r="L467" s="625"/>
      <c r="M467" s="625"/>
      <c r="N467" s="625"/>
      <c r="O467" s="625"/>
      <c r="P467" s="625"/>
      <c r="Q467" s="625"/>
      <c r="R467" s="625"/>
      <c r="S467" s="625"/>
      <c r="T467" s="625"/>
      <c r="U467" s="625"/>
      <c r="V467" s="625"/>
      <c r="W467" s="625"/>
      <c r="X467" s="625"/>
      <c r="Y467" s="625"/>
      <c r="Z467" s="625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4301051284</v>
      </c>
      <c r="D468" s="626">
        <v>4607091384352</v>
      </c>
      <c r="E468" s="626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140</v>
      </c>
      <c r="L468" s="35" t="s">
        <v>46</v>
      </c>
      <c r="M468" s="36" t="s">
        <v>90</v>
      </c>
      <c r="N468" s="36"/>
      <c r="O468" s="35">
        <v>45</v>
      </c>
      <c r="P468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28"/>
      <c r="R468" s="628"/>
      <c r="S468" s="628"/>
      <c r="T468" s="62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4301051431</v>
      </c>
      <c r="D469" s="626">
        <v>4607091389654</v>
      </c>
      <c r="E469" s="626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91</v>
      </c>
      <c r="L469" s="35" t="s">
        <v>46</v>
      </c>
      <c r="M469" s="36" t="s">
        <v>90</v>
      </c>
      <c r="N469" s="36"/>
      <c r="O469" s="35">
        <v>45</v>
      </c>
      <c r="P469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28"/>
      <c r="R469" s="628"/>
      <c r="S469" s="628"/>
      <c r="T469" s="62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33"/>
      <c r="B470" s="633"/>
      <c r="C470" s="633"/>
      <c r="D470" s="633"/>
      <c r="E470" s="633"/>
      <c r="F470" s="633"/>
      <c r="G470" s="633"/>
      <c r="H470" s="633"/>
      <c r="I470" s="633"/>
      <c r="J470" s="633"/>
      <c r="K470" s="633"/>
      <c r="L470" s="633"/>
      <c r="M470" s="633"/>
      <c r="N470" s="633"/>
      <c r="O470" s="634"/>
      <c r="P470" s="630" t="s">
        <v>40</v>
      </c>
      <c r="Q470" s="631"/>
      <c r="R470" s="631"/>
      <c r="S470" s="631"/>
      <c r="T470" s="631"/>
      <c r="U470" s="631"/>
      <c r="V470" s="632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633"/>
      <c r="B471" s="633"/>
      <c r="C471" s="633"/>
      <c r="D471" s="633"/>
      <c r="E471" s="633"/>
      <c r="F471" s="633"/>
      <c r="G471" s="633"/>
      <c r="H471" s="633"/>
      <c r="I471" s="633"/>
      <c r="J471" s="633"/>
      <c r="K471" s="633"/>
      <c r="L471" s="633"/>
      <c r="M471" s="633"/>
      <c r="N471" s="633"/>
      <c r="O471" s="634"/>
      <c r="P471" s="630" t="s">
        <v>40</v>
      </c>
      <c r="Q471" s="631"/>
      <c r="R471" s="631"/>
      <c r="S471" s="631"/>
      <c r="T471" s="631"/>
      <c r="U471" s="631"/>
      <c r="V471" s="632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41" t="s">
        <v>767</v>
      </c>
      <c r="B472" s="641"/>
      <c r="C472" s="641"/>
      <c r="D472" s="641"/>
      <c r="E472" s="641"/>
      <c r="F472" s="641"/>
      <c r="G472" s="641"/>
      <c r="H472" s="641"/>
      <c r="I472" s="641"/>
      <c r="J472" s="641"/>
      <c r="K472" s="641"/>
      <c r="L472" s="641"/>
      <c r="M472" s="641"/>
      <c r="N472" s="641"/>
      <c r="O472" s="641"/>
      <c r="P472" s="641"/>
      <c r="Q472" s="641"/>
      <c r="R472" s="641"/>
      <c r="S472" s="641"/>
      <c r="T472" s="641"/>
      <c r="U472" s="641"/>
      <c r="V472" s="641"/>
      <c r="W472" s="641"/>
      <c r="X472" s="641"/>
      <c r="Y472" s="641"/>
      <c r="Z472" s="641"/>
      <c r="AA472" s="62"/>
      <c r="AB472" s="62"/>
      <c r="AC472" s="62"/>
    </row>
    <row r="473" spans="1:68" ht="14.25" hidden="1" customHeight="1" x14ac:dyDescent="0.25">
      <c r="A473" s="625" t="s">
        <v>164</v>
      </c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5"/>
      <c r="V473" s="625"/>
      <c r="W473" s="625"/>
      <c r="X473" s="625"/>
      <c r="Y473" s="625"/>
      <c r="Z473" s="625"/>
      <c r="AA473" s="63"/>
      <c r="AB473" s="63"/>
      <c r="AC473" s="63"/>
    </row>
    <row r="474" spans="1:68" ht="27" hidden="1" customHeight="1" x14ac:dyDescent="0.25">
      <c r="A474" s="60" t="s">
        <v>768</v>
      </c>
      <c r="B474" s="60" t="s">
        <v>769</v>
      </c>
      <c r="C474" s="34">
        <v>4301020416</v>
      </c>
      <c r="D474" s="626">
        <v>4680115885240</v>
      </c>
      <c r="E474" s="626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91</v>
      </c>
      <c r="L474" s="35" t="s">
        <v>46</v>
      </c>
      <c r="M474" s="36" t="s">
        <v>81</v>
      </c>
      <c r="N474" s="36"/>
      <c r="O474" s="35">
        <v>40</v>
      </c>
      <c r="P474" s="6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28"/>
      <c r="R474" s="628"/>
      <c r="S474" s="628"/>
      <c r="T474" s="629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770</v>
      </c>
      <c r="AG474" s="75"/>
      <c r="AJ474" s="79" t="s">
        <v>46</v>
      </c>
      <c r="AK474" s="79">
        <v>0</v>
      </c>
      <c r="BB474" s="560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633"/>
      <c r="B475" s="633"/>
      <c r="C475" s="633"/>
      <c r="D475" s="633"/>
      <c r="E475" s="633"/>
      <c r="F475" s="633"/>
      <c r="G475" s="633"/>
      <c r="H475" s="633"/>
      <c r="I475" s="633"/>
      <c r="J475" s="633"/>
      <c r="K475" s="633"/>
      <c r="L475" s="633"/>
      <c r="M475" s="633"/>
      <c r="N475" s="633"/>
      <c r="O475" s="634"/>
      <c r="P475" s="630" t="s">
        <v>40</v>
      </c>
      <c r="Q475" s="631"/>
      <c r="R475" s="631"/>
      <c r="S475" s="631"/>
      <c r="T475" s="631"/>
      <c r="U475" s="631"/>
      <c r="V475" s="632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25" t="s">
        <v>77</v>
      </c>
      <c r="B477" s="625"/>
      <c r="C477" s="625"/>
      <c r="D477" s="625"/>
      <c r="E477" s="625"/>
      <c r="F477" s="625"/>
      <c r="G477" s="625"/>
      <c r="H477" s="625"/>
      <c r="I477" s="625"/>
      <c r="J477" s="625"/>
      <c r="K477" s="625"/>
      <c r="L477" s="625"/>
      <c r="M477" s="625"/>
      <c r="N477" s="625"/>
      <c r="O477" s="625"/>
      <c r="P477" s="625"/>
      <c r="Q477" s="625"/>
      <c r="R477" s="625"/>
      <c r="S477" s="625"/>
      <c r="T477" s="625"/>
      <c r="U477" s="625"/>
      <c r="V477" s="625"/>
      <c r="W477" s="625"/>
      <c r="X477" s="625"/>
      <c r="Y477" s="625"/>
      <c r="Z477" s="625"/>
      <c r="AA477" s="63"/>
      <c r="AB477" s="63"/>
      <c r="AC477" s="63"/>
    </row>
    <row r="478" spans="1:68" ht="27" hidden="1" customHeight="1" x14ac:dyDescent="0.25">
      <c r="A478" s="60" t="s">
        <v>771</v>
      </c>
      <c r="B478" s="60" t="s">
        <v>772</v>
      </c>
      <c r="C478" s="34">
        <v>4301031407</v>
      </c>
      <c r="D478" s="626">
        <v>4680115886094</v>
      </c>
      <c r="E478" s="626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140</v>
      </c>
      <c r="L478" s="35" t="s">
        <v>46</v>
      </c>
      <c r="M478" s="36" t="s">
        <v>81</v>
      </c>
      <c r="N478" s="36"/>
      <c r="O478" s="35">
        <v>50</v>
      </c>
      <c r="P478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28"/>
      <c r="R478" s="628"/>
      <c r="S478" s="628"/>
      <c r="T478" s="62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773</v>
      </c>
      <c r="AG478" s="75"/>
      <c r="AJ478" s="79" t="s">
        <v>46</v>
      </c>
      <c r="AK478" s="79">
        <v>0</v>
      </c>
      <c r="BB478" s="562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4301031373</v>
      </c>
      <c r="D479" s="626">
        <v>4680115880771</v>
      </c>
      <c r="E479" s="626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66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28"/>
      <c r="R479" s="628"/>
      <c r="S479" s="628"/>
      <c r="T479" s="62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776</v>
      </c>
      <c r="AG479" s="75"/>
      <c r="AJ479" s="79" t="s">
        <v>46</v>
      </c>
      <c r="AK479" s="79">
        <v>0</v>
      </c>
      <c r="BB479" s="564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777</v>
      </c>
      <c r="B480" s="60" t="s">
        <v>778</v>
      </c>
      <c r="C480" s="34">
        <v>4301031359</v>
      </c>
      <c r="D480" s="626">
        <v>4607091389500</v>
      </c>
      <c r="E480" s="62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66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28"/>
      <c r="R480" s="628"/>
      <c r="S480" s="628"/>
      <c r="T480" s="629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776</v>
      </c>
      <c r="AG480" s="75"/>
      <c r="AJ480" s="79" t="s">
        <v>46</v>
      </c>
      <c r="AK480" s="79">
        <v>0</v>
      </c>
      <c r="BB480" s="566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46" t="s">
        <v>779</v>
      </c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46"/>
      <c r="P483" s="646"/>
      <c r="Q483" s="646"/>
      <c r="R483" s="646"/>
      <c r="S483" s="646"/>
      <c r="T483" s="646"/>
      <c r="U483" s="646"/>
      <c r="V483" s="646"/>
      <c r="W483" s="646"/>
      <c r="X483" s="646"/>
      <c r="Y483" s="646"/>
      <c r="Z483" s="646"/>
      <c r="AA483" s="52"/>
      <c r="AB483" s="52"/>
      <c r="AC483" s="52"/>
    </row>
    <row r="484" spans="1:68" ht="16.5" hidden="1" customHeight="1" x14ac:dyDescent="0.25">
      <c r="A484" s="641" t="s">
        <v>779</v>
      </c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1"/>
      <c r="P484" s="641"/>
      <c r="Q484" s="641"/>
      <c r="R484" s="641"/>
      <c r="S484" s="641"/>
      <c r="T484" s="641"/>
      <c r="U484" s="641"/>
      <c r="V484" s="641"/>
      <c r="W484" s="641"/>
      <c r="X484" s="641"/>
      <c r="Y484" s="641"/>
      <c r="Z484" s="641"/>
      <c r="AA484" s="62"/>
      <c r="AB484" s="62"/>
      <c r="AC484" s="62"/>
    </row>
    <row r="485" spans="1:68" ht="14.25" hidden="1" customHeight="1" x14ac:dyDescent="0.25">
      <c r="A485" s="625" t="s">
        <v>128</v>
      </c>
      <c r="B485" s="625"/>
      <c r="C485" s="625"/>
      <c r="D485" s="625"/>
      <c r="E485" s="625"/>
      <c r="F485" s="625"/>
      <c r="G485" s="625"/>
      <c r="H485" s="625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5"/>
      <c r="V485" s="625"/>
      <c r="W485" s="625"/>
      <c r="X485" s="625"/>
      <c r="Y485" s="625"/>
      <c r="Z485" s="625"/>
      <c r="AA485" s="63"/>
      <c r="AB485" s="63"/>
      <c r="AC485" s="63"/>
    </row>
    <row r="486" spans="1:68" ht="27" hidden="1" customHeight="1" x14ac:dyDescent="0.25">
      <c r="A486" s="60" t="s">
        <v>780</v>
      </c>
      <c r="B486" s="60" t="s">
        <v>781</v>
      </c>
      <c r="C486" s="34">
        <v>4301011769</v>
      </c>
      <c r="D486" s="626">
        <v>4607091389067</v>
      </c>
      <c r="E486" s="626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133</v>
      </c>
      <c r="L486" s="35" t="s">
        <v>46</v>
      </c>
      <c r="M486" s="36" t="s">
        <v>90</v>
      </c>
      <c r="N486" s="36"/>
      <c r="O486" s="35">
        <v>60</v>
      </c>
      <c r="P486" s="6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28"/>
      <c r="R486" s="628"/>
      <c r="S486" s="628"/>
      <c r="T486" s="629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131</v>
      </c>
      <c r="AG486" s="75"/>
      <c r="AJ486" s="79" t="s">
        <v>46</v>
      </c>
      <c r="AK486" s="79">
        <v>0</v>
      </c>
      <c r="BB486" s="568" t="s">
        <v>67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782</v>
      </c>
      <c r="B487" s="60" t="s">
        <v>783</v>
      </c>
      <c r="C487" s="34">
        <v>4301012380</v>
      </c>
      <c r="D487" s="626">
        <v>4680115889576</v>
      </c>
      <c r="E487" s="626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133</v>
      </c>
      <c r="L487" s="35" t="s">
        <v>46</v>
      </c>
      <c r="M487" s="36" t="s">
        <v>132</v>
      </c>
      <c r="N487" s="36"/>
      <c r="O487" s="35">
        <v>60</v>
      </c>
      <c r="P487" s="66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28"/>
      <c r="R487" s="628"/>
      <c r="S487" s="628"/>
      <c r="T487" s="629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784</v>
      </c>
      <c r="AG487" s="75"/>
      <c r="AJ487" s="79" t="s">
        <v>46</v>
      </c>
      <c r="AK487" s="79">
        <v>0</v>
      </c>
      <c r="BB487" s="570" t="s">
        <v>67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785</v>
      </c>
      <c r="B488" s="60" t="s">
        <v>786</v>
      </c>
      <c r="C488" s="34">
        <v>4301011961</v>
      </c>
      <c r="D488" s="626">
        <v>4680115885271</v>
      </c>
      <c r="E488" s="62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133</v>
      </c>
      <c r="L488" s="35" t="s">
        <v>46</v>
      </c>
      <c r="M488" s="36" t="s">
        <v>132</v>
      </c>
      <c r="N488" s="36"/>
      <c r="O488" s="35">
        <v>60</v>
      </c>
      <c r="P488" s="6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28"/>
      <c r="R488" s="628"/>
      <c r="S488" s="628"/>
      <c r="T488" s="629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787</v>
      </c>
      <c r="AG488" s="75"/>
      <c r="AJ488" s="79" t="s">
        <v>46</v>
      </c>
      <c r="AK488" s="79">
        <v>0</v>
      </c>
      <c r="BB488" s="572" t="s">
        <v>67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788</v>
      </c>
      <c r="B489" s="60" t="s">
        <v>789</v>
      </c>
      <c r="C489" s="34">
        <v>4301011369</v>
      </c>
      <c r="D489" s="626">
        <v>4680115885226</v>
      </c>
      <c r="E489" s="62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60</v>
      </c>
      <c r="P489" s="66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28"/>
      <c r="R489" s="628"/>
      <c r="S489" s="628"/>
      <c r="T489" s="629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790</v>
      </c>
      <c r="AG489" s="75"/>
      <c r="AJ489" s="79" t="s">
        <v>46</v>
      </c>
      <c r="AK489" s="79">
        <v>0</v>
      </c>
      <c r="BB489" s="574" t="s">
        <v>67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791</v>
      </c>
      <c r="B490" s="60" t="s">
        <v>792</v>
      </c>
      <c r="C490" s="34">
        <v>4301011797</v>
      </c>
      <c r="D490" s="626">
        <v>4680115884502</v>
      </c>
      <c r="E490" s="62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90</v>
      </c>
      <c r="N490" s="36"/>
      <c r="O490" s="35">
        <v>60</v>
      </c>
      <c r="P490" s="65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28"/>
      <c r="R490" s="628"/>
      <c r="S490" s="628"/>
      <c r="T490" s="629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793</v>
      </c>
      <c r="AG490" s="75"/>
      <c r="AJ490" s="79" t="s">
        <v>46</v>
      </c>
      <c r="AK490" s="79">
        <v>0</v>
      </c>
      <c r="BB490" s="576" t="s">
        <v>67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customHeight="1" x14ac:dyDescent="0.25">
      <c r="A491" s="60" t="s">
        <v>794</v>
      </c>
      <c r="B491" s="60" t="s">
        <v>795</v>
      </c>
      <c r="C491" s="34">
        <v>4301011771</v>
      </c>
      <c r="D491" s="626">
        <v>4607091389104</v>
      </c>
      <c r="E491" s="626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132</v>
      </c>
      <c r="N491" s="36"/>
      <c r="O491" s="35">
        <v>60</v>
      </c>
      <c r="P491" s="6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28"/>
      <c r="R491" s="628"/>
      <c r="S491" s="628"/>
      <c r="T491" s="629"/>
      <c r="U491" s="37" t="s">
        <v>46</v>
      </c>
      <c r="V491" s="37" t="s">
        <v>46</v>
      </c>
      <c r="W491" s="38" t="s">
        <v>0</v>
      </c>
      <c r="X491" s="56">
        <v>300</v>
      </c>
      <c r="Y491" s="53">
        <f t="shared" si="62"/>
        <v>300.96000000000004</v>
      </c>
      <c r="Z491" s="39">
        <f t="shared" si="63"/>
        <v>0.68171999999999999</v>
      </c>
      <c r="AA491" s="65" t="s">
        <v>46</v>
      </c>
      <c r="AB491" s="66" t="s">
        <v>46</v>
      </c>
      <c r="AC491" s="577" t="s">
        <v>796</v>
      </c>
      <c r="AG491" s="75"/>
      <c r="AJ491" s="79" t="s">
        <v>46</v>
      </c>
      <c r="AK491" s="79">
        <v>0</v>
      </c>
      <c r="BB491" s="578" t="s">
        <v>67</v>
      </c>
      <c r="BM491" s="75">
        <f t="shared" si="64"/>
        <v>319.88636363636363</v>
      </c>
      <c r="BN491" s="75">
        <f t="shared" si="65"/>
        <v>320.91000000000003</v>
      </c>
      <c r="BO491" s="75">
        <f t="shared" si="66"/>
        <v>0.54632867132867136</v>
      </c>
      <c r="BP491" s="75">
        <f t="shared" si="67"/>
        <v>0.54807692307692313</v>
      </c>
    </row>
    <row r="492" spans="1:68" ht="27" hidden="1" customHeight="1" x14ac:dyDescent="0.25">
      <c r="A492" s="60" t="s">
        <v>797</v>
      </c>
      <c r="B492" s="60" t="s">
        <v>798</v>
      </c>
      <c r="C492" s="34">
        <v>4301012125</v>
      </c>
      <c r="D492" s="626">
        <v>4680115886391</v>
      </c>
      <c r="E492" s="626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60</v>
      </c>
      <c r="P492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28"/>
      <c r="R492" s="628"/>
      <c r="S492" s="628"/>
      <c r="T492" s="629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131</v>
      </c>
      <c r="AG492" s="75"/>
      <c r="AJ492" s="79" t="s">
        <v>46</v>
      </c>
      <c r="AK492" s="79">
        <v>0</v>
      </c>
      <c r="BB492" s="580" t="s">
        <v>67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4301012048</v>
      </c>
      <c r="D493" s="626">
        <v>4680115880603</v>
      </c>
      <c r="E493" s="626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140</v>
      </c>
      <c r="L493" s="35" t="s">
        <v>46</v>
      </c>
      <c r="M493" s="36" t="s">
        <v>90</v>
      </c>
      <c r="N493" s="36"/>
      <c r="O493" s="35">
        <v>60</v>
      </c>
      <c r="P493" s="6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28"/>
      <c r="R493" s="628"/>
      <c r="S493" s="628"/>
      <c r="T493" s="629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131</v>
      </c>
      <c r="AG493" s="75"/>
      <c r="AJ493" s="79" t="s">
        <v>46</v>
      </c>
      <c r="AK493" s="79">
        <v>0</v>
      </c>
      <c r="BB493" s="582" t="s">
        <v>67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customHeight="1" x14ac:dyDescent="0.25">
      <c r="A494" s="60" t="s">
        <v>801</v>
      </c>
      <c r="B494" s="60" t="s">
        <v>802</v>
      </c>
      <c r="C494" s="34">
        <v>4301012034</v>
      </c>
      <c r="D494" s="626">
        <v>4607091389982</v>
      </c>
      <c r="E494" s="626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140</v>
      </c>
      <c r="L494" s="35" t="s">
        <v>46</v>
      </c>
      <c r="M494" s="36" t="s">
        <v>132</v>
      </c>
      <c r="N494" s="36"/>
      <c r="O494" s="35">
        <v>60</v>
      </c>
      <c r="P494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28"/>
      <c r="R494" s="628"/>
      <c r="S494" s="628"/>
      <c r="T494" s="629"/>
      <c r="U494" s="37" t="s">
        <v>46</v>
      </c>
      <c r="V494" s="37" t="s">
        <v>46</v>
      </c>
      <c r="W494" s="38" t="s">
        <v>0</v>
      </c>
      <c r="X494" s="56">
        <v>240</v>
      </c>
      <c r="Y494" s="53">
        <f t="shared" si="62"/>
        <v>240</v>
      </c>
      <c r="Z494" s="39">
        <f>IFERROR(IF(Y494=0,"",ROUNDUP(Y494/H494,0)*0.00902),"")</f>
        <v>0.45100000000000001</v>
      </c>
      <c r="AA494" s="65" t="s">
        <v>46</v>
      </c>
      <c r="AB494" s="66" t="s">
        <v>46</v>
      </c>
      <c r="AC494" s="583" t="s">
        <v>796</v>
      </c>
      <c r="AG494" s="75"/>
      <c r="AJ494" s="79" t="s">
        <v>46</v>
      </c>
      <c r="AK494" s="79">
        <v>0</v>
      </c>
      <c r="BB494" s="584" t="s">
        <v>67</v>
      </c>
      <c r="BM494" s="75">
        <f t="shared" si="64"/>
        <v>345.50000000000006</v>
      </c>
      <c r="BN494" s="75">
        <f t="shared" si="65"/>
        <v>345.50000000000006</v>
      </c>
      <c r="BO494" s="75">
        <f t="shared" si="66"/>
        <v>0.37878787878787878</v>
      </c>
      <c r="BP494" s="75">
        <f t="shared" si="67"/>
        <v>0.37878787878787878</v>
      </c>
    </row>
    <row r="495" spans="1:68" x14ac:dyDescent="0.2">
      <c r="A495" s="633"/>
      <c r="B495" s="633"/>
      <c r="C495" s="633"/>
      <c r="D495" s="633"/>
      <c r="E495" s="633"/>
      <c r="F495" s="633"/>
      <c r="G495" s="633"/>
      <c r="H495" s="633"/>
      <c r="I495" s="633"/>
      <c r="J495" s="633"/>
      <c r="K495" s="633"/>
      <c r="L495" s="633"/>
      <c r="M495" s="633"/>
      <c r="N495" s="633"/>
      <c r="O495" s="634"/>
      <c r="P495" s="630" t="s">
        <v>40</v>
      </c>
      <c r="Q495" s="631"/>
      <c r="R495" s="631"/>
      <c r="S495" s="631"/>
      <c r="T495" s="631"/>
      <c r="U495" s="631"/>
      <c r="V495" s="632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106.81818181818181</v>
      </c>
      <c r="Y495" s="41">
        <f>IFERROR(Y486/H486,"0")+IFERROR(Y487/H487,"0")+IFERROR(Y488/H488,"0")+IFERROR(Y489/H489,"0")+IFERROR(Y490/H490,"0")+IFERROR(Y491/H491,"0")+IFERROR(Y492/H492,"0")+IFERROR(Y493/H493,"0")+IFERROR(Y494/H494,"0")</f>
        <v>107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1.1327199999999999</v>
      </c>
      <c r="AA495" s="64"/>
      <c r="AB495" s="64"/>
      <c r="AC495" s="64"/>
    </row>
    <row r="496" spans="1:68" x14ac:dyDescent="0.2">
      <c r="A496" s="633"/>
      <c r="B496" s="633"/>
      <c r="C496" s="633"/>
      <c r="D496" s="633"/>
      <c r="E496" s="633"/>
      <c r="F496" s="633"/>
      <c r="G496" s="633"/>
      <c r="H496" s="633"/>
      <c r="I496" s="633"/>
      <c r="J496" s="633"/>
      <c r="K496" s="633"/>
      <c r="L496" s="633"/>
      <c r="M496" s="633"/>
      <c r="N496" s="633"/>
      <c r="O496" s="634"/>
      <c r="P496" s="630" t="s">
        <v>40</v>
      </c>
      <c r="Q496" s="631"/>
      <c r="R496" s="631"/>
      <c r="S496" s="631"/>
      <c r="T496" s="631"/>
      <c r="U496" s="631"/>
      <c r="V496" s="632"/>
      <c r="W496" s="40" t="s">
        <v>0</v>
      </c>
      <c r="X496" s="41">
        <f>IFERROR(SUM(X486:X494),"0")</f>
        <v>540</v>
      </c>
      <c r="Y496" s="41">
        <f>IFERROR(SUM(Y486:Y494),"0")</f>
        <v>540.96</v>
      </c>
      <c r="Z496" s="40"/>
      <c r="AA496" s="64"/>
      <c r="AB496" s="64"/>
      <c r="AC496" s="64"/>
    </row>
    <row r="497" spans="1:68" ht="14.25" hidden="1" customHeight="1" x14ac:dyDescent="0.25">
      <c r="A497" s="625" t="s">
        <v>164</v>
      </c>
      <c r="B497" s="625"/>
      <c r="C497" s="625"/>
      <c r="D497" s="625"/>
      <c r="E497" s="625"/>
      <c r="F497" s="625"/>
      <c r="G497" s="625"/>
      <c r="H497" s="625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5"/>
      <c r="V497" s="625"/>
      <c r="W497" s="625"/>
      <c r="X497" s="625"/>
      <c r="Y497" s="625"/>
      <c r="Z497" s="625"/>
      <c r="AA497" s="63"/>
      <c r="AB497" s="63"/>
      <c r="AC497" s="63"/>
    </row>
    <row r="498" spans="1:68" ht="16.5" customHeight="1" x14ac:dyDescent="0.25">
      <c r="A498" s="60" t="s">
        <v>803</v>
      </c>
      <c r="B498" s="60" t="s">
        <v>804</v>
      </c>
      <c r="C498" s="34">
        <v>4301020334</v>
      </c>
      <c r="D498" s="626">
        <v>4607091388930</v>
      </c>
      <c r="E498" s="62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90</v>
      </c>
      <c r="N498" s="36"/>
      <c r="O498" s="35">
        <v>70</v>
      </c>
      <c r="P498" s="65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28"/>
      <c r="R498" s="628"/>
      <c r="S498" s="628"/>
      <c r="T498" s="629"/>
      <c r="U498" s="37" t="s">
        <v>46</v>
      </c>
      <c r="V498" s="37" t="s">
        <v>46</v>
      </c>
      <c r="W498" s="38" t="s">
        <v>0</v>
      </c>
      <c r="X498" s="56">
        <v>200</v>
      </c>
      <c r="Y498" s="53">
        <f>IFERROR(IF(X498="",0,CEILING((X498/$H498),1)*$H498),"")</f>
        <v>200.64000000000001</v>
      </c>
      <c r="Z498" s="39">
        <f>IFERROR(IF(Y498=0,"",ROUNDUP(Y498/H498,0)*0.01196),"")</f>
        <v>0.45448</v>
      </c>
      <c r="AA498" s="65" t="s">
        <v>46</v>
      </c>
      <c r="AB498" s="66" t="s">
        <v>46</v>
      </c>
      <c r="AC498" s="585" t="s">
        <v>805</v>
      </c>
      <c r="AG498" s="75"/>
      <c r="AJ498" s="79" t="s">
        <v>46</v>
      </c>
      <c r="AK498" s="79">
        <v>0</v>
      </c>
      <c r="BB498" s="586" t="s">
        <v>67</v>
      </c>
      <c r="BM498" s="75">
        <f>IFERROR(X498*I498/H498,"0")</f>
        <v>213.25757575757575</v>
      </c>
      <c r="BN498" s="75">
        <f>IFERROR(Y498*I498/H498,"0")</f>
        <v>213.94</v>
      </c>
      <c r="BO498" s="75">
        <f>IFERROR(1/J498*(X498/H498),"0")</f>
        <v>0.36421911421911418</v>
      </c>
      <c r="BP498" s="75">
        <f>IFERROR(1/J498*(Y498/H498),"0")</f>
        <v>0.36538461538461542</v>
      </c>
    </row>
    <row r="499" spans="1:68" ht="16.5" hidden="1" customHeight="1" x14ac:dyDescent="0.25">
      <c r="A499" s="60" t="s">
        <v>806</v>
      </c>
      <c r="B499" s="60" t="s">
        <v>807</v>
      </c>
      <c r="C499" s="34">
        <v>4301020374</v>
      </c>
      <c r="D499" s="626">
        <v>4680115886407</v>
      </c>
      <c r="E499" s="626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91</v>
      </c>
      <c r="L499" s="35" t="s">
        <v>46</v>
      </c>
      <c r="M499" s="36" t="s">
        <v>132</v>
      </c>
      <c r="N499" s="36"/>
      <c r="O499" s="35">
        <v>70</v>
      </c>
      <c r="P499" s="6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28"/>
      <c r="R499" s="628"/>
      <c r="S499" s="628"/>
      <c r="T499" s="629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805</v>
      </c>
      <c r="AG499" s="75"/>
      <c r="AJ499" s="79" t="s">
        <v>46</v>
      </c>
      <c r="AK499" s="79">
        <v>0</v>
      </c>
      <c r="BB499" s="588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808</v>
      </c>
      <c r="B500" s="60" t="s">
        <v>809</v>
      </c>
      <c r="C500" s="34">
        <v>4301020385</v>
      </c>
      <c r="D500" s="626">
        <v>4680115880054</v>
      </c>
      <c r="E500" s="626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140</v>
      </c>
      <c r="L500" s="35" t="s">
        <v>46</v>
      </c>
      <c r="M500" s="36" t="s">
        <v>132</v>
      </c>
      <c r="N500" s="36"/>
      <c r="O500" s="35">
        <v>70</v>
      </c>
      <c r="P500" s="6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28"/>
      <c r="R500" s="628"/>
      <c r="S500" s="628"/>
      <c r="T500" s="629"/>
      <c r="U500" s="37" t="s">
        <v>46</v>
      </c>
      <c r="V500" s="37" t="s">
        <v>46</v>
      </c>
      <c r="W500" s="38" t="s">
        <v>0</v>
      </c>
      <c r="X500" s="56">
        <v>90</v>
      </c>
      <c r="Y500" s="53">
        <f>IFERROR(IF(X500="",0,CEILING((X500/$H500),1)*$H500),"")</f>
        <v>91.2</v>
      </c>
      <c r="Z500" s="39">
        <f>IFERROR(IF(Y500=0,"",ROUNDUP(Y500/H500,0)*0.00902),"")</f>
        <v>0.17138</v>
      </c>
      <c r="AA500" s="65" t="s">
        <v>46</v>
      </c>
      <c r="AB500" s="66" t="s">
        <v>46</v>
      </c>
      <c r="AC500" s="589" t="s">
        <v>805</v>
      </c>
      <c r="AG500" s="75"/>
      <c r="AJ500" s="79" t="s">
        <v>46</v>
      </c>
      <c r="AK500" s="79">
        <v>0</v>
      </c>
      <c r="BB500" s="590" t="s">
        <v>67</v>
      </c>
      <c r="BM500" s="75">
        <f>IFERROR(X500*I500/H500,"0")</f>
        <v>129.5625</v>
      </c>
      <c r="BN500" s="75">
        <f>IFERROR(Y500*I500/H500,"0")</f>
        <v>131.29000000000002</v>
      </c>
      <c r="BO500" s="75">
        <f>IFERROR(1/J500*(X500/H500),"0")</f>
        <v>0.14204545454545456</v>
      </c>
      <c r="BP500" s="75">
        <f>IFERROR(1/J500*(Y500/H500),"0")</f>
        <v>0.14393939393939395</v>
      </c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0" t="s">
        <v>39</v>
      </c>
      <c r="X501" s="41">
        <f>IFERROR(X498/H498,"0")+IFERROR(X499/H499,"0")+IFERROR(X500/H500,"0")</f>
        <v>56.628787878787875</v>
      </c>
      <c r="Y501" s="41">
        <f>IFERROR(Y498/H498,"0")+IFERROR(Y499/H499,"0")+IFERROR(Y500/H500,"0")</f>
        <v>57</v>
      </c>
      <c r="Z501" s="41">
        <f>IFERROR(IF(Z498="",0,Z498),"0")+IFERROR(IF(Z499="",0,Z499),"0")+IFERROR(IF(Z500="",0,Z500),"0")</f>
        <v>0.62585999999999997</v>
      </c>
      <c r="AA501" s="64"/>
      <c r="AB501" s="64"/>
      <c r="AC501" s="64"/>
    </row>
    <row r="502" spans="1:68" x14ac:dyDescent="0.2">
      <c r="A502" s="633"/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4"/>
      <c r="P502" s="630" t="s">
        <v>40</v>
      </c>
      <c r="Q502" s="631"/>
      <c r="R502" s="631"/>
      <c r="S502" s="631"/>
      <c r="T502" s="631"/>
      <c r="U502" s="631"/>
      <c r="V502" s="632"/>
      <c r="W502" s="40" t="s">
        <v>0</v>
      </c>
      <c r="X502" s="41">
        <f>IFERROR(SUM(X498:X500),"0")</f>
        <v>290</v>
      </c>
      <c r="Y502" s="41">
        <f>IFERROR(SUM(Y498:Y500),"0")</f>
        <v>291.84000000000003</v>
      </c>
      <c r="Z502" s="40"/>
      <c r="AA502" s="64"/>
      <c r="AB502" s="64"/>
      <c r="AC502" s="64"/>
    </row>
    <row r="503" spans="1:68" ht="14.25" hidden="1" customHeight="1" x14ac:dyDescent="0.25">
      <c r="A503" s="625" t="s">
        <v>77</v>
      </c>
      <c r="B503" s="625"/>
      <c r="C503" s="625"/>
      <c r="D503" s="625"/>
      <c r="E503" s="625"/>
      <c r="F503" s="625"/>
      <c r="G503" s="625"/>
      <c r="H503" s="625"/>
      <c r="I503" s="625"/>
      <c r="J503" s="625"/>
      <c r="K503" s="625"/>
      <c r="L503" s="625"/>
      <c r="M503" s="625"/>
      <c r="N503" s="625"/>
      <c r="O503" s="625"/>
      <c r="P503" s="625"/>
      <c r="Q503" s="625"/>
      <c r="R503" s="625"/>
      <c r="S503" s="625"/>
      <c r="T503" s="625"/>
      <c r="U503" s="625"/>
      <c r="V503" s="625"/>
      <c r="W503" s="625"/>
      <c r="X503" s="625"/>
      <c r="Y503" s="625"/>
      <c r="Z503" s="625"/>
      <c r="AA503" s="63"/>
      <c r="AB503" s="63"/>
      <c r="AC503" s="63"/>
    </row>
    <row r="504" spans="1:68" ht="27" hidden="1" customHeight="1" x14ac:dyDescent="0.25">
      <c r="A504" s="60" t="s">
        <v>810</v>
      </c>
      <c r="B504" s="60" t="s">
        <v>811</v>
      </c>
      <c r="C504" s="34">
        <v>4301031349</v>
      </c>
      <c r="D504" s="626">
        <v>4680115883116</v>
      </c>
      <c r="E504" s="62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133</v>
      </c>
      <c r="L504" s="35" t="s">
        <v>46</v>
      </c>
      <c r="M504" s="36" t="s">
        <v>132</v>
      </c>
      <c r="N504" s="36"/>
      <c r="O504" s="35">
        <v>70</v>
      </c>
      <c r="P504" s="6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28"/>
      <c r="R504" s="628"/>
      <c r="S504" s="628"/>
      <c r="T504" s="62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812</v>
      </c>
      <c r="AG504" s="75"/>
      <c r="AJ504" s="79" t="s">
        <v>46</v>
      </c>
      <c r="AK504" s="79">
        <v>0</v>
      </c>
      <c r="BB504" s="592" t="s">
        <v>67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813</v>
      </c>
      <c r="B505" s="60" t="s">
        <v>814</v>
      </c>
      <c r="C505" s="34">
        <v>4301031350</v>
      </c>
      <c r="D505" s="626">
        <v>4680115883093</v>
      </c>
      <c r="E505" s="62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133</v>
      </c>
      <c r="L505" s="35" t="s">
        <v>46</v>
      </c>
      <c r="M505" s="36" t="s">
        <v>81</v>
      </c>
      <c r="N505" s="36"/>
      <c r="O505" s="35">
        <v>70</v>
      </c>
      <c r="P505" s="6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28"/>
      <c r="R505" s="628"/>
      <c r="S505" s="628"/>
      <c r="T505" s="62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815</v>
      </c>
      <c r="AG505" s="75"/>
      <c r="AJ505" s="79" t="s">
        <v>46</v>
      </c>
      <c r="AK505" s="79">
        <v>0</v>
      </c>
      <c r="BB505" s="594" t="s">
        <v>67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816</v>
      </c>
      <c r="B506" s="60" t="s">
        <v>817</v>
      </c>
      <c r="C506" s="34">
        <v>4301031353</v>
      </c>
      <c r="D506" s="626">
        <v>4680115883109</v>
      </c>
      <c r="E506" s="62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133</v>
      </c>
      <c r="L506" s="35" t="s">
        <v>46</v>
      </c>
      <c r="M506" s="36" t="s">
        <v>81</v>
      </c>
      <c r="N506" s="36"/>
      <c r="O506" s="35">
        <v>70</v>
      </c>
      <c r="P506" s="65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28"/>
      <c r="R506" s="628"/>
      <c r="S506" s="628"/>
      <c r="T506" s="62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818</v>
      </c>
      <c r="AG506" s="75"/>
      <c r="AJ506" s="79" t="s">
        <v>46</v>
      </c>
      <c r="AK506" s="79">
        <v>0</v>
      </c>
      <c r="BB506" s="596" t="s">
        <v>67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819</v>
      </c>
      <c r="B507" s="60" t="s">
        <v>820</v>
      </c>
      <c r="C507" s="34">
        <v>4301031419</v>
      </c>
      <c r="D507" s="626">
        <v>4680115882072</v>
      </c>
      <c r="E507" s="626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140</v>
      </c>
      <c r="L507" s="35" t="s">
        <v>46</v>
      </c>
      <c r="M507" s="36" t="s">
        <v>132</v>
      </c>
      <c r="N507" s="36"/>
      <c r="O507" s="35">
        <v>70</v>
      </c>
      <c r="P507" s="6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28"/>
      <c r="R507" s="628"/>
      <c r="S507" s="628"/>
      <c r="T507" s="62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812</v>
      </c>
      <c r="AG507" s="75"/>
      <c r="AJ507" s="79" t="s">
        <v>46</v>
      </c>
      <c r="AK507" s="79">
        <v>0</v>
      </c>
      <c r="BB507" s="598" t="s">
        <v>67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821</v>
      </c>
      <c r="B508" s="60" t="s">
        <v>822</v>
      </c>
      <c r="C508" s="34">
        <v>4301031352</v>
      </c>
      <c r="D508" s="626">
        <v>4680115882102</v>
      </c>
      <c r="E508" s="626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140</v>
      </c>
      <c r="L508" s="35" t="s">
        <v>46</v>
      </c>
      <c r="M508" s="36" t="s">
        <v>81</v>
      </c>
      <c r="N508" s="36"/>
      <c r="O508" s="35">
        <v>70</v>
      </c>
      <c r="P508" s="6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28"/>
      <c r="R508" s="628"/>
      <c r="S508" s="628"/>
      <c r="T508" s="62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815</v>
      </c>
      <c r="AG508" s="75"/>
      <c r="AJ508" s="79" t="s">
        <v>46</v>
      </c>
      <c r="AK508" s="79">
        <v>0</v>
      </c>
      <c r="BB508" s="600" t="s">
        <v>67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821</v>
      </c>
      <c r="B509" s="60" t="s">
        <v>823</v>
      </c>
      <c r="C509" s="34">
        <v>4301031418</v>
      </c>
      <c r="D509" s="626">
        <v>4680115882102</v>
      </c>
      <c r="E509" s="626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70</v>
      </c>
      <c r="P509" s="6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28"/>
      <c r="R509" s="628"/>
      <c r="S509" s="628"/>
      <c r="T509" s="62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815</v>
      </c>
      <c r="AG509" s="75"/>
      <c r="AJ509" s="79" t="s">
        <v>46</v>
      </c>
      <c r="AK509" s="79">
        <v>0</v>
      </c>
      <c r="BB509" s="602" t="s">
        <v>67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customHeight="1" x14ac:dyDescent="0.25">
      <c r="A510" s="60" t="s">
        <v>824</v>
      </c>
      <c r="B510" s="60" t="s">
        <v>825</v>
      </c>
      <c r="C510" s="34">
        <v>4301031417</v>
      </c>
      <c r="D510" s="626">
        <v>4680115882096</v>
      </c>
      <c r="E510" s="626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70</v>
      </c>
      <c r="P510" s="6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28"/>
      <c r="R510" s="628"/>
      <c r="S510" s="628"/>
      <c r="T510" s="629"/>
      <c r="U510" s="37" t="s">
        <v>46</v>
      </c>
      <c r="V510" s="37" t="s">
        <v>46</v>
      </c>
      <c r="W510" s="38" t="s">
        <v>0</v>
      </c>
      <c r="X510" s="56">
        <v>60</v>
      </c>
      <c r="Y510" s="53">
        <f t="shared" si="68"/>
        <v>62.4</v>
      </c>
      <c r="Z510" s="39">
        <f>IFERROR(IF(Y510=0,"",ROUNDUP(Y510/H510,0)*0.00902),"")</f>
        <v>0.11726</v>
      </c>
      <c r="AA510" s="65" t="s">
        <v>46</v>
      </c>
      <c r="AB510" s="66" t="s">
        <v>46</v>
      </c>
      <c r="AC510" s="603" t="s">
        <v>818</v>
      </c>
      <c r="AG510" s="75"/>
      <c r="AJ510" s="79" t="s">
        <v>46</v>
      </c>
      <c r="AK510" s="79">
        <v>0</v>
      </c>
      <c r="BB510" s="604" t="s">
        <v>67</v>
      </c>
      <c r="BM510" s="75">
        <f t="shared" si="69"/>
        <v>83.375</v>
      </c>
      <c r="BN510" s="75">
        <f t="shared" si="70"/>
        <v>86.71</v>
      </c>
      <c r="BO510" s="75">
        <f t="shared" si="71"/>
        <v>9.4696969696969696E-2</v>
      </c>
      <c r="BP510" s="75">
        <f t="shared" si="72"/>
        <v>9.8484848484848481E-2</v>
      </c>
    </row>
    <row r="511" spans="1:68" x14ac:dyDescent="0.2">
      <c r="A511" s="633"/>
      <c r="B511" s="633"/>
      <c r="C511" s="633"/>
      <c r="D511" s="633"/>
      <c r="E511" s="633"/>
      <c r="F511" s="633"/>
      <c r="G511" s="633"/>
      <c r="H511" s="633"/>
      <c r="I511" s="633"/>
      <c r="J511" s="633"/>
      <c r="K511" s="633"/>
      <c r="L511" s="633"/>
      <c r="M511" s="633"/>
      <c r="N511" s="633"/>
      <c r="O511" s="634"/>
      <c r="P511" s="630" t="s">
        <v>40</v>
      </c>
      <c r="Q511" s="631"/>
      <c r="R511" s="631"/>
      <c r="S511" s="631"/>
      <c r="T511" s="631"/>
      <c r="U511" s="631"/>
      <c r="V511" s="632"/>
      <c r="W511" s="40" t="s">
        <v>39</v>
      </c>
      <c r="X511" s="41">
        <f>IFERROR(X504/H504,"0")+IFERROR(X505/H505,"0")+IFERROR(X506/H506,"0")+IFERROR(X507/H507,"0")+IFERROR(X508/H508,"0")+IFERROR(X509/H509,"0")+IFERROR(X510/H510,"0")</f>
        <v>12.5</v>
      </c>
      <c r="Y511" s="41">
        <f>IFERROR(Y504/H504,"0")+IFERROR(Y505/H505,"0")+IFERROR(Y506/H506,"0")+IFERROR(Y507/H507,"0")+IFERROR(Y508/H508,"0")+IFERROR(Y509/H509,"0")+IFERROR(Y510/H510,"0")</f>
        <v>13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0.11726</v>
      </c>
      <c r="AA511" s="64"/>
      <c r="AB511" s="64"/>
      <c r="AC511" s="64"/>
    </row>
    <row r="512" spans="1:68" x14ac:dyDescent="0.2">
      <c r="A512" s="633"/>
      <c r="B512" s="633"/>
      <c r="C512" s="633"/>
      <c r="D512" s="633"/>
      <c r="E512" s="633"/>
      <c r="F512" s="633"/>
      <c r="G512" s="633"/>
      <c r="H512" s="633"/>
      <c r="I512" s="633"/>
      <c r="J512" s="633"/>
      <c r="K512" s="633"/>
      <c r="L512" s="633"/>
      <c r="M512" s="633"/>
      <c r="N512" s="633"/>
      <c r="O512" s="634"/>
      <c r="P512" s="630" t="s">
        <v>40</v>
      </c>
      <c r="Q512" s="631"/>
      <c r="R512" s="631"/>
      <c r="S512" s="631"/>
      <c r="T512" s="631"/>
      <c r="U512" s="631"/>
      <c r="V512" s="632"/>
      <c r="W512" s="40" t="s">
        <v>0</v>
      </c>
      <c r="X512" s="41">
        <f>IFERROR(SUM(X504:X510),"0")</f>
        <v>60</v>
      </c>
      <c r="Y512" s="41">
        <f>IFERROR(SUM(Y504:Y510),"0")</f>
        <v>62.4</v>
      </c>
      <c r="Z512" s="40"/>
      <c r="AA512" s="64"/>
      <c r="AB512" s="64"/>
      <c r="AC512" s="64"/>
    </row>
    <row r="513" spans="1:68" ht="27.75" hidden="1" customHeight="1" x14ac:dyDescent="0.2">
      <c r="A513" s="646" t="s">
        <v>826</v>
      </c>
      <c r="B513" s="646"/>
      <c r="C513" s="646"/>
      <c r="D513" s="646"/>
      <c r="E513" s="646"/>
      <c r="F513" s="646"/>
      <c r="G513" s="646"/>
      <c r="H513" s="646"/>
      <c r="I513" s="646"/>
      <c r="J513" s="646"/>
      <c r="K513" s="646"/>
      <c r="L513" s="646"/>
      <c r="M513" s="646"/>
      <c r="N513" s="646"/>
      <c r="O513" s="646"/>
      <c r="P513" s="646"/>
      <c r="Q513" s="646"/>
      <c r="R513" s="646"/>
      <c r="S513" s="646"/>
      <c r="T513" s="646"/>
      <c r="U513" s="646"/>
      <c r="V513" s="646"/>
      <c r="W513" s="646"/>
      <c r="X513" s="646"/>
      <c r="Y513" s="646"/>
      <c r="Z513" s="646"/>
      <c r="AA513" s="52"/>
      <c r="AB513" s="52"/>
      <c r="AC513" s="52"/>
    </row>
    <row r="514" spans="1:68" ht="16.5" hidden="1" customHeight="1" x14ac:dyDescent="0.25">
      <c r="A514" s="641" t="s">
        <v>826</v>
      </c>
      <c r="B514" s="641"/>
      <c r="C514" s="641"/>
      <c r="D514" s="641"/>
      <c r="E514" s="641"/>
      <c r="F514" s="641"/>
      <c r="G514" s="641"/>
      <c r="H514" s="641"/>
      <c r="I514" s="641"/>
      <c r="J514" s="641"/>
      <c r="K514" s="641"/>
      <c r="L514" s="641"/>
      <c r="M514" s="641"/>
      <c r="N514" s="641"/>
      <c r="O514" s="641"/>
      <c r="P514" s="641"/>
      <c r="Q514" s="641"/>
      <c r="R514" s="641"/>
      <c r="S514" s="641"/>
      <c r="T514" s="641"/>
      <c r="U514" s="641"/>
      <c r="V514" s="641"/>
      <c r="W514" s="641"/>
      <c r="X514" s="641"/>
      <c r="Y514" s="641"/>
      <c r="Z514" s="641"/>
      <c r="AA514" s="62"/>
      <c r="AB514" s="62"/>
      <c r="AC514" s="62"/>
    </row>
    <row r="515" spans="1:68" ht="14.25" hidden="1" customHeight="1" x14ac:dyDescent="0.25">
      <c r="A515" s="625" t="s">
        <v>128</v>
      </c>
      <c r="B515" s="625"/>
      <c r="C515" s="625"/>
      <c r="D515" s="625"/>
      <c r="E515" s="625"/>
      <c r="F515" s="625"/>
      <c r="G515" s="625"/>
      <c r="H515" s="625"/>
      <c r="I515" s="625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5"/>
      <c r="V515" s="625"/>
      <c r="W515" s="625"/>
      <c r="X515" s="625"/>
      <c r="Y515" s="625"/>
      <c r="Z515" s="625"/>
      <c r="AA515" s="63"/>
      <c r="AB515" s="63"/>
      <c r="AC515" s="63"/>
    </row>
    <row r="516" spans="1:68" ht="27" customHeight="1" x14ac:dyDescent="0.25">
      <c r="A516" s="60" t="s">
        <v>827</v>
      </c>
      <c r="B516" s="60" t="s">
        <v>828</v>
      </c>
      <c r="C516" s="34">
        <v>4301011584</v>
      </c>
      <c r="D516" s="626">
        <v>4640242180564</v>
      </c>
      <c r="E516" s="626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133</v>
      </c>
      <c r="L516" s="35" t="s">
        <v>46</v>
      </c>
      <c r="M516" s="36" t="s">
        <v>132</v>
      </c>
      <c r="N516" s="36"/>
      <c r="O516" s="35">
        <v>50</v>
      </c>
      <c r="P516" s="6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28"/>
      <c r="R516" s="628"/>
      <c r="S516" s="628"/>
      <c r="T516" s="629"/>
      <c r="U516" s="37" t="s">
        <v>46</v>
      </c>
      <c r="V516" s="37" t="s">
        <v>46</v>
      </c>
      <c r="W516" s="38" t="s">
        <v>0</v>
      </c>
      <c r="X516" s="56">
        <v>80</v>
      </c>
      <c r="Y516" s="53">
        <f>IFERROR(IF(X516="",0,CEILING((X516/$H516),1)*$H516),"")</f>
        <v>84</v>
      </c>
      <c r="Z516" s="39">
        <f>IFERROR(IF(Y516=0,"",ROUNDUP(Y516/H516,0)*0.01898),"")</f>
        <v>0.13286000000000001</v>
      </c>
      <c r="AA516" s="65" t="s">
        <v>46</v>
      </c>
      <c r="AB516" s="66" t="s">
        <v>46</v>
      </c>
      <c r="AC516" s="605" t="s">
        <v>829</v>
      </c>
      <c r="AG516" s="75"/>
      <c r="AJ516" s="79" t="s">
        <v>46</v>
      </c>
      <c r="AK516" s="79">
        <v>0</v>
      </c>
      <c r="BB516" s="606" t="s">
        <v>67</v>
      </c>
      <c r="BM516" s="75">
        <f>IFERROR(X516*I516/H516,"0")</f>
        <v>82.733333333333334</v>
      </c>
      <c r="BN516" s="75">
        <f>IFERROR(Y516*I516/H516,"0")</f>
        <v>86.87</v>
      </c>
      <c r="BO516" s="75">
        <f>IFERROR(1/J516*(X516/H516),"0")</f>
        <v>0.10416666666666667</v>
      </c>
      <c r="BP516" s="75">
        <f>IFERROR(1/J516*(Y516/H516),"0")</f>
        <v>0.109375</v>
      </c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0" t="s">
        <v>39</v>
      </c>
      <c r="X517" s="41">
        <f>IFERROR(X516/H516,"0")</f>
        <v>6.666666666666667</v>
      </c>
      <c r="Y517" s="41">
        <f>IFERROR(Y516/H516,"0")</f>
        <v>7</v>
      </c>
      <c r="Z517" s="41">
        <f>IFERROR(IF(Z516="",0,Z516),"0")</f>
        <v>0.13286000000000001</v>
      </c>
      <c r="AA517" s="64"/>
      <c r="AB517" s="64"/>
      <c r="AC517" s="64"/>
    </row>
    <row r="518" spans="1:68" x14ac:dyDescent="0.2">
      <c r="A518" s="633"/>
      <c r="B518" s="633"/>
      <c r="C518" s="633"/>
      <c r="D518" s="633"/>
      <c r="E518" s="633"/>
      <c r="F518" s="633"/>
      <c r="G518" s="633"/>
      <c r="H518" s="633"/>
      <c r="I518" s="633"/>
      <c r="J518" s="633"/>
      <c r="K518" s="633"/>
      <c r="L518" s="633"/>
      <c r="M518" s="633"/>
      <c r="N518" s="633"/>
      <c r="O518" s="634"/>
      <c r="P518" s="630" t="s">
        <v>40</v>
      </c>
      <c r="Q518" s="631"/>
      <c r="R518" s="631"/>
      <c r="S518" s="631"/>
      <c r="T518" s="631"/>
      <c r="U518" s="631"/>
      <c r="V518" s="632"/>
      <c r="W518" s="40" t="s">
        <v>0</v>
      </c>
      <c r="X518" s="41">
        <f>IFERROR(SUM(X516:X516),"0")</f>
        <v>80</v>
      </c>
      <c r="Y518" s="41">
        <f>IFERROR(SUM(Y516:Y516),"0")</f>
        <v>84</v>
      </c>
      <c r="Z518" s="40"/>
      <c r="AA518" s="64"/>
      <c r="AB518" s="64"/>
      <c r="AC518" s="64"/>
    </row>
    <row r="519" spans="1:68" ht="14.25" hidden="1" customHeight="1" x14ac:dyDescent="0.25">
      <c r="A519" s="625" t="s">
        <v>164</v>
      </c>
      <c r="B519" s="625"/>
      <c r="C519" s="625"/>
      <c r="D519" s="625"/>
      <c r="E519" s="625"/>
      <c r="F519" s="625"/>
      <c r="G519" s="625"/>
      <c r="H519" s="625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5"/>
      <c r="V519" s="625"/>
      <c r="W519" s="625"/>
      <c r="X519" s="625"/>
      <c r="Y519" s="625"/>
      <c r="Z519" s="625"/>
      <c r="AA519" s="63"/>
      <c r="AB519" s="63"/>
      <c r="AC519" s="63"/>
    </row>
    <row r="520" spans="1:68" ht="27" hidden="1" customHeight="1" x14ac:dyDescent="0.25">
      <c r="A520" s="60" t="s">
        <v>830</v>
      </c>
      <c r="B520" s="60" t="s">
        <v>831</v>
      </c>
      <c r="C520" s="34">
        <v>4301020400</v>
      </c>
      <c r="D520" s="626">
        <v>4640242180519</v>
      </c>
      <c r="E520" s="626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133</v>
      </c>
      <c r="L520" s="35" t="s">
        <v>46</v>
      </c>
      <c r="M520" s="36" t="s">
        <v>132</v>
      </c>
      <c r="N520" s="36"/>
      <c r="O520" s="35">
        <v>50</v>
      </c>
      <c r="P520" s="64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28"/>
      <c r="R520" s="628"/>
      <c r="S520" s="628"/>
      <c r="T520" s="629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832</v>
      </c>
      <c r="AG520" s="75"/>
      <c r="AJ520" s="79" t="s">
        <v>46</v>
      </c>
      <c r="AK520" s="79">
        <v>0</v>
      </c>
      <c r="BB520" s="608" t="s">
        <v>67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633"/>
      <c r="B521" s="633"/>
      <c r="C521" s="633"/>
      <c r="D521" s="633"/>
      <c r="E521" s="633"/>
      <c r="F521" s="633"/>
      <c r="G521" s="633"/>
      <c r="H521" s="633"/>
      <c r="I521" s="633"/>
      <c r="J521" s="633"/>
      <c r="K521" s="633"/>
      <c r="L521" s="633"/>
      <c r="M521" s="633"/>
      <c r="N521" s="633"/>
      <c r="O521" s="634"/>
      <c r="P521" s="630" t="s">
        <v>40</v>
      </c>
      <c r="Q521" s="631"/>
      <c r="R521" s="631"/>
      <c r="S521" s="631"/>
      <c r="T521" s="631"/>
      <c r="U521" s="631"/>
      <c r="V521" s="632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25" t="s">
        <v>77</v>
      </c>
      <c r="B523" s="625"/>
      <c r="C523" s="625"/>
      <c r="D523" s="625"/>
      <c r="E523" s="625"/>
      <c r="F523" s="625"/>
      <c r="G523" s="625"/>
      <c r="H523" s="625"/>
      <c r="I523" s="625"/>
      <c r="J523" s="625"/>
      <c r="K523" s="625"/>
      <c r="L523" s="625"/>
      <c r="M523" s="625"/>
      <c r="N523" s="625"/>
      <c r="O523" s="625"/>
      <c r="P523" s="625"/>
      <c r="Q523" s="625"/>
      <c r="R523" s="625"/>
      <c r="S523" s="625"/>
      <c r="T523" s="625"/>
      <c r="U523" s="625"/>
      <c r="V523" s="625"/>
      <c r="W523" s="625"/>
      <c r="X523" s="625"/>
      <c r="Y523" s="625"/>
      <c r="Z523" s="625"/>
      <c r="AA523" s="63"/>
      <c r="AB523" s="63"/>
      <c r="AC523" s="63"/>
    </row>
    <row r="524" spans="1:68" ht="27" hidden="1" customHeight="1" x14ac:dyDescent="0.25">
      <c r="A524" s="60" t="s">
        <v>833</v>
      </c>
      <c r="B524" s="60" t="s">
        <v>834</v>
      </c>
      <c r="C524" s="34">
        <v>4301031467</v>
      </c>
      <c r="D524" s="626">
        <v>4640242180595</v>
      </c>
      <c r="E524" s="626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140</v>
      </c>
      <c r="L524" s="35" t="s">
        <v>46</v>
      </c>
      <c r="M524" s="36" t="s">
        <v>81</v>
      </c>
      <c r="N524" s="36"/>
      <c r="O524" s="35">
        <v>40</v>
      </c>
      <c r="P524" s="64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8"/>
      <c r="R524" s="628"/>
      <c r="S524" s="628"/>
      <c r="T524" s="629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835</v>
      </c>
      <c r="AG524" s="75"/>
      <c r="AJ524" s="79" t="s">
        <v>46</v>
      </c>
      <c r="AK524" s="79">
        <v>0</v>
      </c>
      <c r="BB524" s="610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833</v>
      </c>
      <c r="B525" s="60" t="s">
        <v>836</v>
      </c>
      <c r="C525" s="34">
        <v>4301031500</v>
      </c>
      <c r="D525" s="626">
        <v>4640242180595</v>
      </c>
      <c r="E525" s="626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140</v>
      </c>
      <c r="L525" s="35" t="s">
        <v>46</v>
      </c>
      <c r="M525" s="36" t="s">
        <v>81</v>
      </c>
      <c r="N525" s="36"/>
      <c r="O525" s="35">
        <v>40</v>
      </c>
      <c r="P525" s="64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28"/>
      <c r="R525" s="628"/>
      <c r="S525" s="628"/>
      <c r="T525" s="629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837</v>
      </c>
      <c r="AG525" s="75"/>
      <c r="AJ525" s="79" t="s">
        <v>46</v>
      </c>
      <c r="AK525" s="79">
        <v>0</v>
      </c>
      <c r="BB525" s="612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25" t="s">
        <v>86</v>
      </c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5"/>
      <c r="V528" s="625"/>
      <c r="W528" s="625"/>
      <c r="X528" s="625"/>
      <c r="Y528" s="625"/>
      <c r="Z528" s="625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4301052043</v>
      </c>
      <c r="D529" s="626">
        <v>4640242180533</v>
      </c>
      <c r="E529" s="626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133</v>
      </c>
      <c r="L529" s="35" t="s">
        <v>46</v>
      </c>
      <c r="M529" s="36" t="s">
        <v>90</v>
      </c>
      <c r="N529" s="36"/>
      <c r="O529" s="35">
        <v>45</v>
      </c>
      <c r="P529" s="6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28"/>
      <c r="R529" s="628"/>
      <c r="S529" s="628"/>
      <c r="T529" s="629"/>
      <c r="U529" s="37" t="s">
        <v>46</v>
      </c>
      <c r="V529" s="37" t="s">
        <v>46</v>
      </c>
      <c r="W529" s="38" t="s">
        <v>0</v>
      </c>
      <c r="X529" s="56">
        <v>900</v>
      </c>
      <c r="Y529" s="53">
        <f>IFERROR(IF(X529="",0,CEILING((X529/$H529),1)*$H529),"")</f>
        <v>900</v>
      </c>
      <c r="Z529" s="39">
        <f>IFERROR(IF(Y529=0,"",ROUNDUP(Y529/H529,0)*0.01898),"")</f>
        <v>1.8980000000000001</v>
      </c>
      <c r="AA529" s="65" t="s">
        <v>46</v>
      </c>
      <c r="AB529" s="66" t="s">
        <v>46</v>
      </c>
      <c r="AC529" s="613" t="s">
        <v>840</v>
      </c>
      <c r="AG529" s="75"/>
      <c r="AJ529" s="79" t="s">
        <v>46</v>
      </c>
      <c r="AK529" s="79">
        <v>0</v>
      </c>
      <c r="BB529" s="614" t="s">
        <v>67</v>
      </c>
      <c r="BM529" s="75">
        <f>IFERROR(X529*I529/H529,"0")</f>
        <v>949.40000000000009</v>
      </c>
      <c r="BN529" s="75">
        <f>IFERROR(Y529*I529/H529,"0")</f>
        <v>949.40000000000009</v>
      </c>
      <c r="BO529" s="75">
        <f>IFERROR(1/J529*(X529/H529),"0")</f>
        <v>1.5625</v>
      </c>
      <c r="BP529" s="75">
        <f>IFERROR(1/J529*(Y529/H529),"0")</f>
        <v>1.5625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0" t="s">
        <v>39</v>
      </c>
      <c r="X530" s="41">
        <f>IFERROR(X529/H529,"0")</f>
        <v>100</v>
      </c>
      <c r="Y530" s="41">
        <f>IFERROR(Y529/H529,"0")</f>
        <v>100</v>
      </c>
      <c r="Z530" s="41">
        <f>IFERROR(IF(Z529="",0,Z529),"0")</f>
        <v>1.8980000000000001</v>
      </c>
      <c r="AA530" s="64"/>
      <c r="AB530" s="64"/>
      <c r="AC530" s="64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0" t="s">
        <v>0</v>
      </c>
      <c r="X531" s="41">
        <f>IFERROR(SUM(X529:X529),"0")</f>
        <v>900</v>
      </c>
      <c r="Y531" s="41">
        <f>IFERROR(SUM(Y529:Y529),"0")</f>
        <v>900</v>
      </c>
      <c r="Z531" s="40"/>
      <c r="AA531" s="64"/>
      <c r="AB531" s="64"/>
      <c r="AC531" s="64"/>
    </row>
    <row r="532" spans="1:68" ht="14.25" hidden="1" customHeight="1" x14ac:dyDescent="0.25">
      <c r="A532" s="625" t="s">
        <v>181</v>
      </c>
      <c r="B532" s="625"/>
      <c r="C532" s="625"/>
      <c r="D532" s="625"/>
      <c r="E532" s="625"/>
      <c r="F532" s="625"/>
      <c r="G532" s="625"/>
      <c r="H532" s="625"/>
      <c r="I532" s="625"/>
      <c r="J532" s="625"/>
      <c r="K532" s="625"/>
      <c r="L532" s="625"/>
      <c r="M532" s="625"/>
      <c r="N532" s="625"/>
      <c r="O532" s="625"/>
      <c r="P532" s="625"/>
      <c r="Q532" s="625"/>
      <c r="R532" s="625"/>
      <c r="S532" s="625"/>
      <c r="T532" s="625"/>
      <c r="U532" s="625"/>
      <c r="V532" s="625"/>
      <c r="W532" s="625"/>
      <c r="X532" s="625"/>
      <c r="Y532" s="625"/>
      <c r="Z532" s="625"/>
      <c r="AA532" s="63"/>
      <c r="AB532" s="63"/>
      <c r="AC532" s="63"/>
    </row>
    <row r="533" spans="1:68" ht="27" hidden="1" customHeight="1" x14ac:dyDescent="0.25">
      <c r="A533" s="60" t="s">
        <v>841</v>
      </c>
      <c r="B533" s="60" t="s">
        <v>842</v>
      </c>
      <c r="C533" s="34">
        <v>4301060535</v>
      </c>
      <c r="D533" s="626">
        <v>4640242180120</v>
      </c>
      <c r="E533" s="626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133</v>
      </c>
      <c r="L533" s="35" t="s">
        <v>46</v>
      </c>
      <c r="M533" s="36" t="s">
        <v>90</v>
      </c>
      <c r="N533" s="36"/>
      <c r="O533" s="35">
        <v>40</v>
      </c>
      <c r="P533" s="63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28"/>
      <c r="R533" s="628"/>
      <c r="S533" s="628"/>
      <c r="T533" s="629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843</v>
      </c>
      <c r="AG533" s="75"/>
      <c r="AJ533" s="79" t="s">
        <v>46</v>
      </c>
      <c r="AK533" s="79">
        <v>0</v>
      </c>
      <c r="BB533" s="616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844</v>
      </c>
      <c r="B534" s="60" t="s">
        <v>845</v>
      </c>
      <c r="C534" s="34">
        <v>4301060536</v>
      </c>
      <c r="D534" s="626">
        <v>4640242180137</v>
      </c>
      <c r="E534" s="626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133</v>
      </c>
      <c r="L534" s="35" t="s">
        <v>46</v>
      </c>
      <c r="M534" s="36" t="s">
        <v>90</v>
      </c>
      <c r="N534" s="36"/>
      <c r="O534" s="35">
        <v>40</v>
      </c>
      <c r="P534" s="64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28"/>
      <c r="R534" s="628"/>
      <c r="S534" s="628"/>
      <c r="T534" s="62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846</v>
      </c>
      <c r="AG534" s="75"/>
      <c r="AJ534" s="79" t="s">
        <v>46</v>
      </c>
      <c r="AK534" s="79">
        <v>0</v>
      </c>
      <c r="BB534" s="61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633"/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4"/>
      <c r="P536" s="630" t="s">
        <v>40</v>
      </c>
      <c r="Q536" s="631"/>
      <c r="R536" s="631"/>
      <c r="S536" s="631"/>
      <c r="T536" s="631"/>
      <c r="U536" s="631"/>
      <c r="V536" s="632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41" t="s">
        <v>847</v>
      </c>
      <c r="B537" s="641"/>
      <c r="C537" s="641"/>
      <c r="D537" s="641"/>
      <c r="E537" s="641"/>
      <c r="F537" s="641"/>
      <c r="G537" s="641"/>
      <c r="H537" s="641"/>
      <c r="I537" s="641"/>
      <c r="J537" s="641"/>
      <c r="K537" s="641"/>
      <c r="L537" s="641"/>
      <c r="M537" s="641"/>
      <c r="N537" s="641"/>
      <c r="O537" s="641"/>
      <c r="P537" s="641"/>
      <c r="Q537" s="641"/>
      <c r="R537" s="641"/>
      <c r="S537" s="641"/>
      <c r="T537" s="641"/>
      <c r="U537" s="641"/>
      <c r="V537" s="641"/>
      <c r="W537" s="641"/>
      <c r="X537" s="641"/>
      <c r="Y537" s="641"/>
      <c r="Z537" s="641"/>
      <c r="AA537" s="62"/>
      <c r="AB537" s="62"/>
      <c r="AC537" s="62"/>
    </row>
    <row r="538" spans="1:68" ht="14.25" hidden="1" customHeight="1" x14ac:dyDescent="0.25">
      <c r="A538" s="625" t="s">
        <v>164</v>
      </c>
      <c r="B538" s="625"/>
      <c r="C538" s="625"/>
      <c r="D538" s="625"/>
      <c r="E538" s="625"/>
      <c r="F538" s="625"/>
      <c r="G538" s="625"/>
      <c r="H538" s="625"/>
      <c r="I538" s="625"/>
      <c r="J538" s="625"/>
      <c r="K538" s="625"/>
      <c r="L538" s="625"/>
      <c r="M538" s="625"/>
      <c r="N538" s="625"/>
      <c r="O538" s="625"/>
      <c r="P538" s="625"/>
      <c r="Q538" s="625"/>
      <c r="R538" s="625"/>
      <c r="S538" s="625"/>
      <c r="T538" s="625"/>
      <c r="U538" s="625"/>
      <c r="V538" s="625"/>
      <c r="W538" s="625"/>
      <c r="X538" s="625"/>
      <c r="Y538" s="625"/>
      <c r="Z538" s="625"/>
      <c r="AA538" s="63"/>
      <c r="AB538" s="63"/>
      <c r="AC538" s="63"/>
    </row>
    <row r="539" spans="1:68" ht="27" hidden="1" customHeight="1" x14ac:dyDescent="0.25">
      <c r="A539" s="60" t="s">
        <v>848</v>
      </c>
      <c r="B539" s="60" t="s">
        <v>849</v>
      </c>
      <c r="C539" s="34">
        <v>4301020428</v>
      </c>
      <c r="D539" s="626">
        <v>4640242180090</v>
      </c>
      <c r="E539" s="626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133</v>
      </c>
      <c r="L539" s="35" t="s">
        <v>46</v>
      </c>
      <c r="M539" s="36" t="s">
        <v>132</v>
      </c>
      <c r="N539" s="36"/>
      <c r="O539" s="35">
        <v>50</v>
      </c>
      <c r="P539" s="6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28"/>
      <c r="R539" s="628"/>
      <c r="S539" s="628"/>
      <c r="T539" s="629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850</v>
      </c>
      <c r="AG539" s="75"/>
      <c r="AJ539" s="79" t="s">
        <v>46</v>
      </c>
      <c r="AK539" s="79">
        <v>0</v>
      </c>
      <c r="BB539" s="620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33"/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4"/>
      <c r="P541" s="630" t="s">
        <v>40</v>
      </c>
      <c r="Q541" s="631"/>
      <c r="R541" s="631"/>
      <c r="S541" s="631"/>
      <c r="T541" s="631"/>
      <c r="U541" s="631"/>
      <c r="V541" s="632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633"/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8"/>
      <c r="P542" s="635" t="s">
        <v>33</v>
      </c>
      <c r="Q542" s="636"/>
      <c r="R542" s="636"/>
      <c r="S542" s="636"/>
      <c r="T542" s="636"/>
      <c r="U542" s="636"/>
      <c r="V542" s="637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12714.7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12827.199999999999</v>
      </c>
      <c r="Z542" s="40"/>
      <c r="AA542" s="64"/>
      <c r="AB542" s="64"/>
      <c r="AC542" s="64"/>
    </row>
    <row r="543" spans="1:68" x14ac:dyDescent="0.2">
      <c r="A543" s="633"/>
      <c r="B543" s="633"/>
      <c r="C543" s="633"/>
      <c r="D543" s="633"/>
      <c r="E543" s="633"/>
      <c r="F543" s="633"/>
      <c r="G543" s="633"/>
      <c r="H543" s="633"/>
      <c r="I543" s="633"/>
      <c r="J543" s="633"/>
      <c r="K543" s="633"/>
      <c r="L543" s="633"/>
      <c r="M543" s="633"/>
      <c r="N543" s="633"/>
      <c r="O543" s="638"/>
      <c r="P543" s="635" t="s">
        <v>34</v>
      </c>
      <c r="Q543" s="636"/>
      <c r="R543" s="636"/>
      <c r="S543" s="636"/>
      <c r="T543" s="636"/>
      <c r="U543" s="636"/>
      <c r="V543" s="637"/>
      <c r="W543" s="40" t="s">
        <v>0</v>
      </c>
      <c r="X543" s="41">
        <f>IFERROR(SUM(BM22:BM539),"0")</f>
        <v>13648.599872769842</v>
      </c>
      <c r="Y543" s="41">
        <f>IFERROR(SUM(BN22:BN539),"0")</f>
        <v>13768.43</v>
      </c>
      <c r="Z543" s="40"/>
      <c r="AA543" s="64"/>
      <c r="AB543" s="64"/>
      <c r="AC543" s="64"/>
    </row>
    <row r="544" spans="1:68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8"/>
      <c r="P544" s="635" t="s">
        <v>35</v>
      </c>
      <c r="Q544" s="636"/>
      <c r="R544" s="636"/>
      <c r="S544" s="636"/>
      <c r="T544" s="636"/>
      <c r="U544" s="636"/>
      <c r="V544" s="637"/>
      <c r="W544" s="40" t="s">
        <v>20</v>
      </c>
      <c r="X544" s="42">
        <f>ROUNDUP(SUM(BO22:BO539),0)</f>
        <v>24</v>
      </c>
      <c r="Y544" s="42">
        <f>ROUNDUP(SUM(BP22:BP539),0)</f>
        <v>24</v>
      </c>
      <c r="Z544" s="40"/>
      <c r="AA544" s="64"/>
      <c r="AB544" s="64"/>
      <c r="AC544" s="64"/>
    </row>
    <row r="545" spans="1:32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8"/>
      <c r="P545" s="635" t="s">
        <v>36</v>
      </c>
      <c r="Q545" s="636"/>
      <c r="R545" s="636"/>
      <c r="S545" s="636"/>
      <c r="T545" s="636"/>
      <c r="U545" s="636"/>
      <c r="V545" s="637"/>
      <c r="W545" s="40" t="s">
        <v>0</v>
      </c>
      <c r="X545" s="41">
        <f>GrossWeightTotal+PalletQtyTotal*25</f>
        <v>14248.599872769842</v>
      </c>
      <c r="Y545" s="41">
        <f>GrossWeightTotalR+PalletQtyTotalR*25</f>
        <v>14368.43</v>
      </c>
      <c r="Z545" s="40"/>
      <c r="AA545" s="64"/>
      <c r="AB545" s="64"/>
      <c r="AC545" s="64"/>
    </row>
    <row r="546" spans="1:32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37</v>
      </c>
      <c r="Q546" s="636"/>
      <c r="R546" s="636"/>
      <c r="S546" s="636"/>
      <c r="T546" s="636"/>
      <c r="U546" s="636"/>
      <c r="V546" s="637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2858.9573365119345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2879</v>
      </c>
      <c r="Z546" s="40"/>
      <c r="AA546" s="64"/>
      <c r="AB546" s="64"/>
      <c r="AC546" s="64"/>
    </row>
    <row r="547" spans="1:32" ht="14.25" hidden="1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38</v>
      </c>
      <c r="Q547" s="636"/>
      <c r="R547" s="636"/>
      <c r="S547" s="636"/>
      <c r="T547" s="636"/>
      <c r="U547" s="636"/>
      <c r="V547" s="637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27.789580000000001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76</v>
      </c>
      <c r="C549" s="80" t="s">
        <v>45</v>
      </c>
      <c r="D549" s="621" t="s">
        <v>126</v>
      </c>
      <c r="E549" s="621" t="s">
        <v>126</v>
      </c>
      <c r="F549" s="621" t="s">
        <v>126</v>
      </c>
      <c r="G549" s="621" t="s">
        <v>126</v>
      </c>
      <c r="H549" s="621" t="s">
        <v>126</v>
      </c>
      <c r="I549" s="621" t="s">
        <v>126</v>
      </c>
      <c r="J549" s="621" t="s">
        <v>126</v>
      </c>
      <c r="K549" s="621" t="s">
        <v>338</v>
      </c>
      <c r="L549" s="621" t="s">
        <v>338</v>
      </c>
      <c r="M549" s="621" t="s">
        <v>338</v>
      </c>
      <c r="N549" s="622"/>
      <c r="O549" s="621" t="s">
        <v>338</v>
      </c>
      <c r="P549" s="621" t="s">
        <v>338</v>
      </c>
      <c r="Q549" s="621" t="s">
        <v>338</v>
      </c>
      <c r="R549" s="621" t="s">
        <v>338</v>
      </c>
      <c r="S549" s="621" t="s">
        <v>338</v>
      </c>
      <c r="T549" s="621" t="s">
        <v>338</v>
      </c>
      <c r="U549" s="621" t="s">
        <v>338</v>
      </c>
      <c r="V549" s="621" t="s">
        <v>677</v>
      </c>
      <c r="W549" s="621" t="s">
        <v>677</v>
      </c>
      <c r="X549" s="621" t="s">
        <v>743</v>
      </c>
      <c r="Y549" s="621" t="s">
        <v>743</v>
      </c>
      <c r="Z549" s="80" t="s">
        <v>779</v>
      </c>
      <c r="AA549" s="621" t="s">
        <v>826</v>
      </c>
      <c r="AB549" s="621" t="s">
        <v>826</v>
      </c>
      <c r="AC549" s="9"/>
      <c r="AF549" s="1"/>
    </row>
    <row r="550" spans="1:32" ht="14.25" customHeight="1" thickTop="1" x14ac:dyDescent="0.2">
      <c r="A550" s="623" t="s">
        <v>10</v>
      </c>
      <c r="B550" s="621" t="s">
        <v>76</v>
      </c>
      <c r="C550" s="621" t="s">
        <v>110</v>
      </c>
      <c r="D550" s="621" t="s">
        <v>127</v>
      </c>
      <c r="E550" s="621" t="s">
        <v>143</v>
      </c>
      <c r="F550" s="621" t="s">
        <v>188</v>
      </c>
      <c r="G550" s="621" t="s">
        <v>209</v>
      </c>
      <c r="H550" s="621" t="s">
        <v>248</v>
      </c>
      <c r="I550" s="621" t="s">
        <v>260</v>
      </c>
      <c r="J550" s="621" t="s">
        <v>126</v>
      </c>
      <c r="K550" s="621" t="s">
        <v>339</v>
      </c>
      <c r="L550" s="621" t="s">
        <v>360</v>
      </c>
      <c r="M550" s="621" t="s">
        <v>427</v>
      </c>
      <c r="N550" s="1"/>
      <c r="O550" s="621" t="s">
        <v>495</v>
      </c>
      <c r="P550" s="621" t="s">
        <v>528</v>
      </c>
      <c r="Q550" s="621" t="s">
        <v>544</v>
      </c>
      <c r="R550" s="621" t="s">
        <v>553</v>
      </c>
      <c r="S550" s="621" t="s">
        <v>574</v>
      </c>
      <c r="T550" s="621" t="s">
        <v>583</v>
      </c>
      <c r="U550" s="621" t="s">
        <v>667</v>
      </c>
      <c r="V550" s="621" t="s">
        <v>678</v>
      </c>
      <c r="W550" s="621" t="s">
        <v>727</v>
      </c>
      <c r="X550" s="621" t="s">
        <v>744</v>
      </c>
      <c r="Y550" s="621" t="s">
        <v>767</v>
      </c>
      <c r="Z550" s="621" t="s">
        <v>779</v>
      </c>
      <c r="AA550" s="621" t="s">
        <v>826</v>
      </c>
      <c r="AB550" s="621" t="s">
        <v>847</v>
      </c>
      <c r="AC550" s="9"/>
      <c r="AF550" s="1"/>
    </row>
    <row r="551" spans="1:32" ht="13.5" thickBot="1" x14ac:dyDescent="0.25">
      <c r="A551" s="624"/>
      <c r="B551" s="621"/>
      <c r="C551" s="621"/>
      <c r="D551" s="621"/>
      <c r="E551" s="621"/>
      <c r="F551" s="621"/>
      <c r="G551" s="621"/>
      <c r="H551" s="621"/>
      <c r="I551" s="621"/>
      <c r="J551" s="621"/>
      <c r="K551" s="621"/>
      <c r="L551" s="621"/>
      <c r="M551" s="621"/>
      <c r="N551" s="1"/>
      <c r="O551" s="621"/>
      <c r="P551" s="621"/>
      <c r="Q551" s="621"/>
      <c r="R551" s="621"/>
      <c r="S551" s="621"/>
      <c r="T551" s="621"/>
      <c r="U551" s="621"/>
      <c r="V551" s="621"/>
      <c r="W551" s="621"/>
      <c r="X551" s="621"/>
      <c r="Y551" s="621"/>
      <c r="Z551" s="621"/>
      <c r="AA551" s="621"/>
      <c r="AB551" s="621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78.72</v>
      </c>
      <c r="D552" s="50">
        <f>IFERROR(Y51*1,"0")+IFERROR(Y52*1,"0")+IFERROR(Y53*1,"0")+IFERROR(Y54*1,"0")</f>
        <v>707.6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576</v>
      </c>
      <c r="F552" s="50">
        <f>IFERROR(Y88*1,"0")+IFERROR(Y89*1,"0")+IFERROR(Y90*1,"0")+IFERROR(Y91*1,"0")+IFERROR(Y95*1,"0")+IFERROR(Y96*1,"0")+IFERROR(Y97*1,"0")+IFERROR(Y98*1,"0")</f>
        <v>706.5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1394.1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297.08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178.5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1778.1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201.59999999999997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950.40000000000009</v>
      </c>
      <c r="U552" s="50">
        <f>IFERROR(Y405*1,"0")+IFERROR(Y406*1,"0")+IFERROR(Y407*1,"0")</f>
        <v>1226.4000000000001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2853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895.2</v>
      </c>
      <c r="AA552" s="50">
        <f>IFERROR(Y516*1,"0")+IFERROR(Y520*1,"0")+IFERROR(Y524*1,"0")+IFERROR(Y525*1,"0")+IFERROR(Y529*1,"0")+IFERROR(Y533*1,"0")+IFERROR(Y534*1,"0")</f>
        <v>984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5,00"/>
        <filter val="1 340,00"/>
        <filter val="100,00"/>
        <filter val="105,00"/>
        <filter val="106,82"/>
        <filter val="11,11"/>
        <filter val="112,14"/>
        <filter val="112,35"/>
        <filter val="12 714,70"/>
        <filter val="12,50"/>
        <filter val="120,00"/>
        <filter val="13 648,60"/>
        <filter val="14 248,60"/>
        <filter val="141,00"/>
        <filter val="147,33"/>
        <filter val="150,00"/>
        <filter val="160,00"/>
        <filter val="170,37"/>
        <filter val="175,00"/>
        <filter val="180,00"/>
        <filter val="2 000,00"/>
        <filter val="2 210,00"/>
        <filter val="2 858,96"/>
        <filter val="200,00"/>
        <filter val="210,00"/>
        <filter val="24"/>
        <filter val="240,00"/>
        <filter val="25,00"/>
        <filter val="260,00"/>
        <filter val="270,00"/>
        <filter val="290,00"/>
        <filter val="292,40"/>
        <filter val="300,00"/>
        <filter val="32,00"/>
        <filter val="330,00"/>
        <filter val="34,67"/>
        <filter val="35,00"/>
        <filter val="36,00"/>
        <filter val="360,00"/>
        <filter val="370,00"/>
        <filter val="39,20"/>
        <filter val="40,00"/>
        <filter val="44,80"/>
        <filter val="460,00"/>
        <filter val="467,82"/>
        <filter val="49,50"/>
        <filter val="500,00"/>
        <filter val="520,00"/>
        <filter val="525,00"/>
        <filter val="53,20"/>
        <filter val="53,89"/>
        <filter val="540,00"/>
        <filter val="56,63"/>
        <filter val="583,33"/>
        <filter val="6,67"/>
        <filter val="60,00"/>
        <filter val="66,67"/>
        <filter val="660,00"/>
        <filter val="675,00"/>
        <filter val="70,00"/>
        <filter val="70,37"/>
        <filter val="700,00"/>
        <filter val="76,80"/>
        <filter val="80,00"/>
        <filter val="800,00"/>
        <filter val="83,33"/>
        <filter val="89,26"/>
        <filter val="9,26"/>
        <filter val="90,00"/>
        <filter val="900,00"/>
        <filter val="96,30"/>
        <filter val="99,82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1" t="s">
        <v>852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854</v>
      </c>
      <c r="C6" s="51" t="s">
        <v>855</v>
      </c>
      <c r="D6" s="51" t="s">
        <v>856</v>
      </c>
      <c r="E6" s="51" t="s">
        <v>46</v>
      </c>
    </row>
    <row r="7" spans="2:8" x14ac:dyDescent="0.2">
      <c r="B7" s="51" t="s">
        <v>857</v>
      </c>
      <c r="C7" s="51" t="s">
        <v>858</v>
      </c>
      <c r="D7" s="51" t="s">
        <v>859</v>
      </c>
      <c r="E7" s="51" t="s">
        <v>46</v>
      </c>
    </row>
    <row r="9" spans="2:8" x14ac:dyDescent="0.2">
      <c r="B9" s="51" t="s">
        <v>860</v>
      </c>
      <c r="C9" s="51" t="s">
        <v>855</v>
      </c>
      <c r="D9" s="51" t="s">
        <v>46</v>
      </c>
      <c r="E9" s="51" t="s">
        <v>46</v>
      </c>
    </row>
    <row r="11" spans="2:8" x14ac:dyDescent="0.2">
      <c r="B11" s="51" t="s">
        <v>860</v>
      </c>
      <c r="C11" s="51" t="s">
        <v>858</v>
      </c>
      <c r="D11" s="51" t="s">
        <v>46</v>
      </c>
      <c r="E11" s="51" t="s">
        <v>46</v>
      </c>
    </row>
    <row r="13" spans="2:8" x14ac:dyDescent="0.2">
      <c r="B13" s="51" t="s">
        <v>861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870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871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