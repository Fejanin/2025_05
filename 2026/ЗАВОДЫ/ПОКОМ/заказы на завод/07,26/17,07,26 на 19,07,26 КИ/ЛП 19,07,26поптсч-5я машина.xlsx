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058D13-2269-476E-9354-0DA35454F3C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P502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Z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Y493" i="2" s="1"/>
  <c r="P491" i="2"/>
  <c r="BO490" i="2"/>
  <c r="BM490" i="2"/>
  <c r="Z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N452" i="2"/>
  <c r="BM452" i="2"/>
  <c r="Y452" i="2"/>
  <c r="BP452" i="2" s="1"/>
  <c r="P452" i="2"/>
  <c r="BO451" i="2"/>
  <c r="BM451" i="2"/>
  <c r="Y451" i="2"/>
  <c r="P451" i="2"/>
  <c r="Y447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Z413" i="2" s="1"/>
  <c r="P413" i="2"/>
  <c r="BO412" i="2"/>
  <c r="BM412" i="2"/>
  <c r="Z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P394" i="2"/>
  <c r="BO394" i="2"/>
  <c r="BM394" i="2"/>
  <c r="Y394" i="2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Y306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P291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P280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Z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Z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N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N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P172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N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N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Z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Z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N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79" i="2" l="1"/>
  <c r="Z103" i="2"/>
  <c r="BN174" i="2"/>
  <c r="Y130" i="2"/>
  <c r="Y446" i="2"/>
  <c r="Z221" i="2"/>
  <c r="Z355" i="2"/>
  <c r="Y302" i="2"/>
  <c r="BN96" i="2"/>
  <c r="BN217" i="2"/>
  <c r="BN368" i="2"/>
  <c r="Y436" i="2"/>
  <c r="Z176" i="2"/>
  <c r="Z280" i="2"/>
  <c r="BN482" i="2"/>
  <c r="Z203" i="2"/>
  <c r="Z223" i="2"/>
  <c r="Z334" i="2"/>
  <c r="BN31" i="2"/>
  <c r="BN52" i="2"/>
  <c r="BN187" i="2"/>
  <c r="BN334" i="2"/>
  <c r="BN479" i="2"/>
  <c r="Z443" i="2"/>
  <c r="Y32" i="2"/>
  <c r="BN129" i="2"/>
  <c r="Y190" i="2"/>
  <c r="Z434" i="2"/>
  <c r="Z29" i="2"/>
  <c r="BP29" i="2"/>
  <c r="Z44" i="2"/>
  <c r="BP44" i="2"/>
  <c r="Z158" i="2"/>
  <c r="BP159" i="2"/>
  <c r="BP224" i="2"/>
  <c r="Y251" i="2"/>
  <c r="BN262" i="2"/>
  <c r="Z264" i="2"/>
  <c r="BN272" i="2"/>
  <c r="BP278" i="2"/>
  <c r="BN293" i="2"/>
  <c r="Z295" i="2"/>
  <c r="BN301" i="2"/>
  <c r="BN305" i="2"/>
  <c r="Z311" i="2"/>
  <c r="BN325" i="2"/>
  <c r="BN340" i="2"/>
  <c r="Z358" i="2"/>
  <c r="Z365" i="2"/>
  <c r="BP367" i="2"/>
  <c r="Z419" i="2"/>
  <c r="BP434" i="2"/>
  <c r="BN435" i="2"/>
  <c r="BN454" i="2"/>
  <c r="BN470" i="2"/>
  <c r="BN485" i="2"/>
  <c r="Y494" i="2"/>
  <c r="BN90" i="2"/>
  <c r="BN112" i="2"/>
  <c r="Y155" i="2"/>
  <c r="Z159" i="2"/>
  <c r="Z187" i="2"/>
  <c r="BP187" i="2"/>
  <c r="Y210" i="2"/>
  <c r="BN225" i="2"/>
  <c r="Y246" i="2"/>
  <c r="BN250" i="2"/>
  <c r="Z278" i="2"/>
  <c r="BN320" i="2"/>
  <c r="Y343" i="2"/>
  <c r="Z367" i="2"/>
  <c r="BN387" i="2"/>
  <c r="BP401" i="2"/>
  <c r="Y474" i="2"/>
  <c r="BN497" i="2"/>
  <c r="BN78" i="2"/>
  <c r="Y80" i="2"/>
  <c r="Y100" i="2"/>
  <c r="BN107" i="2"/>
  <c r="BN122" i="2"/>
  <c r="Y126" i="2"/>
  <c r="BN209" i="2"/>
  <c r="BN214" i="2"/>
  <c r="Z401" i="2"/>
  <c r="Z410" i="2"/>
  <c r="BP412" i="2"/>
  <c r="BN413" i="2"/>
  <c r="BN499" i="2"/>
  <c r="BP203" i="2"/>
  <c r="BP311" i="2"/>
  <c r="BP358" i="2"/>
  <c r="BP516" i="2"/>
  <c r="BN170" i="2"/>
  <c r="BN73" i="2"/>
  <c r="BP413" i="2"/>
  <c r="X536" i="2"/>
  <c r="BN372" i="2"/>
  <c r="BN61" i="2"/>
  <c r="E544" i="2"/>
  <c r="Y74" i="2"/>
  <c r="Y383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Z402" i="2" s="1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Z421" i="2" s="1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Z359" i="2" s="1"/>
  <c r="BP355" i="2"/>
  <c r="Z368" i="2"/>
  <c r="Y390" i="2"/>
  <c r="BP387" i="2"/>
  <c r="Y402" i="2"/>
  <c r="W544" i="2"/>
  <c r="Z435" i="2"/>
  <c r="Z436" i="2" s="1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Z189" i="2" s="1"/>
  <c r="Y193" i="2"/>
  <c r="Y205" i="2"/>
  <c r="Y257" i="2"/>
  <c r="Z332" i="2"/>
  <c r="Y359" i="2"/>
  <c r="Y369" i="2"/>
  <c r="Y377" i="2"/>
  <c r="Z386" i="2"/>
  <c r="Y422" i="2"/>
  <c r="Z444" i="2"/>
  <c r="Z446" i="2" s="1"/>
  <c r="Z456" i="2"/>
  <c r="BP471" i="2"/>
  <c r="Z481" i="2"/>
  <c r="Z491" i="2"/>
  <c r="Z493" i="2" s="1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Z24" i="2" s="1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73" i="2" s="1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Z527" i="2" s="1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376" i="2" l="1"/>
  <c r="Z457" i="2"/>
  <c r="Z46" i="2"/>
  <c r="Z312" i="2"/>
  <c r="Z119" i="2"/>
  <c r="Z321" i="2"/>
  <c r="Z205" i="2"/>
  <c r="Z160" i="2"/>
  <c r="Z74" i="2"/>
  <c r="Z415" i="2"/>
  <c r="Z518" i="2"/>
  <c r="X537" i="2"/>
  <c r="Z38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<sst xmlns="http://schemas.openxmlformats.org/spreadsheetml/2006/main" count="4048" uniqueCount="861">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</sst>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5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44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53" t="s">
        <v>26</v>
      </c>
      <c r="E1" s="953"/>
      <c r="F1" s="953"/>
      <c r="G1" s="14" t="s">
        <v>67</v>
      </c>
      <c r="H1" s="953" t="s">
        <v>47</v>
      </c>
      <c r="I1" s="953"/>
      <c r="J1" s="953"/>
      <c r="K1" s="953"/>
      <c r="L1" s="953"/>
      <c r="M1" s="953"/>
      <c r="N1" s="953"/>
      <c r="O1" s="953"/>
      <c r="P1" s="953"/>
      <c r="Q1" s="953"/>
      <c r="R1" s="954" t="s">
        <v>68</v>
      </c>
      <c r="S1" s="955"/>
      <c r="T1" s="95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56"/>
      <c r="R2" s="956"/>
      <c r="S2" s="956"/>
      <c r="T2" s="956"/>
      <c r="U2" s="956"/>
      <c r="V2" s="956"/>
      <c r="W2" s="95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56"/>
      <c r="Q3" s="956"/>
      <c r="R3" s="956"/>
      <c r="S3" s="956"/>
      <c r="T3" s="956"/>
      <c r="U3" s="956"/>
      <c r="V3" s="956"/>
      <c r="W3" s="95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34" t="s">
        <v>8</v>
      </c>
      <c r="B5" s="934"/>
      <c r="C5" s="934"/>
      <c r="D5" s="957"/>
      <c r="E5" s="957"/>
      <c r="F5" s="958" t="s">
        <v>14</v>
      </c>
      <c r="G5" s="958"/>
      <c r="H5" s="957" t="s">
        <v>860</v>
      </c>
      <c r="I5" s="957"/>
      <c r="J5" s="957"/>
      <c r="K5" s="957"/>
      <c r="L5" s="957"/>
      <c r="M5" s="957"/>
      <c r="N5" s="69"/>
      <c r="P5" s="26" t="s">
        <v>4</v>
      </c>
      <c r="Q5" s="959">
        <v>46222</v>
      </c>
      <c r="R5" s="959"/>
      <c r="T5" s="960" t="s">
        <v>3</v>
      </c>
      <c r="U5" s="961"/>
      <c r="V5" s="962" t="s">
        <v>836</v>
      </c>
      <c r="W5" s="963"/>
      <c r="AB5" s="57"/>
      <c r="AC5" s="57"/>
      <c r="AD5" s="57"/>
      <c r="AE5" s="57"/>
    </row>
    <row r="6" spans="1:32" s="17" customFormat="1" ht="24" customHeight="1" x14ac:dyDescent="0.2">
      <c r="A6" s="934" t="s">
        <v>1</v>
      </c>
      <c r="B6" s="934"/>
      <c r="C6" s="934"/>
      <c r="D6" s="935" t="s">
        <v>843</v>
      </c>
      <c r="E6" s="935"/>
      <c r="F6" s="935"/>
      <c r="G6" s="935"/>
      <c r="H6" s="935"/>
      <c r="I6" s="935"/>
      <c r="J6" s="935"/>
      <c r="K6" s="935"/>
      <c r="L6" s="935"/>
      <c r="M6" s="935"/>
      <c r="N6" s="70"/>
      <c r="P6" s="26" t="s">
        <v>27</v>
      </c>
      <c r="Q6" s="936" t="str">
        <f>IF(Q5=0," ",CHOOSE(WEEKDAY(Q5,2),"Понедельник","Вторник","Среда","Четверг","Пятница","Суббота","Воскресенье"))</f>
        <v>Воскресенье</v>
      </c>
      <c r="R6" s="936"/>
      <c r="T6" s="937" t="s">
        <v>5</v>
      </c>
      <c r="U6" s="938"/>
      <c r="V6" s="939" t="s">
        <v>70</v>
      </c>
      <c r="W6" s="94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45" t="str">
        <f>IFERROR(VLOOKUP(DeliveryAddress,Table,3,0),1)</f>
        <v>3</v>
      </c>
      <c r="E7" s="946"/>
      <c r="F7" s="946"/>
      <c r="G7" s="946"/>
      <c r="H7" s="946"/>
      <c r="I7" s="946"/>
      <c r="J7" s="946"/>
      <c r="K7" s="946"/>
      <c r="L7" s="946"/>
      <c r="M7" s="947"/>
      <c r="N7" s="71"/>
      <c r="P7" s="26"/>
      <c r="Q7" s="46"/>
      <c r="R7" s="46"/>
      <c r="T7" s="937"/>
      <c r="U7" s="938"/>
      <c r="V7" s="941"/>
      <c r="W7" s="942"/>
      <c r="AB7" s="57"/>
      <c r="AC7" s="57"/>
      <c r="AD7" s="57"/>
      <c r="AE7" s="57"/>
    </row>
    <row r="8" spans="1:32" s="17" customFormat="1" ht="25.5" customHeight="1" x14ac:dyDescent="0.2">
      <c r="A8" s="948" t="s">
        <v>58</v>
      </c>
      <c r="B8" s="948"/>
      <c r="C8" s="948"/>
      <c r="D8" s="949"/>
      <c r="E8" s="949"/>
      <c r="F8" s="949"/>
      <c r="G8" s="949"/>
      <c r="H8" s="949"/>
      <c r="I8" s="949"/>
      <c r="J8" s="949"/>
      <c r="K8" s="949"/>
      <c r="L8" s="949"/>
      <c r="M8" s="949"/>
      <c r="N8" s="72"/>
      <c r="P8" s="26" t="s">
        <v>11</v>
      </c>
      <c r="Q8" s="932">
        <v>0.54166666666666663</v>
      </c>
      <c r="R8" s="950"/>
      <c r="T8" s="937"/>
      <c r="U8" s="938"/>
      <c r="V8" s="941"/>
      <c r="W8" s="942"/>
      <c r="AB8" s="57"/>
      <c r="AC8" s="57"/>
      <c r="AD8" s="57"/>
      <c r="AE8" s="57"/>
    </row>
    <row r="9" spans="1:32" s="17" customFormat="1" ht="39.950000000000003" customHeight="1" x14ac:dyDescent="0.2">
      <c r="A9" s="92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4"/>
      <c r="C9" s="924"/>
      <c r="D9" s="925" t="s">
        <v>46</v>
      </c>
      <c r="E9" s="926"/>
      <c r="F9" s="92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4"/>
      <c r="H9" s="951" t="str">
        <f>IF(AND($A$9="Тип доверенности/получателя при получении в адресе перегруза:",$D$9="Разовая доверенность"),"Введите ФИО","")</f>
        <v/>
      </c>
      <c r="I9" s="951"/>
      <c r="J9" s="9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1"/>
      <c r="L9" s="951"/>
      <c r="M9" s="951"/>
      <c r="N9" s="67"/>
      <c r="P9" s="29" t="s">
        <v>15</v>
      </c>
      <c r="Q9" s="952"/>
      <c r="R9" s="952"/>
      <c r="T9" s="937"/>
      <c r="U9" s="938"/>
      <c r="V9" s="943"/>
      <c r="W9" s="94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2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4"/>
      <c r="C10" s="924"/>
      <c r="D10" s="925"/>
      <c r="E10" s="926"/>
      <c r="F10" s="92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4"/>
      <c r="H10" s="927" t="str">
        <f>IFERROR(VLOOKUP($D$10,Proxy,2,FALSE),"")</f>
        <v/>
      </c>
      <c r="I10" s="927"/>
      <c r="J10" s="927"/>
      <c r="K10" s="927"/>
      <c r="L10" s="927"/>
      <c r="M10" s="927"/>
      <c r="N10" s="68"/>
      <c r="P10" s="29" t="s">
        <v>32</v>
      </c>
      <c r="Q10" s="928"/>
      <c r="R10" s="928"/>
      <c r="U10" s="26" t="s">
        <v>12</v>
      </c>
      <c r="V10" s="929" t="s">
        <v>71</v>
      </c>
      <c r="W10" s="93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31"/>
      <c r="R11" s="931"/>
      <c r="U11" s="26" t="s">
        <v>28</v>
      </c>
      <c r="V11" s="910" t="s">
        <v>55</v>
      </c>
      <c r="W11" s="91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09" t="s">
        <v>72</v>
      </c>
      <c r="B12" s="909"/>
      <c r="C12" s="909"/>
      <c r="D12" s="909"/>
      <c r="E12" s="909"/>
      <c r="F12" s="909"/>
      <c r="G12" s="909"/>
      <c r="H12" s="909"/>
      <c r="I12" s="909"/>
      <c r="J12" s="909"/>
      <c r="K12" s="909"/>
      <c r="L12" s="909"/>
      <c r="M12" s="909"/>
      <c r="N12" s="73"/>
      <c r="P12" s="26" t="s">
        <v>30</v>
      </c>
      <c r="Q12" s="932"/>
      <c r="R12" s="932"/>
      <c r="S12" s="27"/>
      <c r="T12"/>
      <c r="U12" s="26" t="s">
        <v>46</v>
      </c>
      <c r="V12" s="933"/>
      <c r="W12" s="933"/>
      <c r="X12"/>
      <c r="AB12" s="57"/>
      <c r="AC12" s="57"/>
      <c r="AD12" s="57"/>
      <c r="AE12" s="57"/>
    </row>
    <row r="13" spans="1:32" s="17" customFormat="1" ht="23.25" customHeight="1" x14ac:dyDescent="0.2">
      <c r="A13" s="909" t="s">
        <v>73</v>
      </c>
      <c r="B13" s="909"/>
      <c r="C13" s="909"/>
      <c r="D13" s="909"/>
      <c r="E13" s="909"/>
      <c r="F13" s="909"/>
      <c r="G13" s="909"/>
      <c r="H13" s="909"/>
      <c r="I13" s="909"/>
      <c r="J13" s="909"/>
      <c r="K13" s="909"/>
      <c r="L13" s="909"/>
      <c r="M13" s="909"/>
      <c r="N13" s="73"/>
      <c r="O13" s="29"/>
      <c r="P13" s="29" t="s">
        <v>31</v>
      </c>
      <c r="Q13" s="910"/>
      <c r="R13" s="91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09" t="s">
        <v>74</v>
      </c>
      <c r="B14" s="909"/>
      <c r="C14" s="909"/>
      <c r="D14" s="909"/>
      <c r="E14" s="909"/>
      <c r="F14" s="909"/>
      <c r="G14" s="909"/>
      <c r="H14" s="909"/>
      <c r="I14" s="909"/>
      <c r="J14" s="909"/>
      <c r="K14" s="909"/>
      <c r="L14" s="909"/>
      <c r="M14" s="90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11" t="s">
        <v>75</v>
      </c>
      <c r="B15" s="911"/>
      <c r="C15" s="911"/>
      <c r="D15" s="911"/>
      <c r="E15" s="911"/>
      <c r="F15" s="911"/>
      <c r="G15" s="911"/>
      <c r="H15" s="911"/>
      <c r="I15" s="911"/>
      <c r="J15" s="911"/>
      <c r="K15" s="911"/>
      <c r="L15" s="911"/>
      <c r="M15" s="911"/>
      <c r="N15" s="74"/>
      <c r="O15"/>
      <c r="P15" s="912" t="s">
        <v>61</v>
      </c>
      <c r="Q15" s="912"/>
      <c r="R15" s="912"/>
      <c r="S15" s="912"/>
      <c r="T15" s="91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3"/>
      <c r="Q16" s="913"/>
      <c r="R16" s="913"/>
      <c r="S16" s="913"/>
      <c r="T16" s="91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95" t="s">
        <v>59</v>
      </c>
      <c r="B17" s="895" t="s">
        <v>49</v>
      </c>
      <c r="C17" s="916" t="s">
        <v>48</v>
      </c>
      <c r="D17" s="918" t="s">
        <v>50</v>
      </c>
      <c r="E17" s="919"/>
      <c r="F17" s="895" t="s">
        <v>21</v>
      </c>
      <c r="G17" s="895" t="s">
        <v>24</v>
      </c>
      <c r="H17" s="895" t="s">
        <v>22</v>
      </c>
      <c r="I17" s="895" t="s">
        <v>23</v>
      </c>
      <c r="J17" s="895" t="s">
        <v>16</v>
      </c>
      <c r="K17" s="895" t="s">
        <v>66</v>
      </c>
      <c r="L17" s="895" t="s">
        <v>64</v>
      </c>
      <c r="M17" s="895" t="s">
        <v>2</v>
      </c>
      <c r="N17" s="895" t="s">
        <v>63</v>
      </c>
      <c r="O17" s="895" t="s">
        <v>25</v>
      </c>
      <c r="P17" s="918" t="s">
        <v>17</v>
      </c>
      <c r="Q17" s="922"/>
      <c r="R17" s="922"/>
      <c r="S17" s="922"/>
      <c r="T17" s="919"/>
      <c r="U17" s="914" t="s">
        <v>56</v>
      </c>
      <c r="V17" s="915"/>
      <c r="W17" s="895" t="s">
        <v>6</v>
      </c>
      <c r="X17" s="895" t="s">
        <v>41</v>
      </c>
      <c r="Y17" s="897" t="s">
        <v>54</v>
      </c>
      <c r="Z17" s="899" t="s">
        <v>18</v>
      </c>
      <c r="AA17" s="901" t="s">
        <v>60</v>
      </c>
      <c r="AB17" s="901" t="s">
        <v>19</v>
      </c>
      <c r="AC17" s="901" t="s">
        <v>65</v>
      </c>
      <c r="AD17" s="903" t="s">
        <v>57</v>
      </c>
      <c r="AE17" s="904"/>
      <c r="AF17" s="905"/>
      <c r="AG17" s="77"/>
      <c r="BD17" s="76" t="s">
        <v>62</v>
      </c>
    </row>
    <row r="18" spans="1:68" ht="14.25" customHeight="1" x14ac:dyDescent="0.2">
      <c r="A18" s="896"/>
      <c r="B18" s="896"/>
      <c r="C18" s="917"/>
      <c r="D18" s="920"/>
      <c r="E18" s="921"/>
      <c r="F18" s="896"/>
      <c r="G18" s="896"/>
      <c r="H18" s="896"/>
      <c r="I18" s="896"/>
      <c r="J18" s="896"/>
      <c r="K18" s="896"/>
      <c r="L18" s="896"/>
      <c r="M18" s="896"/>
      <c r="N18" s="896"/>
      <c r="O18" s="896"/>
      <c r="P18" s="920"/>
      <c r="Q18" s="923"/>
      <c r="R18" s="923"/>
      <c r="S18" s="923"/>
      <c r="T18" s="921"/>
      <c r="U18" s="78" t="s">
        <v>44</v>
      </c>
      <c r="V18" s="78" t="s">
        <v>43</v>
      </c>
      <c r="W18" s="896"/>
      <c r="X18" s="896"/>
      <c r="Y18" s="898"/>
      <c r="Z18" s="900"/>
      <c r="AA18" s="902"/>
      <c r="AB18" s="902"/>
      <c r="AC18" s="902"/>
      <c r="AD18" s="906"/>
      <c r="AE18" s="907"/>
      <c r="AF18" s="908"/>
      <c r="AG18" s="77"/>
      <c r="BD18" s="76"/>
    </row>
    <row r="19" spans="1:68" ht="27.75" hidden="1" customHeight="1" x14ac:dyDescent="0.2">
      <c r="A19" s="636" t="s">
        <v>76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52"/>
      <c r="AB19" s="52"/>
      <c r="AC19" s="52"/>
    </row>
    <row r="20" spans="1:68" ht="16.5" hidden="1" customHeight="1" x14ac:dyDescent="0.25">
      <c r="A20" s="631" t="s">
        <v>76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2"/>
      <c r="AB20" s="62"/>
      <c r="AC20" s="62"/>
    </row>
    <row r="21" spans="1:68" ht="14.25" hidden="1" customHeight="1" x14ac:dyDescent="0.25">
      <c r="A21" s="615" t="s">
        <v>77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16">
        <v>4680115889071</v>
      </c>
      <c r="E23" s="6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8"/>
      <c r="R23" s="618"/>
      <c r="S23" s="618"/>
      <c r="T23" s="6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3"/>
      <c r="B25" s="623"/>
      <c r="C25" s="623"/>
      <c r="D25" s="623"/>
      <c r="E25" s="623"/>
      <c r="F25" s="623"/>
      <c r="G25" s="623"/>
      <c r="H25" s="623"/>
      <c r="I25" s="623"/>
      <c r="J25" s="623"/>
      <c r="K25" s="623"/>
      <c r="L25" s="623"/>
      <c r="M25" s="623"/>
      <c r="N25" s="623"/>
      <c r="O25" s="624"/>
      <c r="P25" s="620" t="s">
        <v>40</v>
      </c>
      <c r="Q25" s="621"/>
      <c r="R25" s="621"/>
      <c r="S25" s="621"/>
      <c r="T25" s="621"/>
      <c r="U25" s="621"/>
      <c r="V25" s="62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15" t="s">
        <v>86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16">
        <v>4680115885912</v>
      </c>
      <c r="E27" s="6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8"/>
      <c r="R27" s="618"/>
      <c r="S27" s="618"/>
      <c r="T27" s="6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16">
        <v>4607091388237</v>
      </c>
      <c r="E28" s="6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8"/>
      <c r="R28" s="618"/>
      <c r="S28" s="618"/>
      <c r="T28" s="6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16">
        <v>4680115887350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8"/>
      <c r="R29" s="618"/>
      <c r="S29" s="618"/>
      <c r="T29" s="6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16">
        <v>4680115885905</v>
      </c>
      <c r="E30" s="6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8"/>
      <c r="R30" s="618"/>
      <c r="S30" s="618"/>
      <c r="T30" s="6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16">
        <v>4680115887619</v>
      </c>
      <c r="E31" s="6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8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8"/>
      <c r="R31" s="618"/>
      <c r="S31" s="618"/>
      <c r="T31" s="6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23"/>
      <c r="B33" s="623"/>
      <c r="C33" s="623"/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/>
      <c r="O33" s="624"/>
      <c r="P33" s="620" t="s">
        <v>40</v>
      </c>
      <c r="Q33" s="621"/>
      <c r="R33" s="621"/>
      <c r="S33" s="621"/>
      <c r="T33" s="621"/>
      <c r="U33" s="621"/>
      <c r="V33" s="62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15" t="s">
        <v>104</v>
      </c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15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16">
        <v>4607091388503</v>
      </c>
      <c r="E35" s="61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8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8"/>
      <c r="R35" s="618"/>
      <c r="S35" s="618"/>
      <c r="T35" s="61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23"/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4"/>
      <c r="P37" s="620" t="s">
        <v>40</v>
      </c>
      <c r="Q37" s="621"/>
      <c r="R37" s="621"/>
      <c r="S37" s="621"/>
      <c r="T37" s="621"/>
      <c r="U37" s="621"/>
      <c r="V37" s="622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36" t="s">
        <v>45</v>
      </c>
      <c r="B38" s="636"/>
      <c r="C38" s="636"/>
      <c r="D38" s="636"/>
      <c r="E38" s="636"/>
      <c r="F38" s="636"/>
      <c r="G38" s="636"/>
      <c r="H38" s="636"/>
      <c r="I38" s="636"/>
      <c r="J38" s="636"/>
      <c r="K38" s="636"/>
      <c r="L38" s="636"/>
      <c r="M38" s="636"/>
      <c r="N38" s="636"/>
      <c r="O38" s="636"/>
      <c r="P38" s="636"/>
      <c r="Q38" s="636"/>
      <c r="R38" s="636"/>
      <c r="S38" s="636"/>
      <c r="T38" s="636"/>
      <c r="U38" s="636"/>
      <c r="V38" s="636"/>
      <c r="W38" s="636"/>
      <c r="X38" s="636"/>
      <c r="Y38" s="636"/>
      <c r="Z38" s="636"/>
      <c r="AA38" s="52"/>
      <c r="AB38" s="52"/>
      <c r="AC38" s="52"/>
    </row>
    <row r="39" spans="1:68" ht="16.5" hidden="1" customHeight="1" x14ac:dyDescent="0.25">
      <c r="A39" s="631" t="s">
        <v>110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2"/>
      <c r="AB39" s="62"/>
      <c r="AC39" s="62"/>
    </row>
    <row r="40" spans="1:68" ht="14.25" hidden="1" customHeight="1" x14ac:dyDescent="0.25">
      <c r="A40" s="615" t="s">
        <v>86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16">
        <v>4680115889354</v>
      </c>
      <c r="E41" s="6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88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8"/>
      <c r="R41" s="618"/>
      <c r="S41" s="618"/>
      <c r="T41" s="6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16">
        <v>4680115888463</v>
      </c>
      <c r="E42" s="61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8"/>
      <c r="R42" s="618"/>
      <c r="S42" s="618"/>
      <c r="T42" s="61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16">
        <v>4680115888494</v>
      </c>
      <c r="E43" s="61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8"/>
      <c r="R43" s="618"/>
      <c r="S43" s="618"/>
      <c r="T43" s="61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16">
        <v>4680115888272</v>
      </c>
      <c r="E44" s="61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8"/>
      <c r="R44" s="618"/>
      <c r="S44" s="618"/>
      <c r="T44" s="61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16">
        <v>4680115888364</v>
      </c>
      <c r="E45" s="61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8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8"/>
      <c r="R45" s="618"/>
      <c r="S45" s="618"/>
      <c r="T45" s="61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23"/>
      <c r="B46" s="623"/>
      <c r="C46" s="623"/>
      <c r="D46" s="623"/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4"/>
      <c r="P46" s="620" t="s">
        <v>40</v>
      </c>
      <c r="Q46" s="621"/>
      <c r="R46" s="621"/>
      <c r="S46" s="621"/>
      <c r="T46" s="621"/>
      <c r="U46" s="621"/>
      <c r="V46" s="622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36" t="s">
        <v>127</v>
      </c>
      <c r="B48" s="636"/>
      <c r="C48" s="636"/>
      <c r="D48" s="636"/>
      <c r="E48" s="636"/>
      <c r="F48" s="636"/>
      <c r="G48" s="636"/>
      <c r="H48" s="636"/>
      <c r="I48" s="636"/>
      <c r="J48" s="636"/>
      <c r="K48" s="636"/>
      <c r="L48" s="636"/>
      <c r="M48" s="636"/>
      <c r="N48" s="636"/>
      <c r="O48" s="636"/>
      <c r="P48" s="636"/>
      <c r="Q48" s="636"/>
      <c r="R48" s="636"/>
      <c r="S48" s="636"/>
      <c r="T48" s="636"/>
      <c r="U48" s="636"/>
      <c r="V48" s="636"/>
      <c r="W48" s="636"/>
      <c r="X48" s="636"/>
      <c r="Y48" s="636"/>
      <c r="Z48" s="636"/>
      <c r="AA48" s="52"/>
      <c r="AB48" s="52"/>
      <c r="AC48" s="52"/>
    </row>
    <row r="49" spans="1:68" ht="16.5" hidden="1" customHeight="1" x14ac:dyDescent="0.25">
      <c r="A49" s="631" t="s">
        <v>128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62"/>
      <c r="AB49" s="62"/>
      <c r="AC49" s="62"/>
    </row>
    <row r="50" spans="1:68" ht="14.25" hidden="1" customHeight="1" x14ac:dyDescent="0.25">
      <c r="A50" s="615" t="s">
        <v>129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16.5" customHeight="1" x14ac:dyDescent="0.25">
      <c r="A51" s="60" t="s">
        <v>130</v>
      </c>
      <c r="B51" s="60" t="s">
        <v>131</v>
      </c>
      <c r="C51" s="34">
        <v>4301011380</v>
      </c>
      <c r="D51" s="616">
        <v>4607091385670</v>
      </c>
      <c r="E51" s="61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8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8"/>
      <c r="R51" s="618"/>
      <c r="S51" s="618"/>
      <c r="T51" s="619"/>
      <c r="U51" s="37" t="s">
        <v>46</v>
      </c>
      <c r="V51" s="37" t="s">
        <v>46</v>
      </c>
      <c r="W51" s="38" t="s">
        <v>0</v>
      </c>
      <c r="X51" s="56">
        <v>200</v>
      </c>
      <c r="Y51" s="53">
        <f>IFERROR(IF(X51="",0,CEILING((X51/$H51),1)*$H51),"")</f>
        <v>205.20000000000002</v>
      </c>
      <c r="Z51" s="39">
        <f>IFERROR(IF(Y51=0,"",ROUNDUP(Y51/H51,0)*0.01898),"")</f>
        <v>0.36062</v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207.59259259259258</v>
      </c>
      <c r="BN51" s="75">
        <f>IFERROR(Y51*I51/H51,"0")</f>
        <v>212.99</v>
      </c>
      <c r="BO51" s="75">
        <f>IFERROR(1/J51*(X51/H51),"0")</f>
        <v>0.28935185185185186</v>
      </c>
      <c r="BP51" s="75">
        <f>IFERROR(1/J51*(Y51/H51),"0")</f>
        <v>0.296875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16">
        <v>4680115887725</v>
      </c>
      <c r="E52" s="61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87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8"/>
      <c r="R52" s="618"/>
      <c r="S52" s="618"/>
      <c r="T52" s="61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16">
        <v>4607091385687</v>
      </c>
      <c r="E53" s="61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8"/>
      <c r="R53" s="618"/>
      <c r="S53" s="618"/>
      <c r="T53" s="61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16">
        <v>4680115882539</v>
      </c>
      <c r="E54" s="61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8"/>
      <c r="R54" s="618"/>
      <c r="S54" s="618"/>
      <c r="T54" s="61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23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  <c r="O55" s="624"/>
      <c r="P55" s="620" t="s">
        <v>40</v>
      </c>
      <c r="Q55" s="621"/>
      <c r="R55" s="621"/>
      <c r="S55" s="621"/>
      <c r="T55" s="621"/>
      <c r="U55" s="621"/>
      <c r="V55" s="622"/>
      <c r="W55" s="40" t="s">
        <v>39</v>
      </c>
      <c r="X55" s="41">
        <f>IFERROR(X51/H51,"0")+IFERROR(X52/H52,"0")+IFERROR(X53/H53,"0")+IFERROR(X54/H54,"0")</f>
        <v>18.518518518518519</v>
      </c>
      <c r="Y55" s="41">
        <f>IFERROR(Y51/H51,"0")+IFERROR(Y52/H52,"0")+IFERROR(Y53/H53,"0")+IFERROR(Y54/H54,"0")</f>
        <v>19</v>
      </c>
      <c r="Z55" s="41">
        <f>IFERROR(IF(Z51="",0,Z51),"0")+IFERROR(IF(Z52="",0,Z52),"0")+IFERROR(IF(Z53="",0,Z53),"0")+IFERROR(IF(Z54="",0,Z54),"0")</f>
        <v>0.36062</v>
      </c>
      <c r="AA55" s="64"/>
      <c r="AB55" s="64"/>
      <c r="AC55" s="64"/>
    </row>
    <row r="56" spans="1:68" x14ac:dyDescent="0.2">
      <c r="A56" s="623"/>
      <c r="B56" s="623"/>
      <c r="C56" s="623"/>
      <c r="D56" s="623"/>
      <c r="E56" s="623"/>
      <c r="F56" s="623"/>
      <c r="G56" s="623"/>
      <c r="H56" s="623"/>
      <c r="I56" s="623"/>
      <c r="J56" s="623"/>
      <c r="K56" s="623"/>
      <c r="L56" s="623"/>
      <c r="M56" s="623"/>
      <c r="N56" s="623"/>
      <c r="O56" s="624"/>
      <c r="P56" s="620" t="s">
        <v>40</v>
      </c>
      <c r="Q56" s="621"/>
      <c r="R56" s="621"/>
      <c r="S56" s="621"/>
      <c r="T56" s="621"/>
      <c r="U56" s="621"/>
      <c r="V56" s="622"/>
      <c r="W56" s="40" t="s">
        <v>0</v>
      </c>
      <c r="X56" s="41">
        <f>IFERROR(SUM(X51:X54),"0")</f>
        <v>200</v>
      </c>
      <c r="Y56" s="41">
        <f>IFERROR(SUM(Y51:Y54),"0")</f>
        <v>205.20000000000002</v>
      </c>
      <c r="Z56" s="40"/>
      <c r="AA56" s="64"/>
      <c r="AB56" s="64"/>
      <c r="AC56" s="64"/>
    </row>
    <row r="57" spans="1:68" ht="16.5" hidden="1" customHeight="1" x14ac:dyDescent="0.25">
      <c r="A57" s="631" t="s">
        <v>144</v>
      </c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1"/>
      <c r="P57" s="631"/>
      <c r="Q57" s="631"/>
      <c r="R57" s="631"/>
      <c r="S57" s="631"/>
      <c r="T57" s="631"/>
      <c r="U57" s="631"/>
      <c r="V57" s="631"/>
      <c r="W57" s="631"/>
      <c r="X57" s="631"/>
      <c r="Y57" s="631"/>
      <c r="Z57" s="631"/>
      <c r="AA57" s="62"/>
      <c r="AB57" s="62"/>
      <c r="AC57" s="62"/>
    </row>
    <row r="58" spans="1:68" ht="14.25" hidden="1" customHeight="1" x14ac:dyDescent="0.25">
      <c r="A58" s="615" t="s">
        <v>129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16">
        <v>4680115885882</v>
      </c>
      <c r="E59" s="61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8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8"/>
      <c r="R59" s="618"/>
      <c r="S59" s="618"/>
      <c r="T59" s="6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16">
        <v>4680115885882</v>
      </c>
      <c r="E60" s="61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8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8"/>
      <c r="R60" s="618"/>
      <c r="S60" s="618"/>
      <c r="T60" s="6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150</v>
      </c>
      <c r="B61" s="60" t="s">
        <v>151</v>
      </c>
      <c r="C61" s="34">
        <v>4301011816</v>
      </c>
      <c r="D61" s="616">
        <v>4680115881426</v>
      </c>
      <c r="E61" s="61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8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8"/>
      <c r="R61" s="618"/>
      <c r="S61" s="618"/>
      <c r="T61" s="619"/>
      <c r="U61" s="37" t="s">
        <v>46</v>
      </c>
      <c r="V61" s="37" t="s">
        <v>46</v>
      </c>
      <c r="W61" s="38" t="s">
        <v>0</v>
      </c>
      <c r="X61" s="56">
        <v>1300</v>
      </c>
      <c r="Y61" s="53">
        <f t="shared" si="0"/>
        <v>1306.8000000000002</v>
      </c>
      <c r="Z61" s="39">
        <f>IFERROR(IF(Y61=0,"",ROUNDUP(Y61/H61,0)*0.01898),"")</f>
        <v>2.2965800000000001</v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1349.351851851852</v>
      </c>
      <c r="BN61" s="75">
        <f t="shared" si="2"/>
        <v>1356.41</v>
      </c>
      <c r="BO61" s="75">
        <f t="shared" si="3"/>
        <v>1.880787037037037</v>
      </c>
      <c r="BP61" s="75">
        <f t="shared" si="4"/>
        <v>1.8906250000000002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16">
        <v>4680115880283</v>
      </c>
      <c r="E62" s="61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8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8"/>
      <c r="R62" s="618"/>
      <c r="S62" s="618"/>
      <c r="T62" s="61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16">
        <v>4680115880283</v>
      </c>
      <c r="E63" s="61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8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8"/>
      <c r="R63" s="618"/>
      <c r="S63" s="618"/>
      <c r="T63" s="619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16">
        <v>4680115881525</v>
      </c>
      <c r="E64" s="61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8"/>
      <c r="R64" s="618"/>
      <c r="S64" s="618"/>
      <c r="T64" s="61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16">
        <v>4680115885899</v>
      </c>
      <c r="E65" s="61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8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8"/>
      <c r="R65" s="618"/>
      <c r="S65" s="618"/>
      <c r="T65" s="61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163</v>
      </c>
      <c r="B66" s="60" t="s">
        <v>164</v>
      </c>
      <c r="C66" s="34">
        <v>4301011801</v>
      </c>
      <c r="D66" s="616">
        <v>4680115881419</v>
      </c>
      <c r="E66" s="61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86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8"/>
      <c r="R66" s="618"/>
      <c r="S66" s="618"/>
      <c r="T66" s="619"/>
      <c r="U66" s="37" t="s">
        <v>46</v>
      </c>
      <c r="V66" s="37" t="s">
        <v>46</v>
      </c>
      <c r="W66" s="38" t="s">
        <v>0</v>
      </c>
      <c r="X66" s="56">
        <v>594</v>
      </c>
      <c r="Y66" s="53">
        <f t="shared" si="0"/>
        <v>594</v>
      </c>
      <c r="Z66" s="39">
        <f>IFERROR(IF(Y66=0,"",ROUNDUP(Y66/H66,0)*0.00902),"")</f>
        <v>1.1906400000000001</v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619.08000000000004</v>
      </c>
      <c r="BN66" s="75">
        <f t="shared" si="2"/>
        <v>619.08000000000004</v>
      </c>
      <c r="BO66" s="75">
        <f t="shared" si="3"/>
        <v>1</v>
      </c>
      <c r="BP66" s="75">
        <f t="shared" si="4"/>
        <v>1</v>
      </c>
    </row>
    <row r="67" spans="1:68" x14ac:dyDescent="0.2">
      <c r="A67" s="623"/>
      <c r="B67" s="623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4"/>
      <c r="P67" s="620" t="s">
        <v>40</v>
      </c>
      <c r="Q67" s="621"/>
      <c r="R67" s="621"/>
      <c r="S67" s="621"/>
      <c r="T67" s="621"/>
      <c r="U67" s="621"/>
      <c r="V67" s="622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252.37037037037038</v>
      </c>
      <c r="Y67" s="41">
        <f>IFERROR(Y59/H59,"0")+IFERROR(Y60/H60,"0")+IFERROR(Y61/H61,"0")+IFERROR(Y62/H62,"0")+IFERROR(Y63/H63,"0")+IFERROR(Y64/H64,"0")+IFERROR(Y65/H65,"0")+IFERROR(Y66/H66,"0")</f>
        <v>253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3.4872200000000002</v>
      </c>
      <c r="AA67" s="64"/>
      <c r="AB67" s="64"/>
      <c r="AC67" s="64"/>
    </row>
    <row r="68" spans="1:68" x14ac:dyDescent="0.2">
      <c r="A68" s="623"/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4"/>
      <c r="P68" s="620" t="s">
        <v>40</v>
      </c>
      <c r="Q68" s="621"/>
      <c r="R68" s="621"/>
      <c r="S68" s="621"/>
      <c r="T68" s="621"/>
      <c r="U68" s="621"/>
      <c r="V68" s="622"/>
      <c r="W68" s="40" t="s">
        <v>0</v>
      </c>
      <c r="X68" s="41">
        <f>IFERROR(SUM(X59:X66),"0")</f>
        <v>1894</v>
      </c>
      <c r="Y68" s="41">
        <f>IFERROR(SUM(Y59:Y66),"0")</f>
        <v>1900.8000000000002</v>
      </c>
      <c r="Z68" s="40"/>
      <c r="AA68" s="64"/>
      <c r="AB68" s="64"/>
      <c r="AC68" s="64"/>
    </row>
    <row r="69" spans="1:68" ht="14.25" hidden="1" customHeight="1" x14ac:dyDescent="0.25">
      <c r="A69" s="615" t="s">
        <v>166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3"/>
      <c r="AB69" s="63"/>
      <c r="AC69" s="63"/>
    </row>
    <row r="70" spans="1:68" ht="16.5" customHeight="1" x14ac:dyDescent="0.25">
      <c r="A70" s="60" t="s">
        <v>167</v>
      </c>
      <c r="B70" s="60" t="s">
        <v>168</v>
      </c>
      <c r="C70" s="34">
        <v>4301020298</v>
      </c>
      <c r="D70" s="616">
        <v>4680115881440</v>
      </c>
      <c r="E70" s="61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86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8"/>
      <c r="R70" s="618"/>
      <c r="S70" s="618"/>
      <c r="T70" s="619"/>
      <c r="U70" s="37" t="s">
        <v>46</v>
      </c>
      <c r="V70" s="37" t="s">
        <v>46</v>
      </c>
      <c r="W70" s="38" t="s">
        <v>0</v>
      </c>
      <c r="X70" s="56">
        <v>700</v>
      </c>
      <c r="Y70" s="53">
        <f>IFERROR(IF(X70="",0,CEILING((X70/$H70),1)*$H70),"")</f>
        <v>702</v>
      </c>
      <c r="Z70" s="39">
        <f>IFERROR(IF(Y70=0,"",ROUNDUP(Y70/H70,0)*0.01898),"")</f>
        <v>1.2337</v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726.57407407407413</v>
      </c>
      <c r="BN70" s="75">
        <f>IFERROR(Y70*I70/H70,"0")</f>
        <v>728.65000000000009</v>
      </c>
      <c r="BO70" s="75">
        <f>IFERROR(1/J70*(X70/H70),"0")</f>
        <v>1.0127314814814814</v>
      </c>
      <c r="BP70" s="75">
        <f>IFERROR(1/J70*(Y70/H70),"0")</f>
        <v>1.015625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16">
        <v>4680115885950</v>
      </c>
      <c r="E71" s="61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8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8"/>
      <c r="R71" s="618"/>
      <c r="S71" s="618"/>
      <c r="T71" s="61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16">
        <v>4680115887688</v>
      </c>
      <c r="E72" s="61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8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8"/>
      <c r="R72" s="618"/>
      <c r="S72" s="618"/>
      <c r="T72" s="6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4301020296</v>
      </c>
      <c r="D73" s="616">
        <v>4680115881433</v>
      </c>
      <c r="E73" s="61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8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8"/>
      <c r="R73" s="618"/>
      <c r="S73" s="618"/>
      <c r="T73" s="619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623"/>
      <c r="B74" s="623"/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4"/>
      <c r="P74" s="620" t="s">
        <v>40</v>
      </c>
      <c r="Q74" s="621"/>
      <c r="R74" s="621"/>
      <c r="S74" s="621"/>
      <c r="T74" s="621"/>
      <c r="U74" s="621"/>
      <c r="V74" s="622"/>
      <c r="W74" s="40" t="s">
        <v>39</v>
      </c>
      <c r="X74" s="41">
        <f>IFERROR(X70/H70,"0")+IFERROR(X71/H71,"0")+IFERROR(X72/H72,"0")+IFERROR(X73/H73,"0")</f>
        <v>114.81481481481481</v>
      </c>
      <c r="Y74" s="41">
        <f>IFERROR(Y70/H70,"0")+IFERROR(Y71/H71,"0")+IFERROR(Y72/H72,"0")+IFERROR(Y73/H73,"0")</f>
        <v>115</v>
      </c>
      <c r="Z74" s="41">
        <f>IFERROR(IF(Z70="",0,Z70),"0")+IFERROR(IF(Z71="",0,Z71),"0")+IFERROR(IF(Z72="",0,Z72),"0")+IFERROR(IF(Z73="",0,Z73),"0")</f>
        <v>1.5592000000000001</v>
      </c>
      <c r="AA74" s="64"/>
      <c r="AB74" s="64"/>
      <c r="AC74" s="64"/>
    </row>
    <row r="75" spans="1:68" x14ac:dyDescent="0.2">
      <c r="A75" s="623"/>
      <c r="B75" s="623"/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  <c r="O75" s="624"/>
      <c r="P75" s="620" t="s">
        <v>40</v>
      </c>
      <c r="Q75" s="621"/>
      <c r="R75" s="621"/>
      <c r="S75" s="621"/>
      <c r="T75" s="621"/>
      <c r="U75" s="621"/>
      <c r="V75" s="622"/>
      <c r="W75" s="40" t="s">
        <v>0</v>
      </c>
      <c r="X75" s="41">
        <f>IFERROR(SUM(X70:X73),"0")</f>
        <v>835</v>
      </c>
      <c r="Y75" s="41">
        <f>IFERROR(SUM(Y70:Y73),"0")</f>
        <v>837</v>
      </c>
      <c r="Z75" s="40"/>
      <c r="AA75" s="64"/>
      <c r="AB75" s="64"/>
      <c r="AC75" s="64"/>
    </row>
    <row r="76" spans="1:68" ht="14.25" hidden="1" customHeight="1" x14ac:dyDescent="0.25">
      <c r="A76" s="615" t="s">
        <v>86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16">
        <v>4680115884311</v>
      </c>
      <c r="E77" s="61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8"/>
      <c r="R77" s="618"/>
      <c r="S77" s="618"/>
      <c r="T77" s="61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16">
        <v>4680115884403</v>
      </c>
      <c r="E78" s="61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8"/>
      <c r="R78" s="618"/>
      <c r="S78" s="618"/>
      <c r="T78" s="6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23"/>
      <c r="B79" s="623"/>
      <c r="C79" s="623"/>
      <c r="D79" s="623"/>
      <c r="E79" s="623"/>
      <c r="F79" s="623"/>
      <c r="G79" s="623"/>
      <c r="H79" s="623"/>
      <c r="I79" s="623"/>
      <c r="J79" s="623"/>
      <c r="K79" s="623"/>
      <c r="L79" s="623"/>
      <c r="M79" s="623"/>
      <c r="N79" s="623"/>
      <c r="O79" s="624"/>
      <c r="P79" s="620" t="s">
        <v>40</v>
      </c>
      <c r="Q79" s="621"/>
      <c r="R79" s="621"/>
      <c r="S79" s="621"/>
      <c r="T79" s="621"/>
      <c r="U79" s="621"/>
      <c r="V79" s="622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23"/>
      <c r="B80" s="623"/>
      <c r="C80" s="623"/>
      <c r="D80" s="623"/>
      <c r="E80" s="623"/>
      <c r="F80" s="623"/>
      <c r="G80" s="623"/>
      <c r="H80" s="623"/>
      <c r="I80" s="623"/>
      <c r="J80" s="623"/>
      <c r="K80" s="623"/>
      <c r="L80" s="623"/>
      <c r="M80" s="623"/>
      <c r="N80" s="623"/>
      <c r="O80" s="624"/>
      <c r="P80" s="620" t="s">
        <v>40</v>
      </c>
      <c r="Q80" s="621"/>
      <c r="R80" s="621"/>
      <c r="S80" s="621"/>
      <c r="T80" s="621"/>
      <c r="U80" s="621"/>
      <c r="V80" s="622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15" t="s">
        <v>183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16">
        <v>4680115881532</v>
      </c>
      <c r="E82" s="61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8"/>
      <c r="R82" s="618"/>
      <c r="S82" s="618"/>
      <c r="T82" s="61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16">
        <v>4680115881464</v>
      </c>
      <c r="E83" s="61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8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8"/>
      <c r="R83" s="618"/>
      <c r="S83" s="618"/>
      <c r="T83" s="61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23"/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4"/>
      <c r="P84" s="620" t="s">
        <v>40</v>
      </c>
      <c r="Q84" s="621"/>
      <c r="R84" s="621"/>
      <c r="S84" s="621"/>
      <c r="T84" s="621"/>
      <c r="U84" s="621"/>
      <c r="V84" s="622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23"/>
      <c r="B85" s="623"/>
      <c r="C85" s="623"/>
      <c r="D85" s="623"/>
      <c r="E85" s="623"/>
      <c r="F85" s="623"/>
      <c r="G85" s="623"/>
      <c r="H85" s="623"/>
      <c r="I85" s="623"/>
      <c r="J85" s="623"/>
      <c r="K85" s="623"/>
      <c r="L85" s="623"/>
      <c r="M85" s="623"/>
      <c r="N85" s="623"/>
      <c r="O85" s="624"/>
      <c r="P85" s="620" t="s">
        <v>40</v>
      </c>
      <c r="Q85" s="621"/>
      <c r="R85" s="621"/>
      <c r="S85" s="621"/>
      <c r="T85" s="621"/>
      <c r="U85" s="621"/>
      <c r="V85" s="622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31" t="s">
        <v>190</v>
      </c>
      <c r="B86" s="631"/>
      <c r="C86" s="631"/>
      <c r="D86" s="631"/>
      <c r="E86" s="631"/>
      <c r="F86" s="631"/>
      <c r="G86" s="631"/>
      <c r="H86" s="631"/>
      <c r="I86" s="631"/>
      <c r="J86" s="631"/>
      <c r="K86" s="631"/>
      <c r="L86" s="631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2"/>
      <c r="AB86" s="62"/>
      <c r="AC86" s="62"/>
    </row>
    <row r="87" spans="1:68" ht="14.25" hidden="1" customHeight="1" x14ac:dyDescent="0.25">
      <c r="A87" s="615" t="s">
        <v>129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3"/>
      <c r="AB87" s="63"/>
      <c r="AC87" s="63"/>
    </row>
    <row r="88" spans="1:68" ht="27" customHeight="1" x14ac:dyDescent="0.25">
      <c r="A88" s="60" t="s">
        <v>191</v>
      </c>
      <c r="B88" s="60" t="s">
        <v>192</v>
      </c>
      <c r="C88" s="34">
        <v>4301011468</v>
      </c>
      <c r="D88" s="616">
        <v>4680115881327</v>
      </c>
      <c r="E88" s="61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8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8"/>
      <c r="R88" s="618"/>
      <c r="S88" s="618"/>
      <c r="T88" s="619"/>
      <c r="U88" s="37" t="s">
        <v>46</v>
      </c>
      <c r="V88" s="37" t="s">
        <v>46</v>
      </c>
      <c r="W88" s="38" t="s">
        <v>0</v>
      </c>
      <c r="X88" s="56">
        <v>200</v>
      </c>
      <c r="Y88" s="53">
        <f>IFERROR(IF(X88="",0,CEILING((X88/$H88),1)*$H88),"")</f>
        <v>205.20000000000002</v>
      </c>
      <c r="Z88" s="39">
        <f>IFERROR(IF(Y88=0,"",ROUNDUP(Y88/H88,0)*0.01898),"")</f>
        <v>0.36062</v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207.59259259259258</v>
      </c>
      <c r="BN88" s="75">
        <f>IFERROR(Y88*I88/H88,"0")</f>
        <v>212.99</v>
      </c>
      <c r="BO88" s="75">
        <f>IFERROR(1/J88*(X88/H88),"0")</f>
        <v>0.28935185185185186</v>
      </c>
      <c r="BP88" s="75">
        <f>IFERROR(1/J88*(Y88/H88),"0")</f>
        <v>0.296875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16">
        <v>4680115887732</v>
      </c>
      <c r="E89" s="61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8"/>
      <c r="R89" s="618"/>
      <c r="S89" s="618"/>
      <c r="T89" s="61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16">
        <v>4680115881518</v>
      </c>
      <c r="E90" s="61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8"/>
      <c r="R90" s="618"/>
      <c r="S90" s="618"/>
      <c r="T90" s="61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16">
        <v>4680115881303</v>
      </c>
      <c r="E91" s="61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8"/>
      <c r="R91" s="618"/>
      <c r="S91" s="618"/>
      <c r="T91" s="61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23"/>
      <c r="B92" s="623"/>
      <c r="C92" s="623"/>
      <c r="D92" s="623"/>
      <c r="E92" s="623"/>
      <c r="F92" s="623"/>
      <c r="G92" s="623"/>
      <c r="H92" s="623"/>
      <c r="I92" s="623"/>
      <c r="J92" s="623"/>
      <c r="K92" s="623"/>
      <c r="L92" s="623"/>
      <c r="M92" s="623"/>
      <c r="N92" s="623"/>
      <c r="O92" s="624"/>
      <c r="P92" s="620" t="s">
        <v>40</v>
      </c>
      <c r="Q92" s="621"/>
      <c r="R92" s="621"/>
      <c r="S92" s="621"/>
      <c r="T92" s="621"/>
      <c r="U92" s="621"/>
      <c r="V92" s="622"/>
      <c r="W92" s="40" t="s">
        <v>39</v>
      </c>
      <c r="X92" s="41">
        <f>IFERROR(X88/H88,"0")+IFERROR(X89/H89,"0")+IFERROR(X90/H90,"0")+IFERROR(X91/H91,"0")</f>
        <v>18.518518518518519</v>
      </c>
      <c r="Y92" s="41">
        <f>IFERROR(Y88/H88,"0")+IFERROR(Y89/H89,"0")+IFERROR(Y90/H90,"0")+IFERROR(Y91/H91,"0")</f>
        <v>19</v>
      </c>
      <c r="Z92" s="41">
        <f>IFERROR(IF(Z88="",0,Z88),"0")+IFERROR(IF(Z89="",0,Z89),"0")+IFERROR(IF(Z90="",0,Z90),"0")+IFERROR(IF(Z91="",0,Z91),"0")</f>
        <v>0.36062</v>
      </c>
      <c r="AA92" s="64"/>
      <c r="AB92" s="64"/>
      <c r="AC92" s="64"/>
    </row>
    <row r="93" spans="1:68" x14ac:dyDescent="0.2">
      <c r="A93" s="623"/>
      <c r="B93" s="623"/>
      <c r="C93" s="623"/>
      <c r="D93" s="623"/>
      <c r="E93" s="623"/>
      <c r="F93" s="623"/>
      <c r="G93" s="623"/>
      <c r="H93" s="623"/>
      <c r="I93" s="623"/>
      <c r="J93" s="623"/>
      <c r="K93" s="623"/>
      <c r="L93" s="623"/>
      <c r="M93" s="623"/>
      <c r="N93" s="623"/>
      <c r="O93" s="624"/>
      <c r="P93" s="620" t="s">
        <v>40</v>
      </c>
      <c r="Q93" s="621"/>
      <c r="R93" s="621"/>
      <c r="S93" s="621"/>
      <c r="T93" s="621"/>
      <c r="U93" s="621"/>
      <c r="V93" s="622"/>
      <c r="W93" s="40" t="s">
        <v>0</v>
      </c>
      <c r="X93" s="41">
        <f>IFERROR(SUM(X88:X91),"0")</f>
        <v>200</v>
      </c>
      <c r="Y93" s="41">
        <f>IFERROR(SUM(Y88:Y91),"0")</f>
        <v>205.20000000000002</v>
      </c>
      <c r="Z93" s="40"/>
      <c r="AA93" s="64"/>
      <c r="AB93" s="64"/>
      <c r="AC93" s="64"/>
    </row>
    <row r="94" spans="1:68" ht="14.25" hidden="1" customHeight="1" x14ac:dyDescent="0.25">
      <c r="A94" s="615" t="s">
        <v>86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3"/>
      <c r="AB94" s="63"/>
      <c r="AC94" s="63"/>
    </row>
    <row r="95" spans="1:68" ht="27" hidden="1" customHeight="1" x14ac:dyDescent="0.25">
      <c r="A95" s="60" t="s">
        <v>201</v>
      </c>
      <c r="B95" s="60" t="s">
        <v>202</v>
      </c>
      <c r="C95" s="34">
        <v>4301051712</v>
      </c>
      <c r="D95" s="616">
        <v>4607091386967</v>
      </c>
      <c r="E95" s="61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8"/>
      <c r="R95" s="618"/>
      <c r="S95" s="618"/>
      <c r="T95" s="6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16">
        <v>4680115884953</v>
      </c>
      <c r="E96" s="61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5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8"/>
      <c r="R96" s="618"/>
      <c r="S96" s="618"/>
      <c r="T96" s="6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206</v>
      </c>
      <c r="B97" s="60" t="s">
        <v>207</v>
      </c>
      <c r="C97" s="34">
        <v>4301051718</v>
      </c>
      <c r="D97" s="616">
        <v>4607091385731</v>
      </c>
      <c r="E97" s="61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5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8"/>
      <c r="R97" s="618"/>
      <c r="S97" s="618"/>
      <c r="T97" s="6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16">
        <v>4680115880894</v>
      </c>
      <c r="E98" s="61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8"/>
      <c r="R98" s="618"/>
      <c r="S98" s="618"/>
      <c r="T98" s="61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23"/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4"/>
      <c r="P99" s="620" t="s">
        <v>40</v>
      </c>
      <c r="Q99" s="621"/>
      <c r="R99" s="621"/>
      <c r="S99" s="621"/>
      <c r="T99" s="621"/>
      <c r="U99" s="621"/>
      <c r="V99" s="622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23"/>
      <c r="B100" s="623"/>
      <c r="C100" s="623"/>
      <c r="D100" s="623"/>
      <c r="E100" s="623"/>
      <c r="F100" s="623"/>
      <c r="G100" s="623"/>
      <c r="H100" s="623"/>
      <c r="I100" s="623"/>
      <c r="J100" s="623"/>
      <c r="K100" s="623"/>
      <c r="L100" s="623"/>
      <c r="M100" s="623"/>
      <c r="N100" s="623"/>
      <c r="O100" s="624"/>
      <c r="P100" s="620" t="s">
        <v>40</v>
      </c>
      <c r="Q100" s="621"/>
      <c r="R100" s="621"/>
      <c r="S100" s="621"/>
      <c r="T100" s="621"/>
      <c r="U100" s="621"/>
      <c r="V100" s="622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31" t="s">
        <v>211</v>
      </c>
      <c r="B101" s="631"/>
      <c r="C101" s="631"/>
      <c r="D101" s="631"/>
      <c r="E101" s="631"/>
      <c r="F101" s="631"/>
      <c r="G101" s="631"/>
      <c r="H101" s="631"/>
      <c r="I101" s="631"/>
      <c r="J101" s="631"/>
      <c r="K101" s="631"/>
      <c r="L101" s="631"/>
      <c r="M101" s="631"/>
      <c r="N101" s="631"/>
      <c r="O101" s="631"/>
      <c r="P101" s="631"/>
      <c r="Q101" s="631"/>
      <c r="R101" s="631"/>
      <c r="S101" s="631"/>
      <c r="T101" s="631"/>
      <c r="U101" s="631"/>
      <c r="V101" s="631"/>
      <c r="W101" s="631"/>
      <c r="X101" s="631"/>
      <c r="Y101" s="631"/>
      <c r="Z101" s="631"/>
      <c r="AA101" s="62"/>
      <c r="AB101" s="62"/>
      <c r="AC101" s="62"/>
    </row>
    <row r="102" spans="1:68" ht="14.25" hidden="1" customHeight="1" x14ac:dyDescent="0.25">
      <c r="A102" s="615" t="s">
        <v>129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16">
        <v>4680115882133</v>
      </c>
      <c r="E103" s="61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8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8"/>
      <c r="R103" s="618"/>
      <c r="S103" s="618"/>
      <c r="T103" s="6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16">
        <v>4680115887718</v>
      </c>
      <c r="E104" s="61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85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8"/>
      <c r="R104" s="618"/>
      <c r="S104" s="618"/>
      <c r="T104" s="6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16">
        <v>4680115887718</v>
      </c>
      <c r="E105" s="61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85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8"/>
      <c r="R105" s="618"/>
      <c r="S105" s="618"/>
      <c r="T105" s="6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16">
        <v>4680115880269</v>
      </c>
      <c r="E106" s="61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8"/>
      <c r="R106" s="618"/>
      <c r="S106" s="618"/>
      <c r="T106" s="6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16">
        <v>4680115880429</v>
      </c>
      <c r="E107" s="61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8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8"/>
      <c r="R107" s="618"/>
      <c r="S107" s="618"/>
      <c r="T107" s="6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16">
        <v>4680115881457</v>
      </c>
      <c r="E108" s="61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8"/>
      <c r="R108" s="618"/>
      <c r="S108" s="618"/>
      <c r="T108" s="61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23"/>
      <c r="B109" s="623"/>
      <c r="C109" s="623"/>
      <c r="D109" s="623"/>
      <c r="E109" s="623"/>
      <c r="F109" s="623"/>
      <c r="G109" s="623"/>
      <c r="H109" s="623"/>
      <c r="I109" s="623"/>
      <c r="J109" s="623"/>
      <c r="K109" s="623"/>
      <c r="L109" s="623"/>
      <c r="M109" s="623"/>
      <c r="N109" s="623"/>
      <c r="O109" s="624"/>
      <c r="P109" s="620" t="s">
        <v>40</v>
      </c>
      <c r="Q109" s="621"/>
      <c r="R109" s="621"/>
      <c r="S109" s="621"/>
      <c r="T109" s="621"/>
      <c r="U109" s="621"/>
      <c r="V109" s="622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15" t="s">
        <v>166</v>
      </c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15"/>
      <c r="P111" s="615"/>
      <c r="Q111" s="615"/>
      <c r="R111" s="615"/>
      <c r="S111" s="615"/>
      <c r="T111" s="615"/>
      <c r="U111" s="615"/>
      <c r="V111" s="615"/>
      <c r="W111" s="615"/>
      <c r="X111" s="615"/>
      <c r="Y111" s="615"/>
      <c r="Z111" s="615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16">
        <v>4680115881488</v>
      </c>
      <c r="E112" s="61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84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8"/>
      <c r="R112" s="618"/>
      <c r="S112" s="618"/>
      <c r="T112" s="61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16">
        <v>4680115881488</v>
      </c>
      <c r="E113" s="61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84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8"/>
      <c r="R113" s="618"/>
      <c r="S113" s="618"/>
      <c r="T113" s="61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16">
        <v>4680115887664</v>
      </c>
      <c r="E114" s="61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84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8"/>
      <c r="R114" s="618"/>
      <c r="S114" s="618"/>
      <c r="T114" s="61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16">
        <v>4680115887664</v>
      </c>
      <c r="E115" s="61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4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8"/>
      <c r="R115" s="618"/>
      <c r="S115" s="618"/>
      <c r="T115" s="61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16">
        <v>4680115882775</v>
      </c>
      <c r="E116" s="61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8"/>
      <c r="R116" s="618"/>
      <c r="S116" s="618"/>
      <c r="T116" s="61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16">
        <v>4680115880658</v>
      </c>
      <c r="E117" s="61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8"/>
      <c r="R117" s="618"/>
      <c r="S117" s="618"/>
      <c r="T117" s="61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16">
        <v>4680115880658</v>
      </c>
      <c r="E118" s="616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8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8"/>
      <c r="R118" s="618"/>
      <c r="S118" s="618"/>
      <c r="T118" s="619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23"/>
      <c r="B119" s="623"/>
      <c r="C119" s="623"/>
      <c r="D119" s="623"/>
      <c r="E119" s="623"/>
      <c r="F119" s="623"/>
      <c r="G119" s="623"/>
      <c r="H119" s="623"/>
      <c r="I119" s="623"/>
      <c r="J119" s="623"/>
      <c r="K119" s="623"/>
      <c r="L119" s="623"/>
      <c r="M119" s="623"/>
      <c r="N119" s="623"/>
      <c r="O119" s="624"/>
      <c r="P119" s="620" t="s">
        <v>40</v>
      </c>
      <c r="Q119" s="621"/>
      <c r="R119" s="621"/>
      <c r="S119" s="621"/>
      <c r="T119" s="621"/>
      <c r="U119" s="621"/>
      <c r="V119" s="622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23"/>
      <c r="B120" s="623"/>
      <c r="C120" s="623"/>
      <c r="D120" s="623"/>
      <c r="E120" s="623"/>
      <c r="F120" s="623"/>
      <c r="G120" s="623"/>
      <c r="H120" s="623"/>
      <c r="I120" s="623"/>
      <c r="J120" s="623"/>
      <c r="K120" s="623"/>
      <c r="L120" s="623"/>
      <c r="M120" s="623"/>
      <c r="N120" s="623"/>
      <c r="O120" s="624"/>
      <c r="P120" s="620" t="s">
        <v>40</v>
      </c>
      <c r="Q120" s="621"/>
      <c r="R120" s="621"/>
      <c r="S120" s="621"/>
      <c r="T120" s="621"/>
      <c r="U120" s="621"/>
      <c r="V120" s="622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15" t="s">
        <v>86</v>
      </c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15"/>
      <c r="P121" s="615"/>
      <c r="Q121" s="615"/>
      <c r="R121" s="615"/>
      <c r="S121" s="615"/>
      <c r="T121" s="615"/>
      <c r="U121" s="615"/>
      <c r="V121" s="615"/>
      <c r="W121" s="615"/>
      <c r="X121" s="615"/>
      <c r="Y121" s="615"/>
      <c r="Z121" s="615"/>
      <c r="AA121" s="63"/>
      <c r="AB121" s="63"/>
      <c r="AC121" s="63"/>
    </row>
    <row r="122" spans="1:68" ht="27" hidden="1" customHeight="1" x14ac:dyDescent="0.25">
      <c r="A122" s="60" t="s">
        <v>240</v>
      </c>
      <c r="B122" s="60" t="s">
        <v>241</v>
      </c>
      <c r="C122" s="34">
        <v>4301051724</v>
      </c>
      <c r="D122" s="616">
        <v>4607091385168</v>
      </c>
      <c r="E122" s="616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8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8"/>
      <c r="R122" s="618"/>
      <c r="S122" s="618"/>
      <c r="T122" s="6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16">
        <v>4607091383256</v>
      </c>
      <c r="E123" s="616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8"/>
      <c r="R123" s="618"/>
      <c r="S123" s="618"/>
      <c r="T123" s="61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hidden="1" customHeight="1" x14ac:dyDescent="0.25">
      <c r="A124" s="60" t="s">
        <v>245</v>
      </c>
      <c r="B124" s="60" t="s">
        <v>246</v>
      </c>
      <c r="C124" s="34">
        <v>4301051721</v>
      </c>
      <c r="D124" s="616">
        <v>4607091385748</v>
      </c>
      <c r="E124" s="616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8"/>
      <c r="R124" s="618"/>
      <c r="S124" s="618"/>
      <c r="T124" s="619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16">
        <v>4680115884533</v>
      </c>
      <c r="E125" s="616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8"/>
      <c r="R125" s="618"/>
      <c r="S125" s="618"/>
      <c r="T125" s="619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idden="1" x14ac:dyDescent="0.2">
      <c r="A126" s="623"/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4"/>
      <c r="P126" s="620" t="s">
        <v>40</v>
      </c>
      <c r="Q126" s="621"/>
      <c r="R126" s="621"/>
      <c r="S126" s="621"/>
      <c r="T126" s="621"/>
      <c r="U126" s="621"/>
      <c r="V126" s="622"/>
      <c r="W126" s="40" t="s">
        <v>39</v>
      </c>
      <c r="X126" s="41">
        <f>IFERROR(X122/H122,"0")+IFERROR(X123/H123,"0")+IFERROR(X124/H124,"0")+IFERROR(X125/H125,"0")</f>
        <v>0</v>
      </c>
      <c r="Y126" s="41">
        <f>IFERROR(Y122/H122,"0")+IFERROR(Y123/H123,"0")+IFERROR(Y124/H124,"0")+IFERROR(Y125/H125,"0")</f>
        <v>0</v>
      </c>
      <c r="Z126" s="41">
        <f>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hidden="1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0</v>
      </c>
      <c r="X127" s="41">
        <f>IFERROR(SUM(X122:X125),"0")</f>
        <v>0</v>
      </c>
      <c r="Y127" s="41">
        <f>IFERROR(SUM(Y122:Y125),"0")</f>
        <v>0</v>
      </c>
      <c r="Z127" s="40"/>
      <c r="AA127" s="64"/>
      <c r="AB127" s="64"/>
      <c r="AC127" s="64"/>
    </row>
    <row r="128" spans="1:68" ht="14.25" hidden="1" customHeight="1" x14ac:dyDescent="0.25">
      <c r="A128" s="615" t="s">
        <v>183</v>
      </c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15"/>
      <c r="P128" s="615"/>
      <c r="Q128" s="615"/>
      <c r="R128" s="615"/>
      <c r="S128" s="615"/>
      <c r="T128" s="615"/>
      <c r="U128" s="615"/>
      <c r="V128" s="615"/>
      <c r="W128" s="615"/>
      <c r="X128" s="615"/>
      <c r="Y128" s="615"/>
      <c r="Z128" s="615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16">
        <v>4680115880238</v>
      </c>
      <c r="E129" s="616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8"/>
      <c r="R129" s="618"/>
      <c r="S129" s="618"/>
      <c r="T129" s="619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3"/>
      <c r="B130" s="623"/>
      <c r="C130" s="623"/>
      <c r="D130" s="623"/>
      <c r="E130" s="623"/>
      <c r="F130" s="623"/>
      <c r="G130" s="623"/>
      <c r="H130" s="623"/>
      <c r="I130" s="623"/>
      <c r="J130" s="623"/>
      <c r="K130" s="623"/>
      <c r="L130" s="623"/>
      <c r="M130" s="623"/>
      <c r="N130" s="623"/>
      <c r="O130" s="624"/>
      <c r="P130" s="620" t="s">
        <v>40</v>
      </c>
      <c r="Q130" s="621"/>
      <c r="R130" s="621"/>
      <c r="S130" s="621"/>
      <c r="T130" s="621"/>
      <c r="U130" s="621"/>
      <c r="V130" s="622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23"/>
      <c r="B131" s="623"/>
      <c r="C131" s="623"/>
      <c r="D131" s="623"/>
      <c r="E131" s="623"/>
      <c r="F131" s="623"/>
      <c r="G131" s="623"/>
      <c r="H131" s="623"/>
      <c r="I131" s="623"/>
      <c r="J131" s="623"/>
      <c r="K131" s="623"/>
      <c r="L131" s="623"/>
      <c r="M131" s="623"/>
      <c r="N131" s="623"/>
      <c r="O131" s="624"/>
      <c r="P131" s="620" t="s">
        <v>40</v>
      </c>
      <c r="Q131" s="621"/>
      <c r="R131" s="621"/>
      <c r="S131" s="621"/>
      <c r="T131" s="621"/>
      <c r="U131" s="621"/>
      <c r="V131" s="622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31" t="s">
        <v>253</v>
      </c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1"/>
      <c r="P132" s="631"/>
      <c r="Q132" s="631"/>
      <c r="R132" s="631"/>
      <c r="S132" s="631"/>
      <c r="T132" s="631"/>
      <c r="U132" s="631"/>
      <c r="V132" s="631"/>
      <c r="W132" s="631"/>
      <c r="X132" s="631"/>
      <c r="Y132" s="631"/>
      <c r="Z132" s="631"/>
      <c r="AA132" s="62"/>
      <c r="AB132" s="62"/>
      <c r="AC132" s="62"/>
    </row>
    <row r="133" spans="1:68" ht="14.25" hidden="1" customHeight="1" x14ac:dyDescent="0.25">
      <c r="A133" s="615" t="s">
        <v>129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4301011562</v>
      </c>
      <c r="D134" s="616">
        <v>4680115882577</v>
      </c>
      <c r="E134" s="61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8"/>
      <c r="R134" s="618"/>
      <c r="S134" s="618"/>
      <c r="T134" s="61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254</v>
      </c>
      <c r="B135" s="60" t="s">
        <v>257</v>
      </c>
      <c r="C135" s="34">
        <v>4301011564</v>
      </c>
      <c r="D135" s="616">
        <v>4680115882577</v>
      </c>
      <c r="E135" s="61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8"/>
      <c r="R135" s="618"/>
      <c r="S135" s="618"/>
      <c r="T135" s="61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23"/>
      <c r="B136" s="623"/>
      <c r="C136" s="623"/>
      <c r="D136" s="623"/>
      <c r="E136" s="623"/>
      <c r="F136" s="623"/>
      <c r="G136" s="623"/>
      <c r="H136" s="623"/>
      <c r="I136" s="623"/>
      <c r="J136" s="623"/>
      <c r="K136" s="623"/>
      <c r="L136" s="623"/>
      <c r="M136" s="623"/>
      <c r="N136" s="623"/>
      <c r="O136" s="624"/>
      <c r="P136" s="620" t="s">
        <v>40</v>
      </c>
      <c r="Q136" s="621"/>
      <c r="R136" s="621"/>
      <c r="S136" s="621"/>
      <c r="T136" s="621"/>
      <c r="U136" s="621"/>
      <c r="V136" s="622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15" t="s">
        <v>77</v>
      </c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15"/>
      <c r="P138" s="615"/>
      <c r="Q138" s="615"/>
      <c r="R138" s="615"/>
      <c r="S138" s="615"/>
      <c r="T138" s="615"/>
      <c r="U138" s="615"/>
      <c r="V138" s="615"/>
      <c r="W138" s="615"/>
      <c r="X138" s="615"/>
      <c r="Y138" s="615"/>
      <c r="Z138" s="615"/>
      <c r="AA138" s="63"/>
      <c r="AB138" s="63"/>
      <c r="AC138" s="63"/>
    </row>
    <row r="139" spans="1:68" ht="27" hidden="1" customHeight="1" x14ac:dyDescent="0.25">
      <c r="A139" s="60" t="s">
        <v>258</v>
      </c>
      <c r="B139" s="60" t="s">
        <v>259</v>
      </c>
      <c r="C139" s="34">
        <v>4301031234</v>
      </c>
      <c r="D139" s="616">
        <v>4680115883444</v>
      </c>
      <c r="E139" s="61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109</v>
      </c>
      <c r="N139" s="36"/>
      <c r="O139" s="35">
        <v>90</v>
      </c>
      <c r="P139" s="83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8"/>
      <c r="R139" s="618"/>
      <c r="S139" s="618"/>
      <c r="T139" s="61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260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258</v>
      </c>
      <c r="B140" s="60" t="s">
        <v>261</v>
      </c>
      <c r="C140" s="34">
        <v>4301031235</v>
      </c>
      <c r="D140" s="616">
        <v>4680115883444</v>
      </c>
      <c r="E140" s="616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109</v>
      </c>
      <c r="N140" s="36"/>
      <c r="O140" s="35">
        <v>90</v>
      </c>
      <c r="P140" s="8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8"/>
      <c r="R140" s="618"/>
      <c r="S140" s="618"/>
      <c r="T140" s="61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260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23"/>
      <c r="B141" s="623"/>
      <c r="C141" s="623"/>
      <c r="D141" s="623"/>
      <c r="E141" s="623"/>
      <c r="F141" s="623"/>
      <c r="G141" s="623"/>
      <c r="H141" s="623"/>
      <c r="I141" s="623"/>
      <c r="J141" s="623"/>
      <c r="K141" s="623"/>
      <c r="L141" s="623"/>
      <c r="M141" s="623"/>
      <c r="N141" s="623"/>
      <c r="O141" s="624"/>
      <c r="P141" s="620" t="s">
        <v>40</v>
      </c>
      <c r="Q141" s="621"/>
      <c r="R141" s="621"/>
      <c r="S141" s="621"/>
      <c r="T141" s="621"/>
      <c r="U141" s="621"/>
      <c r="V141" s="622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23"/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4"/>
      <c r="P142" s="620" t="s">
        <v>40</v>
      </c>
      <c r="Q142" s="621"/>
      <c r="R142" s="621"/>
      <c r="S142" s="621"/>
      <c r="T142" s="621"/>
      <c r="U142" s="621"/>
      <c r="V142" s="622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15" t="s">
        <v>86</v>
      </c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15"/>
      <c r="P143" s="615"/>
      <c r="Q143" s="615"/>
      <c r="R143" s="615"/>
      <c r="S143" s="615"/>
      <c r="T143" s="615"/>
      <c r="U143" s="615"/>
      <c r="V143" s="615"/>
      <c r="W143" s="615"/>
      <c r="X143" s="615"/>
      <c r="Y143" s="615"/>
      <c r="Z143" s="615"/>
      <c r="AA143" s="63"/>
      <c r="AB143" s="63"/>
      <c r="AC143" s="63"/>
    </row>
    <row r="144" spans="1:68" ht="16.5" hidden="1" customHeight="1" x14ac:dyDescent="0.25">
      <c r="A144" s="60" t="s">
        <v>262</v>
      </c>
      <c r="B144" s="60" t="s">
        <v>263</v>
      </c>
      <c r="C144" s="34">
        <v>4301051476</v>
      </c>
      <c r="D144" s="616">
        <v>4680115882584</v>
      </c>
      <c r="E144" s="61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109</v>
      </c>
      <c r="N144" s="36"/>
      <c r="O144" s="35">
        <v>60</v>
      </c>
      <c r="P144" s="83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8"/>
      <c r="R144" s="618"/>
      <c r="S144" s="618"/>
      <c r="T144" s="619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256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262</v>
      </c>
      <c r="B145" s="60" t="s">
        <v>264</v>
      </c>
      <c r="C145" s="34">
        <v>4301051477</v>
      </c>
      <c r="D145" s="616">
        <v>4680115882584</v>
      </c>
      <c r="E145" s="616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109</v>
      </c>
      <c r="N145" s="36"/>
      <c r="O145" s="35">
        <v>60</v>
      </c>
      <c r="P145" s="8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8"/>
      <c r="R145" s="618"/>
      <c r="S145" s="618"/>
      <c r="T145" s="619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256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3"/>
      <c r="B146" s="623"/>
      <c r="C146" s="623"/>
      <c r="D146" s="623"/>
      <c r="E146" s="623"/>
      <c r="F146" s="623"/>
      <c r="G146" s="623"/>
      <c r="H146" s="623"/>
      <c r="I146" s="623"/>
      <c r="J146" s="623"/>
      <c r="K146" s="623"/>
      <c r="L146" s="623"/>
      <c r="M146" s="623"/>
      <c r="N146" s="623"/>
      <c r="O146" s="624"/>
      <c r="P146" s="620" t="s">
        <v>40</v>
      </c>
      <c r="Q146" s="621"/>
      <c r="R146" s="621"/>
      <c r="S146" s="621"/>
      <c r="T146" s="621"/>
      <c r="U146" s="621"/>
      <c r="V146" s="622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3"/>
      <c r="B147" s="623"/>
      <c r="C147" s="623"/>
      <c r="D147" s="623"/>
      <c r="E147" s="623"/>
      <c r="F147" s="623"/>
      <c r="G147" s="623"/>
      <c r="H147" s="623"/>
      <c r="I147" s="623"/>
      <c r="J147" s="623"/>
      <c r="K147" s="623"/>
      <c r="L147" s="623"/>
      <c r="M147" s="623"/>
      <c r="N147" s="623"/>
      <c r="O147" s="624"/>
      <c r="P147" s="620" t="s">
        <v>40</v>
      </c>
      <c r="Q147" s="621"/>
      <c r="R147" s="621"/>
      <c r="S147" s="621"/>
      <c r="T147" s="621"/>
      <c r="U147" s="621"/>
      <c r="V147" s="622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31" t="s">
        <v>265</v>
      </c>
      <c r="B148" s="631"/>
      <c r="C148" s="631"/>
      <c r="D148" s="631"/>
      <c r="E148" s="631"/>
      <c r="F148" s="631"/>
      <c r="G148" s="631"/>
      <c r="H148" s="631"/>
      <c r="I148" s="631"/>
      <c r="J148" s="631"/>
      <c r="K148" s="631"/>
      <c r="L148" s="631"/>
      <c r="M148" s="631"/>
      <c r="N148" s="631"/>
      <c r="O148" s="631"/>
      <c r="P148" s="631"/>
      <c r="Q148" s="631"/>
      <c r="R148" s="631"/>
      <c r="S148" s="631"/>
      <c r="T148" s="631"/>
      <c r="U148" s="631"/>
      <c r="V148" s="631"/>
      <c r="W148" s="631"/>
      <c r="X148" s="631"/>
      <c r="Y148" s="631"/>
      <c r="Z148" s="631"/>
      <c r="AA148" s="62"/>
      <c r="AB148" s="62"/>
      <c r="AC148" s="62"/>
    </row>
    <row r="149" spans="1:68" ht="14.25" hidden="1" customHeight="1" x14ac:dyDescent="0.25">
      <c r="A149" s="615" t="s">
        <v>86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3"/>
      <c r="AB149" s="63"/>
      <c r="AC149" s="63"/>
    </row>
    <row r="150" spans="1:68" ht="27" hidden="1" customHeight="1" x14ac:dyDescent="0.25">
      <c r="A150" s="60" t="s">
        <v>266</v>
      </c>
      <c r="B150" s="60" t="s">
        <v>267</v>
      </c>
      <c r="C150" s="34">
        <v>4301052174</v>
      </c>
      <c r="D150" s="616">
        <v>4680115888203</v>
      </c>
      <c r="E150" s="61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8"/>
      <c r="R150" s="618"/>
      <c r="S150" s="618"/>
      <c r="T150" s="61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4301052172</v>
      </c>
      <c r="D151" s="616">
        <v>4680115888180</v>
      </c>
      <c r="E151" s="6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8"/>
      <c r="R151" s="618"/>
      <c r="S151" s="618"/>
      <c r="T151" s="61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272</v>
      </c>
      <c r="B152" s="60" t="s">
        <v>273</v>
      </c>
      <c r="C152" s="34">
        <v>4301052173</v>
      </c>
      <c r="D152" s="616">
        <v>4680115888197</v>
      </c>
      <c r="E152" s="61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2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8"/>
      <c r="R152" s="618"/>
      <c r="S152" s="618"/>
      <c r="T152" s="61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274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275</v>
      </c>
      <c r="B153" s="60" t="s">
        <v>276</v>
      </c>
      <c r="C153" s="34">
        <v>4301052175</v>
      </c>
      <c r="D153" s="616">
        <v>4680115888210</v>
      </c>
      <c r="E153" s="61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2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8"/>
      <c r="R153" s="618"/>
      <c r="S153" s="618"/>
      <c r="T153" s="61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277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31" t="s">
        <v>127</v>
      </c>
      <c r="B156" s="631"/>
      <c r="C156" s="631"/>
      <c r="D156" s="631"/>
      <c r="E156" s="631"/>
      <c r="F156" s="631"/>
      <c r="G156" s="631"/>
      <c r="H156" s="631"/>
      <c r="I156" s="631"/>
      <c r="J156" s="631"/>
      <c r="K156" s="631"/>
      <c r="L156" s="631"/>
      <c r="M156" s="631"/>
      <c r="N156" s="631"/>
      <c r="O156" s="631"/>
      <c r="P156" s="631"/>
      <c r="Q156" s="631"/>
      <c r="R156" s="631"/>
      <c r="S156" s="631"/>
      <c r="T156" s="631"/>
      <c r="U156" s="631"/>
      <c r="V156" s="631"/>
      <c r="W156" s="631"/>
      <c r="X156" s="631"/>
      <c r="Y156" s="631"/>
      <c r="Z156" s="631"/>
      <c r="AA156" s="62"/>
      <c r="AB156" s="62"/>
      <c r="AC156" s="62"/>
    </row>
    <row r="157" spans="1:68" ht="14.25" hidden="1" customHeight="1" x14ac:dyDescent="0.25">
      <c r="A157" s="615" t="s">
        <v>129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4301012244</v>
      </c>
      <c r="D158" s="616">
        <v>4680115887374</v>
      </c>
      <c r="E158" s="616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134</v>
      </c>
      <c r="L158" s="35" t="s">
        <v>46</v>
      </c>
      <c r="M158" s="36" t="s">
        <v>133</v>
      </c>
      <c r="N158" s="36"/>
      <c r="O158" s="35">
        <v>55</v>
      </c>
      <c r="P158" s="82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8"/>
      <c r="R158" s="618"/>
      <c r="S158" s="618"/>
      <c r="T158" s="61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280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281</v>
      </c>
      <c r="B159" s="60" t="s">
        <v>282</v>
      </c>
      <c r="C159" s="34">
        <v>4301011705</v>
      </c>
      <c r="D159" s="616">
        <v>4607091384604</v>
      </c>
      <c r="E159" s="616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141</v>
      </c>
      <c r="L159" s="35" t="s">
        <v>46</v>
      </c>
      <c r="M159" s="36" t="s">
        <v>133</v>
      </c>
      <c r="N159" s="36"/>
      <c r="O159" s="35">
        <v>50</v>
      </c>
      <c r="P159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8"/>
      <c r="R159" s="618"/>
      <c r="S159" s="618"/>
      <c r="T159" s="619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15" t="s">
        <v>166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16.5" hidden="1" customHeight="1" x14ac:dyDescent="0.25">
      <c r="A163" s="60" t="s">
        <v>284</v>
      </c>
      <c r="B163" s="60" t="s">
        <v>285</v>
      </c>
      <c r="C163" s="34">
        <v>4301020410</v>
      </c>
      <c r="D163" s="616">
        <v>4680115887695</v>
      </c>
      <c r="E163" s="616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82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8"/>
      <c r="R163" s="618"/>
      <c r="S163" s="618"/>
      <c r="T163" s="6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286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3"/>
      <c r="B164" s="623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4"/>
      <c r="P164" s="620" t="s">
        <v>40</v>
      </c>
      <c r="Q164" s="621"/>
      <c r="R164" s="621"/>
      <c r="S164" s="621"/>
      <c r="T164" s="621"/>
      <c r="U164" s="621"/>
      <c r="V164" s="622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3"/>
      <c r="B165" s="623"/>
      <c r="C165" s="623"/>
      <c r="D165" s="623"/>
      <c r="E165" s="623"/>
      <c r="F165" s="623"/>
      <c r="G165" s="623"/>
      <c r="H165" s="623"/>
      <c r="I165" s="623"/>
      <c r="J165" s="623"/>
      <c r="K165" s="623"/>
      <c r="L165" s="623"/>
      <c r="M165" s="623"/>
      <c r="N165" s="623"/>
      <c r="O165" s="624"/>
      <c r="P165" s="620" t="s">
        <v>40</v>
      </c>
      <c r="Q165" s="621"/>
      <c r="R165" s="621"/>
      <c r="S165" s="621"/>
      <c r="T165" s="621"/>
      <c r="U165" s="621"/>
      <c r="V165" s="622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15" t="s">
        <v>77</v>
      </c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15"/>
      <c r="P166" s="615"/>
      <c r="Q166" s="615"/>
      <c r="R166" s="615"/>
      <c r="S166" s="615"/>
      <c r="T166" s="615"/>
      <c r="U166" s="615"/>
      <c r="V166" s="615"/>
      <c r="W166" s="615"/>
      <c r="X166" s="615"/>
      <c r="Y166" s="615"/>
      <c r="Z166" s="615"/>
      <c r="AA166" s="63"/>
      <c r="AB166" s="63"/>
      <c r="AC166" s="63"/>
    </row>
    <row r="167" spans="1:68" ht="27" hidden="1" customHeight="1" x14ac:dyDescent="0.25">
      <c r="A167" s="60" t="s">
        <v>287</v>
      </c>
      <c r="B167" s="60" t="s">
        <v>288</v>
      </c>
      <c r="C167" s="34">
        <v>4301031496</v>
      </c>
      <c r="D167" s="616">
        <v>4680115887428</v>
      </c>
      <c r="E167" s="616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141</v>
      </c>
      <c r="L167" s="35" t="s">
        <v>46</v>
      </c>
      <c r="M167" s="36" t="s">
        <v>81</v>
      </c>
      <c r="N167" s="36"/>
      <c r="O167" s="35">
        <v>40</v>
      </c>
      <c r="P167" s="8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8"/>
      <c r="R167" s="618"/>
      <c r="S167" s="618"/>
      <c r="T167" s="619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ref="Y167:Y177" si="15">IFERROR(IF(X167="",0,CEILING((X167/$H167),1)*$H167),"")</f>
        <v>0</v>
      </c>
      <c r="Z167" s="39" t="str">
        <f>IFERROR(IF(Y167=0,"",ROUNDUP(Y167/H167,0)*0.00902),"")</f>
        <v/>
      </c>
      <c r="AA167" s="65" t="s">
        <v>46</v>
      </c>
      <c r="AB167" s="66" t="s">
        <v>46</v>
      </c>
      <c r="AC167" s="225" t="s">
        <v>289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16">IFERROR(X167*I167/H167,"0")</f>
        <v>0</v>
      </c>
      <c r="BN167" s="75">
        <f t="shared" ref="BN167:BN177" si="17">IFERROR(Y167*I167/H167,"0")</f>
        <v>0</v>
      </c>
      <c r="BO167" s="75">
        <f t="shared" ref="BO167:BO177" si="18">IFERROR(1/J167*(X167/H167),"0")</f>
        <v>0</v>
      </c>
      <c r="BP167" s="75">
        <f t="shared" ref="BP167:BP177" si="19">IFERROR(1/J167*(Y167/H167),"0")</f>
        <v>0</v>
      </c>
    </row>
    <row r="168" spans="1:68" ht="27" customHeight="1" x14ac:dyDescent="0.25">
      <c r="A168" s="60" t="s">
        <v>290</v>
      </c>
      <c r="B168" s="60" t="s">
        <v>291</v>
      </c>
      <c r="C168" s="34">
        <v>4301030963</v>
      </c>
      <c r="D168" s="616">
        <v>4607091382426</v>
      </c>
      <c r="E168" s="616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134</v>
      </c>
      <c r="L168" s="35" t="s">
        <v>46</v>
      </c>
      <c r="M168" s="36" t="s">
        <v>81</v>
      </c>
      <c r="N168" s="36"/>
      <c r="O168" s="35">
        <v>40</v>
      </c>
      <c r="P168" s="8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8"/>
      <c r="R168" s="618"/>
      <c r="S168" s="618"/>
      <c r="T168" s="619"/>
      <c r="U168" s="37" t="s">
        <v>46</v>
      </c>
      <c r="V168" s="37" t="s">
        <v>46</v>
      </c>
      <c r="W168" s="38" t="s">
        <v>0</v>
      </c>
      <c r="X168" s="56">
        <v>100</v>
      </c>
      <c r="Y168" s="53">
        <f t="shared" si="15"/>
        <v>108</v>
      </c>
      <c r="Z168" s="39">
        <f>IFERROR(IF(Y168=0,"",ROUNDUP(Y168/H168,0)*0.01898),"")</f>
        <v>0.22776000000000002</v>
      </c>
      <c r="AA168" s="65" t="s">
        <v>46</v>
      </c>
      <c r="AB168" s="66" t="s">
        <v>46</v>
      </c>
      <c r="AC168" s="227" t="s">
        <v>292</v>
      </c>
      <c r="AG168" s="75"/>
      <c r="AJ168" s="79" t="s">
        <v>46</v>
      </c>
      <c r="AK168" s="79">
        <v>0</v>
      </c>
      <c r="BB168" s="228" t="s">
        <v>67</v>
      </c>
      <c r="BM168" s="75">
        <f t="shared" si="16"/>
        <v>106.22222222222223</v>
      </c>
      <c r="BN168" s="75">
        <f t="shared" si="17"/>
        <v>114.72</v>
      </c>
      <c r="BO168" s="75">
        <f t="shared" si="18"/>
        <v>0.1736111111111111</v>
      </c>
      <c r="BP168" s="75">
        <f t="shared" si="19"/>
        <v>0.1875</v>
      </c>
    </row>
    <row r="169" spans="1:68" ht="27" hidden="1" customHeight="1" x14ac:dyDescent="0.25">
      <c r="A169" s="60" t="s">
        <v>293</v>
      </c>
      <c r="B169" s="60" t="s">
        <v>294</v>
      </c>
      <c r="C169" s="34">
        <v>4301031498</v>
      </c>
      <c r="D169" s="616">
        <v>4680115887398</v>
      </c>
      <c r="E169" s="61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141</v>
      </c>
      <c r="L169" s="35" t="s">
        <v>46</v>
      </c>
      <c r="M169" s="36" t="s">
        <v>81</v>
      </c>
      <c r="N169" s="36"/>
      <c r="O169" s="35">
        <v>40</v>
      </c>
      <c r="P169" s="8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8"/>
      <c r="R169" s="618"/>
      <c r="S169" s="618"/>
      <c r="T169" s="619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5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295</v>
      </c>
      <c r="AG169" s="75"/>
      <c r="AJ169" s="79" t="s">
        <v>46</v>
      </c>
      <c r="AK169" s="79">
        <v>0</v>
      </c>
      <c r="BB169" s="230" t="s">
        <v>67</v>
      </c>
      <c r="BM169" s="75">
        <f t="shared" si="16"/>
        <v>0</v>
      </c>
      <c r="BN169" s="75">
        <f t="shared" si="17"/>
        <v>0</v>
      </c>
      <c r="BO169" s="75">
        <f t="shared" si="18"/>
        <v>0</v>
      </c>
      <c r="BP169" s="75">
        <f t="shared" si="19"/>
        <v>0</v>
      </c>
    </row>
    <row r="170" spans="1:68" ht="27" customHeight="1" x14ac:dyDescent="0.25">
      <c r="A170" s="60" t="s">
        <v>296</v>
      </c>
      <c r="B170" s="60" t="s">
        <v>297</v>
      </c>
      <c r="C170" s="34">
        <v>4301031497</v>
      </c>
      <c r="D170" s="616">
        <v>4680115887336</v>
      </c>
      <c r="E170" s="616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141</v>
      </c>
      <c r="L170" s="35" t="s">
        <v>46</v>
      </c>
      <c r="M170" s="36" t="s">
        <v>81</v>
      </c>
      <c r="N170" s="36"/>
      <c r="O170" s="35">
        <v>40</v>
      </c>
      <c r="P170" s="82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8"/>
      <c r="R170" s="618"/>
      <c r="S170" s="618"/>
      <c r="T170" s="619"/>
      <c r="U170" s="37" t="s">
        <v>46</v>
      </c>
      <c r="V170" s="37" t="s">
        <v>46</v>
      </c>
      <c r="W170" s="38" t="s">
        <v>0</v>
      </c>
      <c r="X170" s="56">
        <v>100</v>
      </c>
      <c r="Y170" s="53">
        <f t="shared" si="15"/>
        <v>101.5</v>
      </c>
      <c r="Z170" s="39">
        <f>IFERROR(IF(Y170=0,"",ROUNDUP(Y170/H170,0)*0.00902),"")</f>
        <v>0.26158000000000003</v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 t="shared" si="16"/>
        <v>105.42857142857143</v>
      </c>
      <c r="BN170" s="75">
        <f t="shared" si="17"/>
        <v>107.00999999999999</v>
      </c>
      <c r="BO170" s="75">
        <f t="shared" si="18"/>
        <v>0.21645021645021648</v>
      </c>
      <c r="BP170" s="75">
        <f t="shared" si="19"/>
        <v>0.2196969696969697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4301032049</v>
      </c>
      <c r="D171" s="616">
        <v>4680115887787</v>
      </c>
      <c r="E171" s="616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138</v>
      </c>
      <c r="L171" s="35" t="s">
        <v>46</v>
      </c>
      <c r="M171" s="36" t="s">
        <v>81</v>
      </c>
      <c r="N171" s="36"/>
      <c r="O171" s="35">
        <v>45</v>
      </c>
      <c r="P171" s="81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8"/>
      <c r="R171" s="618"/>
      <c r="S171" s="618"/>
      <c r="T171" s="619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5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 t="shared" si="16"/>
        <v>0</v>
      </c>
      <c r="BN171" s="75">
        <f t="shared" si="17"/>
        <v>0</v>
      </c>
      <c r="BO171" s="75">
        <f t="shared" si="18"/>
        <v>0</v>
      </c>
      <c r="BP171" s="75">
        <f t="shared" si="19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4301031448</v>
      </c>
      <c r="D172" s="616">
        <v>4680115887503</v>
      </c>
      <c r="E172" s="616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1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8"/>
      <c r="R172" s="618"/>
      <c r="S172" s="618"/>
      <c r="T172" s="6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289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304</v>
      </c>
      <c r="B173" s="60" t="s">
        <v>305</v>
      </c>
      <c r="C173" s="34">
        <v>4301031389</v>
      </c>
      <c r="D173" s="616">
        <v>4680115887763</v>
      </c>
      <c r="E173" s="61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138</v>
      </c>
      <c r="L173" s="35" t="s">
        <v>46</v>
      </c>
      <c r="M173" s="36" t="s">
        <v>81</v>
      </c>
      <c r="N173" s="36"/>
      <c r="O173" s="35">
        <v>45</v>
      </c>
      <c r="P173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8"/>
      <c r="R173" s="618"/>
      <c r="S173" s="618"/>
      <c r="T173" s="6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306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304</v>
      </c>
      <c r="B174" s="60" t="s">
        <v>307</v>
      </c>
      <c r="C174" s="34">
        <v>4301031510</v>
      </c>
      <c r="D174" s="616">
        <v>4680115887763</v>
      </c>
      <c r="E174" s="616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138</v>
      </c>
      <c r="L174" s="35" t="s">
        <v>46</v>
      </c>
      <c r="M174" s="36" t="s">
        <v>81</v>
      </c>
      <c r="N174" s="36"/>
      <c r="O174" s="35">
        <v>45</v>
      </c>
      <c r="P174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8"/>
      <c r="R174" s="618"/>
      <c r="S174" s="618"/>
      <c r="T174" s="6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306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27" hidden="1" customHeight="1" x14ac:dyDescent="0.25">
      <c r="A175" s="60" t="s">
        <v>308</v>
      </c>
      <c r="B175" s="60" t="s">
        <v>309</v>
      </c>
      <c r="C175" s="34">
        <v>4301031454</v>
      </c>
      <c r="D175" s="616">
        <v>4680115887480</v>
      </c>
      <c r="E175" s="61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8"/>
      <c r="R175" s="618"/>
      <c r="S175" s="618"/>
      <c r="T175" s="6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295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4301031434</v>
      </c>
      <c r="D176" s="616">
        <v>4680115888067</v>
      </c>
      <c r="E176" s="616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138</v>
      </c>
      <c r="L176" s="35" t="s">
        <v>46</v>
      </c>
      <c r="M176" s="36" t="s">
        <v>81</v>
      </c>
      <c r="N176" s="36"/>
      <c r="O176" s="35">
        <v>45</v>
      </c>
      <c r="P176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8"/>
      <c r="R176" s="618"/>
      <c r="S176" s="618"/>
      <c r="T176" s="6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312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4301031451</v>
      </c>
      <c r="D177" s="616">
        <v>4680115887435</v>
      </c>
      <c r="E177" s="616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1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8"/>
      <c r="R177" s="618"/>
      <c r="S177" s="618"/>
      <c r="T177" s="6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298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39.682539682539684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41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0.48934000000000005</v>
      </c>
      <c r="AA178" s="64"/>
      <c r="AB178" s="64"/>
      <c r="AC178" s="64"/>
    </row>
    <row r="179" spans="1:68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IFERROR(SUM(X167:X177),"0")</f>
        <v>200</v>
      </c>
      <c r="Y179" s="41">
        <f>IFERROR(SUM(Y167:Y177),"0")</f>
        <v>209.5</v>
      </c>
      <c r="Z179" s="40"/>
      <c r="AA179" s="64"/>
      <c r="AB179" s="64"/>
      <c r="AC179" s="64"/>
    </row>
    <row r="180" spans="1:68" ht="14.25" hidden="1" customHeight="1" x14ac:dyDescent="0.25">
      <c r="A180" s="615" t="s">
        <v>86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16.5" hidden="1" customHeight="1" x14ac:dyDescent="0.25">
      <c r="A181" s="60" t="s">
        <v>315</v>
      </c>
      <c r="B181" s="60" t="s">
        <v>316</v>
      </c>
      <c r="C181" s="34">
        <v>4301052193</v>
      </c>
      <c r="D181" s="616">
        <v>4680115888395</v>
      </c>
      <c r="E181" s="616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8"/>
      <c r="R181" s="618"/>
      <c r="S181" s="618"/>
      <c r="T181" s="61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317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318</v>
      </c>
      <c r="B182" s="60" t="s">
        <v>319</v>
      </c>
      <c r="C182" s="34">
        <v>4301052191</v>
      </c>
      <c r="D182" s="616">
        <v>4680115888371</v>
      </c>
      <c r="E182" s="616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8"/>
      <c r="R182" s="618"/>
      <c r="S182" s="618"/>
      <c r="T182" s="61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320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4301052064</v>
      </c>
      <c r="D183" s="616">
        <v>4680115887459</v>
      </c>
      <c r="E183" s="616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8"/>
      <c r="R183" s="618"/>
      <c r="S183" s="618"/>
      <c r="T183" s="61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323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23"/>
      <c r="B184" s="623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4"/>
      <c r="P184" s="620" t="s">
        <v>40</v>
      </c>
      <c r="Q184" s="621"/>
      <c r="R184" s="621"/>
      <c r="S184" s="621"/>
      <c r="T184" s="621"/>
      <c r="U184" s="621"/>
      <c r="V184" s="622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23"/>
      <c r="B185" s="623"/>
      <c r="C185" s="623"/>
      <c r="D185" s="623"/>
      <c r="E185" s="623"/>
      <c r="F185" s="623"/>
      <c r="G185" s="623"/>
      <c r="H185" s="623"/>
      <c r="I185" s="623"/>
      <c r="J185" s="623"/>
      <c r="K185" s="623"/>
      <c r="L185" s="623"/>
      <c r="M185" s="623"/>
      <c r="N185" s="623"/>
      <c r="O185" s="624"/>
      <c r="P185" s="620" t="s">
        <v>40</v>
      </c>
      <c r="Q185" s="621"/>
      <c r="R185" s="621"/>
      <c r="S185" s="621"/>
      <c r="T185" s="621"/>
      <c r="U185" s="621"/>
      <c r="V185" s="622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15" t="s">
        <v>104</v>
      </c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15"/>
      <c r="P186" s="615"/>
      <c r="Q186" s="615"/>
      <c r="R186" s="615"/>
      <c r="S186" s="615"/>
      <c r="T186" s="615"/>
      <c r="U186" s="615"/>
      <c r="V186" s="615"/>
      <c r="W186" s="615"/>
      <c r="X186" s="615"/>
      <c r="Y186" s="615"/>
      <c r="Z186" s="615"/>
      <c r="AA186" s="63"/>
      <c r="AB186" s="63"/>
      <c r="AC186" s="63"/>
    </row>
    <row r="187" spans="1:68" ht="16.5" hidden="1" customHeight="1" x14ac:dyDescent="0.25">
      <c r="A187" s="60" t="s">
        <v>324</v>
      </c>
      <c r="B187" s="60" t="s">
        <v>325</v>
      </c>
      <c r="C187" s="34">
        <v>4301032058</v>
      </c>
      <c r="D187" s="616">
        <v>4680115889026</v>
      </c>
      <c r="E187" s="61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328</v>
      </c>
      <c r="L187" s="35" t="s">
        <v>46</v>
      </c>
      <c r="M187" s="36" t="s">
        <v>327</v>
      </c>
      <c r="N187" s="36"/>
      <c r="O187" s="35">
        <v>60</v>
      </c>
      <c r="P18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8"/>
      <c r="R187" s="618"/>
      <c r="S187" s="618"/>
      <c r="T187" s="6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326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329</v>
      </c>
      <c r="B188" s="60" t="s">
        <v>330</v>
      </c>
      <c r="C188" s="34">
        <v>4301032057</v>
      </c>
      <c r="D188" s="616">
        <v>4680115889088</v>
      </c>
      <c r="E188" s="616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328</v>
      </c>
      <c r="L188" s="35" t="s">
        <v>46</v>
      </c>
      <c r="M188" s="36" t="s">
        <v>327</v>
      </c>
      <c r="N188" s="36"/>
      <c r="O188" s="35">
        <v>45</v>
      </c>
      <c r="P18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8"/>
      <c r="R188" s="618"/>
      <c r="S188" s="618"/>
      <c r="T188" s="6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23"/>
      <c r="B190" s="623"/>
      <c r="C190" s="623"/>
      <c r="D190" s="623"/>
      <c r="E190" s="623"/>
      <c r="F190" s="623"/>
      <c r="G190" s="623"/>
      <c r="H190" s="623"/>
      <c r="I190" s="623"/>
      <c r="J190" s="623"/>
      <c r="K190" s="623"/>
      <c r="L190" s="623"/>
      <c r="M190" s="623"/>
      <c r="N190" s="623"/>
      <c r="O190" s="624"/>
      <c r="P190" s="620" t="s">
        <v>40</v>
      </c>
      <c r="Q190" s="621"/>
      <c r="R190" s="621"/>
      <c r="S190" s="621"/>
      <c r="T190" s="621"/>
      <c r="U190" s="621"/>
      <c r="V190" s="622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15" t="s">
        <v>332</v>
      </c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15"/>
      <c r="P191" s="615"/>
      <c r="Q191" s="615"/>
      <c r="R191" s="615"/>
      <c r="S191" s="615"/>
      <c r="T191" s="615"/>
      <c r="U191" s="615"/>
      <c r="V191" s="615"/>
      <c r="W191" s="615"/>
      <c r="X191" s="615"/>
      <c r="Y191" s="615"/>
      <c r="Z191" s="615"/>
      <c r="AA191" s="63"/>
      <c r="AB191" s="63"/>
      <c r="AC191" s="63"/>
    </row>
    <row r="192" spans="1:68" ht="27" hidden="1" customHeight="1" x14ac:dyDescent="0.25">
      <c r="A192" s="60" t="s">
        <v>333</v>
      </c>
      <c r="B192" s="60" t="s">
        <v>334</v>
      </c>
      <c r="C192" s="34">
        <v>4301041009</v>
      </c>
      <c r="D192" s="616">
        <v>4680115889033</v>
      </c>
      <c r="E192" s="616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328</v>
      </c>
      <c r="L192" s="35" t="s">
        <v>46</v>
      </c>
      <c r="M192" s="36" t="s">
        <v>327</v>
      </c>
      <c r="N192" s="36"/>
      <c r="O192" s="35">
        <v>60</v>
      </c>
      <c r="P19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8"/>
      <c r="R192" s="618"/>
      <c r="S192" s="618"/>
      <c r="T192" s="61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335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36" t="s">
        <v>336</v>
      </c>
      <c r="B195" s="636"/>
      <c r="C195" s="636"/>
      <c r="D195" s="636"/>
      <c r="E195" s="636"/>
      <c r="F195" s="636"/>
      <c r="G195" s="636"/>
      <c r="H195" s="636"/>
      <c r="I195" s="636"/>
      <c r="J195" s="636"/>
      <c r="K195" s="636"/>
      <c r="L195" s="636"/>
      <c r="M195" s="636"/>
      <c r="N195" s="636"/>
      <c r="O195" s="636"/>
      <c r="P195" s="636"/>
      <c r="Q195" s="636"/>
      <c r="R195" s="636"/>
      <c r="S195" s="636"/>
      <c r="T195" s="636"/>
      <c r="U195" s="636"/>
      <c r="V195" s="636"/>
      <c r="W195" s="636"/>
      <c r="X195" s="636"/>
      <c r="Y195" s="636"/>
      <c r="Z195" s="636"/>
      <c r="AA195" s="52"/>
      <c r="AB195" s="52"/>
      <c r="AC195" s="52"/>
    </row>
    <row r="196" spans="1:68" ht="16.5" hidden="1" customHeight="1" x14ac:dyDescent="0.25">
      <c r="A196" s="631" t="s">
        <v>337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62"/>
      <c r="AB196" s="62"/>
      <c r="AC196" s="62"/>
    </row>
    <row r="197" spans="1:68" ht="14.25" hidden="1" customHeight="1" x14ac:dyDescent="0.25">
      <c r="A197" s="615" t="s">
        <v>129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3"/>
      <c r="AB197" s="63"/>
      <c r="AC197" s="63"/>
    </row>
    <row r="198" spans="1:68" ht="27" hidden="1" customHeight="1" x14ac:dyDescent="0.25">
      <c r="A198" s="60" t="s">
        <v>338</v>
      </c>
      <c r="B198" s="60" t="s">
        <v>339</v>
      </c>
      <c r="C198" s="34">
        <v>4301012340</v>
      </c>
      <c r="D198" s="616">
        <v>4680115888760</v>
      </c>
      <c r="E198" s="616"/>
      <c r="F198" s="59">
        <v>1.4</v>
      </c>
      <c r="G198" s="35">
        <v>6</v>
      </c>
      <c r="H198" s="59">
        <v>8.4</v>
      </c>
      <c r="I198" s="59">
        <v>8.81</v>
      </c>
      <c r="J198" s="35">
        <v>64</v>
      </c>
      <c r="K198" s="35" t="s">
        <v>134</v>
      </c>
      <c r="L198" s="35" t="s">
        <v>46</v>
      </c>
      <c r="M198" s="36" t="s">
        <v>90</v>
      </c>
      <c r="N198" s="36"/>
      <c r="O198" s="35">
        <v>35</v>
      </c>
      <c r="P198" s="80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8"/>
      <c r="R198" s="618"/>
      <c r="S198" s="618"/>
      <c r="T198" s="61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20">IFERROR(IF(X198="",0,CEILING((X198/$H198),1)*$H198),"")</f>
        <v>0</v>
      </c>
      <c r="Z198" s="39" t="str">
        <f t="shared" ref="Z198:Z204" si="21">IFERROR(IF(Y198=0,"",ROUNDUP(Y198/H198,0)*0.01898),"")</f>
        <v/>
      </c>
      <c r="AA198" s="65" t="s">
        <v>46</v>
      </c>
      <c r="AB198" s="66" t="s">
        <v>114</v>
      </c>
      <c r="AC198" s="259" t="s">
        <v>340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22">IFERROR(X198*I198/H198,"0")</f>
        <v>0</v>
      </c>
      <c r="BN198" s="75">
        <f t="shared" ref="BN198:BN204" si="23">IFERROR(Y198*I198/H198,"0")</f>
        <v>0</v>
      </c>
      <c r="BO198" s="75">
        <f t="shared" ref="BO198:BO204" si="24">IFERROR(1/J198*(X198/H198),"0")</f>
        <v>0</v>
      </c>
      <c r="BP198" s="75">
        <f t="shared" ref="BP198:BP204" si="25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4301012341</v>
      </c>
      <c r="D199" s="616">
        <v>4680115888807</v>
      </c>
      <c r="E199" s="616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134</v>
      </c>
      <c r="L199" s="35" t="s">
        <v>46</v>
      </c>
      <c r="M199" s="36" t="s">
        <v>90</v>
      </c>
      <c r="N199" s="36"/>
      <c r="O199" s="35">
        <v>35</v>
      </c>
      <c r="P199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8"/>
      <c r="R199" s="618"/>
      <c r="S199" s="618"/>
      <c r="T199" s="61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0"/>
        <v>0</v>
      </c>
      <c r="Z199" s="39" t="str">
        <f t="shared" si="21"/>
        <v/>
      </c>
      <c r="AA199" s="65" t="s">
        <v>46</v>
      </c>
      <c r="AB199" s="66" t="s">
        <v>114</v>
      </c>
      <c r="AC199" s="261" t="s">
        <v>343</v>
      </c>
      <c r="AG199" s="75"/>
      <c r="AJ199" s="79" t="s">
        <v>46</v>
      </c>
      <c r="AK199" s="79">
        <v>0</v>
      </c>
      <c r="BB199" s="262" t="s">
        <v>67</v>
      </c>
      <c r="BM199" s="75">
        <f t="shared" si="22"/>
        <v>0</v>
      </c>
      <c r="BN199" s="75">
        <f t="shared" si="23"/>
        <v>0</v>
      </c>
      <c r="BO199" s="75">
        <f t="shared" si="24"/>
        <v>0</v>
      </c>
      <c r="BP199" s="75">
        <f t="shared" si="25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4301012342</v>
      </c>
      <c r="D200" s="616">
        <v>4680115888852</v>
      </c>
      <c r="E200" s="616"/>
      <c r="F200" s="59">
        <v>0.9</v>
      </c>
      <c r="G200" s="35">
        <v>6</v>
      </c>
      <c r="H200" s="59">
        <v>5.4</v>
      </c>
      <c r="I200" s="59">
        <v>5.81</v>
      </c>
      <c r="J200" s="35">
        <v>64</v>
      </c>
      <c r="K200" s="35" t="s">
        <v>134</v>
      </c>
      <c r="L200" s="35" t="s">
        <v>46</v>
      </c>
      <c r="M200" s="36" t="s">
        <v>90</v>
      </c>
      <c r="N200" s="36"/>
      <c r="O200" s="35">
        <v>35</v>
      </c>
      <c r="P200" s="80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8"/>
      <c r="R200" s="618"/>
      <c r="S200" s="618"/>
      <c r="T200" s="61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114</v>
      </c>
      <c r="AC200" s="263" t="s">
        <v>346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4301011223</v>
      </c>
      <c r="D201" s="616">
        <v>4607091383423</v>
      </c>
      <c r="E201" s="616"/>
      <c r="F201" s="59">
        <v>1.35</v>
      </c>
      <c r="G201" s="35">
        <v>8</v>
      </c>
      <c r="H201" s="59">
        <v>10.8</v>
      </c>
      <c r="I201" s="59">
        <v>11.305999999999999</v>
      </c>
      <c r="J201" s="35">
        <v>64</v>
      </c>
      <c r="K201" s="35" t="s">
        <v>134</v>
      </c>
      <c r="L201" s="35" t="s">
        <v>46</v>
      </c>
      <c r="M201" s="36" t="s">
        <v>90</v>
      </c>
      <c r="N201" s="36"/>
      <c r="O201" s="35">
        <v>35</v>
      </c>
      <c r="P201" s="79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8"/>
      <c r="R201" s="618"/>
      <c r="S201" s="618"/>
      <c r="T201" s="61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132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37.5" hidden="1" customHeight="1" x14ac:dyDescent="0.25">
      <c r="A202" s="60" t="s">
        <v>349</v>
      </c>
      <c r="B202" s="60" t="s">
        <v>350</v>
      </c>
      <c r="C202" s="34">
        <v>4301012370</v>
      </c>
      <c r="D202" s="616">
        <v>4680115886957</v>
      </c>
      <c r="E202" s="616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134</v>
      </c>
      <c r="L202" s="35" t="s">
        <v>46</v>
      </c>
      <c r="M202" s="36" t="s">
        <v>90</v>
      </c>
      <c r="N202" s="36"/>
      <c r="O202" s="35">
        <v>35</v>
      </c>
      <c r="P202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8"/>
      <c r="R202" s="618"/>
      <c r="S202" s="618"/>
      <c r="T202" s="61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351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27" hidden="1" customHeight="1" x14ac:dyDescent="0.25">
      <c r="A203" s="60" t="s">
        <v>352</v>
      </c>
      <c r="B203" s="60" t="s">
        <v>353</v>
      </c>
      <c r="C203" s="34">
        <v>4301012098</v>
      </c>
      <c r="D203" s="616">
        <v>4680115885660</v>
      </c>
      <c r="E203" s="616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134</v>
      </c>
      <c r="L203" s="35" t="s">
        <v>46</v>
      </c>
      <c r="M203" s="36" t="s">
        <v>90</v>
      </c>
      <c r="N203" s="36"/>
      <c r="O203" s="35">
        <v>35</v>
      </c>
      <c r="P203" s="80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8"/>
      <c r="R203" s="618"/>
      <c r="S203" s="618"/>
      <c r="T203" s="6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354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355</v>
      </c>
      <c r="B204" s="60" t="s">
        <v>356</v>
      </c>
      <c r="C204" s="34">
        <v>4301012369</v>
      </c>
      <c r="D204" s="616">
        <v>4680115886773</v>
      </c>
      <c r="E204" s="616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134</v>
      </c>
      <c r="L204" s="35" t="s">
        <v>46</v>
      </c>
      <c r="M204" s="36" t="s">
        <v>90</v>
      </c>
      <c r="N204" s="36"/>
      <c r="O204" s="35">
        <v>35</v>
      </c>
      <c r="P204" s="80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8"/>
      <c r="R204" s="618"/>
      <c r="S204" s="618"/>
      <c r="T204" s="6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357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idden="1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23"/>
      <c r="B206" s="623"/>
      <c r="C206" s="623"/>
      <c r="D206" s="623"/>
      <c r="E206" s="623"/>
      <c r="F206" s="623"/>
      <c r="G206" s="623"/>
      <c r="H206" s="623"/>
      <c r="I206" s="623"/>
      <c r="J206" s="623"/>
      <c r="K206" s="623"/>
      <c r="L206" s="623"/>
      <c r="M206" s="623"/>
      <c r="N206" s="623"/>
      <c r="O206" s="624"/>
      <c r="P206" s="620" t="s">
        <v>40</v>
      </c>
      <c r="Q206" s="621"/>
      <c r="R206" s="621"/>
      <c r="S206" s="621"/>
      <c r="T206" s="621"/>
      <c r="U206" s="621"/>
      <c r="V206" s="622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31" t="s">
        <v>358</v>
      </c>
      <c r="B207" s="631"/>
      <c r="C207" s="631"/>
      <c r="D207" s="631"/>
      <c r="E207" s="631"/>
      <c r="F207" s="631"/>
      <c r="G207" s="631"/>
      <c r="H207" s="631"/>
      <c r="I207" s="631"/>
      <c r="J207" s="631"/>
      <c r="K207" s="631"/>
      <c r="L207" s="631"/>
      <c r="M207" s="631"/>
      <c r="N207" s="631"/>
      <c r="O207" s="631"/>
      <c r="P207" s="631"/>
      <c r="Q207" s="631"/>
      <c r="R207" s="631"/>
      <c r="S207" s="631"/>
      <c r="T207" s="631"/>
      <c r="U207" s="631"/>
      <c r="V207" s="631"/>
      <c r="W207" s="631"/>
      <c r="X207" s="631"/>
      <c r="Y207" s="631"/>
      <c r="Z207" s="631"/>
      <c r="AA207" s="62"/>
      <c r="AB207" s="62"/>
      <c r="AC207" s="62"/>
    </row>
    <row r="208" spans="1:68" ht="14.25" hidden="1" customHeight="1" x14ac:dyDescent="0.25">
      <c r="A208" s="615" t="s">
        <v>166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4301020323</v>
      </c>
      <c r="D209" s="616">
        <v>4680115886223</v>
      </c>
      <c r="E209" s="616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8"/>
      <c r="R209" s="618"/>
      <c r="S209" s="618"/>
      <c r="T209" s="61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361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23"/>
      <c r="B210" s="623"/>
      <c r="C210" s="623"/>
      <c r="D210" s="623"/>
      <c r="E210" s="623"/>
      <c r="F210" s="623"/>
      <c r="G210" s="623"/>
      <c r="H210" s="623"/>
      <c r="I210" s="623"/>
      <c r="J210" s="623"/>
      <c r="K210" s="623"/>
      <c r="L210" s="623"/>
      <c r="M210" s="623"/>
      <c r="N210" s="623"/>
      <c r="O210" s="624"/>
      <c r="P210" s="620" t="s">
        <v>40</v>
      </c>
      <c r="Q210" s="621"/>
      <c r="R210" s="621"/>
      <c r="S210" s="621"/>
      <c r="T210" s="621"/>
      <c r="U210" s="621"/>
      <c r="V210" s="622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23"/>
      <c r="B211" s="623"/>
      <c r="C211" s="623"/>
      <c r="D211" s="623"/>
      <c r="E211" s="623"/>
      <c r="F211" s="623"/>
      <c r="G211" s="623"/>
      <c r="H211" s="623"/>
      <c r="I211" s="623"/>
      <c r="J211" s="623"/>
      <c r="K211" s="623"/>
      <c r="L211" s="623"/>
      <c r="M211" s="623"/>
      <c r="N211" s="623"/>
      <c r="O211" s="624"/>
      <c r="P211" s="620" t="s">
        <v>40</v>
      </c>
      <c r="Q211" s="621"/>
      <c r="R211" s="621"/>
      <c r="S211" s="621"/>
      <c r="T211" s="621"/>
      <c r="U211" s="621"/>
      <c r="V211" s="622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15" t="s">
        <v>77</v>
      </c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15"/>
      <c r="P212" s="615"/>
      <c r="Q212" s="615"/>
      <c r="R212" s="615"/>
      <c r="S212" s="615"/>
      <c r="T212" s="615"/>
      <c r="U212" s="615"/>
      <c r="V212" s="615"/>
      <c r="W212" s="615"/>
      <c r="X212" s="615"/>
      <c r="Y212" s="615"/>
      <c r="Z212" s="615"/>
      <c r="AA212" s="63"/>
      <c r="AB212" s="63"/>
      <c r="AC212" s="63"/>
    </row>
    <row r="213" spans="1:68" ht="27" hidden="1" customHeight="1" x14ac:dyDescent="0.25">
      <c r="A213" s="60" t="s">
        <v>362</v>
      </c>
      <c r="B213" s="60" t="s">
        <v>363</v>
      </c>
      <c r="C213" s="34">
        <v>4301031191</v>
      </c>
      <c r="D213" s="616">
        <v>4680115880993</v>
      </c>
      <c r="E213" s="616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141</v>
      </c>
      <c r="L213" s="35" t="s">
        <v>46</v>
      </c>
      <c r="M213" s="36" t="s">
        <v>81</v>
      </c>
      <c r="N213" s="36"/>
      <c r="O213" s="35">
        <v>40</v>
      </c>
      <c r="P213" s="79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8"/>
      <c r="R213" s="618"/>
      <c r="S213" s="618"/>
      <c r="T213" s="61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6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364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7">IFERROR(X213*I213/H213,"0")</f>
        <v>0</v>
      </c>
      <c r="BN213" s="75">
        <f t="shared" ref="BN213:BN226" si="28">IFERROR(Y213*I213/H213,"0")</f>
        <v>0</v>
      </c>
      <c r="BO213" s="75">
        <f t="shared" ref="BO213:BO226" si="29">IFERROR(1/J213*(X213/H213),"0")</f>
        <v>0</v>
      </c>
      <c r="BP213" s="75">
        <f t="shared" ref="BP213:BP226" si="30">IFERROR(1/J213*(Y213/H213),"0")</f>
        <v>0</v>
      </c>
    </row>
    <row r="214" spans="1:68" ht="27" hidden="1" customHeight="1" x14ac:dyDescent="0.25">
      <c r="A214" s="60" t="s">
        <v>365</v>
      </c>
      <c r="B214" s="60" t="s">
        <v>366</v>
      </c>
      <c r="C214" s="34">
        <v>4301031204</v>
      </c>
      <c r="D214" s="616">
        <v>4680115881761</v>
      </c>
      <c r="E214" s="616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141</v>
      </c>
      <c r="L214" s="35" t="s">
        <v>46</v>
      </c>
      <c r="M214" s="36" t="s">
        <v>81</v>
      </c>
      <c r="N214" s="36"/>
      <c r="O214" s="35">
        <v>40</v>
      </c>
      <c r="P214" s="7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8"/>
      <c r="R214" s="618"/>
      <c r="S214" s="618"/>
      <c r="T214" s="61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367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368</v>
      </c>
      <c r="B215" s="60" t="s">
        <v>369</v>
      </c>
      <c r="C215" s="34">
        <v>4301031201</v>
      </c>
      <c r="D215" s="616">
        <v>4680115881563</v>
      </c>
      <c r="E215" s="616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141</v>
      </c>
      <c r="L215" s="35" t="s">
        <v>46</v>
      </c>
      <c r="M215" s="36" t="s">
        <v>81</v>
      </c>
      <c r="N215" s="36"/>
      <c r="O215" s="35">
        <v>40</v>
      </c>
      <c r="P215" s="7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8"/>
      <c r="R215" s="618"/>
      <c r="S215" s="618"/>
      <c r="T215" s="61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370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37.5" hidden="1" customHeight="1" x14ac:dyDescent="0.25">
      <c r="A216" s="60" t="s">
        <v>371</v>
      </c>
      <c r="B216" s="60" t="s">
        <v>372</v>
      </c>
      <c r="C216" s="34">
        <v>4301031447</v>
      </c>
      <c r="D216" s="616">
        <v>4680115887565</v>
      </c>
      <c r="E216" s="616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9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8"/>
      <c r="R216" s="618"/>
      <c r="S216" s="618"/>
      <c r="T216" s="61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373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374</v>
      </c>
      <c r="B217" s="60" t="s">
        <v>375</v>
      </c>
      <c r="C217" s="34">
        <v>4301031199</v>
      </c>
      <c r="D217" s="616">
        <v>4680115880986</v>
      </c>
      <c r="E217" s="616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8"/>
      <c r="R217" s="618"/>
      <c r="S217" s="618"/>
      <c r="T217" s="61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ref="Z217:Z222" si="31">IFERROR(IF(Y217=0,"",ROUNDUP(Y217/H217,0)*0.00502),"")</f>
        <v/>
      </c>
      <c r="AA217" s="65" t="s">
        <v>46</v>
      </c>
      <c r="AB217" s="66" t="s">
        <v>46</v>
      </c>
      <c r="AC217" s="283" t="s">
        <v>364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4301031443</v>
      </c>
      <c r="D218" s="616">
        <v>4680115887213</v>
      </c>
      <c r="E218" s="616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9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8"/>
      <c r="R218" s="618"/>
      <c r="S218" s="618"/>
      <c r="T218" s="6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378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379</v>
      </c>
      <c r="B219" s="60" t="s">
        <v>380</v>
      </c>
      <c r="C219" s="34">
        <v>4301031205</v>
      </c>
      <c r="D219" s="616">
        <v>4680115881785</v>
      </c>
      <c r="E219" s="61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8"/>
      <c r="R219" s="618"/>
      <c r="S219" s="618"/>
      <c r="T219" s="6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367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4301031499</v>
      </c>
      <c r="D220" s="616">
        <v>4680115888432</v>
      </c>
      <c r="E220" s="616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8"/>
      <c r="R220" s="618"/>
      <c r="S220" s="618"/>
      <c r="T220" s="6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 t="shared" si="31"/>
        <v/>
      </c>
      <c r="AA220" s="65" t="s">
        <v>46</v>
      </c>
      <c r="AB220" s="66" t="s">
        <v>46</v>
      </c>
      <c r="AC220" s="289" t="s">
        <v>383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384</v>
      </c>
      <c r="B221" s="60" t="s">
        <v>385</v>
      </c>
      <c r="C221" s="34">
        <v>4301031427</v>
      </c>
      <c r="D221" s="616">
        <v>4680115888104</v>
      </c>
      <c r="E221" s="616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8"/>
      <c r="R221" s="618"/>
      <c r="S221" s="618"/>
      <c r="T221" s="6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 t="shared" si="31"/>
        <v/>
      </c>
      <c r="AA221" s="65" t="s">
        <v>46</v>
      </c>
      <c r="AB221" s="66" t="s">
        <v>46</v>
      </c>
      <c r="AC221" s="291" t="s">
        <v>386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387</v>
      </c>
      <c r="B222" s="60" t="s">
        <v>388</v>
      </c>
      <c r="C222" s="34">
        <v>4301031399</v>
      </c>
      <c r="D222" s="616">
        <v>4680115886537</v>
      </c>
      <c r="E222" s="61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8"/>
      <c r="R222" s="618"/>
      <c r="S222" s="618"/>
      <c r="T222" s="6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 t="shared" si="31"/>
        <v/>
      </c>
      <c r="AA222" s="65" t="s">
        <v>46</v>
      </c>
      <c r="AB222" s="66" t="s">
        <v>46</v>
      </c>
      <c r="AC222" s="293" t="s">
        <v>389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390</v>
      </c>
      <c r="B223" s="60" t="s">
        <v>391</v>
      </c>
      <c r="C223" s="34">
        <v>4301031279</v>
      </c>
      <c r="D223" s="616">
        <v>4680115887596</v>
      </c>
      <c r="E223" s="616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138</v>
      </c>
      <c r="L223" s="35" t="s">
        <v>46</v>
      </c>
      <c r="M223" s="36" t="s">
        <v>81</v>
      </c>
      <c r="N223" s="36"/>
      <c r="O223" s="35">
        <v>45</v>
      </c>
      <c r="P223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8"/>
      <c r="R223" s="618"/>
      <c r="S223" s="618"/>
      <c r="T223" s="6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392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393</v>
      </c>
      <c r="B224" s="60" t="s">
        <v>394</v>
      </c>
      <c r="C224" s="34">
        <v>4301031202</v>
      </c>
      <c r="D224" s="616">
        <v>4680115881679</v>
      </c>
      <c r="E224" s="616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8"/>
      <c r="R224" s="618"/>
      <c r="S224" s="618"/>
      <c r="T224" s="6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370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395</v>
      </c>
      <c r="B225" s="60" t="s">
        <v>396</v>
      </c>
      <c r="C225" s="34">
        <v>4301031158</v>
      </c>
      <c r="D225" s="616">
        <v>4680115880191</v>
      </c>
      <c r="E225" s="616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8"/>
      <c r="R225" s="618"/>
      <c r="S225" s="618"/>
      <c r="T225" s="6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370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4301031245</v>
      </c>
      <c r="D226" s="616">
        <v>4680115883963</v>
      </c>
      <c r="E226" s="616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8"/>
      <c r="R226" s="618"/>
      <c r="S226" s="618"/>
      <c r="T226" s="6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399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3"/>
      <c r="B227" s="623"/>
      <c r="C227" s="623"/>
      <c r="D227" s="623"/>
      <c r="E227" s="623"/>
      <c r="F227" s="623"/>
      <c r="G227" s="623"/>
      <c r="H227" s="623"/>
      <c r="I227" s="623"/>
      <c r="J227" s="623"/>
      <c r="K227" s="623"/>
      <c r="L227" s="623"/>
      <c r="M227" s="623"/>
      <c r="N227" s="623"/>
      <c r="O227" s="624"/>
      <c r="P227" s="620" t="s">
        <v>40</v>
      </c>
      <c r="Q227" s="621"/>
      <c r="R227" s="621"/>
      <c r="S227" s="621"/>
      <c r="T227" s="621"/>
      <c r="U227" s="621"/>
      <c r="V227" s="622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3"/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4"/>
      <c r="P228" s="620" t="s">
        <v>40</v>
      </c>
      <c r="Q228" s="621"/>
      <c r="R228" s="621"/>
      <c r="S228" s="621"/>
      <c r="T228" s="621"/>
      <c r="U228" s="621"/>
      <c r="V228" s="622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5" t="s">
        <v>86</v>
      </c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15"/>
      <c r="P229" s="615"/>
      <c r="Q229" s="615"/>
      <c r="R229" s="615"/>
      <c r="S229" s="615"/>
      <c r="T229" s="615"/>
      <c r="U229" s="615"/>
      <c r="V229" s="615"/>
      <c r="W229" s="615"/>
      <c r="X229" s="615"/>
      <c r="Y229" s="615"/>
      <c r="Z229" s="615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4301052178</v>
      </c>
      <c r="D230" s="616">
        <v>4680115888975</v>
      </c>
      <c r="E230" s="616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141</v>
      </c>
      <c r="L230" s="35" t="s">
        <v>46</v>
      </c>
      <c r="M230" s="36" t="s">
        <v>97</v>
      </c>
      <c r="N230" s="36"/>
      <c r="O230" s="35">
        <v>35</v>
      </c>
      <c r="P230" s="78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8"/>
      <c r="R230" s="618"/>
      <c r="S230" s="618"/>
      <c r="T230" s="61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114</v>
      </c>
      <c r="AC230" s="303" t="s">
        <v>402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403</v>
      </c>
      <c r="B231" s="60" t="s">
        <v>404</v>
      </c>
      <c r="C231" s="34">
        <v>4301052209</v>
      </c>
      <c r="D231" s="616">
        <v>4680115888692</v>
      </c>
      <c r="E231" s="616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134</v>
      </c>
      <c r="L231" s="35" t="s">
        <v>46</v>
      </c>
      <c r="M231" s="36" t="s">
        <v>97</v>
      </c>
      <c r="N231" s="36"/>
      <c r="O231" s="35">
        <v>35</v>
      </c>
      <c r="P231" s="78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8"/>
      <c r="R231" s="618"/>
      <c r="S231" s="618"/>
      <c r="T231" s="61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405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4301052213</v>
      </c>
      <c r="D232" s="616">
        <v>4680115888722</v>
      </c>
      <c r="E232" s="616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134</v>
      </c>
      <c r="L232" s="35" t="s">
        <v>46</v>
      </c>
      <c r="M232" s="36" t="s">
        <v>97</v>
      </c>
      <c r="N232" s="36"/>
      <c r="O232" s="35">
        <v>35</v>
      </c>
      <c r="P232" s="78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8"/>
      <c r="R232" s="618"/>
      <c r="S232" s="618"/>
      <c r="T232" s="61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408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409</v>
      </c>
      <c r="B233" s="60" t="s">
        <v>410</v>
      </c>
      <c r="C233" s="34">
        <v>4301052177</v>
      </c>
      <c r="D233" s="616">
        <v>4680115888951</v>
      </c>
      <c r="E233" s="616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141</v>
      </c>
      <c r="L233" s="35" t="s">
        <v>46</v>
      </c>
      <c r="M233" s="36" t="s">
        <v>97</v>
      </c>
      <c r="N233" s="36"/>
      <c r="O233" s="35">
        <v>35</v>
      </c>
      <c r="P233" s="78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8"/>
      <c r="R233" s="618"/>
      <c r="S233" s="618"/>
      <c r="T233" s="619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411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412</v>
      </c>
      <c r="B234" s="60" t="s">
        <v>413</v>
      </c>
      <c r="C234" s="34">
        <v>4301052176</v>
      </c>
      <c r="D234" s="616">
        <v>4680115888982</v>
      </c>
      <c r="E234" s="616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141</v>
      </c>
      <c r="L234" s="35" t="s">
        <v>46</v>
      </c>
      <c r="M234" s="36" t="s">
        <v>97</v>
      </c>
      <c r="N234" s="36"/>
      <c r="O234" s="35">
        <v>35</v>
      </c>
      <c r="P234" s="77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8"/>
      <c r="R234" s="618"/>
      <c r="S234" s="618"/>
      <c r="T234" s="619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408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15" t="s">
        <v>104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hidden="1" customHeight="1" x14ac:dyDescent="0.25">
      <c r="A238" s="60" t="s">
        <v>414</v>
      </c>
      <c r="B238" s="60" t="s">
        <v>415</v>
      </c>
      <c r="C238" s="34">
        <v>4301032053</v>
      </c>
      <c r="D238" s="616">
        <v>4680115886780</v>
      </c>
      <c r="E238" s="616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328</v>
      </c>
      <c r="L238" s="35" t="s">
        <v>46</v>
      </c>
      <c r="M238" s="36" t="s">
        <v>327</v>
      </c>
      <c r="N238" s="36"/>
      <c r="O238" s="35">
        <v>60</v>
      </c>
      <c r="P238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8"/>
      <c r="R238" s="618"/>
      <c r="S238" s="618"/>
      <c r="T238" s="619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416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417</v>
      </c>
      <c r="B239" s="60" t="s">
        <v>418</v>
      </c>
      <c r="C239" s="34">
        <v>4301032051</v>
      </c>
      <c r="D239" s="616">
        <v>4680115886742</v>
      </c>
      <c r="E239" s="616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328</v>
      </c>
      <c r="L239" s="35" t="s">
        <v>46</v>
      </c>
      <c r="M239" s="36" t="s">
        <v>327</v>
      </c>
      <c r="N239" s="36"/>
      <c r="O239" s="35">
        <v>90</v>
      </c>
      <c r="P239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8"/>
      <c r="R239" s="618"/>
      <c r="S239" s="618"/>
      <c r="T239" s="619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419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420</v>
      </c>
      <c r="B240" s="60" t="s">
        <v>421</v>
      </c>
      <c r="C240" s="34">
        <v>4301032052</v>
      </c>
      <c r="D240" s="616">
        <v>4680115886766</v>
      </c>
      <c r="E240" s="616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328</v>
      </c>
      <c r="L240" s="35" t="s">
        <v>46</v>
      </c>
      <c r="M240" s="36" t="s">
        <v>327</v>
      </c>
      <c r="N240" s="36"/>
      <c r="O240" s="35">
        <v>90</v>
      </c>
      <c r="P240" s="7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8"/>
      <c r="R240" s="618"/>
      <c r="S240" s="618"/>
      <c r="T240" s="61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419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3"/>
      <c r="B241" s="623"/>
      <c r="C241" s="623"/>
      <c r="D241" s="623"/>
      <c r="E241" s="623"/>
      <c r="F241" s="623"/>
      <c r="G241" s="623"/>
      <c r="H241" s="623"/>
      <c r="I241" s="623"/>
      <c r="J241" s="623"/>
      <c r="K241" s="623"/>
      <c r="L241" s="623"/>
      <c r="M241" s="623"/>
      <c r="N241" s="623"/>
      <c r="O241" s="624"/>
      <c r="P241" s="620" t="s">
        <v>40</v>
      </c>
      <c r="Q241" s="621"/>
      <c r="R241" s="621"/>
      <c r="S241" s="621"/>
      <c r="T241" s="621"/>
      <c r="U241" s="621"/>
      <c r="V241" s="622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3"/>
      <c r="B242" s="623"/>
      <c r="C242" s="623"/>
      <c r="D242" s="623"/>
      <c r="E242" s="623"/>
      <c r="F242" s="623"/>
      <c r="G242" s="623"/>
      <c r="H242" s="623"/>
      <c r="I242" s="623"/>
      <c r="J242" s="623"/>
      <c r="K242" s="623"/>
      <c r="L242" s="623"/>
      <c r="M242" s="623"/>
      <c r="N242" s="623"/>
      <c r="O242" s="624"/>
      <c r="P242" s="620" t="s">
        <v>40</v>
      </c>
      <c r="Q242" s="621"/>
      <c r="R242" s="621"/>
      <c r="S242" s="621"/>
      <c r="T242" s="621"/>
      <c r="U242" s="621"/>
      <c r="V242" s="622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15" t="s">
        <v>422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4301170013</v>
      </c>
      <c r="D244" s="616">
        <v>4680115886797</v>
      </c>
      <c r="E244" s="61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328</v>
      </c>
      <c r="L244" s="35" t="s">
        <v>46</v>
      </c>
      <c r="M244" s="36" t="s">
        <v>327</v>
      </c>
      <c r="N244" s="36"/>
      <c r="O244" s="35">
        <v>90</v>
      </c>
      <c r="P244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8"/>
      <c r="R244" s="618"/>
      <c r="S244" s="618"/>
      <c r="T244" s="61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3"/>
      <c r="B245" s="623"/>
      <c r="C245" s="623"/>
      <c r="D245" s="623"/>
      <c r="E245" s="623"/>
      <c r="F245" s="623"/>
      <c r="G245" s="623"/>
      <c r="H245" s="623"/>
      <c r="I245" s="623"/>
      <c r="J245" s="623"/>
      <c r="K245" s="623"/>
      <c r="L245" s="623"/>
      <c r="M245" s="623"/>
      <c r="N245" s="623"/>
      <c r="O245" s="624"/>
      <c r="P245" s="620" t="s">
        <v>40</v>
      </c>
      <c r="Q245" s="621"/>
      <c r="R245" s="621"/>
      <c r="S245" s="621"/>
      <c r="T245" s="621"/>
      <c r="U245" s="621"/>
      <c r="V245" s="622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3"/>
      <c r="B246" s="623"/>
      <c r="C246" s="623"/>
      <c r="D246" s="623"/>
      <c r="E246" s="623"/>
      <c r="F246" s="623"/>
      <c r="G246" s="623"/>
      <c r="H246" s="623"/>
      <c r="I246" s="623"/>
      <c r="J246" s="623"/>
      <c r="K246" s="623"/>
      <c r="L246" s="623"/>
      <c r="M246" s="623"/>
      <c r="N246" s="623"/>
      <c r="O246" s="624"/>
      <c r="P246" s="620" t="s">
        <v>40</v>
      </c>
      <c r="Q246" s="621"/>
      <c r="R246" s="621"/>
      <c r="S246" s="621"/>
      <c r="T246" s="621"/>
      <c r="U246" s="621"/>
      <c r="V246" s="622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1" t="s">
        <v>425</v>
      </c>
      <c r="B247" s="631"/>
      <c r="C247" s="631"/>
      <c r="D247" s="631"/>
      <c r="E247" s="631"/>
      <c r="F247" s="631"/>
      <c r="G247" s="631"/>
      <c r="H247" s="631"/>
      <c r="I247" s="631"/>
      <c r="J247" s="631"/>
      <c r="K247" s="631"/>
      <c r="L247" s="631"/>
      <c r="M247" s="631"/>
      <c r="N247" s="631"/>
      <c r="O247" s="631"/>
      <c r="P247" s="631"/>
      <c r="Q247" s="631"/>
      <c r="R247" s="631"/>
      <c r="S247" s="631"/>
      <c r="T247" s="631"/>
      <c r="U247" s="631"/>
      <c r="V247" s="631"/>
      <c r="W247" s="631"/>
      <c r="X247" s="631"/>
      <c r="Y247" s="631"/>
      <c r="Z247" s="631"/>
      <c r="AA247" s="62"/>
      <c r="AB247" s="62"/>
      <c r="AC247" s="62"/>
    </row>
    <row r="248" spans="1:68" ht="14.25" hidden="1" customHeight="1" x14ac:dyDescent="0.25">
      <c r="A248" s="615" t="s">
        <v>129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3"/>
      <c r="AB248" s="63"/>
      <c r="AC248" s="63"/>
    </row>
    <row r="249" spans="1:68" ht="27" hidden="1" customHeight="1" x14ac:dyDescent="0.25">
      <c r="A249" s="60" t="s">
        <v>426</v>
      </c>
      <c r="B249" s="60" t="s">
        <v>427</v>
      </c>
      <c r="C249" s="34">
        <v>4301011450</v>
      </c>
      <c r="D249" s="616">
        <v>4680115881402</v>
      </c>
      <c r="E249" s="616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134</v>
      </c>
      <c r="L249" s="35" t="s">
        <v>46</v>
      </c>
      <c r="M249" s="36" t="s">
        <v>133</v>
      </c>
      <c r="N249" s="36"/>
      <c r="O249" s="35">
        <v>55</v>
      </c>
      <c r="P249" s="7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8"/>
      <c r="R249" s="618"/>
      <c r="S249" s="618"/>
      <c r="T249" s="6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428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429</v>
      </c>
      <c r="B250" s="60" t="s">
        <v>430</v>
      </c>
      <c r="C250" s="34">
        <v>4301011768</v>
      </c>
      <c r="D250" s="616">
        <v>4680115881396</v>
      </c>
      <c r="E250" s="616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133</v>
      </c>
      <c r="N250" s="36"/>
      <c r="O250" s="35">
        <v>55</v>
      </c>
      <c r="P250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8"/>
      <c r="R250" s="618"/>
      <c r="S250" s="618"/>
      <c r="T250" s="6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428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15" t="s">
        <v>166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3"/>
      <c r="AB253" s="63"/>
      <c r="AC253" s="63"/>
    </row>
    <row r="254" spans="1:68" ht="16.5" hidden="1" customHeight="1" x14ac:dyDescent="0.25">
      <c r="A254" s="60" t="s">
        <v>431</v>
      </c>
      <c r="B254" s="60" t="s">
        <v>432</v>
      </c>
      <c r="C254" s="34">
        <v>4301020261</v>
      </c>
      <c r="D254" s="616">
        <v>4680115882935</v>
      </c>
      <c r="E254" s="616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134</v>
      </c>
      <c r="L254" s="35" t="s">
        <v>46</v>
      </c>
      <c r="M254" s="36" t="s">
        <v>133</v>
      </c>
      <c r="N254" s="36"/>
      <c r="O254" s="35">
        <v>50</v>
      </c>
      <c r="P254" s="7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8"/>
      <c r="R254" s="618"/>
      <c r="S254" s="618"/>
      <c r="T254" s="6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433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434</v>
      </c>
      <c r="B255" s="60" t="s">
        <v>435</v>
      </c>
      <c r="C255" s="34">
        <v>4301020220</v>
      </c>
      <c r="D255" s="616">
        <v>4680115880764</v>
      </c>
      <c r="E255" s="616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133</v>
      </c>
      <c r="N255" s="36"/>
      <c r="O255" s="35">
        <v>50</v>
      </c>
      <c r="P255" s="7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8"/>
      <c r="R255" s="618"/>
      <c r="S255" s="618"/>
      <c r="T255" s="61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433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3"/>
      <c r="B256" s="623"/>
      <c r="C256" s="623"/>
      <c r="D256" s="623"/>
      <c r="E256" s="623"/>
      <c r="F256" s="623"/>
      <c r="G256" s="623"/>
      <c r="H256" s="623"/>
      <c r="I256" s="623"/>
      <c r="J256" s="623"/>
      <c r="K256" s="623"/>
      <c r="L256" s="623"/>
      <c r="M256" s="623"/>
      <c r="N256" s="623"/>
      <c r="O256" s="624"/>
      <c r="P256" s="620" t="s">
        <v>40</v>
      </c>
      <c r="Q256" s="621"/>
      <c r="R256" s="621"/>
      <c r="S256" s="621"/>
      <c r="T256" s="621"/>
      <c r="U256" s="621"/>
      <c r="V256" s="622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3"/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4"/>
      <c r="P257" s="620" t="s">
        <v>40</v>
      </c>
      <c r="Q257" s="621"/>
      <c r="R257" s="621"/>
      <c r="S257" s="621"/>
      <c r="T257" s="621"/>
      <c r="U257" s="621"/>
      <c r="V257" s="622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15" t="s">
        <v>77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3"/>
      <c r="AB258" s="63"/>
      <c r="AC258" s="63"/>
    </row>
    <row r="259" spans="1:68" ht="27" hidden="1" customHeight="1" x14ac:dyDescent="0.25">
      <c r="A259" s="60" t="s">
        <v>436</v>
      </c>
      <c r="B259" s="60" t="s">
        <v>437</v>
      </c>
      <c r="C259" s="34">
        <v>4301031224</v>
      </c>
      <c r="D259" s="616">
        <v>4680115882683</v>
      </c>
      <c r="E259" s="616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141</v>
      </c>
      <c r="L259" s="35" t="s">
        <v>46</v>
      </c>
      <c r="M259" s="36" t="s">
        <v>81</v>
      </c>
      <c r="N259" s="36"/>
      <c r="O259" s="35">
        <v>40</v>
      </c>
      <c r="P259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8"/>
      <c r="R259" s="618"/>
      <c r="S259" s="618"/>
      <c r="T259" s="619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32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438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3">IFERROR(X259*I259/H259,"0")</f>
        <v>0</v>
      </c>
      <c r="BN259" s="75">
        <f t="shared" ref="BN259:BN266" si="34">IFERROR(Y259*I259/H259,"0")</f>
        <v>0</v>
      </c>
      <c r="BO259" s="75">
        <f t="shared" ref="BO259:BO266" si="35">IFERROR(1/J259*(X259/H259),"0")</f>
        <v>0</v>
      </c>
      <c r="BP259" s="75">
        <f t="shared" ref="BP259:BP266" si="36">IFERROR(1/J259*(Y259/H259),"0")</f>
        <v>0</v>
      </c>
    </row>
    <row r="260" spans="1:68" ht="27" hidden="1" customHeight="1" x14ac:dyDescent="0.25">
      <c r="A260" s="60" t="s">
        <v>439</v>
      </c>
      <c r="B260" s="60" t="s">
        <v>440</v>
      </c>
      <c r="C260" s="34">
        <v>4301031230</v>
      </c>
      <c r="D260" s="616">
        <v>4680115882690</v>
      </c>
      <c r="E260" s="616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141</v>
      </c>
      <c r="L260" s="35" t="s">
        <v>46</v>
      </c>
      <c r="M260" s="36" t="s">
        <v>81</v>
      </c>
      <c r="N260" s="36"/>
      <c r="O260" s="35">
        <v>40</v>
      </c>
      <c r="P260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8"/>
      <c r="R260" s="618"/>
      <c r="S260" s="618"/>
      <c r="T260" s="619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2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0</v>
      </c>
      <c r="BN260" s="75">
        <f t="shared" si="34"/>
        <v>0</v>
      </c>
      <c r="BO260" s="75">
        <f t="shared" si="35"/>
        <v>0</v>
      </c>
      <c r="BP260" s="75">
        <f t="shared" si="36"/>
        <v>0</v>
      </c>
    </row>
    <row r="261" spans="1:68" ht="27" hidden="1" customHeight="1" x14ac:dyDescent="0.25">
      <c r="A261" s="60" t="s">
        <v>442</v>
      </c>
      <c r="B261" s="60" t="s">
        <v>443</v>
      </c>
      <c r="C261" s="34">
        <v>4301031220</v>
      </c>
      <c r="D261" s="616">
        <v>4680115882669</v>
      </c>
      <c r="E261" s="616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141</v>
      </c>
      <c r="L261" s="35" t="s">
        <v>46</v>
      </c>
      <c r="M261" s="36" t="s">
        <v>81</v>
      </c>
      <c r="N261" s="36"/>
      <c r="O261" s="35">
        <v>40</v>
      </c>
      <c r="P261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8"/>
      <c r="R261" s="618"/>
      <c r="S261" s="618"/>
      <c r="T261" s="619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2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0</v>
      </c>
      <c r="BN261" s="75">
        <f t="shared" si="34"/>
        <v>0</v>
      </c>
      <c r="BO261" s="75">
        <f t="shared" si="35"/>
        <v>0</v>
      </c>
      <c r="BP261" s="75">
        <f t="shared" si="36"/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4301031221</v>
      </c>
      <c r="D262" s="616">
        <v>4680115882676</v>
      </c>
      <c r="E262" s="616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141</v>
      </c>
      <c r="L262" s="35" t="s">
        <v>46</v>
      </c>
      <c r="M262" s="36" t="s">
        <v>81</v>
      </c>
      <c r="N262" s="36"/>
      <c r="O262" s="35">
        <v>40</v>
      </c>
      <c r="P262" s="7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8"/>
      <c r="R262" s="618"/>
      <c r="S262" s="618"/>
      <c r="T262" s="619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2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0</v>
      </c>
      <c r="BN262" s="75">
        <f t="shared" si="34"/>
        <v>0</v>
      </c>
      <c r="BO262" s="75">
        <f t="shared" si="35"/>
        <v>0</v>
      </c>
      <c r="BP262" s="75">
        <f t="shared" si="36"/>
        <v>0</v>
      </c>
    </row>
    <row r="263" spans="1:68" ht="27" hidden="1" customHeight="1" x14ac:dyDescent="0.25">
      <c r="A263" s="60" t="s">
        <v>448</v>
      </c>
      <c r="B263" s="60" t="s">
        <v>449</v>
      </c>
      <c r="C263" s="34">
        <v>4301031223</v>
      </c>
      <c r="D263" s="616">
        <v>4680115884014</v>
      </c>
      <c r="E263" s="616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7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8"/>
      <c r="R263" s="618"/>
      <c r="S263" s="618"/>
      <c r="T263" s="619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2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438</v>
      </c>
      <c r="AG263" s="75"/>
      <c r="AJ263" s="79" t="s">
        <v>46</v>
      </c>
      <c r="AK263" s="79">
        <v>0</v>
      </c>
      <c r="BB263" s="338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450</v>
      </c>
      <c r="B264" s="60" t="s">
        <v>451</v>
      </c>
      <c r="C264" s="34">
        <v>4301031222</v>
      </c>
      <c r="D264" s="616">
        <v>4680115884007</v>
      </c>
      <c r="E264" s="616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8"/>
      <c r="R264" s="618"/>
      <c r="S264" s="618"/>
      <c r="T264" s="619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2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441</v>
      </c>
      <c r="AG264" s="75"/>
      <c r="AJ264" s="79" t="s">
        <v>46</v>
      </c>
      <c r="AK264" s="79">
        <v>0</v>
      </c>
      <c r="BB264" s="340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27" hidden="1" customHeight="1" x14ac:dyDescent="0.25">
      <c r="A265" s="60" t="s">
        <v>452</v>
      </c>
      <c r="B265" s="60" t="s">
        <v>453</v>
      </c>
      <c r="C265" s="34">
        <v>4301031229</v>
      </c>
      <c r="D265" s="616">
        <v>4680115884038</v>
      </c>
      <c r="E265" s="616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8"/>
      <c r="R265" s="618"/>
      <c r="S265" s="618"/>
      <c r="T265" s="619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2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444</v>
      </c>
      <c r="AG265" s="75"/>
      <c r="AJ265" s="79" t="s">
        <v>46</v>
      </c>
      <c r="AK265" s="79">
        <v>0</v>
      </c>
      <c r="BB265" s="342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454</v>
      </c>
      <c r="B266" s="60" t="s">
        <v>455</v>
      </c>
      <c r="C266" s="34">
        <v>4301031225</v>
      </c>
      <c r="D266" s="616">
        <v>4680115884021</v>
      </c>
      <c r="E266" s="616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8"/>
      <c r="R266" s="618"/>
      <c r="S266" s="618"/>
      <c r="T266" s="61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2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447</v>
      </c>
      <c r="AG266" s="75"/>
      <c r="AJ266" s="79" t="s">
        <v>46</v>
      </c>
      <c r="AK266" s="79">
        <v>0</v>
      </c>
      <c r="BB266" s="344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idden="1" x14ac:dyDescent="0.2">
      <c r="A267" s="623"/>
      <c r="B267" s="623"/>
      <c r="C267" s="623"/>
      <c r="D267" s="623"/>
      <c r="E267" s="623"/>
      <c r="F267" s="623"/>
      <c r="G267" s="623"/>
      <c r="H267" s="623"/>
      <c r="I267" s="623"/>
      <c r="J267" s="623"/>
      <c r="K267" s="623"/>
      <c r="L267" s="623"/>
      <c r="M267" s="623"/>
      <c r="N267" s="623"/>
      <c r="O267" s="624"/>
      <c r="P267" s="620" t="s">
        <v>40</v>
      </c>
      <c r="Q267" s="621"/>
      <c r="R267" s="621"/>
      <c r="S267" s="621"/>
      <c r="T267" s="621"/>
      <c r="U267" s="621"/>
      <c r="V267" s="622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15" t="s">
        <v>86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3"/>
      <c r="AB269" s="63"/>
      <c r="AC269" s="63"/>
    </row>
    <row r="270" spans="1:68" ht="27" hidden="1" customHeight="1" x14ac:dyDescent="0.25">
      <c r="A270" s="60" t="s">
        <v>456</v>
      </c>
      <c r="B270" s="60" t="s">
        <v>457</v>
      </c>
      <c r="C270" s="34">
        <v>4301051408</v>
      </c>
      <c r="D270" s="616">
        <v>4680115881594</v>
      </c>
      <c r="E270" s="616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134</v>
      </c>
      <c r="L270" s="35" t="s">
        <v>46</v>
      </c>
      <c r="M270" s="36" t="s">
        <v>90</v>
      </c>
      <c r="N270" s="36"/>
      <c r="O270" s="35">
        <v>40</v>
      </c>
      <c r="P270" s="7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8"/>
      <c r="R270" s="618"/>
      <c r="S270" s="618"/>
      <c r="T270" s="6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7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458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8">IFERROR(X270*I270/H270,"0")</f>
        <v>0</v>
      </c>
      <c r="BN270" s="75">
        <f t="shared" ref="BN270:BN281" si="39">IFERROR(Y270*I270/H270,"0")</f>
        <v>0</v>
      </c>
      <c r="BO270" s="75">
        <f t="shared" ref="BO270:BO281" si="40">IFERROR(1/J270*(X270/H270),"0")</f>
        <v>0</v>
      </c>
      <c r="BP270" s="75">
        <f t="shared" ref="BP270:BP281" si="41">IFERROR(1/J270*(Y270/H270),"0")</f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4301051411</v>
      </c>
      <c r="D271" s="616">
        <v>4680115881617</v>
      </c>
      <c r="E271" s="616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134</v>
      </c>
      <c r="L271" s="35" t="s">
        <v>46</v>
      </c>
      <c r="M271" s="36" t="s">
        <v>90</v>
      </c>
      <c r="N271" s="36"/>
      <c r="O271" s="35">
        <v>40</v>
      </c>
      <c r="P271" s="7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8"/>
      <c r="R271" s="618"/>
      <c r="S271" s="618"/>
      <c r="T271" s="6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462</v>
      </c>
      <c r="B272" s="60" t="s">
        <v>463</v>
      </c>
      <c r="C272" s="34">
        <v>4301051656</v>
      </c>
      <c r="D272" s="616">
        <v>4680115880573</v>
      </c>
      <c r="E272" s="616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134</v>
      </c>
      <c r="L272" s="35" t="s">
        <v>46</v>
      </c>
      <c r="M272" s="36" t="s">
        <v>90</v>
      </c>
      <c r="N272" s="36"/>
      <c r="O272" s="35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8"/>
      <c r="R272" s="618"/>
      <c r="S272" s="618"/>
      <c r="T272" s="6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465</v>
      </c>
      <c r="B273" s="60" t="s">
        <v>466</v>
      </c>
      <c r="C273" s="34">
        <v>4301051407</v>
      </c>
      <c r="D273" s="616">
        <v>4680115882195</v>
      </c>
      <c r="E273" s="616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7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8"/>
      <c r="R273" s="618"/>
      <c r="S273" s="618"/>
      <c r="T273" s="6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458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hidden="1" customHeight="1" x14ac:dyDescent="0.25">
      <c r="A274" s="60" t="s">
        <v>467</v>
      </c>
      <c r="B274" s="60" t="s">
        <v>468</v>
      </c>
      <c r="C274" s="34">
        <v>4301051752</v>
      </c>
      <c r="D274" s="616">
        <v>4680115882607</v>
      </c>
      <c r="E274" s="616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7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8"/>
      <c r="R274" s="618"/>
      <c r="S274" s="618"/>
      <c r="T274" s="6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4301052143</v>
      </c>
      <c r="D275" s="616">
        <v>4680115882607</v>
      </c>
      <c r="E275" s="616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141</v>
      </c>
      <c r="L275" s="35" t="s">
        <v>46</v>
      </c>
      <c r="M275" s="36" t="s">
        <v>90</v>
      </c>
      <c r="N275" s="36"/>
      <c r="O275" s="35">
        <v>45</v>
      </c>
      <c r="P275" s="7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8"/>
      <c r="R275" s="618"/>
      <c r="S275" s="618"/>
      <c r="T275" s="6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7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471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0</v>
      </c>
      <c r="BN275" s="75">
        <f t="shared" si="39"/>
        <v>0</v>
      </c>
      <c r="BO275" s="75">
        <f t="shared" si="40"/>
        <v>0</v>
      </c>
      <c r="BP275" s="75">
        <f t="shared" si="41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4301051666</v>
      </c>
      <c r="D276" s="616">
        <v>4680115880092</v>
      </c>
      <c r="E276" s="61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8"/>
      <c r="R276" s="618"/>
      <c r="S276" s="618"/>
      <c r="T276" s="6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7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464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0</v>
      </c>
      <c r="BN276" s="75">
        <f t="shared" si="39"/>
        <v>0</v>
      </c>
      <c r="BO276" s="75">
        <f t="shared" si="40"/>
        <v>0</v>
      </c>
      <c r="BP276" s="75">
        <f t="shared" si="41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4301052214</v>
      </c>
      <c r="D277" s="616">
        <v>4680115889064</v>
      </c>
      <c r="E277" s="616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134</v>
      </c>
      <c r="L277" s="35" t="s">
        <v>46</v>
      </c>
      <c r="M277" s="36" t="s">
        <v>90</v>
      </c>
      <c r="N277" s="36"/>
      <c r="O277" s="35">
        <v>45</v>
      </c>
      <c r="P277" s="7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8"/>
      <c r="R277" s="618"/>
      <c r="S277" s="618"/>
      <c r="T277" s="61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471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4301051668</v>
      </c>
      <c r="D278" s="616">
        <v>4680115880221</v>
      </c>
      <c r="E278" s="61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7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8"/>
      <c r="R278" s="618"/>
      <c r="S278" s="618"/>
      <c r="T278" s="61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7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464</v>
      </c>
      <c r="AG278" s="75"/>
      <c r="AJ278" s="79" t="s">
        <v>46</v>
      </c>
      <c r="AK278" s="79">
        <v>0</v>
      </c>
      <c r="BB278" s="362" t="s">
        <v>67</v>
      </c>
      <c r="BM278" s="75">
        <f t="shared" si="38"/>
        <v>0</v>
      </c>
      <c r="BN278" s="75">
        <f t="shared" si="39"/>
        <v>0</v>
      </c>
      <c r="BO278" s="75">
        <f t="shared" si="40"/>
        <v>0</v>
      </c>
      <c r="BP278" s="75">
        <f t="shared" si="41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4301051945</v>
      </c>
      <c r="D279" s="616">
        <v>4680115880504</v>
      </c>
      <c r="E279" s="616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7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8"/>
      <c r="R279" s="618"/>
      <c r="S279" s="618"/>
      <c r="T279" s="61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7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480</v>
      </c>
      <c r="AG279" s="75"/>
      <c r="AJ279" s="79" t="s">
        <v>46</v>
      </c>
      <c r="AK279" s="79">
        <v>0</v>
      </c>
      <c r="BB279" s="364" t="s">
        <v>67</v>
      </c>
      <c r="BM279" s="75">
        <f t="shared" si="38"/>
        <v>0</v>
      </c>
      <c r="BN279" s="75">
        <f t="shared" si="39"/>
        <v>0</v>
      </c>
      <c r="BO279" s="75">
        <f t="shared" si="40"/>
        <v>0</v>
      </c>
      <c r="BP279" s="75">
        <f t="shared" si="41"/>
        <v>0</v>
      </c>
    </row>
    <row r="280" spans="1:68" ht="27" hidden="1" customHeight="1" x14ac:dyDescent="0.25">
      <c r="A280" s="60" t="s">
        <v>481</v>
      </c>
      <c r="B280" s="60" t="s">
        <v>482</v>
      </c>
      <c r="C280" s="34">
        <v>4301051410</v>
      </c>
      <c r="D280" s="616">
        <v>4680115882164</v>
      </c>
      <c r="E280" s="616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8"/>
      <c r="R280" s="618"/>
      <c r="S280" s="618"/>
      <c r="T280" s="6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7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483</v>
      </c>
      <c r="AG280" s="75"/>
      <c r="AJ280" s="79" t="s">
        <v>46</v>
      </c>
      <c r="AK280" s="79">
        <v>0</v>
      </c>
      <c r="BB280" s="366" t="s">
        <v>67</v>
      </c>
      <c r="BM280" s="75">
        <f t="shared" si="38"/>
        <v>0</v>
      </c>
      <c r="BN280" s="75">
        <f t="shared" si="39"/>
        <v>0</v>
      </c>
      <c r="BO280" s="75">
        <f t="shared" si="40"/>
        <v>0</v>
      </c>
      <c r="BP280" s="75">
        <f t="shared" si="41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4301052180</v>
      </c>
      <c r="D281" s="616">
        <v>4680115888340</v>
      </c>
      <c r="E281" s="616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75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8"/>
      <c r="R281" s="618"/>
      <c r="S281" s="618"/>
      <c r="T281" s="6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7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486</v>
      </c>
      <c r="AG281" s="75"/>
      <c r="AJ281" s="79" t="s">
        <v>46</v>
      </c>
      <c r="AK281" s="79">
        <v>0</v>
      </c>
      <c r="BB281" s="368" t="s">
        <v>67</v>
      </c>
      <c r="BM281" s="75">
        <f t="shared" si="38"/>
        <v>0</v>
      </c>
      <c r="BN281" s="75">
        <f t="shared" si="39"/>
        <v>0</v>
      </c>
      <c r="BO281" s="75">
        <f t="shared" si="40"/>
        <v>0</v>
      </c>
      <c r="BP281" s="75">
        <f t="shared" si="41"/>
        <v>0</v>
      </c>
    </row>
    <row r="282" spans="1:68" hidden="1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3"/>
      <c r="B283" s="623"/>
      <c r="C283" s="623"/>
      <c r="D283" s="623"/>
      <c r="E283" s="623"/>
      <c r="F283" s="623"/>
      <c r="G283" s="623"/>
      <c r="H283" s="623"/>
      <c r="I283" s="623"/>
      <c r="J283" s="623"/>
      <c r="K283" s="623"/>
      <c r="L283" s="623"/>
      <c r="M283" s="623"/>
      <c r="N283" s="623"/>
      <c r="O283" s="624"/>
      <c r="P283" s="620" t="s">
        <v>40</v>
      </c>
      <c r="Q283" s="621"/>
      <c r="R283" s="621"/>
      <c r="S283" s="621"/>
      <c r="T283" s="621"/>
      <c r="U283" s="621"/>
      <c r="V283" s="622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15" t="s">
        <v>183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4301060463</v>
      </c>
      <c r="D285" s="616">
        <v>4680115880818</v>
      </c>
      <c r="E285" s="61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8"/>
      <c r="R285" s="618"/>
      <c r="S285" s="618"/>
      <c r="T285" s="61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489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4301060389</v>
      </c>
      <c r="D286" s="616">
        <v>4680115880801</v>
      </c>
      <c r="E286" s="6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8"/>
      <c r="R286" s="618"/>
      <c r="S286" s="618"/>
      <c r="T286" s="619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492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3"/>
      <c r="B287" s="623"/>
      <c r="C287" s="623"/>
      <c r="D287" s="623"/>
      <c r="E287" s="623"/>
      <c r="F287" s="623"/>
      <c r="G287" s="623"/>
      <c r="H287" s="623"/>
      <c r="I287" s="623"/>
      <c r="J287" s="623"/>
      <c r="K287" s="623"/>
      <c r="L287" s="623"/>
      <c r="M287" s="623"/>
      <c r="N287" s="623"/>
      <c r="O287" s="624"/>
      <c r="P287" s="620" t="s">
        <v>40</v>
      </c>
      <c r="Q287" s="621"/>
      <c r="R287" s="621"/>
      <c r="S287" s="621"/>
      <c r="T287" s="621"/>
      <c r="U287" s="621"/>
      <c r="V287" s="622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3"/>
      <c r="B288" s="623"/>
      <c r="C288" s="623"/>
      <c r="D288" s="623"/>
      <c r="E288" s="623"/>
      <c r="F288" s="623"/>
      <c r="G288" s="623"/>
      <c r="H288" s="623"/>
      <c r="I288" s="623"/>
      <c r="J288" s="623"/>
      <c r="K288" s="623"/>
      <c r="L288" s="623"/>
      <c r="M288" s="623"/>
      <c r="N288" s="623"/>
      <c r="O288" s="624"/>
      <c r="P288" s="620" t="s">
        <v>40</v>
      </c>
      <c r="Q288" s="621"/>
      <c r="R288" s="621"/>
      <c r="S288" s="621"/>
      <c r="T288" s="621"/>
      <c r="U288" s="621"/>
      <c r="V288" s="622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1" t="s">
        <v>493</v>
      </c>
      <c r="B289" s="631"/>
      <c r="C289" s="631"/>
      <c r="D289" s="631"/>
      <c r="E289" s="631"/>
      <c r="F289" s="631"/>
      <c r="G289" s="631"/>
      <c r="H289" s="631"/>
      <c r="I289" s="631"/>
      <c r="J289" s="631"/>
      <c r="K289" s="631"/>
      <c r="L289" s="631"/>
      <c r="M289" s="631"/>
      <c r="N289" s="631"/>
      <c r="O289" s="631"/>
      <c r="P289" s="631"/>
      <c r="Q289" s="631"/>
      <c r="R289" s="631"/>
      <c r="S289" s="631"/>
      <c r="T289" s="631"/>
      <c r="U289" s="631"/>
      <c r="V289" s="631"/>
      <c r="W289" s="631"/>
      <c r="X289" s="631"/>
      <c r="Y289" s="631"/>
      <c r="Z289" s="631"/>
      <c r="AA289" s="62"/>
      <c r="AB289" s="62"/>
      <c r="AC289" s="62"/>
    </row>
    <row r="290" spans="1:68" ht="14.25" hidden="1" customHeight="1" x14ac:dyDescent="0.25">
      <c r="A290" s="615" t="s">
        <v>129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3"/>
      <c r="AB290" s="63"/>
      <c r="AC290" s="63"/>
    </row>
    <row r="291" spans="1:68" ht="27" hidden="1" customHeight="1" x14ac:dyDescent="0.25">
      <c r="A291" s="60" t="s">
        <v>494</v>
      </c>
      <c r="B291" s="60" t="s">
        <v>495</v>
      </c>
      <c r="C291" s="34">
        <v>4301011826</v>
      </c>
      <c r="D291" s="616">
        <v>4680115884137</v>
      </c>
      <c r="E291" s="616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134</v>
      </c>
      <c r="L291" s="35" t="s">
        <v>46</v>
      </c>
      <c r="M291" s="36" t="s">
        <v>133</v>
      </c>
      <c r="N291" s="36"/>
      <c r="O291" s="35">
        <v>55</v>
      </c>
      <c r="P291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8"/>
      <c r="R291" s="618"/>
      <c r="S291" s="618"/>
      <c r="T291" s="6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2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3">IFERROR(X291*I291/H291,"0")</f>
        <v>0</v>
      </c>
      <c r="BN291" s="75">
        <f t="shared" ref="BN291:BN297" si="44">IFERROR(Y291*I291/H291,"0")</f>
        <v>0</v>
      </c>
      <c r="BO291" s="75">
        <f t="shared" ref="BO291:BO297" si="45">IFERROR(1/J291*(X291/H291),"0")</f>
        <v>0</v>
      </c>
      <c r="BP291" s="75">
        <f t="shared" ref="BP291:BP297" si="46">IFERROR(1/J291*(Y291/H291),"0")</f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4301011724</v>
      </c>
      <c r="D292" s="616">
        <v>4680115884236</v>
      </c>
      <c r="E292" s="616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134</v>
      </c>
      <c r="L292" s="35" t="s">
        <v>46</v>
      </c>
      <c r="M292" s="36" t="s">
        <v>133</v>
      </c>
      <c r="N292" s="36"/>
      <c r="O292" s="35">
        <v>55</v>
      </c>
      <c r="P292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8"/>
      <c r="R292" s="618"/>
      <c r="S292" s="618"/>
      <c r="T292" s="61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4301011721</v>
      </c>
      <c r="D293" s="616">
        <v>4680115884175</v>
      </c>
      <c r="E293" s="616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134</v>
      </c>
      <c r="L293" s="35" t="s">
        <v>46</v>
      </c>
      <c r="M293" s="36" t="s">
        <v>133</v>
      </c>
      <c r="N293" s="36"/>
      <c r="O293" s="35">
        <v>55</v>
      </c>
      <c r="P293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8"/>
      <c r="R293" s="618"/>
      <c r="S293" s="618"/>
      <c r="T293" s="619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t="27" hidden="1" customHeight="1" x14ac:dyDescent="0.25">
      <c r="A294" s="60" t="s">
        <v>502</v>
      </c>
      <c r="B294" s="60" t="s">
        <v>503</v>
      </c>
      <c r="C294" s="34">
        <v>4301011824</v>
      </c>
      <c r="D294" s="616">
        <v>4680115884144</v>
      </c>
      <c r="E294" s="616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141</v>
      </c>
      <c r="L294" s="35" t="s">
        <v>46</v>
      </c>
      <c r="M294" s="36" t="s">
        <v>133</v>
      </c>
      <c r="N294" s="36"/>
      <c r="O294" s="35">
        <v>55</v>
      </c>
      <c r="P294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8"/>
      <c r="R294" s="618"/>
      <c r="S294" s="618"/>
      <c r="T294" s="619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2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496</v>
      </c>
      <c r="AG294" s="75"/>
      <c r="AJ294" s="79" t="s">
        <v>46</v>
      </c>
      <c r="AK294" s="79">
        <v>0</v>
      </c>
      <c r="BB294" s="380" t="s">
        <v>67</v>
      </c>
      <c r="BM294" s="75">
        <f t="shared" si="43"/>
        <v>0</v>
      </c>
      <c r="BN294" s="75">
        <f t="shared" si="44"/>
        <v>0</v>
      </c>
      <c r="BO294" s="75">
        <f t="shared" si="45"/>
        <v>0</v>
      </c>
      <c r="BP294" s="75">
        <f t="shared" si="46"/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4301012149</v>
      </c>
      <c r="D295" s="616">
        <v>4680115886551</v>
      </c>
      <c r="E295" s="616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141</v>
      </c>
      <c r="L295" s="35" t="s">
        <v>46</v>
      </c>
      <c r="M295" s="36" t="s">
        <v>133</v>
      </c>
      <c r="N295" s="36"/>
      <c r="O295" s="35">
        <v>55</v>
      </c>
      <c r="P29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8"/>
      <c r="R295" s="618"/>
      <c r="S295" s="618"/>
      <c r="T295" s="61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2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506</v>
      </c>
      <c r="AG295" s="75"/>
      <c r="AJ295" s="79" t="s">
        <v>46</v>
      </c>
      <c r="AK295" s="79">
        <v>0</v>
      </c>
      <c r="BB295" s="382" t="s">
        <v>67</v>
      </c>
      <c r="BM295" s="75">
        <f t="shared" si="43"/>
        <v>0</v>
      </c>
      <c r="BN295" s="75">
        <f t="shared" si="44"/>
        <v>0</v>
      </c>
      <c r="BO295" s="75">
        <f t="shared" si="45"/>
        <v>0</v>
      </c>
      <c r="BP295" s="75">
        <f t="shared" si="46"/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4301012228</v>
      </c>
      <c r="D296" s="616">
        <v>4680115887282</v>
      </c>
      <c r="E296" s="616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133</v>
      </c>
      <c r="N296" s="36"/>
      <c r="O296" s="35">
        <v>55</v>
      </c>
      <c r="P29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8"/>
      <c r="R296" s="618"/>
      <c r="S296" s="618"/>
      <c r="T296" s="61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2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509</v>
      </c>
      <c r="AG296" s="75"/>
      <c r="AJ296" s="79" t="s">
        <v>46</v>
      </c>
      <c r="AK296" s="79">
        <v>0</v>
      </c>
      <c r="BB296" s="384" t="s">
        <v>67</v>
      </c>
      <c r="BM296" s="75">
        <f t="shared" si="43"/>
        <v>0</v>
      </c>
      <c r="BN296" s="75">
        <f t="shared" si="44"/>
        <v>0</v>
      </c>
      <c r="BO296" s="75">
        <f t="shared" si="45"/>
        <v>0</v>
      </c>
      <c r="BP296" s="75">
        <f t="shared" si="46"/>
        <v>0</v>
      </c>
    </row>
    <row r="297" spans="1:68" ht="27" hidden="1" customHeight="1" x14ac:dyDescent="0.25">
      <c r="A297" s="60" t="s">
        <v>510</v>
      </c>
      <c r="B297" s="60" t="s">
        <v>511</v>
      </c>
      <c r="C297" s="34">
        <v>4301011722</v>
      </c>
      <c r="D297" s="616">
        <v>4680115884205</v>
      </c>
      <c r="E297" s="61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141</v>
      </c>
      <c r="L297" s="35" t="s">
        <v>46</v>
      </c>
      <c r="M297" s="36" t="s">
        <v>133</v>
      </c>
      <c r="N297" s="36"/>
      <c r="O297" s="35">
        <v>55</v>
      </c>
      <c r="P29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8"/>
      <c r="R297" s="618"/>
      <c r="S297" s="618"/>
      <c r="T297" s="61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2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354</v>
      </c>
      <c r="AG297" s="75"/>
      <c r="AJ297" s="79" t="s">
        <v>46</v>
      </c>
      <c r="AK297" s="79">
        <v>0</v>
      </c>
      <c r="BB297" s="386" t="s">
        <v>67</v>
      </c>
      <c r="BM297" s="75">
        <f t="shared" si="43"/>
        <v>0</v>
      </c>
      <c r="BN297" s="75">
        <f t="shared" si="44"/>
        <v>0</v>
      </c>
      <c r="BO297" s="75">
        <f t="shared" si="45"/>
        <v>0</v>
      </c>
      <c r="BP297" s="75">
        <f t="shared" si="46"/>
        <v>0</v>
      </c>
    </row>
    <row r="298" spans="1:68" hidden="1" x14ac:dyDescent="0.2">
      <c r="A298" s="623"/>
      <c r="B298" s="623"/>
      <c r="C298" s="623"/>
      <c r="D298" s="623"/>
      <c r="E298" s="623"/>
      <c r="F298" s="623"/>
      <c r="G298" s="623"/>
      <c r="H298" s="623"/>
      <c r="I298" s="623"/>
      <c r="J298" s="623"/>
      <c r="K298" s="623"/>
      <c r="L298" s="623"/>
      <c r="M298" s="623"/>
      <c r="N298" s="623"/>
      <c r="O298" s="624"/>
      <c r="P298" s="620" t="s">
        <v>40</v>
      </c>
      <c r="Q298" s="621"/>
      <c r="R298" s="621"/>
      <c r="S298" s="621"/>
      <c r="T298" s="621"/>
      <c r="U298" s="621"/>
      <c r="V298" s="622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3"/>
      <c r="B299" s="623"/>
      <c r="C299" s="623"/>
      <c r="D299" s="623"/>
      <c r="E299" s="623"/>
      <c r="F299" s="623"/>
      <c r="G299" s="623"/>
      <c r="H299" s="623"/>
      <c r="I299" s="623"/>
      <c r="J299" s="623"/>
      <c r="K299" s="623"/>
      <c r="L299" s="623"/>
      <c r="M299" s="623"/>
      <c r="N299" s="623"/>
      <c r="O299" s="624"/>
      <c r="P299" s="620" t="s">
        <v>40</v>
      </c>
      <c r="Q299" s="621"/>
      <c r="R299" s="621"/>
      <c r="S299" s="621"/>
      <c r="T299" s="621"/>
      <c r="U299" s="621"/>
      <c r="V299" s="622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15" t="s">
        <v>166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3"/>
      <c r="AB300" s="63"/>
      <c r="AC300" s="63"/>
    </row>
    <row r="301" spans="1:68" ht="27" hidden="1" customHeight="1" x14ac:dyDescent="0.25">
      <c r="A301" s="60" t="s">
        <v>512</v>
      </c>
      <c r="B301" s="60" t="s">
        <v>513</v>
      </c>
      <c r="C301" s="34">
        <v>4301020377</v>
      </c>
      <c r="D301" s="616">
        <v>4680115885981</v>
      </c>
      <c r="E301" s="616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8"/>
      <c r="R301" s="618"/>
      <c r="S301" s="618"/>
      <c r="T301" s="61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514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3"/>
      <c r="B302" s="623"/>
      <c r="C302" s="623"/>
      <c r="D302" s="623"/>
      <c r="E302" s="623"/>
      <c r="F302" s="623"/>
      <c r="G302" s="623"/>
      <c r="H302" s="623"/>
      <c r="I302" s="623"/>
      <c r="J302" s="623"/>
      <c r="K302" s="623"/>
      <c r="L302" s="623"/>
      <c r="M302" s="623"/>
      <c r="N302" s="623"/>
      <c r="O302" s="624"/>
      <c r="P302" s="620" t="s">
        <v>40</v>
      </c>
      <c r="Q302" s="621"/>
      <c r="R302" s="621"/>
      <c r="S302" s="621"/>
      <c r="T302" s="621"/>
      <c r="U302" s="621"/>
      <c r="V302" s="622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3"/>
      <c r="B303" s="623"/>
      <c r="C303" s="623"/>
      <c r="D303" s="623"/>
      <c r="E303" s="623"/>
      <c r="F303" s="623"/>
      <c r="G303" s="623"/>
      <c r="H303" s="623"/>
      <c r="I303" s="623"/>
      <c r="J303" s="623"/>
      <c r="K303" s="623"/>
      <c r="L303" s="623"/>
      <c r="M303" s="623"/>
      <c r="N303" s="623"/>
      <c r="O303" s="624"/>
      <c r="P303" s="620" t="s">
        <v>40</v>
      </c>
      <c r="Q303" s="621"/>
      <c r="R303" s="621"/>
      <c r="S303" s="621"/>
      <c r="T303" s="621"/>
      <c r="U303" s="621"/>
      <c r="V303" s="622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15" t="s">
        <v>515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3"/>
      <c r="AB304" s="63"/>
      <c r="AC304" s="63"/>
    </row>
    <row r="305" spans="1:68" ht="27" hidden="1" customHeight="1" x14ac:dyDescent="0.25">
      <c r="A305" s="60" t="s">
        <v>516</v>
      </c>
      <c r="B305" s="60" t="s">
        <v>517</v>
      </c>
      <c r="C305" s="34">
        <v>4301040362</v>
      </c>
      <c r="D305" s="616">
        <v>4680115886803</v>
      </c>
      <c r="E305" s="616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328</v>
      </c>
      <c r="L305" s="35" t="s">
        <v>46</v>
      </c>
      <c r="M305" s="36" t="s">
        <v>327</v>
      </c>
      <c r="N305" s="36"/>
      <c r="O305" s="35">
        <v>45</v>
      </c>
      <c r="P305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8"/>
      <c r="R305" s="618"/>
      <c r="S305" s="618"/>
      <c r="T305" s="619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518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3"/>
      <c r="B306" s="623"/>
      <c r="C306" s="623"/>
      <c r="D306" s="623"/>
      <c r="E306" s="623"/>
      <c r="F306" s="623"/>
      <c r="G306" s="623"/>
      <c r="H306" s="623"/>
      <c r="I306" s="623"/>
      <c r="J306" s="623"/>
      <c r="K306" s="623"/>
      <c r="L306" s="623"/>
      <c r="M306" s="623"/>
      <c r="N306" s="623"/>
      <c r="O306" s="624"/>
      <c r="P306" s="620" t="s">
        <v>40</v>
      </c>
      <c r="Q306" s="621"/>
      <c r="R306" s="621"/>
      <c r="S306" s="621"/>
      <c r="T306" s="621"/>
      <c r="U306" s="621"/>
      <c r="V306" s="622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3"/>
      <c r="B307" s="623"/>
      <c r="C307" s="623"/>
      <c r="D307" s="623"/>
      <c r="E307" s="623"/>
      <c r="F307" s="623"/>
      <c r="G307" s="623"/>
      <c r="H307" s="623"/>
      <c r="I307" s="623"/>
      <c r="J307" s="623"/>
      <c r="K307" s="623"/>
      <c r="L307" s="623"/>
      <c r="M307" s="623"/>
      <c r="N307" s="623"/>
      <c r="O307" s="624"/>
      <c r="P307" s="620" t="s">
        <v>40</v>
      </c>
      <c r="Q307" s="621"/>
      <c r="R307" s="621"/>
      <c r="S307" s="621"/>
      <c r="T307" s="621"/>
      <c r="U307" s="621"/>
      <c r="V307" s="622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15" t="s">
        <v>332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3"/>
      <c r="AB308" s="63"/>
      <c r="AC308" s="63"/>
    </row>
    <row r="309" spans="1:68" ht="27" hidden="1" customHeight="1" x14ac:dyDescent="0.25">
      <c r="A309" s="60" t="s">
        <v>519</v>
      </c>
      <c r="B309" s="60" t="s">
        <v>520</v>
      </c>
      <c r="C309" s="34">
        <v>4301041004</v>
      </c>
      <c r="D309" s="616">
        <v>4680115886704</v>
      </c>
      <c r="E309" s="616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328</v>
      </c>
      <c r="L309" s="35" t="s">
        <v>46</v>
      </c>
      <c r="M309" s="36" t="s">
        <v>327</v>
      </c>
      <c r="N309" s="36"/>
      <c r="O309" s="35">
        <v>90</v>
      </c>
      <c r="P309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8"/>
      <c r="R309" s="618"/>
      <c r="S309" s="618"/>
      <c r="T309" s="61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521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522</v>
      </c>
      <c r="B310" s="60" t="s">
        <v>523</v>
      </c>
      <c r="C310" s="34">
        <v>4301041008</v>
      </c>
      <c r="D310" s="616">
        <v>4680115886681</v>
      </c>
      <c r="E310" s="616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328</v>
      </c>
      <c r="L310" s="35" t="s">
        <v>46</v>
      </c>
      <c r="M310" s="36" t="s">
        <v>327</v>
      </c>
      <c r="N310" s="36"/>
      <c r="O310" s="35">
        <v>90</v>
      </c>
      <c r="P310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8"/>
      <c r="R310" s="618"/>
      <c r="S310" s="618"/>
      <c r="T310" s="61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521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524</v>
      </c>
      <c r="B311" s="60" t="s">
        <v>525</v>
      </c>
      <c r="C311" s="34">
        <v>4301041007</v>
      </c>
      <c r="D311" s="616">
        <v>4680115886735</v>
      </c>
      <c r="E311" s="616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328</v>
      </c>
      <c r="L311" s="35" t="s">
        <v>46</v>
      </c>
      <c r="M311" s="36" t="s">
        <v>327</v>
      </c>
      <c r="N311" s="36"/>
      <c r="O311" s="35">
        <v>90</v>
      </c>
      <c r="P311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8"/>
      <c r="R311" s="618"/>
      <c r="S311" s="618"/>
      <c r="T311" s="6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521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31" t="s">
        <v>526</v>
      </c>
      <c r="B314" s="631"/>
      <c r="C314" s="631"/>
      <c r="D314" s="631"/>
      <c r="E314" s="631"/>
      <c r="F314" s="631"/>
      <c r="G314" s="631"/>
      <c r="H314" s="631"/>
      <c r="I314" s="631"/>
      <c r="J314" s="631"/>
      <c r="K314" s="631"/>
      <c r="L314" s="631"/>
      <c r="M314" s="631"/>
      <c r="N314" s="631"/>
      <c r="O314" s="631"/>
      <c r="P314" s="631"/>
      <c r="Q314" s="631"/>
      <c r="R314" s="631"/>
      <c r="S314" s="631"/>
      <c r="T314" s="631"/>
      <c r="U314" s="631"/>
      <c r="V314" s="631"/>
      <c r="W314" s="631"/>
      <c r="X314" s="631"/>
      <c r="Y314" s="631"/>
      <c r="Z314" s="631"/>
      <c r="AA314" s="62"/>
      <c r="AB314" s="62"/>
      <c r="AC314" s="62"/>
    </row>
    <row r="315" spans="1:68" ht="14.25" hidden="1" customHeight="1" x14ac:dyDescent="0.25">
      <c r="A315" s="615" t="s">
        <v>129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3"/>
      <c r="AB315" s="63"/>
      <c r="AC315" s="63"/>
    </row>
    <row r="316" spans="1:68" ht="27" hidden="1" customHeight="1" x14ac:dyDescent="0.25">
      <c r="A316" s="60" t="s">
        <v>527</v>
      </c>
      <c r="B316" s="60" t="s">
        <v>528</v>
      </c>
      <c r="C316" s="34">
        <v>4301011855</v>
      </c>
      <c r="D316" s="616">
        <v>4680115885837</v>
      </c>
      <c r="E316" s="616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134</v>
      </c>
      <c r="L316" s="35" t="s">
        <v>46</v>
      </c>
      <c r="M316" s="36" t="s">
        <v>133</v>
      </c>
      <c r="N316" s="36"/>
      <c r="O316" s="35">
        <v>55</v>
      </c>
      <c r="P316" s="73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8"/>
      <c r="R316" s="618"/>
      <c r="S316" s="618"/>
      <c r="T316" s="61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529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530</v>
      </c>
      <c r="B317" s="60" t="s">
        <v>531</v>
      </c>
      <c r="C317" s="34">
        <v>4301012234</v>
      </c>
      <c r="D317" s="616">
        <v>4680115887237</v>
      </c>
      <c r="E317" s="616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134</v>
      </c>
      <c r="L317" s="35" t="s">
        <v>46</v>
      </c>
      <c r="M317" s="36" t="s">
        <v>133</v>
      </c>
      <c r="N317" s="36"/>
      <c r="O317" s="35">
        <v>55</v>
      </c>
      <c r="P317" s="7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8"/>
      <c r="R317" s="618"/>
      <c r="S317" s="618"/>
      <c r="T317" s="61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532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533</v>
      </c>
      <c r="B318" s="60" t="s">
        <v>534</v>
      </c>
      <c r="C318" s="34">
        <v>4301011850</v>
      </c>
      <c r="D318" s="616">
        <v>4680115885806</v>
      </c>
      <c r="E318" s="616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134</v>
      </c>
      <c r="L318" s="35" t="s">
        <v>46</v>
      </c>
      <c r="M318" s="36" t="s">
        <v>133</v>
      </c>
      <c r="N318" s="36"/>
      <c r="O318" s="35">
        <v>55</v>
      </c>
      <c r="P318" s="7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8"/>
      <c r="R318" s="618"/>
      <c r="S318" s="618"/>
      <c r="T318" s="619"/>
      <c r="U318" s="37" t="s">
        <v>46</v>
      </c>
      <c r="V318" s="37" t="s">
        <v>46</v>
      </c>
      <c r="W318" s="38" t="s">
        <v>0</v>
      </c>
      <c r="X318" s="56">
        <v>300</v>
      </c>
      <c r="Y318" s="53">
        <f>IFERROR(IF(X318="",0,CEILING((X318/$H318),1)*$H318),"")</f>
        <v>302.40000000000003</v>
      </c>
      <c r="Z318" s="39">
        <f>IFERROR(IF(Y318=0,"",ROUNDUP(Y318/H318,0)*0.01898),"")</f>
        <v>0.53144000000000002</v>
      </c>
      <c r="AA318" s="65" t="s">
        <v>46</v>
      </c>
      <c r="AB318" s="66" t="s">
        <v>46</v>
      </c>
      <c r="AC318" s="401" t="s">
        <v>535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311.38888888888891</v>
      </c>
      <c r="BN318" s="75">
        <f>IFERROR(Y318*I318/H318,"0")</f>
        <v>313.88</v>
      </c>
      <c r="BO318" s="75">
        <f>IFERROR(1/J318*(X318/H318),"0")</f>
        <v>0.43402777777777773</v>
      </c>
      <c r="BP318" s="75">
        <f>IFERROR(1/J318*(Y318/H318),"0")</f>
        <v>0.4375</v>
      </c>
    </row>
    <row r="319" spans="1:68" ht="27" hidden="1" customHeight="1" x14ac:dyDescent="0.25">
      <c r="A319" s="60" t="s">
        <v>536</v>
      </c>
      <c r="B319" s="60" t="s">
        <v>537</v>
      </c>
      <c r="C319" s="34">
        <v>4301011852</v>
      </c>
      <c r="D319" s="616">
        <v>4680115885844</v>
      </c>
      <c r="E319" s="616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141</v>
      </c>
      <c r="L319" s="35" t="s">
        <v>46</v>
      </c>
      <c r="M319" s="36" t="s">
        <v>133</v>
      </c>
      <c r="N319" s="36"/>
      <c r="O319" s="35">
        <v>55</v>
      </c>
      <c r="P319" s="7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8"/>
      <c r="R319" s="618"/>
      <c r="S319" s="618"/>
      <c r="T319" s="6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538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539</v>
      </c>
      <c r="B320" s="60" t="s">
        <v>540</v>
      </c>
      <c r="C320" s="34">
        <v>4301011851</v>
      </c>
      <c r="D320" s="616">
        <v>4680115885820</v>
      </c>
      <c r="E320" s="616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141</v>
      </c>
      <c r="L320" s="35" t="s">
        <v>46</v>
      </c>
      <c r="M320" s="36" t="s">
        <v>133</v>
      </c>
      <c r="N320" s="36"/>
      <c r="O320" s="35">
        <v>55</v>
      </c>
      <c r="P320" s="7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8"/>
      <c r="R320" s="618"/>
      <c r="S320" s="618"/>
      <c r="T320" s="6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541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23"/>
      <c r="B321" s="623"/>
      <c r="C321" s="623"/>
      <c r="D321" s="623"/>
      <c r="E321" s="623"/>
      <c r="F321" s="623"/>
      <c r="G321" s="623"/>
      <c r="H321" s="623"/>
      <c r="I321" s="623"/>
      <c r="J321" s="623"/>
      <c r="K321" s="623"/>
      <c r="L321" s="623"/>
      <c r="M321" s="623"/>
      <c r="N321" s="623"/>
      <c r="O321" s="624"/>
      <c r="P321" s="620" t="s">
        <v>40</v>
      </c>
      <c r="Q321" s="621"/>
      <c r="R321" s="621"/>
      <c r="S321" s="621"/>
      <c r="T321" s="621"/>
      <c r="U321" s="621"/>
      <c r="V321" s="622"/>
      <c r="W321" s="40" t="s">
        <v>39</v>
      </c>
      <c r="X321" s="41">
        <f>IFERROR(X316/H316,"0")+IFERROR(X317/H317,"0")+IFERROR(X318/H318,"0")+IFERROR(X319/H319,"0")+IFERROR(X320/H320,"0")</f>
        <v>27.777777777777775</v>
      </c>
      <c r="Y321" s="41">
        <f>IFERROR(Y316/H316,"0")+IFERROR(Y317/H317,"0")+IFERROR(Y318/H318,"0")+IFERROR(Y319/H319,"0")+IFERROR(Y320/H320,"0")</f>
        <v>28</v>
      </c>
      <c r="Z321" s="41">
        <f>IFERROR(IF(Z316="",0,Z316),"0")+IFERROR(IF(Z317="",0,Z317),"0")+IFERROR(IF(Z318="",0,Z318),"0")+IFERROR(IF(Z319="",0,Z319),"0")+IFERROR(IF(Z320="",0,Z320),"0")</f>
        <v>0.53144000000000002</v>
      </c>
      <c r="AA321" s="64"/>
      <c r="AB321" s="64"/>
      <c r="AC321" s="64"/>
    </row>
    <row r="322" spans="1:68" x14ac:dyDescent="0.2">
      <c r="A322" s="623"/>
      <c r="B322" s="623"/>
      <c r="C322" s="623"/>
      <c r="D322" s="623"/>
      <c r="E322" s="623"/>
      <c r="F322" s="623"/>
      <c r="G322" s="623"/>
      <c r="H322" s="623"/>
      <c r="I322" s="623"/>
      <c r="J322" s="623"/>
      <c r="K322" s="623"/>
      <c r="L322" s="623"/>
      <c r="M322" s="623"/>
      <c r="N322" s="623"/>
      <c r="O322" s="624"/>
      <c r="P322" s="620" t="s">
        <v>40</v>
      </c>
      <c r="Q322" s="621"/>
      <c r="R322" s="621"/>
      <c r="S322" s="621"/>
      <c r="T322" s="621"/>
      <c r="U322" s="621"/>
      <c r="V322" s="622"/>
      <c r="W322" s="40" t="s">
        <v>0</v>
      </c>
      <c r="X322" s="41">
        <f>IFERROR(SUM(X316:X320),"0")</f>
        <v>300</v>
      </c>
      <c r="Y322" s="41">
        <f>IFERROR(SUM(Y316:Y320),"0")</f>
        <v>302.40000000000003</v>
      </c>
      <c r="Z322" s="40"/>
      <c r="AA322" s="64"/>
      <c r="AB322" s="64"/>
      <c r="AC322" s="64"/>
    </row>
    <row r="323" spans="1:68" ht="16.5" hidden="1" customHeight="1" x14ac:dyDescent="0.25">
      <c r="A323" s="631" t="s">
        <v>542</v>
      </c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  <c r="L323" s="631"/>
      <c r="M323" s="631"/>
      <c r="N323" s="631"/>
      <c r="O323" s="631"/>
      <c r="P323" s="631"/>
      <c r="Q323" s="631"/>
      <c r="R323" s="631"/>
      <c r="S323" s="631"/>
      <c r="T323" s="631"/>
      <c r="U323" s="631"/>
      <c r="V323" s="631"/>
      <c r="W323" s="631"/>
      <c r="X323" s="631"/>
      <c r="Y323" s="631"/>
      <c r="Z323" s="631"/>
      <c r="AA323" s="62"/>
      <c r="AB323" s="62"/>
      <c r="AC323" s="62"/>
    </row>
    <row r="324" spans="1:68" ht="14.25" hidden="1" customHeight="1" x14ac:dyDescent="0.25">
      <c r="A324" s="615" t="s">
        <v>86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3"/>
      <c r="AB324" s="63"/>
      <c r="AC324" s="63"/>
    </row>
    <row r="325" spans="1:68" ht="27" hidden="1" customHeight="1" x14ac:dyDescent="0.25">
      <c r="A325" s="60" t="s">
        <v>543</v>
      </c>
      <c r="B325" s="60" t="s">
        <v>544</v>
      </c>
      <c r="C325" s="34">
        <v>4301051893</v>
      </c>
      <c r="D325" s="616">
        <v>4680115886186</v>
      </c>
      <c r="E325" s="616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72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8"/>
      <c r="R325" s="618"/>
      <c r="S325" s="618"/>
      <c r="T325" s="61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545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4301051795</v>
      </c>
      <c r="D326" s="616">
        <v>4680115881228</v>
      </c>
      <c r="E326" s="616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73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8"/>
      <c r="R326" s="618"/>
      <c r="S326" s="618"/>
      <c r="T326" s="6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548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549</v>
      </c>
      <c r="B327" s="60" t="s">
        <v>550</v>
      </c>
      <c r="C327" s="34">
        <v>4301051388</v>
      </c>
      <c r="D327" s="616">
        <v>4680115881211</v>
      </c>
      <c r="E327" s="61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7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8"/>
      <c r="R327" s="618"/>
      <c r="S327" s="618"/>
      <c r="T327" s="6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545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3"/>
      <c r="B328" s="623"/>
      <c r="C328" s="623"/>
      <c r="D328" s="623"/>
      <c r="E328" s="623"/>
      <c r="F328" s="623"/>
      <c r="G328" s="623"/>
      <c r="H328" s="623"/>
      <c r="I328" s="623"/>
      <c r="J328" s="623"/>
      <c r="K328" s="623"/>
      <c r="L328" s="623"/>
      <c r="M328" s="623"/>
      <c r="N328" s="623"/>
      <c r="O328" s="624"/>
      <c r="P328" s="620" t="s">
        <v>40</v>
      </c>
      <c r="Q328" s="621"/>
      <c r="R328" s="621"/>
      <c r="S328" s="621"/>
      <c r="T328" s="621"/>
      <c r="U328" s="621"/>
      <c r="V328" s="622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3"/>
      <c r="B329" s="623"/>
      <c r="C329" s="623"/>
      <c r="D329" s="623"/>
      <c r="E329" s="623"/>
      <c r="F329" s="623"/>
      <c r="G329" s="623"/>
      <c r="H329" s="623"/>
      <c r="I329" s="623"/>
      <c r="J329" s="623"/>
      <c r="K329" s="623"/>
      <c r="L329" s="623"/>
      <c r="M329" s="623"/>
      <c r="N329" s="623"/>
      <c r="O329" s="624"/>
      <c r="P329" s="620" t="s">
        <v>40</v>
      </c>
      <c r="Q329" s="621"/>
      <c r="R329" s="621"/>
      <c r="S329" s="621"/>
      <c r="T329" s="621"/>
      <c r="U329" s="621"/>
      <c r="V329" s="622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1" t="s">
        <v>551</v>
      </c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1"/>
      <c r="P330" s="631"/>
      <c r="Q330" s="631"/>
      <c r="R330" s="631"/>
      <c r="S330" s="631"/>
      <c r="T330" s="631"/>
      <c r="U330" s="631"/>
      <c r="V330" s="631"/>
      <c r="W330" s="631"/>
      <c r="X330" s="631"/>
      <c r="Y330" s="631"/>
      <c r="Z330" s="631"/>
      <c r="AA330" s="62"/>
      <c r="AB330" s="62"/>
      <c r="AC330" s="62"/>
    </row>
    <row r="331" spans="1:68" ht="14.25" hidden="1" customHeight="1" x14ac:dyDescent="0.25">
      <c r="A331" s="615" t="s">
        <v>77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3"/>
      <c r="AB331" s="63"/>
      <c r="AC331" s="63"/>
    </row>
    <row r="332" spans="1:68" ht="27" hidden="1" customHeight="1" x14ac:dyDescent="0.25">
      <c r="A332" s="60" t="s">
        <v>552</v>
      </c>
      <c r="B332" s="60" t="s">
        <v>553</v>
      </c>
      <c r="C332" s="34">
        <v>4301031445</v>
      </c>
      <c r="D332" s="616">
        <v>4680115888319</v>
      </c>
      <c r="E332" s="616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8"/>
      <c r="R332" s="618"/>
      <c r="S332" s="618"/>
      <c r="T332" s="61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386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16">
        <v>4680115884700</v>
      </c>
      <c r="E333" s="616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8"/>
      <c r="R333" s="618"/>
      <c r="S333" s="618"/>
      <c r="T333" s="61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16">
        <v>4680115880344</v>
      </c>
      <c r="E334" s="616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8"/>
      <c r="R334" s="618"/>
      <c r="S334" s="618"/>
      <c r="T334" s="61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16">
        <v>4680115886919</v>
      </c>
      <c r="E335" s="616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7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8"/>
      <c r="R335" s="618"/>
      <c r="S335" s="618"/>
      <c r="T335" s="6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563</v>
      </c>
      <c r="B336" s="60" t="s">
        <v>564</v>
      </c>
      <c r="C336" s="34">
        <v>4301031246</v>
      </c>
      <c r="D336" s="616">
        <v>4680115883970</v>
      </c>
      <c r="E336" s="616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72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8"/>
      <c r="R336" s="618"/>
      <c r="S336" s="618"/>
      <c r="T336" s="6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565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23"/>
      <c r="B337" s="623"/>
      <c r="C337" s="623"/>
      <c r="D337" s="623"/>
      <c r="E337" s="623"/>
      <c r="F337" s="623"/>
      <c r="G337" s="623"/>
      <c r="H337" s="623"/>
      <c r="I337" s="623"/>
      <c r="J337" s="623"/>
      <c r="K337" s="623"/>
      <c r="L337" s="623"/>
      <c r="M337" s="623"/>
      <c r="N337" s="623"/>
      <c r="O337" s="624"/>
      <c r="P337" s="620" t="s">
        <v>40</v>
      </c>
      <c r="Q337" s="621"/>
      <c r="R337" s="621"/>
      <c r="S337" s="621"/>
      <c r="T337" s="621"/>
      <c r="U337" s="621"/>
      <c r="V337" s="622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15" t="s">
        <v>86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3"/>
      <c r="AB339" s="63"/>
      <c r="AC339" s="63"/>
    </row>
    <row r="340" spans="1:68" ht="27" hidden="1" customHeight="1" x14ac:dyDescent="0.25">
      <c r="A340" s="60" t="s">
        <v>566</v>
      </c>
      <c r="B340" s="60" t="s">
        <v>567</v>
      </c>
      <c r="C340" s="34">
        <v>4301051782</v>
      </c>
      <c r="D340" s="616">
        <v>4680115884618</v>
      </c>
      <c r="E340" s="616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141</v>
      </c>
      <c r="L340" s="35" t="s">
        <v>46</v>
      </c>
      <c r="M340" s="36" t="s">
        <v>90</v>
      </c>
      <c r="N340" s="36"/>
      <c r="O340" s="35">
        <v>45</v>
      </c>
      <c r="P340" s="72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8"/>
      <c r="R340" s="618"/>
      <c r="S340" s="618"/>
      <c r="T340" s="61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4301052057</v>
      </c>
      <c r="D341" s="616">
        <v>4680115887114</v>
      </c>
      <c r="E341" s="616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141</v>
      </c>
      <c r="L341" s="35" t="s">
        <v>46</v>
      </c>
      <c r="M341" s="36" t="s">
        <v>90</v>
      </c>
      <c r="N341" s="36"/>
      <c r="O341" s="35">
        <v>45</v>
      </c>
      <c r="P341" s="72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8"/>
      <c r="R341" s="618"/>
      <c r="S341" s="618"/>
      <c r="T341" s="61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3"/>
      <c r="B342" s="623"/>
      <c r="C342" s="623"/>
      <c r="D342" s="623"/>
      <c r="E342" s="623"/>
      <c r="F342" s="623"/>
      <c r="G342" s="623"/>
      <c r="H342" s="623"/>
      <c r="I342" s="623"/>
      <c r="J342" s="623"/>
      <c r="K342" s="623"/>
      <c r="L342" s="623"/>
      <c r="M342" s="623"/>
      <c r="N342" s="623"/>
      <c r="O342" s="624"/>
      <c r="P342" s="620" t="s">
        <v>40</v>
      </c>
      <c r="Q342" s="621"/>
      <c r="R342" s="621"/>
      <c r="S342" s="621"/>
      <c r="T342" s="621"/>
      <c r="U342" s="621"/>
      <c r="V342" s="622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23"/>
      <c r="B343" s="623"/>
      <c r="C343" s="623"/>
      <c r="D343" s="623"/>
      <c r="E343" s="623"/>
      <c r="F343" s="623"/>
      <c r="G343" s="623"/>
      <c r="H343" s="623"/>
      <c r="I343" s="623"/>
      <c r="J343" s="623"/>
      <c r="K343" s="623"/>
      <c r="L343" s="623"/>
      <c r="M343" s="623"/>
      <c r="N343" s="623"/>
      <c r="O343" s="624"/>
      <c r="P343" s="620" t="s">
        <v>40</v>
      </c>
      <c r="Q343" s="621"/>
      <c r="R343" s="621"/>
      <c r="S343" s="621"/>
      <c r="T343" s="621"/>
      <c r="U343" s="621"/>
      <c r="V343" s="622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1" t="s">
        <v>572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62"/>
      <c r="AB344" s="62"/>
      <c r="AC344" s="62"/>
    </row>
    <row r="345" spans="1:68" ht="14.25" hidden="1" customHeight="1" x14ac:dyDescent="0.25">
      <c r="A345" s="615" t="s">
        <v>129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16">
        <v>4680115887947</v>
      </c>
      <c r="E346" s="616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134</v>
      </c>
      <c r="L346" s="35" t="s">
        <v>46</v>
      </c>
      <c r="M346" s="36" t="s">
        <v>90</v>
      </c>
      <c r="N346" s="36"/>
      <c r="O346" s="35">
        <v>60</v>
      </c>
      <c r="P346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8"/>
      <c r="R346" s="618"/>
      <c r="S346" s="618"/>
      <c r="T346" s="6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343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16">
        <v>4680115887978</v>
      </c>
      <c r="E347" s="616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134</v>
      </c>
      <c r="L347" s="35" t="s">
        <v>46</v>
      </c>
      <c r="M347" s="36" t="s">
        <v>90</v>
      </c>
      <c r="N347" s="36"/>
      <c r="O347" s="35">
        <v>60</v>
      </c>
      <c r="P347" s="72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8"/>
      <c r="R347" s="618"/>
      <c r="S347" s="618"/>
      <c r="T347" s="61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16">
        <v>4680115887992</v>
      </c>
      <c r="E348" s="616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134</v>
      </c>
      <c r="L348" s="35" t="s">
        <v>46</v>
      </c>
      <c r="M348" s="36" t="s">
        <v>90</v>
      </c>
      <c r="N348" s="36"/>
      <c r="O348" s="35">
        <v>60</v>
      </c>
      <c r="P348" s="7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8"/>
      <c r="R348" s="618"/>
      <c r="S348" s="618"/>
      <c r="T348" s="619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3"/>
      <c r="B349" s="623"/>
      <c r="C349" s="623"/>
      <c r="D349" s="623"/>
      <c r="E349" s="623"/>
      <c r="F349" s="623"/>
      <c r="G349" s="623"/>
      <c r="H349" s="623"/>
      <c r="I349" s="623"/>
      <c r="J349" s="623"/>
      <c r="K349" s="623"/>
      <c r="L349" s="623"/>
      <c r="M349" s="623"/>
      <c r="N349" s="623"/>
      <c r="O349" s="624"/>
      <c r="P349" s="620" t="s">
        <v>40</v>
      </c>
      <c r="Q349" s="621"/>
      <c r="R349" s="621"/>
      <c r="S349" s="621"/>
      <c r="T349" s="621"/>
      <c r="U349" s="621"/>
      <c r="V349" s="622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1" t="s">
        <v>581</v>
      </c>
      <c r="B351" s="631"/>
      <c r="C351" s="631"/>
      <c r="D351" s="631"/>
      <c r="E351" s="631"/>
      <c r="F351" s="631"/>
      <c r="G351" s="631"/>
      <c r="H351" s="631"/>
      <c r="I351" s="631"/>
      <c r="J351" s="631"/>
      <c r="K351" s="631"/>
      <c r="L351" s="631"/>
      <c r="M351" s="631"/>
      <c r="N351" s="631"/>
      <c r="O351" s="631"/>
      <c r="P351" s="631"/>
      <c r="Q351" s="631"/>
      <c r="R351" s="631"/>
      <c r="S351" s="631"/>
      <c r="T351" s="631"/>
      <c r="U351" s="631"/>
      <c r="V351" s="631"/>
      <c r="W351" s="631"/>
      <c r="X351" s="631"/>
      <c r="Y351" s="631"/>
      <c r="Z351" s="631"/>
      <c r="AA351" s="62"/>
      <c r="AB351" s="62"/>
      <c r="AC351" s="62"/>
    </row>
    <row r="352" spans="1:68" ht="14.25" hidden="1" customHeight="1" x14ac:dyDescent="0.25">
      <c r="A352" s="615" t="s">
        <v>129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582</v>
      </c>
      <c r="B353" s="60" t="s">
        <v>583</v>
      </c>
      <c r="C353" s="34">
        <v>4301012126</v>
      </c>
      <c r="D353" s="616">
        <v>4607091386004</v>
      </c>
      <c r="E353" s="616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134</v>
      </c>
      <c r="L353" s="35" t="s">
        <v>46</v>
      </c>
      <c r="M353" s="36" t="s">
        <v>133</v>
      </c>
      <c r="N353" s="36"/>
      <c r="O353" s="35">
        <v>55</v>
      </c>
      <c r="P353" s="71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18"/>
      <c r="R353" s="618"/>
      <c r="S353" s="618"/>
      <c r="T353" s="619"/>
      <c r="U353" s="37" t="s">
        <v>46</v>
      </c>
      <c r="V353" s="37" t="s">
        <v>46</v>
      </c>
      <c r="W353" s="38" t="s">
        <v>0</v>
      </c>
      <c r="X353" s="56">
        <v>700</v>
      </c>
      <c r="Y353" s="53">
        <f t="shared" ref="Y353:Y358" si="47">IFERROR(IF(X353="",0,CEILING((X353/$H353),1)*$H353),"")</f>
        <v>702</v>
      </c>
      <c r="Z353" s="39">
        <f>IFERROR(IF(Y353=0,"",ROUNDUP(Y353/H353,0)*0.01898),"")</f>
        <v>1.2337</v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8">IFERROR(X353*I353/H353,"0")</f>
        <v>726.57407407407413</v>
      </c>
      <c r="BN353" s="75">
        <f t="shared" ref="BN353:BN358" si="49">IFERROR(Y353*I353/H353,"0")</f>
        <v>728.65000000000009</v>
      </c>
      <c r="BO353" s="75">
        <f t="shared" ref="BO353:BO358" si="50">IFERROR(1/J353*(X353/H353),"0")</f>
        <v>1.0127314814814814</v>
      </c>
      <c r="BP353" s="75">
        <f t="shared" ref="BP353:BP358" si="51">IFERROR(1/J353*(Y353/H353),"0")</f>
        <v>1.015625</v>
      </c>
    </row>
    <row r="354" spans="1:68" ht="27" customHeight="1" x14ac:dyDescent="0.25">
      <c r="A354" s="60" t="s">
        <v>585</v>
      </c>
      <c r="B354" s="60" t="s">
        <v>586</v>
      </c>
      <c r="C354" s="34">
        <v>4301012235</v>
      </c>
      <c r="D354" s="616">
        <v>4680115887190</v>
      </c>
      <c r="E354" s="616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134</v>
      </c>
      <c r="L354" s="35" t="s">
        <v>46</v>
      </c>
      <c r="M354" s="36" t="s">
        <v>133</v>
      </c>
      <c r="N354" s="36"/>
      <c r="O354" s="35">
        <v>55</v>
      </c>
      <c r="P354" s="71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18"/>
      <c r="R354" s="618"/>
      <c r="S354" s="618"/>
      <c r="T354" s="619"/>
      <c r="U354" s="37" t="s">
        <v>46</v>
      </c>
      <c r="V354" s="37" t="s">
        <v>46</v>
      </c>
      <c r="W354" s="38" t="s">
        <v>0</v>
      </c>
      <c r="X354" s="56">
        <v>100</v>
      </c>
      <c r="Y354" s="53">
        <f t="shared" si="47"/>
        <v>108</v>
      </c>
      <c r="Z354" s="39">
        <f>IFERROR(IF(Y354=0,"",ROUNDUP(Y354/H354,0)*0.01898),"")</f>
        <v>0.1898</v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103.79629629629629</v>
      </c>
      <c r="BN354" s="75">
        <f t="shared" si="49"/>
        <v>112.1</v>
      </c>
      <c r="BO354" s="75">
        <f t="shared" si="50"/>
        <v>0.14467592592592593</v>
      </c>
      <c r="BP354" s="75">
        <f t="shared" si="51"/>
        <v>0.15625</v>
      </c>
    </row>
    <row r="355" spans="1:68" ht="37.5" customHeight="1" x14ac:dyDescent="0.25">
      <c r="A355" s="60" t="s">
        <v>588</v>
      </c>
      <c r="B355" s="60" t="s">
        <v>589</v>
      </c>
      <c r="C355" s="34">
        <v>4301012233</v>
      </c>
      <c r="D355" s="616">
        <v>4680115887138</v>
      </c>
      <c r="E355" s="616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134</v>
      </c>
      <c r="L355" s="35" t="s">
        <v>46</v>
      </c>
      <c r="M355" s="36" t="s">
        <v>133</v>
      </c>
      <c r="N355" s="36"/>
      <c r="O355" s="35">
        <v>55</v>
      </c>
      <c r="P355" s="7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18"/>
      <c r="R355" s="618"/>
      <c r="S355" s="618"/>
      <c r="T355" s="619"/>
      <c r="U355" s="37" t="s">
        <v>46</v>
      </c>
      <c r="V355" s="37" t="s">
        <v>46</v>
      </c>
      <c r="W355" s="38" t="s">
        <v>0</v>
      </c>
      <c r="X355" s="56">
        <v>100</v>
      </c>
      <c r="Y355" s="53">
        <f t="shared" si="47"/>
        <v>108</v>
      </c>
      <c r="Z355" s="39">
        <f>IFERROR(IF(Y355=0,"",ROUNDUP(Y355/H355,0)*0.01898),"")</f>
        <v>0.1898</v>
      </c>
      <c r="AA355" s="65" t="s">
        <v>46</v>
      </c>
      <c r="AB355" s="66" t="s">
        <v>46</v>
      </c>
      <c r="AC355" s="437" t="s">
        <v>590</v>
      </c>
      <c r="AG355" s="75"/>
      <c r="AJ355" s="79" t="s">
        <v>46</v>
      </c>
      <c r="AK355" s="79">
        <v>0</v>
      </c>
      <c r="BB355" s="438" t="s">
        <v>67</v>
      </c>
      <c r="BM355" s="75">
        <f t="shared" si="48"/>
        <v>103.79629629629629</v>
      </c>
      <c r="BN355" s="75">
        <f t="shared" si="49"/>
        <v>112.1</v>
      </c>
      <c r="BO355" s="75">
        <f t="shared" si="50"/>
        <v>0.14467592592592593</v>
      </c>
      <c r="BP355" s="75">
        <f t="shared" si="51"/>
        <v>0.15625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4301012016</v>
      </c>
      <c r="D356" s="616">
        <v>4680115885554</v>
      </c>
      <c r="E356" s="616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55</v>
      </c>
      <c r="P356" s="71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18"/>
      <c r="R356" s="618"/>
      <c r="S356" s="618"/>
      <c r="T356" s="619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593</v>
      </c>
      <c r="AG356" s="75"/>
      <c r="AJ356" s="79" t="s">
        <v>46</v>
      </c>
      <c r="AK356" s="79">
        <v>0</v>
      </c>
      <c r="BB356" s="440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4301012236</v>
      </c>
      <c r="D357" s="616">
        <v>4680115887220</v>
      </c>
      <c r="E357" s="616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141</v>
      </c>
      <c r="L357" s="35" t="s">
        <v>46</v>
      </c>
      <c r="M357" s="36" t="s">
        <v>133</v>
      </c>
      <c r="N357" s="36"/>
      <c r="O357" s="35">
        <v>55</v>
      </c>
      <c r="P357" s="71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18"/>
      <c r="R357" s="618"/>
      <c r="S357" s="618"/>
      <c r="T357" s="619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587</v>
      </c>
      <c r="AG357" s="75"/>
      <c r="AJ357" s="79" t="s">
        <v>46</v>
      </c>
      <c r="AK357" s="79">
        <v>0</v>
      </c>
      <c r="BB357" s="442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4301011859</v>
      </c>
      <c r="D358" s="616">
        <v>4680115885608</v>
      </c>
      <c r="E358" s="616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141</v>
      </c>
      <c r="L358" s="35" t="s">
        <v>46</v>
      </c>
      <c r="M358" s="36" t="s">
        <v>133</v>
      </c>
      <c r="N358" s="36"/>
      <c r="O358" s="35">
        <v>55</v>
      </c>
      <c r="P358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18"/>
      <c r="R358" s="618"/>
      <c r="S358" s="618"/>
      <c r="T358" s="619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598</v>
      </c>
      <c r="AG358" s="75"/>
      <c r="AJ358" s="79" t="s">
        <v>46</v>
      </c>
      <c r="AK358" s="79">
        <v>0</v>
      </c>
      <c r="BB358" s="444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x14ac:dyDescent="0.2">
      <c r="A359" s="623"/>
      <c r="B359" s="623"/>
      <c r="C359" s="623"/>
      <c r="D359" s="623"/>
      <c r="E359" s="623"/>
      <c r="F359" s="623"/>
      <c r="G359" s="623"/>
      <c r="H359" s="623"/>
      <c r="I359" s="623"/>
      <c r="J359" s="623"/>
      <c r="K359" s="623"/>
      <c r="L359" s="623"/>
      <c r="M359" s="623"/>
      <c r="N359" s="623"/>
      <c r="O359" s="624"/>
      <c r="P359" s="620" t="s">
        <v>40</v>
      </c>
      <c r="Q359" s="621"/>
      <c r="R359" s="621"/>
      <c r="S359" s="621"/>
      <c r="T359" s="621"/>
      <c r="U359" s="621"/>
      <c r="V359" s="622"/>
      <c r="W359" s="40" t="s">
        <v>39</v>
      </c>
      <c r="X359" s="41">
        <f>IFERROR(X353/H353,"0")+IFERROR(X354/H354,"0")+IFERROR(X355/H355,"0")+IFERROR(X356/H356,"0")+IFERROR(X357/H357,"0")+IFERROR(X358/H358,"0")</f>
        <v>83.333333333333343</v>
      </c>
      <c r="Y359" s="41">
        <f>IFERROR(Y353/H353,"0")+IFERROR(Y354/H354,"0")+IFERROR(Y355/H355,"0")+IFERROR(Y356/H356,"0")+IFERROR(Y357/H357,"0")+IFERROR(Y358/H358,"0")</f>
        <v>85</v>
      </c>
      <c r="Z359" s="41">
        <f>IFERROR(IF(Z353="",0,Z353),"0")+IFERROR(IF(Z354="",0,Z354),"0")+IFERROR(IF(Z355="",0,Z355),"0")+IFERROR(IF(Z356="",0,Z356),"0")+IFERROR(IF(Z357="",0,Z357),"0")+IFERROR(IF(Z358="",0,Z358),"0")</f>
        <v>1.6133</v>
      </c>
      <c r="AA359" s="64"/>
      <c r="AB359" s="64"/>
      <c r="AC359" s="64"/>
    </row>
    <row r="360" spans="1:68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0</v>
      </c>
      <c r="X360" s="41">
        <f>IFERROR(SUM(X353:X358),"0")</f>
        <v>900</v>
      </c>
      <c r="Y360" s="41">
        <f>IFERROR(SUM(Y353:Y358),"0")</f>
        <v>918</v>
      </c>
      <c r="Z360" s="40"/>
      <c r="AA360" s="64"/>
      <c r="AB360" s="64"/>
      <c r="AC360" s="64"/>
    </row>
    <row r="361" spans="1:68" ht="14.25" hidden="1" customHeight="1" x14ac:dyDescent="0.25">
      <c r="A361" s="615" t="s">
        <v>77</v>
      </c>
      <c r="B361" s="615"/>
      <c r="C361" s="615"/>
      <c r="D361" s="615"/>
      <c r="E361" s="615"/>
      <c r="F361" s="615"/>
      <c r="G361" s="615"/>
      <c r="H361" s="615"/>
      <c r="I361" s="615"/>
      <c r="J361" s="615"/>
      <c r="K361" s="615"/>
      <c r="L361" s="615"/>
      <c r="M361" s="615"/>
      <c r="N361" s="615"/>
      <c r="O361" s="615"/>
      <c r="P361" s="615"/>
      <c r="Q361" s="615"/>
      <c r="R361" s="615"/>
      <c r="S361" s="615"/>
      <c r="T361" s="615"/>
      <c r="U361" s="615"/>
      <c r="V361" s="615"/>
      <c r="W361" s="615"/>
      <c r="X361" s="615"/>
      <c r="Y361" s="615"/>
      <c r="Z361" s="615"/>
      <c r="AA361" s="63"/>
      <c r="AB361" s="63"/>
      <c r="AC361" s="63"/>
    </row>
    <row r="362" spans="1:68" ht="27" hidden="1" customHeight="1" x14ac:dyDescent="0.25">
      <c r="A362" s="60" t="s">
        <v>599</v>
      </c>
      <c r="B362" s="60" t="s">
        <v>600</v>
      </c>
      <c r="C362" s="34">
        <v>4301030878</v>
      </c>
      <c r="D362" s="616">
        <v>4607091387193</v>
      </c>
      <c r="E362" s="616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141</v>
      </c>
      <c r="L362" s="35" t="s">
        <v>46</v>
      </c>
      <c r="M362" s="36" t="s">
        <v>81</v>
      </c>
      <c r="N362" s="36"/>
      <c r="O362" s="35">
        <v>35</v>
      </c>
      <c r="P362" s="7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18"/>
      <c r="R362" s="618"/>
      <c r="S362" s="618"/>
      <c r="T362" s="61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52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601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53">IFERROR(X362*I362/H362,"0")</f>
        <v>0</v>
      </c>
      <c r="BN362" s="75">
        <f t="shared" ref="BN362:BN368" si="54">IFERROR(Y362*I362/H362,"0")</f>
        <v>0</v>
      </c>
      <c r="BO362" s="75">
        <f t="shared" ref="BO362:BO368" si="55">IFERROR(1/J362*(X362/H362),"0")</f>
        <v>0</v>
      </c>
      <c r="BP362" s="75">
        <f t="shared" ref="BP362:BP368" si="56">IFERROR(1/J362*(Y362/H362),"0")</f>
        <v>0</v>
      </c>
    </row>
    <row r="363" spans="1:68" ht="27" customHeight="1" x14ac:dyDescent="0.25">
      <c r="A363" s="60" t="s">
        <v>602</v>
      </c>
      <c r="B363" s="60" t="s">
        <v>603</v>
      </c>
      <c r="C363" s="34">
        <v>4301031153</v>
      </c>
      <c r="D363" s="616">
        <v>4607091387230</v>
      </c>
      <c r="E363" s="616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141</v>
      </c>
      <c r="L363" s="35" t="s">
        <v>46</v>
      </c>
      <c r="M363" s="36" t="s">
        <v>81</v>
      </c>
      <c r="N363" s="36"/>
      <c r="O363" s="35">
        <v>40</v>
      </c>
      <c r="P363" s="7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18"/>
      <c r="R363" s="618"/>
      <c r="S363" s="618"/>
      <c r="T363" s="619"/>
      <c r="U363" s="37" t="s">
        <v>46</v>
      </c>
      <c r="V363" s="37" t="s">
        <v>46</v>
      </c>
      <c r="W363" s="38" t="s">
        <v>0</v>
      </c>
      <c r="X363" s="56">
        <v>200</v>
      </c>
      <c r="Y363" s="53">
        <f t="shared" si="52"/>
        <v>201.60000000000002</v>
      </c>
      <c r="Z363" s="39">
        <f>IFERROR(IF(Y363=0,"",ROUNDUP(Y363/H363,0)*0.00902),"")</f>
        <v>0.43296000000000001</v>
      </c>
      <c r="AA363" s="65" t="s">
        <v>46</v>
      </c>
      <c r="AB363" s="66" t="s">
        <v>46</v>
      </c>
      <c r="AC363" s="447" t="s">
        <v>604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211.9047619047619</v>
      </c>
      <c r="BN363" s="75">
        <f t="shared" si="54"/>
        <v>213.60000000000002</v>
      </c>
      <c r="BO363" s="75">
        <f t="shared" si="55"/>
        <v>0.36075036075036077</v>
      </c>
      <c r="BP363" s="75">
        <f t="shared" si="56"/>
        <v>0.36363636363636365</v>
      </c>
    </row>
    <row r="364" spans="1:68" ht="27" hidden="1" customHeight="1" x14ac:dyDescent="0.25">
      <c r="A364" s="60" t="s">
        <v>605</v>
      </c>
      <c r="B364" s="60" t="s">
        <v>606</v>
      </c>
      <c r="C364" s="34">
        <v>4301031154</v>
      </c>
      <c r="D364" s="616">
        <v>4607091387292</v>
      </c>
      <c r="E364" s="616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141</v>
      </c>
      <c r="L364" s="35" t="s">
        <v>46</v>
      </c>
      <c r="M364" s="36" t="s">
        <v>81</v>
      </c>
      <c r="N364" s="36"/>
      <c r="O364" s="35">
        <v>45</v>
      </c>
      <c r="P364" s="7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18"/>
      <c r="R364" s="618"/>
      <c r="S364" s="618"/>
      <c r="T364" s="6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607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ht="27" hidden="1" customHeight="1" x14ac:dyDescent="0.25">
      <c r="A365" s="60" t="s">
        <v>608</v>
      </c>
      <c r="B365" s="60" t="s">
        <v>609</v>
      </c>
      <c r="C365" s="34">
        <v>4301031152</v>
      </c>
      <c r="D365" s="616">
        <v>4607091387285</v>
      </c>
      <c r="E365" s="616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18"/>
      <c r="R365" s="618"/>
      <c r="S365" s="618"/>
      <c r="T365" s="6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2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604</v>
      </c>
      <c r="AG365" s="75"/>
      <c r="AJ365" s="79" t="s">
        <v>46</v>
      </c>
      <c r="AK365" s="79">
        <v>0</v>
      </c>
      <c r="BB365" s="452" t="s">
        <v>67</v>
      </c>
      <c r="BM365" s="75">
        <f t="shared" si="53"/>
        <v>0</v>
      </c>
      <c r="BN365" s="75">
        <f t="shared" si="54"/>
        <v>0</v>
      </c>
      <c r="BO365" s="75">
        <f t="shared" si="55"/>
        <v>0</v>
      </c>
      <c r="BP365" s="75">
        <f t="shared" si="56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4301031305</v>
      </c>
      <c r="D366" s="616">
        <v>4607091389845</v>
      </c>
      <c r="E366" s="616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18"/>
      <c r="R366" s="618"/>
      <c r="S366" s="618"/>
      <c r="T366" s="6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2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612</v>
      </c>
      <c r="AG366" s="75"/>
      <c r="AJ366" s="79" t="s">
        <v>46</v>
      </c>
      <c r="AK366" s="79">
        <v>0</v>
      </c>
      <c r="BB366" s="454" t="s">
        <v>67</v>
      </c>
      <c r="BM366" s="75">
        <f t="shared" si="53"/>
        <v>0</v>
      </c>
      <c r="BN366" s="75">
        <f t="shared" si="54"/>
        <v>0</v>
      </c>
      <c r="BO366" s="75">
        <f t="shared" si="55"/>
        <v>0</v>
      </c>
      <c r="BP366" s="75">
        <f t="shared" si="56"/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4301031460</v>
      </c>
      <c r="D367" s="616">
        <v>4680115887442</v>
      </c>
      <c r="E367" s="616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141</v>
      </c>
      <c r="L367" s="35" t="s">
        <v>46</v>
      </c>
      <c r="M367" s="36" t="s">
        <v>81</v>
      </c>
      <c r="N367" s="36"/>
      <c r="O367" s="35">
        <v>45</v>
      </c>
      <c r="P367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18"/>
      <c r="R367" s="618"/>
      <c r="S367" s="618"/>
      <c r="T367" s="6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607</v>
      </c>
      <c r="AG367" s="75"/>
      <c r="AJ367" s="79" t="s">
        <v>46</v>
      </c>
      <c r="AK367" s="79">
        <v>0</v>
      </c>
      <c r="BB367" s="456" t="s">
        <v>67</v>
      </c>
      <c r="BM367" s="75">
        <f t="shared" si="53"/>
        <v>0</v>
      </c>
      <c r="BN367" s="75">
        <f t="shared" si="54"/>
        <v>0</v>
      </c>
      <c r="BO367" s="75">
        <f t="shared" si="55"/>
        <v>0</v>
      </c>
      <c r="BP367" s="75">
        <f t="shared" si="56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4301031066</v>
      </c>
      <c r="D368" s="616">
        <v>4607091383836</v>
      </c>
      <c r="E368" s="616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18"/>
      <c r="R368" s="618"/>
      <c r="S368" s="618"/>
      <c r="T368" s="6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2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617</v>
      </c>
      <c r="AG368" s="75"/>
      <c r="AJ368" s="79" t="s">
        <v>46</v>
      </c>
      <c r="AK368" s="79">
        <v>0</v>
      </c>
      <c r="BB368" s="458" t="s">
        <v>67</v>
      </c>
      <c r="BM368" s="75">
        <f t="shared" si="53"/>
        <v>0</v>
      </c>
      <c r="BN368" s="75">
        <f t="shared" si="54"/>
        <v>0</v>
      </c>
      <c r="BO368" s="75">
        <f t="shared" si="55"/>
        <v>0</v>
      </c>
      <c r="BP368" s="75">
        <f t="shared" si="56"/>
        <v>0</v>
      </c>
    </row>
    <row r="369" spans="1:68" x14ac:dyDescent="0.2">
      <c r="A369" s="623"/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4"/>
      <c r="P369" s="620" t="s">
        <v>40</v>
      </c>
      <c r="Q369" s="621"/>
      <c r="R369" s="621"/>
      <c r="S369" s="621"/>
      <c r="T369" s="621"/>
      <c r="U369" s="621"/>
      <c r="V369" s="622"/>
      <c r="W369" s="40" t="s">
        <v>39</v>
      </c>
      <c r="X369" s="41">
        <f>IFERROR(X362/H362,"0")+IFERROR(X363/H363,"0")+IFERROR(X364/H364,"0")+IFERROR(X365/H365,"0")+IFERROR(X366/H366,"0")+IFERROR(X367/H367,"0")+IFERROR(X368/H368,"0")</f>
        <v>47.61904761904762</v>
      </c>
      <c r="Y369" s="41">
        <f>IFERROR(Y362/H362,"0")+IFERROR(Y363/H363,"0")+IFERROR(Y364/H364,"0")+IFERROR(Y365/H365,"0")+IFERROR(Y366/H366,"0")+IFERROR(Y367/H367,"0")+IFERROR(Y368/H368,"0")</f>
        <v>48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0.43296000000000001</v>
      </c>
      <c r="AA369" s="64"/>
      <c r="AB369" s="64"/>
      <c r="AC369" s="64"/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0</v>
      </c>
      <c r="X370" s="41">
        <f>IFERROR(SUM(X362:X368),"0")</f>
        <v>200</v>
      </c>
      <c r="Y370" s="41">
        <f>IFERROR(SUM(Y362:Y368),"0")</f>
        <v>201.60000000000002</v>
      </c>
      <c r="Z370" s="40"/>
      <c r="AA370" s="64"/>
      <c r="AB370" s="64"/>
      <c r="AC370" s="64"/>
    </row>
    <row r="371" spans="1:68" ht="14.25" hidden="1" customHeight="1" x14ac:dyDescent="0.25">
      <c r="A371" s="615" t="s">
        <v>86</v>
      </c>
      <c r="B371" s="615"/>
      <c r="C371" s="615"/>
      <c r="D371" s="615"/>
      <c r="E371" s="615"/>
      <c r="F371" s="615"/>
      <c r="G371" s="615"/>
      <c r="H371" s="615"/>
      <c r="I371" s="615"/>
      <c r="J371" s="615"/>
      <c r="K371" s="615"/>
      <c r="L371" s="615"/>
      <c r="M371" s="615"/>
      <c r="N371" s="615"/>
      <c r="O371" s="615"/>
      <c r="P371" s="615"/>
      <c r="Q371" s="615"/>
      <c r="R371" s="615"/>
      <c r="S371" s="615"/>
      <c r="T371" s="615"/>
      <c r="U371" s="615"/>
      <c r="V371" s="615"/>
      <c r="W371" s="615"/>
      <c r="X371" s="615"/>
      <c r="Y371" s="615"/>
      <c r="Z371" s="615"/>
      <c r="AA371" s="63"/>
      <c r="AB371" s="63"/>
      <c r="AC371" s="63"/>
    </row>
    <row r="372" spans="1:68" ht="27" customHeight="1" x14ac:dyDescent="0.25">
      <c r="A372" s="60" t="s">
        <v>618</v>
      </c>
      <c r="B372" s="60" t="s">
        <v>619</v>
      </c>
      <c r="C372" s="34">
        <v>4301051100</v>
      </c>
      <c r="D372" s="616">
        <v>4607091387766</v>
      </c>
      <c r="E372" s="616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134</v>
      </c>
      <c r="L372" s="35" t="s">
        <v>46</v>
      </c>
      <c r="M372" s="36" t="s">
        <v>90</v>
      </c>
      <c r="N372" s="36"/>
      <c r="O372" s="35">
        <v>40</v>
      </c>
      <c r="P372" s="7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18"/>
      <c r="R372" s="618"/>
      <c r="S372" s="618"/>
      <c r="T372" s="619"/>
      <c r="U372" s="37" t="s">
        <v>46</v>
      </c>
      <c r="V372" s="37" t="s">
        <v>46</v>
      </c>
      <c r="W372" s="38" t="s">
        <v>0</v>
      </c>
      <c r="X372" s="56">
        <v>2400</v>
      </c>
      <c r="Y372" s="53">
        <f>IFERROR(IF(X372="",0,CEILING((X372/$H372),1)*$H372),"")</f>
        <v>2402.4</v>
      </c>
      <c r="Z372" s="39">
        <f>IFERROR(IF(Y372=0,"",ROUNDUP(Y372/H372,0)*0.01898),"")</f>
        <v>5.8458399999999999</v>
      </c>
      <c r="AA372" s="65" t="s">
        <v>46</v>
      </c>
      <c r="AB372" s="66" t="s">
        <v>46</v>
      </c>
      <c r="AC372" s="459" t="s">
        <v>620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2550.1538461538462</v>
      </c>
      <c r="BN372" s="75">
        <f>IFERROR(Y372*I372/H372,"0")</f>
        <v>2552.7040000000002</v>
      </c>
      <c r="BO372" s="75">
        <f>IFERROR(1/J372*(X372/H372),"0")</f>
        <v>4.8076923076923075</v>
      </c>
      <c r="BP372" s="75">
        <f>IFERROR(1/J372*(Y372/H372),"0")</f>
        <v>4.8125</v>
      </c>
    </row>
    <row r="373" spans="1:68" ht="27" hidden="1" customHeight="1" x14ac:dyDescent="0.25">
      <c r="A373" s="60" t="s">
        <v>621</v>
      </c>
      <c r="B373" s="60" t="s">
        <v>622</v>
      </c>
      <c r="C373" s="34">
        <v>4301051818</v>
      </c>
      <c r="D373" s="616">
        <v>4607091387957</v>
      </c>
      <c r="E373" s="616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134</v>
      </c>
      <c r="L373" s="35" t="s">
        <v>46</v>
      </c>
      <c r="M373" s="36" t="s">
        <v>90</v>
      </c>
      <c r="N373" s="36"/>
      <c r="O373" s="35">
        <v>40</v>
      </c>
      <c r="P373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18"/>
      <c r="R373" s="618"/>
      <c r="S373" s="618"/>
      <c r="T373" s="61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623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624</v>
      </c>
      <c r="B374" s="60" t="s">
        <v>625</v>
      </c>
      <c r="C374" s="34">
        <v>4301051819</v>
      </c>
      <c r="D374" s="616">
        <v>4607091387964</v>
      </c>
      <c r="E374" s="616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134</v>
      </c>
      <c r="L374" s="35" t="s">
        <v>46</v>
      </c>
      <c r="M374" s="36" t="s">
        <v>90</v>
      </c>
      <c r="N374" s="36"/>
      <c r="O374" s="35">
        <v>40</v>
      </c>
      <c r="P374" s="70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18"/>
      <c r="R374" s="618"/>
      <c r="S374" s="618"/>
      <c r="T374" s="61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626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627</v>
      </c>
      <c r="B375" s="60" t="s">
        <v>628</v>
      </c>
      <c r="C375" s="34">
        <v>4301051734</v>
      </c>
      <c r="D375" s="616">
        <v>4680115884588</v>
      </c>
      <c r="E375" s="616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70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18"/>
      <c r="R375" s="618"/>
      <c r="S375" s="618"/>
      <c r="T375" s="619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620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39</v>
      </c>
      <c r="X376" s="41">
        <f>IFERROR(X372/H372,"0")+IFERROR(X373/H373,"0")+IFERROR(X374/H374,"0")+IFERROR(X375/H375,"0")</f>
        <v>307.69230769230768</v>
      </c>
      <c r="Y376" s="41">
        <f>IFERROR(Y372/H372,"0")+IFERROR(Y373/H373,"0")+IFERROR(Y374/H374,"0")+IFERROR(Y375/H375,"0")</f>
        <v>308</v>
      </c>
      <c r="Z376" s="41">
        <f>IFERROR(IF(Z372="",0,Z372),"0")+IFERROR(IF(Z373="",0,Z373),"0")+IFERROR(IF(Z374="",0,Z374),"0")+IFERROR(IF(Z375="",0,Z375),"0")</f>
        <v>5.8458399999999999</v>
      </c>
      <c r="AA376" s="64"/>
      <c r="AB376" s="64"/>
      <c r="AC376" s="64"/>
    </row>
    <row r="377" spans="1:68" x14ac:dyDescent="0.2">
      <c r="A377" s="623"/>
      <c r="B377" s="623"/>
      <c r="C377" s="623"/>
      <c r="D377" s="623"/>
      <c r="E377" s="623"/>
      <c r="F377" s="623"/>
      <c r="G377" s="623"/>
      <c r="H377" s="623"/>
      <c r="I377" s="623"/>
      <c r="J377" s="623"/>
      <c r="K377" s="623"/>
      <c r="L377" s="623"/>
      <c r="M377" s="623"/>
      <c r="N377" s="623"/>
      <c r="O377" s="624"/>
      <c r="P377" s="620" t="s">
        <v>40</v>
      </c>
      <c r="Q377" s="621"/>
      <c r="R377" s="621"/>
      <c r="S377" s="621"/>
      <c r="T377" s="621"/>
      <c r="U377" s="621"/>
      <c r="V377" s="622"/>
      <c r="W377" s="40" t="s">
        <v>0</v>
      </c>
      <c r="X377" s="41">
        <f>IFERROR(SUM(X372:X375),"0")</f>
        <v>2400</v>
      </c>
      <c r="Y377" s="41">
        <f>IFERROR(SUM(Y372:Y375),"0")</f>
        <v>2402.4</v>
      </c>
      <c r="Z377" s="40"/>
      <c r="AA377" s="64"/>
      <c r="AB377" s="64"/>
      <c r="AC377" s="64"/>
    </row>
    <row r="378" spans="1:68" ht="14.25" hidden="1" customHeight="1" x14ac:dyDescent="0.25">
      <c r="A378" s="615" t="s">
        <v>183</v>
      </c>
      <c r="B378" s="615"/>
      <c r="C378" s="615"/>
      <c r="D378" s="615"/>
      <c r="E378" s="615"/>
      <c r="F378" s="615"/>
      <c r="G378" s="615"/>
      <c r="H378" s="615"/>
      <c r="I378" s="615"/>
      <c r="J378" s="615"/>
      <c r="K378" s="615"/>
      <c r="L378" s="615"/>
      <c r="M378" s="615"/>
      <c r="N378" s="615"/>
      <c r="O378" s="615"/>
      <c r="P378" s="615"/>
      <c r="Q378" s="615"/>
      <c r="R378" s="615"/>
      <c r="S378" s="615"/>
      <c r="T378" s="615"/>
      <c r="U378" s="615"/>
      <c r="V378" s="615"/>
      <c r="W378" s="615"/>
      <c r="X378" s="615"/>
      <c r="Y378" s="615"/>
      <c r="Z378" s="615"/>
      <c r="AA378" s="63"/>
      <c r="AB378" s="63"/>
      <c r="AC378" s="63"/>
    </row>
    <row r="379" spans="1:68" ht="27" hidden="1" customHeight="1" x14ac:dyDescent="0.25">
      <c r="A379" s="60" t="s">
        <v>629</v>
      </c>
      <c r="B379" s="60" t="s">
        <v>630</v>
      </c>
      <c r="C379" s="34">
        <v>4301060387</v>
      </c>
      <c r="D379" s="616">
        <v>4607091380880</v>
      </c>
      <c r="E379" s="616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134</v>
      </c>
      <c r="L379" s="35" t="s">
        <v>46</v>
      </c>
      <c r="M379" s="36" t="s">
        <v>90</v>
      </c>
      <c r="N379" s="36"/>
      <c r="O379" s="35">
        <v>30</v>
      </c>
      <c r="P379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18"/>
      <c r="R379" s="618"/>
      <c r="S379" s="618"/>
      <c r="T379" s="61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631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632</v>
      </c>
      <c r="B380" s="60" t="s">
        <v>633</v>
      </c>
      <c r="C380" s="34">
        <v>4301060406</v>
      </c>
      <c r="D380" s="616">
        <v>4607091384482</v>
      </c>
      <c r="E380" s="61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134</v>
      </c>
      <c r="L380" s="35" t="s">
        <v>46</v>
      </c>
      <c r="M380" s="36" t="s">
        <v>90</v>
      </c>
      <c r="N380" s="36"/>
      <c r="O380" s="35">
        <v>30</v>
      </c>
      <c r="P380" s="7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18"/>
      <c r="R380" s="618"/>
      <c r="S380" s="618"/>
      <c r="T380" s="619"/>
      <c r="U380" s="37" t="s">
        <v>46</v>
      </c>
      <c r="V380" s="37" t="s">
        <v>46</v>
      </c>
      <c r="W380" s="38" t="s">
        <v>0</v>
      </c>
      <c r="X380" s="56">
        <v>800</v>
      </c>
      <c r="Y380" s="53">
        <f>IFERROR(IF(X380="",0,CEILING((X380/$H380),1)*$H380),"")</f>
        <v>803.4</v>
      </c>
      <c r="Z380" s="39">
        <f>IFERROR(IF(Y380=0,"",ROUNDUP(Y380/H380,0)*0.01898),"")</f>
        <v>1.9549400000000001</v>
      </c>
      <c r="AA380" s="65" t="s">
        <v>46</v>
      </c>
      <c r="AB380" s="66" t="s">
        <v>46</v>
      </c>
      <c r="AC380" s="469" t="s">
        <v>634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850.66666666666674</v>
      </c>
      <c r="BN380" s="75">
        <f>IFERROR(Y380*I380/H380,"0")</f>
        <v>854.28200000000015</v>
      </c>
      <c r="BO380" s="75">
        <f>IFERROR(1/J380*(X380/H380),"0")</f>
        <v>1.6025641025641026</v>
      </c>
      <c r="BP380" s="75">
        <f>IFERROR(1/J380*(Y380/H380),"0")</f>
        <v>1.609375</v>
      </c>
    </row>
    <row r="381" spans="1:68" ht="16.5" hidden="1" customHeight="1" x14ac:dyDescent="0.25">
      <c r="A381" s="60" t="s">
        <v>635</v>
      </c>
      <c r="B381" s="60" t="s">
        <v>636</v>
      </c>
      <c r="C381" s="34">
        <v>4301060484</v>
      </c>
      <c r="D381" s="616">
        <v>4607091380897</v>
      </c>
      <c r="E381" s="616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134</v>
      </c>
      <c r="L381" s="35" t="s">
        <v>46</v>
      </c>
      <c r="M381" s="36" t="s">
        <v>97</v>
      </c>
      <c r="N381" s="36"/>
      <c r="O381" s="35">
        <v>30</v>
      </c>
      <c r="P381" s="7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18"/>
      <c r="R381" s="618"/>
      <c r="S381" s="618"/>
      <c r="T381" s="619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637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23"/>
      <c r="B382" s="623"/>
      <c r="C382" s="623"/>
      <c r="D382" s="623"/>
      <c r="E382" s="623"/>
      <c r="F382" s="623"/>
      <c r="G382" s="623"/>
      <c r="H382" s="623"/>
      <c r="I382" s="623"/>
      <c r="J382" s="623"/>
      <c r="K382" s="623"/>
      <c r="L382" s="623"/>
      <c r="M382" s="623"/>
      <c r="N382" s="623"/>
      <c r="O382" s="624"/>
      <c r="P382" s="620" t="s">
        <v>40</v>
      </c>
      <c r="Q382" s="621"/>
      <c r="R382" s="621"/>
      <c r="S382" s="621"/>
      <c r="T382" s="621"/>
      <c r="U382" s="621"/>
      <c r="V382" s="622"/>
      <c r="W382" s="40" t="s">
        <v>39</v>
      </c>
      <c r="X382" s="41">
        <f>IFERROR(X379/H379,"0")+IFERROR(X380/H380,"0")+IFERROR(X381/H381,"0")</f>
        <v>102.56410256410257</v>
      </c>
      <c r="Y382" s="41">
        <f>IFERROR(Y379/H379,"0")+IFERROR(Y380/H380,"0")+IFERROR(Y381/H381,"0")</f>
        <v>103</v>
      </c>
      <c r="Z382" s="41">
        <f>IFERROR(IF(Z379="",0,Z379),"0")+IFERROR(IF(Z380="",0,Z380),"0")+IFERROR(IF(Z381="",0,Z381),"0")</f>
        <v>1.9549400000000001</v>
      </c>
      <c r="AA382" s="64"/>
      <c r="AB382" s="64"/>
      <c r="AC382" s="64"/>
    </row>
    <row r="383" spans="1:68" x14ac:dyDescent="0.2">
      <c r="A383" s="623"/>
      <c r="B383" s="623"/>
      <c r="C383" s="623"/>
      <c r="D383" s="623"/>
      <c r="E383" s="623"/>
      <c r="F383" s="623"/>
      <c r="G383" s="623"/>
      <c r="H383" s="623"/>
      <c r="I383" s="623"/>
      <c r="J383" s="623"/>
      <c r="K383" s="623"/>
      <c r="L383" s="623"/>
      <c r="M383" s="623"/>
      <c r="N383" s="623"/>
      <c r="O383" s="624"/>
      <c r="P383" s="620" t="s">
        <v>40</v>
      </c>
      <c r="Q383" s="621"/>
      <c r="R383" s="621"/>
      <c r="S383" s="621"/>
      <c r="T383" s="621"/>
      <c r="U383" s="621"/>
      <c r="V383" s="622"/>
      <c r="W383" s="40" t="s">
        <v>0</v>
      </c>
      <c r="X383" s="41">
        <f>IFERROR(SUM(X379:X381),"0")</f>
        <v>800</v>
      </c>
      <c r="Y383" s="41">
        <f>IFERROR(SUM(Y379:Y381),"0")</f>
        <v>803.4</v>
      </c>
      <c r="Z383" s="40"/>
      <c r="AA383" s="64"/>
      <c r="AB383" s="64"/>
      <c r="AC383" s="64"/>
    </row>
    <row r="384" spans="1:68" ht="14.25" hidden="1" customHeight="1" x14ac:dyDescent="0.25">
      <c r="A384" s="615" t="s">
        <v>104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hidden="1" customHeight="1" x14ac:dyDescent="0.25">
      <c r="A385" s="60" t="s">
        <v>638</v>
      </c>
      <c r="B385" s="60" t="s">
        <v>639</v>
      </c>
      <c r="C385" s="34">
        <v>4301030235</v>
      </c>
      <c r="D385" s="616">
        <v>4607091388381</v>
      </c>
      <c r="E385" s="616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141</v>
      </c>
      <c r="L385" s="35" t="s">
        <v>46</v>
      </c>
      <c r="M385" s="36" t="s">
        <v>109</v>
      </c>
      <c r="N385" s="36"/>
      <c r="O385" s="35">
        <v>180</v>
      </c>
      <c r="P385" s="6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18"/>
      <c r="R385" s="618"/>
      <c r="S385" s="618"/>
      <c r="T385" s="6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640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4301030232</v>
      </c>
      <c r="D386" s="616">
        <v>4607091388374</v>
      </c>
      <c r="E386" s="616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141</v>
      </c>
      <c r="L386" s="35" t="s">
        <v>46</v>
      </c>
      <c r="M386" s="36" t="s">
        <v>109</v>
      </c>
      <c r="N386" s="36"/>
      <c r="O386" s="35">
        <v>180</v>
      </c>
      <c r="P386" s="6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18"/>
      <c r="R386" s="618"/>
      <c r="S386" s="618"/>
      <c r="T386" s="61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640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4301032015</v>
      </c>
      <c r="D387" s="616">
        <v>4607091383102</v>
      </c>
      <c r="E387" s="616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6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18"/>
      <c r="R387" s="618"/>
      <c r="S387" s="618"/>
      <c r="T387" s="619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640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4301030233</v>
      </c>
      <c r="D388" s="616">
        <v>4607091388404</v>
      </c>
      <c r="E388" s="616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6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18"/>
      <c r="R388" s="618"/>
      <c r="S388" s="618"/>
      <c r="T388" s="61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23"/>
      <c r="B389" s="623"/>
      <c r="C389" s="623"/>
      <c r="D389" s="623"/>
      <c r="E389" s="623"/>
      <c r="F389" s="623"/>
      <c r="G389" s="623"/>
      <c r="H389" s="623"/>
      <c r="I389" s="623"/>
      <c r="J389" s="623"/>
      <c r="K389" s="623"/>
      <c r="L389" s="623"/>
      <c r="M389" s="623"/>
      <c r="N389" s="623"/>
      <c r="O389" s="624"/>
      <c r="P389" s="620" t="s">
        <v>40</v>
      </c>
      <c r="Q389" s="621"/>
      <c r="R389" s="621"/>
      <c r="S389" s="621"/>
      <c r="T389" s="621"/>
      <c r="U389" s="621"/>
      <c r="V389" s="622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23"/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4"/>
      <c r="P390" s="620" t="s">
        <v>40</v>
      </c>
      <c r="Q390" s="621"/>
      <c r="R390" s="621"/>
      <c r="S390" s="621"/>
      <c r="T390" s="621"/>
      <c r="U390" s="621"/>
      <c r="V390" s="622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15" t="s">
        <v>647</v>
      </c>
      <c r="B391" s="615"/>
      <c r="C391" s="615"/>
      <c r="D391" s="615"/>
      <c r="E391" s="615"/>
      <c r="F391" s="615"/>
      <c r="G391" s="615"/>
      <c r="H391" s="615"/>
      <c r="I391" s="615"/>
      <c r="J391" s="615"/>
      <c r="K391" s="615"/>
      <c r="L391" s="615"/>
      <c r="M391" s="615"/>
      <c r="N391" s="615"/>
      <c r="O391" s="615"/>
      <c r="P391" s="615"/>
      <c r="Q391" s="615"/>
      <c r="R391" s="615"/>
      <c r="S391" s="615"/>
      <c r="T391" s="615"/>
      <c r="U391" s="615"/>
      <c r="V391" s="615"/>
      <c r="W391" s="615"/>
      <c r="X391" s="615"/>
      <c r="Y391" s="615"/>
      <c r="Z391" s="615"/>
      <c r="AA391" s="63"/>
      <c r="AB391" s="63"/>
      <c r="AC391" s="63"/>
    </row>
    <row r="392" spans="1:68" ht="16.5" hidden="1" customHeight="1" x14ac:dyDescent="0.25">
      <c r="A392" s="60" t="s">
        <v>648</v>
      </c>
      <c r="B392" s="60" t="s">
        <v>649</v>
      </c>
      <c r="C392" s="34">
        <v>4301180007</v>
      </c>
      <c r="D392" s="616">
        <v>4680115881808</v>
      </c>
      <c r="E392" s="616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651</v>
      </c>
      <c r="N392" s="36"/>
      <c r="O392" s="35">
        <v>731</v>
      </c>
      <c r="P392" s="6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18"/>
      <c r="R392" s="618"/>
      <c r="S392" s="618"/>
      <c r="T392" s="61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650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4301180006</v>
      </c>
      <c r="D393" s="616">
        <v>4680115881822</v>
      </c>
      <c r="E393" s="616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651</v>
      </c>
      <c r="N393" s="36"/>
      <c r="O393" s="35">
        <v>731</v>
      </c>
      <c r="P393" s="6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18"/>
      <c r="R393" s="618"/>
      <c r="S393" s="618"/>
      <c r="T393" s="61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650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4301180001</v>
      </c>
      <c r="D394" s="616">
        <v>4680115880016</v>
      </c>
      <c r="E394" s="616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651</v>
      </c>
      <c r="N394" s="36"/>
      <c r="O394" s="35">
        <v>731</v>
      </c>
      <c r="P394" s="6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18"/>
      <c r="R394" s="618"/>
      <c r="S394" s="618"/>
      <c r="T394" s="61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650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23"/>
      <c r="B396" s="623"/>
      <c r="C396" s="623"/>
      <c r="D396" s="623"/>
      <c r="E396" s="623"/>
      <c r="F396" s="623"/>
      <c r="G396" s="623"/>
      <c r="H396" s="623"/>
      <c r="I396" s="623"/>
      <c r="J396" s="623"/>
      <c r="K396" s="623"/>
      <c r="L396" s="623"/>
      <c r="M396" s="623"/>
      <c r="N396" s="623"/>
      <c r="O396" s="624"/>
      <c r="P396" s="620" t="s">
        <v>40</v>
      </c>
      <c r="Q396" s="621"/>
      <c r="R396" s="621"/>
      <c r="S396" s="621"/>
      <c r="T396" s="621"/>
      <c r="U396" s="621"/>
      <c r="V396" s="622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6.5" hidden="1" customHeight="1" x14ac:dyDescent="0.25">
      <c r="A397" s="631" t="s">
        <v>656</v>
      </c>
      <c r="B397" s="631"/>
      <c r="C397" s="631"/>
      <c r="D397" s="631"/>
      <c r="E397" s="631"/>
      <c r="F397" s="631"/>
      <c r="G397" s="631"/>
      <c r="H397" s="631"/>
      <c r="I397" s="631"/>
      <c r="J397" s="631"/>
      <c r="K397" s="631"/>
      <c r="L397" s="631"/>
      <c r="M397" s="631"/>
      <c r="N397" s="631"/>
      <c r="O397" s="631"/>
      <c r="P397" s="631"/>
      <c r="Q397" s="631"/>
      <c r="R397" s="631"/>
      <c r="S397" s="631"/>
      <c r="T397" s="631"/>
      <c r="U397" s="631"/>
      <c r="V397" s="631"/>
      <c r="W397" s="631"/>
      <c r="X397" s="631"/>
      <c r="Y397" s="631"/>
      <c r="Z397" s="631"/>
      <c r="AA397" s="62"/>
      <c r="AB397" s="62"/>
      <c r="AC397" s="62"/>
    </row>
    <row r="398" spans="1:68" ht="14.25" hidden="1" customHeight="1" x14ac:dyDescent="0.25">
      <c r="A398" s="615" t="s">
        <v>86</v>
      </c>
      <c r="B398" s="615"/>
      <c r="C398" s="615"/>
      <c r="D398" s="615"/>
      <c r="E398" s="615"/>
      <c r="F398" s="615"/>
      <c r="G398" s="615"/>
      <c r="H398" s="615"/>
      <c r="I398" s="615"/>
      <c r="J398" s="615"/>
      <c r="K398" s="615"/>
      <c r="L398" s="615"/>
      <c r="M398" s="615"/>
      <c r="N398" s="615"/>
      <c r="O398" s="615"/>
      <c r="P398" s="615"/>
      <c r="Q398" s="615"/>
      <c r="R398" s="615"/>
      <c r="S398" s="615"/>
      <c r="T398" s="615"/>
      <c r="U398" s="615"/>
      <c r="V398" s="615"/>
      <c r="W398" s="615"/>
      <c r="X398" s="615"/>
      <c r="Y398" s="615"/>
      <c r="Z398" s="615"/>
      <c r="AA398" s="63"/>
      <c r="AB398" s="63"/>
      <c r="AC398" s="63"/>
    </row>
    <row r="399" spans="1:68" ht="27" hidden="1" customHeight="1" x14ac:dyDescent="0.25">
      <c r="A399" s="60" t="s">
        <v>657</v>
      </c>
      <c r="B399" s="60" t="s">
        <v>658</v>
      </c>
      <c r="C399" s="34">
        <v>4301051489</v>
      </c>
      <c r="D399" s="616">
        <v>4607091387919</v>
      </c>
      <c r="E399" s="616"/>
      <c r="F399" s="59">
        <v>1.35</v>
      </c>
      <c r="G399" s="35">
        <v>6</v>
      </c>
      <c r="H399" s="59">
        <v>8.1</v>
      </c>
      <c r="I399" s="59">
        <v>8.5939999999999994</v>
      </c>
      <c r="J399" s="35">
        <v>64</v>
      </c>
      <c r="K399" s="35" t="s">
        <v>134</v>
      </c>
      <c r="L399" s="35" t="s">
        <v>46</v>
      </c>
      <c r="M399" s="36" t="s">
        <v>97</v>
      </c>
      <c r="N399" s="36"/>
      <c r="O399" s="35">
        <v>45</v>
      </c>
      <c r="P399" s="69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18"/>
      <c r="R399" s="618"/>
      <c r="S399" s="618"/>
      <c r="T399" s="61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IFERROR(IF(Y399=0,"",ROUNDUP(Y399/H399,0)*0.01898),"")</f>
        <v/>
      </c>
      <c r="AA399" s="65" t="s">
        <v>46</v>
      </c>
      <c r="AB399" s="66" t="s">
        <v>46</v>
      </c>
      <c r="AC399" s="487" t="s">
        <v>659</v>
      </c>
      <c r="AG399" s="75"/>
      <c r="AJ399" s="79" t="s">
        <v>46</v>
      </c>
      <c r="AK399" s="79">
        <v>0</v>
      </c>
      <c r="BB399" s="488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660</v>
      </c>
      <c r="B400" s="60" t="s">
        <v>661</v>
      </c>
      <c r="C400" s="34">
        <v>4301051461</v>
      </c>
      <c r="D400" s="616">
        <v>4680115883604</v>
      </c>
      <c r="E400" s="616"/>
      <c r="F400" s="59">
        <v>0.35</v>
      </c>
      <c r="G400" s="35">
        <v>6</v>
      </c>
      <c r="H400" s="59">
        <v>2.1</v>
      </c>
      <c r="I400" s="59">
        <v>2.3519999999999999</v>
      </c>
      <c r="J400" s="35">
        <v>182</v>
      </c>
      <c r="K400" s="35" t="s">
        <v>91</v>
      </c>
      <c r="L400" s="35" t="s">
        <v>46</v>
      </c>
      <c r="M400" s="36" t="s">
        <v>90</v>
      </c>
      <c r="N400" s="36"/>
      <c r="O400" s="35">
        <v>45</v>
      </c>
      <c r="P400" s="6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18"/>
      <c r="R400" s="618"/>
      <c r="S400" s="618"/>
      <c r="T400" s="61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489" t="s">
        <v>662</v>
      </c>
      <c r="AG400" s="75"/>
      <c r="AJ400" s="79" t="s">
        <v>46</v>
      </c>
      <c r="AK400" s="79">
        <v>0</v>
      </c>
      <c r="BB400" s="490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663</v>
      </c>
      <c r="B401" s="60" t="s">
        <v>664</v>
      </c>
      <c r="C401" s="34">
        <v>4301051864</v>
      </c>
      <c r="D401" s="616">
        <v>4680115883567</v>
      </c>
      <c r="E401" s="616"/>
      <c r="F401" s="59">
        <v>0.35</v>
      </c>
      <c r="G401" s="35">
        <v>6</v>
      </c>
      <c r="H401" s="59">
        <v>2.1</v>
      </c>
      <c r="I401" s="59">
        <v>2.34</v>
      </c>
      <c r="J401" s="35">
        <v>182</v>
      </c>
      <c r="K401" s="35" t="s">
        <v>91</v>
      </c>
      <c r="L401" s="35" t="s">
        <v>46</v>
      </c>
      <c r="M401" s="36" t="s">
        <v>97</v>
      </c>
      <c r="N401" s="36"/>
      <c r="O401" s="35">
        <v>40</v>
      </c>
      <c r="P401" s="6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18"/>
      <c r="R401" s="618"/>
      <c r="S401" s="618"/>
      <c r="T401" s="61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491" t="s">
        <v>665</v>
      </c>
      <c r="AG401" s="75"/>
      <c r="AJ401" s="79" t="s">
        <v>46</v>
      </c>
      <c r="AK401" s="79">
        <v>0</v>
      </c>
      <c r="BB401" s="492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3"/>
      <c r="B402" s="623"/>
      <c r="C402" s="623"/>
      <c r="D402" s="623"/>
      <c r="E402" s="623"/>
      <c r="F402" s="623"/>
      <c r="G402" s="623"/>
      <c r="H402" s="623"/>
      <c r="I402" s="623"/>
      <c r="J402" s="623"/>
      <c r="K402" s="623"/>
      <c r="L402" s="623"/>
      <c r="M402" s="623"/>
      <c r="N402" s="623"/>
      <c r="O402" s="624"/>
      <c r="P402" s="620" t="s">
        <v>40</v>
      </c>
      <c r="Q402" s="621"/>
      <c r="R402" s="621"/>
      <c r="S402" s="621"/>
      <c r="T402" s="621"/>
      <c r="U402" s="621"/>
      <c r="V402" s="622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3"/>
      <c r="B403" s="623"/>
      <c r="C403" s="623"/>
      <c r="D403" s="623"/>
      <c r="E403" s="623"/>
      <c r="F403" s="623"/>
      <c r="G403" s="623"/>
      <c r="H403" s="623"/>
      <c r="I403" s="623"/>
      <c r="J403" s="623"/>
      <c r="K403" s="623"/>
      <c r="L403" s="623"/>
      <c r="M403" s="623"/>
      <c r="N403" s="623"/>
      <c r="O403" s="624"/>
      <c r="P403" s="620" t="s">
        <v>40</v>
      </c>
      <c r="Q403" s="621"/>
      <c r="R403" s="621"/>
      <c r="S403" s="621"/>
      <c r="T403" s="621"/>
      <c r="U403" s="621"/>
      <c r="V403" s="622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27.75" hidden="1" customHeight="1" x14ac:dyDescent="0.2">
      <c r="A404" s="636" t="s">
        <v>666</v>
      </c>
      <c r="B404" s="636"/>
      <c r="C404" s="636"/>
      <c r="D404" s="636"/>
      <c r="E404" s="636"/>
      <c r="F404" s="636"/>
      <c r="G404" s="636"/>
      <c r="H404" s="636"/>
      <c r="I404" s="636"/>
      <c r="J404" s="636"/>
      <c r="K404" s="636"/>
      <c r="L404" s="636"/>
      <c r="M404" s="636"/>
      <c r="N404" s="636"/>
      <c r="O404" s="636"/>
      <c r="P404" s="636"/>
      <c r="Q404" s="636"/>
      <c r="R404" s="636"/>
      <c r="S404" s="636"/>
      <c r="T404" s="636"/>
      <c r="U404" s="636"/>
      <c r="V404" s="636"/>
      <c r="W404" s="636"/>
      <c r="X404" s="636"/>
      <c r="Y404" s="636"/>
      <c r="Z404" s="636"/>
      <c r="AA404" s="52"/>
      <c r="AB404" s="52"/>
      <c r="AC404" s="52"/>
    </row>
    <row r="405" spans="1:68" ht="16.5" hidden="1" customHeight="1" x14ac:dyDescent="0.25">
      <c r="A405" s="631" t="s">
        <v>667</v>
      </c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1"/>
      <c r="P405" s="631"/>
      <c r="Q405" s="631"/>
      <c r="R405" s="631"/>
      <c r="S405" s="631"/>
      <c r="T405" s="631"/>
      <c r="U405" s="631"/>
      <c r="V405" s="631"/>
      <c r="W405" s="631"/>
      <c r="X405" s="631"/>
      <c r="Y405" s="631"/>
      <c r="Z405" s="631"/>
      <c r="AA405" s="62"/>
      <c r="AB405" s="62"/>
      <c r="AC405" s="62"/>
    </row>
    <row r="406" spans="1:68" ht="14.25" hidden="1" customHeight="1" x14ac:dyDescent="0.25">
      <c r="A406" s="615" t="s">
        <v>129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hidden="1" customHeight="1" x14ac:dyDescent="0.25">
      <c r="A407" s="60" t="s">
        <v>668</v>
      </c>
      <c r="B407" s="60" t="s">
        <v>669</v>
      </c>
      <c r="C407" s="34">
        <v>4301012332</v>
      </c>
      <c r="D407" s="616">
        <v>4680115888401</v>
      </c>
      <c r="E407" s="616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134</v>
      </c>
      <c r="L407" s="35" t="s">
        <v>46</v>
      </c>
      <c r="M407" s="36" t="s">
        <v>97</v>
      </c>
      <c r="N407" s="36"/>
      <c r="O407" s="35">
        <v>60</v>
      </c>
      <c r="P407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18"/>
      <c r="R407" s="618"/>
      <c r="S407" s="618"/>
      <c r="T407" s="619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ref="Y407:Y414" si="57">IFERROR(IF(X407="",0,CEILING((X407/$H407),1)*$H407),"")</f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670</v>
      </c>
      <c r="AG407" s="75"/>
      <c r="AJ407" s="79" t="s">
        <v>46</v>
      </c>
      <c r="AK407" s="79">
        <v>0</v>
      </c>
      <c r="BB407" s="494" t="s">
        <v>67</v>
      </c>
      <c r="BM407" s="75">
        <f t="shared" ref="BM407:BM414" si="58">IFERROR(X407*I407/H407,"0")</f>
        <v>0</v>
      </c>
      <c r="BN407" s="75">
        <f t="shared" ref="BN407:BN414" si="59">IFERROR(Y407*I407/H407,"0")</f>
        <v>0</v>
      </c>
      <c r="BO407" s="75">
        <f t="shared" ref="BO407:BO414" si="60">IFERROR(1/J407*(X407/H407),"0")</f>
        <v>0</v>
      </c>
      <c r="BP407" s="75">
        <f t="shared" ref="BP407:BP414" si="61">IFERROR(1/J407*(Y407/H407),"0")</f>
        <v>0</v>
      </c>
    </row>
    <row r="408" spans="1:68" ht="37.5" customHeight="1" x14ac:dyDescent="0.25">
      <c r="A408" s="60" t="s">
        <v>671</v>
      </c>
      <c r="B408" s="60" t="s">
        <v>672</v>
      </c>
      <c r="C408" s="34">
        <v>4301011869</v>
      </c>
      <c r="D408" s="616">
        <v>4680115884847</v>
      </c>
      <c r="E408" s="616"/>
      <c r="F408" s="59">
        <v>2.5</v>
      </c>
      <c r="G408" s="35">
        <v>6</v>
      </c>
      <c r="H408" s="59">
        <v>15</v>
      </c>
      <c r="I408" s="59">
        <v>15.47</v>
      </c>
      <c r="J408" s="35">
        <v>48</v>
      </c>
      <c r="K408" s="35" t="s">
        <v>134</v>
      </c>
      <c r="L408" s="35" t="s">
        <v>46</v>
      </c>
      <c r="M408" s="36" t="s">
        <v>81</v>
      </c>
      <c r="N408" s="36"/>
      <c r="O408" s="35">
        <v>60</v>
      </c>
      <c r="P408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18"/>
      <c r="R408" s="618"/>
      <c r="S408" s="618"/>
      <c r="T408" s="619"/>
      <c r="U408" s="37" t="s">
        <v>46</v>
      </c>
      <c r="V408" s="37" t="s">
        <v>46</v>
      </c>
      <c r="W408" s="38" t="s">
        <v>0</v>
      </c>
      <c r="X408" s="56">
        <v>1500</v>
      </c>
      <c r="Y408" s="53">
        <f t="shared" si="57"/>
        <v>1500</v>
      </c>
      <c r="Z408" s="39">
        <f>IFERROR(IF(Y408=0,"",ROUNDUP(Y408/H408,0)*0.02175),"")</f>
        <v>2.1749999999999998</v>
      </c>
      <c r="AA408" s="65" t="s">
        <v>46</v>
      </c>
      <c r="AB408" s="66" t="s">
        <v>46</v>
      </c>
      <c r="AC408" s="495" t="s">
        <v>673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1547</v>
      </c>
      <c r="BN408" s="75">
        <f t="shared" si="59"/>
        <v>1547</v>
      </c>
      <c r="BO408" s="75">
        <f t="shared" si="60"/>
        <v>2.083333333333333</v>
      </c>
      <c r="BP408" s="75">
        <f t="shared" si="61"/>
        <v>2.083333333333333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4301012083</v>
      </c>
      <c r="D409" s="616">
        <v>4680115884854</v>
      </c>
      <c r="E409" s="616"/>
      <c r="F409" s="59">
        <v>2.5</v>
      </c>
      <c r="G409" s="35">
        <v>6</v>
      </c>
      <c r="H409" s="59">
        <v>15</v>
      </c>
      <c r="I409" s="59">
        <v>15.47</v>
      </c>
      <c r="J409" s="35">
        <v>48</v>
      </c>
      <c r="K409" s="35" t="s">
        <v>134</v>
      </c>
      <c r="L409" s="35" t="s">
        <v>46</v>
      </c>
      <c r="M409" s="36" t="s">
        <v>133</v>
      </c>
      <c r="N409" s="36"/>
      <c r="O409" s="35">
        <v>60</v>
      </c>
      <c r="P409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18"/>
      <c r="R409" s="618"/>
      <c r="S409" s="618"/>
      <c r="T409" s="619"/>
      <c r="U409" s="37" t="s">
        <v>46</v>
      </c>
      <c r="V409" s="37" t="s">
        <v>46</v>
      </c>
      <c r="W409" s="38" t="s">
        <v>0</v>
      </c>
      <c r="X409" s="56">
        <v>0</v>
      </c>
      <c r="Y409" s="53">
        <f t="shared" si="57"/>
        <v>0</v>
      </c>
      <c r="Z409" s="39" t="str">
        <f>IFERROR(IF(Y409=0,"",ROUNDUP(Y409/H409,0)*0.02175),"")</f>
        <v/>
      </c>
      <c r="AA409" s="65" t="s">
        <v>46</v>
      </c>
      <c r="AB409" s="66" t="s">
        <v>46</v>
      </c>
      <c r="AC409" s="497" t="s">
        <v>676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0</v>
      </c>
      <c r="BN409" s="75">
        <f t="shared" si="59"/>
        <v>0</v>
      </c>
      <c r="BO409" s="75">
        <f t="shared" si="60"/>
        <v>0</v>
      </c>
      <c r="BP409" s="75">
        <f t="shared" si="61"/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4301011867</v>
      </c>
      <c r="D410" s="616">
        <v>4680115884830</v>
      </c>
      <c r="E410" s="61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134</v>
      </c>
      <c r="L410" s="35" t="s">
        <v>46</v>
      </c>
      <c r="M410" s="36" t="s">
        <v>81</v>
      </c>
      <c r="N410" s="36"/>
      <c r="O410" s="35">
        <v>60</v>
      </c>
      <c r="P410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18"/>
      <c r="R410" s="618"/>
      <c r="S410" s="618"/>
      <c r="T410" s="619"/>
      <c r="U410" s="37" t="s">
        <v>46</v>
      </c>
      <c r="V410" s="37" t="s">
        <v>46</v>
      </c>
      <c r="W410" s="38" t="s">
        <v>0</v>
      </c>
      <c r="X410" s="56">
        <v>0</v>
      </c>
      <c r="Y410" s="53">
        <f t="shared" si="57"/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9" t="s">
        <v>679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0</v>
      </c>
      <c r="BN410" s="75">
        <f t="shared" si="59"/>
        <v>0</v>
      </c>
      <c r="BO410" s="75">
        <f t="shared" si="60"/>
        <v>0</v>
      </c>
      <c r="BP410" s="75">
        <f t="shared" si="61"/>
        <v>0</v>
      </c>
    </row>
    <row r="411" spans="1:68" ht="27" customHeight="1" x14ac:dyDescent="0.25">
      <c r="A411" s="60" t="s">
        <v>680</v>
      </c>
      <c r="B411" s="60" t="s">
        <v>681</v>
      </c>
      <c r="C411" s="34">
        <v>4301012356</v>
      </c>
      <c r="D411" s="616">
        <v>4680115889231</v>
      </c>
      <c r="E411" s="61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134</v>
      </c>
      <c r="L411" s="35" t="s">
        <v>46</v>
      </c>
      <c r="M411" s="36" t="s">
        <v>97</v>
      </c>
      <c r="N411" s="36"/>
      <c r="O411" s="35">
        <v>60</v>
      </c>
      <c r="P411" s="68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18"/>
      <c r="R411" s="618"/>
      <c r="S411" s="618"/>
      <c r="T411" s="619"/>
      <c r="U411" s="37" t="s">
        <v>46</v>
      </c>
      <c r="V411" s="37" t="s">
        <v>46</v>
      </c>
      <c r="W411" s="38" t="s">
        <v>0</v>
      </c>
      <c r="X411" s="56">
        <v>3000</v>
      </c>
      <c r="Y411" s="53">
        <f t="shared" si="57"/>
        <v>3000</v>
      </c>
      <c r="Z411" s="39">
        <f>IFERROR(IF(Y411=0,"",ROUNDUP(Y411/H411,0)*0.02175),"")</f>
        <v>4.3499999999999996</v>
      </c>
      <c r="AA411" s="65" t="s">
        <v>46</v>
      </c>
      <c r="AB411" s="66" t="s">
        <v>46</v>
      </c>
      <c r="AC411" s="501" t="s">
        <v>682</v>
      </c>
      <c r="AG411" s="75"/>
      <c r="AJ411" s="79" t="s">
        <v>46</v>
      </c>
      <c r="AK411" s="79">
        <v>0</v>
      </c>
      <c r="BB411" s="502" t="s">
        <v>67</v>
      </c>
      <c r="BM411" s="75">
        <f t="shared" si="58"/>
        <v>3094</v>
      </c>
      <c r="BN411" s="75">
        <f t="shared" si="59"/>
        <v>3094</v>
      </c>
      <c r="BO411" s="75">
        <f t="shared" si="60"/>
        <v>4.1666666666666661</v>
      </c>
      <c r="BP411" s="75">
        <f t="shared" si="61"/>
        <v>4.1666666666666661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4301011433</v>
      </c>
      <c r="D412" s="616">
        <v>4680115882638</v>
      </c>
      <c r="E412" s="61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141</v>
      </c>
      <c r="L412" s="35" t="s">
        <v>46</v>
      </c>
      <c r="M412" s="36" t="s">
        <v>133</v>
      </c>
      <c r="N412" s="36"/>
      <c r="O412" s="35">
        <v>90</v>
      </c>
      <c r="P412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18"/>
      <c r="R412" s="618"/>
      <c r="S412" s="618"/>
      <c r="T412" s="619"/>
      <c r="U412" s="37" t="s">
        <v>46</v>
      </c>
      <c r="V412" s="37" t="s">
        <v>46</v>
      </c>
      <c r="W412" s="38" t="s">
        <v>0</v>
      </c>
      <c r="X412" s="56">
        <v>0</v>
      </c>
      <c r="Y412" s="53">
        <f t="shared" si="57"/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503" t="s">
        <v>685</v>
      </c>
      <c r="AG412" s="75"/>
      <c r="AJ412" s="79" t="s">
        <v>46</v>
      </c>
      <c r="AK412" s="79">
        <v>0</v>
      </c>
      <c r="BB412" s="504" t="s">
        <v>67</v>
      </c>
      <c r="BM412" s="75">
        <f t="shared" si="58"/>
        <v>0</v>
      </c>
      <c r="BN412" s="75">
        <f t="shared" si="59"/>
        <v>0</v>
      </c>
      <c r="BO412" s="75">
        <f t="shared" si="60"/>
        <v>0</v>
      </c>
      <c r="BP412" s="75">
        <f t="shared" si="61"/>
        <v>0</v>
      </c>
    </row>
    <row r="413" spans="1:68" ht="27" customHeight="1" x14ac:dyDescent="0.25">
      <c r="A413" s="60" t="s">
        <v>686</v>
      </c>
      <c r="B413" s="60" t="s">
        <v>687</v>
      </c>
      <c r="C413" s="34">
        <v>4301011952</v>
      </c>
      <c r="D413" s="616">
        <v>4680115884922</v>
      </c>
      <c r="E413" s="616"/>
      <c r="F413" s="59">
        <v>0.5</v>
      </c>
      <c r="G413" s="35">
        <v>10</v>
      </c>
      <c r="H413" s="59">
        <v>5</v>
      </c>
      <c r="I413" s="59">
        <v>5.19</v>
      </c>
      <c r="J413" s="35">
        <v>132</v>
      </c>
      <c r="K413" s="35" t="s">
        <v>141</v>
      </c>
      <c r="L413" s="35" t="s">
        <v>46</v>
      </c>
      <c r="M413" s="36" t="s">
        <v>81</v>
      </c>
      <c r="N413" s="36"/>
      <c r="O413" s="35">
        <v>60</v>
      </c>
      <c r="P413" s="6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18"/>
      <c r="R413" s="618"/>
      <c r="S413" s="618"/>
      <c r="T413" s="619"/>
      <c r="U413" s="37" t="s">
        <v>46</v>
      </c>
      <c r="V413" s="37" t="s">
        <v>46</v>
      </c>
      <c r="W413" s="38" t="s">
        <v>0</v>
      </c>
      <c r="X413" s="56">
        <v>75</v>
      </c>
      <c r="Y413" s="53">
        <f t="shared" si="57"/>
        <v>75</v>
      </c>
      <c r="Z413" s="39">
        <f>IFERROR(IF(Y413=0,"",ROUNDUP(Y413/H413,0)*0.00902),"")</f>
        <v>0.1353</v>
      </c>
      <c r="AA413" s="65" t="s">
        <v>46</v>
      </c>
      <c r="AB413" s="66" t="s">
        <v>46</v>
      </c>
      <c r="AC413" s="505" t="s">
        <v>688</v>
      </c>
      <c r="AG413" s="75"/>
      <c r="AJ413" s="79" t="s">
        <v>46</v>
      </c>
      <c r="AK413" s="79">
        <v>0</v>
      </c>
      <c r="BB413" s="506" t="s">
        <v>67</v>
      </c>
      <c r="BM413" s="75">
        <f t="shared" si="58"/>
        <v>77.850000000000009</v>
      </c>
      <c r="BN413" s="75">
        <f t="shared" si="59"/>
        <v>77.850000000000009</v>
      </c>
      <c r="BO413" s="75">
        <f t="shared" si="60"/>
        <v>0.11363636363636365</v>
      </c>
      <c r="BP413" s="75">
        <f t="shared" si="61"/>
        <v>0.11363636363636365</v>
      </c>
    </row>
    <row r="414" spans="1:68" ht="37.5" customHeight="1" x14ac:dyDescent="0.25">
      <c r="A414" s="60" t="s">
        <v>689</v>
      </c>
      <c r="B414" s="60" t="s">
        <v>690</v>
      </c>
      <c r="C414" s="34">
        <v>4301011868</v>
      </c>
      <c r="D414" s="616">
        <v>4680115884861</v>
      </c>
      <c r="E414" s="616"/>
      <c r="F414" s="59">
        <v>0.5</v>
      </c>
      <c r="G414" s="35">
        <v>10</v>
      </c>
      <c r="H414" s="59">
        <v>5</v>
      </c>
      <c r="I414" s="59">
        <v>5.19</v>
      </c>
      <c r="J414" s="35">
        <v>132</v>
      </c>
      <c r="K414" s="35" t="s">
        <v>141</v>
      </c>
      <c r="L414" s="35" t="s">
        <v>46</v>
      </c>
      <c r="M414" s="36" t="s">
        <v>81</v>
      </c>
      <c r="N414" s="36"/>
      <c r="O414" s="35">
        <v>60</v>
      </c>
      <c r="P414" s="6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18"/>
      <c r="R414" s="618"/>
      <c r="S414" s="618"/>
      <c r="T414" s="619"/>
      <c r="U414" s="37" t="s">
        <v>46</v>
      </c>
      <c r="V414" s="37" t="s">
        <v>46</v>
      </c>
      <c r="W414" s="38" t="s">
        <v>0</v>
      </c>
      <c r="X414" s="56">
        <v>75</v>
      </c>
      <c r="Y414" s="53">
        <f t="shared" si="57"/>
        <v>75</v>
      </c>
      <c r="Z414" s="39">
        <f>IFERROR(IF(Y414=0,"",ROUNDUP(Y414/H414,0)*0.00902),"")</f>
        <v>0.1353</v>
      </c>
      <c r="AA414" s="65" t="s">
        <v>46</v>
      </c>
      <c r="AB414" s="66" t="s">
        <v>46</v>
      </c>
      <c r="AC414" s="507" t="s">
        <v>691</v>
      </c>
      <c r="AG414" s="75"/>
      <c r="AJ414" s="79" t="s">
        <v>46</v>
      </c>
      <c r="AK414" s="79">
        <v>0</v>
      </c>
      <c r="BB414" s="508" t="s">
        <v>67</v>
      </c>
      <c r="BM414" s="75">
        <f t="shared" si="58"/>
        <v>77.850000000000009</v>
      </c>
      <c r="BN414" s="75">
        <f t="shared" si="59"/>
        <v>77.850000000000009</v>
      </c>
      <c r="BO414" s="75">
        <f t="shared" si="60"/>
        <v>0.11363636363636365</v>
      </c>
      <c r="BP414" s="75">
        <f t="shared" si="61"/>
        <v>0.11363636363636365</v>
      </c>
    </row>
    <row r="415" spans="1:68" x14ac:dyDescent="0.2">
      <c r="A415" s="623"/>
      <c r="B415" s="623"/>
      <c r="C415" s="623"/>
      <c r="D415" s="623"/>
      <c r="E415" s="623"/>
      <c r="F415" s="623"/>
      <c r="G415" s="623"/>
      <c r="H415" s="623"/>
      <c r="I415" s="623"/>
      <c r="J415" s="623"/>
      <c r="K415" s="623"/>
      <c r="L415" s="623"/>
      <c r="M415" s="623"/>
      <c r="N415" s="623"/>
      <c r="O415" s="624"/>
      <c r="P415" s="620" t="s">
        <v>40</v>
      </c>
      <c r="Q415" s="621"/>
      <c r="R415" s="621"/>
      <c r="S415" s="621"/>
      <c r="T415" s="621"/>
      <c r="U415" s="621"/>
      <c r="V415" s="622"/>
      <c r="W415" s="40" t="s">
        <v>39</v>
      </c>
      <c r="X415" s="41">
        <f>IFERROR(X407/H407,"0")+IFERROR(X408/H408,"0")+IFERROR(X409/H409,"0")+IFERROR(X410/H410,"0")+IFERROR(X411/H411,"0")+IFERROR(X412/H412,"0")+IFERROR(X413/H413,"0")+IFERROR(X414/H414,"0")</f>
        <v>330</v>
      </c>
      <c r="Y415" s="41">
        <f>IFERROR(Y407/H407,"0")+IFERROR(Y408/H408,"0")+IFERROR(Y409/H409,"0")+IFERROR(Y410/H410,"0")+IFERROR(Y411/H411,"0")+IFERROR(Y412/H412,"0")+IFERROR(Y413/H413,"0")+IFERROR(Y414/H414,"0")</f>
        <v>330</v>
      </c>
      <c r="Z415" s="41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6.7955999999999994</v>
      </c>
      <c r="AA415" s="64"/>
      <c r="AB415" s="64"/>
      <c r="AC415" s="64"/>
    </row>
    <row r="416" spans="1:68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0</v>
      </c>
      <c r="X416" s="41">
        <f>IFERROR(SUM(X407:X414),"0")</f>
        <v>4650</v>
      </c>
      <c r="Y416" s="41">
        <f>IFERROR(SUM(Y407:Y414),"0")</f>
        <v>4650</v>
      </c>
      <c r="Z416" s="40"/>
      <c r="AA416" s="64"/>
      <c r="AB416" s="64"/>
      <c r="AC416" s="64"/>
    </row>
    <row r="417" spans="1:68" ht="14.25" hidden="1" customHeight="1" x14ac:dyDescent="0.25">
      <c r="A417" s="615" t="s">
        <v>166</v>
      </c>
      <c r="B417" s="615"/>
      <c r="C417" s="615"/>
      <c r="D417" s="615"/>
      <c r="E417" s="615"/>
      <c r="F417" s="615"/>
      <c r="G417" s="615"/>
      <c r="H417" s="615"/>
      <c r="I417" s="615"/>
      <c r="J417" s="615"/>
      <c r="K417" s="615"/>
      <c r="L417" s="615"/>
      <c r="M417" s="615"/>
      <c r="N417" s="615"/>
      <c r="O417" s="615"/>
      <c r="P417" s="615"/>
      <c r="Q417" s="615"/>
      <c r="R417" s="615"/>
      <c r="S417" s="615"/>
      <c r="T417" s="615"/>
      <c r="U417" s="615"/>
      <c r="V417" s="615"/>
      <c r="W417" s="615"/>
      <c r="X417" s="615"/>
      <c r="Y417" s="615"/>
      <c r="Z417" s="615"/>
      <c r="AA417" s="63"/>
      <c r="AB417" s="63"/>
      <c r="AC417" s="63"/>
    </row>
    <row r="418" spans="1:68" ht="27" customHeight="1" x14ac:dyDescent="0.25">
      <c r="A418" s="60" t="s">
        <v>692</v>
      </c>
      <c r="B418" s="60" t="s">
        <v>693</v>
      </c>
      <c r="C418" s="34">
        <v>4301020178</v>
      </c>
      <c r="D418" s="616">
        <v>4607091383980</v>
      </c>
      <c r="E418" s="616"/>
      <c r="F418" s="59">
        <v>2.5</v>
      </c>
      <c r="G418" s="35">
        <v>6</v>
      </c>
      <c r="H418" s="59">
        <v>15</v>
      </c>
      <c r="I418" s="59">
        <v>15.47</v>
      </c>
      <c r="J418" s="35">
        <v>48</v>
      </c>
      <c r="K418" s="35" t="s">
        <v>134</v>
      </c>
      <c r="L418" s="35" t="s">
        <v>46</v>
      </c>
      <c r="M418" s="36" t="s">
        <v>133</v>
      </c>
      <c r="N418" s="36"/>
      <c r="O418" s="35">
        <v>50</v>
      </c>
      <c r="P418" s="6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18"/>
      <c r="R418" s="618"/>
      <c r="S418" s="618"/>
      <c r="T418" s="619"/>
      <c r="U418" s="37" t="s">
        <v>46</v>
      </c>
      <c r="V418" s="37" t="s">
        <v>46</v>
      </c>
      <c r="W418" s="38" t="s">
        <v>0</v>
      </c>
      <c r="X418" s="56">
        <v>3000</v>
      </c>
      <c r="Y418" s="53">
        <f>IFERROR(IF(X418="",0,CEILING((X418/$H418),1)*$H418),"")</f>
        <v>3000</v>
      </c>
      <c r="Z418" s="39">
        <f>IFERROR(IF(Y418=0,"",ROUNDUP(Y418/H418,0)*0.02175),"")</f>
        <v>4.3499999999999996</v>
      </c>
      <c r="AA418" s="65" t="s">
        <v>46</v>
      </c>
      <c r="AB418" s="66" t="s">
        <v>46</v>
      </c>
      <c r="AC418" s="509" t="s">
        <v>694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3094</v>
      </c>
      <c r="BN418" s="75">
        <f>IFERROR(Y418*I418/H418,"0")</f>
        <v>3094</v>
      </c>
      <c r="BO418" s="75">
        <f>IFERROR(1/J418*(X418/H418),"0")</f>
        <v>4.1666666666666661</v>
      </c>
      <c r="BP418" s="75">
        <f>IFERROR(1/J418*(Y418/H418),"0")</f>
        <v>4.1666666666666661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4301020355</v>
      </c>
      <c r="D419" s="616">
        <v>4680115888425</v>
      </c>
      <c r="E419" s="616"/>
      <c r="F419" s="59">
        <v>2.5</v>
      </c>
      <c r="G419" s="35">
        <v>6</v>
      </c>
      <c r="H419" s="59">
        <v>15</v>
      </c>
      <c r="I419" s="59">
        <v>15.47</v>
      </c>
      <c r="J419" s="35">
        <v>48</v>
      </c>
      <c r="K419" s="35" t="s">
        <v>134</v>
      </c>
      <c r="L419" s="35" t="s">
        <v>46</v>
      </c>
      <c r="M419" s="36" t="s">
        <v>133</v>
      </c>
      <c r="N419" s="36"/>
      <c r="O419" s="35">
        <v>50</v>
      </c>
      <c r="P419" s="6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18"/>
      <c r="R419" s="618"/>
      <c r="S419" s="618"/>
      <c r="T419" s="619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IFERROR(IF(Y419=0,"",ROUNDUP(Y419/H419,0)*0.02175),"")</f>
        <v/>
      </c>
      <c r="AA419" s="65" t="s">
        <v>46</v>
      </c>
      <c r="AB419" s="66" t="s">
        <v>46</v>
      </c>
      <c r="AC419" s="511" t="s">
        <v>697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698</v>
      </c>
      <c r="B420" s="60" t="s">
        <v>699</v>
      </c>
      <c r="C420" s="34">
        <v>4301020179</v>
      </c>
      <c r="D420" s="616">
        <v>4607091384178</v>
      </c>
      <c r="E420" s="616"/>
      <c r="F420" s="59">
        <v>0.4</v>
      </c>
      <c r="G420" s="35">
        <v>10</v>
      </c>
      <c r="H420" s="59">
        <v>4</v>
      </c>
      <c r="I420" s="59">
        <v>4.1900000000000004</v>
      </c>
      <c r="J420" s="35">
        <v>132</v>
      </c>
      <c r="K420" s="35" t="s">
        <v>141</v>
      </c>
      <c r="L420" s="35" t="s">
        <v>46</v>
      </c>
      <c r="M420" s="36" t="s">
        <v>133</v>
      </c>
      <c r="N420" s="36"/>
      <c r="O420" s="35">
        <v>50</v>
      </c>
      <c r="P420" s="6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18"/>
      <c r="R420" s="618"/>
      <c r="S420" s="618"/>
      <c r="T420" s="619"/>
      <c r="U420" s="37" t="s">
        <v>46</v>
      </c>
      <c r="V420" s="37" t="s">
        <v>46</v>
      </c>
      <c r="W420" s="38" t="s">
        <v>0</v>
      </c>
      <c r="X420" s="56">
        <v>60</v>
      </c>
      <c r="Y420" s="53">
        <f>IFERROR(IF(X420="",0,CEILING((X420/$H420),1)*$H420),"")</f>
        <v>60</v>
      </c>
      <c r="Z420" s="39">
        <f>IFERROR(IF(Y420=0,"",ROUNDUP(Y420/H420,0)*0.00902),"")</f>
        <v>0.1353</v>
      </c>
      <c r="AA420" s="65" t="s">
        <v>46</v>
      </c>
      <c r="AB420" s="66" t="s">
        <v>46</v>
      </c>
      <c r="AC420" s="513" t="s">
        <v>700</v>
      </c>
      <c r="AG420" s="75"/>
      <c r="AJ420" s="79" t="s">
        <v>46</v>
      </c>
      <c r="AK420" s="79">
        <v>0</v>
      </c>
      <c r="BB420" s="514" t="s">
        <v>67</v>
      </c>
      <c r="BM420" s="75">
        <f>IFERROR(X420*I420/H420,"0")</f>
        <v>62.850000000000009</v>
      </c>
      <c r="BN420" s="75">
        <f>IFERROR(Y420*I420/H420,"0")</f>
        <v>62.850000000000009</v>
      </c>
      <c r="BO420" s="75">
        <f>IFERROR(1/J420*(X420/H420),"0")</f>
        <v>0.11363636363636365</v>
      </c>
      <c r="BP420" s="75">
        <f>IFERROR(1/J420*(Y420/H420),"0")</f>
        <v>0.11363636363636365</v>
      </c>
    </row>
    <row r="421" spans="1:68" x14ac:dyDescent="0.2">
      <c r="A421" s="623"/>
      <c r="B421" s="623"/>
      <c r="C421" s="623"/>
      <c r="D421" s="623"/>
      <c r="E421" s="623"/>
      <c r="F421" s="623"/>
      <c r="G421" s="623"/>
      <c r="H421" s="623"/>
      <c r="I421" s="623"/>
      <c r="J421" s="623"/>
      <c r="K421" s="623"/>
      <c r="L421" s="623"/>
      <c r="M421" s="623"/>
      <c r="N421" s="623"/>
      <c r="O421" s="624"/>
      <c r="P421" s="620" t="s">
        <v>40</v>
      </c>
      <c r="Q421" s="621"/>
      <c r="R421" s="621"/>
      <c r="S421" s="621"/>
      <c r="T421" s="621"/>
      <c r="U421" s="621"/>
      <c r="V421" s="622"/>
      <c r="W421" s="40" t="s">
        <v>39</v>
      </c>
      <c r="X421" s="41">
        <f>IFERROR(X418/H418,"0")+IFERROR(X419/H419,"0")+IFERROR(X420/H420,"0")</f>
        <v>215</v>
      </c>
      <c r="Y421" s="41">
        <f>IFERROR(Y418/H418,"0")+IFERROR(Y419/H419,"0")+IFERROR(Y420/H420,"0")</f>
        <v>215</v>
      </c>
      <c r="Z421" s="41">
        <f>IFERROR(IF(Z418="",0,Z418),"0")+IFERROR(IF(Z419="",0,Z419),"0")+IFERROR(IF(Z420="",0,Z420),"0")</f>
        <v>4.4852999999999996</v>
      </c>
      <c r="AA421" s="64"/>
      <c r="AB421" s="64"/>
      <c r="AC421" s="64"/>
    </row>
    <row r="422" spans="1:68" x14ac:dyDescent="0.2">
      <c r="A422" s="623"/>
      <c r="B422" s="623"/>
      <c r="C422" s="623"/>
      <c r="D422" s="623"/>
      <c r="E422" s="623"/>
      <c r="F422" s="623"/>
      <c r="G422" s="623"/>
      <c r="H422" s="623"/>
      <c r="I422" s="623"/>
      <c r="J422" s="623"/>
      <c r="K422" s="623"/>
      <c r="L422" s="623"/>
      <c r="M422" s="623"/>
      <c r="N422" s="623"/>
      <c r="O422" s="624"/>
      <c r="P422" s="620" t="s">
        <v>40</v>
      </c>
      <c r="Q422" s="621"/>
      <c r="R422" s="621"/>
      <c r="S422" s="621"/>
      <c r="T422" s="621"/>
      <c r="U422" s="621"/>
      <c r="V422" s="622"/>
      <c r="W422" s="40" t="s">
        <v>0</v>
      </c>
      <c r="X422" s="41">
        <f>IFERROR(SUM(X418:X420),"0")</f>
        <v>3060</v>
      </c>
      <c r="Y422" s="41">
        <f>IFERROR(SUM(Y418:Y420),"0")</f>
        <v>3060</v>
      </c>
      <c r="Z422" s="40"/>
      <c r="AA422" s="64"/>
      <c r="AB422" s="64"/>
      <c r="AC422" s="64"/>
    </row>
    <row r="423" spans="1:68" ht="14.25" hidden="1" customHeight="1" x14ac:dyDescent="0.25">
      <c r="A423" s="615" t="s">
        <v>86</v>
      </c>
      <c r="B423" s="615"/>
      <c r="C423" s="615"/>
      <c r="D423" s="615"/>
      <c r="E423" s="615"/>
      <c r="F423" s="615"/>
      <c r="G423" s="615"/>
      <c r="H423" s="615"/>
      <c r="I423" s="615"/>
      <c r="J423" s="615"/>
      <c r="K423" s="615"/>
      <c r="L423" s="615"/>
      <c r="M423" s="615"/>
      <c r="N423" s="615"/>
      <c r="O423" s="615"/>
      <c r="P423" s="615"/>
      <c r="Q423" s="615"/>
      <c r="R423" s="615"/>
      <c r="S423" s="615"/>
      <c r="T423" s="615"/>
      <c r="U423" s="615"/>
      <c r="V423" s="615"/>
      <c r="W423" s="615"/>
      <c r="X423" s="615"/>
      <c r="Y423" s="615"/>
      <c r="Z423" s="615"/>
      <c r="AA423" s="63"/>
      <c r="AB423" s="63"/>
      <c r="AC423" s="63"/>
    </row>
    <row r="424" spans="1:68" ht="27" customHeight="1" x14ac:dyDescent="0.25">
      <c r="A424" s="60" t="s">
        <v>701</v>
      </c>
      <c r="B424" s="60" t="s">
        <v>702</v>
      </c>
      <c r="C424" s="34">
        <v>4301051903</v>
      </c>
      <c r="D424" s="616">
        <v>4607091383928</v>
      </c>
      <c r="E424" s="616"/>
      <c r="F424" s="59">
        <v>1.5</v>
      </c>
      <c r="G424" s="35">
        <v>6</v>
      </c>
      <c r="H424" s="59">
        <v>9</v>
      </c>
      <c r="I424" s="59">
        <v>9.5</v>
      </c>
      <c r="J424" s="35">
        <v>64</v>
      </c>
      <c r="K424" s="35" t="s">
        <v>134</v>
      </c>
      <c r="L424" s="35" t="s">
        <v>46</v>
      </c>
      <c r="M424" s="36" t="s">
        <v>90</v>
      </c>
      <c r="N424" s="36"/>
      <c r="O424" s="35">
        <v>40</v>
      </c>
      <c r="P424" s="6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18"/>
      <c r="R424" s="618"/>
      <c r="S424" s="618"/>
      <c r="T424" s="619"/>
      <c r="U424" s="37" t="s">
        <v>46</v>
      </c>
      <c r="V424" s="37" t="s">
        <v>46</v>
      </c>
      <c r="W424" s="38" t="s">
        <v>0</v>
      </c>
      <c r="X424" s="56">
        <v>700</v>
      </c>
      <c r="Y424" s="53">
        <f>IFERROR(IF(X424="",0,CEILING((X424/$H424),1)*$H424),"")</f>
        <v>702</v>
      </c>
      <c r="Z424" s="39">
        <f>IFERROR(IF(Y424=0,"",ROUNDUP(Y424/H424,0)*0.01898),"")</f>
        <v>1.48044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738.88888888888891</v>
      </c>
      <c r="BN424" s="75">
        <f>IFERROR(Y424*I424/H424,"0")</f>
        <v>741</v>
      </c>
      <c r="BO424" s="75">
        <f>IFERROR(1/J424*(X424/H424),"0")</f>
        <v>1.2152777777777777</v>
      </c>
      <c r="BP424" s="75">
        <f>IFERROR(1/J424*(Y424/H424),"0")</f>
        <v>1.21875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4301051897</v>
      </c>
      <c r="D425" s="616">
        <v>4607091384260</v>
      </c>
      <c r="E425" s="616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134</v>
      </c>
      <c r="L425" s="35" t="s">
        <v>46</v>
      </c>
      <c r="M425" s="36" t="s">
        <v>90</v>
      </c>
      <c r="N425" s="36"/>
      <c r="O425" s="35">
        <v>40</v>
      </c>
      <c r="P425" s="6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18"/>
      <c r="R425" s="618"/>
      <c r="S425" s="618"/>
      <c r="T425" s="619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23"/>
      <c r="B426" s="623"/>
      <c r="C426" s="623"/>
      <c r="D426" s="623"/>
      <c r="E426" s="623"/>
      <c r="F426" s="623"/>
      <c r="G426" s="623"/>
      <c r="H426" s="623"/>
      <c r="I426" s="623"/>
      <c r="J426" s="623"/>
      <c r="K426" s="623"/>
      <c r="L426" s="623"/>
      <c r="M426" s="623"/>
      <c r="N426" s="623"/>
      <c r="O426" s="624"/>
      <c r="P426" s="620" t="s">
        <v>40</v>
      </c>
      <c r="Q426" s="621"/>
      <c r="R426" s="621"/>
      <c r="S426" s="621"/>
      <c r="T426" s="621"/>
      <c r="U426" s="621"/>
      <c r="V426" s="622"/>
      <c r="W426" s="40" t="s">
        <v>39</v>
      </c>
      <c r="X426" s="41">
        <f>IFERROR(X424/H424,"0")+IFERROR(X425/H425,"0")</f>
        <v>77.777777777777771</v>
      </c>
      <c r="Y426" s="41">
        <f>IFERROR(Y424/H424,"0")+IFERROR(Y425/H425,"0")</f>
        <v>78</v>
      </c>
      <c r="Z426" s="41">
        <f>IFERROR(IF(Z424="",0,Z424),"0")+IFERROR(IF(Z425="",0,Z425),"0")</f>
        <v>1.48044</v>
      </c>
      <c r="AA426" s="64"/>
      <c r="AB426" s="64"/>
      <c r="AC426" s="64"/>
    </row>
    <row r="427" spans="1:68" x14ac:dyDescent="0.2">
      <c r="A427" s="623"/>
      <c r="B427" s="623"/>
      <c r="C427" s="623"/>
      <c r="D427" s="623"/>
      <c r="E427" s="623"/>
      <c r="F427" s="623"/>
      <c r="G427" s="623"/>
      <c r="H427" s="623"/>
      <c r="I427" s="623"/>
      <c r="J427" s="623"/>
      <c r="K427" s="623"/>
      <c r="L427" s="623"/>
      <c r="M427" s="623"/>
      <c r="N427" s="623"/>
      <c r="O427" s="624"/>
      <c r="P427" s="620" t="s">
        <v>40</v>
      </c>
      <c r="Q427" s="621"/>
      <c r="R427" s="621"/>
      <c r="S427" s="621"/>
      <c r="T427" s="621"/>
      <c r="U427" s="621"/>
      <c r="V427" s="622"/>
      <c r="W427" s="40" t="s">
        <v>0</v>
      </c>
      <c r="X427" s="41">
        <f>IFERROR(SUM(X424:X425),"0")</f>
        <v>700</v>
      </c>
      <c r="Y427" s="41">
        <f>IFERROR(SUM(Y424:Y425),"0")</f>
        <v>702</v>
      </c>
      <c r="Z427" s="40"/>
      <c r="AA427" s="64"/>
      <c r="AB427" s="64"/>
      <c r="AC427" s="64"/>
    </row>
    <row r="428" spans="1:68" ht="14.25" hidden="1" customHeight="1" x14ac:dyDescent="0.25">
      <c r="A428" s="615" t="s">
        <v>183</v>
      </c>
      <c r="B428" s="615"/>
      <c r="C428" s="615"/>
      <c r="D428" s="615"/>
      <c r="E428" s="615"/>
      <c r="F428" s="615"/>
      <c r="G428" s="615"/>
      <c r="H428" s="615"/>
      <c r="I428" s="615"/>
      <c r="J428" s="615"/>
      <c r="K428" s="615"/>
      <c r="L428" s="615"/>
      <c r="M428" s="615"/>
      <c r="N428" s="615"/>
      <c r="O428" s="615"/>
      <c r="P428" s="615"/>
      <c r="Q428" s="615"/>
      <c r="R428" s="615"/>
      <c r="S428" s="615"/>
      <c r="T428" s="615"/>
      <c r="U428" s="615"/>
      <c r="V428" s="615"/>
      <c r="W428" s="615"/>
      <c r="X428" s="615"/>
      <c r="Y428" s="615"/>
      <c r="Z428" s="615"/>
      <c r="AA428" s="63"/>
      <c r="AB428" s="63"/>
      <c r="AC428" s="63"/>
    </row>
    <row r="429" spans="1:68" ht="16.5" hidden="1" customHeight="1" x14ac:dyDescent="0.25">
      <c r="A429" s="60" t="s">
        <v>707</v>
      </c>
      <c r="B429" s="60" t="s">
        <v>708</v>
      </c>
      <c r="C429" s="34">
        <v>4301060524</v>
      </c>
      <c r="D429" s="616">
        <v>4607091384673</v>
      </c>
      <c r="E429" s="616"/>
      <c r="F429" s="59">
        <v>1.5</v>
      </c>
      <c r="G429" s="35">
        <v>6</v>
      </c>
      <c r="H429" s="59">
        <v>9</v>
      </c>
      <c r="I429" s="59">
        <v>9.4939999999999998</v>
      </c>
      <c r="J429" s="35">
        <v>64</v>
      </c>
      <c r="K429" s="35" t="s">
        <v>134</v>
      </c>
      <c r="L429" s="35" t="s">
        <v>46</v>
      </c>
      <c r="M429" s="36" t="s">
        <v>90</v>
      </c>
      <c r="N429" s="36"/>
      <c r="O429" s="35">
        <v>40</v>
      </c>
      <c r="P429" s="6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18"/>
      <c r="R429" s="618"/>
      <c r="S429" s="618"/>
      <c r="T429" s="619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IFERROR(IF(Y429=0,"",ROUNDUP(Y429/H429,0)*0.01898),"")</f>
        <v/>
      </c>
      <c r="AA429" s="65" t="s">
        <v>46</v>
      </c>
      <c r="AB429" s="66" t="s">
        <v>46</v>
      </c>
      <c r="AC429" s="519" t="s">
        <v>709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idden="1" x14ac:dyDescent="0.2">
      <c r="A430" s="623"/>
      <c r="B430" s="623"/>
      <c r="C430" s="623"/>
      <c r="D430" s="623"/>
      <c r="E430" s="623"/>
      <c r="F430" s="623"/>
      <c r="G430" s="623"/>
      <c r="H430" s="623"/>
      <c r="I430" s="623"/>
      <c r="J430" s="623"/>
      <c r="K430" s="623"/>
      <c r="L430" s="623"/>
      <c r="M430" s="623"/>
      <c r="N430" s="623"/>
      <c r="O430" s="624"/>
      <c r="P430" s="620" t="s">
        <v>40</v>
      </c>
      <c r="Q430" s="621"/>
      <c r="R430" s="621"/>
      <c r="S430" s="621"/>
      <c r="T430" s="621"/>
      <c r="U430" s="621"/>
      <c r="V430" s="622"/>
      <c r="W430" s="40" t="s">
        <v>39</v>
      </c>
      <c r="X430" s="41">
        <f>IFERROR(X429/H429,"0")</f>
        <v>0</v>
      </c>
      <c r="Y430" s="41">
        <f>IFERROR(Y429/H429,"0")</f>
        <v>0</v>
      </c>
      <c r="Z430" s="41">
        <f>IFERROR(IF(Z429="",0,Z429),"0")</f>
        <v>0</v>
      </c>
      <c r="AA430" s="64"/>
      <c r="AB430" s="64"/>
      <c r="AC430" s="64"/>
    </row>
    <row r="431" spans="1:68" hidden="1" x14ac:dyDescent="0.2">
      <c r="A431" s="623"/>
      <c r="B431" s="623"/>
      <c r="C431" s="623"/>
      <c r="D431" s="623"/>
      <c r="E431" s="623"/>
      <c r="F431" s="623"/>
      <c r="G431" s="623"/>
      <c r="H431" s="623"/>
      <c r="I431" s="623"/>
      <c r="J431" s="623"/>
      <c r="K431" s="623"/>
      <c r="L431" s="623"/>
      <c r="M431" s="623"/>
      <c r="N431" s="623"/>
      <c r="O431" s="624"/>
      <c r="P431" s="620" t="s">
        <v>40</v>
      </c>
      <c r="Q431" s="621"/>
      <c r="R431" s="621"/>
      <c r="S431" s="621"/>
      <c r="T431" s="621"/>
      <c r="U431" s="621"/>
      <c r="V431" s="622"/>
      <c r="W431" s="40" t="s">
        <v>0</v>
      </c>
      <c r="X431" s="41">
        <f>IFERROR(SUM(X429:X429),"0")</f>
        <v>0</v>
      </c>
      <c r="Y431" s="41">
        <f>IFERROR(SUM(Y429:Y429),"0")</f>
        <v>0</v>
      </c>
      <c r="Z431" s="40"/>
      <c r="AA431" s="64"/>
      <c r="AB431" s="64"/>
      <c r="AC431" s="64"/>
    </row>
    <row r="432" spans="1:68" ht="16.5" hidden="1" customHeight="1" x14ac:dyDescent="0.25">
      <c r="A432" s="631" t="s">
        <v>710</v>
      </c>
      <c r="B432" s="631"/>
      <c r="C432" s="631"/>
      <c r="D432" s="631"/>
      <c r="E432" s="631"/>
      <c r="F432" s="631"/>
      <c r="G432" s="631"/>
      <c r="H432" s="631"/>
      <c r="I432" s="631"/>
      <c r="J432" s="631"/>
      <c r="K432" s="631"/>
      <c r="L432" s="631"/>
      <c r="M432" s="631"/>
      <c r="N432" s="631"/>
      <c r="O432" s="631"/>
      <c r="P432" s="631"/>
      <c r="Q432" s="631"/>
      <c r="R432" s="631"/>
      <c r="S432" s="631"/>
      <c r="T432" s="631"/>
      <c r="U432" s="631"/>
      <c r="V432" s="631"/>
      <c r="W432" s="631"/>
      <c r="X432" s="631"/>
      <c r="Y432" s="631"/>
      <c r="Z432" s="631"/>
      <c r="AA432" s="62"/>
      <c r="AB432" s="62"/>
      <c r="AC432" s="62"/>
    </row>
    <row r="433" spans="1:68" ht="14.25" hidden="1" customHeight="1" x14ac:dyDescent="0.25">
      <c r="A433" s="615" t="s">
        <v>129</v>
      </c>
      <c r="B433" s="615"/>
      <c r="C433" s="615"/>
      <c r="D433" s="615"/>
      <c r="E433" s="615"/>
      <c r="F433" s="615"/>
      <c r="G433" s="615"/>
      <c r="H433" s="615"/>
      <c r="I433" s="615"/>
      <c r="J433" s="615"/>
      <c r="K433" s="615"/>
      <c r="L433" s="615"/>
      <c r="M433" s="615"/>
      <c r="N433" s="615"/>
      <c r="O433" s="615"/>
      <c r="P433" s="615"/>
      <c r="Q433" s="615"/>
      <c r="R433" s="615"/>
      <c r="S433" s="615"/>
      <c r="T433" s="615"/>
      <c r="U433" s="615"/>
      <c r="V433" s="615"/>
      <c r="W433" s="615"/>
      <c r="X433" s="615"/>
      <c r="Y433" s="615"/>
      <c r="Z433" s="615"/>
      <c r="AA433" s="63"/>
      <c r="AB433" s="63"/>
      <c r="AC433" s="63"/>
    </row>
    <row r="434" spans="1:68" ht="27" hidden="1" customHeight="1" x14ac:dyDescent="0.25">
      <c r="A434" s="60" t="s">
        <v>711</v>
      </c>
      <c r="B434" s="60" t="s">
        <v>712</v>
      </c>
      <c r="C434" s="34">
        <v>4301011875</v>
      </c>
      <c r="D434" s="616">
        <v>4680115884885</v>
      </c>
      <c r="E434" s="616"/>
      <c r="F434" s="59">
        <v>0.8</v>
      </c>
      <c r="G434" s="35">
        <v>15</v>
      </c>
      <c r="H434" s="59">
        <v>12</v>
      </c>
      <c r="I434" s="59">
        <v>12.41</v>
      </c>
      <c r="J434" s="35">
        <v>64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6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18"/>
      <c r="R434" s="618"/>
      <c r="S434" s="618"/>
      <c r="T434" s="61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IFERROR(IF(Y434=0,"",ROUNDUP(Y434/H434,0)*0.01898),"")</f>
        <v/>
      </c>
      <c r="AA434" s="65" t="s">
        <v>46</v>
      </c>
      <c r="AB434" s="66" t="s">
        <v>46</v>
      </c>
      <c r="AC434" s="521" t="s">
        <v>713</v>
      </c>
      <c r="AG434" s="75"/>
      <c r="AJ434" s="79" t="s">
        <v>46</v>
      </c>
      <c r="AK434" s="79">
        <v>0</v>
      </c>
      <c r="BB434" s="522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37.5" hidden="1" customHeight="1" x14ac:dyDescent="0.25">
      <c r="A435" s="60" t="s">
        <v>714</v>
      </c>
      <c r="B435" s="60" t="s">
        <v>715</v>
      </c>
      <c r="C435" s="34">
        <v>4301011871</v>
      </c>
      <c r="D435" s="616">
        <v>4680115884908</v>
      </c>
      <c r="E435" s="616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60</v>
      </c>
      <c r="P435" s="6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18"/>
      <c r="R435" s="618"/>
      <c r="S435" s="618"/>
      <c r="T435" s="61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3" t="s">
        <v>713</v>
      </c>
      <c r="AG435" s="75"/>
      <c r="AJ435" s="79" t="s">
        <v>46</v>
      </c>
      <c r="AK435" s="79">
        <v>0</v>
      </c>
      <c r="BB435" s="524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23"/>
      <c r="B436" s="623"/>
      <c r="C436" s="623"/>
      <c r="D436" s="623"/>
      <c r="E436" s="623"/>
      <c r="F436" s="623"/>
      <c r="G436" s="623"/>
      <c r="H436" s="623"/>
      <c r="I436" s="623"/>
      <c r="J436" s="623"/>
      <c r="K436" s="623"/>
      <c r="L436" s="623"/>
      <c r="M436" s="623"/>
      <c r="N436" s="623"/>
      <c r="O436" s="624"/>
      <c r="P436" s="620" t="s">
        <v>40</v>
      </c>
      <c r="Q436" s="621"/>
      <c r="R436" s="621"/>
      <c r="S436" s="621"/>
      <c r="T436" s="621"/>
      <c r="U436" s="621"/>
      <c r="V436" s="622"/>
      <c r="W436" s="40" t="s">
        <v>39</v>
      </c>
      <c r="X436" s="41">
        <f>IFERROR(X434/H434,"0")+IFERROR(X435/H435,"0")</f>
        <v>0</v>
      </c>
      <c r="Y436" s="41">
        <f>IFERROR(Y434/H434,"0")+IFERROR(Y435/H435,"0")</f>
        <v>0</v>
      </c>
      <c r="Z436" s="41">
        <f>IFERROR(IF(Z434="",0,Z434),"0")+IFERROR(IF(Z435="",0,Z435),"0")</f>
        <v>0</v>
      </c>
      <c r="AA436" s="64"/>
      <c r="AB436" s="64"/>
      <c r="AC436" s="64"/>
    </row>
    <row r="437" spans="1:68" hidden="1" x14ac:dyDescent="0.2">
      <c r="A437" s="623"/>
      <c r="B437" s="623"/>
      <c r="C437" s="623"/>
      <c r="D437" s="623"/>
      <c r="E437" s="623"/>
      <c r="F437" s="623"/>
      <c r="G437" s="623"/>
      <c r="H437" s="623"/>
      <c r="I437" s="623"/>
      <c r="J437" s="623"/>
      <c r="K437" s="623"/>
      <c r="L437" s="623"/>
      <c r="M437" s="623"/>
      <c r="N437" s="623"/>
      <c r="O437" s="624"/>
      <c r="P437" s="620" t="s">
        <v>40</v>
      </c>
      <c r="Q437" s="621"/>
      <c r="R437" s="621"/>
      <c r="S437" s="621"/>
      <c r="T437" s="621"/>
      <c r="U437" s="621"/>
      <c r="V437" s="622"/>
      <c r="W437" s="40" t="s">
        <v>0</v>
      </c>
      <c r="X437" s="41">
        <f>IFERROR(SUM(X434:X435),"0")</f>
        <v>0</v>
      </c>
      <c r="Y437" s="41">
        <f>IFERROR(SUM(Y434:Y435),"0")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15" t="s">
        <v>77</v>
      </c>
      <c r="B438" s="615"/>
      <c r="C438" s="615"/>
      <c r="D438" s="615"/>
      <c r="E438" s="615"/>
      <c r="F438" s="615"/>
      <c r="G438" s="615"/>
      <c r="H438" s="615"/>
      <c r="I438" s="615"/>
      <c r="J438" s="615"/>
      <c r="K438" s="615"/>
      <c r="L438" s="615"/>
      <c r="M438" s="615"/>
      <c r="N438" s="615"/>
      <c r="O438" s="615"/>
      <c r="P438" s="615"/>
      <c r="Q438" s="615"/>
      <c r="R438" s="615"/>
      <c r="S438" s="615"/>
      <c r="T438" s="615"/>
      <c r="U438" s="615"/>
      <c r="V438" s="615"/>
      <c r="W438" s="615"/>
      <c r="X438" s="615"/>
      <c r="Y438" s="615"/>
      <c r="Z438" s="615"/>
      <c r="AA438" s="63"/>
      <c r="AB438" s="63"/>
      <c r="AC438" s="63"/>
    </row>
    <row r="439" spans="1:68" ht="27" hidden="1" customHeight="1" x14ac:dyDescent="0.25">
      <c r="A439" s="60" t="s">
        <v>716</v>
      </c>
      <c r="B439" s="60" t="s">
        <v>717</v>
      </c>
      <c r="C439" s="34">
        <v>4301031457</v>
      </c>
      <c r="D439" s="616">
        <v>4607091384802</v>
      </c>
      <c r="E439" s="616"/>
      <c r="F439" s="59">
        <v>0.7</v>
      </c>
      <c r="G439" s="35">
        <v>6</v>
      </c>
      <c r="H439" s="59">
        <v>4.2</v>
      </c>
      <c r="I439" s="59">
        <v>4.45</v>
      </c>
      <c r="J439" s="35">
        <v>132</v>
      </c>
      <c r="K439" s="35" t="s">
        <v>141</v>
      </c>
      <c r="L439" s="35" t="s">
        <v>46</v>
      </c>
      <c r="M439" s="36" t="s">
        <v>81</v>
      </c>
      <c r="N439" s="36"/>
      <c r="O439" s="35">
        <v>50</v>
      </c>
      <c r="P439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18"/>
      <c r="R439" s="618"/>
      <c r="S439" s="618"/>
      <c r="T439" s="619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25" t="s">
        <v>718</v>
      </c>
      <c r="AG439" s="75"/>
      <c r="AJ439" s="79" t="s">
        <v>46</v>
      </c>
      <c r="AK439" s="79">
        <v>0</v>
      </c>
      <c r="BB439" s="526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3"/>
      <c r="B440" s="623"/>
      <c r="C440" s="623"/>
      <c r="D440" s="623"/>
      <c r="E440" s="623"/>
      <c r="F440" s="623"/>
      <c r="G440" s="623"/>
      <c r="H440" s="623"/>
      <c r="I440" s="623"/>
      <c r="J440" s="623"/>
      <c r="K440" s="623"/>
      <c r="L440" s="623"/>
      <c r="M440" s="623"/>
      <c r="N440" s="623"/>
      <c r="O440" s="624"/>
      <c r="P440" s="620" t="s">
        <v>40</v>
      </c>
      <c r="Q440" s="621"/>
      <c r="R440" s="621"/>
      <c r="S440" s="621"/>
      <c r="T440" s="621"/>
      <c r="U440" s="621"/>
      <c r="V440" s="622"/>
      <c r="W440" s="40" t="s">
        <v>39</v>
      </c>
      <c r="X440" s="41">
        <f>IFERROR(X439/H439,"0")</f>
        <v>0</v>
      </c>
      <c r="Y440" s="41">
        <f>IFERROR(Y439/H439,"0")</f>
        <v>0</v>
      </c>
      <c r="Z440" s="41">
        <f>IFERROR(IF(Z439="",0,Z439),"0")</f>
        <v>0</v>
      </c>
      <c r="AA440" s="64"/>
      <c r="AB440" s="64"/>
      <c r="AC440" s="64"/>
    </row>
    <row r="441" spans="1:68" hidden="1" x14ac:dyDescent="0.2">
      <c r="A441" s="623"/>
      <c r="B441" s="623"/>
      <c r="C441" s="623"/>
      <c r="D441" s="623"/>
      <c r="E441" s="623"/>
      <c r="F441" s="623"/>
      <c r="G441" s="623"/>
      <c r="H441" s="623"/>
      <c r="I441" s="623"/>
      <c r="J441" s="623"/>
      <c r="K441" s="623"/>
      <c r="L441" s="623"/>
      <c r="M441" s="623"/>
      <c r="N441" s="623"/>
      <c r="O441" s="624"/>
      <c r="P441" s="620" t="s">
        <v>40</v>
      </c>
      <c r="Q441" s="621"/>
      <c r="R441" s="621"/>
      <c r="S441" s="621"/>
      <c r="T441" s="621"/>
      <c r="U441" s="621"/>
      <c r="V441" s="622"/>
      <c r="W441" s="40" t="s">
        <v>0</v>
      </c>
      <c r="X441" s="41">
        <f>IFERROR(SUM(X439:X439),"0")</f>
        <v>0</v>
      </c>
      <c r="Y441" s="41">
        <f>IFERROR(SUM(Y439:Y439),"0")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15" t="s">
        <v>86</v>
      </c>
      <c r="B442" s="615"/>
      <c r="C442" s="615"/>
      <c r="D442" s="615"/>
      <c r="E442" s="615"/>
      <c r="F442" s="615"/>
      <c r="G442" s="615"/>
      <c r="H442" s="615"/>
      <c r="I442" s="615"/>
      <c r="J442" s="615"/>
      <c r="K442" s="615"/>
      <c r="L442" s="615"/>
      <c r="M442" s="615"/>
      <c r="N442" s="615"/>
      <c r="O442" s="615"/>
      <c r="P442" s="615"/>
      <c r="Q442" s="615"/>
      <c r="R442" s="615"/>
      <c r="S442" s="615"/>
      <c r="T442" s="615"/>
      <c r="U442" s="615"/>
      <c r="V442" s="615"/>
      <c r="W442" s="615"/>
      <c r="X442" s="615"/>
      <c r="Y442" s="615"/>
      <c r="Z442" s="615"/>
      <c r="AA442" s="63"/>
      <c r="AB442" s="63"/>
      <c r="AC442" s="63"/>
    </row>
    <row r="443" spans="1:68" ht="27" hidden="1" customHeight="1" x14ac:dyDescent="0.25">
      <c r="A443" s="60" t="s">
        <v>719</v>
      </c>
      <c r="B443" s="60" t="s">
        <v>720</v>
      </c>
      <c r="C443" s="34">
        <v>4301051899</v>
      </c>
      <c r="D443" s="616">
        <v>4607091384246</v>
      </c>
      <c r="E443" s="616"/>
      <c r="F443" s="59">
        <v>1.5</v>
      </c>
      <c r="G443" s="35">
        <v>6</v>
      </c>
      <c r="H443" s="59">
        <v>9</v>
      </c>
      <c r="I443" s="59">
        <v>9.4939999999999998</v>
      </c>
      <c r="J443" s="35">
        <v>64</v>
      </c>
      <c r="K443" s="35" t="s">
        <v>134</v>
      </c>
      <c r="L443" s="35" t="s">
        <v>46</v>
      </c>
      <c r="M443" s="36" t="s">
        <v>90</v>
      </c>
      <c r="N443" s="36"/>
      <c r="O443" s="35">
        <v>40</v>
      </c>
      <c r="P443" s="6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18"/>
      <c r="R443" s="618"/>
      <c r="S443" s="618"/>
      <c r="T443" s="61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27" t="s">
        <v>721</v>
      </c>
      <c r="AG443" s="75"/>
      <c r="AJ443" s="79" t="s">
        <v>46</v>
      </c>
      <c r="AK443" s="79">
        <v>0</v>
      </c>
      <c r="BB443" s="528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722</v>
      </c>
      <c r="B444" s="60" t="s">
        <v>723</v>
      </c>
      <c r="C444" s="34">
        <v>4301051660</v>
      </c>
      <c r="D444" s="616">
        <v>4607091384253</v>
      </c>
      <c r="E444" s="616"/>
      <c r="F444" s="59">
        <v>0.4</v>
      </c>
      <c r="G444" s="35">
        <v>6</v>
      </c>
      <c r="H444" s="59">
        <v>2.4</v>
      </c>
      <c r="I444" s="59">
        <v>2.6640000000000001</v>
      </c>
      <c r="J444" s="35">
        <v>182</v>
      </c>
      <c r="K444" s="35" t="s">
        <v>91</v>
      </c>
      <c r="L444" s="35" t="s">
        <v>46</v>
      </c>
      <c r="M444" s="36" t="s">
        <v>90</v>
      </c>
      <c r="N444" s="36"/>
      <c r="O444" s="35">
        <v>40</v>
      </c>
      <c r="P444" s="6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18"/>
      <c r="R444" s="618"/>
      <c r="S444" s="618"/>
      <c r="T444" s="619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IFERROR(IF(Y444=0,"",ROUNDUP(Y444/H444,0)*0.00651),"")</f>
        <v/>
      </c>
      <c r="AA444" s="65" t="s">
        <v>46</v>
      </c>
      <c r="AB444" s="66" t="s">
        <v>46</v>
      </c>
      <c r="AC444" s="529" t="s">
        <v>721</v>
      </c>
      <c r="AG444" s="75"/>
      <c r="AJ444" s="79" t="s">
        <v>46</v>
      </c>
      <c r="AK444" s="79">
        <v>0</v>
      </c>
      <c r="BB444" s="530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722</v>
      </c>
      <c r="B445" s="60" t="s">
        <v>724</v>
      </c>
      <c r="C445" s="34">
        <v>4301052069</v>
      </c>
      <c r="D445" s="616">
        <v>4607091384253</v>
      </c>
      <c r="E445" s="616"/>
      <c r="F445" s="59">
        <v>0.4</v>
      </c>
      <c r="G445" s="35">
        <v>6</v>
      </c>
      <c r="H445" s="59">
        <v>2.4</v>
      </c>
      <c r="I445" s="59">
        <v>2.6640000000000001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40</v>
      </c>
      <c r="P445" s="6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18"/>
      <c r="R445" s="618"/>
      <c r="S445" s="618"/>
      <c r="T445" s="619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1" t="s">
        <v>725</v>
      </c>
      <c r="AG445" s="75"/>
      <c r="AJ445" s="79" t="s">
        <v>46</v>
      </c>
      <c r="AK445" s="79">
        <v>0</v>
      </c>
      <c r="BB445" s="532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23"/>
      <c r="B446" s="623"/>
      <c r="C446" s="623"/>
      <c r="D446" s="623"/>
      <c r="E446" s="623"/>
      <c r="F446" s="623"/>
      <c r="G446" s="623"/>
      <c r="H446" s="623"/>
      <c r="I446" s="623"/>
      <c r="J446" s="623"/>
      <c r="K446" s="623"/>
      <c r="L446" s="623"/>
      <c r="M446" s="623"/>
      <c r="N446" s="623"/>
      <c r="O446" s="624"/>
      <c r="P446" s="620" t="s">
        <v>40</v>
      </c>
      <c r="Q446" s="621"/>
      <c r="R446" s="621"/>
      <c r="S446" s="621"/>
      <c r="T446" s="621"/>
      <c r="U446" s="621"/>
      <c r="V446" s="622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27.75" hidden="1" customHeight="1" x14ac:dyDescent="0.2">
      <c r="A448" s="636" t="s">
        <v>726</v>
      </c>
      <c r="B448" s="636"/>
      <c r="C448" s="636"/>
      <c r="D448" s="636"/>
      <c r="E448" s="636"/>
      <c r="F448" s="636"/>
      <c r="G448" s="636"/>
      <c r="H448" s="636"/>
      <c r="I448" s="636"/>
      <c r="J448" s="636"/>
      <c r="K448" s="636"/>
      <c r="L448" s="636"/>
      <c r="M448" s="636"/>
      <c r="N448" s="636"/>
      <c r="O448" s="636"/>
      <c r="P448" s="636"/>
      <c r="Q448" s="636"/>
      <c r="R448" s="636"/>
      <c r="S448" s="636"/>
      <c r="T448" s="636"/>
      <c r="U448" s="636"/>
      <c r="V448" s="636"/>
      <c r="W448" s="636"/>
      <c r="X448" s="636"/>
      <c r="Y448" s="636"/>
      <c r="Z448" s="636"/>
      <c r="AA448" s="52"/>
      <c r="AB448" s="52"/>
      <c r="AC448" s="52"/>
    </row>
    <row r="449" spans="1:68" ht="16.5" hidden="1" customHeight="1" x14ac:dyDescent="0.25">
      <c r="A449" s="631" t="s">
        <v>727</v>
      </c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1"/>
      <c r="P449" s="631"/>
      <c r="Q449" s="631"/>
      <c r="R449" s="631"/>
      <c r="S449" s="631"/>
      <c r="T449" s="631"/>
      <c r="U449" s="631"/>
      <c r="V449" s="631"/>
      <c r="W449" s="631"/>
      <c r="X449" s="631"/>
      <c r="Y449" s="631"/>
      <c r="Z449" s="631"/>
      <c r="AA449" s="62"/>
      <c r="AB449" s="62"/>
      <c r="AC449" s="62"/>
    </row>
    <row r="450" spans="1:68" ht="14.25" hidden="1" customHeight="1" x14ac:dyDescent="0.25">
      <c r="A450" s="615" t="s">
        <v>77</v>
      </c>
      <c r="B450" s="615"/>
      <c r="C450" s="615"/>
      <c r="D450" s="615"/>
      <c r="E450" s="615"/>
      <c r="F450" s="615"/>
      <c r="G450" s="615"/>
      <c r="H450" s="615"/>
      <c r="I450" s="615"/>
      <c r="J450" s="615"/>
      <c r="K450" s="615"/>
      <c r="L450" s="615"/>
      <c r="M450" s="615"/>
      <c r="N450" s="615"/>
      <c r="O450" s="615"/>
      <c r="P450" s="615"/>
      <c r="Q450" s="615"/>
      <c r="R450" s="615"/>
      <c r="S450" s="615"/>
      <c r="T450" s="615"/>
      <c r="U450" s="615"/>
      <c r="V450" s="615"/>
      <c r="W450" s="615"/>
      <c r="X450" s="615"/>
      <c r="Y450" s="615"/>
      <c r="Z450" s="615"/>
      <c r="AA450" s="63"/>
      <c r="AB450" s="63"/>
      <c r="AC450" s="63"/>
    </row>
    <row r="451" spans="1:68" ht="27" hidden="1" customHeight="1" x14ac:dyDescent="0.25">
      <c r="A451" s="60" t="s">
        <v>728</v>
      </c>
      <c r="B451" s="60" t="s">
        <v>729</v>
      </c>
      <c r="C451" s="34">
        <v>4301031405</v>
      </c>
      <c r="D451" s="616">
        <v>4680115886100</v>
      </c>
      <c r="E451" s="616"/>
      <c r="F451" s="59">
        <v>0.9</v>
      </c>
      <c r="G451" s="35">
        <v>6</v>
      </c>
      <c r="H451" s="59">
        <v>5.4</v>
      </c>
      <c r="I451" s="59">
        <v>5.59</v>
      </c>
      <c r="J451" s="35">
        <v>132</v>
      </c>
      <c r="K451" s="35" t="s">
        <v>141</v>
      </c>
      <c r="L451" s="35" t="s">
        <v>46</v>
      </c>
      <c r="M451" s="36" t="s">
        <v>81</v>
      </c>
      <c r="N451" s="36"/>
      <c r="O451" s="35">
        <v>50</v>
      </c>
      <c r="P451" s="6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18"/>
      <c r="R451" s="618"/>
      <c r="S451" s="618"/>
      <c r="T451" s="619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ref="Y451:Y456" si="62"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33" t="s">
        <v>730</v>
      </c>
      <c r="AG451" s="75"/>
      <c r="AJ451" s="79" t="s">
        <v>46</v>
      </c>
      <c r="AK451" s="79">
        <v>0</v>
      </c>
      <c r="BB451" s="534" t="s">
        <v>67</v>
      </c>
      <c r="BM451" s="75">
        <f t="shared" ref="BM451:BM456" si="63">IFERROR(X451*I451/H451,"0")</f>
        <v>0</v>
      </c>
      <c r="BN451" s="75">
        <f t="shared" ref="BN451:BN456" si="64">IFERROR(Y451*I451/H451,"0")</f>
        <v>0</v>
      </c>
      <c r="BO451" s="75">
        <f t="shared" ref="BO451:BO456" si="65">IFERROR(1/J451*(X451/H451),"0")</f>
        <v>0</v>
      </c>
      <c r="BP451" s="75">
        <f t="shared" ref="BP451:BP456" si="66">IFERROR(1/J451*(Y451/H451),"0")</f>
        <v>0</v>
      </c>
    </row>
    <row r="452" spans="1:68" ht="27" hidden="1" customHeight="1" x14ac:dyDescent="0.25">
      <c r="A452" s="60" t="s">
        <v>731</v>
      </c>
      <c r="B452" s="60" t="s">
        <v>732</v>
      </c>
      <c r="C452" s="34">
        <v>4301031402</v>
      </c>
      <c r="D452" s="616">
        <v>4680115886124</v>
      </c>
      <c r="E452" s="616"/>
      <c r="F452" s="59">
        <v>0.9</v>
      </c>
      <c r="G452" s="35">
        <v>6</v>
      </c>
      <c r="H452" s="59">
        <v>5.4</v>
      </c>
      <c r="I452" s="59">
        <v>5.59</v>
      </c>
      <c r="J452" s="35">
        <v>132</v>
      </c>
      <c r="K452" s="35" t="s">
        <v>141</v>
      </c>
      <c r="L452" s="35" t="s">
        <v>46</v>
      </c>
      <c r="M452" s="36" t="s">
        <v>81</v>
      </c>
      <c r="N452" s="36"/>
      <c r="O452" s="35">
        <v>50</v>
      </c>
      <c r="P452" s="6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18"/>
      <c r="R452" s="618"/>
      <c r="S452" s="618"/>
      <c r="T452" s="619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35" t="s">
        <v>733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t="27" hidden="1" customHeight="1" x14ac:dyDescent="0.25">
      <c r="A453" s="60" t="s">
        <v>734</v>
      </c>
      <c r="B453" s="60" t="s">
        <v>735</v>
      </c>
      <c r="C453" s="34">
        <v>4301031362</v>
      </c>
      <c r="D453" s="616">
        <v>4607091384338</v>
      </c>
      <c r="E453" s="616"/>
      <c r="F453" s="59">
        <v>0.35</v>
      </c>
      <c r="G453" s="35">
        <v>6</v>
      </c>
      <c r="H453" s="59">
        <v>2.1</v>
      </c>
      <c r="I453" s="59">
        <v>2.23</v>
      </c>
      <c r="J453" s="35">
        <v>234</v>
      </c>
      <c r="K453" s="35" t="s">
        <v>82</v>
      </c>
      <c r="L453" s="35" t="s">
        <v>46</v>
      </c>
      <c r="M453" s="36" t="s">
        <v>81</v>
      </c>
      <c r="N453" s="36"/>
      <c r="O453" s="35">
        <v>50</v>
      </c>
      <c r="P453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18"/>
      <c r="R453" s="618"/>
      <c r="S453" s="618"/>
      <c r="T453" s="619"/>
      <c r="U453" s="37" t="s">
        <v>46</v>
      </c>
      <c r="V453" s="37" t="s">
        <v>46</v>
      </c>
      <c r="W453" s="38" t="s">
        <v>0</v>
      </c>
      <c r="X453" s="56">
        <v>0</v>
      </c>
      <c r="Y453" s="53">
        <f t="shared" si="62"/>
        <v>0</v>
      </c>
      <c r="Z453" s="39" t="str">
        <f>IFERROR(IF(Y453=0,"",ROUNDUP(Y453/H453,0)*0.00502),"")</f>
        <v/>
      </c>
      <c r="AA453" s="65" t="s">
        <v>46</v>
      </c>
      <c r="AB453" s="66" t="s">
        <v>46</v>
      </c>
      <c r="AC453" s="537" t="s">
        <v>730</v>
      </c>
      <c r="AG453" s="75"/>
      <c r="AJ453" s="79" t="s">
        <v>46</v>
      </c>
      <c r="AK453" s="79">
        <v>0</v>
      </c>
      <c r="BB453" s="538" t="s">
        <v>67</v>
      </c>
      <c r="BM453" s="75">
        <f t="shared" si="63"/>
        <v>0</v>
      </c>
      <c r="BN453" s="75">
        <f t="shared" si="64"/>
        <v>0</v>
      </c>
      <c r="BO453" s="75">
        <f t="shared" si="65"/>
        <v>0</v>
      </c>
      <c r="BP453" s="75">
        <f t="shared" si="66"/>
        <v>0</v>
      </c>
    </row>
    <row r="454" spans="1:68" ht="27" hidden="1" customHeight="1" x14ac:dyDescent="0.25">
      <c r="A454" s="60" t="s">
        <v>736</v>
      </c>
      <c r="B454" s="60" t="s">
        <v>737</v>
      </c>
      <c r="C454" s="34">
        <v>4301031364</v>
      </c>
      <c r="D454" s="616">
        <v>4680115883161</v>
      </c>
      <c r="E454" s="616"/>
      <c r="F454" s="59">
        <v>0.28000000000000003</v>
      </c>
      <c r="G454" s="35">
        <v>6</v>
      </c>
      <c r="H454" s="59">
        <v>1.68</v>
      </c>
      <c r="I454" s="59">
        <v>1.81</v>
      </c>
      <c r="J454" s="35">
        <v>234</v>
      </c>
      <c r="K454" s="35" t="s">
        <v>82</v>
      </c>
      <c r="L454" s="35" t="s">
        <v>46</v>
      </c>
      <c r="M454" s="36" t="s">
        <v>81</v>
      </c>
      <c r="N454" s="36"/>
      <c r="O454" s="35">
        <v>50</v>
      </c>
      <c r="P454" s="66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18"/>
      <c r="R454" s="618"/>
      <c r="S454" s="618"/>
      <c r="T454" s="619"/>
      <c r="U454" s="37" t="s">
        <v>46</v>
      </c>
      <c r="V454" s="37" t="s">
        <v>46</v>
      </c>
      <c r="W454" s="38" t="s">
        <v>0</v>
      </c>
      <c r="X454" s="56">
        <v>0</v>
      </c>
      <c r="Y454" s="53">
        <f t="shared" si="62"/>
        <v>0</v>
      </c>
      <c r="Z454" s="39" t="str">
        <f>IFERROR(IF(Y454=0,"",ROUNDUP(Y454/H454,0)*0.00502),"")</f>
        <v/>
      </c>
      <c r="AA454" s="65" t="s">
        <v>46</v>
      </c>
      <c r="AB454" s="66" t="s">
        <v>46</v>
      </c>
      <c r="AC454" s="539" t="s">
        <v>738</v>
      </c>
      <c r="AG454" s="75"/>
      <c r="AJ454" s="79" t="s">
        <v>46</v>
      </c>
      <c r="AK454" s="79">
        <v>0</v>
      </c>
      <c r="BB454" s="540" t="s">
        <v>67</v>
      </c>
      <c r="BM454" s="75">
        <f t="shared" si="63"/>
        <v>0</v>
      </c>
      <c r="BN454" s="75">
        <f t="shared" si="64"/>
        <v>0</v>
      </c>
      <c r="BO454" s="75">
        <f t="shared" si="65"/>
        <v>0</v>
      </c>
      <c r="BP454" s="75">
        <f t="shared" si="66"/>
        <v>0</v>
      </c>
    </row>
    <row r="455" spans="1:68" ht="27" hidden="1" customHeight="1" x14ac:dyDescent="0.25">
      <c r="A455" s="60" t="s">
        <v>739</v>
      </c>
      <c r="B455" s="60" t="s">
        <v>740</v>
      </c>
      <c r="C455" s="34">
        <v>4301031358</v>
      </c>
      <c r="D455" s="616">
        <v>4607091389531</v>
      </c>
      <c r="E455" s="616"/>
      <c r="F455" s="59">
        <v>0.35</v>
      </c>
      <c r="G455" s="35">
        <v>6</v>
      </c>
      <c r="H455" s="59">
        <v>2.1</v>
      </c>
      <c r="I455" s="59">
        <v>2.23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6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18"/>
      <c r="R455" s="618"/>
      <c r="S455" s="618"/>
      <c r="T455" s="619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si="62"/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741</v>
      </c>
      <c r="AG455" s="75"/>
      <c r="AJ455" s="79" t="s">
        <v>46</v>
      </c>
      <c r="AK455" s="79">
        <v>0</v>
      </c>
      <c r="BB455" s="542" t="s">
        <v>67</v>
      </c>
      <c r="BM455" s="75">
        <f t="shared" si="63"/>
        <v>0</v>
      </c>
      <c r="BN455" s="75">
        <f t="shared" si="64"/>
        <v>0</v>
      </c>
      <c r="BO455" s="75">
        <f t="shared" si="65"/>
        <v>0</v>
      </c>
      <c r="BP455" s="75">
        <f t="shared" si="66"/>
        <v>0</v>
      </c>
    </row>
    <row r="456" spans="1:68" ht="37.5" hidden="1" customHeight="1" x14ac:dyDescent="0.25">
      <c r="A456" s="60" t="s">
        <v>742</v>
      </c>
      <c r="B456" s="60" t="s">
        <v>743</v>
      </c>
      <c r="C456" s="34">
        <v>4301031360</v>
      </c>
      <c r="D456" s="616">
        <v>4607091384345</v>
      </c>
      <c r="E456" s="616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6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18"/>
      <c r="R456" s="618"/>
      <c r="S456" s="618"/>
      <c r="T456" s="619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2"/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738</v>
      </c>
      <c r="AG456" s="75"/>
      <c r="AJ456" s="79" t="s">
        <v>46</v>
      </c>
      <c r="AK456" s="79">
        <v>0</v>
      </c>
      <c r="BB456" s="544" t="s">
        <v>67</v>
      </c>
      <c r="BM456" s="75">
        <f t="shared" si="63"/>
        <v>0</v>
      </c>
      <c r="BN456" s="75">
        <f t="shared" si="64"/>
        <v>0</v>
      </c>
      <c r="BO456" s="75">
        <f t="shared" si="65"/>
        <v>0</v>
      </c>
      <c r="BP456" s="75">
        <f t="shared" si="66"/>
        <v>0</v>
      </c>
    </row>
    <row r="457" spans="1:68" hidden="1" x14ac:dyDescent="0.2">
      <c r="A457" s="623"/>
      <c r="B457" s="623"/>
      <c r="C457" s="623"/>
      <c r="D457" s="623"/>
      <c r="E457" s="623"/>
      <c r="F457" s="623"/>
      <c r="G457" s="623"/>
      <c r="H457" s="623"/>
      <c r="I457" s="623"/>
      <c r="J457" s="623"/>
      <c r="K457" s="623"/>
      <c r="L457" s="623"/>
      <c r="M457" s="623"/>
      <c r="N457" s="623"/>
      <c r="O457" s="624"/>
      <c r="P457" s="620" t="s">
        <v>40</v>
      </c>
      <c r="Q457" s="621"/>
      <c r="R457" s="621"/>
      <c r="S457" s="621"/>
      <c r="T457" s="621"/>
      <c r="U457" s="621"/>
      <c r="V457" s="622"/>
      <c r="W457" s="40" t="s">
        <v>39</v>
      </c>
      <c r="X457" s="41">
        <f>IFERROR(X451/H451,"0")+IFERROR(X452/H452,"0")+IFERROR(X453/H453,"0")+IFERROR(X454/H454,"0")+IFERROR(X455/H455,"0")+IFERROR(X456/H456,"0")</f>
        <v>0</v>
      </c>
      <c r="Y457" s="41">
        <f>IFERROR(Y451/H451,"0")+IFERROR(Y452/H452,"0")+IFERROR(Y453/H453,"0")+IFERROR(Y454/H454,"0")+IFERROR(Y455/H455,"0")+IFERROR(Y456/H456,"0")</f>
        <v>0</v>
      </c>
      <c r="Z457" s="41">
        <f>IFERROR(IF(Z451="",0,Z451),"0")+IFERROR(IF(Z452="",0,Z452),"0")+IFERROR(IF(Z453="",0,Z453),"0")+IFERROR(IF(Z454="",0,Z454),"0")+IFERROR(IF(Z455="",0,Z455),"0")+IFERROR(IF(Z456="",0,Z456),"0")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23"/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4"/>
      <c r="P458" s="620" t="s">
        <v>40</v>
      </c>
      <c r="Q458" s="621"/>
      <c r="R458" s="621"/>
      <c r="S458" s="621"/>
      <c r="T458" s="621"/>
      <c r="U458" s="621"/>
      <c r="V458" s="622"/>
      <c r="W458" s="40" t="s">
        <v>0</v>
      </c>
      <c r="X458" s="41">
        <f>IFERROR(SUM(X451:X456),"0")</f>
        <v>0</v>
      </c>
      <c r="Y458" s="41">
        <f>IFERROR(SUM(Y451:Y456),"0")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15" t="s">
        <v>86</v>
      </c>
      <c r="B459" s="615"/>
      <c r="C459" s="615"/>
      <c r="D459" s="615"/>
      <c r="E459" s="615"/>
      <c r="F459" s="615"/>
      <c r="G459" s="615"/>
      <c r="H459" s="615"/>
      <c r="I459" s="615"/>
      <c r="J459" s="615"/>
      <c r="K459" s="615"/>
      <c r="L459" s="615"/>
      <c r="M459" s="615"/>
      <c r="N459" s="615"/>
      <c r="O459" s="615"/>
      <c r="P459" s="615"/>
      <c r="Q459" s="615"/>
      <c r="R459" s="615"/>
      <c r="S459" s="615"/>
      <c r="T459" s="615"/>
      <c r="U459" s="615"/>
      <c r="V459" s="615"/>
      <c r="W459" s="615"/>
      <c r="X459" s="615"/>
      <c r="Y459" s="615"/>
      <c r="Z459" s="615"/>
      <c r="AA459" s="63"/>
      <c r="AB459" s="63"/>
      <c r="AC459" s="63"/>
    </row>
    <row r="460" spans="1:68" ht="27" hidden="1" customHeight="1" x14ac:dyDescent="0.25">
      <c r="A460" s="60" t="s">
        <v>744</v>
      </c>
      <c r="B460" s="60" t="s">
        <v>745</v>
      </c>
      <c r="C460" s="34">
        <v>4301051284</v>
      </c>
      <c r="D460" s="616">
        <v>4607091384352</v>
      </c>
      <c r="E460" s="616"/>
      <c r="F460" s="59">
        <v>0.6</v>
      </c>
      <c r="G460" s="35">
        <v>4</v>
      </c>
      <c r="H460" s="59">
        <v>2.4</v>
      </c>
      <c r="I460" s="59">
        <v>2.6259999999999999</v>
      </c>
      <c r="J460" s="35">
        <v>132</v>
      </c>
      <c r="K460" s="35" t="s">
        <v>141</v>
      </c>
      <c r="L460" s="35" t="s">
        <v>46</v>
      </c>
      <c r="M460" s="36" t="s">
        <v>90</v>
      </c>
      <c r="N460" s="36"/>
      <c r="O460" s="35">
        <v>45</v>
      </c>
      <c r="P460" s="6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18"/>
      <c r="R460" s="618"/>
      <c r="S460" s="618"/>
      <c r="T460" s="619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746</v>
      </c>
      <c r="AG460" s="75"/>
      <c r="AJ460" s="79" t="s">
        <v>46</v>
      </c>
      <c r="AK460" s="79">
        <v>0</v>
      </c>
      <c r="BB460" s="546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747</v>
      </c>
      <c r="B461" s="60" t="s">
        <v>748</v>
      </c>
      <c r="C461" s="34">
        <v>4301051431</v>
      </c>
      <c r="D461" s="616">
        <v>4607091389654</v>
      </c>
      <c r="E461" s="616"/>
      <c r="F461" s="59">
        <v>0.33</v>
      </c>
      <c r="G461" s="35">
        <v>6</v>
      </c>
      <c r="H461" s="59">
        <v>1.98</v>
      </c>
      <c r="I461" s="59">
        <v>2.238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45</v>
      </c>
      <c r="P461" s="6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18"/>
      <c r="R461" s="618"/>
      <c r="S461" s="618"/>
      <c r="T461" s="61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7" t="s">
        <v>749</v>
      </c>
      <c r="AG461" s="75"/>
      <c r="AJ461" s="79" t="s">
        <v>46</v>
      </c>
      <c r="AK461" s="79">
        <v>0</v>
      </c>
      <c r="BB461" s="548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6.5" hidden="1" customHeight="1" x14ac:dyDescent="0.25">
      <c r="A464" s="631" t="s">
        <v>750</v>
      </c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1"/>
      <c r="P464" s="631"/>
      <c r="Q464" s="631"/>
      <c r="R464" s="631"/>
      <c r="S464" s="631"/>
      <c r="T464" s="631"/>
      <c r="U464" s="631"/>
      <c r="V464" s="631"/>
      <c r="W464" s="631"/>
      <c r="X464" s="631"/>
      <c r="Y464" s="631"/>
      <c r="Z464" s="631"/>
      <c r="AA464" s="62"/>
      <c r="AB464" s="62"/>
      <c r="AC464" s="62"/>
    </row>
    <row r="465" spans="1:68" ht="14.25" hidden="1" customHeight="1" x14ac:dyDescent="0.25">
      <c r="A465" s="615" t="s">
        <v>166</v>
      </c>
      <c r="B465" s="615"/>
      <c r="C465" s="615"/>
      <c r="D465" s="615"/>
      <c r="E465" s="615"/>
      <c r="F465" s="615"/>
      <c r="G465" s="615"/>
      <c r="H465" s="615"/>
      <c r="I465" s="615"/>
      <c r="J465" s="615"/>
      <c r="K465" s="615"/>
      <c r="L465" s="615"/>
      <c r="M465" s="615"/>
      <c r="N465" s="615"/>
      <c r="O465" s="615"/>
      <c r="P465" s="615"/>
      <c r="Q465" s="615"/>
      <c r="R465" s="615"/>
      <c r="S465" s="615"/>
      <c r="T465" s="615"/>
      <c r="U465" s="615"/>
      <c r="V465" s="615"/>
      <c r="W465" s="615"/>
      <c r="X465" s="615"/>
      <c r="Y465" s="615"/>
      <c r="Z465" s="615"/>
      <c r="AA465" s="63"/>
      <c r="AB465" s="63"/>
      <c r="AC465" s="63"/>
    </row>
    <row r="466" spans="1:68" ht="27" hidden="1" customHeight="1" x14ac:dyDescent="0.25">
      <c r="A466" s="60" t="s">
        <v>751</v>
      </c>
      <c r="B466" s="60" t="s">
        <v>752</v>
      </c>
      <c r="C466" s="34">
        <v>4301020416</v>
      </c>
      <c r="D466" s="616">
        <v>4680115885240</v>
      </c>
      <c r="E466" s="616"/>
      <c r="F466" s="59">
        <v>0.35</v>
      </c>
      <c r="G466" s="35">
        <v>6</v>
      </c>
      <c r="H466" s="59">
        <v>2.1</v>
      </c>
      <c r="I466" s="59">
        <v>2.31</v>
      </c>
      <c r="J466" s="35">
        <v>182</v>
      </c>
      <c r="K466" s="35" t="s">
        <v>91</v>
      </c>
      <c r="L466" s="35" t="s">
        <v>46</v>
      </c>
      <c r="M466" s="36" t="s">
        <v>81</v>
      </c>
      <c r="N466" s="36"/>
      <c r="O466" s="35">
        <v>40</v>
      </c>
      <c r="P466" s="6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18"/>
      <c r="R466" s="618"/>
      <c r="S466" s="618"/>
      <c r="T466" s="619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49" t="s">
        <v>753</v>
      </c>
      <c r="AG466" s="75"/>
      <c r="AJ466" s="79" t="s">
        <v>46</v>
      </c>
      <c r="AK466" s="79">
        <v>0</v>
      </c>
      <c r="BB466" s="55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23"/>
      <c r="B467" s="623"/>
      <c r="C467" s="623"/>
      <c r="D467" s="623"/>
      <c r="E467" s="623"/>
      <c r="F467" s="623"/>
      <c r="G467" s="623"/>
      <c r="H467" s="623"/>
      <c r="I467" s="623"/>
      <c r="J467" s="623"/>
      <c r="K467" s="623"/>
      <c r="L467" s="623"/>
      <c r="M467" s="623"/>
      <c r="N467" s="623"/>
      <c r="O467" s="624"/>
      <c r="P467" s="620" t="s">
        <v>40</v>
      </c>
      <c r="Q467" s="621"/>
      <c r="R467" s="621"/>
      <c r="S467" s="621"/>
      <c r="T467" s="621"/>
      <c r="U467" s="621"/>
      <c r="V467" s="622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15" t="s">
        <v>77</v>
      </c>
      <c r="B469" s="615"/>
      <c r="C469" s="615"/>
      <c r="D469" s="615"/>
      <c r="E469" s="615"/>
      <c r="F469" s="615"/>
      <c r="G469" s="615"/>
      <c r="H469" s="615"/>
      <c r="I469" s="615"/>
      <c r="J469" s="615"/>
      <c r="K469" s="615"/>
      <c r="L469" s="615"/>
      <c r="M469" s="615"/>
      <c r="N469" s="615"/>
      <c r="O469" s="615"/>
      <c r="P469" s="615"/>
      <c r="Q469" s="615"/>
      <c r="R469" s="615"/>
      <c r="S469" s="615"/>
      <c r="T469" s="615"/>
      <c r="U469" s="615"/>
      <c r="V469" s="615"/>
      <c r="W469" s="615"/>
      <c r="X469" s="615"/>
      <c r="Y469" s="615"/>
      <c r="Z469" s="615"/>
      <c r="AA469" s="63"/>
      <c r="AB469" s="63"/>
      <c r="AC469" s="63"/>
    </row>
    <row r="470" spans="1:68" ht="27" hidden="1" customHeight="1" x14ac:dyDescent="0.25">
      <c r="A470" s="60" t="s">
        <v>754</v>
      </c>
      <c r="B470" s="60" t="s">
        <v>755</v>
      </c>
      <c r="C470" s="34">
        <v>4301031407</v>
      </c>
      <c r="D470" s="616">
        <v>4680115886094</v>
      </c>
      <c r="E470" s="61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141</v>
      </c>
      <c r="L470" s="35" t="s">
        <v>46</v>
      </c>
      <c r="M470" s="36" t="s">
        <v>81</v>
      </c>
      <c r="N470" s="36"/>
      <c r="O470" s="35">
        <v>50</v>
      </c>
      <c r="P470" s="6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18"/>
      <c r="R470" s="618"/>
      <c r="S470" s="618"/>
      <c r="T470" s="619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1" t="s">
        <v>756</v>
      </c>
      <c r="AG470" s="75"/>
      <c r="AJ470" s="79" t="s">
        <v>46</v>
      </c>
      <c r="AK470" s="79">
        <v>0</v>
      </c>
      <c r="BB470" s="552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757</v>
      </c>
      <c r="B471" s="60" t="s">
        <v>758</v>
      </c>
      <c r="C471" s="34">
        <v>4301031373</v>
      </c>
      <c r="D471" s="616">
        <v>4680115880771</v>
      </c>
      <c r="E471" s="616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5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18"/>
      <c r="R471" s="618"/>
      <c r="S471" s="618"/>
      <c r="T471" s="619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3" t="s">
        <v>759</v>
      </c>
      <c r="AG471" s="75"/>
      <c r="AJ471" s="79" t="s">
        <v>46</v>
      </c>
      <c r="AK471" s="79">
        <v>0</v>
      </c>
      <c r="BB471" s="554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760</v>
      </c>
      <c r="B472" s="60" t="s">
        <v>761</v>
      </c>
      <c r="C472" s="34">
        <v>4301031359</v>
      </c>
      <c r="D472" s="616">
        <v>4607091389500</v>
      </c>
      <c r="E472" s="616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18"/>
      <c r="R472" s="618"/>
      <c r="S472" s="618"/>
      <c r="T472" s="619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55" t="s">
        <v>759</v>
      </c>
      <c r="AG472" s="75"/>
      <c r="AJ472" s="79" t="s">
        <v>46</v>
      </c>
      <c r="AK472" s="79">
        <v>0</v>
      </c>
      <c r="BB472" s="556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36" t="s">
        <v>762</v>
      </c>
      <c r="B475" s="636"/>
      <c r="C475" s="636"/>
      <c r="D475" s="636"/>
      <c r="E475" s="636"/>
      <c r="F475" s="636"/>
      <c r="G475" s="636"/>
      <c r="H475" s="636"/>
      <c r="I475" s="636"/>
      <c r="J475" s="636"/>
      <c r="K475" s="636"/>
      <c r="L475" s="636"/>
      <c r="M475" s="636"/>
      <c r="N475" s="636"/>
      <c r="O475" s="636"/>
      <c r="P475" s="636"/>
      <c r="Q475" s="636"/>
      <c r="R475" s="636"/>
      <c r="S475" s="636"/>
      <c r="T475" s="636"/>
      <c r="U475" s="636"/>
      <c r="V475" s="636"/>
      <c r="W475" s="636"/>
      <c r="X475" s="636"/>
      <c r="Y475" s="636"/>
      <c r="Z475" s="636"/>
      <c r="AA475" s="52"/>
      <c r="AB475" s="52"/>
      <c r="AC475" s="52"/>
    </row>
    <row r="476" spans="1:68" ht="16.5" hidden="1" customHeight="1" x14ac:dyDescent="0.25">
      <c r="A476" s="631" t="s">
        <v>762</v>
      </c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  <c r="L476" s="631"/>
      <c r="M476" s="631"/>
      <c r="N476" s="631"/>
      <c r="O476" s="631"/>
      <c r="P476" s="631"/>
      <c r="Q476" s="631"/>
      <c r="R476" s="631"/>
      <c r="S476" s="631"/>
      <c r="T476" s="631"/>
      <c r="U476" s="631"/>
      <c r="V476" s="631"/>
      <c r="W476" s="631"/>
      <c r="X476" s="631"/>
      <c r="Y476" s="631"/>
      <c r="Z476" s="631"/>
      <c r="AA476" s="62"/>
      <c r="AB476" s="62"/>
      <c r="AC476" s="62"/>
    </row>
    <row r="477" spans="1:68" ht="14.25" hidden="1" customHeight="1" x14ac:dyDescent="0.25">
      <c r="A477" s="615" t="s">
        <v>129</v>
      </c>
      <c r="B477" s="615"/>
      <c r="C477" s="615"/>
      <c r="D477" s="615"/>
      <c r="E477" s="615"/>
      <c r="F477" s="615"/>
      <c r="G477" s="615"/>
      <c r="H477" s="615"/>
      <c r="I477" s="615"/>
      <c r="J477" s="615"/>
      <c r="K477" s="615"/>
      <c r="L477" s="615"/>
      <c r="M477" s="615"/>
      <c r="N477" s="615"/>
      <c r="O477" s="615"/>
      <c r="P477" s="615"/>
      <c r="Q477" s="615"/>
      <c r="R477" s="615"/>
      <c r="S477" s="615"/>
      <c r="T477" s="615"/>
      <c r="U477" s="615"/>
      <c r="V477" s="615"/>
      <c r="W477" s="615"/>
      <c r="X477" s="615"/>
      <c r="Y477" s="615"/>
      <c r="Z477" s="615"/>
      <c r="AA477" s="63"/>
      <c r="AB477" s="63"/>
      <c r="AC477" s="63"/>
    </row>
    <row r="478" spans="1:68" ht="27" hidden="1" customHeight="1" x14ac:dyDescent="0.25">
      <c r="A478" s="60" t="s">
        <v>763</v>
      </c>
      <c r="B478" s="60" t="s">
        <v>764</v>
      </c>
      <c r="C478" s="34">
        <v>4301011769</v>
      </c>
      <c r="D478" s="616">
        <v>4607091389067</v>
      </c>
      <c r="E478" s="616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134</v>
      </c>
      <c r="L478" s="35" t="s">
        <v>46</v>
      </c>
      <c r="M478" s="36" t="s">
        <v>90</v>
      </c>
      <c r="N478" s="36"/>
      <c r="O478" s="35">
        <v>60</v>
      </c>
      <c r="P478" s="6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18"/>
      <c r="R478" s="618"/>
      <c r="S478" s="618"/>
      <c r="T478" s="6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6" si="67">IFERROR(IF(X478="",0,CEILING((X478/$H478),1)*$H478),"")</f>
        <v>0</v>
      </c>
      <c r="Z478" s="39" t="str">
        <f t="shared" ref="Z478:Z483" si="68">IFERROR(IF(Y478=0,"",ROUNDUP(Y478/H478,0)*0.01196),"")</f>
        <v/>
      </c>
      <c r="AA478" s="65" t="s">
        <v>46</v>
      </c>
      <c r="AB478" s="66" t="s">
        <v>46</v>
      </c>
      <c r="AC478" s="557" t="s">
        <v>132</v>
      </c>
      <c r="AG478" s="75"/>
      <c r="AJ478" s="79" t="s">
        <v>46</v>
      </c>
      <c r="AK478" s="79">
        <v>0</v>
      </c>
      <c r="BB478" s="558" t="s">
        <v>67</v>
      </c>
      <c r="BM478" s="75">
        <f t="shared" ref="BM478:BM486" si="69">IFERROR(X478*I478/H478,"0")</f>
        <v>0</v>
      </c>
      <c r="BN478" s="75">
        <f t="shared" ref="BN478:BN486" si="70">IFERROR(Y478*I478/H478,"0")</f>
        <v>0</v>
      </c>
      <c r="BO478" s="75">
        <f t="shared" ref="BO478:BO486" si="71">IFERROR(1/J478*(X478/H478),"0")</f>
        <v>0</v>
      </c>
      <c r="BP478" s="75">
        <f t="shared" ref="BP478:BP486" si="72">IFERROR(1/J478*(Y478/H478),"0")</f>
        <v>0</v>
      </c>
    </row>
    <row r="479" spans="1:68" ht="16.5" hidden="1" customHeight="1" x14ac:dyDescent="0.25">
      <c r="A479" s="60" t="s">
        <v>765</v>
      </c>
      <c r="B479" s="60" t="s">
        <v>766</v>
      </c>
      <c r="C479" s="34">
        <v>4301012380</v>
      </c>
      <c r="D479" s="616">
        <v>4680115889576</v>
      </c>
      <c r="E479" s="616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134</v>
      </c>
      <c r="L479" s="35" t="s">
        <v>46</v>
      </c>
      <c r="M479" s="36" t="s">
        <v>133</v>
      </c>
      <c r="N479" s="36"/>
      <c r="O479" s="35">
        <v>60</v>
      </c>
      <c r="P479" s="65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18"/>
      <c r="R479" s="618"/>
      <c r="S479" s="618"/>
      <c r="T479" s="6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 t="shared" si="68"/>
        <v/>
      </c>
      <c r="AA479" s="65" t="s">
        <v>46</v>
      </c>
      <c r="AB479" s="66" t="s">
        <v>46</v>
      </c>
      <c r="AC479" s="559" t="s">
        <v>767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768</v>
      </c>
      <c r="B480" s="60" t="s">
        <v>769</v>
      </c>
      <c r="C480" s="34">
        <v>4301011961</v>
      </c>
      <c r="D480" s="616">
        <v>4680115885271</v>
      </c>
      <c r="E480" s="616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60</v>
      </c>
      <c r="P480" s="6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18"/>
      <c r="R480" s="618"/>
      <c r="S480" s="618"/>
      <c r="T480" s="6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 t="shared" si="68"/>
        <v/>
      </c>
      <c r="AA480" s="65" t="s">
        <v>46</v>
      </c>
      <c r="AB480" s="66" t="s">
        <v>46</v>
      </c>
      <c r="AC480" s="561" t="s">
        <v>770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771</v>
      </c>
      <c r="B481" s="60" t="s">
        <v>772</v>
      </c>
      <c r="C481" s="34">
        <v>4301011369</v>
      </c>
      <c r="D481" s="616">
        <v>4680115885226</v>
      </c>
      <c r="E481" s="616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133</v>
      </c>
      <c r="N481" s="36"/>
      <c r="O481" s="35">
        <v>60</v>
      </c>
      <c r="P481" s="6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18"/>
      <c r="R481" s="618"/>
      <c r="S481" s="618"/>
      <c r="T481" s="619"/>
      <c r="U481" s="37" t="s">
        <v>46</v>
      </c>
      <c r="V481" s="37" t="s">
        <v>46</v>
      </c>
      <c r="W481" s="38" t="s">
        <v>0</v>
      </c>
      <c r="X481" s="56">
        <v>550</v>
      </c>
      <c r="Y481" s="53">
        <f t="shared" si="67"/>
        <v>554.4</v>
      </c>
      <c r="Z481" s="39">
        <f t="shared" si="68"/>
        <v>1.2558</v>
      </c>
      <c r="AA481" s="65" t="s">
        <v>46</v>
      </c>
      <c r="AB481" s="66" t="s">
        <v>46</v>
      </c>
      <c r="AC481" s="563" t="s">
        <v>773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586.45833333333326</v>
      </c>
      <c r="BN481" s="75">
        <f t="shared" si="70"/>
        <v>591.15</v>
      </c>
      <c r="BO481" s="75">
        <f t="shared" si="71"/>
        <v>1.0016025641025641</v>
      </c>
      <c r="BP481" s="75">
        <f t="shared" si="72"/>
        <v>1.0096153846153846</v>
      </c>
    </row>
    <row r="482" spans="1:68" ht="16.5" hidden="1" customHeight="1" x14ac:dyDescent="0.25">
      <c r="A482" s="60" t="s">
        <v>774</v>
      </c>
      <c r="B482" s="60" t="s">
        <v>775</v>
      </c>
      <c r="C482" s="34">
        <v>4301011797</v>
      </c>
      <c r="D482" s="616">
        <v>4680115884502</v>
      </c>
      <c r="E482" s="61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90</v>
      </c>
      <c r="N482" s="36"/>
      <c r="O482" s="35">
        <v>60</v>
      </c>
      <c r="P482" s="6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18"/>
      <c r="R482" s="618"/>
      <c r="S482" s="618"/>
      <c r="T482" s="619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 t="shared" si="68"/>
        <v/>
      </c>
      <c r="AA482" s="65" t="s">
        <v>46</v>
      </c>
      <c r="AB482" s="66" t="s">
        <v>46</v>
      </c>
      <c r="AC482" s="565" t="s">
        <v>776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777</v>
      </c>
      <c r="B483" s="60" t="s">
        <v>778</v>
      </c>
      <c r="C483" s="34">
        <v>4301011771</v>
      </c>
      <c r="D483" s="616">
        <v>4607091389104</v>
      </c>
      <c r="E483" s="616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134</v>
      </c>
      <c r="L483" s="35" t="s">
        <v>46</v>
      </c>
      <c r="M483" s="36" t="s">
        <v>133</v>
      </c>
      <c r="N483" s="36"/>
      <c r="O483" s="35">
        <v>60</v>
      </c>
      <c r="P483" s="64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18"/>
      <c r="R483" s="618"/>
      <c r="S483" s="618"/>
      <c r="T483" s="619"/>
      <c r="U483" s="37" t="s">
        <v>46</v>
      </c>
      <c r="V483" s="37" t="s">
        <v>46</v>
      </c>
      <c r="W483" s="38" t="s">
        <v>0</v>
      </c>
      <c r="X483" s="56">
        <v>300</v>
      </c>
      <c r="Y483" s="53">
        <f t="shared" si="67"/>
        <v>300.96000000000004</v>
      </c>
      <c r="Z483" s="39">
        <f t="shared" si="68"/>
        <v>0.68171999999999999</v>
      </c>
      <c r="AA483" s="65" t="s">
        <v>46</v>
      </c>
      <c r="AB483" s="66" t="s">
        <v>46</v>
      </c>
      <c r="AC483" s="567" t="s">
        <v>779</v>
      </c>
      <c r="AG483" s="75"/>
      <c r="AJ483" s="79" t="s">
        <v>46</v>
      </c>
      <c r="AK483" s="79">
        <v>0</v>
      </c>
      <c r="BB483" s="568" t="s">
        <v>67</v>
      </c>
      <c r="BM483" s="75">
        <f t="shared" si="69"/>
        <v>319.88636363636363</v>
      </c>
      <c r="BN483" s="75">
        <f t="shared" si="70"/>
        <v>320.91000000000003</v>
      </c>
      <c r="BO483" s="75">
        <f t="shared" si="71"/>
        <v>0.54632867132867136</v>
      </c>
      <c r="BP483" s="75">
        <f t="shared" si="72"/>
        <v>0.54807692307692313</v>
      </c>
    </row>
    <row r="484" spans="1:68" ht="27" hidden="1" customHeight="1" x14ac:dyDescent="0.25">
      <c r="A484" s="60" t="s">
        <v>780</v>
      </c>
      <c r="B484" s="60" t="s">
        <v>781</v>
      </c>
      <c r="C484" s="34">
        <v>4301012125</v>
      </c>
      <c r="D484" s="616">
        <v>4680115886391</v>
      </c>
      <c r="E484" s="616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90</v>
      </c>
      <c r="N484" s="36"/>
      <c r="O484" s="35">
        <v>60</v>
      </c>
      <c r="P484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18"/>
      <c r="R484" s="618"/>
      <c r="S484" s="618"/>
      <c r="T484" s="619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67"/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9" t="s">
        <v>132</v>
      </c>
      <c r="AG484" s="75"/>
      <c r="AJ484" s="79" t="s">
        <v>46</v>
      </c>
      <c r="AK484" s="79">
        <v>0</v>
      </c>
      <c r="BB484" s="570" t="s">
        <v>67</v>
      </c>
      <c r="BM484" s="75">
        <f t="shared" si="69"/>
        <v>0</v>
      </c>
      <c r="BN484" s="75">
        <f t="shared" si="70"/>
        <v>0</v>
      </c>
      <c r="BO484" s="75">
        <f t="shared" si="71"/>
        <v>0</v>
      </c>
      <c r="BP484" s="75">
        <f t="shared" si="72"/>
        <v>0</v>
      </c>
    </row>
    <row r="485" spans="1:68" ht="27" hidden="1" customHeight="1" x14ac:dyDescent="0.25">
      <c r="A485" s="60" t="s">
        <v>782</v>
      </c>
      <c r="B485" s="60" t="s">
        <v>783</v>
      </c>
      <c r="C485" s="34">
        <v>4301012048</v>
      </c>
      <c r="D485" s="616">
        <v>4680115880603</v>
      </c>
      <c r="E485" s="616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141</v>
      </c>
      <c r="L485" s="35" t="s">
        <v>46</v>
      </c>
      <c r="M485" s="36" t="s">
        <v>90</v>
      </c>
      <c r="N485" s="36"/>
      <c r="O485" s="35">
        <v>60</v>
      </c>
      <c r="P485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18"/>
      <c r="R485" s="618"/>
      <c r="S485" s="618"/>
      <c r="T485" s="619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7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1" t="s">
        <v>132</v>
      </c>
      <c r="AG485" s="75"/>
      <c r="AJ485" s="79" t="s">
        <v>46</v>
      </c>
      <c r="AK485" s="79">
        <v>0</v>
      </c>
      <c r="BB485" s="572" t="s">
        <v>67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hidden="1" customHeight="1" x14ac:dyDescent="0.25">
      <c r="A486" s="60" t="s">
        <v>784</v>
      </c>
      <c r="B486" s="60" t="s">
        <v>785</v>
      </c>
      <c r="C486" s="34">
        <v>4301012034</v>
      </c>
      <c r="D486" s="616">
        <v>4607091389982</v>
      </c>
      <c r="E486" s="616"/>
      <c r="F486" s="59">
        <v>0.6</v>
      </c>
      <c r="G486" s="35">
        <v>8</v>
      </c>
      <c r="H486" s="59">
        <v>4.8</v>
      </c>
      <c r="I486" s="59">
        <v>6.91</v>
      </c>
      <c r="J486" s="35">
        <v>132</v>
      </c>
      <c r="K486" s="35" t="s">
        <v>141</v>
      </c>
      <c r="L486" s="35" t="s">
        <v>46</v>
      </c>
      <c r="M486" s="36" t="s">
        <v>133</v>
      </c>
      <c r="N486" s="36"/>
      <c r="O486" s="35">
        <v>60</v>
      </c>
      <c r="P486" s="6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18"/>
      <c r="R486" s="618"/>
      <c r="S486" s="618"/>
      <c r="T486" s="619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7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73" t="s">
        <v>779</v>
      </c>
      <c r="AG486" s="75"/>
      <c r="AJ486" s="79" t="s">
        <v>46</v>
      </c>
      <c r="AK486" s="79">
        <v>0</v>
      </c>
      <c r="BB486" s="574" t="s">
        <v>67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IFERROR(X478/H478,"0")+IFERROR(X479/H479,"0")+IFERROR(X480/H480,"0")+IFERROR(X481/H481,"0")+IFERROR(X482/H482,"0")+IFERROR(X483/H483,"0")+IFERROR(X484/H484,"0")+IFERROR(X485/H485,"0")+IFERROR(X486/H486,"0")</f>
        <v>160.98484848484847</v>
      </c>
      <c r="Y487" s="41">
        <f>IFERROR(Y478/H478,"0")+IFERROR(Y479/H479,"0")+IFERROR(Y480/H480,"0")+IFERROR(Y481/H481,"0")+IFERROR(Y482/H482,"0")+IFERROR(Y483/H483,"0")+IFERROR(Y484/H484,"0")+IFERROR(Y485/H485,"0")+IFERROR(Y486/H486,"0")</f>
        <v>162</v>
      </c>
      <c r="Z487" s="41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1.9375200000000001</v>
      </c>
      <c r="AA487" s="64"/>
      <c r="AB487" s="64"/>
      <c r="AC487" s="64"/>
    </row>
    <row r="488" spans="1:68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IFERROR(SUM(X478:X486),"0")</f>
        <v>850</v>
      </c>
      <c r="Y488" s="41">
        <f>IFERROR(SUM(Y478:Y486),"0")</f>
        <v>855.36</v>
      </c>
      <c r="Z488" s="40"/>
      <c r="AA488" s="64"/>
      <c r="AB488" s="64"/>
      <c r="AC488" s="64"/>
    </row>
    <row r="489" spans="1:68" ht="14.25" hidden="1" customHeight="1" x14ac:dyDescent="0.25">
      <c r="A489" s="615" t="s">
        <v>166</v>
      </c>
      <c r="B489" s="615"/>
      <c r="C489" s="615"/>
      <c r="D489" s="615"/>
      <c r="E489" s="615"/>
      <c r="F489" s="615"/>
      <c r="G489" s="615"/>
      <c r="H489" s="615"/>
      <c r="I489" s="615"/>
      <c r="J489" s="615"/>
      <c r="K489" s="615"/>
      <c r="L489" s="615"/>
      <c r="M489" s="615"/>
      <c r="N489" s="615"/>
      <c r="O489" s="615"/>
      <c r="P489" s="615"/>
      <c r="Q489" s="615"/>
      <c r="R489" s="615"/>
      <c r="S489" s="615"/>
      <c r="T489" s="615"/>
      <c r="U489" s="615"/>
      <c r="V489" s="615"/>
      <c r="W489" s="615"/>
      <c r="X489" s="615"/>
      <c r="Y489" s="615"/>
      <c r="Z489" s="615"/>
      <c r="AA489" s="63"/>
      <c r="AB489" s="63"/>
      <c r="AC489" s="63"/>
    </row>
    <row r="490" spans="1:68" ht="16.5" hidden="1" customHeight="1" x14ac:dyDescent="0.25">
      <c r="A490" s="60" t="s">
        <v>786</v>
      </c>
      <c r="B490" s="60" t="s">
        <v>787</v>
      </c>
      <c r="C490" s="34">
        <v>4301020334</v>
      </c>
      <c r="D490" s="616">
        <v>4607091388930</v>
      </c>
      <c r="E490" s="61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134</v>
      </c>
      <c r="L490" s="35" t="s">
        <v>46</v>
      </c>
      <c r="M490" s="36" t="s">
        <v>90</v>
      </c>
      <c r="N490" s="36"/>
      <c r="O490" s="35">
        <v>70</v>
      </c>
      <c r="P490" s="6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18"/>
      <c r="R490" s="618"/>
      <c r="S490" s="618"/>
      <c r="T490" s="6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75" t="s">
        <v>788</v>
      </c>
      <c r="AG490" s="75"/>
      <c r="AJ490" s="79" t="s">
        <v>46</v>
      </c>
      <c r="AK490" s="79">
        <v>0</v>
      </c>
      <c r="BB490" s="576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16.5" hidden="1" customHeight="1" x14ac:dyDescent="0.25">
      <c r="A491" s="60" t="s">
        <v>789</v>
      </c>
      <c r="B491" s="60" t="s">
        <v>790</v>
      </c>
      <c r="C491" s="34">
        <v>4301020374</v>
      </c>
      <c r="D491" s="616">
        <v>4680115886407</v>
      </c>
      <c r="E491" s="616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91</v>
      </c>
      <c r="L491" s="35" t="s">
        <v>46</v>
      </c>
      <c r="M491" s="36" t="s">
        <v>133</v>
      </c>
      <c r="N491" s="36"/>
      <c r="O491" s="35">
        <v>70</v>
      </c>
      <c r="P491" s="6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18"/>
      <c r="R491" s="618"/>
      <c r="S491" s="618"/>
      <c r="T491" s="61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77" t="s">
        <v>788</v>
      </c>
      <c r="AG491" s="75"/>
      <c r="AJ491" s="79" t="s">
        <v>46</v>
      </c>
      <c r="AK491" s="79">
        <v>0</v>
      </c>
      <c r="BB491" s="578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16.5" hidden="1" customHeight="1" x14ac:dyDescent="0.25">
      <c r="A492" s="60" t="s">
        <v>791</v>
      </c>
      <c r="B492" s="60" t="s">
        <v>792</v>
      </c>
      <c r="C492" s="34">
        <v>4301020385</v>
      </c>
      <c r="D492" s="616">
        <v>4680115880054</v>
      </c>
      <c r="E492" s="616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141</v>
      </c>
      <c r="L492" s="35" t="s">
        <v>46</v>
      </c>
      <c r="M492" s="36" t="s">
        <v>133</v>
      </c>
      <c r="N492" s="36"/>
      <c r="O492" s="35">
        <v>70</v>
      </c>
      <c r="P492" s="6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18"/>
      <c r="R492" s="618"/>
      <c r="S492" s="618"/>
      <c r="T492" s="619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9" t="s">
        <v>788</v>
      </c>
      <c r="AG492" s="75"/>
      <c r="AJ492" s="79" t="s">
        <v>46</v>
      </c>
      <c r="AK492" s="79">
        <v>0</v>
      </c>
      <c r="BB492" s="580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624"/>
      <c r="P493" s="620" t="s">
        <v>40</v>
      </c>
      <c r="Q493" s="621"/>
      <c r="R493" s="621"/>
      <c r="S493" s="621"/>
      <c r="T493" s="621"/>
      <c r="U493" s="621"/>
      <c r="V493" s="622"/>
      <c r="W493" s="40" t="s">
        <v>39</v>
      </c>
      <c r="X493" s="41">
        <f>IFERROR(X490/H490,"0")+IFERROR(X491/H491,"0")+IFERROR(X492/H492,"0")</f>
        <v>0</v>
      </c>
      <c r="Y493" s="41">
        <f>IFERROR(Y490/H490,"0")+IFERROR(Y491/H491,"0")+IFERROR(Y492/H492,"0")</f>
        <v>0</v>
      </c>
      <c r="Z493" s="41">
        <f>IFERROR(IF(Z490="",0,Z490),"0")+IFERROR(IF(Z491="",0,Z491),"0")+IFERROR(IF(Z492="",0,Z492),"0")</f>
        <v>0</v>
      </c>
      <c r="AA493" s="64"/>
      <c r="AB493" s="64"/>
      <c r="AC493" s="64"/>
    </row>
    <row r="494" spans="1:68" hidden="1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624"/>
      <c r="P494" s="620" t="s">
        <v>40</v>
      </c>
      <c r="Q494" s="621"/>
      <c r="R494" s="621"/>
      <c r="S494" s="621"/>
      <c r="T494" s="621"/>
      <c r="U494" s="621"/>
      <c r="V494" s="622"/>
      <c r="W494" s="40" t="s">
        <v>0</v>
      </c>
      <c r="X494" s="41">
        <f>IFERROR(SUM(X490:X492),"0")</f>
        <v>0</v>
      </c>
      <c r="Y494" s="41">
        <f>IFERROR(SUM(Y490:Y492),"0")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15" t="s">
        <v>77</v>
      </c>
      <c r="B495" s="615"/>
      <c r="C495" s="615"/>
      <c r="D495" s="615"/>
      <c r="E495" s="615"/>
      <c r="F495" s="615"/>
      <c r="G495" s="615"/>
      <c r="H495" s="615"/>
      <c r="I495" s="615"/>
      <c r="J495" s="615"/>
      <c r="K495" s="615"/>
      <c r="L495" s="615"/>
      <c r="M495" s="615"/>
      <c r="N495" s="615"/>
      <c r="O495" s="615"/>
      <c r="P495" s="615"/>
      <c r="Q495" s="615"/>
      <c r="R495" s="615"/>
      <c r="S495" s="615"/>
      <c r="T495" s="615"/>
      <c r="U495" s="615"/>
      <c r="V495" s="615"/>
      <c r="W495" s="615"/>
      <c r="X495" s="615"/>
      <c r="Y495" s="615"/>
      <c r="Z495" s="615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4301031349</v>
      </c>
      <c r="D496" s="616">
        <v>4680115883116</v>
      </c>
      <c r="E496" s="61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134</v>
      </c>
      <c r="L496" s="35" t="s">
        <v>46</v>
      </c>
      <c r="M496" s="36" t="s">
        <v>133</v>
      </c>
      <c r="N496" s="36"/>
      <c r="O496" s="35">
        <v>70</v>
      </c>
      <c r="P496" s="6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18"/>
      <c r="R496" s="618"/>
      <c r="S496" s="618"/>
      <c r="T496" s="61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2" si="73">IFERROR(IF(X496="",0,CEILING((X496/$H496),1)*$H496),"")</f>
        <v>0</v>
      </c>
      <c r="Z496" s="39" t="str">
        <f>IFERROR(IF(Y496=0,"",ROUNDUP(Y496/H496,0)*0.01196),"")</f>
        <v/>
      </c>
      <c r="AA496" s="65" t="s">
        <v>46</v>
      </c>
      <c r="AB496" s="66" t="s">
        <v>46</v>
      </c>
      <c r="AC496" s="581" t="s">
        <v>795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2" si="74">IFERROR(X496*I496/H496,"0")</f>
        <v>0</v>
      </c>
      <c r="BN496" s="75">
        <f t="shared" ref="BN496:BN502" si="75">IFERROR(Y496*I496/H496,"0")</f>
        <v>0</v>
      </c>
      <c r="BO496" s="75">
        <f t="shared" ref="BO496:BO502" si="76">IFERROR(1/J496*(X496/H496),"0")</f>
        <v>0</v>
      </c>
      <c r="BP496" s="75">
        <f t="shared" ref="BP496:BP502" si="77"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4301031350</v>
      </c>
      <c r="D497" s="616">
        <v>4680115883093</v>
      </c>
      <c r="E497" s="61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134</v>
      </c>
      <c r="L497" s="35" t="s">
        <v>46</v>
      </c>
      <c r="M497" s="36" t="s">
        <v>81</v>
      </c>
      <c r="N497" s="36"/>
      <c r="O497" s="35">
        <v>70</v>
      </c>
      <c r="P497" s="6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18"/>
      <c r="R497" s="618"/>
      <c r="S497" s="618"/>
      <c r="T497" s="61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3"/>
        <v>0</v>
      </c>
      <c r="Z497" s="39" t="str">
        <f>IFERROR(IF(Y497=0,"",ROUNDUP(Y497/H497,0)*0.01196),"")</f>
        <v/>
      </c>
      <c r="AA497" s="65" t="s">
        <v>46</v>
      </c>
      <c r="AB497" s="66" t="s">
        <v>46</v>
      </c>
      <c r="AC497" s="583" t="s">
        <v>798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0</v>
      </c>
      <c r="BN497" s="75">
        <f t="shared" si="75"/>
        <v>0</v>
      </c>
      <c r="BO497" s="75">
        <f t="shared" si="76"/>
        <v>0</v>
      </c>
      <c r="BP497" s="75">
        <f t="shared" si="77"/>
        <v>0</v>
      </c>
    </row>
    <row r="498" spans="1:68" ht="27" customHeight="1" x14ac:dyDescent="0.25">
      <c r="A498" s="60" t="s">
        <v>799</v>
      </c>
      <c r="B498" s="60" t="s">
        <v>800</v>
      </c>
      <c r="C498" s="34">
        <v>4301031353</v>
      </c>
      <c r="D498" s="616">
        <v>4680115883109</v>
      </c>
      <c r="E498" s="61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134</v>
      </c>
      <c r="L498" s="35" t="s">
        <v>46</v>
      </c>
      <c r="M498" s="36" t="s">
        <v>81</v>
      </c>
      <c r="N498" s="36"/>
      <c r="O498" s="35">
        <v>70</v>
      </c>
      <c r="P498" s="6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18"/>
      <c r="R498" s="618"/>
      <c r="S498" s="618"/>
      <c r="T498" s="619"/>
      <c r="U498" s="37" t="s">
        <v>46</v>
      </c>
      <c r="V498" s="37" t="s">
        <v>46</v>
      </c>
      <c r="W498" s="38" t="s">
        <v>0</v>
      </c>
      <c r="X498" s="56">
        <v>100</v>
      </c>
      <c r="Y498" s="53">
        <f t="shared" si="73"/>
        <v>100.32000000000001</v>
      </c>
      <c r="Z498" s="39">
        <f>IFERROR(IF(Y498=0,"",ROUNDUP(Y498/H498,0)*0.01196),"")</f>
        <v>0.22724</v>
      </c>
      <c r="AA498" s="65" t="s">
        <v>46</v>
      </c>
      <c r="AB498" s="66" t="s">
        <v>46</v>
      </c>
      <c r="AC498" s="585" t="s">
        <v>801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106.62878787878788</v>
      </c>
      <c r="BN498" s="75">
        <f t="shared" si="75"/>
        <v>106.97</v>
      </c>
      <c r="BO498" s="75">
        <f t="shared" si="76"/>
        <v>0.18210955710955709</v>
      </c>
      <c r="BP498" s="75">
        <f t="shared" si="77"/>
        <v>0.18269230769230771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4301031419</v>
      </c>
      <c r="D499" s="616">
        <v>4680115882072</v>
      </c>
      <c r="E499" s="616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141</v>
      </c>
      <c r="L499" s="35" t="s">
        <v>46</v>
      </c>
      <c r="M499" s="36" t="s">
        <v>133</v>
      </c>
      <c r="N499" s="36"/>
      <c r="O499" s="35">
        <v>70</v>
      </c>
      <c r="P499" s="6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18"/>
      <c r="R499" s="618"/>
      <c r="S499" s="618"/>
      <c r="T499" s="61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3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7" t="s">
        <v>795</v>
      </c>
      <c r="AG499" s="75"/>
      <c r="AJ499" s="79" t="s">
        <v>46</v>
      </c>
      <c r="AK499" s="79">
        <v>0</v>
      </c>
      <c r="BB499" s="588" t="s">
        <v>67</v>
      </c>
      <c r="BM499" s="75">
        <f t="shared" si="74"/>
        <v>0</v>
      </c>
      <c r="BN499" s="75">
        <f t="shared" si="75"/>
        <v>0</v>
      </c>
      <c r="BO499" s="75">
        <f t="shared" si="76"/>
        <v>0</v>
      </c>
      <c r="BP499" s="75">
        <f t="shared" si="77"/>
        <v>0</v>
      </c>
    </row>
    <row r="500" spans="1:68" ht="27" hidden="1" customHeight="1" x14ac:dyDescent="0.25">
      <c r="A500" s="60" t="s">
        <v>804</v>
      </c>
      <c r="B500" s="60" t="s">
        <v>805</v>
      </c>
      <c r="C500" s="34">
        <v>4301031352</v>
      </c>
      <c r="D500" s="616">
        <v>4680115882102</v>
      </c>
      <c r="E500" s="616"/>
      <c r="F500" s="59">
        <v>0.6</v>
      </c>
      <c r="G500" s="35">
        <v>6</v>
      </c>
      <c r="H500" s="59">
        <v>3.6</v>
      </c>
      <c r="I500" s="59">
        <v>3.79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70</v>
      </c>
      <c r="P500" s="63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18"/>
      <c r="R500" s="618"/>
      <c r="S500" s="618"/>
      <c r="T500" s="61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3"/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798</v>
      </c>
      <c r="AG500" s="75"/>
      <c r="AJ500" s="79" t="s">
        <v>46</v>
      </c>
      <c r="AK500" s="79">
        <v>0</v>
      </c>
      <c r="BB500" s="590" t="s">
        <v>67</v>
      </c>
      <c r="BM500" s="75">
        <f t="shared" si="74"/>
        <v>0</v>
      </c>
      <c r="BN500" s="75">
        <f t="shared" si="75"/>
        <v>0</v>
      </c>
      <c r="BO500" s="75">
        <f t="shared" si="76"/>
        <v>0</v>
      </c>
      <c r="BP500" s="75">
        <f t="shared" si="77"/>
        <v>0</v>
      </c>
    </row>
    <row r="501" spans="1:68" ht="27" hidden="1" customHeight="1" x14ac:dyDescent="0.25">
      <c r="A501" s="60" t="s">
        <v>804</v>
      </c>
      <c r="B501" s="60" t="s">
        <v>806</v>
      </c>
      <c r="C501" s="34">
        <v>4301031418</v>
      </c>
      <c r="D501" s="616">
        <v>4680115882102</v>
      </c>
      <c r="E501" s="616"/>
      <c r="F501" s="59">
        <v>0.6</v>
      </c>
      <c r="G501" s="35">
        <v>8</v>
      </c>
      <c r="H501" s="59">
        <v>4.8</v>
      </c>
      <c r="I501" s="59">
        <v>6.67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70</v>
      </c>
      <c r="P501" s="6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18"/>
      <c r="R501" s="618"/>
      <c r="S501" s="618"/>
      <c r="T501" s="61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3"/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1" t="s">
        <v>798</v>
      </c>
      <c r="AG501" s="75"/>
      <c r="AJ501" s="79" t="s">
        <v>46</v>
      </c>
      <c r="AK501" s="79">
        <v>0</v>
      </c>
      <c r="BB501" s="592" t="s">
        <v>67</v>
      </c>
      <c r="BM501" s="75">
        <f t="shared" si="74"/>
        <v>0</v>
      </c>
      <c r="BN501" s="75">
        <f t="shared" si="75"/>
        <v>0</v>
      </c>
      <c r="BO501" s="75">
        <f t="shared" si="76"/>
        <v>0</v>
      </c>
      <c r="BP501" s="75">
        <f t="shared" si="77"/>
        <v>0</v>
      </c>
    </row>
    <row r="502" spans="1:68" ht="27" hidden="1" customHeight="1" x14ac:dyDescent="0.25">
      <c r="A502" s="60" t="s">
        <v>807</v>
      </c>
      <c r="B502" s="60" t="s">
        <v>808</v>
      </c>
      <c r="C502" s="34">
        <v>4301031417</v>
      </c>
      <c r="D502" s="616">
        <v>4680115882096</v>
      </c>
      <c r="E502" s="616"/>
      <c r="F502" s="59">
        <v>0.6</v>
      </c>
      <c r="G502" s="35">
        <v>8</v>
      </c>
      <c r="H502" s="59">
        <v>4.8</v>
      </c>
      <c r="I502" s="59">
        <v>6.67</v>
      </c>
      <c r="J502" s="35">
        <v>132</v>
      </c>
      <c r="K502" s="35" t="s">
        <v>141</v>
      </c>
      <c r="L502" s="35" t="s">
        <v>46</v>
      </c>
      <c r="M502" s="36" t="s">
        <v>81</v>
      </c>
      <c r="N502" s="36"/>
      <c r="O502" s="35">
        <v>70</v>
      </c>
      <c r="P502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18"/>
      <c r="R502" s="618"/>
      <c r="S502" s="618"/>
      <c r="T502" s="6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3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801</v>
      </c>
      <c r="AG502" s="75"/>
      <c r="AJ502" s="79" t="s">
        <v>46</v>
      </c>
      <c r="AK502" s="79">
        <v>0</v>
      </c>
      <c r="BB502" s="594" t="s">
        <v>67</v>
      </c>
      <c r="BM502" s="75">
        <f t="shared" si="74"/>
        <v>0</v>
      </c>
      <c r="BN502" s="75">
        <f t="shared" si="75"/>
        <v>0</v>
      </c>
      <c r="BO502" s="75">
        <f t="shared" si="76"/>
        <v>0</v>
      </c>
      <c r="BP502" s="75">
        <f t="shared" si="77"/>
        <v>0</v>
      </c>
    </row>
    <row r="503" spans="1:68" x14ac:dyDescent="0.2">
      <c r="A503" s="623"/>
      <c r="B503" s="623"/>
      <c r="C503" s="623"/>
      <c r="D503" s="623"/>
      <c r="E503" s="623"/>
      <c r="F503" s="623"/>
      <c r="G503" s="623"/>
      <c r="H503" s="623"/>
      <c r="I503" s="623"/>
      <c r="J503" s="623"/>
      <c r="K503" s="623"/>
      <c r="L503" s="623"/>
      <c r="M503" s="623"/>
      <c r="N503" s="623"/>
      <c r="O503" s="624"/>
      <c r="P503" s="620" t="s">
        <v>40</v>
      </c>
      <c r="Q503" s="621"/>
      <c r="R503" s="621"/>
      <c r="S503" s="621"/>
      <c r="T503" s="621"/>
      <c r="U503" s="621"/>
      <c r="V503" s="622"/>
      <c r="W503" s="40" t="s">
        <v>39</v>
      </c>
      <c r="X503" s="41">
        <f>IFERROR(X496/H496,"0")+IFERROR(X497/H497,"0")+IFERROR(X498/H498,"0")+IFERROR(X499/H499,"0")+IFERROR(X500/H500,"0")+IFERROR(X501/H501,"0")+IFERROR(X502/H502,"0")</f>
        <v>18.939393939393938</v>
      </c>
      <c r="Y503" s="41">
        <f>IFERROR(Y496/H496,"0")+IFERROR(Y497/H497,"0")+IFERROR(Y498/H498,"0")+IFERROR(Y499/H499,"0")+IFERROR(Y500/H500,"0")+IFERROR(Y501/H501,"0")+IFERROR(Y502/H502,"0")</f>
        <v>19</v>
      </c>
      <c r="Z503" s="41">
        <f>IFERROR(IF(Z496="",0,Z496),"0")+IFERROR(IF(Z497="",0,Z497),"0")+IFERROR(IF(Z498="",0,Z498),"0")+IFERROR(IF(Z499="",0,Z499),"0")+IFERROR(IF(Z500="",0,Z500),"0")+IFERROR(IF(Z501="",0,Z501),"0")+IFERROR(IF(Z502="",0,Z502),"0")</f>
        <v>0.22724</v>
      </c>
      <c r="AA503" s="64"/>
      <c r="AB503" s="64"/>
      <c r="AC503" s="64"/>
    </row>
    <row r="504" spans="1:68" x14ac:dyDescent="0.2">
      <c r="A504" s="623"/>
      <c r="B504" s="623"/>
      <c r="C504" s="623"/>
      <c r="D504" s="623"/>
      <c r="E504" s="623"/>
      <c r="F504" s="623"/>
      <c r="G504" s="623"/>
      <c r="H504" s="623"/>
      <c r="I504" s="623"/>
      <c r="J504" s="623"/>
      <c r="K504" s="623"/>
      <c r="L504" s="623"/>
      <c r="M504" s="623"/>
      <c r="N504" s="623"/>
      <c r="O504" s="624"/>
      <c r="P504" s="620" t="s">
        <v>40</v>
      </c>
      <c r="Q504" s="621"/>
      <c r="R504" s="621"/>
      <c r="S504" s="621"/>
      <c r="T504" s="621"/>
      <c r="U504" s="621"/>
      <c r="V504" s="622"/>
      <c r="W504" s="40" t="s">
        <v>0</v>
      </c>
      <c r="X504" s="41">
        <f>IFERROR(SUM(X496:X502),"0")</f>
        <v>100</v>
      </c>
      <c r="Y504" s="41">
        <f>IFERROR(SUM(Y496:Y502),"0")</f>
        <v>100.32000000000001</v>
      </c>
      <c r="Z504" s="40"/>
      <c r="AA504" s="64"/>
      <c r="AB504" s="64"/>
      <c r="AC504" s="64"/>
    </row>
    <row r="505" spans="1:68" ht="27.75" hidden="1" customHeight="1" x14ac:dyDescent="0.2">
      <c r="A505" s="636" t="s">
        <v>809</v>
      </c>
      <c r="B505" s="636"/>
      <c r="C505" s="636"/>
      <c r="D505" s="636"/>
      <c r="E505" s="636"/>
      <c r="F505" s="636"/>
      <c r="G505" s="636"/>
      <c r="H505" s="636"/>
      <c r="I505" s="636"/>
      <c r="J505" s="636"/>
      <c r="K505" s="636"/>
      <c r="L505" s="636"/>
      <c r="M505" s="636"/>
      <c r="N505" s="636"/>
      <c r="O505" s="636"/>
      <c r="P505" s="636"/>
      <c r="Q505" s="636"/>
      <c r="R505" s="636"/>
      <c r="S505" s="636"/>
      <c r="T505" s="636"/>
      <c r="U505" s="636"/>
      <c r="V505" s="636"/>
      <c r="W505" s="636"/>
      <c r="X505" s="636"/>
      <c r="Y505" s="636"/>
      <c r="Z505" s="636"/>
      <c r="AA505" s="52"/>
      <c r="AB505" s="52"/>
      <c r="AC505" s="52"/>
    </row>
    <row r="506" spans="1:68" ht="16.5" hidden="1" customHeight="1" x14ac:dyDescent="0.25">
      <c r="A506" s="631" t="s">
        <v>809</v>
      </c>
      <c r="B506" s="631"/>
      <c r="C506" s="631"/>
      <c r="D506" s="631"/>
      <c r="E506" s="631"/>
      <c r="F506" s="631"/>
      <c r="G506" s="631"/>
      <c r="H506" s="631"/>
      <c r="I506" s="631"/>
      <c r="J506" s="631"/>
      <c r="K506" s="631"/>
      <c r="L506" s="631"/>
      <c r="M506" s="631"/>
      <c r="N506" s="631"/>
      <c r="O506" s="631"/>
      <c r="P506" s="631"/>
      <c r="Q506" s="631"/>
      <c r="R506" s="631"/>
      <c r="S506" s="631"/>
      <c r="T506" s="631"/>
      <c r="U506" s="631"/>
      <c r="V506" s="631"/>
      <c r="W506" s="631"/>
      <c r="X506" s="631"/>
      <c r="Y506" s="631"/>
      <c r="Z506" s="631"/>
      <c r="AA506" s="62"/>
      <c r="AB506" s="62"/>
      <c r="AC506" s="62"/>
    </row>
    <row r="507" spans="1:68" ht="14.25" hidden="1" customHeight="1" x14ac:dyDescent="0.25">
      <c r="A507" s="615" t="s">
        <v>129</v>
      </c>
      <c r="B507" s="615"/>
      <c r="C507" s="615"/>
      <c r="D507" s="615"/>
      <c r="E507" s="615"/>
      <c r="F507" s="615"/>
      <c r="G507" s="615"/>
      <c r="H507" s="615"/>
      <c r="I507" s="615"/>
      <c r="J507" s="615"/>
      <c r="K507" s="615"/>
      <c r="L507" s="615"/>
      <c r="M507" s="615"/>
      <c r="N507" s="615"/>
      <c r="O507" s="615"/>
      <c r="P507" s="615"/>
      <c r="Q507" s="615"/>
      <c r="R507" s="615"/>
      <c r="S507" s="615"/>
      <c r="T507" s="615"/>
      <c r="U507" s="615"/>
      <c r="V507" s="615"/>
      <c r="W507" s="615"/>
      <c r="X507" s="615"/>
      <c r="Y507" s="615"/>
      <c r="Z507" s="615"/>
      <c r="AA507" s="63"/>
      <c r="AB507" s="63"/>
      <c r="AC507" s="63"/>
    </row>
    <row r="508" spans="1:68" ht="27" hidden="1" customHeight="1" x14ac:dyDescent="0.25">
      <c r="A508" s="60" t="s">
        <v>810</v>
      </c>
      <c r="B508" s="60" t="s">
        <v>811</v>
      </c>
      <c r="C508" s="34">
        <v>4301011584</v>
      </c>
      <c r="D508" s="616">
        <v>4640242180564</v>
      </c>
      <c r="E508" s="616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134</v>
      </c>
      <c r="L508" s="35" t="s">
        <v>46</v>
      </c>
      <c r="M508" s="36" t="s">
        <v>133</v>
      </c>
      <c r="N508" s="36"/>
      <c r="O508" s="35">
        <v>50</v>
      </c>
      <c r="P508" s="63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18"/>
      <c r="R508" s="618"/>
      <c r="S508" s="618"/>
      <c r="T508" s="61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95" t="s">
        <v>812</v>
      </c>
      <c r="AG508" s="75"/>
      <c r="AJ508" s="79" t="s">
        <v>46</v>
      </c>
      <c r="AK508" s="79">
        <v>0</v>
      </c>
      <c r="BB508" s="596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23"/>
      <c r="B509" s="623"/>
      <c r="C509" s="623"/>
      <c r="D509" s="623"/>
      <c r="E509" s="623"/>
      <c r="F509" s="623"/>
      <c r="G509" s="623"/>
      <c r="H509" s="623"/>
      <c r="I509" s="623"/>
      <c r="J509" s="623"/>
      <c r="K509" s="623"/>
      <c r="L509" s="623"/>
      <c r="M509" s="623"/>
      <c r="N509" s="623"/>
      <c r="O509" s="624"/>
      <c r="P509" s="620" t="s">
        <v>40</v>
      </c>
      <c r="Q509" s="621"/>
      <c r="R509" s="621"/>
      <c r="S509" s="621"/>
      <c r="T509" s="621"/>
      <c r="U509" s="621"/>
      <c r="V509" s="622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23"/>
      <c r="B510" s="623"/>
      <c r="C510" s="623"/>
      <c r="D510" s="623"/>
      <c r="E510" s="623"/>
      <c r="F510" s="623"/>
      <c r="G510" s="623"/>
      <c r="H510" s="623"/>
      <c r="I510" s="623"/>
      <c r="J510" s="623"/>
      <c r="K510" s="623"/>
      <c r="L510" s="623"/>
      <c r="M510" s="623"/>
      <c r="N510" s="623"/>
      <c r="O510" s="624"/>
      <c r="P510" s="620" t="s">
        <v>40</v>
      </c>
      <c r="Q510" s="621"/>
      <c r="R510" s="621"/>
      <c r="S510" s="621"/>
      <c r="T510" s="621"/>
      <c r="U510" s="621"/>
      <c r="V510" s="622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15" t="s">
        <v>166</v>
      </c>
      <c r="B511" s="615"/>
      <c r="C511" s="615"/>
      <c r="D511" s="615"/>
      <c r="E511" s="615"/>
      <c r="F511" s="615"/>
      <c r="G511" s="615"/>
      <c r="H511" s="615"/>
      <c r="I511" s="615"/>
      <c r="J511" s="615"/>
      <c r="K511" s="615"/>
      <c r="L511" s="615"/>
      <c r="M511" s="615"/>
      <c r="N511" s="615"/>
      <c r="O511" s="615"/>
      <c r="P511" s="615"/>
      <c r="Q511" s="615"/>
      <c r="R511" s="615"/>
      <c r="S511" s="615"/>
      <c r="T511" s="615"/>
      <c r="U511" s="615"/>
      <c r="V511" s="615"/>
      <c r="W511" s="615"/>
      <c r="X511" s="615"/>
      <c r="Y511" s="615"/>
      <c r="Z511" s="615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4301020400</v>
      </c>
      <c r="D512" s="616">
        <v>4640242180519</v>
      </c>
      <c r="E512" s="616"/>
      <c r="F512" s="59">
        <v>1.5</v>
      </c>
      <c r="G512" s="35">
        <v>8</v>
      </c>
      <c r="H512" s="59">
        <v>12</v>
      </c>
      <c r="I512" s="59">
        <v>12.41</v>
      </c>
      <c r="J512" s="35">
        <v>64</v>
      </c>
      <c r="K512" s="35" t="s">
        <v>134</v>
      </c>
      <c r="L512" s="35" t="s">
        <v>46</v>
      </c>
      <c r="M512" s="36" t="s">
        <v>133</v>
      </c>
      <c r="N512" s="36"/>
      <c r="O512" s="35">
        <v>50</v>
      </c>
      <c r="P512" s="6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18"/>
      <c r="R512" s="618"/>
      <c r="S512" s="618"/>
      <c r="T512" s="619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97" t="s">
        <v>815</v>
      </c>
      <c r="AG512" s="75"/>
      <c r="AJ512" s="79" t="s">
        <v>46</v>
      </c>
      <c r="AK512" s="79">
        <v>0</v>
      </c>
      <c r="BB512" s="598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23"/>
      <c r="B513" s="623"/>
      <c r="C513" s="623"/>
      <c r="D513" s="623"/>
      <c r="E513" s="623"/>
      <c r="F513" s="623"/>
      <c r="G513" s="623"/>
      <c r="H513" s="623"/>
      <c r="I513" s="623"/>
      <c r="J513" s="623"/>
      <c r="K513" s="623"/>
      <c r="L513" s="623"/>
      <c r="M513" s="623"/>
      <c r="N513" s="623"/>
      <c r="O513" s="624"/>
      <c r="P513" s="620" t="s">
        <v>40</v>
      </c>
      <c r="Q513" s="621"/>
      <c r="R513" s="621"/>
      <c r="S513" s="621"/>
      <c r="T513" s="621"/>
      <c r="U513" s="621"/>
      <c r="V513" s="62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23"/>
      <c r="B514" s="623"/>
      <c r="C514" s="623"/>
      <c r="D514" s="623"/>
      <c r="E514" s="623"/>
      <c r="F514" s="623"/>
      <c r="G514" s="623"/>
      <c r="H514" s="623"/>
      <c r="I514" s="623"/>
      <c r="J514" s="623"/>
      <c r="K514" s="623"/>
      <c r="L514" s="623"/>
      <c r="M514" s="623"/>
      <c r="N514" s="623"/>
      <c r="O514" s="624"/>
      <c r="P514" s="620" t="s">
        <v>40</v>
      </c>
      <c r="Q514" s="621"/>
      <c r="R514" s="621"/>
      <c r="S514" s="621"/>
      <c r="T514" s="621"/>
      <c r="U514" s="621"/>
      <c r="V514" s="62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5" t="s">
        <v>77</v>
      </c>
      <c r="B515" s="615"/>
      <c r="C515" s="615"/>
      <c r="D515" s="615"/>
      <c r="E515" s="615"/>
      <c r="F515" s="615"/>
      <c r="G515" s="615"/>
      <c r="H515" s="615"/>
      <c r="I515" s="615"/>
      <c r="J515" s="615"/>
      <c r="K515" s="615"/>
      <c r="L515" s="615"/>
      <c r="M515" s="615"/>
      <c r="N515" s="615"/>
      <c r="O515" s="615"/>
      <c r="P515" s="615"/>
      <c r="Q515" s="615"/>
      <c r="R515" s="615"/>
      <c r="S515" s="615"/>
      <c r="T515" s="615"/>
      <c r="U515" s="615"/>
      <c r="V515" s="615"/>
      <c r="W515" s="615"/>
      <c r="X515" s="615"/>
      <c r="Y515" s="615"/>
      <c r="Z515" s="615"/>
      <c r="AA515" s="63"/>
      <c r="AB515" s="63"/>
      <c r="AC515" s="63"/>
    </row>
    <row r="516" spans="1:68" ht="27" hidden="1" customHeight="1" x14ac:dyDescent="0.25">
      <c r="A516" s="60" t="s">
        <v>816</v>
      </c>
      <c r="B516" s="60" t="s">
        <v>817</v>
      </c>
      <c r="C516" s="34">
        <v>4301031467</v>
      </c>
      <c r="D516" s="616">
        <v>4640242180595</v>
      </c>
      <c r="E516" s="616"/>
      <c r="F516" s="59">
        <v>0.8</v>
      </c>
      <c r="G516" s="35">
        <v>6</v>
      </c>
      <c r="H516" s="59">
        <v>4.8</v>
      </c>
      <c r="I516" s="59">
        <v>5.05</v>
      </c>
      <c r="J516" s="35">
        <v>132</v>
      </c>
      <c r="K516" s="35" t="s">
        <v>141</v>
      </c>
      <c r="L516" s="35" t="s">
        <v>46</v>
      </c>
      <c r="M516" s="36" t="s">
        <v>81</v>
      </c>
      <c r="N516" s="36"/>
      <c r="O516" s="35">
        <v>40</v>
      </c>
      <c r="P516" s="6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8"/>
      <c r="R516" s="618"/>
      <c r="S516" s="618"/>
      <c r="T516" s="6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599" t="s">
        <v>818</v>
      </c>
      <c r="AG516" s="75"/>
      <c r="AJ516" s="79" t="s">
        <v>46</v>
      </c>
      <c r="AK516" s="79">
        <v>0</v>
      </c>
      <c r="BB516" s="600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816</v>
      </c>
      <c r="B517" s="60" t="s">
        <v>819</v>
      </c>
      <c r="C517" s="34">
        <v>4301031500</v>
      </c>
      <c r="D517" s="616">
        <v>4640242180595</v>
      </c>
      <c r="E517" s="616"/>
      <c r="F517" s="59">
        <v>0.7</v>
      </c>
      <c r="G517" s="35">
        <v>6</v>
      </c>
      <c r="H517" s="59">
        <v>4.2</v>
      </c>
      <c r="I517" s="59">
        <v>4.45</v>
      </c>
      <c r="J517" s="35">
        <v>132</v>
      </c>
      <c r="K517" s="35" t="s">
        <v>141</v>
      </c>
      <c r="L517" s="35" t="s">
        <v>46</v>
      </c>
      <c r="M517" s="36" t="s">
        <v>81</v>
      </c>
      <c r="N517" s="36"/>
      <c r="O517" s="35">
        <v>40</v>
      </c>
      <c r="P517" s="6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18"/>
      <c r="R517" s="618"/>
      <c r="S517" s="618"/>
      <c r="T517" s="619"/>
      <c r="U517" s="37" t="s">
        <v>46</v>
      </c>
      <c r="V517" s="37" t="s">
        <v>46</v>
      </c>
      <c r="W517" s="38" t="s">
        <v>0</v>
      </c>
      <c r="X517" s="56">
        <v>670</v>
      </c>
      <c r="Y517" s="53">
        <f>IFERROR(IF(X517="",0,CEILING((X517/$H517),1)*$H517),"")</f>
        <v>672</v>
      </c>
      <c r="Z517" s="39">
        <f>IFERROR(IF(Y517=0,"",ROUNDUP(Y517/H517,0)*0.00902),"")</f>
        <v>1.4432</v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>IFERROR(X517*I517/H517,"0")</f>
        <v>709.88095238095229</v>
      </c>
      <c r="BN517" s="75">
        <f>IFERROR(Y517*I517/H517,"0")</f>
        <v>712</v>
      </c>
      <c r="BO517" s="75">
        <f>IFERROR(1/J517*(X517/H517),"0")</f>
        <v>1.2085137085137085</v>
      </c>
      <c r="BP517" s="75">
        <f>IFERROR(1/J517*(Y517/H517),"0")</f>
        <v>1.2121212121212122</v>
      </c>
    </row>
    <row r="518" spans="1:68" x14ac:dyDescent="0.2">
      <c r="A518" s="623"/>
      <c r="B518" s="623"/>
      <c r="C518" s="623"/>
      <c r="D518" s="623"/>
      <c r="E518" s="623"/>
      <c r="F518" s="623"/>
      <c r="G518" s="623"/>
      <c r="H518" s="623"/>
      <c r="I518" s="623"/>
      <c r="J518" s="623"/>
      <c r="K518" s="623"/>
      <c r="L518" s="623"/>
      <c r="M518" s="623"/>
      <c r="N518" s="623"/>
      <c r="O518" s="624"/>
      <c r="P518" s="620" t="s">
        <v>40</v>
      </c>
      <c r="Q518" s="621"/>
      <c r="R518" s="621"/>
      <c r="S518" s="621"/>
      <c r="T518" s="621"/>
      <c r="U518" s="621"/>
      <c r="V518" s="622"/>
      <c r="W518" s="40" t="s">
        <v>39</v>
      </c>
      <c r="X518" s="41">
        <f>IFERROR(X516/H516,"0")+IFERROR(X517/H517,"0")</f>
        <v>159.52380952380952</v>
      </c>
      <c r="Y518" s="41">
        <f>IFERROR(Y516/H516,"0")+IFERROR(Y517/H517,"0")</f>
        <v>160</v>
      </c>
      <c r="Z518" s="41">
        <f>IFERROR(IF(Z516="",0,Z516),"0")+IFERROR(IF(Z517="",0,Z517),"0")</f>
        <v>1.4432</v>
      </c>
      <c r="AA518" s="64"/>
      <c r="AB518" s="64"/>
      <c r="AC518" s="64"/>
    </row>
    <row r="519" spans="1:68" x14ac:dyDescent="0.2">
      <c r="A519" s="623"/>
      <c r="B519" s="623"/>
      <c r="C519" s="623"/>
      <c r="D519" s="623"/>
      <c r="E519" s="623"/>
      <c r="F519" s="623"/>
      <c r="G519" s="623"/>
      <c r="H519" s="623"/>
      <c r="I519" s="623"/>
      <c r="J519" s="623"/>
      <c r="K519" s="623"/>
      <c r="L519" s="623"/>
      <c r="M519" s="623"/>
      <c r="N519" s="623"/>
      <c r="O519" s="624"/>
      <c r="P519" s="620" t="s">
        <v>40</v>
      </c>
      <c r="Q519" s="621"/>
      <c r="R519" s="621"/>
      <c r="S519" s="621"/>
      <c r="T519" s="621"/>
      <c r="U519" s="621"/>
      <c r="V519" s="622"/>
      <c r="W519" s="40" t="s">
        <v>0</v>
      </c>
      <c r="X519" s="41">
        <f>IFERROR(SUM(X516:X517),"0")</f>
        <v>670</v>
      </c>
      <c r="Y519" s="41">
        <f>IFERROR(SUM(Y516:Y517),"0")</f>
        <v>672</v>
      </c>
      <c r="Z519" s="40"/>
      <c r="AA519" s="64"/>
      <c r="AB519" s="64"/>
      <c r="AC519" s="64"/>
    </row>
    <row r="520" spans="1:68" ht="14.25" hidden="1" customHeight="1" x14ac:dyDescent="0.25">
      <c r="A520" s="615" t="s">
        <v>86</v>
      </c>
      <c r="B520" s="615"/>
      <c r="C520" s="615"/>
      <c r="D520" s="615"/>
      <c r="E520" s="615"/>
      <c r="F520" s="615"/>
      <c r="G520" s="615"/>
      <c r="H520" s="615"/>
      <c r="I520" s="615"/>
      <c r="J520" s="615"/>
      <c r="K520" s="615"/>
      <c r="L520" s="615"/>
      <c r="M520" s="615"/>
      <c r="N520" s="615"/>
      <c r="O520" s="615"/>
      <c r="P520" s="615"/>
      <c r="Q520" s="615"/>
      <c r="R520" s="615"/>
      <c r="S520" s="615"/>
      <c r="T520" s="615"/>
      <c r="U520" s="615"/>
      <c r="V520" s="615"/>
      <c r="W520" s="615"/>
      <c r="X520" s="615"/>
      <c r="Y520" s="615"/>
      <c r="Z520" s="615"/>
      <c r="AA520" s="63"/>
      <c r="AB520" s="63"/>
      <c r="AC520" s="63"/>
    </row>
    <row r="521" spans="1:68" ht="27" hidden="1" customHeight="1" x14ac:dyDescent="0.25">
      <c r="A521" s="60" t="s">
        <v>821</v>
      </c>
      <c r="B521" s="60" t="s">
        <v>822</v>
      </c>
      <c r="C521" s="34">
        <v>4301052043</v>
      </c>
      <c r="D521" s="616">
        <v>4640242180533</v>
      </c>
      <c r="E521" s="616"/>
      <c r="F521" s="59">
        <v>1.5</v>
      </c>
      <c r="G521" s="35">
        <v>6</v>
      </c>
      <c r="H521" s="59">
        <v>9</v>
      </c>
      <c r="I521" s="59">
        <v>9.4939999999999998</v>
      </c>
      <c r="J521" s="35">
        <v>64</v>
      </c>
      <c r="K521" s="35" t="s">
        <v>134</v>
      </c>
      <c r="L521" s="35" t="s">
        <v>46</v>
      </c>
      <c r="M521" s="36" t="s">
        <v>90</v>
      </c>
      <c r="N521" s="36"/>
      <c r="O521" s="35">
        <v>45</v>
      </c>
      <c r="P521" s="63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18"/>
      <c r="R521" s="618"/>
      <c r="S521" s="618"/>
      <c r="T521" s="619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3" t="s">
        <v>823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3"/>
      <c r="B522" s="623"/>
      <c r="C522" s="623"/>
      <c r="D522" s="623"/>
      <c r="E522" s="623"/>
      <c r="F522" s="623"/>
      <c r="G522" s="623"/>
      <c r="H522" s="623"/>
      <c r="I522" s="623"/>
      <c r="J522" s="623"/>
      <c r="K522" s="623"/>
      <c r="L522" s="623"/>
      <c r="M522" s="623"/>
      <c r="N522" s="623"/>
      <c r="O522" s="624"/>
      <c r="P522" s="620" t="s">
        <v>40</v>
      </c>
      <c r="Q522" s="621"/>
      <c r="R522" s="621"/>
      <c r="S522" s="621"/>
      <c r="T522" s="621"/>
      <c r="U522" s="621"/>
      <c r="V522" s="622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3"/>
      <c r="B523" s="623"/>
      <c r="C523" s="623"/>
      <c r="D523" s="623"/>
      <c r="E523" s="623"/>
      <c r="F523" s="623"/>
      <c r="G523" s="623"/>
      <c r="H523" s="623"/>
      <c r="I523" s="623"/>
      <c r="J523" s="623"/>
      <c r="K523" s="623"/>
      <c r="L523" s="623"/>
      <c r="M523" s="623"/>
      <c r="N523" s="623"/>
      <c r="O523" s="624"/>
      <c r="P523" s="620" t="s">
        <v>40</v>
      </c>
      <c r="Q523" s="621"/>
      <c r="R523" s="621"/>
      <c r="S523" s="621"/>
      <c r="T523" s="621"/>
      <c r="U523" s="621"/>
      <c r="V523" s="622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15" t="s">
        <v>183</v>
      </c>
      <c r="B524" s="615"/>
      <c r="C524" s="615"/>
      <c r="D524" s="615"/>
      <c r="E524" s="615"/>
      <c r="F524" s="615"/>
      <c r="G524" s="615"/>
      <c r="H524" s="615"/>
      <c r="I524" s="615"/>
      <c r="J524" s="615"/>
      <c r="K524" s="615"/>
      <c r="L524" s="615"/>
      <c r="M524" s="615"/>
      <c r="N524" s="615"/>
      <c r="O524" s="615"/>
      <c r="P524" s="615"/>
      <c r="Q524" s="615"/>
      <c r="R524" s="615"/>
      <c r="S524" s="615"/>
      <c r="T524" s="615"/>
      <c r="U524" s="615"/>
      <c r="V524" s="615"/>
      <c r="W524" s="615"/>
      <c r="X524" s="615"/>
      <c r="Y524" s="615"/>
      <c r="Z524" s="615"/>
      <c r="AA524" s="63"/>
      <c r="AB524" s="63"/>
      <c r="AC524" s="63"/>
    </row>
    <row r="525" spans="1:68" ht="27" hidden="1" customHeight="1" x14ac:dyDescent="0.25">
      <c r="A525" s="60" t="s">
        <v>824</v>
      </c>
      <c r="B525" s="60" t="s">
        <v>825</v>
      </c>
      <c r="C525" s="34">
        <v>4301060535</v>
      </c>
      <c r="D525" s="616">
        <v>4640242180120</v>
      </c>
      <c r="E525" s="616"/>
      <c r="F525" s="59">
        <v>1.5</v>
      </c>
      <c r="G525" s="35">
        <v>6</v>
      </c>
      <c r="H525" s="59">
        <v>9</v>
      </c>
      <c r="I525" s="59">
        <v>9.41</v>
      </c>
      <c r="J525" s="35">
        <v>64</v>
      </c>
      <c r="K525" s="35" t="s">
        <v>134</v>
      </c>
      <c r="L525" s="35" t="s">
        <v>46</v>
      </c>
      <c r="M525" s="36" t="s">
        <v>90</v>
      </c>
      <c r="N525" s="36"/>
      <c r="O525" s="35">
        <v>40</v>
      </c>
      <c r="P525" s="62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18"/>
      <c r="R525" s="618"/>
      <c r="S525" s="618"/>
      <c r="T525" s="619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5" t="s">
        <v>826</v>
      </c>
      <c r="AG525" s="75"/>
      <c r="AJ525" s="79" t="s">
        <v>46</v>
      </c>
      <c r="AK525" s="79">
        <v>0</v>
      </c>
      <c r="BB525" s="606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t="27" hidden="1" customHeight="1" x14ac:dyDescent="0.25">
      <c r="A526" s="60" t="s">
        <v>827</v>
      </c>
      <c r="B526" s="60" t="s">
        <v>828</v>
      </c>
      <c r="C526" s="34">
        <v>4301060536</v>
      </c>
      <c r="D526" s="616">
        <v>4640242180137</v>
      </c>
      <c r="E526" s="616"/>
      <c r="F526" s="59">
        <v>1.5</v>
      </c>
      <c r="G526" s="35">
        <v>6</v>
      </c>
      <c r="H526" s="59">
        <v>9</v>
      </c>
      <c r="I526" s="59">
        <v>9.41</v>
      </c>
      <c r="J526" s="35">
        <v>64</v>
      </c>
      <c r="K526" s="35" t="s">
        <v>134</v>
      </c>
      <c r="L526" s="35" t="s">
        <v>46</v>
      </c>
      <c r="M526" s="36" t="s">
        <v>90</v>
      </c>
      <c r="N526" s="36"/>
      <c r="O526" s="35">
        <v>40</v>
      </c>
      <c r="P526" s="63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18"/>
      <c r="R526" s="618"/>
      <c r="S526" s="618"/>
      <c r="T526" s="61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07" t="s">
        <v>829</v>
      </c>
      <c r="AG526" s="75"/>
      <c r="AJ526" s="79" t="s">
        <v>46</v>
      </c>
      <c r="AK526" s="79">
        <v>0</v>
      </c>
      <c r="BB526" s="608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23"/>
      <c r="B527" s="623"/>
      <c r="C527" s="623"/>
      <c r="D527" s="623"/>
      <c r="E527" s="623"/>
      <c r="F527" s="623"/>
      <c r="G527" s="623"/>
      <c r="H527" s="623"/>
      <c r="I527" s="623"/>
      <c r="J527" s="623"/>
      <c r="K527" s="623"/>
      <c r="L527" s="623"/>
      <c r="M527" s="623"/>
      <c r="N527" s="623"/>
      <c r="O527" s="624"/>
      <c r="P527" s="620" t="s">
        <v>40</v>
      </c>
      <c r="Q527" s="621"/>
      <c r="R527" s="621"/>
      <c r="S527" s="621"/>
      <c r="T527" s="621"/>
      <c r="U527" s="621"/>
      <c r="V527" s="622"/>
      <c r="W527" s="40" t="s">
        <v>39</v>
      </c>
      <c r="X527" s="41">
        <f>IFERROR(X525/H525,"0")+IFERROR(X526/H526,"0")</f>
        <v>0</v>
      </c>
      <c r="Y527" s="41">
        <f>IFERROR(Y525/H525,"0")+IFERROR(Y526/H526,"0")</f>
        <v>0</v>
      </c>
      <c r="Z527" s="41">
        <f>IFERROR(IF(Z525="",0,Z525),"0")+IFERROR(IF(Z526="",0,Z526),"0")</f>
        <v>0</v>
      </c>
      <c r="AA527" s="64"/>
      <c r="AB527" s="64"/>
      <c r="AC527" s="64"/>
    </row>
    <row r="528" spans="1:68" hidden="1" x14ac:dyDescent="0.2">
      <c r="A528" s="623"/>
      <c r="B528" s="623"/>
      <c r="C528" s="623"/>
      <c r="D528" s="623"/>
      <c r="E528" s="623"/>
      <c r="F528" s="623"/>
      <c r="G528" s="623"/>
      <c r="H528" s="623"/>
      <c r="I528" s="623"/>
      <c r="J528" s="623"/>
      <c r="K528" s="623"/>
      <c r="L528" s="623"/>
      <c r="M528" s="623"/>
      <c r="N528" s="623"/>
      <c r="O528" s="624"/>
      <c r="P528" s="620" t="s">
        <v>40</v>
      </c>
      <c r="Q528" s="621"/>
      <c r="R528" s="621"/>
      <c r="S528" s="621"/>
      <c r="T528" s="621"/>
      <c r="U528" s="621"/>
      <c r="V528" s="622"/>
      <c r="W528" s="40" t="s">
        <v>0</v>
      </c>
      <c r="X528" s="41">
        <f>IFERROR(SUM(X525:X526),"0")</f>
        <v>0</v>
      </c>
      <c r="Y528" s="41">
        <f>IFERROR(SUM(Y525:Y526),"0")</f>
        <v>0</v>
      </c>
      <c r="Z528" s="40"/>
      <c r="AA528" s="64"/>
      <c r="AB528" s="64"/>
      <c r="AC528" s="64"/>
    </row>
    <row r="529" spans="1:68" ht="16.5" hidden="1" customHeight="1" x14ac:dyDescent="0.25">
      <c r="A529" s="631" t="s">
        <v>830</v>
      </c>
      <c r="B529" s="631"/>
      <c r="C529" s="631"/>
      <c r="D529" s="631"/>
      <c r="E529" s="631"/>
      <c r="F529" s="631"/>
      <c r="G529" s="631"/>
      <c r="H529" s="631"/>
      <c r="I529" s="631"/>
      <c r="J529" s="631"/>
      <c r="K529" s="631"/>
      <c r="L529" s="631"/>
      <c r="M529" s="631"/>
      <c r="N529" s="631"/>
      <c r="O529" s="631"/>
      <c r="P529" s="631"/>
      <c r="Q529" s="631"/>
      <c r="R529" s="631"/>
      <c r="S529" s="631"/>
      <c r="T529" s="631"/>
      <c r="U529" s="631"/>
      <c r="V529" s="631"/>
      <c r="W529" s="631"/>
      <c r="X529" s="631"/>
      <c r="Y529" s="631"/>
      <c r="Z529" s="631"/>
      <c r="AA529" s="62"/>
      <c r="AB529" s="62"/>
      <c r="AC529" s="62"/>
    </row>
    <row r="530" spans="1:68" ht="14.25" hidden="1" customHeight="1" x14ac:dyDescent="0.25">
      <c r="A530" s="615" t="s">
        <v>166</v>
      </c>
      <c r="B530" s="615"/>
      <c r="C530" s="615"/>
      <c r="D530" s="615"/>
      <c r="E530" s="615"/>
      <c r="F530" s="615"/>
      <c r="G530" s="615"/>
      <c r="H530" s="615"/>
      <c r="I530" s="615"/>
      <c r="J530" s="615"/>
      <c r="K530" s="615"/>
      <c r="L530" s="615"/>
      <c r="M530" s="615"/>
      <c r="N530" s="615"/>
      <c r="O530" s="615"/>
      <c r="P530" s="615"/>
      <c r="Q530" s="615"/>
      <c r="R530" s="615"/>
      <c r="S530" s="615"/>
      <c r="T530" s="615"/>
      <c r="U530" s="615"/>
      <c r="V530" s="615"/>
      <c r="W530" s="615"/>
      <c r="X530" s="615"/>
      <c r="Y530" s="615"/>
      <c r="Z530" s="615"/>
      <c r="AA530" s="63"/>
      <c r="AB530" s="63"/>
      <c r="AC530" s="63"/>
    </row>
    <row r="531" spans="1:68" ht="27" hidden="1" customHeight="1" x14ac:dyDescent="0.25">
      <c r="A531" s="60" t="s">
        <v>831</v>
      </c>
      <c r="B531" s="60" t="s">
        <v>832</v>
      </c>
      <c r="C531" s="34">
        <v>4301020428</v>
      </c>
      <c r="D531" s="616">
        <v>4640242180090</v>
      </c>
      <c r="E531" s="616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134</v>
      </c>
      <c r="L531" s="35" t="s">
        <v>46</v>
      </c>
      <c r="M531" s="36" t="s">
        <v>133</v>
      </c>
      <c r="N531" s="36"/>
      <c r="O531" s="35">
        <v>50</v>
      </c>
      <c r="P531" s="6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18"/>
      <c r="R531" s="618"/>
      <c r="S531" s="618"/>
      <c r="T531" s="619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09" t="s">
        <v>833</v>
      </c>
      <c r="AG531" s="75"/>
      <c r="AJ531" s="79" t="s">
        <v>46</v>
      </c>
      <c r="AK531" s="79">
        <v>0</v>
      </c>
      <c r="BB531" s="610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623"/>
      <c r="B532" s="623"/>
      <c r="C532" s="623"/>
      <c r="D532" s="623"/>
      <c r="E532" s="623"/>
      <c r="F532" s="623"/>
      <c r="G532" s="623"/>
      <c r="H532" s="623"/>
      <c r="I532" s="623"/>
      <c r="J532" s="623"/>
      <c r="K532" s="623"/>
      <c r="L532" s="623"/>
      <c r="M532" s="623"/>
      <c r="N532" s="623"/>
      <c r="O532" s="624"/>
      <c r="P532" s="620" t="s">
        <v>40</v>
      </c>
      <c r="Q532" s="621"/>
      <c r="R532" s="621"/>
      <c r="S532" s="621"/>
      <c r="T532" s="621"/>
      <c r="U532" s="621"/>
      <c r="V532" s="622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623"/>
      <c r="B533" s="623"/>
      <c r="C533" s="623"/>
      <c r="D533" s="623"/>
      <c r="E533" s="623"/>
      <c r="F533" s="623"/>
      <c r="G533" s="623"/>
      <c r="H533" s="623"/>
      <c r="I533" s="623"/>
      <c r="J533" s="623"/>
      <c r="K533" s="623"/>
      <c r="L533" s="623"/>
      <c r="M533" s="623"/>
      <c r="N533" s="623"/>
      <c r="O533" s="624"/>
      <c r="P533" s="620" t="s">
        <v>40</v>
      </c>
      <c r="Q533" s="621"/>
      <c r="R533" s="621"/>
      <c r="S533" s="621"/>
      <c r="T533" s="621"/>
      <c r="U533" s="621"/>
      <c r="V533" s="622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5" customHeight="1" x14ac:dyDescent="0.2">
      <c r="A534" s="623"/>
      <c r="B534" s="623"/>
      <c r="C534" s="623"/>
      <c r="D534" s="623"/>
      <c r="E534" s="623"/>
      <c r="F534" s="623"/>
      <c r="G534" s="623"/>
      <c r="H534" s="623"/>
      <c r="I534" s="623"/>
      <c r="J534" s="623"/>
      <c r="K534" s="623"/>
      <c r="L534" s="623"/>
      <c r="M534" s="623"/>
      <c r="N534" s="623"/>
      <c r="O534" s="628"/>
      <c r="P534" s="625" t="s">
        <v>33</v>
      </c>
      <c r="Q534" s="626"/>
      <c r="R534" s="626"/>
      <c r="S534" s="626"/>
      <c r="T534" s="626"/>
      <c r="U534" s="626"/>
      <c r="V534" s="627"/>
      <c r="W534" s="40" t="s">
        <v>0</v>
      </c>
      <c r="X534" s="41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17959</v>
      </c>
      <c r="Y534" s="41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18025.18</v>
      </c>
      <c r="Z534" s="40"/>
      <c r="AA534" s="64"/>
      <c r="AB534" s="64"/>
      <c r="AC534" s="64"/>
    </row>
    <row r="535" spans="1:68" x14ac:dyDescent="0.2">
      <c r="A535" s="623"/>
      <c r="B535" s="623"/>
      <c r="C535" s="623"/>
      <c r="D535" s="623"/>
      <c r="E535" s="623"/>
      <c r="F535" s="623"/>
      <c r="G535" s="623"/>
      <c r="H535" s="623"/>
      <c r="I535" s="623"/>
      <c r="J535" s="623"/>
      <c r="K535" s="623"/>
      <c r="L535" s="623"/>
      <c r="M535" s="623"/>
      <c r="N535" s="623"/>
      <c r="O535" s="628"/>
      <c r="P535" s="625" t="s">
        <v>34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IFERROR(SUM(BM22:BM531),"0")</f>
        <v>18739.416061161064</v>
      </c>
      <c r="Y535" s="41">
        <f>IFERROR(SUM(BN22:BN531),"0")</f>
        <v>18808.746000000003</v>
      </c>
      <c r="Z535" s="40"/>
      <c r="AA535" s="64"/>
      <c r="AB535" s="64"/>
      <c r="AC535" s="64"/>
    </row>
    <row r="536" spans="1:68" x14ac:dyDescent="0.2">
      <c r="A536" s="623"/>
      <c r="B536" s="623"/>
      <c r="C536" s="623"/>
      <c r="D536" s="623"/>
      <c r="E536" s="623"/>
      <c r="F536" s="623"/>
      <c r="G536" s="623"/>
      <c r="H536" s="623"/>
      <c r="I536" s="623"/>
      <c r="J536" s="623"/>
      <c r="K536" s="623"/>
      <c r="L536" s="623"/>
      <c r="M536" s="623"/>
      <c r="N536" s="623"/>
      <c r="O536" s="628"/>
      <c r="P536" s="625" t="s">
        <v>35</v>
      </c>
      <c r="Q536" s="626"/>
      <c r="R536" s="626"/>
      <c r="S536" s="626"/>
      <c r="T536" s="626"/>
      <c r="U536" s="626"/>
      <c r="V536" s="627"/>
      <c r="W536" s="40" t="s">
        <v>20</v>
      </c>
      <c r="X536" s="42">
        <f>ROUNDUP(SUM(BO22:BO531),0)</f>
        <v>29</v>
      </c>
      <c r="Y536" s="42">
        <f>ROUNDUP(SUM(BP22:BP531),0)</f>
        <v>29</v>
      </c>
      <c r="Z536" s="40"/>
      <c r="AA536" s="64"/>
      <c r="AB536" s="64"/>
      <c r="AC536" s="64"/>
    </row>
    <row r="537" spans="1:68" x14ac:dyDescent="0.2">
      <c r="A537" s="623"/>
      <c r="B537" s="623"/>
      <c r="C537" s="623"/>
      <c r="D537" s="623"/>
      <c r="E537" s="623"/>
      <c r="F537" s="623"/>
      <c r="G537" s="623"/>
      <c r="H537" s="623"/>
      <c r="I537" s="623"/>
      <c r="J537" s="623"/>
      <c r="K537" s="623"/>
      <c r="L537" s="623"/>
      <c r="M537" s="623"/>
      <c r="N537" s="623"/>
      <c r="O537" s="628"/>
      <c r="P537" s="625" t="s">
        <v>36</v>
      </c>
      <c r="Q537" s="626"/>
      <c r="R537" s="626"/>
      <c r="S537" s="626"/>
      <c r="T537" s="626"/>
      <c r="U537" s="626"/>
      <c r="V537" s="627"/>
      <c r="W537" s="40" t="s">
        <v>0</v>
      </c>
      <c r="X537" s="41">
        <f>GrossWeightTotal+PalletQtyTotal*25</f>
        <v>19464.416061161064</v>
      </c>
      <c r="Y537" s="41">
        <f>GrossWeightTotalR+PalletQtyTotalR*25</f>
        <v>19533.746000000003</v>
      </c>
      <c r="Z537" s="40"/>
      <c r="AA537" s="64"/>
      <c r="AB537" s="64"/>
      <c r="AC537" s="64"/>
    </row>
    <row r="538" spans="1:68" x14ac:dyDescent="0.2">
      <c r="A538" s="623"/>
      <c r="B538" s="623"/>
      <c r="C538" s="623"/>
      <c r="D538" s="623"/>
      <c r="E538" s="623"/>
      <c r="F538" s="623"/>
      <c r="G538" s="623"/>
      <c r="H538" s="623"/>
      <c r="I538" s="623"/>
      <c r="J538" s="623"/>
      <c r="K538" s="623"/>
      <c r="L538" s="623"/>
      <c r="M538" s="623"/>
      <c r="N538" s="623"/>
      <c r="O538" s="628"/>
      <c r="P538" s="625" t="s">
        <v>37</v>
      </c>
      <c r="Q538" s="626"/>
      <c r="R538" s="626"/>
      <c r="S538" s="626"/>
      <c r="T538" s="626"/>
      <c r="U538" s="626"/>
      <c r="V538" s="627"/>
      <c r="W538" s="40" t="s">
        <v>20</v>
      </c>
      <c r="X538" s="41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1975.1171606171606</v>
      </c>
      <c r="Y538" s="41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1983</v>
      </c>
      <c r="Z538" s="40"/>
      <c r="AA538" s="64"/>
      <c r="AB538" s="64"/>
      <c r="AC538" s="64"/>
    </row>
    <row r="539" spans="1:68" ht="14.25" hidden="1" x14ac:dyDescent="0.2">
      <c r="A539" s="623"/>
      <c r="B539" s="623"/>
      <c r="C539" s="623"/>
      <c r="D539" s="623"/>
      <c r="E539" s="623"/>
      <c r="F539" s="623"/>
      <c r="G539" s="623"/>
      <c r="H539" s="623"/>
      <c r="I539" s="623"/>
      <c r="J539" s="623"/>
      <c r="K539" s="623"/>
      <c r="L539" s="623"/>
      <c r="M539" s="623"/>
      <c r="N539" s="623"/>
      <c r="O539" s="628"/>
      <c r="P539" s="625" t="s">
        <v>38</v>
      </c>
      <c r="Q539" s="626"/>
      <c r="R539" s="626"/>
      <c r="S539" s="626"/>
      <c r="T539" s="626"/>
      <c r="U539" s="626"/>
      <c r="V539" s="627"/>
      <c r="W539" s="43" t="s">
        <v>52</v>
      </c>
      <c r="X539" s="40"/>
      <c r="Y539" s="40"/>
      <c r="Z539" s="40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33.004779999999997</v>
      </c>
      <c r="AA539" s="64"/>
      <c r="AB539" s="64"/>
      <c r="AC539" s="64"/>
    </row>
    <row r="540" spans="1:68" ht="13.5" thickBot="1" x14ac:dyDescent="0.25"/>
    <row r="541" spans="1:68" ht="27" thickTop="1" thickBot="1" x14ac:dyDescent="0.25">
      <c r="A541" s="44" t="s">
        <v>9</v>
      </c>
      <c r="B541" s="80" t="s">
        <v>76</v>
      </c>
      <c r="C541" s="80" t="s">
        <v>45</v>
      </c>
      <c r="D541" s="611" t="s">
        <v>127</v>
      </c>
      <c r="E541" s="611" t="s">
        <v>127</v>
      </c>
      <c r="F541" s="611" t="s">
        <v>127</v>
      </c>
      <c r="G541" s="611" t="s">
        <v>127</v>
      </c>
      <c r="H541" s="611" t="s">
        <v>127</v>
      </c>
      <c r="I541" s="611" t="s">
        <v>127</v>
      </c>
      <c r="J541" s="611" t="s">
        <v>127</v>
      </c>
      <c r="K541" s="611" t="s">
        <v>336</v>
      </c>
      <c r="L541" s="611" t="s">
        <v>336</v>
      </c>
      <c r="M541" s="611" t="s">
        <v>336</v>
      </c>
      <c r="N541" s="612"/>
      <c r="O541" s="611" t="s">
        <v>336</v>
      </c>
      <c r="P541" s="611" t="s">
        <v>336</v>
      </c>
      <c r="Q541" s="611" t="s">
        <v>336</v>
      </c>
      <c r="R541" s="611" t="s">
        <v>336</v>
      </c>
      <c r="S541" s="611" t="s">
        <v>336</v>
      </c>
      <c r="T541" s="611" t="s">
        <v>336</v>
      </c>
      <c r="U541" s="611" t="s">
        <v>336</v>
      </c>
      <c r="V541" s="611" t="s">
        <v>666</v>
      </c>
      <c r="W541" s="611" t="s">
        <v>666</v>
      </c>
      <c r="X541" s="611" t="s">
        <v>726</v>
      </c>
      <c r="Y541" s="611" t="s">
        <v>726</v>
      </c>
      <c r="Z541" s="80" t="s">
        <v>762</v>
      </c>
      <c r="AA541" s="611" t="s">
        <v>809</v>
      </c>
      <c r="AB541" s="611" t="s">
        <v>809</v>
      </c>
      <c r="AC541" s="9"/>
      <c r="AF541" s="1"/>
    </row>
    <row r="542" spans="1:68" ht="14.25" customHeight="1" thickTop="1" x14ac:dyDescent="0.2">
      <c r="A542" s="613" t="s">
        <v>10</v>
      </c>
      <c r="B542" s="611" t="s">
        <v>76</v>
      </c>
      <c r="C542" s="611" t="s">
        <v>110</v>
      </c>
      <c r="D542" s="611" t="s">
        <v>128</v>
      </c>
      <c r="E542" s="611" t="s">
        <v>144</v>
      </c>
      <c r="F542" s="611" t="s">
        <v>190</v>
      </c>
      <c r="G542" s="611" t="s">
        <v>211</v>
      </c>
      <c r="H542" s="611" t="s">
        <v>253</v>
      </c>
      <c r="I542" s="611" t="s">
        <v>265</v>
      </c>
      <c r="J542" s="611" t="s">
        <v>127</v>
      </c>
      <c r="K542" s="611" t="s">
        <v>337</v>
      </c>
      <c r="L542" s="611" t="s">
        <v>358</v>
      </c>
      <c r="M542" s="611" t="s">
        <v>425</v>
      </c>
      <c r="N542" s="1"/>
      <c r="O542" s="611" t="s">
        <v>493</v>
      </c>
      <c r="P542" s="611" t="s">
        <v>526</v>
      </c>
      <c r="Q542" s="611" t="s">
        <v>542</v>
      </c>
      <c r="R542" s="611" t="s">
        <v>551</v>
      </c>
      <c r="S542" s="611" t="s">
        <v>572</v>
      </c>
      <c r="T542" s="611" t="s">
        <v>581</v>
      </c>
      <c r="U542" s="611" t="s">
        <v>656</v>
      </c>
      <c r="V542" s="611" t="s">
        <v>667</v>
      </c>
      <c r="W542" s="611" t="s">
        <v>710</v>
      </c>
      <c r="X542" s="611" t="s">
        <v>727</v>
      </c>
      <c r="Y542" s="611" t="s">
        <v>750</v>
      </c>
      <c r="Z542" s="611" t="s">
        <v>762</v>
      </c>
      <c r="AA542" s="611" t="s">
        <v>809</v>
      </c>
      <c r="AB542" s="611" t="s">
        <v>830</v>
      </c>
      <c r="AC542" s="9"/>
      <c r="AF542" s="1"/>
    </row>
    <row r="543" spans="1:68" ht="13.5" thickBot="1" x14ac:dyDescent="0.25">
      <c r="A543" s="614"/>
      <c r="B543" s="611"/>
      <c r="C543" s="611"/>
      <c r="D543" s="611"/>
      <c r="E543" s="611"/>
      <c r="F543" s="611"/>
      <c r="G543" s="611"/>
      <c r="H543" s="611"/>
      <c r="I543" s="611"/>
      <c r="J543" s="611"/>
      <c r="K543" s="611"/>
      <c r="L543" s="611"/>
      <c r="M543" s="611"/>
      <c r="N543" s="1"/>
      <c r="O543" s="611"/>
      <c r="P543" s="611"/>
      <c r="Q543" s="611"/>
      <c r="R543" s="611"/>
      <c r="S543" s="611"/>
      <c r="T543" s="611"/>
      <c r="U543" s="611"/>
      <c r="V543" s="611"/>
      <c r="W543" s="611"/>
      <c r="X543" s="611"/>
      <c r="Y543" s="611"/>
      <c r="Z543" s="611"/>
      <c r="AA543" s="611"/>
      <c r="AB543" s="611"/>
      <c r="AC543" s="9"/>
      <c r="AF543" s="1"/>
    </row>
    <row r="544" spans="1:68" ht="18" thickTop="1" thickBot="1" x14ac:dyDescent="0.25">
      <c r="A544" s="44" t="s">
        <v>13</v>
      </c>
      <c r="B544" s="50">
        <f>IFERROR(Y22*1,"0")+IFERROR(Y23*1,"0")+IFERROR(Y27*1,"0")+IFERROR(Y28*1,"0")+IFERROR(Y29*1,"0")+IFERROR(Y30*1,"0")+IFERROR(Y31*1,"0")+IFERROR(Y35*1,"0")</f>
        <v>0</v>
      </c>
      <c r="C544" s="50">
        <f>IFERROR(Y41*1,"0")+IFERROR(Y42*1,"0")+IFERROR(Y43*1,"0")+IFERROR(Y44*1,"0")+IFERROR(Y45*1,"0")</f>
        <v>0</v>
      </c>
      <c r="D544" s="50">
        <f>IFERROR(Y51*1,"0")+IFERROR(Y52*1,"0")+IFERROR(Y53*1,"0")+IFERROR(Y54*1,"0")</f>
        <v>205.20000000000002</v>
      </c>
      <c r="E54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2737.8</v>
      </c>
      <c r="F544" s="50">
        <f>IFERROR(Y88*1,"0")+IFERROR(Y89*1,"0")+IFERROR(Y90*1,"0")+IFERROR(Y91*1,"0")+IFERROR(Y95*1,"0")+IFERROR(Y96*1,"0")+IFERROR(Y97*1,"0")+IFERROR(Y98*1,"0")</f>
        <v>205.20000000000002</v>
      </c>
      <c r="G544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0">
        <f>IFERROR(Y134*1,"0")+IFERROR(Y135*1,"0")+IFERROR(Y139*1,"0")+IFERROR(Y140*1,"0")+IFERROR(Y144*1,"0")+IFERROR(Y145*1,"0")</f>
        <v>0</v>
      </c>
      <c r="I544" s="50">
        <f>IFERROR(Y150*1,"0")+IFERROR(Y151*1,"0")+IFERROR(Y152*1,"0")+IFERROR(Y153*1,"0")</f>
        <v>0</v>
      </c>
      <c r="J544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209.5</v>
      </c>
      <c r="K544" s="50">
        <f>IFERROR(Y198*1,"0")+IFERROR(Y199*1,"0")+IFERROR(Y200*1,"0")+IFERROR(Y201*1,"0")+IFERROR(Y202*1,"0")+IFERROR(Y203*1,"0")+IFERROR(Y204*1,"0")</f>
        <v>0</v>
      </c>
      <c r="L544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0">
        <f>IFERROR(Y316*1,"0")+IFERROR(Y317*1,"0")+IFERROR(Y318*1,"0")+IFERROR(Y319*1,"0")+IFERROR(Y320*1,"0")</f>
        <v>302.40000000000003</v>
      </c>
      <c r="Q544" s="50">
        <f>IFERROR(Y325*1,"0")+IFERROR(Y326*1,"0")+IFERROR(Y327*1,"0")</f>
        <v>0</v>
      </c>
      <c r="R544" s="50">
        <f>IFERROR(Y332*1,"0")+IFERROR(Y333*1,"0")+IFERROR(Y334*1,"0")+IFERROR(Y335*1,"0")+IFERROR(Y336*1,"0")+IFERROR(Y340*1,"0")+IFERROR(Y341*1,"0")</f>
        <v>0</v>
      </c>
      <c r="S544" s="50">
        <f>IFERROR(Y346*1,"0")+IFERROR(Y347*1,"0")+IFERROR(Y348*1,"0")</f>
        <v>0</v>
      </c>
      <c r="T544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4325.3999999999996</v>
      </c>
      <c r="U544" s="50">
        <f>IFERROR(Y399*1,"0")+IFERROR(Y400*1,"0")+IFERROR(Y401*1,"0")</f>
        <v>0</v>
      </c>
      <c r="V544" s="50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8412</v>
      </c>
      <c r="W544" s="50">
        <f>IFERROR(Y434*1,"0")+IFERROR(Y435*1,"0")+IFERROR(Y439*1,"0")+IFERROR(Y443*1,"0")+IFERROR(Y444*1,"0")+IFERROR(Y445*1,"0")</f>
        <v>0</v>
      </c>
      <c r="X544" s="50">
        <f>IFERROR(Y451*1,"0")+IFERROR(Y452*1,"0")+IFERROR(Y453*1,"0")+IFERROR(Y454*1,"0")+IFERROR(Y455*1,"0")+IFERROR(Y456*1,"0")+IFERROR(Y460*1,"0")+IFERROR(Y461*1,"0")</f>
        <v>0</v>
      </c>
      <c r="Y544" s="50">
        <f>IFERROR(Y466*1,"0")+IFERROR(Y470*1,"0")+IFERROR(Y471*1,"0")+IFERROR(Y472*1,"0")</f>
        <v>0</v>
      </c>
      <c r="Z544" s="50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955.68000000000006</v>
      </c>
      <c r="AA544" s="50">
        <f>IFERROR(Y508*1,"0")+IFERROR(Y512*1,"0")+IFERROR(Y516*1,"0")+IFERROR(Y517*1,"0")+IFERROR(Y521*1,"0")+IFERROR(Y525*1,"0")+IFERROR(Y526*1,"0")</f>
        <v>672</v>
      </c>
      <c r="AB544" s="50">
        <f>IFERROR(Y531*1,"0")</f>
        <v>0</v>
      </c>
      <c r="AC544" s="9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500,00"/>
        <filter val="1 894,00"/>
        <filter val="1 975,12"/>
        <filter val="100,00"/>
        <filter val="102,56"/>
        <filter val="114,81"/>
        <filter val="135,00"/>
        <filter val="159,52"/>
        <filter val="160,98"/>
        <filter val="17 959,00"/>
        <filter val="18 739,42"/>
        <filter val="18,52"/>
        <filter val="18,94"/>
        <filter val="19 464,42"/>
        <filter val="2 400,00"/>
        <filter val="200,00"/>
        <filter val="215,00"/>
        <filter val="252,37"/>
        <filter val="27,78"/>
        <filter val="29"/>
        <filter val="3 000,00"/>
        <filter val="3 060,00"/>
        <filter val="300,00"/>
        <filter val="307,69"/>
        <filter val="330,00"/>
        <filter val="39,68"/>
        <filter val="4 650,00"/>
        <filter val="47,62"/>
        <filter val="550,00"/>
        <filter val="594,00"/>
        <filter val="60,00"/>
        <filter val="670,00"/>
        <filter val="700,00"/>
        <filter val="75,00"/>
        <filter val="77,78"/>
        <filter val="800,00"/>
        <filter val="83,33"/>
        <filter val="835,00"/>
        <filter val="850,00"/>
        <filter val="900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1" t="s">
        <v>835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836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837</v>
      </c>
      <c r="C6" s="51" t="s">
        <v>838</v>
      </c>
      <c r="D6" s="51" t="s">
        <v>839</v>
      </c>
      <c r="E6" s="51" t="s">
        <v>46</v>
      </c>
    </row>
    <row r="7" spans="2:8" x14ac:dyDescent="0.2">
      <c r="B7" s="51" t="s">
        <v>840</v>
      </c>
      <c r="C7" s="51" t="s">
        <v>841</v>
      </c>
      <c r="D7" s="51" t="s">
        <v>842</v>
      </c>
      <c r="E7" s="51" t="s">
        <v>46</v>
      </c>
    </row>
    <row r="8" spans="2:8" x14ac:dyDescent="0.2">
      <c r="B8" s="51" t="s">
        <v>843</v>
      </c>
      <c r="C8" s="51" t="s">
        <v>844</v>
      </c>
      <c r="D8" s="51" t="s">
        <v>845</v>
      </c>
      <c r="E8" s="51" t="s">
        <v>46</v>
      </c>
    </row>
    <row r="10" spans="2:8" x14ac:dyDescent="0.2">
      <c r="B10" s="51" t="s">
        <v>846</v>
      </c>
      <c r="C10" s="51" t="s">
        <v>838</v>
      </c>
      <c r="D10" s="51" t="s">
        <v>46</v>
      </c>
      <c r="E10" s="51" t="s">
        <v>46</v>
      </c>
    </row>
    <row r="12" spans="2:8" x14ac:dyDescent="0.2">
      <c r="B12" s="51" t="s">
        <v>847</v>
      </c>
      <c r="C12" s="51" t="s">
        <v>841</v>
      </c>
      <c r="D12" s="51" t="s">
        <v>46</v>
      </c>
      <c r="E12" s="51" t="s">
        <v>46</v>
      </c>
    </row>
    <row r="14" spans="2:8" x14ac:dyDescent="0.2">
      <c r="B14" s="51" t="s">
        <v>848</v>
      </c>
      <c r="C14" s="51" t="s">
        <v>844</v>
      </c>
      <c r="D14" s="51" t="s">
        <v>46</v>
      </c>
      <c r="E14" s="51" t="s">
        <v>46</v>
      </c>
    </row>
    <row r="16" spans="2:8" x14ac:dyDescent="0.2">
      <c r="B16" s="51" t="s">
        <v>849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850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851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852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853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854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855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856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857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858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859</v>
      </c>
      <c r="C26" s="51" t="s">
        <v>46</v>
      </c>
      <c r="D26" s="51" t="s">
        <v>46</v>
      </c>
      <c r="E26" s="51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