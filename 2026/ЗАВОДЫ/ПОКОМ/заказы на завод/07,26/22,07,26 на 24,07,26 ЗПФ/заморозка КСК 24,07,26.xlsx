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8A56E0E-7973-48A5-AFC5-7A1ABCE662C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заказа'!$X$282:$X$282</definedName>
    <definedName name="GrossWeightTotalR">'Бланк заказа'!$Y$282:$Y$282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заказа'!$X$283:$X$283</definedName>
    <definedName name="PalletQtyTotalR">'Бланк заказа'!$Y$283:$Y$283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заказа'!$B$122:$B$122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заказа'!$B$138:$B$138</definedName>
    <definedName name="ProductId54">'Бланк заказа'!$B$142:$B$142</definedName>
    <definedName name="ProductId55">'Бланк заказа'!$B$143:$B$143</definedName>
    <definedName name="ProductId56">'Бланк заказа'!$B$144:$B$144</definedName>
    <definedName name="ProductId57">'Бланк заказа'!$B$149:$B$149</definedName>
    <definedName name="ProductId58">'Бланк заказа'!$B$150:$B$150</definedName>
    <definedName name="ProductId59">'Бланк заказа'!$B$155:$B$155</definedName>
    <definedName name="ProductId6">'Бланк заказа'!$B$27:$B$27</definedName>
    <definedName name="ProductId60">'Бланк заказа'!$B$156:$B$156</definedName>
    <definedName name="ProductId61">'Бланк заказа'!$B$161:$B$161</definedName>
    <definedName name="ProductId62">'Бланк заказа'!$B$162:$B$162</definedName>
    <definedName name="ProductId63">'Бланк заказа'!$B$167:$B$167</definedName>
    <definedName name="ProductId64">'Бланк заказа'!$B$172:$B$172</definedName>
    <definedName name="ProductId65">'Бланк заказа'!$B$177:$B$177</definedName>
    <definedName name="ProductId66">'Бланк заказа'!$B$183:$B$183</definedName>
    <definedName name="ProductId67">'Бланк заказа'!$B$184:$B$184</definedName>
    <definedName name="ProductId68">'Бланк заказа'!$B$189:$B$189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заказа'!$B$198:$B$198</definedName>
    <definedName name="ProductId73">'Бланк заказа'!$B$204:$B$204</definedName>
    <definedName name="ProductId74">'Бланк заказа'!$B$208:$B$208</definedName>
    <definedName name="ProductId75">'Бланк заказа'!$B$209:$B$209</definedName>
    <definedName name="ProductId76">'Бланк заказа'!$B$210:$B$210</definedName>
    <definedName name="ProductId77">'Бланк заказа'!$B$215:$B$215</definedName>
    <definedName name="ProductId78">'Бланк заказа'!$B$216:$B$216</definedName>
    <definedName name="ProductId79">'Бланк заказа'!$B$221:$B$221</definedName>
    <definedName name="ProductId8">'Бланк заказа'!$B$29:$B$29</definedName>
    <definedName name="ProductId80">'Бланк заказа'!$B$226:$B$226</definedName>
    <definedName name="ProductId81">'Бланк заказа'!$B$232:$B$232</definedName>
    <definedName name="ProductId82">'Бланк заказа'!$B$238:$B$238</definedName>
    <definedName name="ProductId83">'Бланк заказа'!$B$242:$B$242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заказа'!$B$259:$B$259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заказа'!$X$122:$X$122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заказа'!$X$138:$X$138</definedName>
    <definedName name="SalesQty54">'Бланк заказа'!$X$142:$X$142</definedName>
    <definedName name="SalesQty55">'Бланк заказа'!$X$143:$X$143</definedName>
    <definedName name="SalesQty56">'Бланк заказа'!$X$144:$X$144</definedName>
    <definedName name="SalesQty57">'Бланк заказа'!$X$149:$X$149</definedName>
    <definedName name="SalesQty58">'Бланк заказа'!$X$150:$X$150</definedName>
    <definedName name="SalesQty59">'Бланк заказа'!$X$155:$X$155</definedName>
    <definedName name="SalesQty6">'Бланк заказа'!$X$27:$X$27</definedName>
    <definedName name="SalesQty60">'Бланк заказа'!$X$156:$X$156</definedName>
    <definedName name="SalesQty61">'Бланк заказа'!$X$161:$X$161</definedName>
    <definedName name="SalesQty62">'Бланк заказа'!$X$162:$X$162</definedName>
    <definedName name="SalesQty63">'Бланк заказа'!$X$167:$X$167</definedName>
    <definedName name="SalesQty64">'Бланк заказа'!$X$172:$X$172</definedName>
    <definedName name="SalesQty65">'Бланк заказа'!$X$177:$X$177</definedName>
    <definedName name="SalesQty66">'Бланк заказа'!$X$183:$X$183</definedName>
    <definedName name="SalesQty67">'Бланк заказа'!$X$184:$X$184</definedName>
    <definedName name="SalesQty68">'Бланк заказа'!$X$189:$X$189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заказа'!$X$198:$X$198</definedName>
    <definedName name="SalesQty73">'Бланк заказа'!$X$204:$X$204</definedName>
    <definedName name="SalesQty74">'Бланк заказа'!$X$208:$X$208</definedName>
    <definedName name="SalesQty75">'Бланк заказа'!$X$209:$X$209</definedName>
    <definedName name="SalesQty76">'Бланк заказа'!$X$210:$X$210</definedName>
    <definedName name="SalesQty77">'Бланк заказа'!$X$215:$X$215</definedName>
    <definedName name="SalesQty78">'Бланк заказа'!$X$216:$X$216</definedName>
    <definedName name="SalesQty79">'Бланк заказа'!$X$221:$X$221</definedName>
    <definedName name="SalesQty8">'Бланк заказа'!$X$29:$X$29</definedName>
    <definedName name="SalesQty80">'Бланк заказа'!$X$226:$X$226</definedName>
    <definedName name="SalesQty81">'Бланк заказа'!$X$232:$X$232</definedName>
    <definedName name="SalesQty82">'Бланк заказа'!$X$238:$X$238</definedName>
    <definedName name="SalesQty83">'Бланк заказа'!$X$242:$X$242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заказа'!$X$259:$X$259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заказа'!$Y$122:$Y$122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заказа'!$Y$138:$Y$138</definedName>
    <definedName name="SalesRoundBox54">'Бланк заказа'!$Y$142:$Y$142</definedName>
    <definedName name="SalesRoundBox55">'Бланк заказа'!$Y$143:$Y$143</definedName>
    <definedName name="SalesRoundBox56">'Бланк заказа'!$Y$144:$Y$144</definedName>
    <definedName name="SalesRoundBox57">'Бланк заказа'!$Y$149:$Y$149</definedName>
    <definedName name="SalesRoundBox58">'Бланк заказа'!$Y$150:$Y$150</definedName>
    <definedName name="SalesRoundBox59">'Бланк заказа'!$Y$155:$Y$155</definedName>
    <definedName name="SalesRoundBox6">'Бланк заказа'!$Y$27:$Y$27</definedName>
    <definedName name="SalesRoundBox60">'Бланк заказа'!$Y$156:$Y$156</definedName>
    <definedName name="SalesRoundBox61">'Бланк заказа'!$Y$161:$Y$161</definedName>
    <definedName name="SalesRoundBox62">'Бланк заказа'!$Y$162:$Y$162</definedName>
    <definedName name="SalesRoundBox63">'Бланк заказа'!$Y$167:$Y$167</definedName>
    <definedName name="SalesRoundBox64">'Бланк заказа'!$Y$172:$Y$172</definedName>
    <definedName name="SalesRoundBox65">'Бланк заказа'!$Y$177:$Y$177</definedName>
    <definedName name="SalesRoundBox66">'Бланк заказа'!$Y$183:$Y$183</definedName>
    <definedName name="SalesRoundBox67">'Бланк заказа'!$Y$184:$Y$184</definedName>
    <definedName name="SalesRoundBox68">'Бланк заказа'!$Y$189:$Y$189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заказа'!$Y$198:$Y$198</definedName>
    <definedName name="SalesRoundBox73">'Бланк заказа'!$Y$204:$Y$204</definedName>
    <definedName name="SalesRoundBox74">'Бланк заказа'!$Y$208:$Y$208</definedName>
    <definedName name="SalesRoundBox75">'Бланк заказа'!$Y$209:$Y$209</definedName>
    <definedName name="SalesRoundBox76">'Бланк заказа'!$Y$210:$Y$210</definedName>
    <definedName name="SalesRoundBox77">'Бланк заказа'!$Y$215:$Y$215</definedName>
    <definedName name="SalesRoundBox78">'Бланк заказа'!$Y$216:$Y$216</definedName>
    <definedName name="SalesRoundBox79">'Бланк заказа'!$Y$221:$Y$221</definedName>
    <definedName name="SalesRoundBox8">'Бланк заказа'!$Y$29:$Y$29</definedName>
    <definedName name="SalesRoundBox80">'Бланк заказа'!$Y$226:$Y$226</definedName>
    <definedName name="SalesRoundBox81">'Бланк заказа'!$Y$232:$Y$232</definedName>
    <definedName name="SalesRoundBox82">'Бланк заказа'!$Y$238:$Y$238</definedName>
    <definedName name="SalesRoundBox83">'Бланк заказа'!$Y$242:$Y$242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заказа'!$Y$259:$Y$259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заказа'!$W$122:$W$122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заказа'!$W$138:$W$138</definedName>
    <definedName name="UnitOfMeasure54">'Бланк заказа'!$W$142:$W$142</definedName>
    <definedName name="UnitOfMeasure55">'Бланк заказа'!$W$143:$W$143</definedName>
    <definedName name="UnitOfMeasure56">'Бланк заказа'!$W$144:$W$144</definedName>
    <definedName name="UnitOfMeasure57">'Бланк заказа'!$W$149:$W$149</definedName>
    <definedName name="UnitOfMeasure58">'Бланк заказа'!$W$150:$W$150</definedName>
    <definedName name="UnitOfMeasure59">'Бланк заказа'!$W$155:$W$155</definedName>
    <definedName name="UnitOfMeasure6">'Бланк заказа'!$W$27:$W$27</definedName>
    <definedName name="UnitOfMeasure60">'Бланк заказа'!$W$156:$W$156</definedName>
    <definedName name="UnitOfMeasure61">'Бланк заказа'!$W$161:$W$161</definedName>
    <definedName name="UnitOfMeasure62">'Бланк заказа'!$W$162:$W$162</definedName>
    <definedName name="UnitOfMeasure63">'Бланк заказа'!$W$167:$W$167</definedName>
    <definedName name="UnitOfMeasure64">'Бланк заказа'!$W$172:$W$172</definedName>
    <definedName name="UnitOfMeasure65">'Бланк заказа'!$W$177:$W$177</definedName>
    <definedName name="UnitOfMeasure66">'Бланк заказа'!$W$183:$W$183</definedName>
    <definedName name="UnitOfMeasure67">'Бланк заказа'!$W$184:$W$184</definedName>
    <definedName name="UnitOfMeasure68">'Бланк заказа'!$W$189:$W$189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заказа'!$W$198:$W$198</definedName>
    <definedName name="UnitOfMeasure73">'Бланк заказа'!$W$204:$W$204</definedName>
    <definedName name="UnitOfMeasure74">'Бланк заказа'!$W$208:$W$208</definedName>
    <definedName name="UnitOfMeasure75">'Бланк заказа'!$W$209:$W$209</definedName>
    <definedName name="UnitOfMeasure76">'Бланк заказа'!$W$210:$W$210</definedName>
    <definedName name="UnitOfMeasure77">'Бланк заказа'!$W$215:$W$215</definedName>
    <definedName name="UnitOfMeasure78">'Бланк заказа'!$W$216:$W$216</definedName>
    <definedName name="UnitOfMeasure79">'Бланк заказа'!$W$221:$W$221</definedName>
    <definedName name="UnitOfMeasure8">'Бланк заказа'!$W$29:$W$29</definedName>
    <definedName name="UnitOfMeasure80">'Бланк заказа'!$W$226:$W$226</definedName>
    <definedName name="UnitOfMeasure81">'Бланк заказа'!$W$232:$W$232</definedName>
    <definedName name="UnitOfMeasure82">'Бланк заказа'!$W$238:$W$238</definedName>
    <definedName name="UnitOfMeasure83">'Бланк заказа'!$W$242:$W$242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заказа'!$W$259:$W$259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1" i="2" l="1"/>
  <c r="AE291" i="2"/>
  <c r="AD291" i="2"/>
  <c r="AC291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O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X280" i="2"/>
  <c r="X279" i="2"/>
  <c r="BO278" i="2"/>
  <c r="BM278" i="2"/>
  <c r="Z278" i="2"/>
  <c r="Y278" i="2"/>
  <c r="BN278" i="2" s="1"/>
  <c r="P278" i="2"/>
  <c r="BO277" i="2"/>
  <c r="BM277" i="2"/>
  <c r="Z277" i="2"/>
  <c r="Y277" i="2"/>
  <c r="BP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N269" i="2" s="1"/>
  <c r="P269" i="2"/>
  <c r="X267" i="2"/>
  <c r="X266" i="2"/>
  <c r="BO265" i="2"/>
  <c r="BM265" i="2"/>
  <c r="Z265" i="2"/>
  <c r="Y265" i="2"/>
  <c r="BP265" i="2" s="1"/>
  <c r="P265" i="2"/>
  <c r="BO264" i="2"/>
  <c r="BM264" i="2"/>
  <c r="Z264" i="2"/>
  <c r="Y264" i="2"/>
  <c r="BN264" i="2" s="1"/>
  <c r="P264" i="2"/>
  <c r="BO263" i="2"/>
  <c r="BM263" i="2"/>
  <c r="Z263" i="2"/>
  <c r="Y263" i="2"/>
  <c r="BN263" i="2" s="1"/>
  <c r="P263" i="2"/>
  <c r="X261" i="2"/>
  <c r="X260" i="2"/>
  <c r="BO259" i="2"/>
  <c r="BM259" i="2"/>
  <c r="Z259" i="2"/>
  <c r="Z260" i="2" s="1"/>
  <c r="Y259" i="2"/>
  <c r="BN259" i="2" s="1"/>
  <c r="P259" i="2"/>
  <c r="X257" i="2"/>
  <c r="X256" i="2"/>
  <c r="BO255" i="2"/>
  <c r="BM255" i="2"/>
  <c r="Z255" i="2"/>
  <c r="Y255" i="2"/>
  <c r="BP255" i="2" s="1"/>
  <c r="P255" i="2"/>
  <c r="BO254" i="2"/>
  <c r="BM254" i="2"/>
  <c r="Z254" i="2"/>
  <c r="Y254" i="2"/>
  <c r="BN254" i="2" s="1"/>
  <c r="P254" i="2"/>
  <c r="X250" i="2"/>
  <c r="X249" i="2"/>
  <c r="BO248" i="2"/>
  <c r="BM248" i="2"/>
  <c r="Z248" i="2"/>
  <c r="Z249" i="2" s="1"/>
  <c r="Y248" i="2"/>
  <c r="Y250" i="2" s="1"/>
  <c r="P248" i="2"/>
  <c r="X244" i="2"/>
  <c r="X243" i="2"/>
  <c r="BO242" i="2"/>
  <c r="BM242" i="2"/>
  <c r="Z242" i="2"/>
  <c r="Z243" i="2" s="1"/>
  <c r="Y242" i="2"/>
  <c r="BN242" i="2" s="1"/>
  <c r="P242" i="2"/>
  <c r="X240" i="2"/>
  <c r="X239" i="2"/>
  <c r="BO238" i="2"/>
  <c r="BM238" i="2"/>
  <c r="Z238" i="2"/>
  <c r="Z239" i="2" s="1"/>
  <c r="Y238" i="2"/>
  <c r="Y240" i="2" s="1"/>
  <c r="P238" i="2"/>
  <c r="X234" i="2"/>
  <c r="X233" i="2"/>
  <c r="BO232" i="2"/>
  <c r="BM232" i="2"/>
  <c r="Z232" i="2"/>
  <c r="Z233" i="2" s="1"/>
  <c r="Y232" i="2"/>
  <c r="BN232" i="2" s="1"/>
  <c r="P232" i="2"/>
  <c r="X228" i="2"/>
  <c r="X227" i="2"/>
  <c r="BO226" i="2"/>
  <c r="BM226" i="2"/>
  <c r="Z226" i="2"/>
  <c r="Z227" i="2" s="1"/>
  <c r="Y226" i="2"/>
  <c r="BN226" i="2" s="1"/>
  <c r="P226" i="2"/>
  <c r="X223" i="2"/>
  <c r="X222" i="2"/>
  <c r="BO221" i="2"/>
  <c r="BM221" i="2"/>
  <c r="Z221" i="2"/>
  <c r="Z222" i="2" s="1"/>
  <c r="Y221" i="2"/>
  <c r="BN221" i="2" s="1"/>
  <c r="P221" i="2"/>
  <c r="X218" i="2"/>
  <c r="X217" i="2"/>
  <c r="BO216" i="2"/>
  <c r="BM216" i="2"/>
  <c r="Z216" i="2"/>
  <c r="Y216" i="2"/>
  <c r="BN216" i="2" s="1"/>
  <c r="P216" i="2"/>
  <c r="BO215" i="2"/>
  <c r="BM215" i="2"/>
  <c r="Z215" i="2"/>
  <c r="Y215" i="2"/>
  <c r="BN215" i="2" s="1"/>
  <c r="P215" i="2"/>
  <c r="X212" i="2"/>
  <c r="X211" i="2"/>
  <c r="BO210" i="2"/>
  <c r="BM210" i="2"/>
  <c r="Z210" i="2"/>
  <c r="Y210" i="2"/>
  <c r="BP210" i="2" s="1"/>
  <c r="P210" i="2"/>
  <c r="BO209" i="2"/>
  <c r="BM209" i="2"/>
  <c r="Z209" i="2"/>
  <c r="Y209" i="2"/>
  <c r="P209" i="2"/>
  <c r="BO208" i="2"/>
  <c r="BM208" i="2"/>
  <c r="Z208" i="2"/>
  <c r="Y208" i="2"/>
  <c r="BN208" i="2" s="1"/>
  <c r="P208" i="2"/>
  <c r="X206" i="2"/>
  <c r="X205" i="2"/>
  <c r="BO204" i="2"/>
  <c r="BM204" i="2"/>
  <c r="Z204" i="2"/>
  <c r="Z205" i="2" s="1"/>
  <c r="Y204" i="2"/>
  <c r="Y206" i="2" s="1"/>
  <c r="P204" i="2"/>
  <c r="X200" i="2"/>
  <c r="X199" i="2"/>
  <c r="BO198" i="2"/>
  <c r="BM198" i="2"/>
  <c r="Z198" i="2"/>
  <c r="Y198" i="2"/>
  <c r="BP198" i="2" s="1"/>
  <c r="P198" i="2"/>
  <c r="BO197" i="2"/>
  <c r="BM197" i="2"/>
  <c r="Z197" i="2"/>
  <c r="Y197" i="2"/>
  <c r="BN197" i="2" s="1"/>
  <c r="P197" i="2"/>
  <c r="BO196" i="2"/>
  <c r="BM196" i="2"/>
  <c r="Z196" i="2"/>
  <c r="Y196" i="2"/>
  <c r="BN196" i="2" s="1"/>
  <c r="P196" i="2"/>
  <c r="BO195" i="2"/>
  <c r="BM195" i="2"/>
  <c r="Z195" i="2"/>
  <c r="Y195" i="2"/>
  <c r="BN195" i="2" s="1"/>
  <c r="P195" i="2"/>
  <c r="X191" i="2"/>
  <c r="X190" i="2"/>
  <c r="BO189" i="2"/>
  <c r="BM189" i="2"/>
  <c r="Z189" i="2"/>
  <c r="Z190" i="2" s="1"/>
  <c r="Y189" i="2"/>
  <c r="Y190" i="2" s="1"/>
  <c r="P189" i="2"/>
  <c r="X186" i="2"/>
  <c r="X185" i="2"/>
  <c r="BO184" i="2"/>
  <c r="BM184" i="2"/>
  <c r="Z184" i="2"/>
  <c r="Y184" i="2"/>
  <c r="BP184" i="2" s="1"/>
  <c r="P184" i="2"/>
  <c r="BO183" i="2"/>
  <c r="BM183" i="2"/>
  <c r="Z183" i="2"/>
  <c r="Y183" i="2"/>
  <c r="BP183" i="2" s="1"/>
  <c r="P183" i="2"/>
  <c r="X179" i="2"/>
  <c r="X178" i="2"/>
  <c r="BO177" i="2"/>
  <c r="BM177" i="2"/>
  <c r="Z177" i="2"/>
  <c r="Z178" i="2" s="1"/>
  <c r="Y177" i="2"/>
  <c r="BP177" i="2" s="1"/>
  <c r="P177" i="2"/>
  <c r="X174" i="2"/>
  <c r="X173" i="2"/>
  <c r="BO172" i="2"/>
  <c r="BM172" i="2"/>
  <c r="Z172" i="2"/>
  <c r="Z173" i="2" s="1"/>
  <c r="Y172" i="2"/>
  <c r="Y173" i="2" s="1"/>
  <c r="P172" i="2"/>
  <c r="X169" i="2"/>
  <c r="X168" i="2"/>
  <c r="BO167" i="2"/>
  <c r="BM167" i="2"/>
  <c r="Z167" i="2"/>
  <c r="Z168" i="2" s="1"/>
  <c r="Y167" i="2"/>
  <c r="BN167" i="2" s="1"/>
  <c r="P167" i="2"/>
  <c r="X164" i="2"/>
  <c r="X163" i="2"/>
  <c r="BO162" i="2"/>
  <c r="BM162" i="2"/>
  <c r="Z162" i="2"/>
  <c r="Y162" i="2"/>
  <c r="BN162" i="2" s="1"/>
  <c r="P162" i="2"/>
  <c r="BO161" i="2"/>
  <c r="BM161" i="2"/>
  <c r="Z161" i="2"/>
  <c r="Y161" i="2"/>
  <c r="BP161" i="2" s="1"/>
  <c r="P161" i="2"/>
  <c r="X158" i="2"/>
  <c r="X157" i="2"/>
  <c r="BO156" i="2"/>
  <c r="BM156" i="2"/>
  <c r="Z156" i="2"/>
  <c r="Y156" i="2"/>
  <c r="BP156" i="2" s="1"/>
  <c r="P156" i="2"/>
  <c r="BO155" i="2"/>
  <c r="BM155" i="2"/>
  <c r="Z155" i="2"/>
  <c r="Y155" i="2"/>
  <c r="BP155" i="2" s="1"/>
  <c r="P155" i="2"/>
  <c r="X152" i="2"/>
  <c r="X151" i="2"/>
  <c r="BO150" i="2"/>
  <c r="BM150" i="2"/>
  <c r="Z150" i="2"/>
  <c r="Y150" i="2"/>
  <c r="P150" i="2"/>
  <c r="BO149" i="2"/>
  <c r="BM149" i="2"/>
  <c r="Z149" i="2"/>
  <c r="Y149" i="2"/>
  <c r="BP149" i="2" s="1"/>
  <c r="P149" i="2"/>
  <c r="X146" i="2"/>
  <c r="X145" i="2"/>
  <c r="BO144" i="2"/>
  <c r="BM144" i="2"/>
  <c r="Z144" i="2"/>
  <c r="Y144" i="2"/>
  <c r="BP144" i="2" s="1"/>
  <c r="P144" i="2"/>
  <c r="BO143" i="2"/>
  <c r="BM143" i="2"/>
  <c r="Z143" i="2"/>
  <c r="Y143" i="2"/>
  <c r="BP143" i="2" s="1"/>
  <c r="P143" i="2"/>
  <c r="BO142" i="2"/>
  <c r="BM142" i="2"/>
  <c r="Z142" i="2"/>
  <c r="Y142" i="2"/>
  <c r="BN142" i="2" s="1"/>
  <c r="P142" i="2"/>
  <c r="X140" i="2"/>
  <c r="X139" i="2"/>
  <c r="BO138" i="2"/>
  <c r="BM138" i="2"/>
  <c r="Z138" i="2"/>
  <c r="Y138" i="2"/>
  <c r="BN138" i="2" s="1"/>
  <c r="P138" i="2"/>
  <c r="BO137" i="2"/>
  <c r="BM137" i="2"/>
  <c r="Z137" i="2"/>
  <c r="Y137" i="2"/>
  <c r="BP137" i="2" s="1"/>
  <c r="P137" i="2"/>
  <c r="BO136" i="2"/>
  <c r="BM136" i="2"/>
  <c r="Z136" i="2"/>
  <c r="Y136" i="2"/>
  <c r="BP136" i="2" s="1"/>
  <c r="P136" i="2"/>
  <c r="BO135" i="2"/>
  <c r="BM135" i="2"/>
  <c r="Z135" i="2"/>
  <c r="Y135" i="2"/>
  <c r="P135" i="2"/>
  <c r="X132" i="2"/>
  <c r="X131" i="2"/>
  <c r="BO130" i="2"/>
  <c r="BM130" i="2"/>
  <c r="Z130" i="2"/>
  <c r="Z131" i="2" s="1"/>
  <c r="Y130" i="2"/>
  <c r="Y132" i="2" s="1"/>
  <c r="P130" i="2"/>
  <c r="X128" i="2"/>
  <c r="X127" i="2"/>
  <c r="BO126" i="2"/>
  <c r="BM126" i="2"/>
  <c r="Z126" i="2"/>
  <c r="Z127" i="2" s="1"/>
  <c r="Y126" i="2"/>
  <c r="Y128" i="2" s="1"/>
  <c r="P126" i="2"/>
  <c r="X124" i="2"/>
  <c r="X123" i="2"/>
  <c r="BO122" i="2"/>
  <c r="BM122" i="2"/>
  <c r="Z122" i="2"/>
  <c r="Y122" i="2"/>
  <c r="BP122" i="2" s="1"/>
  <c r="P122" i="2"/>
  <c r="BO121" i="2"/>
  <c r="BM121" i="2"/>
  <c r="Z121" i="2"/>
  <c r="Y121" i="2"/>
  <c r="BN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N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X112" i="2"/>
  <c r="X111" i="2"/>
  <c r="BO110" i="2"/>
  <c r="BM110" i="2"/>
  <c r="Z110" i="2"/>
  <c r="Y110" i="2"/>
  <c r="BN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Y103" i="2"/>
  <c r="BP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P99" i="2"/>
  <c r="X96" i="2"/>
  <c r="X95" i="2"/>
  <c r="BO94" i="2"/>
  <c r="BM94" i="2"/>
  <c r="Z94" i="2"/>
  <c r="Y94" i="2"/>
  <c r="BN94" i="2" s="1"/>
  <c r="P94" i="2"/>
  <c r="BO93" i="2"/>
  <c r="BM93" i="2"/>
  <c r="Z93" i="2"/>
  <c r="Y93" i="2"/>
  <c r="P93" i="2"/>
  <c r="X90" i="2"/>
  <c r="X89" i="2"/>
  <c r="BO88" i="2"/>
  <c r="BM88" i="2"/>
  <c r="Z88" i="2"/>
  <c r="Z89" i="2" s="1"/>
  <c r="Y88" i="2"/>
  <c r="Y90" i="2" s="1"/>
  <c r="P88" i="2"/>
  <c r="X85" i="2"/>
  <c r="X84" i="2"/>
  <c r="BO83" i="2"/>
  <c r="BM83" i="2"/>
  <c r="Z83" i="2"/>
  <c r="Y83" i="2"/>
  <c r="BP83" i="2" s="1"/>
  <c r="P83" i="2"/>
  <c r="BO82" i="2"/>
  <c r="BM82" i="2"/>
  <c r="Z82" i="2"/>
  <c r="Y82" i="2"/>
  <c r="BP82" i="2" s="1"/>
  <c r="P82" i="2"/>
  <c r="X79" i="2"/>
  <c r="X78" i="2"/>
  <c r="BO77" i="2"/>
  <c r="BM77" i="2"/>
  <c r="Z77" i="2"/>
  <c r="Y77" i="2"/>
  <c r="BP77" i="2" s="1"/>
  <c r="P77" i="2"/>
  <c r="BO76" i="2"/>
  <c r="BM76" i="2"/>
  <c r="Z76" i="2"/>
  <c r="Y76" i="2"/>
  <c r="BN76" i="2" s="1"/>
  <c r="P76" i="2"/>
  <c r="BO75" i="2"/>
  <c r="BM75" i="2"/>
  <c r="Z75" i="2"/>
  <c r="Y75" i="2"/>
  <c r="BP75" i="2" s="1"/>
  <c r="P75" i="2"/>
  <c r="X73" i="2"/>
  <c r="X72" i="2"/>
  <c r="BO71" i="2"/>
  <c r="BM71" i="2"/>
  <c r="Z71" i="2"/>
  <c r="Y71" i="2"/>
  <c r="BP71" i="2" s="1"/>
  <c r="P71" i="2"/>
  <c r="BO70" i="2"/>
  <c r="BM70" i="2"/>
  <c r="Z70" i="2"/>
  <c r="Y70" i="2"/>
  <c r="P70" i="2"/>
  <c r="X68" i="2"/>
  <c r="X67" i="2"/>
  <c r="BO66" i="2"/>
  <c r="BM66" i="2"/>
  <c r="Z66" i="2"/>
  <c r="Z67" i="2" s="1"/>
  <c r="Y66" i="2"/>
  <c r="Y68" i="2" s="1"/>
  <c r="P66" i="2"/>
  <c r="X64" i="2"/>
  <c r="X63" i="2"/>
  <c r="BO62" i="2"/>
  <c r="BM62" i="2"/>
  <c r="Z62" i="2"/>
  <c r="Z63" i="2" s="1"/>
  <c r="Y62" i="2"/>
  <c r="BP62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N56" i="2" s="1"/>
  <c r="P56" i="2"/>
  <c r="BO55" i="2"/>
  <c r="BM55" i="2"/>
  <c r="Z55" i="2"/>
  <c r="Y55" i="2"/>
  <c r="P55" i="2"/>
  <c r="BO54" i="2"/>
  <c r="BM54" i="2"/>
  <c r="Z54" i="2"/>
  <c r="Y54" i="2"/>
  <c r="BN54" i="2" s="1"/>
  <c r="P54" i="2"/>
  <c r="X51" i="2"/>
  <c r="X50" i="2"/>
  <c r="BO49" i="2"/>
  <c r="BM49" i="2"/>
  <c r="Z49" i="2"/>
  <c r="Y49" i="2"/>
  <c r="BN49" i="2" s="1"/>
  <c r="P49" i="2"/>
  <c r="BO48" i="2"/>
  <c r="BM48" i="2"/>
  <c r="Z48" i="2"/>
  <c r="Y48" i="2"/>
  <c r="BN48" i="2" s="1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P42" i="2"/>
  <c r="BO41" i="2"/>
  <c r="BM41" i="2"/>
  <c r="Z41" i="2"/>
  <c r="Y41" i="2"/>
  <c r="BN41" i="2" s="1"/>
  <c r="P41" i="2"/>
  <c r="X37" i="2"/>
  <c r="X36" i="2"/>
  <c r="BO35" i="2"/>
  <c r="BM35" i="2"/>
  <c r="Z35" i="2"/>
  <c r="Y35" i="2"/>
  <c r="BN35" i="2" s="1"/>
  <c r="P35" i="2"/>
  <c r="BO34" i="2"/>
  <c r="BM34" i="2"/>
  <c r="Z34" i="2"/>
  <c r="Y34" i="2"/>
  <c r="P34" i="2"/>
  <c r="X31" i="2"/>
  <c r="X30" i="2"/>
  <c r="BO29" i="2"/>
  <c r="BM29" i="2"/>
  <c r="Z29" i="2"/>
  <c r="Y29" i="2"/>
  <c r="BN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N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N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J9" i="2" s="1"/>
  <c r="D7" i="2"/>
  <c r="Q6" i="2"/>
  <c r="P2" i="2"/>
  <c r="BN149" i="2" l="1"/>
  <c r="BN183" i="2"/>
  <c r="BN57" i="2"/>
  <c r="BN274" i="2"/>
  <c r="BN271" i="2"/>
  <c r="Z266" i="2"/>
  <c r="Z217" i="2"/>
  <c r="Y211" i="2"/>
  <c r="Z185" i="2"/>
  <c r="Y73" i="2"/>
  <c r="Y151" i="2"/>
  <c r="Y37" i="2"/>
  <c r="BN122" i="2"/>
  <c r="BP118" i="2"/>
  <c r="Y261" i="2"/>
  <c r="Z163" i="2"/>
  <c r="BN275" i="2"/>
  <c r="Y260" i="2"/>
  <c r="Z256" i="2"/>
  <c r="Y234" i="2"/>
  <c r="Y233" i="2"/>
  <c r="BN198" i="2"/>
  <c r="BP197" i="2"/>
  <c r="Z199" i="2"/>
  <c r="BP172" i="2"/>
  <c r="Y174" i="2"/>
  <c r="BN172" i="2"/>
  <c r="BP162" i="2"/>
  <c r="Y164" i="2"/>
  <c r="Z157" i="2"/>
  <c r="BN136" i="2"/>
  <c r="BN130" i="2"/>
  <c r="Y131" i="2"/>
  <c r="BP130" i="2"/>
  <c r="BP121" i="2"/>
  <c r="BN115" i="2"/>
  <c r="Z123" i="2"/>
  <c r="Y112" i="2"/>
  <c r="Y96" i="2"/>
  <c r="Z95" i="2"/>
  <c r="BP94" i="2"/>
  <c r="BN88" i="2"/>
  <c r="Y89" i="2"/>
  <c r="BP88" i="2"/>
  <c r="Z78" i="2"/>
  <c r="Z72" i="2"/>
  <c r="Z58" i="2"/>
  <c r="Y59" i="2"/>
  <c r="X285" i="2"/>
  <c r="Z43" i="2"/>
  <c r="BP41" i="2"/>
  <c r="Y43" i="2"/>
  <c r="BP29" i="2"/>
  <c r="Z30" i="2"/>
  <c r="BN23" i="2"/>
  <c r="Y30" i="2"/>
  <c r="BP22" i="2"/>
  <c r="X282" i="2"/>
  <c r="X281" i="2"/>
  <c r="Z36" i="2"/>
  <c r="BN47" i="2"/>
  <c r="BN66" i="2"/>
  <c r="Y67" i="2"/>
  <c r="Z84" i="2"/>
  <c r="Z105" i="2"/>
  <c r="BN101" i="2"/>
  <c r="Y106" i="2"/>
  <c r="BN155" i="2"/>
  <c r="BP259" i="2"/>
  <c r="BN265" i="2"/>
  <c r="Y266" i="2"/>
  <c r="Y31" i="2"/>
  <c r="Y79" i="2"/>
  <c r="BP104" i="2"/>
  <c r="BP142" i="2"/>
  <c r="BP221" i="2"/>
  <c r="BP242" i="2"/>
  <c r="X283" i="2"/>
  <c r="Y58" i="2"/>
  <c r="BP66" i="2"/>
  <c r="Y140" i="2"/>
  <c r="Z145" i="2"/>
  <c r="Y212" i="2"/>
  <c r="Y223" i="2"/>
  <c r="Y244" i="2"/>
  <c r="Z279" i="2"/>
  <c r="Z50" i="2"/>
  <c r="Y44" i="2"/>
  <c r="BP54" i="2"/>
  <c r="Y95" i="2"/>
  <c r="Y105" i="2"/>
  <c r="Z111" i="2"/>
  <c r="Z139" i="2"/>
  <c r="Y152" i="2"/>
  <c r="Z151" i="2"/>
  <c r="Y163" i="2"/>
  <c r="Y191" i="2"/>
  <c r="Z211" i="2"/>
  <c r="BP208" i="2"/>
  <c r="Y222" i="2"/>
  <c r="BP232" i="2"/>
  <c r="Y243" i="2"/>
  <c r="BP254" i="2"/>
  <c r="BP278" i="2"/>
  <c r="BN137" i="2"/>
  <c r="BN27" i="2"/>
  <c r="BP48" i="2"/>
  <c r="BP109" i="2"/>
  <c r="BN150" i="2"/>
  <c r="H9" i="2"/>
  <c r="Y200" i="2"/>
  <c r="BP150" i="2"/>
  <c r="BN273" i="2"/>
  <c r="BN100" i="2"/>
  <c r="BN135" i="2"/>
  <c r="Y178" i="2"/>
  <c r="BP196" i="2"/>
  <c r="Y64" i="2"/>
  <c r="BN117" i="2"/>
  <c r="BN161" i="2"/>
  <c r="Y217" i="2"/>
  <c r="Y227" i="2"/>
  <c r="Y239" i="2"/>
  <c r="Y249" i="2"/>
  <c r="BP264" i="2"/>
  <c r="BN270" i="2"/>
  <c r="BN156" i="2"/>
  <c r="BN102" i="2"/>
  <c r="BN82" i="2"/>
  <c r="BN55" i="2"/>
  <c r="BP215" i="2"/>
  <c r="BN255" i="2"/>
  <c r="BN34" i="2"/>
  <c r="BN99" i="2"/>
  <c r="Y157" i="2"/>
  <c r="BP195" i="2"/>
  <c r="BP263" i="2"/>
  <c r="BN209" i="2"/>
  <c r="BN276" i="2"/>
  <c r="BP24" i="2"/>
  <c r="BP70" i="2"/>
  <c r="Y63" i="2"/>
  <c r="BN83" i="2"/>
  <c r="BN120" i="2"/>
  <c r="Y186" i="2"/>
  <c r="BP138" i="2"/>
  <c r="BN144" i="2"/>
  <c r="BP216" i="2"/>
  <c r="BP226" i="2"/>
  <c r="BP248" i="2"/>
  <c r="BN25" i="2"/>
  <c r="Y50" i="2"/>
  <c r="BP56" i="2"/>
  <c r="BN71" i="2"/>
  <c r="BP110" i="2"/>
  <c r="Y139" i="2"/>
  <c r="BP35" i="2"/>
  <c r="Y84" i="2"/>
  <c r="BP126" i="2"/>
  <c r="BP135" i="2"/>
  <c r="BP204" i="2"/>
  <c r="BN210" i="2"/>
  <c r="BN277" i="2"/>
  <c r="Y199" i="2"/>
  <c r="BN62" i="2"/>
  <c r="BN42" i="2"/>
  <c r="BP99" i="2"/>
  <c r="Y185" i="2"/>
  <c r="BP209" i="2"/>
  <c r="BN238" i="2"/>
  <c r="BN248" i="2"/>
  <c r="BP167" i="2"/>
  <c r="BP49" i="2"/>
  <c r="BP238" i="2"/>
  <c r="BP28" i="2"/>
  <c r="BN126" i="2"/>
  <c r="Y168" i="2"/>
  <c r="BN204" i="2"/>
  <c r="Y111" i="2"/>
  <c r="Y145" i="2"/>
  <c r="Y169" i="2"/>
  <c r="Y179" i="2"/>
  <c r="BN189" i="2"/>
  <c r="BN184" i="2"/>
  <c r="BN143" i="2"/>
  <c r="Y280" i="2"/>
  <c r="BP119" i="2"/>
  <c r="BN177" i="2"/>
  <c r="A10" i="2"/>
  <c r="BP42" i="2"/>
  <c r="F10" i="2"/>
  <c r="BN93" i="2"/>
  <c r="BN22" i="2"/>
  <c r="Y51" i="2"/>
  <c r="Y127" i="2"/>
  <c r="Y205" i="2"/>
  <c r="Y218" i="2"/>
  <c r="Y228" i="2"/>
  <c r="Y257" i="2"/>
  <c r="BP93" i="2"/>
  <c r="BN77" i="2"/>
  <c r="Y36" i="2"/>
  <c r="Y72" i="2"/>
  <c r="Y85" i="2"/>
  <c r="BP189" i="2"/>
  <c r="BN75" i="2"/>
  <c r="Y267" i="2"/>
  <c r="BN272" i="2"/>
  <c r="BN109" i="2"/>
  <c r="BN116" i="2"/>
  <c r="Y158" i="2"/>
  <c r="Y256" i="2"/>
  <c r="BP269" i="2"/>
  <c r="BN103" i="2"/>
  <c r="Y146" i="2"/>
  <c r="BP55" i="2"/>
  <c r="BP34" i="2"/>
  <c r="Y124" i="2"/>
  <c r="BP76" i="2"/>
  <c r="Y78" i="2"/>
  <c r="Y279" i="2"/>
  <c r="Y123" i="2"/>
  <c r="F9" i="2"/>
  <c r="BN70" i="2"/>
  <c r="Z286" i="2" l="1"/>
  <c r="X284" i="2"/>
  <c r="Y283" i="2"/>
  <c r="Y282" i="2"/>
  <c r="Y285" i="2"/>
  <c r="Y281" i="2"/>
  <c r="Y284" i="2" l="1"/>
  <c r="A294" i="2"/>
  <c r="C294" i="2"/>
  <c r="B294" i="2"/>
</calcChain>
</file>

<file path=xl/sharedStrings.xml><?xml version="1.0" encoding="utf-8"?>
<sst xmlns="http://schemas.openxmlformats.org/spreadsheetml/2006/main" count="1748" uniqueCount="405">
  <si>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</si>
  <si>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</si>
  <si>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</si>
  <si>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</si>
  <si>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</si>
  <si>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</si>
  <si>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</si>
  <si>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</si>
  <si>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</si>
  <si>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</si>
  <si>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</si>
  <si>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</si>
  <si>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</si>
  <si>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</si>
  <si>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</si>
  <si>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</si>
  <si>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</si>
  <si>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</si>
  <si>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</si>
  <si>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</si>
  <si>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</si>
  <si>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</si>
  <si>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</si>
  <si>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</si>
  <si>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</si>
  <si>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</si>
  <si>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</si>
  <si>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</si>
  <si>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</si>
  <si>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</si>
  <si>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</si>
  <si>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</si>
  <si>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</si>
  <si>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</si>
  <si>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</si>
  <si>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</si>
  <si>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</si>
  <si>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</si>
  <si>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</si>
  <si>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</si>
  <si>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</si>
  <si>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</si>
  <si>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</si>
  <si>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</si>
  <si>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</si>
  <si>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</si>
  <si>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</si>
  <si>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</si>
  <si>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</si>
  <si>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</si>
  <si>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</si>
  <si>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</si>
  <si>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</si>
  <si>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</si>
  <si>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</si>
  <si>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</si>
  <si>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</si>
  <si>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</si>
  <si>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</si>
  <si>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</si>
  <si>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</si>
  <si>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</si>
  <si>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</si>
  <si>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</si>
  <si>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</si>
  <si>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</si>
  <si>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</si>
  <si>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</si>
  <si>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</si>
  <si>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</si>
  <si>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</si>
  <si>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22.07.2026</t>
  </si>
  <si>
    <t>18.07.2026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</si>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</sst>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4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9" t="s">
        <v>26</v>
      </c>
      <c r="E1" s="289"/>
      <c r="F1" s="289"/>
      <c r="G1" s="14" t="s">
        <v>70</v>
      </c>
      <c r="H1" s="289" t="s">
        <v>47</v>
      </c>
      <c r="I1" s="289"/>
      <c r="J1" s="289"/>
      <c r="K1" s="289"/>
      <c r="L1" s="289"/>
      <c r="M1" s="289"/>
      <c r="N1" s="289"/>
      <c r="O1" s="289"/>
      <c r="P1" s="289"/>
      <c r="Q1" s="289"/>
      <c r="R1" s="290" t="s">
        <v>71</v>
      </c>
      <c r="S1" s="291"/>
      <c r="T1" s="29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2"/>
      <c r="R2" s="292"/>
      <c r="S2" s="292"/>
      <c r="T2" s="292"/>
      <c r="U2" s="292"/>
      <c r="V2" s="292"/>
      <c r="W2" s="29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2"/>
      <c r="Q3" s="292"/>
      <c r="R3" s="292"/>
      <c r="S3" s="292"/>
      <c r="T3" s="292"/>
      <c r="U3" s="292"/>
      <c r="V3" s="292"/>
      <c r="W3" s="29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3" t="s">
        <v>8</v>
      </c>
      <c r="B5" s="293"/>
      <c r="C5" s="293"/>
      <c r="D5" s="294"/>
      <c r="E5" s="294"/>
      <c r="F5" s="295" t="s">
        <v>14</v>
      </c>
      <c r="G5" s="295"/>
      <c r="H5" s="294"/>
      <c r="I5" s="294"/>
      <c r="J5" s="294"/>
      <c r="K5" s="294"/>
      <c r="L5" s="294"/>
      <c r="M5" s="294"/>
      <c r="N5" s="75"/>
      <c r="P5" s="27" t="s">
        <v>4</v>
      </c>
      <c r="Q5" s="296">
        <v>46227</v>
      </c>
      <c r="R5" s="296"/>
      <c r="T5" s="297" t="s">
        <v>3</v>
      </c>
      <c r="U5" s="298"/>
      <c r="V5" s="299" t="s">
        <v>391</v>
      </c>
      <c r="W5" s="300"/>
      <c r="AB5" s="59"/>
      <c r="AC5" s="59"/>
      <c r="AD5" s="59"/>
      <c r="AE5" s="59"/>
    </row>
    <row r="6" spans="1:32" s="17" customFormat="1" ht="24" customHeight="1" x14ac:dyDescent="0.2">
      <c r="A6" s="293" t="s">
        <v>1</v>
      </c>
      <c r="B6" s="293"/>
      <c r="C6" s="293"/>
      <c r="D6" s="301" t="s">
        <v>79</v>
      </c>
      <c r="E6" s="301"/>
      <c r="F6" s="301"/>
      <c r="G6" s="301"/>
      <c r="H6" s="301"/>
      <c r="I6" s="301"/>
      <c r="J6" s="301"/>
      <c r="K6" s="301"/>
      <c r="L6" s="301"/>
      <c r="M6" s="301"/>
      <c r="N6" s="76"/>
      <c r="P6" s="27" t="s">
        <v>27</v>
      </c>
      <c r="Q6" s="302" t="str">
        <f>IF(Q5=0," ",CHOOSE(WEEKDAY(Q5,2),"Понедельник","Вторник","Среда","Четверг","Пятница","Суббота","Воскресенье"))</f>
        <v>Пятница</v>
      </c>
      <c r="R6" s="302"/>
      <c r="T6" s="303" t="s">
        <v>5</v>
      </c>
      <c r="U6" s="304"/>
      <c r="V6" s="305" t="s">
        <v>73</v>
      </c>
      <c r="W6" s="30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11" t="str">
        <f>IFERROR(VLOOKUP(DeliveryAddress,Table,3,0),1)</f>
        <v>1</v>
      </c>
      <c r="E7" s="312"/>
      <c r="F7" s="312"/>
      <c r="G7" s="312"/>
      <c r="H7" s="312"/>
      <c r="I7" s="312"/>
      <c r="J7" s="312"/>
      <c r="K7" s="312"/>
      <c r="L7" s="312"/>
      <c r="M7" s="313"/>
      <c r="N7" s="77"/>
      <c r="P7" s="29"/>
      <c r="Q7" s="48"/>
      <c r="R7" s="48"/>
      <c r="T7" s="303"/>
      <c r="U7" s="304"/>
      <c r="V7" s="307"/>
      <c r="W7" s="308"/>
      <c r="AB7" s="59"/>
      <c r="AC7" s="59"/>
      <c r="AD7" s="59"/>
      <c r="AE7" s="59"/>
    </row>
    <row r="8" spans="1:32" s="17" customFormat="1" ht="25.5" customHeight="1" x14ac:dyDescent="0.2">
      <c r="A8" s="314" t="s">
        <v>58</v>
      </c>
      <c r="B8" s="314"/>
      <c r="C8" s="314"/>
      <c r="D8" s="315" t="s">
        <v>80</v>
      </c>
      <c r="E8" s="315"/>
      <c r="F8" s="315"/>
      <c r="G8" s="315"/>
      <c r="H8" s="315"/>
      <c r="I8" s="315"/>
      <c r="J8" s="315"/>
      <c r="K8" s="315"/>
      <c r="L8" s="315"/>
      <c r="M8" s="315"/>
      <c r="N8" s="78"/>
      <c r="P8" s="27" t="s">
        <v>11</v>
      </c>
      <c r="Q8" s="316">
        <v>0.375</v>
      </c>
      <c r="R8" s="316"/>
      <c r="T8" s="303"/>
      <c r="U8" s="304"/>
      <c r="V8" s="307"/>
      <c r="W8" s="308"/>
      <c r="AB8" s="59"/>
      <c r="AC8" s="59"/>
      <c r="AD8" s="59"/>
      <c r="AE8" s="59"/>
    </row>
    <row r="9" spans="1:32" s="17" customFormat="1" ht="39.950000000000003" customHeight="1" x14ac:dyDescent="0.2">
      <c r="A9" s="31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7"/>
      <c r="C9" s="317"/>
      <c r="D9" s="318" t="s">
        <v>46</v>
      </c>
      <c r="E9" s="319"/>
      <c r="F9" s="31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7"/>
      <c r="H9" s="320" t="str">
        <f>IF(AND($A$9="Тип доверенности/получателя при получении в адресе перегруза:",$D$9="Разовая доверенность"),"Введите ФИО","")</f>
        <v/>
      </c>
      <c r="I9" s="320"/>
      <c r="J9" s="32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0"/>
      <c r="L9" s="320"/>
      <c r="M9" s="320"/>
      <c r="N9" s="73"/>
      <c r="P9" s="31" t="s">
        <v>15</v>
      </c>
      <c r="Q9" s="321"/>
      <c r="R9" s="321"/>
      <c r="T9" s="303"/>
      <c r="U9" s="304"/>
      <c r="V9" s="309"/>
      <c r="W9" s="31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7"/>
      <c r="C10" s="317"/>
      <c r="D10" s="318"/>
      <c r="E10" s="319"/>
      <c r="F10" s="31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7"/>
      <c r="H10" s="322" t="str">
        <f>IFERROR(VLOOKUP($D$10,Proxy,2,FALSE),"")</f>
        <v/>
      </c>
      <c r="I10" s="322"/>
      <c r="J10" s="322"/>
      <c r="K10" s="322"/>
      <c r="L10" s="322"/>
      <c r="M10" s="322"/>
      <c r="N10" s="74"/>
      <c r="P10" s="31" t="s">
        <v>32</v>
      </c>
      <c r="Q10" s="323"/>
      <c r="R10" s="323"/>
      <c r="U10" s="29" t="s">
        <v>12</v>
      </c>
      <c r="V10" s="324" t="s">
        <v>74</v>
      </c>
      <c r="W10" s="32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6"/>
      <c r="R11" s="326"/>
      <c r="U11" s="29" t="s">
        <v>28</v>
      </c>
      <c r="V11" s="327" t="s">
        <v>55</v>
      </c>
      <c r="W11" s="32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8" t="s">
        <v>75</v>
      </c>
      <c r="B12" s="328"/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79"/>
      <c r="P12" s="27" t="s">
        <v>30</v>
      </c>
      <c r="Q12" s="316"/>
      <c r="R12" s="316"/>
      <c r="S12" s="28"/>
      <c r="T12"/>
      <c r="U12" s="29" t="s">
        <v>46</v>
      </c>
      <c r="V12" s="329"/>
      <c r="W12" s="329"/>
      <c r="X12"/>
      <c r="AB12" s="59"/>
      <c r="AC12" s="59"/>
      <c r="AD12" s="59"/>
      <c r="AE12" s="59"/>
    </row>
    <row r="13" spans="1:32" s="17" customFormat="1" ht="23.25" customHeight="1" x14ac:dyDescent="0.2">
      <c r="A13" s="328" t="s">
        <v>76</v>
      </c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79"/>
      <c r="O13" s="31"/>
      <c r="P13" s="31" t="s">
        <v>31</v>
      </c>
      <c r="Q13" s="327"/>
      <c r="R13" s="32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8" t="s">
        <v>77</v>
      </c>
      <c r="B14" s="328"/>
      <c r="C14" s="328"/>
      <c r="D14" s="328"/>
      <c r="E14" s="328"/>
      <c r="F14" s="328"/>
      <c r="G14" s="328"/>
      <c r="H14" s="328"/>
      <c r="I14" s="328"/>
      <c r="J14" s="328"/>
      <c r="K14" s="328"/>
      <c r="L14" s="328"/>
      <c r="M14" s="328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30" t="s">
        <v>78</v>
      </c>
      <c r="B15" s="330"/>
      <c r="C15" s="330"/>
      <c r="D15" s="330"/>
      <c r="E15" s="330"/>
      <c r="F15" s="330"/>
      <c r="G15" s="330"/>
      <c r="H15" s="330"/>
      <c r="I15" s="330"/>
      <c r="J15" s="330"/>
      <c r="K15" s="330"/>
      <c r="L15" s="330"/>
      <c r="M15" s="330"/>
      <c r="N15" s="80"/>
      <c r="O15"/>
      <c r="P15" s="331" t="s">
        <v>61</v>
      </c>
      <c r="Q15" s="331"/>
      <c r="R15" s="331"/>
      <c r="S15" s="331"/>
      <c r="T15" s="33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2"/>
      <c r="Q16" s="332"/>
      <c r="R16" s="332"/>
      <c r="S16" s="332"/>
      <c r="T16" s="33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5" t="s">
        <v>59</v>
      </c>
      <c r="B17" s="335" t="s">
        <v>49</v>
      </c>
      <c r="C17" s="337" t="s">
        <v>48</v>
      </c>
      <c r="D17" s="339" t="s">
        <v>50</v>
      </c>
      <c r="E17" s="340"/>
      <c r="F17" s="335" t="s">
        <v>21</v>
      </c>
      <c r="G17" s="335" t="s">
        <v>24</v>
      </c>
      <c r="H17" s="335" t="s">
        <v>22</v>
      </c>
      <c r="I17" s="335" t="s">
        <v>23</v>
      </c>
      <c r="J17" s="335" t="s">
        <v>16</v>
      </c>
      <c r="K17" s="335" t="s">
        <v>69</v>
      </c>
      <c r="L17" s="335" t="s">
        <v>67</v>
      </c>
      <c r="M17" s="335" t="s">
        <v>2</v>
      </c>
      <c r="N17" s="335" t="s">
        <v>66</v>
      </c>
      <c r="O17" s="335" t="s">
        <v>25</v>
      </c>
      <c r="P17" s="339" t="s">
        <v>17</v>
      </c>
      <c r="Q17" s="343"/>
      <c r="R17" s="343"/>
      <c r="S17" s="343"/>
      <c r="T17" s="340"/>
      <c r="U17" s="333" t="s">
        <v>56</v>
      </c>
      <c r="V17" s="334"/>
      <c r="W17" s="335" t="s">
        <v>6</v>
      </c>
      <c r="X17" s="335" t="s">
        <v>41</v>
      </c>
      <c r="Y17" s="345" t="s">
        <v>54</v>
      </c>
      <c r="Z17" s="347" t="s">
        <v>18</v>
      </c>
      <c r="AA17" s="349" t="s">
        <v>60</v>
      </c>
      <c r="AB17" s="349" t="s">
        <v>19</v>
      </c>
      <c r="AC17" s="349" t="s">
        <v>68</v>
      </c>
      <c r="AD17" s="351" t="s">
        <v>57</v>
      </c>
      <c r="AE17" s="352"/>
      <c r="AF17" s="353"/>
      <c r="AG17" s="85"/>
      <c r="BD17" s="84" t="s">
        <v>64</v>
      </c>
    </row>
    <row r="18" spans="1:68" ht="14.25" customHeight="1" x14ac:dyDescent="0.2">
      <c r="A18" s="336"/>
      <c r="B18" s="336"/>
      <c r="C18" s="338"/>
      <c r="D18" s="341"/>
      <c r="E18" s="342"/>
      <c r="F18" s="336"/>
      <c r="G18" s="336"/>
      <c r="H18" s="336"/>
      <c r="I18" s="336"/>
      <c r="J18" s="336"/>
      <c r="K18" s="336"/>
      <c r="L18" s="336"/>
      <c r="M18" s="336"/>
      <c r="N18" s="336"/>
      <c r="O18" s="336"/>
      <c r="P18" s="341"/>
      <c r="Q18" s="344"/>
      <c r="R18" s="344"/>
      <c r="S18" s="344"/>
      <c r="T18" s="342"/>
      <c r="U18" s="86" t="s">
        <v>44</v>
      </c>
      <c r="V18" s="86" t="s">
        <v>43</v>
      </c>
      <c r="W18" s="336"/>
      <c r="X18" s="336"/>
      <c r="Y18" s="346"/>
      <c r="Z18" s="348"/>
      <c r="AA18" s="350"/>
      <c r="AB18" s="350"/>
      <c r="AC18" s="350"/>
      <c r="AD18" s="354"/>
      <c r="AE18" s="355"/>
      <c r="AF18" s="356"/>
      <c r="AG18" s="85"/>
      <c r="BD18" s="84"/>
    </row>
    <row r="19" spans="1:68" ht="27.75" hidden="1" customHeight="1" x14ac:dyDescent="0.2">
      <c r="A19" s="357" t="s">
        <v>81</v>
      </c>
      <c r="B19" s="357"/>
      <c r="C19" s="357"/>
      <c r="D19" s="357"/>
      <c r="E19" s="357"/>
      <c r="F19" s="357"/>
      <c r="G19" s="357"/>
      <c r="H19" s="357"/>
      <c r="I19" s="357"/>
      <c r="J19" s="357"/>
      <c r="K19" s="357"/>
      <c r="L19" s="357"/>
      <c r="M19" s="357"/>
      <c r="N19" s="357"/>
      <c r="O19" s="357"/>
      <c r="P19" s="357"/>
      <c r="Q19" s="357"/>
      <c r="R19" s="357"/>
      <c r="S19" s="357"/>
      <c r="T19" s="357"/>
      <c r="U19" s="357"/>
      <c r="V19" s="357"/>
      <c r="W19" s="357"/>
      <c r="X19" s="357"/>
      <c r="Y19" s="357"/>
      <c r="Z19" s="357"/>
      <c r="AA19" s="54"/>
      <c r="AB19" s="54"/>
      <c r="AC19" s="54"/>
    </row>
    <row r="20" spans="1:68" ht="16.5" hidden="1" customHeight="1" x14ac:dyDescent="0.25">
      <c r="A20" s="358" t="s">
        <v>81</v>
      </c>
      <c r="B20" s="358"/>
      <c r="C20" s="358"/>
      <c r="D20" s="358"/>
      <c r="E20" s="358"/>
      <c r="F20" s="358"/>
      <c r="G20" s="358"/>
      <c r="H20" s="358"/>
      <c r="I20" s="358"/>
      <c r="J20" s="358"/>
      <c r="K20" s="358"/>
      <c r="L20" s="358"/>
      <c r="M20" s="358"/>
      <c r="N20" s="358"/>
      <c r="O20" s="358"/>
      <c r="P20" s="358"/>
      <c r="Q20" s="358"/>
      <c r="R20" s="358"/>
      <c r="S20" s="358"/>
      <c r="T20" s="358"/>
      <c r="U20" s="358"/>
      <c r="V20" s="358"/>
      <c r="W20" s="358"/>
      <c r="X20" s="358"/>
      <c r="Y20" s="358"/>
      <c r="Z20" s="358"/>
      <c r="AA20" s="65"/>
      <c r="AB20" s="65"/>
      <c r="AC20" s="82"/>
    </row>
    <row r="21" spans="1:68" ht="14.25" hidden="1" customHeight="1" x14ac:dyDescent="0.25">
      <c r="A21" s="359" t="s">
        <v>82</v>
      </c>
      <c r="B21" s="359"/>
      <c r="C21" s="359"/>
      <c r="D21" s="359"/>
      <c r="E21" s="359"/>
      <c r="F21" s="359"/>
      <c r="G21" s="359"/>
      <c r="H21" s="359"/>
      <c r="I21" s="359"/>
      <c r="J21" s="359"/>
      <c r="K21" s="359"/>
      <c r="L21" s="359"/>
      <c r="M21" s="359"/>
      <c r="N21" s="359"/>
      <c r="O21" s="359"/>
      <c r="P21" s="359"/>
      <c r="Q21" s="359"/>
      <c r="R21" s="359"/>
      <c r="S21" s="359"/>
      <c r="T21" s="359"/>
      <c r="U21" s="359"/>
      <c r="V21" s="359"/>
      <c r="W21" s="359"/>
      <c r="X21" s="359"/>
      <c r="Y21" s="359"/>
      <c r="Z21" s="359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360">
        <v>4620207491508</v>
      </c>
      <c r="E22" s="360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6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2"/>
      <c r="R22" s="362"/>
      <c r="S22" s="362"/>
      <c r="T22" s="363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360">
        <v>4620207491256</v>
      </c>
      <c r="E23" s="360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6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2"/>
      <c r="R23" s="362"/>
      <c r="S23" s="362"/>
      <c r="T23" s="363"/>
      <c r="U23" s="39" t="s">
        <v>46</v>
      </c>
      <c r="V23" s="39" t="s">
        <v>46</v>
      </c>
      <c r="W23" s="40" t="s">
        <v>39</v>
      </c>
      <c r="X23" s="58">
        <v>24</v>
      </c>
      <c r="Y23" s="55">
        <f t="shared" si="0"/>
        <v>24</v>
      </c>
      <c r="Z23" s="41">
        <f t="shared" si="1"/>
        <v>0.372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159.12</v>
      </c>
      <c r="BN23" s="81">
        <f t="shared" si="3"/>
        <v>159.12</v>
      </c>
      <c r="BO23" s="81">
        <f t="shared" si="4"/>
        <v>0.2857142857142857</v>
      </c>
      <c r="BP23" s="81">
        <f t="shared" si="5"/>
        <v>0.2857142857142857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360">
        <v>4620207491713</v>
      </c>
      <c r="E24" s="360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65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2"/>
      <c r="R24" s="362"/>
      <c r="S24" s="362"/>
      <c r="T24" s="363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360">
        <v>4620207491720</v>
      </c>
      <c r="E25" s="360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6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2"/>
      <c r="R25" s="362"/>
      <c r="S25" s="362"/>
      <c r="T25" s="363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360">
        <v>4607111035912</v>
      </c>
      <c r="E26" s="360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6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2"/>
      <c r="R26" s="362"/>
      <c r="S26" s="362"/>
      <c r="T26" s="363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360">
        <v>4607111035929</v>
      </c>
      <c r="E27" s="360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6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2"/>
      <c r="R27" s="362"/>
      <c r="S27" s="362"/>
      <c r="T27" s="363"/>
      <c r="U27" s="39" t="s">
        <v>46</v>
      </c>
      <c r="V27" s="39" t="s">
        <v>46</v>
      </c>
      <c r="W27" s="40" t="s">
        <v>39</v>
      </c>
      <c r="X27" s="58">
        <v>24</v>
      </c>
      <c r="Y27" s="55">
        <f t="shared" si="0"/>
        <v>24</v>
      </c>
      <c r="Z27" s="41">
        <f t="shared" si="1"/>
        <v>0.372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179.28</v>
      </c>
      <c r="BN27" s="81">
        <f t="shared" si="3"/>
        <v>179.28</v>
      </c>
      <c r="BO27" s="81">
        <f t="shared" si="4"/>
        <v>0.2857142857142857</v>
      </c>
      <c r="BP27" s="81">
        <f t="shared" si="5"/>
        <v>0.2857142857142857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360">
        <v>4607111035882</v>
      </c>
      <c r="E28" s="360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6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2"/>
      <c r="R28" s="362"/>
      <c r="S28" s="362"/>
      <c r="T28" s="363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360">
        <v>4607111035905</v>
      </c>
      <c r="E29" s="360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7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2"/>
      <c r="R29" s="362"/>
      <c r="S29" s="362"/>
      <c r="T29" s="363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4"/>
      <c r="B30" s="374"/>
      <c r="C30" s="374"/>
      <c r="D30" s="374"/>
      <c r="E30" s="374"/>
      <c r="F30" s="374"/>
      <c r="G30" s="374"/>
      <c r="H30" s="374"/>
      <c r="I30" s="374"/>
      <c r="J30" s="374"/>
      <c r="K30" s="374"/>
      <c r="L30" s="374"/>
      <c r="M30" s="374"/>
      <c r="N30" s="374"/>
      <c r="O30" s="375"/>
      <c r="P30" s="371" t="s">
        <v>40</v>
      </c>
      <c r="Q30" s="372"/>
      <c r="R30" s="372"/>
      <c r="S30" s="372"/>
      <c r="T30" s="372"/>
      <c r="U30" s="372"/>
      <c r="V30" s="373"/>
      <c r="W30" s="42" t="s">
        <v>39</v>
      </c>
      <c r="X30" s="43">
        <f>IFERROR(SUM(X22:X29),"0")</f>
        <v>48</v>
      </c>
      <c r="Y30" s="43">
        <f>IFERROR(SUM(Y22:Y29),"0")</f>
        <v>48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0.74399999999999999</v>
      </c>
      <c r="AA30" s="67"/>
      <c r="AB30" s="67"/>
      <c r="AC30" s="67"/>
    </row>
    <row r="31" spans="1:68" x14ac:dyDescent="0.2">
      <c r="A31" s="374"/>
      <c r="B31" s="374"/>
      <c r="C31" s="374"/>
      <c r="D31" s="374"/>
      <c r="E31" s="374"/>
      <c r="F31" s="374"/>
      <c r="G31" s="374"/>
      <c r="H31" s="374"/>
      <c r="I31" s="374"/>
      <c r="J31" s="374"/>
      <c r="K31" s="374"/>
      <c r="L31" s="374"/>
      <c r="M31" s="374"/>
      <c r="N31" s="374"/>
      <c r="O31" s="375"/>
      <c r="P31" s="371" t="s">
        <v>40</v>
      </c>
      <c r="Q31" s="372"/>
      <c r="R31" s="372"/>
      <c r="S31" s="372"/>
      <c r="T31" s="372"/>
      <c r="U31" s="372"/>
      <c r="V31" s="373"/>
      <c r="W31" s="42" t="s">
        <v>0</v>
      </c>
      <c r="X31" s="43">
        <f>IFERROR(SUMPRODUCT(X22:X29*H22:H29),"0")</f>
        <v>326.40000000000003</v>
      </c>
      <c r="Y31" s="43">
        <f>IFERROR(SUMPRODUCT(Y22:Y29*H22:H29),"0")</f>
        <v>326.40000000000003</v>
      </c>
      <c r="Z31" s="42"/>
      <c r="AA31" s="67"/>
      <c r="AB31" s="67"/>
      <c r="AC31" s="67"/>
    </row>
    <row r="32" spans="1:68" ht="16.5" hidden="1" customHeight="1" x14ac:dyDescent="0.25">
      <c r="A32" s="358" t="s">
        <v>106</v>
      </c>
      <c r="B32" s="358"/>
      <c r="C32" s="358"/>
      <c r="D32" s="358"/>
      <c r="E32" s="358"/>
      <c r="F32" s="358"/>
      <c r="G32" s="358"/>
      <c r="H32" s="358"/>
      <c r="I32" s="358"/>
      <c r="J32" s="358"/>
      <c r="K32" s="358"/>
      <c r="L32" s="358"/>
      <c r="M32" s="358"/>
      <c r="N32" s="358"/>
      <c r="O32" s="358"/>
      <c r="P32" s="358"/>
      <c r="Q32" s="358"/>
      <c r="R32" s="358"/>
      <c r="S32" s="358"/>
      <c r="T32" s="358"/>
      <c r="U32" s="358"/>
      <c r="V32" s="358"/>
      <c r="W32" s="358"/>
      <c r="X32" s="358"/>
      <c r="Y32" s="358"/>
      <c r="Z32" s="358"/>
      <c r="AA32" s="65"/>
      <c r="AB32" s="65"/>
      <c r="AC32" s="82"/>
    </row>
    <row r="33" spans="1:68" ht="14.25" hidden="1" customHeight="1" x14ac:dyDescent="0.25">
      <c r="A33" s="359" t="s">
        <v>82</v>
      </c>
      <c r="B33" s="359"/>
      <c r="C33" s="359"/>
      <c r="D33" s="359"/>
      <c r="E33" s="359"/>
      <c r="F33" s="359"/>
      <c r="G33" s="359"/>
      <c r="H33" s="359"/>
      <c r="I33" s="359"/>
      <c r="J33" s="359"/>
      <c r="K33" s="359"/>
      <c r="L33" s="359"/>
      <c r="M33" s="359"/>
      <c r="N33" s="359"/>
      <c r="O33" s="359"/>
      <c r="P33" s="359"/>
      <c r="Q33" s="359"/>
      <c r="R33" s="359"/>
      <c r="S33" s="359"/>
      <c r="T33" s="359"/>
      <c r="U33" s="359"/>
      <c r="V33" s="359"/>
      <c r="W33" s="359"/>
      <c r="X33" s="359"/>
      <c r="Y33" s="359"/>
      <c r="Z33" s="359"/>
      <c r="AA33" s="66"/>
      <c r="AB33" s="66"/>
      <c r="AC33" s="83"/>
    </row>
    <row r="34" spans="1:68" ht="16.5" hidden="1" customHeight="1" x14ac:dyDescent="0.25">
      <c r="A34" s="63" t="s">
        <v>107</v>
      </c>
      <c r="B34" s="63" t="s">
        <v>108</v>
      </c>
      <c r="C34" s="36">
        <v>4301071099</v>
      </c>
      <c r="D34" s="360">
        <v>4607111039019</v>
      </c>
      <c r="E34" s="360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7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2"/>
      <c r="R34" s="362"/>
      <c r="S34" s="362"/>
      <c r="T34" s="363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110</v>
      </c>
      <c r="B35" s="63" t="s">
        <v>111</v>
      </c>
      <c r="C35" s="36">
        <v>4301071100</v>
      </c>
      <c r="D35" s="360">
        <v>4607111038708</v>
      </c>
      <c r="E35" s="360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7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2"/>
      <c r="R35" s="362"/>
      <c r="S35" s="362"/>
      <c r="T35" s="363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374"/>
      <c r="B36" s="374"/>
      <c r="C36" s="374"/>
      <c r="D36" s="374"/>
      <c r="E36" s="374"/>
      <c r="F36" s="374"/>
      <c r="G36" s="374"/>
      <c r="H36" s="374"/>
      <c r="I36" s="374"/>
      <c r="J36" s="374"/>
      <c r="K36" s="374"/>
      <c r="L36" s="374"/>
      <c r="M36" s="374"/>
      <c r="N36" s="374"/>
      <c r="O36" s="375"/>
      <c r="P36" s="371" t="s">
        <v>40</v>
      </c>
      <c r="Q36" s="372"/>
      <c r="R36" s="372"/>
      <c r="S36" s="372"/>
      <c r="T36" s="372"/>
      <c r="U36" s="372"/>
      <c r="V36" s="373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374"/>
      <c r="B37" s="374"/>
      <c r="C37" s="374"/>
      <c r="D37" s="374"/>
      <c r="E37" s="374"/>
      <c r="F37" s="374"/>
      <c r="G37" s="374"/>
      <c r="H37" s="374"/>
      <c r="I37" s="374"/>
      <c r="J37" s="374"/>
      <c r="K37" s="374"/>
      <c r="L37" s="374"/>
      <c r="M37" s="374"/>
      <c r="N37" s="374"/>
      <c r="O37" s="375"/>
      <c r="P37" s="371" t="s">
        <v>40</v>
      </c>
      <c r="Q37" s="372"/>
      <c r="R37" s="372"/>
      <c r="S37" s="372"/>
      <c r="T37" s="372"/>
      <c r="U37" s="372"/>
      <c r="V37" s="373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57" t="s">
        <v>45</v>
      </c>
      <c r="B38" s="357"/>
      <c r="C38" s="357"/>
      <c r="D38" s="357"/>
      <c r="E38" s="357"/>
      <c r="F38" s="357"/>
      <c r="G38" s="357"/>
      <c r="H38" s="357"/>
      <c r="I38" s="357"/>
      <c r="J38" s="357"/>
      <c r="K38" s="357"/>
      <c r="L38" s="357"/>
      <c r="M38" s="357"/>
      <c r="N38" s="357"/>
      <c r="O38" s="357"/>
      <c r="P38" s="357"/>
      <c r="Q38" s="357"/>
      <c r="R38" s="357"/>
      <c r="S38" s="357"/>
      <c r="T38" s="357"/>
      <c r="U38" s="357"/>
      <c r="V38" s="357"/>
      <c r="W38" s="357"/>
      <c r="X38" s="357"/>
      <c r="Y38" s="357"/>
      <c r="Z38" s="357"/>
      <c r="AA38" s="54"/>
      <c r="AB38" s="54"/>
      <c r="AC38" s="54"/>
    </row>
    <row r="39" spans="1:68" ht="16.5" hidden="1" customHeight="1" x14ac:dyDescent="0.25">
      <c r="A39" s="358" t="s">
        <v>112</v>
      </c>
      <c r="B39" s="358"/>
      <c r="C39" s="358"/>
      <c r="D39" s="358"/>
      <c r="E39" s="358"/>
      <c r="F39" s="358"/>
      <c r="G39" s="358"/>
      <c r="H39" s="358"/>
      <c r="I39" s="358"/>
      <c r="J39" s="358"/>
      <c r="K39" s="358"/>
      <c r="L39" s="358"/>
      <c r="M39" s="358"/>
      <c r="N39" s="358"/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358"/>
      <c r="AA39" s="65"/>
      <c r="AB39" s="65"/>
      <c r="AC39" s="82"/>
    </row>
    <row r="40" spans="1:68" ht="14.25" hidden="1" customHeight="1" x14ac:dyDescent="0.25">
      <c r="A40" s="359" t="s">
        <v>113</v>
      </c>
      <c r="B40" s="359"/>
      <c r="C40" s="359"/>
      <c r="D40" s="359"/>
      <c r="E40" s="359"/>
      <c r="F40" s="359"/>
      <c r="G40" s="359"/>
      <c r="H40" s="359"/>
      <c r="I40" s="359"/>
      <c r="J40" s="359"/>
      <c r="K40" s="359"/>
      <c r="L40" s="359"/>
      <c r="M40" s="359"/>
      <c r="N40" s="359"/>
      <c r="O40" s="359"/>
      <c r="P40" s="359"/>
      <c r="Q40" s="359"/>
      <c r="R40" s="359"/>
      <c r="S40" s="359"/>
      <c r="T40" s="359"/>
      <c r="U40" s="359"/>
      <c r="V40" s="359"/>
      <c r="W40" s="359"/>
      <c r="X40" s="359"/>
      <c r="Y40" s="359"/>
      <c r="Z40" s="359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360">
        <v>4607111036537</v>
      </c>
      <c r="E41" s="360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78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2"/>
      <c r="R41" s="362"/>
      <c r="S41" s="362"/>
      <c r="T41" s="363"/>
      <c r="U41" s="39" t="s">
        <v>46</v>
      </c>
      <c r="V41" s="39" t="s">
        <v>46</v>
      </c>
      <c r="W41" s="40" t="s">
        <v>39</v>
      </c>
      <c r="X41" s="58">
        <v>140</v>
      </c>
      <c r="Y41" s="55">
        <f>IFERROR(IF(X41="","",X41),"")</f>
        <v>140</v>
      </c>
      <c r="Z41" s="41">
        <f>IFERROR(IF(X41="","",X41*0.00941),"")</f>
        <v>1.3173999999999999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269.05200000000002</v>
      </c>
      <c r="BN41" s="81">
        <f>IFERROR(Y41*I41,"0")</f>
        <v>269.05200000000002</v>
      </c>
      <c r="BO41" s="81">
        <f>IFERROR(X41/J41,"0")</f>
        <v>1</v>
      </c>
      <c r="BP41" s="81">
        <f>IFERROR(Y41/J41,"0")</f>
        <v>1</v>
      </c>
    </row>
    <row r="42" spans="1:68" ht="27" hidden="1" customHeight="1" x14ac:dyDescent="0.25">
      <c r="A42" s="63" t="s">
        <v>121</v>
      </c>
      <c r="B42" s="63" t="s">
        <v>122</v>
      </c>
      <c r="C42" s="36">
        <v>4301132188</v>
      </c>
      <c r="D42" s="360">
        <v>4607111036605</v>
      </c>
      <c r="E42" s="360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88</v>
      </c>
      <c r="M42" s="38" t="s">
        <v>86</v>
      </c>
      <c r="N42" s="38"/>
      <c r="O42" s="37">
        <v>365</v>
      </c>
      <c r="P42" s="37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2"/>
      <c r="R42" s="362"/>
      <c r="S42" s="362"/>
      <c r="T42" s="363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116</v>
      </c>
      <c r="AG42" s="81"/>
      <c r="AJ42" s="87" t="s">
        <v>89</v>
      </c>
      <c r="AK42" s="87">
        <v>1</v>
      </c>
      <c r="BB42" s="112" t="s">
        <v>117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74"/>
      <c r="B43" s="374"/>
      <c r="C43" s="374"/>
      <c r="D43" s="374"/>
      <c r="E43" s="374"/>
      <c r="F43" s="374"/>
      <c r="G43" s="374"/>
      <c r="H43" s="374"/>
      <c r="I43" s="374"/>
      <c r="J43" s="374"/>
      <c r="K43" s="374"/>
      <c r="L43" s="374"/>
      <c r="M43" s="374"/>
      <c r="N43" s="374"/>
      <c r="O43" s="375"/>
      <c r="P43" s="371" t="s">
        <v>40</v>
      </c>
      <c r="Q43" s="372"/>
      <c r="R43" s="372"/>
      <c r="S43" s="372"/>
      <c r="T43" s="372"/>
      <c r="U43" s="372"/>
      <c r="V43" s="373"/>
      <c r="W43" s="42" t="s">
        <v>39</v>
      </c>
      <c r="X43" s="43">
        <f>IFERROR(SUM(X41:X42),"0")</f>
        <v>140</v>
      </c>
      <c r="Y43" s="43">
        <f>IFERROR(SUM(Y41:Y42),"0")</f>
        <v>140</v>
      </c>
      <c r="Z43" s="43">
        <f>IFERROR(IF(Z41="",0,Z41),"0")+IFERROR(IF(Z42="",0,Z42),"0")</f>
        <v>1.3173999999999999</v>
      </c>
      <c r="AA43" s="67"/>
      <c r="AB43" s="67"/>
      <c r="AC43" s="67"/>
    </row>
    <row r="44" spans="1:68" x14ac:dyDescent="0.2">
      <c r="A44" s="374"/>
      <c r="B44" s="374"/>
      <c r="C44" s="374"/>
      <c r="D44" s="374"/>
      <c r="E44" s="374"/>
      <c r="F44" s="374"/>
      <c r="G44" s="374"/>
      <c r="H44" s="374"/>
      <c r="I44" s="374"/>
      <c r="J44" s="374"/>
      <c r="K44" s="374"/>
      <c r="L44" s="374"/>
      <c r="M44" s="374"/>
      <c r="N44" s="374"/>
      <c r="O44" s="375"/>
      <c r="P44" s="371" t="s">
        <v>40</v>
      </c>
      <c r="Q44" s="372"/>
      <c r="R44" s="372"/>
      <c r="S44" s="372"/>
      <c r="T44" s="372"/>
      <c r="U44" s="372"/>
      <c r="V44" s="373"/>
      <c r="W44" s="42" t="s">
        <v>0</v>
      </c>
      <c r="X44" s="43">
        <f>IFERROR(SUMPRODUCT(X41:X42*H41:H42),"0")</f>
        <v>210</v>
      </c>
      <c r="Y44" s="43">
        <f>IFERROR(SUMPRODUCT(Y41:Y42*H41:H42),"0")</f>
        <v>210</v>
      </c>
      <c r="Z44" s="42"/>
      <c r="AA44" s="67"/>
      <c r="AB44" s="67"/>
      <c r="AC44" s="67"/>
    </row>
    <row r="45" spans="1:68" ht="16.5" hidden="1" customHeight="1" x14ac:dyDescent="0.25">
      <c r="A45" s="358" t="s">
        <v>123</v>
      </c>
      <c r="B45" s="358"/>
      <c r="C45" s="358"/>
      <c r="D45" s="358"/>
      <c r="E45" s="358"/>
      <c r="F45" s="358"/>
      <c r="G45" s="358"/>
      <c r="H45" s="358"/>
      <c r="I45" s="358"/>
      <c r="J45" s="358"/>
      <c r="K45" s="358"/>
      <c r="L45" s="358"/>
      <c r="M45" s="358"/>
      <c r="N45" s="358"/>
      <c r="O45" s="358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358"/>
      <c r="AA45" s="65"/>
      <c r="AB45" s="65"/>
      <c r="AC45" s="82"/>
    </row>
    <row r="46" spans="1:68" ht="14.25" hidden="1" customHeight="1" x14ac:dyDescent="0.25">
      <c r="A46" s="359" t="s">
        <v>82</v>
      </c>
      <c r="B46" s="359"/>
      <c r="C46" s="359"/>
      <c r="D46" s="359"/>
      <c r="E46" s="359"/>
      <c r="F46" s="359"/>
      <c r="G46" s="359"/>
      <c r="H46" s="359"/>
      <c r="I46" s="359"/>
      <c r="J46" s="359"/>
      <c r="K46" s="359"/>
      <c r="L46" s="359"/>
      <c r="M46" s="359"/>
      <c r="N46" s="359"/>
      <c r="O46" s="359"/>
      <c r="P46" s="359"/>
      <c r="Q46" s="359"/>
      <c r="R46" s="359"/>
      <c r="S46" s="359"/>
      <c r="T46" s="359"/>
      <c r="U46" s="359"/>
      <c r="V46" s="359"/>
      <c r="W46" s="359"/>
      <c r="X46" s="359"/>
      <c r="Y46" s="359"/>
      <c r="Z46" s="359"/>
      <c r="AA46" s="66"/>
      <c r="AB46" s="66"/>
      <c r="AC46" s="83"/>
    </row>
    <row r="47" spans="1:68" ht="27" hidden="1" customHeight="1" x14ac:dyDescent="0.25">
      <c r="A47" s="63" t="s">
        <v>124</v>
      </c>
      <c r="B47" s="63" t="s">
        <v>125</v>
      </c>
      <c r="C47" s="36">
        <v>4301071090</v>
      </c>
      <c r="D47" s="360">
        <v>4620207490075</v>
      </c>
      <c r="E47" s="360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38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2"/>
      <c r="R47" s="362"/>
      <c r="S47" s="362"/>
      <c r="T47" s="363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4301071092</v>
      </c>
      <c r="D48" s="360">
        <v>4620207490174</v>
      </c>
      <c r="E48" s="360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119</v>
      </c>
      <c r="M48" s="38" t="s">
        <v>86</v>
      </c>
      <c r="N48" s="38"/>
      <c r="O48" s="37">
        <v>180</v>
      </c>
      <c r="P48" s="38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2"/>
      <c r="R48" s="362"/>
      <c r="S48" s="362"/>
      <c r="T48" s="363"/>
      <c r="U48" s="39" t="s">
        <v>46</v>
      </c>
      <c r="V48" s="39" t="s">
        <v>46</v>
      </c>
      <c r="W48" s="40" t="s">
        <v>39</v>
      </c>
      <c r="X48" s="58">
        <v>12</v>
      </c>
      <c r="Y48" s="55">
        <f>IFERROR(IF(X48="","",X48),"")</f>
        <v>12</v>
      </c>
      <c r="Z48" s="41">
        <f>IFERROR(IF(X48="","",X48*0.0155),"")</f>
        <v>0.186</v>
      </c>
      <c r="AA48" s="68" t="s">
        <v>46</v>
      </c>
      <c r="AB48" s="69" t="s">
        <v>46</v>
      </c>
      <c r="AC48" s="115" t="s">
        <v>129</v>
      </c>
      <c r="AG48" s="81"/>
      <c r="AJ48" s="87" t="s">
        <v>120</v>
      </c>
      <c r="AK48" s="87">
        <v>12</v>
      </c>
      <c r="BB48" s="116" t="s">
        <v>70</v>
      </c>
      <c r="BM48" s="81">
        <f>IFERROR(X48*I48,"0")</f>
        <v>70.44</v>
      </c>
      <c r="BN48" s="81">
        <f>IFERROR(Y48*I48,"0")</f>
        <v>70.44</v>
      </c>
      <c r="BO48" s="81">
        <f>IFERROR(X48/J48,"0")</f>
        <v>0.14285714285714285</v>
      </c>
      <c r="BP48" s="81">
        <f>IFERROR(Y48/J48,"0")</f>
        <v>0.14285714285714285</v>
      </c>
    </row>
    <row r="49" spans="1:68" ht="27" hidden="1" customHeight="1" x14ac:dyDescent="0.25">
      <c r="A49" s="63" t="s">
        <v>130</v>
      </c>
      <c r="B49" s="63" t="s">
        <v>131</v>
      </c>
      <c r="C49" s="36">
        <v>4301071091</v>
      </c>
      <c r="D49" s="360">
        <v>4620207490044</v>
      </c>
      <c r="E49" s="360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87</v>
      </c>
      <c r="L49" s="37" t="s">
        <v>88</v>
      </c>
      <c r="M49" s="38" t="s">
        <v>86</v>
      </c>
      <c r="N49" s="38"/>
      <c r="O49" s="37">
        <v>180</v>
      </c>
      <c r="P49" s="38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362"/>
      <c r="R49" s="362"/>
      <c r="S49" s="362"/>
      <c r="T49" s="363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IFERROR(IF(X49="","",X49*0.0155),"")</f>
        <v>0</v>
      </c>
      <c r="AA49" s="68" t="s">
        <v>46</v>
      </c>
      <c r="AB49" s="69" t="s">
        <v>46</v>
      </c>
      <c r="AC49" s="117" t="s">
        <v>132</v>
      </c>
      <c r="AG49" s="81"/>
      <c r="AJ49" s="87" t="s">
        <v>89</v>
      </c>
      <c r="AK49" s="87">
        <v>1</v>
      </c>
      <c r="BB49" s="118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x14ac:dyDescent="0.2">
      <c r="A50" s="374"/>
      <c r="B50" s="374"/>
      <c r="C50" s="374"/>
      <c r="D50" s="374"/>
      <c r="E50" s="374"/>
      <c r="F50" s="374"/>
      <c r="G50" s="374"/>
      <c r="H50" s="374"/>
      <c r="I50" s="374"/>
      <c r="J50" s="374"/>
      <c r="K50" s="374"/>
      <c r="L50" s="374"/>
      <c r="M50" s="374"/>
      <c r="N50" s="374"/>
      <c r="O50" s="375"/>
      <c r="P50" s="371" t="s">
        <v>40</v>
      </c>
      <c r="Q50" s="372"/>
      <c r="R50" s="372"/>
      <c r="S50" s="372"/>
      <c r="T50" s="372"/>
      <c r="U50" s="372"/>
      <c r="V50" s="373"/>
      <c r="W50" s="42" t="s">
        <v>39</v>
      </c>
      <c r="X50" s="43">
        <f>IFERROR(SUM(X47:X49),"0")</f>
        <v>12</v>
      </c>
      <c r="Y50" s="43">
        <f>IFERROR(SUM(Y47:Y49),"0")</f>
        <v>12</v>
      </c>
      <c r="Z50" s="43">
        <f>IFERROR(IF(Z47="",0,Z47),"0")+IFERROR(IF(Z48="",0,Z48),"0")+IFERROR(IF(Z49="",0,Z49),"0")</f>
        <v>0.186</v>
      </c>
      <c r="AA50" s="67"/>
      <c r="AB50" s="67"/>
      <c r="AC50" s="67"/>
    </row>
    <row r="51" spans="1:68" x14ac:dyDescent="0.2">
      <c r="A51" s="374"/>
      <c r="B51" s="374"/>
      <c r="C51" s="374"/>
      <c r="D51" s="374"/>
      <c r="E51" s="374"/>
      <c r="F51" s="374"/>
      <c r="G51" s="374"/>
      <c r="H51" s="374"/>
      <c r="I51" s="374"/>
      <c r="J51" s="374"/>
      <c r="K51" s="374"/>
      <c r="L51" s="374"/>
      <c r="M51" s="374"/>
      <c r="N51" s="374"/>
      <c r="O51" s="375"/>
      <c r="P51" s="371" t="s">
        <v>40</v>
      </c>
      <c r="Q51" s="372"/>
      <c r="R51" s="372"/>
      <c r="S51" s="372"/>
      <c r="T51" s="372"/>
      <c r="U51" s="372"/>
      <c r="V51" s="373"/>
      <c r="W51" s="42" t="s">
        <v>0</v>
      </c>
      <c r="X51" s="43">
        <f>IFERROR(SUMPRODUCT(X47:X49*H47:H49),"0")</f>
        <v>67.199999999999989</v>
      </c>
      <c r="Y51" s="43">
        <f>IFERROR(SUMPRODUCT(Y47:Y49*H47:H49),"0")</f>
        <v>67.199999999999989</v>
      </c>
      <c r="Z51" s="42"/>
      <c r="AA51" s="67"/>
      <c r="AB51" s="67"/>
      <c r="AC51" s="67"/>
    </row>
    <row r="52" spans="1:68" ht="16.5" hidden="1" customHeight="1" x14ac:dyDescent="0.25">
      <c r="A52" s="358" t="s">
        <v>133</v>
      </c>
      <c r="B52" s="358"/>
      <c r="C52" s="358"/>
      <c r="D52" s="358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  <c r="AA52" s="65"/>
      <c r="AB52" s="65"/>
      <c r="AC52" s="82"/>
    </row>
    <row r="53" spans="1:68" ht="14.25" hidden="1" customHeight="1" x14ac:dyDescent="0.25">
      <c r="A53" s="359" t="s">
        <v>82</v>
      </c>
      <c r="B53" s="359"/>
      <c r="C53" s="359"/>
      <c r="D53" s="359"/>
      <c r="E53" s="359"/>
      <c r="F53" s="359"/>
      <c r="G53" s="359"/>
      <c r="H53" s="359"/>
      <c r="I53" s="359"/>
      <c r="J53" s="359"/>
      <c r="K53" s="359"/>
      <c r="L53" s="359"/>
      <c r="M53" s="359"/>
      <c r="N53" s="359"/>
      <c r="O53" s="359"/>
      <c r="P53" s="359"/>
      <c r="Q53" s="359"/>
      <c r="R53" s="359"/>
      <c r="S53" s="359"/>
      <c r="T53" s="359"/>
      <c r="U53" s="359"/>
      <c r="V53" s="359"/>
      <c r="W53" s="359"/>
      <c r="X53" s="359"/>
      <c r="Y53" s="359"/>
      <c r="Z53" s="359"/>
      <c r="AA53" s="66"/>
      <c r="AB53" s="66"/>
      <c r="AC53" s="83"/>
    </row>
    <row r="54" spans="1:68" ht="27" customHeight="1" x14ac:dyDescent="0.25">
      <c r="A54" s="63" t="s">
        <v>134</v>
      </c>
      <c r="B54" s="63" t="s">
        <v>135</v>
      </c>
      <c r="C54" s="36">
        <v>4301071044</v>
      </c>
      <c r="D54" s="360">
        <v>4607111039385</v>
      </c>
      <c r="E54" s="360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8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362"/>
      <c r="R54" s="362"/>
      <c r="S54" s="362"/>
      <c r="T54" s="363"/>
      <c r="U54" s="39" t="s">
        <v>46</v>
      </c>
      <c r="V54" s="39" t="s">
        <v>46</v>
      </c>
      <c r="W54" s="40" t="s">
        <v>39</v>
      </c>
      <c r="X54" s="58">
        <v>36</v>
      </c>
      <c r="Y54" s="55">
        <f>IFERROR(IF(X54="","",X54),"")</f>
        <v>36</v>
      </c>
      <c r="Z54" s="41">
        <f>IFERROR(IF(X54="","",X54*0.0155),"")</f>
        <v>0.55800000000000005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262.8</v>
      </c>
      <c r="BN54" s="81">
        <f>IFERROR(Y54*I54,"0")</f>
        <v>262.8</v>
      </c>
      <c r="BO54" s="81">
        <f>IFERROR(X54/J54,"0")</f>
        <v>0.42857142857142855</v>
      </c>
      <c r="BP54" s="81">
        <f>IFERROR(Y54/J54,"0")</f>
        <v>0.42857142857142855</v>
      </c>
    </row>
    <row r="55" spans="1:68" ht="27" customHeight="1" x14ac:dyDescent="0.25">
      <c r="A55" s="63" t="s">
        <v>137</v>
      </c>
      <c r="B55" s="63" t="s">
        <v>138</v>
      </c>
      <c r="C55" s="36">
        <v>4301071031</v>
      </c>
      <c r="D55" s="360">
        <v>4607111038982</v>
      </c>
      <c r="E55" s="360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8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362"/>
      <c r="R55" s="362"/>
      <c r="S55" s="362"/>
      <c r="T55" s="363"/>
      <c r="U55" s="39" t="s">
        <v>46</v>
      </c>
      <c r="V55" s="39" t="s">
        <v>46</v>
      </c>
      <c r="W55" s="40" t="s">
        <v>39</v>
      </c>
      <c r="X55" s="58">
        <v>36</v>
      </c>
      <c r="Y55" s="55">
        <f>IFERROR(IF(X55="","",X55),"")</f>
        <v>36</v>
      </c>
      <c r="Z55" s="41">
        <f>IFERROR(IF(X55="","",X55*0.0155),"")</f>
        <v>0.55800000000000005</v>
      </c>
      <c r="AA55" s="68" t="s">
        <v>46</v>
      </c>
      <c r="AB55" s="69" t="s">
        <v>46</v>
      </c>
      <c r="AC55" s="121" t="s">
        <v>139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262.29599999999999</v>
      </c>
      <c r="BN55" s="81">
        <f>IFERROR(Y55*I55,"0")</f>
        <v>262.29599999999999</v>
      </c>
      <c r="BO55" s="81">
        <f>IFERROR(X55/J55,"0")</f>
        <v>0.42857142857142855</v>
      </c>
      <c r="BP55" s="81">
        <f>IFERROR(Y55/J55,"0")</f>
        <v>0.42857142857142855</v>
      </c>
    </row>
    <row r="56" spans="1:68" ht="27" hidden="1" customHeight="1" x14ac:dyDescent="0.25">
      <c r="A56" s="63" t="s">
        <v>140</v>
      </c>
      <c r="B56" s="63" t="s">
        <v>141</v>
      </c>
      <c r="C56" s="36">
        <v>4301071046</v>
      </c>
      <c r="D56" s="360">
        <v>4607111039354</v>
      </c>
      <c r="E56" s="360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8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362"/>
      <c r="R56" s="362"/>
      <c r="S56" s="362"/>
      <c r="T56" s="363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139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t="27" customHeight="1" x14ac:dyDescent="0.25">
      <c r="A57" s="63" t="s">
        <v>142</v>
      </c>
      <c r="B57" s="63" t="s">
        <v>143</v>
      </c>
      <c r="C57" s="36">
        <v>4301071047</v>
      </c>
      <c r="D57" s="360">
        <v>4607111039330</v>
      </c>
      <c r="E57" s="360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87</v>
      </c>
      <c r="L57" s="37" t="s">
        <v>119</v>
      </c>
      <c r="M57" s="38" t="s">
        <v>86</v>
      </c>
      <c r="N57" s="38"/>
      <c r="O57" s="37">
        <v>180</v>
      </c>
      <c r="P57" s="38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362"/>
      <c r="R57" s="362"/>
      <c r="S57" s="362"/>
      <c r="T57" s="363"/>
      <c r="U57" s="39" t="s">
        <v>46</v>
      </c>
      <c r="V57" s="39" t="s">
        <v>46</v>
      </c>
      <c r="W57" s="40" t="s">
        <v>39</v>
      </c>
      <c r="X57" s="58">
        <v>48</v>
      </c>
      <c r="Y57" s="55">
        <f>IFERROR(IF(X57="","",X57),"")</f>
        <v>48</v>
      </c>
      <c r="Z57" s="41">
        <f>IFERROR(IF(X57="","",X57*0.0155),"")</f>
        <v>0.74399999999999999</v>
      </c>
      <c r="AA57" s="68" t="s">
        <v>46</v>
      </c>
      <c r="AB57" s="69" t="s">
        <v>46</v>
      </c>
      <c r="AC57" s="125" t="s">
        <v>139</v>
      </c>
      <c r="AG57" s="81"/>
      <c r="AJ57" s="87" t="s">
        <v>120</v>
      </c>
      <c r="AK57" s="87">
        <v>12</v>
      </c>
      <c r="BB57" s="126" t="s">
        <v>70</v>
      </c>
      <c r="BM57" s="81">
        <f>IFERROR(X57*I57,"0")</f>
        <v>350.4</v>
      </c>
      <c r="BN57" s="81">
        <f>IFERROR(Y57*I57,"0")</f>
        <v>350.4</v>
      </c>
      <c r="BO57" s="81">
        <f>IFERROR(X57/J57,"0")</f>
        <v>0.5714285714285714</v>
      </c>
      <c r="BP57" s="81">
        <f>IFERROR(Y57/J57,"0")</f>
        <v>0.5714285714285714</v>
      </c>
    </row>
    <row r="58" spans="1:68" x14ac:dyDescent="0.2">
      <c r="A58" s="374"/>
      <c r="B58" s="374"/>
      <c r="C58" s="374"/>
      <c r="D58" s="374"/>
      <c r="E58" s="374"/>
      <c r="F58" s="374"/>
      <c r="G58" s="374"/>
      <c r="H58" s="374"/>
      <c r="I58" s="374"/>
      <c r="J58" s="374"/>
      <c r="K58" s="374"/>
      <c r="L58" s="374"/>
      <c r="M58" s="374"/>
      <c r="N58" s="374"/>
      <c r="O58" s="375"/>
      <c r="P58" s="371" t="s">
        <v>40</v>
      </c>
      <c r="Q58" s="372"/>
      <c r="R58" s="372"/>
      <c r="S58" s="372"/>
      <c r="T58" s="372"/>
      <c r="U58" s="372"/>
      <c r="V58" s="373"/>
      <c r="W58" s="42" t="s">
        <v>39</v>
      </c>
      <c r="X58" s="43">
        <f>IFERROR(SUM(X54:X57),"0")</f>
        <v>120</v>
      </c>
      <c r="Y58" s="43">
        <f>IFERROR(SUM(Y54:Y57),"0")</f>
        <v>120</v>
      </c>
      <c r="Z58" s="43">
        <f>IFERROR(IF(Z54="",0,Z54),"0")+IFERROR(IF(Z55="",0,Z55),"0")+IFERROR(IF(Z56="",0,Z56),"0")+IFERROR(IF(Z57="",0,Z57),"0")</f>
        <v>1.86</v>
      </c>
      <c r="AA58" s="67"/>
      <c r="AB58" s="67"/>
      <c r="AC58" s="67"/>
    </row>
    <row r="59" spans="1:68" x14ac:dyDescent="0.2">
      <c r="A59" s="374"/>
      <c r="B59" s="374"/>
      <c r="C59" s="374"/>
      <c r="D59" s="374"/>
      <c r="E59" s="374"/>
      <c r="F59" s="374"/>
      <c r="G59" s="374"/>
      <c r="H59" s="374"/>
      <c r="I59" s="374"/>
      <c r="J59" s="374"/>
      <c r="K59" s="374"/>
      <c r="L59" s="374"/>
      <c r="M59" s="374"/>
      <c r="N59" s="374"/>
      <c r="O59" s="375"/>
      <c r="P59" s="371" t="s">
        <v>40</v>
      </c>
      <c r="Q59" s="372"/>
      <c r="R59" s="372"/>
      <c r="S59" s="372"/>
      <c r="T59" s="372"/>
      <c r="U59" s="372"/>
      <c r="V59" s="373"/>
      <c r="W59" s="42" t="s">
        <v>0</v>
      </c>
      <c r="X59" s="43">
        <f>IFERROR(SUMPRODUCT(X54:X57*H54:H57),"0")</f>
        <v>840</v>
      </c>
      <c r="Y59" s="43">
        <f>IFERROR(SUMPRODUCT(Y54:Y57*H54:H57),"0")</f>
        <v>840</v>
      </c>
      <c r="Z59" s="42"/>
      <c r="AA59" s="67"/>
      <c r="AB59" s="67"/>
      <c r="AC59" s="67"/>
    </row>
    <row r="60" spans="1:68" ht="16.5" hidden="1" customHeight="1" x14ac:dyDescent="0.25">
      <c r="A60" s="358" t="s">
        <v>144</v>
      </c>
      <c r="B60" s="358"/>
      <c r="C60" s="358"/>
      <c r="D60" s="358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  <c r="AA60" s="65"/>
      <c r="AB60" s="65"/>
      <c r="AC60" s="82"/>
    </row>
    <row r="61" spans="1:68" ht="14.25" hidden="1" customHeight="1" x14ac:dyDescent="0.25">
      <c r="A61" s="359" t="s">
        <v>82</v>
      </c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59"/>
      <c r="R61" s="359"/>
      <c r="S61" s="359"/>
      <c r="T61" s="359"/>
      <c r="U61" s="359"/>
      <c r="V61" s="359"/>
      <c r="W61" s="359"/>
      <c r="X61" s="359"/>
      <c r="Y61" s="359"/>
      <c r="Z61" s="359"/>
      <c r="AA61" s="66"/>
      <c r="AB61" s="66"/>
      <c r="AC61" s="83"/>
    </row>
    <row r="62" spans="1:68" ht="16.5" hidden="1" customHeight="1" x14ac:dyDescent="0.25">
      <c r="A62" s="63" t="s">
        <v>145</v>
      </c>
      <c r="B62" s="63" t="s">
        <v>146</v>
      </c>
      <c r="C62" s="36">
        <v>4301071073</v>
      </c>
      <c r="D62" s="360">
        <v>4620207490822</v>
      </c>
      <c r="E62" s="360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87</v>
      </c>
      <c r="L62" s="37" t="s">
        <v>88</v>
      </c>
      <c r="M62" s="38" t="s">
        <v>86</v>
      </c>
      <c r="N62" s="38"/>
      <c r="O62" s="37">
        <v>365</v>
      </c>
      <c r="P62" s="38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362"/>
      <c r="R62" s="362"/>
      <c r="S62" s="362"/>
      <c r="T62" s="363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147</v>
      </c>
      <c r="AG62" s="81"/>
      <c r="AJ62" s="87" t="s">
        <v>89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idden="1" x14ac:dyDescent="0.2">
      <c r="A63" s="374"/>
      <c r="B63" s="374"/>
      <c r="C63" s="374"/>
      <c r="D63" s="374"/>
      <c r="E63" s="374"/>
      <c r="F63" s="374"/>
      <c r="G63" s="374"/>
      <c r="H63" s="374"/>
      <c r="I63" s="374"/>
      <c r="J63" s="374"/>
      <c r="K63" s="374"/>
      <c r="L63" s="374"/>
      <c r="M63" s="374"/>
      <c r="N63" s="374"/>
      <c r="O63" s="375"/>
      <c r="P63" s="371" t="s">
        <v>40</v>
      </c>
      <c r="Q63" s="372"/>
      <c r="R63" s="372"/>
      <c r="S63" s="372"/>
      <c r="T63" s="372"/>
      <c r="U63" s="372"/>
      <c r="V63" s="373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hidden="1" x14ac:dyDescent="0.2">
      <c r="A64" s="374"/>
      <c r="B64" s="374"/>
      <c r="C64" s="374"/>
      <c r="D64" s="374"/>
      <c r="E64" s="374"/>
      <c r="F64" s="374"/>
      <c r="G64" s="374"/>
      <c r="H64" s="374"/>
      <c r="I64" s="374"/>
      <c r="J64" s="374"/>
      <c r="K64" s="374"/>
      <c r="L64" s="374"/>
      <c r="M64" s="374"/>
      <c r="N64" s="374"/>
      <c r="O64" s="375"/>
      <c r="P64" s="371" t="s">
        <v>40</v>
      </c>
      <c r="Q64" s="372"/>
      <c r="R64" s="372"/>
      <c r="S64" s="372"/>
      <c r="T64" s="372"/>
      <c r="U64" s="372"/>
      <c r="V64" s="373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hidden="1" customHeight="1" x14ac:dyDescent="0.25">
      <c r="A65" s="359" t="s">
        <v>113</v>
      </c>
      <c r="B65" s="359"/>
      <c r="C65" s="359"/>
      <c r="D65" s="359"/>
      <c r="E65" s="359"/>
      <c r="F65" s="359"/>
      <c r="G65" s="359"/>
      <c r="H65" s="359"/>
      <c r="I65" s="359"/>
      <c r="J65" s="359"/>
      <c r="K65" s="359"/>
      <c r="L65" s="359"/>
      <c r="M65" s="359"/>
      <c r="N65" s="359"/>
      <c r="O65" s="359"/>
      <c r="P65" s="359"/>
      <c r="Q65" s="359"/>
      <c r="R65" s="359"/>
      <c r="S65" s="359"/>
      <c r="T65" s="359"/>
      <c r="U65" s="359"/>
      <c r="V65" s="359"/>
      <c r="W65" s="359"/>
      <c r="X65" s="359"/>
      <c r="Y65" s="359"/>
      <c r="Z65" s="359"/>
      <c r="AA65" s="66"/>
      <c r="AB65" s="66"/>
      <c r="AC65" s="83"/>
    </row>
    <row r="66" spans="1:68" ht="27" hidden="1" customHeight="1" x14ac:dyDescent="0.25">
      <c r="A66" s="63" t="s">
        <v>148</v>
      </c>
      <c r="B66" s="63" t="s">
        <v>149</v>
      </c>
      <c r="C66" s="36">
        <v>4301132194</v>
      </c>
      <c r="D66" s="360">
        <v>4607111039712</v>
      </c>
      <c r="E66" s="360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8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362"/>
      <c r="R66" s="362"/>
      <c r="S66" s="362"/>
      <c r="T66" s="363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150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74"/>
      <c r="B67" s="374"/>
      <c r="C67" s="374"/>
      <c r="D67" s="374"/>
      <c r="E67" s="374"/>
      <c r="F67" s="374"/>
      <c r="G67" s="374"/>
      <c r="H67" s="374"/>
      <c r="I67" s="374"/>
      <c r="J67" s="374"/>
      <c r="K67" s="374"/>
      <c r="L67" s="374"/>
      <c r="M67" s="374"/>
      <c r="N67" s="374"/>
      <c r="O67" s="375"/>
      <c r="P67" s="371" t="s">
        <v>40</v>
      </c>
      <c r="Q67" s="372"/>
      <c r="R67" s="372"/>
      <c r="S67" s="372"/>
      <c r="T67" s="372"/>
      <c r="U67" s="372"/>
      <c r="V67" s="373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hidden="1" x14ac:dyDescent="0.2">
      <c r="A68" s="374"/>
      <c r="B68" s="374"/>
      <c r="C68" s="374"/>
      <c r="D68" s="374"/>
      <c r="E68" s="374"/>
      <c r="F68" s="374"/>
      <c r="G68" s="374"/>
      <c r="H68" s="374"/>
      <c r="I68" s="374"/>
      <c r="J68" s="374"/>
      <c r="K68" s="374"/>
      <c r="L68" s="374"/>
      <c r="M68" s="374"/>
      <c r="N68" s="374"/>
      <c r="O68" s="375"/>
      <c r="P68" s="371" t="s">
        <v>40</v>
      </c>
      <c r="Q68" s="372"/>
      <c r="R68" s="372"/>
      <c r="S68" s="372"/>
      <c r="T68" s="372"/>
      <c r="U68" s="372"/>
      <c r="V68" s="373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hidden="1" customHeight="1" x14ac:dyDescent="0.25">
      <c r="A69" s="359" t="s">
        <v>151</v>
      </c>
      <c r="B69" s="359"/>
      <c r="C69" s="359"/>
      <c r="D69" s="359"/>
      <c r="E69" s="359"/>
      <c r="F69" s="359"/>
      <c r="G69" s="359"/>
      <c r="H69" s="359"/>
      <c r="I69" s="359"/>
      <c r="J69" s="359"/>
      <c r="K69" s="359"/>
      <c r="L69" s="359"/>
      <c r="M69" s="359"/>
      <c r="N69" s="359"/>
      <c r="O69" s="359"/>
      <c r="P69" s="359"/>
      <c r="Q69" s="359"/>
      <c r="R69" s="359"/>
      <c r="S69" s="359"/>
      <c r="T69" s="359"/>
      <c r="U69" s="359"/>
      <c r="V69" s="359"/>
      <c r="W69" s="359"/>
      <c r="X69" s="359"/>
      <c r="Y69" s="359"/>
      <c r="Z69" s="359"/>
      <c r="AA69" s="66"/>
      <c r="AB69" s="66"/>
      <c r="AC69" s="83"/>
    </row>
    <row r="70" spans="1:68" ht="16.5" hidden="1" customHeight="1" x14ac:dyDescent="0.25">
      <c r="A70" s="63" t="s">
        <v>152</v>
      </c>
      <c r="B70" s="63" t="s">
        <v>153</v>
      </c>
      <c r="C70" s="36">
        <v>4301136018</v>
      </c>
      <c r="D70" s="360">
        <v>4607111037008</v>
      </c>
      <c r="E70" s="360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8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362"/>
      <c r="R70" s="362"/>
      <c r="S70" s="362"/>
      <c r="T70" s="363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154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hidden="1" customHeight="1" x14ac:dyDescent="0.25">
      <c r="A71" s="63" t="s">
        <v>155</v>
      </c>
      <c r="B71" s="63" t="s">
        <v>156</v>
      </c>
      <c r="C71" s="36">
        <v>4301136015</v>
      </c>
      <c r="D71" s="360">
        <v>4607111037398</v>
      </c>
      <c r="E71" s="360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118</v>
      </c>
      <c r="L71" s="37" t="s">
        <v>88</v>
      </c>
      <c r="M71" s="38" t="s">
        <v>86</v>
      </c>
      <c r="N71" s="38"/>
      <c r="O71" s="37">
        <v>365</v>
      </c>
      <c r="P71" s="39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362"/>
      <c r="R71" s="362"/>
      <c r="S71" s="362"/>
      <c r="T71" s="363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154</v>
      </c>
      <c r="AG71" s="81"/>
      <c r="AJ71" s="87" t="s">
        <v>89</v>
      </c>
      <c r="AK71" s="87">
        <v>1</v>
      </c>
      <c r="BB71" s="134" t="s">
        <v>117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idden="1" x14ac:dyDescent="0.2">
      <c r="A72" s="374"/>
      <c r="B72" s="374"/>
      <c r="C72" s="374"/>
      <c r="D72" s="374"/>
      <c r="E72" s="374"/>
      <c r="F72" s="374"/>
      <c r="G72" s="374"/>
      <c r="H72" s="374"/>
      <c r="I72" s="374"/>
      <c r="J72" s="374"/>
      <c r="K72" s="374"/>
      <c r="L72" s="374"/>
      <c r="M72" s="374"/>
      <c r="N72" s="374"/>
      <c r="O72" s="375"/>
      <c r="P72" s="371" t="s">
        <v>40</v>
      </c>
      <c r="Q72" s="372"/>
      <c r="R72" s="372"/>
      <c r="S72" s="372"/>
      <c r="T72" s="372"/>
      <c r="U72" s="372"/>
      <c r="V72" s="373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hidden="1" x14ac:dyDescent="0.2">
      <c r="A73" s="374"/>
      <c r="B73" s="374"/>
      <c r="C73" s="374"/>
      <c r="D73" s="374"/>
      <c r="E73" s="374"/>
      <c r="F73" s="374"/>
      <c r="G73" s="374"/>
      <c r="H73" s="374"/>
      <c r="I73" s="374"/>
      <c r="J73" s="374"/>
      <c r="K73" s="374"/>
      <c r="L73" s="374"/>
      <c r="M73" s="374"/>
      <c r="N73" s="374"/>
      <c r="O73" s="375"/>
      <c r="P73" s="371" t="s">
        <v>40</v>
      </c>
      <c r="Q73" s="372"/>
      <c r="R73" s="372"/>
      <c r="S73" s="372"/>
      <c r="T73" s="372"/>
      <c r="U73" s="372"/>
      <c r="V73" s="373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hidden="1" customHeight="1" x14ac:dyDescent="0.25">
      <c r="A74" s="359" t="s">
        <v>157</v>
      </c>
      <c r="B74" s="359"/>
      <c r="C74" s="359"/>
      <c r="D74" s="359"/>
      <c r="E74" s="359"/>
      <c r="F74" s="359"/>
      <c r="G74" s="359"/>
      <c r="H74" s="359"/>
      <c r="I74" s="359"/>
      <c r="J74" s="359"/>
      <c r="K74" s="359"/>
      <c r="L74" s="359"/>
      <c r="M74" s="359"/>
      <c r="N74" s="359"/>
      <c r="O74" s="359"/>
      <c r="P74" s="359"/>
      <c r="Q74" s="359"/>
      <c r="R74" s="359"/>
      <c r="S74" s="359"/>
      <c r="T74" s="359"/>
      <c r="U74" s="359"/>
      <c r="V74" s="359"/>
      <c r="W74" s="359"/>
      <c r="X74" s="359"/>
      <c r="Y74" s="359"/>
      <c r="Z74" s="359"/>
      <c r="AA74" s="66"/>
      <c r="AB74" s="66"/>
      <c r="AC74" s="83"/>
    </row>
    <row r="75" spans="1:68" ht="27" hidden="1" customHeight="1" x14ac:dyDescent="0.25">
      <c r="A75" s="63" t="s">
        <v>158</v>
      </c>
      <c r="B75" s="63" t="s">
        <v>159</v>
      </c>
      <c r="C75" s="36">
        <v>4301135664</v>
      </c>
      <c r="D75" s="360">
        <v>4607111039705</v>
      </c>
      <c r="E75" s="360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118</v>
      </c>
      <c r="L75" s="37" t="s">
        <v>88</v>
      </c>
      <c r="M75" s="38" t="s">
        <v>86</v>
      </c>
      <c r="N75" s="38"/>
      <c r="O75" s="37">
        <v>365</v>
      </c>
      <c r="P75" s="39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362"/>
      <c r="R75" s="362"/>
      <c r="S75" s="362"/>
      <c r="T75" s="363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154</v>
      </c>
      <c r="AG75" s="81"/>
      <c r="AJ75" s="87" t="s">
        <v>89</v>
      </c>
      <c r="AK75" s="87">
        <v>1</v>
      </c>
      <c r="BB75" s="136" t="s">
        <v>117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hidden="1" customHeight="1" x14ac:dyDescent="0.25">
      <c r="A76" s="63" t="s">
        <v>160</v>
      </c>
      <c r="B76" s="63" t="s">
        <v>161</v>
      </c>
      <c r="C76" s="36">
        <v>4301135665</v>
      </c>
      <c r="D76" s="360">
        <v>4607111039729</v>
      </c>
      <c r="E76" s="360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118</v>
      </c>
      <c r="L76" s="37" t="s">
        <v>119</v>
      </c>
      <c r="M76" s="38" t="s">
        <v>86</v>
      </c>
      <c r="N76" s="38"/>
      <c r="O76" s="37">
        <v>365</v>
      </c>
      <c r="P76" s="39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362"/>
      <c r="R76" s="362"/>
      <c r="S76" s="362"/>
      <c r="T76" s="363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IFERROR(IF(X76="","",X76*0.00941),"")</f>
        <v>0</v>
      </c>
      <c r="AA76" s="68" t="s">
        <v>46</v>
      </c>
      <c r="AB76" s="69" t="s">
        <v>46</v>
      </c>
      <c r="AC76" s="137" t="s">
        <v>162</v>
      </c>
      <c r="AG76" s="81"/>
      <c r="AJ76" s="87" t="s">
        <v>120</v>
      </c>
      <c r="AK76" s="87">
        <v>14</v>
      </c>
      <c r="BB76" s="138" t="s">
        <v>117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hidden="1" customHeight="1" x14ac:dyDescent="0.25">
      <c r="A77" s="63" t="s">
        <v>163</v>
      </c>
      <c r="B77" s="63" t="s">
        <v>164</v>
      </c>
      <c r="C77" s="36">
        <v>4301135702</v>
      </c>
      <c r="D77" s="360">
        <v>4620207490228</v>
      </c>
      <c r="E77" s="360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118</v>
      </c>
      <c r="L77" s="37" t="s">
        <v>119</v>
      </c>
      <c r="M77" s="38" t="s">
        <v>86</v>
      </c>
      <c r="N77" s="38"/>
      <c r="O77" s="37">
        <v>365</v>
      </c>
      <c r="P77" s="39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362"/>
      <c r="R77" s="362"/>
      <c r="S77" s="362"/>
      <c r="T77" s="363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IFERROR(IF(X77="","",X77*0.00941),"")</f>
        <v>0</v>
      </c>
      <c r="AA77" s="68" t="s">
        <v>46</v>
      </c>
      <c r="AB77" s="69" t="s">
        <v>46</v>
      </c>
      <c r="AC77" s="139" t="s">
        <v>162</v>
      </c>
      <c r="AG77" s="81"/>
      <c r="AJ77" s="87" t="s">
        <v>120</v>
      </c>
      <c r="AK77" s="87">
        <v>14</v>
      </c>
      <c r="BB77" s="140" t="s">
        <v>117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idden="1" x14ac:dyDescent="0.2">
      <c r="A78" s="374"/>
      <c r="B78" s="374"/>
      <c r="C78" s="374"/>
      <c r="D78" s="374"/>
      <c r="E78" s="374"/>
      <c r="F78" s="374"/>
      <c r="G78" s="374"/>
      <c r="H78" s="374"/>
      <c r="I78" s="374"/>
      <c r="J78" s="374"/>
      <c r="K78" s="374"/>
      <c r="L78" s="374"/>
      <c r="M78" s="374"/>
      <c r="N78" s="374"/>
      <c r="O78" s="375"/>
      <c r="P78" s="371" t="s">
        <v>40</v>
      </c>
      <c r="Q78" s="372"/>
      <c r="R78" s="372"/>
      <c r="S78" s="372"/>
      <c r="T78" s="372"/>
      <c r="U78" s="372"/>
      <c r="V78" s="373"/>
      <c r="W78" s="42" t="s">
        <v>39</v>
      </c>
      <c r="X78" s="43">
        <f>IFERROR(SUM(X75:X77),"0")</f>
        <v>0</v>
      </c>
      <c r="Y78" s="43">
        <f>IFERROR(SUM(Y75:Y77),"0")</f>
        <v>0</v>
      </c>
      <c r="Z78" s="43">
        <f>IFERROR(IF(Z75="",0,Z75),"0")+IFERROR(IF(Z76="",0,Z76),"0")+IFERROR(IF(Z77="",0,Z77),"0")</f>
        <v>0</v>
      </c>
      <c r="AA78" s="67"/>
      <c r="AB78" s="67"/>
      <c r="AC78" s="67"/>
    </row>
    <row r="79" spans="1:68" hidden="1" x14ac:dyDescent="0.2">
      <c r="A79" s="374"/>
      <c r="B79" s="374"/>
      <c r="C79" s="374"/>
      <c r="D79" s="374"/>
      <c r="E79" s="374"/>
      <c r="F79" s="374"/>
      <c r="G79" s="374"/>
      <c r="H79" s="374"/>
      <c r="I79" s="374"/>
      <c r="J79" s="374"/>
      <c r="K79" s="374"/>
      <c r="L79" s="374"/>
      <c r="M79" s="374"/>
      <c r="N79" s="374"/>
      <c r="O79" s="375"/>
      <c r="P79" s="371" t="s">
        <v>40</v>
      </c>
      <c r="Q79" s="372"/>
      <c r="R79" s="372"/>
      <c r="S79" s="372"/>
      <c r="T79" s="372"/>
      <c r="U79" s="372"/>
      <c r="V79" s="373"/>
      <c r="W79" s="42" t="s">
        <v>0</v>
      </c>
      <c r="X79" s="43">
        <f>IFERROR(SUMPRODUCT(X75:X77*H75:H77),"0")</f>
        <v>0</v>
      </c>
      <c r="Y79" s="43">
        <f>IFERROR(SUMPRODUCT(Y75:Y77*H75:H77),"0")</f>
        <v>0</v>
      </c>
      <c r="Z79" s="42"/>
      <c r="AA79" s="67"/>
      <c r="AB79" s="67"/>
      <c r="AC79" s="67"/>
    </row>
    <row r="80" spans="1:68" ht="16.5" hidden="1" customHeight="1" x14ac:dyDescent="0.25">
      <c r="A80" s="358" t="s">
        <v>165</v>
      </c>
      <c r="B80" s="358"/>
      <c r="C80" s="358"/>
      <c r="D80" s="358"/>
      <c r="E80" s="358"/>
      <c r="F80" s="358"/>
      <c r="G80" s="358"/>
      <c r="H80" s="358"/>
      <c r="I80" s="358"/>
      <c r="J80" s="358"/>
      <c r="K80" s="358"/>
      <c r="L80" s="358"/>
      <c r="M80" s="358"/>
      <c r="N80" s="358"/>
      <c r="O80" s="358"/>
      <c r="P80" s="358"/>
      <c r="Q80" s="358"/>
      <c r="R80" s="358"/>
      <c r="S80" s="358"/>
      <c r="T80" s="358"/>
      <c r="U80" s="358"/>
      <c r="V80" s="358"/>
      <c r="W80" s="358"/>
      <c r="X80" s="358"/>
      <c r="Y80" s="358"/>
      <c r="Z80" s="358"/>
      <c r="AA80" s="65"/>
      <c r="AB80" s="65"/>
      <c r="AC80" s="82"/>
    </row>
    <row r="81" spans="1:68" ht="14.25" hidden="1" customHeight="1" x14ac:dyDescent="0.25">
      <c r="A81" s="359" t="s">
        <v>82</v>
      </c>
      <c r="B81" s="359"/>
      <c r="C81" s="359"/>
      <c r="D81" s="359"/>
      <c r="E81" s="359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59"/>
      <c r="Q81" s="359"/>
      <c r="R81" s="359"/>
      <c r="S81" s="359"/>
      <c r="T81" s="359"/>
      <c r="U81" s="359"/>
      <c r="V81" s="359"/>
      <c r="W81" s="359"/>
      <c r="X81" s="359"/>
      <c r="Y81" s="359"/>
      <c r="Z81" s="359"/>
      <c r="AA81" s="66"/>
      <c r="AB81" s="66"/>
      <c r="AC81" s="83"/>
    </row>
    <row r="82" spans="1:68" ht="27" hidden="1" customHeight="1" x14ac:dyDescent="0.25">
      <c r="A82" s="63" t="s">
        <v>166</v>
      </c>
      <c r="B82" s="63" t="s">
        <v>167</v>
      </c>
      <c r="C82" s="36">
        <v>4301070977</v>
      </c>
      <c r="D82" s="360">
        <v>4607111037411</v>
      </c>
      <c r="E82" s="360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169</v>
      </c>
      <c r="L82" s="37" t="s">
        <v>119</v>
      </c>
      <c r="M82" s="38" t="s">
        <v>86</v>
      </c>
      <c r="N82" s="38"/>
      <c r="O82" s="37">
        <v>180</v>
      </c>
      <c r="P82" s="39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62"/>
      <c r="R82" s="362"/>
      <c r="S82" s="362"/>
      <c r="T82" s="363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IFERROR(IF(X82="","",X82*0.00502),"")</f>
        <v>0</v>
      </c>
      <c r="AA82" s="68" t="s">
        <v>46</v>
      </c>
      <c r="AB82" s="69" t="s">
        <v>46</v>
      </c>
      <c r="AC82" s="141" t="s">
        <v>168</v>
      </c>
      <c r="AG82" s="81"/>
      <c r="AJ82" s="87" t="s">
        <v>120</v>
      </c>
      <c r="AK82" s="87">
        <v>18</v>
      </c>
      <c r="BB82" s="142" t="s">
        <v>70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ht="27" customHeight="1" x14ac:dyDescent="0.25">
      <c r="A83" s="63" t="s">
        <v>170</v>
      </c>
      <c r="B83" s="63" t="s">
        <v>171</v>
      </c>
      <c r="C83" s="36">
        <v>4301070981</v>
      </c>
      <c r="D83" s="360">
        <v>4607111036728</v>
      </c>
      <c r="E83" s="360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87</v>
      </c>
      <c r="L83" s="37" t="s">
        <v>119</v>
      </c>
      <c r="M83" s="38" t="s">
        <v>86</v>
      </c>
      <c r="N83" s="38"/>
      <c r="O83" s="37">
        <v>180</v>
      </c>
      <c r="P83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62"/>
      <c r="R83" s="362"/>
      <c r="S83" s="362"/>
      <c r="T83" s="363"/>
      <c r="U83" s="39" t="s">
        <v>46</v>
      </c>
      <c r="V83" s="39" t="s">
        <v>46</v>
      </c>
      <c r="W83" s="40" t="s">
        <v>39</v>
      </c>
      <c r="X83" s="58">
        <v>264</v>
      </c>
      <c r="Y83" s="55">
        <f>IFERROR(IF(X83="","",X83),"")</f>
        <v>264</v>
      </c>
      <c r="Z83" s="41">
        <f>IFERROR(IF(X83="","",X83*0.00866),"")</f>
        <v>2.2862399999999998</v>
      </c>
      <c r="AA83" s="68" t="s">
        <v>46</v>
      </c>
      <c r="AB83" s="69" t="s">
        <v>46</v>
      </c>
      <c r="AC83" s="143" t="s">
        <v>168</v>
      </c>
      <c r="AG83" s="81"/>
      <c r="AJ83" s="87" t="s">
        <v>120</v>
      </c>
      <c r="AK83" s="87">
        <v>12</v>
      </c>
      <c r="BB83" s="144" t="s">
        <v>70</v>
      </c>
      <c r="BM83" s="81">
        <f>IFERROR(X83*I83,"0")</f>
        <v>1376.2847999999999</v>
      </c>
      <c r="BN83" s="81">
        <f>IFERROR(Y83*I83,"0")</f>
        <v>1376.2847999999999</v>
      </c>
      <c r="BO83" s="81">
        <f>IFERROR(X83/J83,"0")</f>
        <v>1.8333333333333333</v>
      </c>
      <c r="BP83" s="81">
        <f>IFERROR(Y83/J83,"0")</f>
        <v>1.8333333333333333</v>
      </c>
    </row>
    <row r="84" spans="1:68" x14ac:dyDescent="0.2">
      <c r="A84" s="374"/>
      <c r="B84" s="374"/>
      <c r="C84" s="374"/>
      <c r="D84" s="374"/>
      <c r="E84" s="374"/>
      <c r="F84" s="374"/>
      <c r="G84" s="374"/>
      <c r="H84" s="374"/>
      <c r="I84" s="374"/>
      <c r="J84" s="374"/>
      <c r="K84" s="374"/>
      <c r="L84" s="374"/>
      <c r="M84" s="374"/>
      <c r="N84" s="374"/>
      <c r="O84" s="375"/>
      <c r="P84" s="371" t="s">
        <v>40</v>
      </c>
      <c r="Q84" s="372"/>
      <c r="R84" s="372"/>
      <c r="S84" s="372"/>
      <c r="T84" s="372"/>
      <c r="U84" s="372"/>
      <c r="V84" s="373"/>
      <c r="W84" s="42" t="s">
        <v>39</v>
      </c>
      <c r="X84" s="43">
        <f>IFERROR(SUM(X82:X83),"0")</f>
        <v>264</v>
      </c>
      <c r="Y84" s="43">
        <f>IFERROR(SUM(Y82:Y83),"0")</f>
        <v>264</v>
      </c>
      <c r="Z84" s="43">
        <f>IFERROR(IF(Z82="",0,Z82),"0")+IFERROR(IF(Z83="",0,Z83),"0")</f>
        <v>2.2862399999999998</v>
      </c>
      <c r="AA84" s="67"/>
      <c r="AB84" s="67"/>
      <c r="AC84" s="67"/>
    </row>
    <row r="85" spans="1:68" x14ac:dyDescent="0.2">
      <c r="A85" s="374"/>
      <c r="B85" s="374"/>
      <c r="C85" s="374"/>
      <c r="D85" s="374"/>
      <c r="E85" s="374"/>
      <c r="F85" s="374"/>
      <c r="G85" s="374"/>
      <c r="H85" s="374"/>
      <c r="I85" s="374"/>
      <c r="J85" s="374"/>
      <c r="K85" s="374"/>
      <c r="L85" s="374"/>
      <c r="M85" s="374"/>
      <c r="N85" s="374"/>
      <c r="O85" s="375"/>
      <c r="P85" s="371" t="s">
        <v>40</v>
      </c>
      <c r="Q85" s="372"/>
      <c r="R85" s="372"/>
      <c r="S85" s="372"/>
      <c r="T85" s="372"/>
      <c r="U85" s="372"/>
      <c r="V85" s="373"/>
      <c r="W85" s="42" t="s">
        <v>0</v>
      </c>
      <c r="X85" s="43">
        <f>IFERROR(SUMPRODUCT(X82:X83*H82:H83),"0")</f>
        <v>1320</v>
      </c>
      <c r="Y85" s="43">
        <f>IFERROR(SUMPRODUCT(Y82:Y83*H82:H83),"0")</f>
        <v>1320</v>
      </c>
      <c r="Z85" s="42"/>
      <c r="AA85" s="67"/>
      <c r="AB85" s="67"/>
      <c r="AC85" s="67"/>
    </row>
    <row r="86" spans="1:68" ht="16.5" hidden="1" customHeight="1" x14ac:dyDescent="0.25">
      <c r="A86" s="358" t="s">
        <v>172</v>
      </c>
      <c r="B86" s="358"/>
      <c r="C86" s="358"/>
      <c r="D86" s="358"/>
      <c r="E86" s="358"/>
      <c r="F86" s="358"/>
      <c r="G86" s="358"/>
      <c r="H86" s="358"/>
      <c r="I86" s="358"/>
      <c r="J86" s="358"/>
      <c r="K86" s="358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358"/>
      <c r="AA86" s="65"/>
      <c r="AB86" s="65"/>
      <c r="AC86" s="82"/>
    </row>
    <row r="87" spans="1:68" ht="14.25" hidden="1" customHeight="1" x14ac:dyDescent="0.25">
      <c r="A87" s="359" t="s">
        <v>157</v>
      </c>
      <c r="B87" s="359"/>
      <c r="C87" s="359"/>
      <c r="D87" s="359"/>
      <c r="E87" s="359"/>
      <c r="F87" s="359"/>
      <c r="G87" s="359"/>
      <c r="H87" s="359"/>
      <c r="I87" s="359"/>
      <c r="J87" s="359"/>
      <c r="K87" s="359"/>
      <c r="L87" s="359"/>
      <c r="M87" s="359"/>
      <c r="N87" s="359"/>
      <c r="O87" s="359"/>
      <c r="P87" s="359"/>
      <c r="Q87" s="359"/>
      <c r="R87" s="359"/>
      <c r="S87" s="359"/>
      <c r="T87" s="359"/>
      <c r="U87" s="359"/>
      <c r="V87" s="359"/>
      <c r="W87" s="359"/>
      <c r="X87" s="359"/>
      <c r="Y87" s="359"/>
      <c r="Z87" s="359"/>
      <c r="AA87" s="66"/>
      <c r="AB87" s="66"/>
      <c r="AC87" s="83"/>
    </row>
    <row r="88" spans="1:68" ht="27" customHeight="1" x14ac:dyDescent="0.25">
      <c r="A88" s="63" t="s">
        <v>173</v>
      </c>
      <c r="B88" s="63" t="s">
        <v>174</v>
      </c>
      <c r="C88" s="36">
        <v>4301135574</v>
      </c>
      <c r="D88" s="360">
        <v>4607111033659</v>
      </c>
      <c r="E88" s="360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362"/>
      <c r="R88" s="362"/>
      <c r="S88" s="362"/>
      <c r="T88" s="363"/>
      <c r="U88" s="39" t="s">
        <v>46</v>
      </c>
      <c r="V88" s="39" t="s">
        <v>46</v>
      </c>
      <c r="W88" s="40" t="s">
        <v>39</v>
      </c>
      <c r="X88" s="58">
        <v>28</v>
      </c>
      <c r="Y88" s="55">
        <f>IFERROR(IF(X88="","",X88),"")</f>
        <v>28</v>
      </c>
      <c r="Z88" s="41">
        <f>IFERROR(IF(X88="","",X88*0.01788),"")</f>
        <v>0.50063999999999997</v>
      </c>
      <c r="AA88" s="68" t="s">
        <v>46</v>
      </c>
      <c r="AB88" s="69" t="s">
        <v>46</v>
      </c>
      <c r="AC88" s="145" t="s">
        <v>175</v>
      </c>
      <c r="AG88" s="81"/>
      <c r="AJ88" s="87" t="s">
        <v>120</v>
      </c>
      <c r="AK88" s="87">
        <v>14</v>
      </c>
      <c r="BB88" s="146" t="s">
        <v>117</v>
      </c>
      <c r="BM88" s="81">
        <f>IFERROR(X88*I88,"0")</f>
        <v>120.50080000000001</v>
      </c>
      <c r="BN88" s="81">
        <f>IFERROR(Y88*I88,"0")</f>
        <v>120.50080000000001</v>
      </c>
      <c r="BO88" s="81">
        <f>IFERROR(X88/J88,"0")</f>
        <v>0.4</v>
      </c>
      <c r="BP88" s="81">
        <f>IFERROR(Y88/J88,"0")</f>
        <v>0.4</v>
      </c>
    </row>
    <row r="89" spans="1:68" x14ac:dyDescent="0.2">
      <c r="A89" s="374"/>
      <c r="B89" s="374"/>
      <c r="C89" s="374"/>
      <c r="D89" s="374"/>
      <c r="E89" s="374"/>
      <c r="F89" s="374"/>
      <c r="G89" s="374"/>
      <c r="H89" s="374"/>
      <c r="I89" s="374"/>
      <c r="J89" s="374"/>
      <c r="K89" s="374"/>
      <c r="L89" s="374"/>
      <c r="M89" s="374"/>
      <c r="N89" s="374"/>
      <c r="O89" s="375"/>
      <c r="P89" s="371" t="s">
        <v>40</v>
      </c>
      <c r="Q89" s="372"/>
      <c r="R89" s="372"/>
      <c r="S89" s="372"/>
      <c r="T89" s="372"/>
      <c r="U89" s="372"/>
      <c r="V89" s="373"/>
      <c r="W89" s="42" t="s">
        <v>39</v>
      </c>
      <c r="X89" s="43">
        <f>IFERROR(SUM(X88:X88),"0")</f>
        <v>28</v>
      </c>
      <c r="Y89" s="43">
        <f>IFERROR(SUM(Y88:Y88),"0")</f>
        <v>28</v>
      </c>
      <c r="Z89" s="43">
        <f>IFERROR(IF(Z88="",0,Z88),"0")</f>
        <v>0.50063999999999997</v>
      </c>
      <c r="AA89" s="67"/>
      <c r="AB89" s="67"/>
      <c r="AC89" s="67"/>
    </row>
    <row r="90" spans="1:68" x14ac:dyDescent="0.2">
      <c r="A90" s="374"/>
      <c r="B90" s="374"/>
      <c r="C90" s="374"/>
      <c r="D90" s="374"/>
      <c r="E90" s="374"/>
      <c r="F90" s="374"/>
      <c r="G90" s="374"/>
      <c r="H90" s="374"/>
      <c r="I90" s="374"/>
      <c r="J90" s="374"/>
      <c r="K90" s="374"/>
      <c r="L90" s="374"/>
      <c r="M90" s="374"/>
      <c r="N90" s="374"/>
      <c r="O90" s="375"/>
      <c r="P90" s="371" t="s">
        <v>40</v>
      </c>
      <c r="Q90" s="372"/>
      <c r="R90" s="372"/>
      <c r="S90" s="372"/>
      <c r="T90" s="372"/>
      <c r="U90" s="372"/>
      <c r="V90" s="373"/>
      <c r="W90" s="42" t="s">
        <v>0</v>
      </c>
      <c r="X90" s="43">
        <f>IFERROR(SUMPRODUCT(X88:X88*H88:H88),"0")</f>
        <v>100.8</v>
      </c>
      <c r="Y90" s="43">
        <f>IFERROR(SUMPRODUCT(Y88:Y88*H88:H88),"0")</f>
        <v>100.8</v>
      </c>
      <c r="Z90" s="42"/>
      <c r="AA90" s="67"/>
      <c r="AB90" s="67"/>
      <c r="AC90" s="67"/>
    </row>
    <row r="91" spans="1:68" ht="16.5" hidden="1" customHeight="1" x14ac:dyDescent="0.25">
      <c r="A91" s="358" t="s">
        <v>176</v>
      </c>
      <c r="B91" s="358"/>
      <c r="C91" s="358"/>
      <c r="D91" s="358"/>
      <c r="E91" s="358"/>
      <c r="F91" s="358"/>
      <c r="G91" s="358"/>
      <c r="H91" s="358"/>
      <c r="I91" s="358"/>
      <c r="J91" s="358"/>
      <c r="K91" s="358"/>
      <c r="L91" s="358"/>
      <c r="M91" s="358"/>
      <c r="N91" s="358"/>
      <c r="O91" s="358"/>
      <c r="P91" s="358"/>
      <c r="Q91" s="358"/>
      <c r="R91" s="358"/>
      <c r="S91" s="358"/>
      <c r="T91" s="358"/>
      <c r="U91" s="358"/>
      <c r="V91" s="358"/>
      <c r="W91" s="358"/>
      <c r="X91" s="358"/>
      <c r="Y91" s="358"/>
      <c r="Z91" s="358"/>
      <c r="AA91" s="65"/>
      <c r="AB91" s="65"/>
      <c r="AC91" s="82"/>
    </row>
    <row r="92" spans="1:68" ht="14.25" hidden="1" customHeight="1" x14ac:dyDescent="0.25">
      <c r="A92" s="359" t="s">
        <v>177</v>
      </c>
      <c r="B92" s="359"/>
      <c r="C92" s="359"/>
      <c r="D92" s="359"/>
      <c r="E92" s="359"/>
      <c r="F92" s="359"/>
      <c r="G92" s="359"/>
      <c r="H92" s="359"/>
      <c r="I92" s="359"/>
      <c r="J92" s="359"/>
      <c r="K92" s="359"/>
      <c r="L92" s="359"/>
      <c r="M92" s="359"/>
      <c r="N92" s="359"/>
      <c r="O92" s="359"/>
      <c r="P92" s="359"/>
      <c r="Q92" s="359"/>
      <c r="R92" s="359"/>
      <c r="S92" s="359"/>
      <c r="T92" s="359"/>
      <c r="U92" s="359"/>
      <c r="V92" s="359"/>
      <c r="W92" s="359"/>
      <c r="X92" s="359"/>
      <c r="Y92" s="359"/>
      <c r="Z92" s="359"/>
      <c r="AA92" s="66"/>
      <c r="AB92" s="66"/>
      <c r="AC92" s="83"/>
    </row>
    <row r="93" spans="1:68" ht="27" customHeight="1" x14ac:dyDescent="0.25">
      <c r="A93" s="63" t="s">
        <v>178</v>
      </c>
      <c r="B93" s="63" t="s">
        <v>179</v>
      </c>
      <c r="C93" s="36">
        <v>4301131047</v>
      </c>
      <c r="D93" s="360">
        <v>4607111034120</v>
      </c>
      <c r="E93" s="360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118</v>
      </c>
      <c r="L93" s="37" t="s">
        <v>119</v>
      </c>
      <c r="M93" s="38" t="s">
        <v>86</v>
      </c>
      <c r="N93" s="38"/>
      <c r="O93" s="37">
        <v>180</v>
      </c>
      <c r="P93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362"/>
      <c r="R93" s="362"/>
      <c r="S93" s="362"/>
      <c r="T93" s="363"/>
      <c r="U93" s="39" t="s">
        <v>46</v>
      </c>
      <c r="V93" s="39" t="s">
        <v>46</v>
      </c>
      <c r="W93" s="40" t="s">
        <v>39</v>
      </c>
      <c r="X93" s="58">
        <v>14</v>
      </c>
      <c r="Y93" s="55">
        <f>IFERROR(IF(X93="","",X93),"")</f>
        <v>14</v>
      </c>
      <c r="Z93" s="41">
        <f>IFERROR(IF(X93="","",X93*0.01788),"")</f>
        <v>0.25031999999999999</v>
      </c>
      <c r="AA93" s="68" t="s">
        <v>46</v>
      </c>
      <c r="AB93" s="69" t="s">
        <v>46</v>
      </c>
      <c r="AC93" s="147" t="s">
        <v>180</v>
      </c>
      <c r="AG93" s="81"/>
      <c r="AJ93" s="87" t="s">
        <v>120</v>
      </c>
      <c r="AK93" s="87">
        <v>14</v>
      </c>
      <c r="BB93" s="148" t="s">
        <v>117</v>
      </c>
      <c r="BM93" s="81">
        <f>IFERROR(X93*I93,"0")</f>
        <v>60.250400000000006</v>
      </c>
      <c r="BN93" s="81">
        <f>IFERROR(Y93*I93,"0")</f>
        <v>60.250400000000006</v>
      </c>
      <c r="BO93" s="81">
        <f>IFERROR(X93/J93,"0")</f>
        <v>0.2</v>
      </c>
      <c r="BP93" s="81">
        <f>IFERROR(Y93/J93,"0")</f>
        <v>0.2</v>
      </c>
    </row>
    <row r="94" spans="1:68" ht="27" customHeight="1" x14ac:dyDescent="0.25">
      <c r="A94" s="63" t="s">
        <v>181</v>
      </c>
      <c r="B94" s="63" t="s">
        <v>182</v>
      </c>
      <c r="C94" s="36">
        <v>4301131046</v>
      </c>
      <c r="D94" s="360">
        <v>4607111034137</v>
      </c>
      <c r="E94" s="360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118</v>
      </c>
      <c r="L94" s="37" t="s">
        <v>119</v>
      </c>
      <c r="M94" s="38" t="s">
        <v>86</v>
      </c>
      <c r="N94" s="38"/>
      <c r="O94" s="37">
        <v>180</v>
      </c>
      <c r="P94" s="3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362"/>
      <c r="R94" s="362"/>
      <c r="S94" s="362"/>
      <c r="T94" s="363"/>
      <c r="U94" s="39" t="s">
        <v>46</v>
      </c>
      <c r="V94" s="39" t="s">
        <v>46</v>
      </c>
      <c r="W94" s="40" t="s">
        <v>39</v>
      </c>
      <c r="X94" s="58">
        <v>28</v>
      </c>
      <c r="Y94" s="55">
        <f>IFERROR(IF(X94="","",X94),"")</f>
        <v>28</v>
      </c>
      <c r="Z94" s="41">
        <f>IFERROR(IF(X94="","",X94*0.01788),"")</f>
        <v>0.50063999999999997</v>
      </c>
      <c r="AA94" s="68" t="s">
        <v>46</v>
      </c>
      <c r="AB94" s="69" t="s">
        <v>46</v>
      </c>
      <c r="AC94" s="149" t="s">
        <v>183</v>
      </c>
      <c r="AG94" s="81"/>
      <c r="AJ94" s="87" t="s">
        <v>120</v>
      </c>
      <c r="AK94" s="87">
        <v>14</v>
      </c>
      <c r="BB94" s="150" t="s">
        <v>117</v>
      </c>
      <c r="BM94" s="81">
        <f>IFERROR(X94*I94,"0")</f>
        <v>120.50080000000001</v>
      </c>
      <c r="BN94" s="81">
        <f>IFERROR(Y94*I94,"0")</f>
        <v>120.50080000000001</v>
      </c>
      <c r="BO94" s="81">
        <f>IFERROR(X94/J94,"0")</f>
        <v>0.4</v>
      </c>
      <c r="BP94" s="81">
        <f>IFERROR(Y94/J94,"0")</f>
        <v>0.4</v>
      </c>
    </row>
    <row r="95" spans="1:68" x14ac:dyDescent="0.2">
      <c r="A95" s="374"/>
      <c r="B95" s="374"/>
      <c r="C95" s="374"/>
      <c r="D95" s="374"/>
      <c r="E95" s="374"/>
      <c r="F95" s="374"/>
      <c r="G95" s="374"/>
      <c r="H95" s="374"/>
      <c r="I95" s="374"/>
      <c r="J95" s="374"/>
      <c r="K95" s="374"/>
      <c r="L95" s="374"/>
      <c r="M95" s="374"/>
      <c r="N95" s="374"/>
      <c r="O95" s="375"/>
      <c r="P95" s="371" t="s">
        <v>40</v>
      </c>
      <c r="Q95" s="372"/>
      <c r="R95" s="372"/>
      <c r="S95" s="372"/>
      <c r="T95" s="372"/>
      <c r="U95" s="372"/>
      <c r="V95" s="373"/>
      <c r="W95" s="42" t="s">
        <v>39</v>
      </c>
      <c r="X95" s="43">
        <f>IFERROR(SUM(X93:X94),"0")</f>
        <v>42</v>
      </c>
      <c r="Y95" s="43">
        <f>IFERROR(SUM(Y93:Y94),"0")</f>
        <v>42</v>
      </c>
      <c r="Z95" s="43">
        <f>IFERROR(IF(Z93="",0,Z93),"0")+IFERROR(IF(Z94="",0,Z94),"0")</f>
        <v>0.75095999999999996</v>
      </c>
      <c r="AA95" s="67"/>
      <c r="AB95" s="67"/>
      <c r="AC95" s="67"/>
    </row>
    <row r="96" spans="1:68" x14ac:dyDescent="0.2">
      <c r="A96" s="374"/>
      <c r="B96" s="374"/>
      <c r="C96" s="374"/>
      <c r="D96" s="374"/>
      <c r="E96" s="374"/>
      <c r="F96" s="374"/>
      <c r="G96" s="374"/>
      <c r="H96" s="374"/>
      <c r="I96" s="374"/>
      <c r="J96" s="374"/>
      <c r="K96" s="374"/>
      <c r="L96" s="374"/>
      <c r="M96" s="374"/>
      <c r="N96" s="374"/>
      <c r="O96" s="375"/>
      <c r="P96" s="371" t="s">
        <v>40</v>
      </c>
      <c r="Q96" s="372"/>
      <c r="R96" s="372"/>
      <c r="S96" s="372"/>
      <c r="T96" s="372"/>
      <c r="U96" s="372"/>
      <c r="V96" s="373"/>
      <c r="W96" s="42" t="s">
        <v>0</v>
      </c>
      <c r="X96" s="43">
        <f>IFERROR(SUMPRODUCT(X93:X94*H93:H94),"0")</f>
        <v>151.19999999999999</v>
      </c>
      <c r="Y96" s="43">
        <f>IFERROR(SUMPRODUCT(Y93:Y94*H93:H94),"0")</f>
        <v>151.19999999999999</v>
      </c>
      <c r="Z96" s="42"/>
      <c r="AA96" s="67"/>
      <c r="AB96" s="67"/>
      <c r="AC96" s="67"/>
    </row>
    <row r="97" spans="1:68" ht="16.5" hidden="1" customHeight="1" x14ac:dyDescent="0.25">
      <c r="A97" s="358" t="s">
        <v>184</v>
      </c>
      <c r="B97" s="358"/>
      <c r="C97" s="358"/>
      <c r="D97" s="358"/>
      <c r="E97" s="358"/>
      <c r="F97" s="358"/>
      <c r="G97" s="358"/>
      <c r="H97" s="358"/>
      <c r="I97" s="358"/>
      <c r="J97" s="358"/>
      <c r="K97" s="358"/>
      <c r="L97" s="358"/>
      <c r="M97" s="358"/>
      <c r="N97" s="358"/>
      <c r="O97" s="358"/>
      <c r="P97" s="358"/>
      <c r="Q97" s="358"/>
      <c r="R97" s="358"/>
      <c r="S97" s="358"/>
      <c r="T97" s="358"/>
      <c r="U97" s="358"/>
      <c r="V97" s="358"/>
      <c r="W97" s="358"/>
      <c r="X97" s="358"/>
      <c r="Y97" s="358"/>
      <c r="Z97" s="358"/>
      <c r="AA97" s="65"/>
      <c r="AB97" s="65"/>
      <c r="AC97" s="82"/>
    </row>
    <row r="98" spans="1:68" ht="14.25" hidden="1" customHeight="1" x14ac:dyDescent="0.25">
      <c r="A98" s="359" t="s">
        <v>157</v>
      </c>
      <c r="B98" s="359"/>
      <c r="C98" s="359"/>
      <c r="D98" s="359"/>
      <c r="E98" s="359"/>
      <c r="F98" s="359"/>
      <c r="G98" s="359"/>
      <c r="H98" s="359"/>
      <c r="I98" s="359"/>
      <c r="J98" s="359"/>
      <c r="K98" s="359"/>
      <c r="L98" s="359"/>
      <c r="M98" s="359"/>
      <c r="N98" s="359"/>
      <c r="O98" s="359"/>
      <c r="P98" s="359"/>
      <c r="Q98" s="359"/>
      <c r="R98" s="359"/>
      <c r="S98" s="359"/>
      <c r="T98" s="359"/>
      <c r="U98" s="359"/>
      <c r="V98" s="359"/>
      <c r="W98" s="359"/>
      <c r="X98" s="359"/>
      <c r="Y98" s="359"/>
      <c r="Z98" s="359"/>
      <c r="AA98" s="66"/>
      <c r="AB98" s="66"/>
      <c r="AC98" s="83"/>
    </row>
    <row r="99" spans="1:68" ht="27" hidden="1" customHeight="1" x14ac:dyDescent="0.25">
      <c r="A99" s="63" t="s">
        <v>185</v>
      </c>
      <c r="B99" s="63" t="s">
        <v>186</v>
      </c>
      <c r="C99" s="36">
        <v>4301135763</v>
      </c>
      <c r="D99" s="360">
        <v>4620207491027</v>
      </c>
      <c r="E99" s="360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39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362"/>
      <c r="R99" s="362"/>
      <c r="S99" s="362"/>
      <c r="T99" s="363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ref="Y99:Y104" si="6">IFERROR(IF(X99="","",X99),"")</f>
        <v>0</v>
      </c>
      <c r="Z99" s="41">
        <f t="shared" ref="Z99:Z104" si="7">IFERROR(IF(X99="","",X99*0.01788),"")</f>
        <v>0</v>
      </c>
      <c r="AA99" s="68" t="s">
        <v>46</v>
      </c>
      <c r="AB99" s="69" t="s">
        <v>46</v>
      </c>
      <c r="AC99" s="151" t="s">
        <v>175</v>
      </c>
      <c r="AG99" s="81"/>
      <c r="AJ99" s="87" t="s">
        <v>120</v>
      </c>
      <c r="AK99" s="87">
        <v>14</v>
      </c>
      <c r="BB99" s="152" t="s">
        <v>117</v>
      </c>
      <c r="BM99" s="81">
        <f t="shared" ref="BM99:BM104" si="8">IFERROR(X99*I99,"0")</f>
        <v>0</v>
      </c>
      <c r="BN99" s="81">
        <f t="shared" ref="BN99:BN104" si="9">IFERROR(Y99*I99,"0")</f>
        <v>0</v>
      </c>
      <c r="BO99" s="81">
        <f t="shared" ref="BO99:BO104" si="10">IFERROR(X99/J99,"0")</f>
        <v>0</v>
      </c>
      <c r="BP99" s="81">
        <f t="shared" ref="BP99:BP104" si="11">IFERROR(Y99/J99,"0")</f>
        <v>0</v>
      </c>
    </row>
    <row r="100" spans="1:68" ht="27" customHeight="1" x14ac:dyDescent="0.25">
      <c r="A100" s="63" t="s">
        <v>187</v>
      </c>
      <c r="B100" s="63" t="s">
        <v>188</v>
      </c>
      <c r="C100" s="36">
        <v>4301135793</v>
      </c>
      <c r="D100" s="360">
        <v>4620207491003</v>
      </c>
      <c r="E100" s="360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118</v>
      </c>
      <c r="L100" s="37" t="s">
        <v>119</v>
      </c>
      <c r="M100" s="38" t="s">
        <v>86</v>
      </c>
      <c r="N100" s="38"/>
      <c r="O100" s="37">
        <v>180</v>
      </c>
      <c r="P100" s="40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362"/>
      <c r="R100" s="362"/>
      <c r="S100" s="362"/>
      <c r="T100" s="363"/>
      <c r="U100" s="39" t="s">
        <v>46</v>
      </c>
      <c r="V100" s="39" t="s">
        <v>46</v>
      </c>
      <c r="W100" s="40" t="s">
        <v>39</v>
      </c>
      <c r="X100" s="58">
        <v>56</v>
      </c>
      <c r="Y100" s="55">
        <f t="shared" si="6"/>
        <v>56</v>
      </c>
      <c r="Z100" s="41">
        <f t="shared" si="7"/>
        <v>1.0012799999999999</v>
      </c>
      <c r="AA100" s="68" t="s">
        <v>46</v>
      </c>
      <c r="AB100" s="69" t="s">
        <v>46</v>
      </c>
      <c r="AC100" s="153" t="s">
        <v>175</v>
      </c>
      <c r="AG100" s="81"/>
      <c r="AJ100" s="87" t="s">
        <v>120</v>
      </c>
      <c r="AK100" s="87">
        <v>14</v>
      </c>
      <c r="BB100" s="154" t="s">
        <v>117</v>
      </c>
      <c r="BM100" s="81">
        <f t="shared" si="8"/>
        <v>200.6816</v>
      </c>
      <c r="BN100" s="81">
        <f t="shared" si="9"/>
        <v>200.6816</v>
      </c>
      <c r="BO100" s="81">
        <f t="shared" si="10"/>
        <v>0.8</v>
      </c>
      <c r="BP100" s="81">
        <f t="shared" si="11"/>
        <v>0.8</v>
      </c>
    </row>
    <row r="101" spans="1:68" ht="27" customHeight="1" x14ac:dyDescent="0.25">
      <c r="A101" s="63" t="s">
        <v>189</v>
      </c>
      <c r="B101" s="63" t="s">
        <v>190</v>
      </c>
      <c r="C101" s="36">
        <v>4301135768</v>
      </c>
      <c r="D101" s="360">
        <v>4620207491034</v>
      </c>
      <c r="E101" s="360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118</v>
      </c>
      <c r="L101" s="37" t="s">
        <v>88</v>
      </c>
      <c r="M101" s="38" t="s">
        <v>86</v>
      </c>
      <c r="N101" s="38"/>
      <c r="O101" s="37">
        <v>180</v>
      </c>
      <c r="P101" s="401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362"/>
      <c r="R101" s="362"/>
      <c r="S101" s="362"/>
      <c r="T101" s="363"/>
      <c r="U101" s="39" t="s">
        <v>46</v>
      </c>
      <c r="V101" s="39" t="s">
        <v>46</v>
      </c>
      <c r="W101" s="40" t="s">
        <v>39</v>
      </c>
      <c r="X101" s="58">
        <v>28</v>
      </c>
      <c r="Y101" s="55">
        <f t="shared" si="6"/>
        <v>28</v>
      </c>
      <c r="Z101" s="41">
        <f t="shared" si="7"/>
        <v>0.50063999999999997</v>
      </c>
      <c r="AA101" s="68" t="s">
        <v>46</v>
      </c>
      <c r="AB101" s="69" t="s">
        <v>46</v>
      </c>
      <c r="AC101" s="155" t="s">
        <v>191</v>
      </c>
      <c r="AG101" s="81"/>
      <c r="AJ101" s="87" t="s">
        <v>89</v>
      </c>
      <c r="AK101" s="87">
        <v>1</v>
      </c>
      <c r="BB101" s="156" t="s">
        <v>117</v>
      </c>
      <c r="BM101" s="81">
        <f t="shared" si="8"/>
        <v>100.3408</v>
      </c>
      <c r="BN101" s="81">
        <f t="shared" si="9"/>
        <v>100.3408</v>
      </c>
      <c r="BO101" s="81">
        <f t="shared" si="10"/>
        <v>0.4</v>
      </c>
      <c r="BP101" s="81">
        <f t="shared" si="11"/>
        <v>0.4</v>
      </c>
    </row>
    <row r="102" spans="1:68" ht="27" customHeight="1" x14ac:dyDescent="0.25">
      <c r="A102" s="63" t="s">
        <v>192</v>
      </c>
      <c r="B102" s="63" t="s">
        <v>193</v>
      </c>
      <c r="C102" s="36">
        <v>4301135760</v>
      </c>
      <c r="D102" s="360">
        <v>4620207491010</v>
      </c>
      <c r="E102" s="360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118</v>
      </c>
      <c r="L102" s="37" t="s">
        <v>119</v>
      </c>
      <c r="M102" s="38" t="s">
        <v>86</v>
      </c>
      <c r="N102" s="38"/>
      <c r="O102" s="37">
        <v>180</v>
      </c>
      <c r="P102" s="40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362"/>
      <c r="R102" s="362"/>
      <c r="S102" s="362"/>
      <c r="T102" s="363"/>
      <c r="U102" s="39" t="s">
        <v>46</v>
      </c>
      <c r="V102" s="39" t="s">
        <v>46</v>
      </c>
      <c r="W102" s="40" t="s">
        <v>39</v>
      </c>
      <c r="X102" s="58">
        <v>70</v>
      </c>
      <c r="Y102" s="55">
        <f t="shared" si="6"/>
        <v>70</v>
      </c>
      <c r="Z102" s="41">
        <f t="shared" si="7"/>
        <v>1.2516</v>
      </c>
      <c r="AA102" s="68" t="s">
        <v>46</v>
      </c>
      <c r="AB102" s="69" t="s">
        <v>46</v>
      </c>
      <c r="AC102" s="157" t="s">
        <v>175</v>
      </c>
      <c r="AG102" s="81"/>
      <c r="AJ102" s="87" t="s">
        <v>120</v>
      </c>
      <c r="AK102" s="87">
        <v>14</v>
      </c>
      <c r="BB102" s="158" t="s">
        <v>117</v>
      </c>
      <c r="BM102" s="81">
        <f t="shared" si="8"/>
        <v>250.852</v>
      </c>
      <c r="BN102" s="81">
        <f t="shared" si="9"/>
        <v>250.852</v>
      </c>
      <c r="BO102" s="81">
        <f t="shared" si="10"/>
        <v>1</v>
      </c>
      <c r="BP102" s="81">
        <f t="shared" si="11"/>
        <v>1</v>
      </c>
    </row>
    <row r="103" spans="1:68" ht="27" hidden="1" customHeight="1" x14ac:dyDescent="0.25">
      <c r="A103" s="63" t="s">
        <v>194</v>
      </c>
      <c r="B103" s="63" t="s">
        <v>195</v>
      </c>
      <c r="C103" s="36">
        <v>4301135571</v>
      </c>
      <c r="D103" s="360">
        <v>4607111035028</v>
      </c>
      <c r="E103" s="360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118</v>
      </c>
      <c r="L103" s="37" t="s">
        <v>88</v>
      </c>
      <c r="M103" s="38" t="s">
        <v>86</v>
      </c>
      <c r="N103" s="38"/>
      <c r="O103" s="37">
        <v>180</v>
      </c>
      <c r="P103" s="40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362"/>
      <c r="R103" s="362"/>
      <c r="S103" s="362"/>
      <c r="T103" s="363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175</v>
      </c>
      <c r="AG103" s="81"/>
      <c r="AJ103" s="87" t="s">
        <v>89</v>
      </c>
      <c r="AK103" s="87">
        <v>1</v>
      </c>
      <c r="BB103" s="160" t="s">
        <v>117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hidden="1" customHeight="1" x14ac:dyDescent="0.25">
      <c r="A104" s="63" t="s">
        <v>196</v>
      </c>
      <c r="B104" s="63" t="s">
        <v>197</v>
      </c>
      <c r="C104" s="36">
        <v>4301135285</v>
      </c>
      <c r="D104" s="360">
        <v>4607111036407</v>
      </c>
      <c r="E104" s="360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40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362"/>
      <c r="R104" s="362"/>
      <c r="S104" s="362"/>
      <c r="T104" s="363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 t="shared" si="7"/>
        <v>0</v>
      </c>
      <c r="AA104" s="68" t="s">
        <v>46</v>
      </c>
      <c r="AB104" s="69" t="s">
        <v>46</v>
      </c>
      <c r="AC104" s="161" t="s">
        <v>198</v>
      </c>
      <c r="AG104" s="81"/>
      <c r="AJ104" s="87" t="s">
        <v>120</v>
      </c>
      <c r="AK104" s="87">
        <v>14</v>
      </c>
      <c r="BB104" s="162" t="s">
        <v>117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x14ac:dyDescent="0.2">
      <c r="A105" s="374"/>
      <c r="B105" s="374"/>
      <c r="C105" s="374"/>
      <c r="D105" s="374"/>
      <c r="E105" s="374"/>
      <c r="F105" s="374"/>
      <c r="G105" s="374"/>
      <c r="H105" s="374"/>
      <c r="I105" s="374"/>
      <c r="J105" s="374"/>
      <c r="K105" s="374"/>
      <c r="L105" s="374"/>
      <c r="M105" s="374"/>
      <c r="N105" s="374"/>
      <c r="O105" s="375"/>
      <c r="P105" s="371" t="s">
        <v>40</v>
      </c>
      <c r="Q105" s="372"/>
      <c r="R105" s="372"/>
      <c r="S105" s="372"/>
      <c r="T105" s="372"/>
      <c r="U105" s="372"/>
      <c r="V105" s="373"/>
      <c r="W105" s="42" t="s">
        <v>39</v>
      </c>
      <c r="X105" s="43">
        <f>IFERROR(SUM(X99:X104),"0")</f>
        <v>154</v>
      </c>
      <c r="Y105" s="43">
        <f>IFERROR(SUM(Y99:Y104),"0")</f>
        <v>154</v>
      </c>
      <c r="Z105" s="43">
        <f>IFERROR(IF(Z99="",0,Z99),"0")+IFERROR(IF(Z100="",0,Z100),"0")+IFERROR(IF(Z101="",0,Z101),"0")+IFERROR(IF(Z102="",0,Z102),"0")+IFERROR(IF(Z103="",0,Z103),"0")+IFERROR(IF(Z104="",0,Z104),"0")</f>
        <v>2.75352</v>
      </c>
      <c r="AA105" s="67"/>
      <c r="AB105" s="67"/>
      <c r="AC105" s="67"/>
    </row>
    <row r="106" spans="1:68" x14ac:dyDescent="0.2">
      <c r="A106" s="374"/>
      <c r="B106" s="374"/>
      <c r="C106" s="374"/>
      <c r="D106" s="374"/>
      <c r="E106" s="374"/>
      <c r="F106" s="374"/>
      <c r="G106" s="374"/>
      <c r="H106" s="374"/>
      <c r="I106" s="374"/>
      <c r="J106" s="374"/>
      <c r="K106" s="374"/>
      <c r="L106" s="374"/>
      <c r="M106" s="374"/>
      <c r="N106" s="374"/>
      <c r="O106" s="375"/>
      <c r="P106" s="371" t="s">
        <v>40</v>
      </c>
      <c r="Q106" s="372"/>
      <c r="R106" s="372"/>
      <c r="S106" s="372"/>
      <c r="T106" s="372"/>
      <c r="U106" s="372"/>
      <c r="V106" s="373"/>
      <c r="W106" s="42" t="s">
        <v>0</v>
      </c>
      <c r="X106" s="43">
        <f>IFERROR(SUMPRODUCT(X99:X104*H99:H104),"0")</f>
        <v>443.52</v>
      </c>
      <c r="Y106" s="43">
        <f>IFERROR(SUMPRODUCT(Y99:Y104*H99:H104),"0")</f>
        <v>443.52</v>
      </c>
      <c r="Z106" s="42"/>
      <c r="AA106" s="67"/>
      <c r="AB106" s="67"/>
      <c r="AC106" s="67"/>
    </row>
    <row r="107" spans="1:68" ht="16.5" hidden="1" customHeight="1" x14ac:dyDescent="0.25">
      <c r="A107" s="358" t="s">
        <v>199</v>
      </c>
      <c r="B107" s="358"/>
      <c r="C107" s="358"/>
      <c r="D107" s="358"/>
      <c r="E107" s="358"/>
      <c r="F107" s="358"/>
      <c r="G107" s="358"/>
      <c r="H107" s="358"/>
      <c r="I107" s="358"/>
      <c r="J107" s="358"/>
      <c r="K107" s="358"/>
      <c r="L107" s="358"/>
      <c r="M107" s="358"/>
      <c r="N107" s="358"/>
      <c r="O107" s="358"/>
      <c r="P107" s="358"/>
      <c r="Q107" s="358"/>
      <c r="R107" s="358"/>
      <c r="S107" s="358"/>
      <c r="T107" s="358"/>
      <c r="U107" s="358"/>
      <c r="V107" s="358"/>
      <c r="W107" s="358"/>
      <c r="X107" s="358"/>
      <c r="Y107" s="358"/>
      <c r="Z107" s="358"/>
      <c r="AA107" s="65"/>
      <c r="AB107" s="65"/>
      <c r="AC107" s="82"/>
    </row>
    <row r="108" spans="1:68" ht="14.25" hidden="1" customHeight="1" x14ac:dyDescent="0.25">
      <c r="A108" s="359" t="s">
        <v>151</v>
      </c>
      <c r="B108" s="359"/>
      <c r="C108" s="359"/>
      <c r="D108" s="359"/>
      <c r="E108" s="359"/>
      <c r="F108" s="359"/>
      <c r="G108" s="359"/>
      <c r="H108" s="359"/>
      <c r="I108" s="359"/>
      <c r="J108" s="359"/>
      <c r="K108" s="359"/>
      <c r="L108" s="359"/>
      <c r="M108" s="359"/>
      <c r="N108" s="359"/>
      <c r="O108" s="359"/>
      <c r="P108" s="359"/>
      <c r="Q108" s="359"/>
      <c r="R108" s="359"/>
      <c r="S108" s="359"/>
      <c r="T108" s="359"/>
      <c r="U108" s="359"/>
      <c r="V108" s="359"/>
      <c r="W108" s="359"/>
      <c r="X108" s="359"/>
      <c r="Y108" s="359"/>
      <c r="Z108" s="359"/>
      <c r="AA108" s="66"/>
      <c r="AB108" s="66"/>
      <c r="AC108" s="83"/>
    </row>
    <row r="109" spans="1:68" ht="27" customHeight="1" x14ac:dyDescent="0.25">
      <c r="A109" s="63" t="s">
        <v>200</v>
      </c>
      <c r="B109" s="63" t="s">
        <v>201</v>
      </c>
      <c r="C109" s="36">
        <v>4301136070</v>
      </c>
      <c r="D109" s="360">
        <v>4607025784012</v>
      </c>
      <c r="E109" s="360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118</v>
      </c>
      <c r="L109" s="37" t="s">
        <v>119</v>
      </c>
      <c r="M109" s="38" t="s">
        <v>86</v>
      </c>
      <c r="N109" s="38"/>
      <c r="O109" s="37">
        <v>180</v>
      </c>
      <c r="P109" s="40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362"/>
      <c r="R109" s="362"/>
      <c r="S109" s="362"/>
      <c r="T109" s="363"/>
      <c r="U109" s="39" t="s">
        <v>46</v>
      </c>
      <c r="V109" s="39" t="s">
        <v>46</v>
      </c>
      <c r="W109" s="40" t="s">
        <v>39</v>
      </c>
      <c r="X109" s="58">
        <v>42</v>
      </c>
      <c r="Y109" s="55">
        <f>IFERROR(IF(X109="","",X109),"")</f>
        <v>42</v>
      </c>
      <c r="Z109" s="41">
        <f>IFERROR(IF(X109="","",X109*0.00936),"")</f>
        <v>0.39312000000000002</v>
      </c>
      <c r="AA109" s="68" t="s">
        <v>46</v>
      </c>
      <c r="AB109" s="69" t="s">
        <v>46</v>
      </c>
      <c r="AC109" s="163" t="s">
        <v>202</v>
      </c>
      <c r="AG109" s="81"/>
      <c r="AJ109" s="87" t="s">
        <v>120</v>
      </c>
      <c r="AK109" s="87">
        <v>14</v>
      </c>
      <c r="BB109" s="164" t="s">
        <v>117</v>
      </c>
      <c r="BM109" s="81">
        <f>IFERROR(X109*I109,"0")</f>
        <v>104.63040000000001</v>
      </c>
      <c r="BN109" s="81">
        <f>IFERROR(Y109*I109,"0")</f>
        <v>104.63040000000001</v>
      </c>
      <c r="BO109" s="81">
        <f>IFERROR(X109/J109,"0")</f>
        <v>0.33333333333333331</v>
      </c>
      <c r="BP109" s="81">
        <f>IFERROR(Y109/J109,"0")</f>
        <v>0.33333333333333331</v>
      </c>
    </row>
    <row r="110" spans="1:68" ht="27" hidden="1" customHeight="1" x14ac:dyDescent="0.25">
      <c r="A110" s="63" t="s">
        <v>203</v>
      </c>
      <c r="B110" s="63" t="s">
        <v>204</v>
      </c>
      <c r="C110" s="36">
        <v>4301136079</v>
      </c>
      <c r="D110" s="360">
        <v>4607025784319</v>
      </c>
      <c r="E110" s="360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118</v>
      </c>
      <c r="L110" s="37" t="s">
        <v>88</v>
      </c>
      <c r="M110" s="38" t="s">
        <v>86</v>
      </c>
      <c r="N110" s="38"/>
      <c r="O110" s="37">
        <v>180</v>
      </c>
      <c r="P110" s="40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362"/>
      <c r="R110" s="362"/>
      <c r="S110" s="362"/>
      <c r="T110" s="363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175</v>
      </c>
      <c r="AG110" s="81"/>
      <c r="AJ110" s="87" t="s">
        <v>89</v>
      </c>
      <c r="AK110" s="87">
        <v>1</v>
      </c>
      <c r="BB110" s="166" t="s">
        <v>117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x14ac:dyDescent="0.2">
      <c r="A111" s="374"/>
      <c r="B111" s="374"/>
      <c r="C111" s="374"/>
      <c r="D111" s="374"/>
      <c r="E111" s="374"/>
      <c r="F111" s="374"/>
      <c r="G111" s="374"/>
      <c r="H111" s="374"/>
      <c r="I111" s="374"/>
      <c r="J111" s="374"/>
      <c r="K111" s="374"/>
      <c r="L111" s="374"/>
      <c r="M111" s="374"/>
      <c r="N111" s="374"/>
      <c r="O111" s="375"/>
      <c r="P111" s="371" t="s">
        <v>40</v>
      </c>
      <c r="Q111" s="372"/>
      <c r="R111" s="372"/>
      <c r="S111" s="372"/>
      <c r="T111" s="372"/>
      <c r="U111" s="372"/>
      <c r="V111" s="373"/>
      <c r="W111" s="42" t="s">
        <v>39</v>
      </c>
      <c r="X111" s="43">
        <f>IFERROR(SUM(X109:X110),"0")</f>
        <v>42</v>
      </c>
      <c r="Y111" s="43">
        <f>IFERROR(SUM(Y109:Y110),"0")</f>
        <v>42</v>
      </c>
      <c r="Z111" s="43">
        <f>IFERROR(IF(Z109="",0,Z109),"0")+IFERROR(IF(Z110="",0,Z110),"0")</f>
        <v>0.39312000000000002</v>
      </c>
      <c r="AA111" s="67"/>
      <c r="AB111" s="67"/>
      <c r="AC111" s="67"/>
    </row>
    <row r="112" spans="1:68" x14ac:dyDescent="0.2">
      <c r="A112" s="374"/>
      <c r="B112" s="374"/>
      <c r="C112" s="374"/>
      <c r="D112" s="374"/>
      <c r="E112" s="374"/>
      <c r="F112" s="374"/>
      <c r="G112" s="374"/>
      <c r="H112" s="374"/>
      <c r="I112" s="374"/>
      <c r="J112" s="374"/>
      <c r="K112" s="374"/>
      <c r="L112" s="374"/>
      <c r="M112" s="374"/>
      <c r="N112" s="374"/>
      <c r="O112" s="375"/>
      <c r="P112" s="371" t="s">
        <v>40</v>
      </c>
      <c r="Q112" s="372"/>
      <c r="R112" s="372"/>
      <c r="S112" s="372"/>
      <c r="T112" s="372"/>
      <c r="U112" s="372"/>
      <c r="V112" s="373"/>
      <c r="W112" s="42" t="s">
        <v>0</v>
      </c>
      <c r="X112" s="43">
        <f>IFERROR(SUMPRODUCT(X109:X110*H109:H110),"0")</f>
        <v>90.72</v>
      </c>
      <c r="Y112" s="43">
        <f>IFERROR(SUMPRODUCT(Y109:Y110*H109:H110),"0")</f>
        <v>90.72</v>
      </c>
      <c r="Z112" s="42"/>
      <c r="AA112" s="67"/>
      <c r="AB112" s="67"/>
      <c r="AC112" s="67"/>
    </row>
    <row r="113" spans="1:68" ht="16.5" hidden="1" customHeight="1" x14ac:dyDescent="0.25">
      <c r="A113" s="358" t="s">
        <v>205</v>
      </c>
      <c r="B113" s="358"/>
      <c r="C113" s="358"/>
      <c r="D113" s="358"/>
      <c r="E113" s="358"/>
      <c r="F113" s="358"/>
      <c r="G113" s="358"/>
      <c r="H113" s="358"/>
      <c r="I113" s="358"/>
      <c r="J113" s="358"/>
      <c r="K113" s="358"/>
      <c r="L113" s="358"/>
      <c r="M113" s="358"/>
      <c r="N113" s="358"/>
      <c r="O113" s="358"/>
      <c r="P113" s="358"/>
      <c r="Q113" s="358"/>
      <c r="R113" s="358"/>
      <c r="S113" s="358"/>
      <c r="T113" s="358"/>
      <c r="U113" s="358"/>
      <c r="V113" s="358"/>
      <c r="W113" s="358"/>
      <c r="X113" s="358"/>
      <c r="Y113" s="358"/>
      <c r="Z113" s="358"/>
      <c r="AA113" s="65"/>
      <c r="AB113" s="65"/>
      <c r="AC113" s="82"/>
    </row>
    <row r="114" spans="1:68" ht="14.25" hidden="1" customHeight="1" x14ac:dyDescent="0.25">
      <c r="A114" s="359" t="s">
        <v>82</v>
      </c>
      <c r="B114" s="359"/>
      <c r="C114" s="359"/>
      <c r="D114" s="359"/>
      <c r="E114" s="359"/>
      <c r="F114" s="359"/>
      <c r="G114" s="359"/>
      <c r="H114" s="359"/>
      <c r="I114" s="359"/>
      <c r="J114" s="359"/>
      <c r="K114" s="359"/>
      <c r="L114" s="359"/>
      <c r="M114" s="359"/>
      <c r="N114" s="359"/>
      <c r="O114" s="359"/>
      <c r="P114" s="359"/>
      <c r="Q114" s="359"/>
      <c r="R114" s="359"/>
      <c r="S114" s="359"/>
      <c r="T114" s="359"/>
      <c r="U114" s="359"/>
      <c r="V114" s="359"/>
      <c r="W114" s="359"/>
      <c r="X114" s="359"/>
      <c r="Y114" s="359"/>
      <c r="Z114" s="359"/>
      <c r="AA114" s="66"/>
      <c r="AB114" s="66"/>
      <c r="AC114" s="83"/>
    </row>
    <row r="115" spans="1:68" ht="27" customHeight="1" x14ac:dyDescent="0.25">
      <c r="A115" s="63" t="s">
        <v>206</v>
      </c>
      <c r="B115" s="63" t="s">
        <v>207</v>
      </c>
      <c r="C115" s="36">
        <v>4301071074</v>
      </c>
      <c r="D115" s="360">
        <v>4620207491157</v>
      </c>
      <c r="E115" s="360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87</v>
      </c>
      <c r="L115" s="37" t="s">
        <v>119</v>
      </c>
      <c r="M115" s="38" t="s">
        <v>86</v>
      </c>
      <c r="N115" s="38"/>
      <c r="O115" s="37">
        <v>180</v>
      </c>
      <c r="P115" s="40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62"/>
      <c r="R115" s="362"/>
      <c r="S115" s="362"/>
      <c r="T115" s="363"/>
      <c r="U115" s="39" t="s">
        <v>46</v>
      </c>
      <c r="V115" s="39" t="s">
        <v>46</v>
      </c>
      <c r="W115" s="40" t="s">
        <v>39</v>
      </c>
      <c r="X115" s="58">
        <v>72</v>
      </c>
      <c r="Y115" s="55">
        <f t="shared" ref="Y115:Y122" si="12">IFERROR(IF(X115="","",X115),"")</f>
        <v>72</v>
      </c>
      <c r="Z115" s="41">
        <f t="shared" ref="Z115:Z122" si="13">IFERROR(IF(X115="","",X115*0.0155),"")</f>
        <v>1.1160000000000001</v>
      </c>
      <c r="AA115" s="68" t="s">
        <v>46</v>
      </c>
      <c r="AB115" s="69" t="s">
        <v>46</v>
      </c>
      <c r="AC115" s="167" t="s">
        <v>208</v>
      </c>
      <c r="AG115" s="81"/>
      <c r="AJ115" s="87" t="s">
        <v>120</v>
      </c>
      <c r="AK115" s="87">
        <v>12</v>
      </c>
      <c r="BB115" s="168" t="s">
        <v>70</v>
      </c>
      <c r="BM115" s="81">
        <f t="shared" ref="BM115:BM122" si="14">IFERROR(X115*I115,"0")</f>
        <v>524.16</v>
      </c>
      <c r="BN115" s="81">
        <f t="shared" ref="BN115:BN122" si="15">IFERROR(Y115*I115,"0")</f>
        <v>524.16</v>
      </c>
      <c r="BO115" s="81">
        <f t="shared" ref="BO115:BO122" si="16">IFERROR(X115/J115,"0")</f>
        <v>0.8571428571428571</v>
      </c>
      <c r="BP115" s="81">
        <f t="shared" ref="BP115:BP122" si="17">IFERROR(Y115/J115,"0")</f>
        <v>0.8571428571428571</v>
      </c>
    </row>
    <row r="116" spans="1:68" ht="27" customHeight="1" x14ac:dyDescent="0.25">
      <c r="A116" s="63" t="s">
        <v>209</v>
      </c>
      <c r="B116" s="63" t="s">
        <v>210</v>
      </c>
      <c r="C116" s="36">
        <v>4301071121</v>
      </c>
      <c r="D116" s="360">
        <v>4620207491393</v>
      </c>
      <c r="E116" s="360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40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362"/>
      <c r="R116" s="362"/>
      <c r="S116" s="362"/>
      <c r="T116" s="363"/>
      <c r="U116" s="39" t="s">
        <v>46</v>
      </c>
      <c r="V116" s="39" t="s">
        <v>46</v>
      </c>
      <c r="W116" s="40" t="s">
        <v>39</v>
      </c>
      <c r="X116" s="58">
        <v>12</v>
      </c>
      <c r="Y116" s="55">
        <f t="shared" si="12"/>
        <v>12</v>
      </c>
      <c r="Z116" s="41">
        <f t="shared" si="13"/>
        <v>0.186</v>
      </c>
      <c r="AA116" s="68" t="s">
        <v>46</v>
      </c>
      <c r="AB116" s="69" t="s">
        <v>46</v>
      </c>
      <c r="AC116" s="169" t="s">
        <v>211</v>
      </c>
      <c r="AG116" s="81"/>
      <c r="AJ116" s="87" t="s">
        <v>89</v>
      </c>
      <c r="AK116" s="87">
        <v>1</v>
      </c>
      <c r="BB116" s="170" t="s">
        <v>70</v>
      </c>
      <c r="BM116" s="81">
        <f t="shared" si="14"/>
        <v>80.52</v>
      </c>
      <c r="BN116" s="81">
        <f t="shared" si="15"/>
        <v>80.52</v>
      </c>
      <c r="BO116" s="81">
        <f t="shared" si="16"/>
        <v>0.14285714285714285</v>
      </c>
      <c r="BP116" s="81">
        <f t="shared" si="17"/>
        <v>0.14285714285714285</v>
      </c>
    </row>
    <row r="117" spans="1:68" ht="27" customHeight="1" x14ac:dyDescent="0.25">
      <c r="A117" s="63" t="s">
        <v>212</v>
      </c>
      <c r="B117" s="63" t="s">
        <v>213</v>
      </c>
      <c r="C117" s="36">
        <v>4301071051</v>
      </c>
      <c r="D117" s="360">
        <v>4607111039262</v>
      </c>
      <c r="E117" s="360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40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362"/>
      <c r="R117" s="362"/>
      <c r="S117" s="362"/>
      <c r="T117" s="363"/>
      <c r="U117" s="39" t="s">
        <v>46</v>
      </c>
      <c r="V117" s="39" t="s">
        <v>46</v>
      </c>
      <c r="W117" s="40" t="s">
        <v>39</v>
      </c>
      <c r="X117" s="58">
        <v>36</v>
      </c>
      <c r="Y117" s="55">
        <f t="shared" si="12"/>
        <v>36</v>
      </c>
      <c r="Z117" s="41">
        <f t="shared" si="13"/>
        <v>0.55800000000000005</v>
      </c>
      <c r="AA117" s="68" t="s">
        <v>46</v>
      </c>
      <c r="AB117" s="69" t="s">
        <v>46</v>
      </c>
      <c r="AC117" s="171" t="s">
        <v>168</v>
      </c>
      <c r="AG117" s="81"/>
      <c r="AJ117" s="87" t="s">
        <v>120</v>
      </c>
      <c r="AK117" s="87">
        <v>12</v>
      </c>
      <c r="BB117" s="172" t="s">
        <v>70</v>
      </c>
      <c r="BM117" s="81">
        <f t="shared" si="14"/>
        <v>241.90559999999999</v>
      </c>
      <c r="BN117" s="81">
        <f t="shared" si="15"/>
        <v>241.90559999999999</v>
      </c>
      <c r="BO117" s="81">
        <f t="shared" si="16"/>
        <v>0.42857142857142855</v>
      </c>
      <c r="BP117" s="81">
        <f t="shared" si="17"/>
        <v>0.42857142857142855</v>
      </c>
    </row>
    <row r="118" spans="1:68" ht="27" customHeight="1" x14ac:dyDescent="0.25">
      <c r="A118" s="63" t="s">
        <v>214</v>
      </c>
      <c r="B118" s="63" t="s">
        <v>215</v>
      </c>
      <c r="C118" s="36">
        <v>4301071038</v>
      </c>
      <c r="D118" s="360">
        <v>4607111039248</v>
      </c>
      <c r="E118" s="360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41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362"/>
      <c r="R118" s="362"/>
      <c r="S118" s="362"/>
      <c r="T118" s="363"/>
      <c r="U118" s="39" t="s">
        <v>46</v>
      </c>
      <c r="V118" s="39" t="s">
        <v>46</v>
      </c>
      <c r="W118" s="40" t="s">
        <v>39</v>
      </c>
      <c r="X118" s="58">
        <v>120</v>
      </c>
      <c r="Y118" s="55">
        <f t="shared" si="12"/>
        <v>120</v>
      </c>
      <c r="Z118" s="41">
        <f t="shared" si="13"/>
        <v>1.8599999999999999</v>
      </c>
      <c r="AA118" s="68" t="s">
        <v>46</v>
      </c>
      <c r="AB118" s="69" t="s">
        <v>46</v>
      </c>
      <c r="AC118" s="173" t="s">
        <v>168</v>
      </c>
      <c r="AG118" s="81"/>
      <c r="AJ118" s="87" t="s">
        <v>120</v>
      </c>
      <c r="AK118" s="87">
        <v>12</v>
      </c>
      <c r="BB118" s="174" t="s">
        <v>70</v>
      </c>
      <c r="BM118" s="81">
        <f t="shared" si="14"/>
        <v>876</v>
      </c>
      <c r="BN118" s="81">
        <f t="shared" si="15"/>
        <v>876</v>
      </c>
      <c r="BO118" s="81">
        <f t="shared" si="16"/>
        <v>1.4285714285714286</v>
      </c>
      <c r="BP118" s="81">
        <f t="shared" si="17"/>
        <v>1.4285714285714286</v>
      </c>
    </row>
    <row r="119" spans="1:68" ht="27" hidden="1" customHeight="1" x14ac:dyDescent="0.25">
      <c r="A119" s="63" t="s">
        <v>216</v>
      </c>
      <c r="B119" s="63" t="s">
        <v>217</v>
      </c>
      <c r="C119" s="36">
        <v>4301070979</v>
      </c>
      <c r="D119" s="360">
        <v>4607111037145</v>
      </c>
      <c r="E119" s="360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87</v>
      </c>
      <c r="L119" s="37" t="s">
        <v>88</v>
      </c>
      <c r="M119" s="38" t="s">
        <v>86</v>
      </c>
      <c r="N119" s="38"/>
      <c r="O119" s="37">
        <v>180</v>
      </c>
      <c r="P119" s="41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362"/>
      <c r="R119" s="362"/>
      <c r="S119" s="362"/>
      <c r="T119" s="363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218</v>
      </c>
      <c r="AG119" s="81"/>
      <c r="AJ119" s="87" t="s">
        <v>89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219</v>
      </c>
      <c r="B120" s="63" t="s">
        <v>220</v>
      </c>
      <c r="C120" s="36">
        <v>4301071075</v>
      </c>
      <c r="D120" s="360">
        <v>4620207491102</v>
      </c>
      <c r="E120" s="360"/>
      <c r="F120" s="62">
        <v>0.7</v>
      </c>
      <c r="G120" s="37">
        <v>10</v>
      </c>
      <c r="H120" s="62">
        <v>7</v>
      </c>
      <c r="I120" s="62">
        <v>7.23</v>
      </c>
      <c r="J120" s="37">
        <v>84</v>
      </c>
      <c r="K120" s="37" t="s">
        <v>87</v>
      </c>
      <c r="L120" s="37" t="s">
        <v>88</v>
      </c>
      <c r="M120" s="38" t="s">
        <v>86</v>
      </c>
      <c r="N120" s="38"/>
      <c r="O120" s="37">
        <v>180</v>
      </c>
      <c r="P120" s="412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362"/>
      <c r="R120" s="362"/>
      <c r="S120" s="362"/>
      <c r="T120" s="363"/>
      <c r="U120" s="39" t="s">
        <v>46</v>
      </c>
      <c r="V120" s="39" t="s">
        <v>46</v>
      </c>
      <c r="W120" s="40" t="s">
        <v>39</v>
      </c>
      <c r="X120" s="58">
        <v>12</v>
      </c>
      <c r="Y120" s="55">
        <f t="shared" si="12"/>
        <v>12</v>
      </c>
      <c r="Z120" s="41">
        <f t="shared" si="13"/>
        <v>0.186</v>
      </c>
      <c r="AA120" s="68" t="s">
        <v>46</v>
      </c>
      <c r="AB120" s="69" t="s">
        <v>46</v>
      </c>
      <c r="AC120" s="177" t="s">
        <v>221</v>
      </c>
      <c r="AG120" s="81"/>
      <c r="AJ120" s="87" t="s">
        <v>89</v>
      </c>
      <c r="AK120" s="87">
        <v>1</v>
      </c>
      <c r="BB120" s="178" t="s">
        <v>70</v>
      </c>
      <c r="BM120" s="81">
        <f t="shared" si="14"/>
        <v>86.76</v>
      </c>
      <c r="BN120" s="81">
        <f t="shared" si="15"/>
        <v>86.76</v>
      </c>
      <c r="BO120" s="81">
        <f t="shared" si="16"/>
        <v>0.14285714285714285</v>
      </c>
      <c r="BP120" s="81">
        <f t="shared" si="17"/>
        <v>0.14285714285714285</v>
      </c>
    </row>
    <row r="121" spans="1:68" ht="27" customHeight="1" x14ac:dyDescent="0.25">
      <c r="A121" s="63" t="s">
        <v>222</v>
      </c>
      <c r="B121" s="63" t="s">
        <v>223</v>
      </c>
      <c r="C121" s="36">
        <v>4301071049</v>
      </c>
      <c r="D121" s="360">
        <v>4607111039293</v>
      </c>
      <c r="E121" s="360"/>
      <c r="F121" s="62">
        <v>0.4</v>
      </c>
      <c r="G121" s="37">
        <v>16</v>
      </c>
      <c r="H121" s="62">
        <v>6.4</v>
      </c>
      <c r="I121" s="62">
        <v>6.7195999999999998</v>
      </c>
      <c r="J121" s="37">
        <v>84</v>
      </c>
      <c r="K121" s="37" t="s">
        <v>87</v>
      </c>
      <c r="L121" s="37" t="s">
        <v>119</v>
      </c>
      <c r="M121" s="38" t="s">
        <v>86</v>
      </c>
      <c r="N121" s="38"/>
      <c r="O121" s="37">
        <v>180</v>
      </c>
      <c r="P121" s="41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1" s="362"/>
      <c r="R121" s="362"/>
      <c r="S121" s="362"/>
      <c r="T121" s="363"/>
      <c r="U121" s="39" t="s">
        <v>46</v>
      </c>
      <c r="V121" s="39" t="s">
        <v>46</v>
      </c>
      <c r="W121" s="40" t="s">
        <v>39</v>
      </c>
      <c r="X121" s="58">
        <v>48</v>
      </c>
      <c r="Y121" s="55">
        <f t="shared" si="12"/>
        <v>48</v>
      </c>
      <c r="Z121" s="41">
        <f t="shared" si="13"/>
        <v>0.74399999999999999</v>
      </c>
      <c r="AA121" s="68" t="s">
        <v>46</v>
      </c>
      <c r="AB121" s="69" t="s">
        <v>46</v>
      </c>
      <c r="AC121" s="179" t="s">
        <v>168</v>
      </c>
      <c r="AG121" s="81"/>
      <c r="AJ121" s="87" t="s">
        <v>120</v>
      </c>
      <c r="AK121" s="87">
        <v>12</v>
      </c>
      <c r="BB121" s="180" t="s">
        <v>70</v>
      </c>
      <c r="BM121" s="81">
        <f t="shared" si="14"/>
        <v>322.54079999999999</v>
      </c>
      <c r="BN121" s="81">
        <f t="shared" si="15"/>
        <v>322.54079999999999</v>
      </c>
      <c r="BO121" s="81">
        <f t="shared" si="16"/>
        <v>0.5714285714285714</v>
      </c>
      <c r="BP121" s="81">
        <f t="shared" si="17"/>
        <v>0.5714285714285714</v>
      </c>
    </row>
    <row r="122" spans="1:68" ht="27" customHeight="1" x14ac:dyDescent="0.25">
      <c r="A122" s="63" t="s">
        <v>224</v>
      </c>
      <c r="B122" s="63" t="s">
        <v>225</v>
      </c>
      <c r="C122" s="36">
        <v>4301071039</v>
      </c>
      <c r="D122" s="360">
        <v>4607111039279</v>
      </c>
      <c r="E122" s="360"/>
      <c r="F122" s="62">
        <v>0.7</v>
      </c>
      <c r="G122" s="37">
        <v>10</v>
      </c>
      <c r="H122" s="62">
        <v>7</v>
      </c>
      <c r="I122" s="62">
        <v>7.3</v>
      </c>
      <c r="J122" s="37">
        <v>84</v>
      </c>
      <c r="K122" s="37" t="s">
        <v>87</v>
      </c>
      <c r="L122" s="37" t="s">
        <v>119</v>
      </c>
      <c r="M122" s="38" t="s">
        <v>86</v>
      </c>
      <c r="N122" s="38"/>
      <c r="O122" s="37">
        <v>180</v>
      </c>
      <c r="P122" s="41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2" s="362"/>
      <c r="R122" s="362"/>
      <c r="S122" s="362"/>
      <c r="T122" s="363"/>
      <c r="U122" s="39" t="s">
        <v>46</v>
      </c>
      <c r="V122" s="39" t="s">
        <v>46</v>
      </c>
      <c r="W122" s="40" t="s">
        <v>39</v>
      </c>
      <c r="X122" s="58">
        <v>168</v>
      </c>
      <c r="Y122" s="55">
        <f t="shared" si="12"/>
        <v>168</v>
      </c>
      <c r="Z122" s="41">
        <f t="shared" si="13"/>
        <v>2.6040000000000001</v>
      </c>
      <c r="AA122" s="68" t="s">
        <v>46</v>
      </c>
      <c r="AB122" s="69" t="s">
        <v>46</v>
      </c>
      <c r="AC122" s="181" t="s">
        <v>168</v>
      </c>
      <c r="AG122" s="81"/>
      <c r="AJ122" s="87" t="s">
        <v>120</v>
      </c>
      <c r="AK122" s="87">
        <v>12</v>
      </c>
      <c r="BB122" s="182" t="s">
        <v>70</v>
      </c>
      <c r="BM122" s="81">
        <f t="shared" si="14"/>
        <v>1226.3999999999999</v>
      </c>
      <c r="BN122" s="81">
        <f t="shared" si="15"/>
        <v>1226.3999999999999</v>
      </c>
      <c r="BO122" s="81">
        <f t="shared" si="16"/>
        <v>2</v>
      </c>
      <c r="BP122" s="81">
        <f t="shared" si="17"/>
        <v>2</v>
      </c>
    </row>
    <row r="123" spans="1:68" x14ac:dyDescent="0.2">
      <c r="A123" s="374"/>
      <c r="B123" s="374"/>
      <c r="C123" s="374"/>
      <c r="D123" s="374"/>
      <c r="E123" s="374"/>
      <c r="F123" s="374"/>
      <c r="G123" s="374"/>
      <c r="H123" s="374"/>
      <c r="I123" s="374"/>
      <c r="J123" s="374"/>
      <c r="K123" s="374"/>
      <c r="L123" s="374"/>
      <c r="M123" s="374"/>
      <c r="N123" s="374"/>
      <c r="O123" s="375"/>
      <c r="P123" s="371" t="s">
        <v>40</v>
      </c>
      <c r="Q123" s="372"/>
      <c r="R123" s="372"/>
      <c r="S123" s="372"/>
      <c r="T123" s="372"/>
      <c r="U123" s="372"/>
      <c r="V123" s="373"/>
      <c r="W123" s="42" t="s">
        <v>39</v>
      </c>
      <c r="X123" s="43">
        <f>IFERROR(SUM(X115:X122),"0")</f>
        <v>468</v>
      </c>
      <c r="Y123" s="43">
        <f>IFERROR(SUM(Y115:Y122),"0")</f>
        <v>468</v>
      </c>
      <c r="Z123" s="43">
        <f>IFERROR(IF(Z115="",0,Z115),"0")+IFERROR(IF(Z116="",0,Z116),"0")+IFERROR(IF(Z117="",0,Z117),"0")+IFERROR(IF(Z118="",0,Z118),"0")+IFERROR(IF(Z119="",0,Z119),"0")+IFERROR(IF(Z120="",0,Z120),"0")+IFERROR(IF(Z121="",0,Z121),"0")+IFERROR(IF(Z122="",0,Z122),"0")</f>
        <v>7.2539999999999996</v>
      </c>
      <c r="AA123" s="67"/>
      <c r="AB123" s="67"/>
      <c r="AC123" s="67"/>
    </row>
    <row r="124" spans="1:68" x14ac:dyDescent="0.2">
      <c r="A124" s="374"/>
      <c r="B124" s="374"/>
      <c r="C124" s="374"/>
      <c r="D124" s="374"/>
      <c r="E124" s="374"/>
      <c r="F124" s="374"/>
      <c r="G124" s="374"/>
      <c r="H124" s="374"/>
      <c r="I124" s="374"/>
      <c r="J124" s="374"/>
      <c r="K124" s="374"/>
      <c r="L124" s="374"/>
      <c r="M124" s="374"/>
      <c r="N124" s="374"/>
      <c r="O124" s="375"/>
      <c r="P124" s="371" t="s">
        <v>40</v>
      </c>
      <c r="Q124" s="372"/>
      <c r="R124" s="372"/>
      <c r="S124" s="372"/>
      <c r="T124" s="372"/>
      <c r="U124" s="372"/>
      <c r="V124" s="373"/>
      <c r="W124" s="42" t="s">
        <v>0</v>
      </c>
      <c r="X124" s="43">
        <f>IFERROR(SUMPRODUCT(X115:X122*H115:H122),"0")</f>
        <v>3218.3999999999996</v>
      </c>
      <c r="Y124" s="43">
        <f>IFERROR(SUMPRODUCT(Y115:Y122*H115:H122),"0")</f>
        <v>3218.3999999999996</v>
      </c>
      <c r="Z124" s="42"/>
      <c r="AA124" s="67"/>
      <c r="AB124" s="67"/>
      <c r="AC124" s="67"/>
    </row>
    <row r="125" spans="1:68" ht="14.25" hidden="1" customHeight="1" x14ac:dyDescent="0.25">
      <c r="A125" s="359" t="s">
        <v>157</v>
      </c>
      <c r="B125" s="359"/>
      <c r="C125" s="359"/>
      <c r="D125" s="359"/>
      <c r="E125" s="359"/>
      <c r="F125" s="359"/>
      <c r="G125" s="359"/>
      <c r="H125" s="359"/>
      <c r="I125" s="359"/>
      <c r="J125" s="359"/>
      <c r="K125" s="359"/>
      <c r="L125" s="359"/>
      <c r="M125" s="359"/>
      <c r="N125" s="359"/>
      <c r="O125" s="359"/>
      <c r="P125" s="359"/>
      <c r="Q125" s="359"/>
      <c r="R125" s="359"/>
      <c r="S125" s="359"/>
      <c r="T125" s="359"/>
      <c r="U125" s="359"/>
      <c r="V125" s="359"/>
      <c r="W125" s="359"/>
      <c r="X125" s="359"/>
      <c r="Y125" s="359"/>
      <c r="Z125" s="359"/>
      <c r="AA125" s="66"/>
      <c r="AB125" s="66"/>
      <c r="AC125" s="83"/>
    </row>
    <row r="126" spans="1:68" ht="27" hidden="1" customHeight="1" x14ac:dyDescent="0.25">
      <c r="A126" s="63" t="s">
        <v>226</v>
      </c>
      <c r="B126" s="63" t="s">
        <v>227</v>
      </c>
      <c r="C126" s="36">
        <v>4301135826</v>
      </c>
      <c r="D126" s="360">
        <v>4620207490983</v>
      </c>
      <c r="E126" s="360"/>
      <c r="F126" s="62">
        <v>0.22</v>
      </c>
      <c r="G126" s="37">
        <v>12</v>
      </c>
      <c r="H126" s="62">
        <v>2.64</v>
      </c>
      <c r="I126" s="62">
        <v>3.3435999999999999</v>
      </c>
      <c r="J126" s="37">
        <v>70</v>
      </c>
      <c r="K126" s="37" t="s">
        <v>118</v>
      </c>
      <c r="L126" s="37" t="s">
        <v>88</v>
      </c>
      <c r="M126" s="38" t="s">
        <v>86</v>
      </c>
      <c r="N126" s="38"/>
      <c r="O126" s="37">
        <v>180</v>
      </c>
      <c r="P126" s="41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362"/>
      <c r="R126" s="362"/>
      <c r="S126" s="362"/>
      <c r="T126" s="363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IFERROR(IF(X126="","",X126*0.01788),"")</f>
        <v>0</v>
      </c>
      <c r="AA126" s="68" t="s">
        <v>46</v>
      </c>
      <c r="AB126" s="69" t="s">
        <v>46</v>
      </c>
      <c r="AC126" s="183" t="s">
        <v>228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hidden="1" x14ac:dyDescent="0.2">
      <c r="A127" s="374"/>
      <c r="B127" s="374"/>
      <c r="C127" s="374"/>
      <c r="D127" s="374"/>
      <c r="E127" s="374"/>
      <c r="F127" s="374"/>
      <c r="G127" s="374"/>
      <c r="H127" s="374"/>
      <c r="I127" s="374"/>
      <c r="J127" s="374"/>
      <c r="K127" s="374"/>
      <c r="L127" s="374"/>
      <c r="M127" s="374"/>
      <c r="N127" s="374"/>
      <c r="O127" s="375"/>
      <c r="P127" s="371" t="s">
        <v>40</v>
      </c>
      <c r="Q127" s="372"/>
      <c r="R127" s="372"/>
      <c r="S127" s="372"/>
      <c r="T127" s="372"/>
      <c r="U127" s="372"/>
      <c r="V127" s="373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374"/>
      <c r="B128" s="374"/>
      <c r="C128" s="374"/>
      <c r="D128" s="374"/>
      <c r="E128" s="374"/>
      <c r="F128" s="374"/>
      <c r="G128" s="374"/>
      <c r="H128" s="374"/>
      <c r="I128" s="374"/>
      <c r="J128" s="374"/>
      <c r="K128" s="374"/>
      <c r="L128" s="374"/>
      <c r="M128" s="374"/>
      <c r="N128" s="374"/>
      <c r="O128" s="375"/>
      <c r="P128" s="371" t="s">
        <v>40</v>
      </c>
      <c r="Q128" s="372"/>
      <c r="R128" s="372"/>
      <c r="S128" s="372"/>
      <c r="T128" s="372"/>
      <c r="U128" s="372"/>
      <c r="V128" s="373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4.25" hidden="1" customHeight="1" x14ac:dyDescent="0.25">
      <c r="A129" s="359" t="s">
        <v>229</v>
      </c>
      <c r="B129" s="359"/>
      <c r="C129" s="359"/>
      <c r="D129" s="359"/>
      <c r="E129" s="359"/>
      <c r="F129" s="359"/>
      <c r="G129" s="359"/>
      <c r="H129" s="359"/>
      <c r="I129" s="359"/>
      <c r="J129" s="359"/>
      <c r="K129" s="359"/>
      <c r="L129" s="359"/>
      <c r="M129" s="359"/>
      <c r="N129" s="359"/>
      <c r="O129" s="359"/>
      <c r="P129" s="359"/>
      <c r="Q129" s="359"/>
      <c r="R129" s="359"/>
      <c r="S129" s="359"/>
      <c r="T129" s="359"/>
      <c r="U129" s="359"/>
      <c r="V129" s="359"/>
      <c r="W129" s="359"/>
      <c r="X129" s="359"/>
      <c r="Y129" s="359"/>
      <c r="Z129" s="359"/>
      <c r="AA129" s="66"/>
      <c r="AB129" s="66"/>
      <c r="AC129" s="83"/>
    </row>
    <row r="130" spans="1:68" ht="27" hidden="1" customHeight="1" x14ac:dyDescent="0.25">
      <c r="A130" s="63" t="s">
        <v>230</v>
      </c>
      <c r="B130" s="63" t="s">
        <v>231</v>
      </c>
      <c r="C130" s="36">
        <v>4301071094</v>
      </c>
      <c r="D130" s="360">
        <v>4620207491140</v>
      </c>
      <c r="E130" s="360"/>
      <c r="F130" s="62">
        <v>0.6</v>
      </c>
      <c r="G130" s="37">
        <v>10</v>
      </c>
      <c r="H130" s="62">
        <v>6</v>
      </c>
      <c r="I130" s="62">
        <v>6.28</v>
      </c>
      <c r="J130" s="37">
        <v>84</v>
      </c>
      <c r="K130" s="37" t="s">
        <v>87</v>
      </c>
      <c r="L130" s="37" t="s">
        <v>88</v>
      </c>
      <c r="M130" s="38" t="s">
        <v>86</v>
      </c>
      <c r="N130" s="38"/>
      <c r="O130" s="37">
        <v>180</v>
      </c>
      <c r="P130" s="41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362"/>
      <c r="R130" s="362"/>
      <c r="S130" s="362"/>
      <c r="T130" s="363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IFERROR(IF(X130="","",X130*0.0155),"")</f>
        <v>0</v>
      </c>
      <c r="AA130" s="68" t="s">
        <v>46</v>
      </c>
      <c r="AB130" s="69" t="s">
        <v>46</v>
      </c>
      <c r="AC130" s="185" t="s">
        <v>232</v>
      </c>
      <c r="AG130" s="81"/>
      <c r="AJ130" s="87" t="s">
        <v>89</v>
      </c>
      <c r="AK130" s="87">
        <v>1</v>
      </c>
      <c r="BB130" s="186" t="s">
        <v>117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idden="1" x14ac:dyDescent="0.2">
      <c r="A131" s="374"/>
      <c r="B131" s="374"/>
      <c r="C131" s="374"/>
      <c r="D131" s="374"/>
      <c r="E131" s="374"/>
      <c r="F131" s="374"/>
      <c r="G131" s="374"/>
      <c r="H131" s="374"/>
      <c r="I131" s="374"/>
      <c r="J131" s="374"/>
      <c r="K131" s="374"/>
      <c r="L131" s="374"/>
      <c r="M131" s="374"/>
      <c r="N131" s="374"/>
      <c r="O131" s="375"/>
      <c r="P131" s="371" t="s">
        <v>40</v>
      </c>
      <c r="Q131" s="372"/>
      <c r="R131" s="372"/>
      <c r="S131" s="372"/>
      <c r="T131" s="372"/>
      <c r="U131" s="372"/>
      <c r="V131" s="373"/>
      <c r="W131" s="42" t="s">
        <v>39</v>
      </c>
      <c r="X131" s="43">
        <f>IFERROR(SUM(X130:X130),"0")</f>
        <v>0</v>
      </c>
      <c r="Y131" s="43">
        <f>IFERROR(SUM(Y130:Y130),"0")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374"/>
      <c r="B132" s="374"/>
      <c r="C132" s="374"/>
      <c r="D132" s="374"/>
      <c r="E132" s="374"/>
      <c r="F132" s="374"/>
      <c r="G132" s="374"/>
      <c r="H132" s="374"/>
      <c r="I132" s="374"/>
      <c r="J132" s="374"/>
      <c r="K132" s="374"/>
      <c r="L132" s="374"/>
      <c r="M132" s="374"/>
      <c r="N132" s="374"/>
      <c r="O132" s="375"/>
      <c r="P132" s="371" t="s">
        <v>40</v>
      </c>
      <c r="Q132" s="372"/>
      <c r="R132" s="372"/>
      <c r="S132" s="372"/>
      <c r="T132" s="372"/>
      <c r="U132" s="372"/>
      <c r="V132" s="373"/>
      <c r="W132" s="42" t="s">
        <v>0</v>
      </c>
      <c r="X132" s="43">
        <f>IFERROR(SUMPRODUCT(X130:X130*H130:H130),"0")</f>
        <v>0</v>
      </c>
      <c r="Y132" s="43">
        <f>IFERROR(SUMPRODUCT(Y130:Y130*H130:H130),"0")</f>
        <v>0</v>
      </c>
      <c r="Z132" s="42"/>
      <c r="AA132" s="67"/>
      <c r="AB132" s="67"/>
      <c r="AC132" s="67"/>
    </row>
    <row r="133" spans="1:68" ht="16.5" hidden="1" customHeight="1" x14ac:dyDescent="0.25">
      <c r="A133" s="358" t="s">
        <v>233</v>
      </c>
      <c r="B133" s="358"/>
      <c r="C133" s="358"/>
      <c r="D133" s="358"/>
      <c r="E133" s="358"/>
      <c r="F133" s="358"/>
      <c r="G133" s="358"/>
      <c r="H133" s="358"/>
      <c r="I133" s="358"/>
      <c r="J133" s="358"/>
      <c r="K133" s="358"/>
      <c r="L133" s="358"/>
      <c r="M133" s="358"/>
      <c r="N133" s="358"/>
      <c r="O133" s="358"/>
      <c r="P133" s="358"/>
      <c r="Q133" s="358"/>
      <c r="R133" s="358"/>
      <c r="S133" s="358"/>
      <c r="T133" s="358"/>
      <c r="U133" s="358"/>
      <c r="V133" s="358"/>
      <c r="W133" s="358"/>
      <c r="X133" s="358"/>
      <c r="Y133" s="358"/>
      <c r="Z133" s="358"/>
      <c r="AA133" s="65"/>
      <c r="AB133" s="65"/>
      <c r="AC133" s="82"/>
    </row>
    <row r="134" spans="1:68" ht="14.25" hidden="1" customHeight="1" x14ac:dyDescent="0.25">
      <c r="A134" s="359" t="s">
        <v>157</v>
      </c>
      <c r="B134" s="359"/>
      <c r="C134" s="359"/>
      <c r="D134" s="359"/>
      <c r="E134" s="359"/>
      <c r="F134" s="359"/>
      <c r="G134" s="359"/>
      <c r="H134" s="359"/>
      <c r="I134" s="359"/>
      <c r="J134" s="359"/>
      <c r="K134" s="359"/>
      <c r="L134" s="359"/>
      <c r="M134" s="359"/>
      <c r="N134" s="359"/>
      <c r="O134" s="359"/>
      <c r="P134" s="359"/>
      <c r="Q134" s="359"/>
      <c r="R134" s="359"/>
      <c r="S134" s="359"/>
      <c r="T134" s="359"/>
      <c r="U134" s="359"/>
      <c r="V134" s="359"/>
      <c r="W134" s="359"/>
      <c r="X134" s="359"/>
      <c r="Y134" s="359"/>
      <c r="Z134" s="359"/>
      <c r="AA134" s="66"/>
      <c r="AB134" s="66"/>
      <c r="AC134" s="83"/>
    </row>
    <row r="135" spans="1:68" ht="27" hidden="1" customHeight="1" x14ac:dyDescent="0.25">
      <c r="A135" s="63" t="s">
        <v>234</v>
      </c>
      <c r="B135" s="63" t="s">
        <v>235</v>
      </c>
      <c r="C135" s="36">
        <v>4301135848</v>
      </c>
      <c r="D135" s="360">
        <v>4620207491799</v>
      </c>
      <c r="E135" s="360"/>
      <c r="F135" s="62">
        <v>0.23</v>
      </c>
      <c r="G135" s="37">
        <v>6</v>
      </c>
      <c r="H135" s="62">
        <v>1.38</v>
      </c>
      <c r="I135" s="62">
        <v>1.8</v>
      </c>
      <c r="J135" s="37">
        <v>140</v>
      </c>
      <c r="K135" s="37" t="s">
        <v>118</v>
      </c>
      <c r="L135" s="37" t="s">
        <v>88</v>
      </c>
      <c r="M135" s="38" t="s">
        <v>86</v>
      </c>
      <c r="N135" s="38"/>
      <c r="O135" s="37">
        <v>180</v>
      </c>
      <c r="P135" s="417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5" s="362"/>
      <c r="R135" s="362"/>
      <c r="S135" s="362"/>
      <c r="T135" s="363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236</v>
      </c>
      <c r="AG135" s="81"/>
      <c r="AJ135" s="87" t="s">
        <v>89</v>
      </c>
      <c r="AK135" s="87">
        <v>1</v>
      </c>
      <c r="BB135" s="188" t="s">
        <v>117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customHeight="1" x14ac:dyDescent="0.25">
      <c r="A136" s="63" t="s">
        <v>237</v>
      </c>
      <c r="B136" s="63" t="s">
        <v>238</v>
      </c>
      <c r="C136" s="36">
        <v>4301135850</v>
      </c>
      <c r="D136" s="360">
        <v>4620207491492</v>
      </c>
      <c r="E136" s="360"/>
      <c r="F136" s="62">
        <v>0.23</v>
      </c>
      <c r="G136" s="37">
        <v>6</v>
      </c>
      <c r="H136" s="62">
        <v>1.38</v>
      </c>
      <c r="I136" s="62">
        <v>1.8</v>
      </c>
      <c r="J136" s="37">
        <v>140</v>
      </c>
      <c r="K136" s="37" t="s">
        <v>118</v>
      </c>
      <c r="L136" s="37" t="s">
        <v>88</v>
      </c>
      <c r="M136" s="38" t="s">
        <v>86</v>
      </c>
      <c r="N136" s="38"/>
      <c r="O136" s="37">
        <v>180</v>
      </c>
      <c r="P136" s="418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6" s="362"/>
      <c r="R136" s="362"/>
      <c r="S136" s="362"/>
      <c r="T136" s="363"/>
      <c r="U136" s="39" t="s">
        <v>46</v>
      </c>
      <c r="V136" s="39" t="s">
        <v>46</v>
      </c>
      <c r="W136" s="40" t="s">
        <v>39</v>
      </c>
      <c r="X136" s="58">
        <v>14</v>
      </c>
      <c r="Y136" s="55">
        <f>IFERROR(IF(X136="","",X136),"")</f>
        <v>14</v>
      </c>
      <c r="Z136" s="41">
        <f>IFERROR(IF(X136="","",X136*0.00941),"")</f>
        <v>0.13174</v>
      </c>
      <c r="AA136" s="68" t="s">
        <v>46</v>
      </c>
      <c r="AB136" s="69" t="s">
        <v>46</v>
      </c>
      <c r="AC136" s="189" t="s">
        <v>236</v>
      </c>
      <c r="AG136" s="81"/>
      <c r="AJ136" s="87" t="s">
        <v>89</v>
      </c>
      <c r="AK136" s="87">
        <v>1</v>
      </c>
      <c r="BB136" s="190" t="s">
        <v>117</v>
      </c>
      <c r="BM136" s="81">
        <f>IFERROR(X136*I136,"0")</f>
        <v>25.2</v>
      </c>
      <c r="BN136" s="81">
        <f>IFERROR(Y136*I136,"0")</f>
        <v>25.2</v>
      </c>
      <c r="BO136" s="81">
        <f>IFERROR(X136/J136,"0")</f>
        <v>0.1</v>
      </c>
      <c r="BP136" s="81">
        <f>IFERROR(Y136/J136,"0")</f>
        <v>0.1</v>
      </c>
    </row>
    <row r="137" spans="1:68" ht="27" customHeight="1" x14ac:dyDescent="0.25">
      <c r="A137" s="63" t="s">
        <v>239</v>
      </c>
      <c r="B137" s="63" t="s">
        <v>240</v>
      </c>
      <c r="C137" s="36">
        <v>4301190118</v>
      </c>
      <c r="D137" s="360">
        <v>4620207491461</v>
      </c>
      <c r="E137" s="360"/>
      <c r="F137" s="62">
        <v>0.22</v>
      </c>
      <c r="G137" s="37">
        <v>6</v>
      </c>
      <c r="H137" s="62">
        <v>1.32</v>
      </c>
      <c r="I137" s="62">
        <v>1.74</v>
      </c>
      <c r="J137" s="37">
        <v>140</v>
      </c>
      <c r="K137" s="37" t="s">
        <v>118</v>
      </c>
      <c r="L137" s="37" t="s">
        <v>88</v>
      </c>
      <c r="M137" s="38" t="s">
        <v>86</v>
      </c>
      <c r="N137" s="38"/>
      <c r="O137" s="37">
        <v>180</v>
      </c>
      <c r="P137" s="419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7" s="362"/>
      <c r="R137" s="362"/>
      <c r="S137" s="362"/>
      <c r="T137" s="363"/>
      <c r="U137" s="39" t="s">
        <v>46</v>
      </c>
      <c r="V137" s="39" t="s">
        <v>46</v>
      </c>
      <c r="W137" s="40" t="s">
        <v>39</v>
      </c>
      <c r="X137" s="58">
        <v>28</v>
      </c>
      <c r="Y137" s="55">
        <f>IFERROR(IF(X137="","",X137),"")</f>
        <v>28</v>
      </c>
      <c r="Z137" s="41">
        <f>IFERROR(IF(X137="","",X137*0.00941),"")</f>
        <v>0.26347999999999999</v>
      </c>
      <c r="AA137" s="68" t="s">
        <v>46</v>
      </c>
      <c r="AB137" s="69" t="s">
        <v>46</v>
      </c>
      <c r="AC137" s="191" t="s">
        <v>236</v>
      </c>
      <c r="AG137" s="81"/>
      <c r="AJ137" s="87" t="s">
        <v>89</v>
      </c>
      <c r="AK137" s="87">
        <v>1</v>
      </c>
      <c r="BB137" s="192" t="s">
        <v>117</v>
      </c>
      <c r="BM137" s="81">
        <f>IFERROR(X137*I137,"0")</f>
        <v>48.72</v>
      </c>
      <c r="BN137" s="81">
        <f>IFERROR(Y137*I137,"0")</f>
        <v>48.72</v>
      </c>
      <c r="BO137" s="81">
        <f>IFERROR(X137/J137,"0")</f>
        <v>0.2</v>
      </c>
      <c r="BP137" s="81">
        <f>IFERROR(Y137/J137,"0")</f>
        <v>0.2</v>
      </c>
    </row>
    <row r="138" spans="1:68" ht="27" customHeight="1" x14ac:dyDescent="0.25">
      <c r="A138" s="63" t="s">
        <v>241</v>
      </c>
      <c r="B138" s="63" t="s">
        <v>242</v>
      </c>
      <c r="C138" s="36">
        <v>4301135865</v>
      </c>
      <c r="D138" s="360">
        <v>4620207491485</v>
      </c>
      <c r="E138" s="360"/>
      <c r="F138" s="62">
        <v>0.23</v>
      </c>
      <c r="G138" s="37">
        <v>6</v>
      </c>
      <c r="H138" s="62">
        <v>1.38</v>
      </c>
      <c r="I138" s="62">
        <v>1.8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420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8" s="362"/>
      <c r="R138" s="362"/>
      <c r="S138" s="362"/>
      <c r="T138" s="363"/>
      <c r="U138" s="39" t="s">
        <v>46</v>
      </c>
      <c r="V138" s="39" t="s">
        <v>46</v>
      </c>
      <c r="W138" s="40" t="s">
        <v>39</v>
      </c>
      <c r="X138" s="58">
        <v>112</v>
      </c>
      <c r="Y138" s="55">
        <f>IFERROR(IF(X138="","",X138),"")</f>
        <v>112</v>
      </c>
      <c r="Z138" s="41">
        <f>IFERROR(IF(X138="","",X138*0.00941),"")</f>
        <v>1.05392</v>
      </c>
      <c r="AA138" s="68" t="s">
        <v>46</v>
      </c>
      <c r="AB138" s="69" t="s">
        <v>46</v>
      </c>
      <c r="AC138" s="193" t="s">
        <v>236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201.6</v>
      </c>
      <c r="BN138" s="81">
        <f>IFERROR(Y138*I138,"0")</f>
        <v>201.6</v>
      </c>
      <c r="BO138" s="81">
        <f>IFERROR(X138/J138,"0")</f>
        <v>0.8</v>
      </c>
      <c r="BP138" s="81">
        <f>IFERROR(Y138/J138,"0")</f>
        <v>0.8</v>
      </c>
    </row>
    <row r="139" spans="1:68" x14ac:dyDescent="0.2">
      <c r="A139" s="374"/>
      <c r="B139" s="374"/>
      <c r="C139" s="374"/>
      <c r="D139" s="374"/>
      <c r="E139" s="374"/>
      <c r="F139" s="374"/>
      <c r="G139" s="374"/>
      <c r="H139" s="374"/>
      <c r="I139" s="374"/>
      <c r="J139" s="374"/>
      <c r="K139" s="374"/>
      <c r="L139" s="374"/>
      <c r="M139" s="374"/>
      <c r="N139" s="374"/>
      <c r="O139" s="375"/>
      <c r="P139" s="371" t="s">
        <v>40</v>
      </c>
      <c r="Q139" s="372"/>
      <c r="R139" s="372"/>
      <c r="S139" s="372"/>
      <c r="T139" s="372"/>
      <c r="U139" s="372"/>
      <c r="V139" s="373"/>
      <c r="W139" s="42" t="s">
        <v>39</v>
      </c>
      <c r="X139" s="43">
        <f>IFERROR(SUM(X135:X138),"0")</f>
        <v>154</v>
      </c>
      <c r="Y139" s="43">
        <f>IFERROR(SUM(Y135:Y138),"0")</f>
        <v>154</v>
      </c>
      <c r="Z139" s="43">
        <f>IFERROR(IF(Z135="",0,Z135),"0")+IFERROR(IF(Z136="",0,Z136),"0")+IFERROR(IF(Z137="",0,Z137),"0")+IFERROR(IF(Z138="",0,Z138),"0")</f>
        <v>1.4491399999999999</v>
      </c>
      <c r="AA139" s="67"/>
      <c r="AB139" s="67"/>
      <c r="AC139" s="67"/>
    </row>
    <row r="140" spans="1:68" x14ac:dyDescent="0.2">
      <c r="A140" s="374"/>
      <c r="B140" s="374"/>
      <c r="C140" s="374"/>
      <c r="D140" s="374"/>
      <c r="E140" s="374"/>
      <c r="F140" s="374"/>
      <c r="G140" s="374"/>
      <c r="H140" s="374"/>
      <c r="I140" s="374"/>
      <c r="J140" s="374"/>
      <c r="K140" s="374"/>
      <c r="L140" s="374"/>
      <c r="M140" s="374"/>
      <c r="N140" s="374"/>
      <c r="O140" s="375"/>
      <c r="P140" s="371" t="s">
        <v>40</v>
      </c>
      <c r="Q140" s="372"/>
      <c r="R140" s="372"/>
      <c r="S140" s="372"/>
      <c r="T140" s="372"/>
      <c r="U140" s="372"/>
      <c r="V140" s="373"/>
      <c r="W140" s="42" t="s">
        <v>0</v>
      </c>
      <c r="X140" s="43">
        <f>IFERROR(SUMPRODUCT(X135:X138*H135:H138),"0")</f>
        <v>210.84</v>
      </c>
      <c r="Y140" s="43">
        <f>IFERROR(SUMPRODUCT(Y135:Y138*H135:H138),"0")</f>
        <v>210.84</v>
      </c>
      <c r="Z140" s="42"/>
      <c r="AA140" s="67"/>
      <c r="AB140" s="67"/>
      <c r="AC140" s="67"/>
    </row>
    <row r="141" spans="1:68" ht="14.25" hidden="1" customHeight="1" x14ac:dyDescent="0.25">
      <c r="A141" s="359" t="s">
        <v>243</v>
      </c>
      <c r="B141" s="359"/>
      <c r="C141" s="359"/>
      <c r="D141" s="359"/>
      <c r="E141" s="359"/>
      <c r="F141" s="359"/>
      <c r="G141" s="359"/>
      <c r="H141" s="359"/>
      <c r="I141" s="359"/>
      <c r="J141" s="359"/>
      <c r="K141" s="359"/>
      <c r="L141" s="359"/>
      <c r="M141" s="359"/>
      <c r="N141" s="359"/>
      <c r="O141" s="359"/>
      <c r="P141" s="359"/>
      <c r="Q141" s="359"/>
      <c r="R141" s="359"/>
      <c r="S141" s="359"/>
      <c r="T141" s="359"/>
      <c r="U141" s="359"/>
      <c r="V141" s="359"/>
      <c r="W141" s="359"/>
      <c r="X141" s="359"/>
      <c r="Y141" s="359"/>
      <c r="Z141" s="359"/>
      <c r="AA141" s="66"/>
      <c r="AB141" s="66"/>
      <c r="AC141" s="83"/>
    </row>
    <row r="142" spans="1:68" ht="27" hidden="1" customHeight="1" x14ac:dyDescent="0.25">
      <c r="A142" s="63" t="s">
        <v>244</v>
      </c>
      <c r="B142" s="63" t="s">
        <v>245</v>
      </c>
      <c r="C142" s="36">
        <v>4301190117</v>
      </c>
      <c r="D142" s="360">
        <v>4620207491386</v>
      </c>
      <c r="E142" s="360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118</v>
      </c>
      <c r="L142" s="37" t="s">
        <v>88</v>
      </c>
      <c r="M142" s="38" t="s">
        <v>86</v>
      </c>
      <c r="N142" s="38"/>
      <c r="O142" s="37">
        <v>180</v>
      </c>
      <c r="P142" s="421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2" s="362"/>
      <c r="R142" s="362"/>
      <c r="S142" s="362"/>
      <c r="T142" s="363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195" t="s">
        <v>246</v>
      </c>
      <c r="AG142" s="81"/>
      <c r="AJ142" s="87" t="s">
        <v>89</v>
      </c>
      <c r="AK142" s="87">
        <v>1</v>
      </c>
      <c r="BB142" s="196" t="s">
        <v>117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ht="27" hidden="1" customHeight="1" x14ac:dyDescent="0.25">
      <c r="A143" s="63" t="s">
        <v>247</v>
      </c>
      <c r="B143" s="63" t="s">
        <v>248</v>
      </c>
      <c r="C143" s="36">
        <v>4301190115</v>
      </c>
      <c r="D143" s="360">
        <v>4620207491362</v>
      </c>
      <c r="E143" s="360"/>
      <c r="F143" s="62">
        <v>0.18</v>
      </c>
      <c r="G143" s="37">
        <v>6</v>
      </c>
      <c r="H143" s="62">
        <v>1.08</v>
      </c>
      <c r="I143" s="62">
        <v>1.3979999999999999</v>
      </c>
      <c r="J143" s="37">
        <v>140</v>
      </c>
      <c r="K143" s="37" t="s">
        <v>118</v>
      </c>
      <c r="L143" s="37" t="s">
        <v>88</v>
      </c>
      <c r="M143" s="38" t="s">
        <v>86</v>
      </c>
      <c r="N143" s="38"/>
      <c r="O143" s="37">
        <v>180</v>
      </c>
      <c r="P143" s="422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3" s="362"/>
      <c r="R143" s="362"/>
      <c r="S143" s="362"/>
      <c r="T143" s="363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IFERROR(IF(X143="","",X143*0.00941),"")</f>
        <v>0</v>
      </c>
      <c r="AA143" s="68" t="s">
        <v>46</v>
      </c>
      <c r="AB143" s="69" t="s">
        <v>46</v>
      </c>
      <c r="AC143" s="197" t="s">
        <v>246</v>
      </c>
      <c r="AG143" s="81"/>
      <c r="AJ143" s="87" t="s">
        <v>89</v>
      </c>
      <c r="AK143" s="87">
        <v>1</v>
      </c>
      <c r="BB143" s="198" t="s">
        <v>117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ht="27" hidden="1" customHeight="1" x14ac:dyDescent="0.25">
      <c r="A144" s="63" t="s">
        <v>249</v>
      </c>
      <c r="B144" s="63" t="s">
        <v>250</v>
      </c>
      <c r="C144" s="36">
        <v>4301190116</v>
      </c>
      <c r="D144" s="360">
        <v>4620207491379</v>
      </c>
      <c r="E144" s="360"/>
      <c r="F144" s="62">
        <v>0.18</v>
      </c>
      <c r="G144" s="37">
        <v>6</v>
      </c>
      <c r="H144" s="62">
        <v>1.08</v>
      </c>
      <c r="I144" s="62">
        <v>1.3979999999999999</v>
      </c>
      <c r="J144" s="37">
        <v>140</v>
      </c>
      <c r="K144" s="37" t="s">
        <v>118</v>
      </c>
      <c r="L144" s="37" t="s">
        <v>88</v>
      </c>
      <c r="M144" s="38" t="s">
        <v>86</v>
      </c>
      <c r="N144" s="38"/>
      <c r="O144" s="37">
        <v>180</v>
      </c>
      <c r="P144" s="423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4" s="362"/>
      <c r="R144" s="362"/>
      <c r="S144" s="362"/>
      <c r="T144" s="363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IFERROR(IF(X144="","",X144*0.00941),"")</f>
        <v>0</v>
      </c>
      <c r="AA144" s="68" t="s">
        <v>46</v>
      </c>
      <c r="AB144" s="69" t="s">
        <v>46</v>
      </c>
      <c r="AC144" s="199" t="s">
        <v>246</v>
      </c>
      <c r="AG144" s="81"/>
      <c r="AJ144" s="87" t="s">
        <v>89</v>
      </c>
      <c r="AK144" s="87">
        <v>1</v>
      </c>
      <c r="BB144" s="200" t="s">
        <v>117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hidden="1" x14ac:dyDescent="0.2">
      <c r="A145" s="374"/>
      <c r="B145" s="374"/>
      <c r="C145" s="374"/>
      <c r="D145" s="374"/>
      <c r="E145" s="374"/>
      <c r="F145" s="374"/>
      <c r="G145" s="374"/>
      <c r="H145" s="374"/>
      <c r="I145" s="374"/>
      <c r="J145" s="374"/>
      <c r="K145" s="374"/>
      <c r="L145" s="374"/>
      <c r="M145" s="374"/>
      <c r="N145" s="374"/>
      <c r="O145" s="375"/>
      <c r="P145" s="371" t="s">
        <v>40</v>
      </c>
      <c r="Q145" s="372"/>
      <c r="R145" s="372"/>
      <c r="S145" s="372"/>
      <c r="T145" s="372"/>
      <c r="U145" s="372"/>
      <c r="V145" s="373"/>
      <c r="W145" s="42" t="s">
        <v>39</v>
      </c>
      <c r="X145" s="43">
        <f>IFERROR(SUM(X142:X144),"0")</f>
        <v>0</v>
      </c>
      <c r="Y145" s="43">
        <f>IFERROR(SUM(Y142:Y144),"0")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374"/>
      <c r="B146" s="374"/>
      <c r="C146" s="374"/>
      <c r="D146" s="374"/>
      <c r="E146" s="374"/>
      <c r="F146" s="374"/>
      <c r="G146" s="374"/>
      <c r="H146" s="374"/>
      <c r="I146" s="374"/>
      <c r="J146" s="374"/>
      <c r="K146" s="374"/>
      <c r="L146" s="374"/>
      <c r="M146" s="374"/>
      <c r="N146" s="374"/>
      <c r="O146" s="375"/>
      <c r="P146" s="371" t="s">
        <v>40</v>
      </c>
      <c r="Q146" s="372"/>
      <c r="R146" s="372"/>
      <c r="S146" s="372"/>
      <c r="T146" s="372"/>
      <c r="U146" s="372"/>
      <c r="V146" s="373"/>
      <c r="W146" s="42" t="s">
        <v>0</v>
      </c>
      <c r="X146" s="43">
        <f>IFERROR(SUMPRODUCT(X142:X144*H142:H144),"0")</f>
        <v>0</v>
      </c>
      <c r="Y146" s="43">
        <f>IFERROR(SUMPRODUCT(Y142:Y144*H142:H144),"0")</f>
        <v>0</v>
      </c>
      <c r="Z146" s="42"/>
      <c r="AA146" s="67"/>
      <c r="AB146" s="67"/>
      <c r="AC146" s="67"/>
    </row>
    <row r="147" spans="1:68" ht="16.5" hidden="1" customHeight="1" x14ac:dyDescent="0.25">
      <c r="A147" s="358" t="s">
        <v>251</v>
      </c>
      <c r="B147" s="358"/>
      <c r="C147" s="358"/>
      <c r="D147" s="358"/>
      <c r="E147" s="358"/>
      <c r="F147" s="358"/>
      <c r="G147" s="358"/>
      <c r="H147" s="358"/>
      <c r="I147" s="358"/>
      <c r="J147" s="358"/>
      <c r="K147" s="358"/>
      <c r="L147" s="358"/>
      <c r="M147" s="358"/>
      <c r="N147" s="358"/>
      <c r="O147" s="358"/>
      <c r="P147" s="358"/>
      <c r="Q147" s="358"/>
      <c r="R147" s="358"/>
      <c r="S147" s="358"/>
      <c r="T147" s="358"/>
      <c r="U147" s="358"/>
      <c r="V147" s="358"/>
      <c r="W147" s="358"/>
      <c r="X147" s="358"/>
      <c r="Y147" s="358"/>
      <c r="Z147" s="358"/>
      <c r="AA147" s="65"/>
      <c r="AB147" s="65"/>
      <c r="AC147" s="82"/>
    </row>
    <row r="148" spans="1:68" ht="14.25" hidden="1" customHeight="1" x14ac:dyDescent="0.25">
      <c r="A148" s="359" t="s">
        <v>157</v>
      </c>
      <c r="B148" s="359"/>
      <c r="C148" s="359"/>
      <c r="D148" s="359"/>
      <c r="E148" s="359"/>
      <c r="F148" s="359"/>
      <c r="G148" s="359"/>
      <c r="H148" s="359"/>
      <c r="I148" s="359"/>
      <c r="J148" s="359"/>
      <c r="K148" s="359"/>
      <c r="L148" s="359"/>
      <c r="M148" s="359"/>
      <c r="N148" s="359"/>
      <c r="O148" s="359"/>
      <c r="P148" s="359"/>
      <c r="Q148" s="359"/>
      <c r="R148" s="359"/>
      <c r="S148" s="359"/>
      <c r="T148" s="359"/>
      <c r="U148" s="359"/>
      <c r="V148" s="359"/>
      <c r="W148" s="359"/>
      <c r="X148" s="359"/>
      <c r="Y148" s="359"/>
      <c r="Z148" s="359"/>
      <c r="AA148" s="66"/>
      <c r="AB148" s="66"/>
      <c r="AC148" s="83"/>
    </row>
    <row r="149" spans="1:68" ht="27" customHeight="1" x14ac:dyDescent="0.25">
      <c r="A149" s="63" t="s">
        <v>252</v>
      </c>
      <c r="B149" s="63" t="s">
        <v>253</v>
      </c>
      <c r="C149" s="36">
        <v>4301135555</v>
      </c>
      <c r="D149" s="360">
        <v>4607111034014</v>
      </c>
      <c r="E149" s="360"/>
      <c r="F149" s="62">
        <v>0.25</v>
      </c>
      <c r="G149" s="37">
        <v>12</v>
      </c>
      <c r="H149" s="62">
        <v>3</v>
      </c>
      <c r="I149" s="62">
        <v>3.7035999999999998</v>
      </c>
      <c r="J149" s="37">
        <v>70</v>
      </c>
      <c r="K149" s="37" t="s">
        <v>118</v>
      </c>
      <c r="L149" s="37" t="s">
        <v>119</v>
      </c>
      <c r="M149" s="38" t="s">
        <v>86</v>
      </c>
      <c r="N149" s="38"/>
      <c r="O149" s="37">
        <v>180</v>
      </c>
      <c r="P149" s="42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9" s="362"/>
      <c r="R149" s="362"/>
      <c r="S149" s="362"/>
      <c r="T149" s="363"/>
      <c r="U149" s="39" t="s">
        <v>46</v>
      </c>
      <c r="V149" s="39" t="s">
        <v>46</v>
      </c>
      <c r="W149" s="40" t="s">
        <v>39</v>
      </c>
      <c r="X149" s="58">
        <v>98</v>
      </c>
      <c r="Y149" s="55">
        <f>IFERROR(IF(X149="","",X149),"")</f>
        <v>98</v>
      </c>
      <c r="Z149" s="41">
        <f>IFERROR(IF(X149="","",X149*0.01788),"")</f>
        <v>1.75224</v>
      </c>
      <c r="AA149" s="68" t="s">
        <v>46</v>
      </c>
      <c r="AB149" s="69" t="s">
        <v>46</v>
      </c>
      <c r="AC149" s="201" t="s">
        <v>254</v>
      </c>
      <c r="AG149" s="81"/>
      <c r="AJ149" s="87" t="s">
        <v>120</v>
      </c>
      <c r="AK149" s="87">
        <v>14</v>
      </c>
      <c r="BB149" s="202" t="s">
        <v>117</v>
      </c>
      <c r="BM149" s="81">
        <f>IFERROR(X149*I149,"0")</f>
        <v>362.95279999999997</v>
      </c>
      <c r="BN149" s="81">
        <f>IFERROR(Y149*I149,"0")</f>
        <v>362.95279999999997</v>
      </c>
      <c r="BO149" s="81">
        <f>IFERROR(X149/J149,"0")</f>
        <v>1.4</v>
      </c>
      <c r="BP149" s="81">
        <f>IFERROR(Y149/J149,"0")</f>
        <v>1.4</v>
      </c>
    </row>
    <row r="150" spans="1:68" ht="27" customHeight="1" x14ac:dyDescent="0.25">
      <c r="A150" s="63" t="s">
        <v>255</v>
      </c>
      <c r="B150" s="63" t="s">
        <v>256</v>
      </c>
      <c r="C150" s="36">
        <v>4301135532</v>
      </c>
      <c r="D150" s="360">
        <v>4607111033994</v>
      </c>
      <c r="E150" s="360"/>
      <c r="F150" s="62">
        <v>0.25</v>
      </c>
      <c r="G150" s="37">
        <v>12</v>
      </c>
      <c r="H150" s="62">
        <v>3</v>
      </c>
      <c r="I150" s="62">
        <v>3.7035999999999998</v>
      </c>
      <c r="J150" s="37">
        <v>70</v>
      </c>
      <c r="K150" s="37" t="s">
        <v>118</v>
      </c>
      <c r="L150" s="37" t="s">
        <v>119</v>
      </c>
      <c r="M150" s="38" t="s">
        <v>86</v>
      </c>
      <c r="N150" s="38"/>
      <c r="O150" s="37">
        <v>180</v>
      </c>
      <c r="P150" s="42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50" s="362"/>
      <c r="R150" s="362"/>
      <c r="S150" s="362"/>
      <c r="T150" s="363"/>
      <c r="U150" s="39" t="s">
        <v>46</v>
      </c>
      <c r="V150" s="39" t="s">
        <v>46</v>
      </c>
      <c r="W150" s="40" t="s">
        <v>39</v>
      </c>
      <c r="X150" s="58">
        <v>196</v>
      </c>
      <c r="Y150" s="55">
        <f>IFERROR(IF(X150="","",X150),"")</f>
        <v>196</v>
      </c>
      <c r="Z150" s="41">
        <f>IFERROR(IF(X150="","",X150*0.01788),"")</f>
        <v>3.50448</v>
      </c>
      <c r="AA150" s="68" t="s">
        <v>46</v>
      </c>
      <c r="AB150" s="69" t="s">
        <v>46</v>
      </c>
      <c r="AC150" s="203" t="s">
        <v>175</v>
      </c>
      <c r="AG150" s="81"/>
      <c r="AJ150" s="87" t="s">
        <v>120</v>
      </c>
      <c r="AK150" s="87">
        <v>14</v>
      </c>
      <c r="BB150" s="204" t="s">
        <v>117</v>
      </c>
      <c r="BM150" s="81">
        <f>IFERROR(X150*I150,"0")</f>
        <v>725.90559999999994</v>
      </c>
      <c r="BN150" s="81">
        <f>IFERROR(Y150*I150,"0")</f>
        <v>725.90559999999994</v>
      </c>
      <c r="BO150" s="81">
        <f>IFERROR(X150/J150,"0")</f>
        <v>2.8</v>
      </c>
      <c r="BP150" s="81">
        <f>IFERROR(Y150/J150,"0")</f>
        <v>2.8</v>
      </c>
    </row>
    <row r="151" spans="1:68" x14ac:dyDescent="0.2">
      <c r="A151" s="374"/>
      <c r="B151" s="374"/>
      <c r="C151" s="374"/>
      <c r="D151" s="374"/>
      <c r="E151" s="374"/>
      <c r="F151" s="374"/>
      <c r="G151" s="374"/>
      <c r="H151" s="374"/>
      <c r="I151" s="374"/>
      <c r="J151" s="374"/>
      <c r="K151" s="374"/>
      <c r="L151" s="374"/>
      <c r="M151" s="374"/>
      <c r="N151" s="374"/>
      <c r="O151" s="375"/>
      <c r="P151" s="371" t="s">
        <v>40</v>
      </c>
      <c r="Q151" s="372"/>
      <c r="R151" s="372"/>
      <c r="S151" s="372"/>
      <c r="T151" s="372"/>
      <c r="U151" s="372"/>
      <c r="V151" s="373"/>
      <c r="W151" s="42" t="s">
        <v>39</v>
      </c>
      <c r="X151" s="43">
        <f>IFERROR(SUM(X149:X150),"0")</f>
        <v>294</v>
      </c>
      <c r="Y151" s="43">
        <f>IFERROR(SUM(Y149:Y150),"0")</f>
        <v>294</v>
      </c>
      <c r="Z151" s="43">
        <f>IFERROR(IF(Z149="",0,Z149),"0")+IFERROR(IF(Z150="",0,Z150),"0")</f>
        <v>5.2567199999999996</v>
      </c>
      <c r="AA151" s="67"/>
      <c r="AB151" s="67"/>
      <c r="AC151" s="67"/>
    </row>
    <row r="152" spans="1:68" x14ac:dyDescent="0.2">
      <c r="A152" s="374"/>
      <c r="B152" s="374"/>
      <c r="C152" s="374"/>
      <c r="D152" s="374"/>
      <c r="E152" s="374"/>
      <c r="F152" s="374"/>
      <c r="G152" s="374"/>
      <c r="H152" s="374"/>
      <c r="I152" s="374"/>
      <c r="J152" s="374"/>
      <c r="K152" s="374"/>
      <c r="L152" s="374"/>
      <c r="M152" s="374"/>
      <c r="N152" s="374"/>
      <c r="O152" s="375"/>
      <c r="P152" s="371" t="s">
        <v>40</v>
      </c>
      <c r="Q152" s="372"/>
      <c r="R152" s="372"/>
      <c r="S152" s="372"/>
      <c r="T152" s="372"/>
      <c r="U152" s="372"/>
      <c r="V152" s="373"/>
      <c r="W152" s="42" t="s">
        <v>0</v>
      </c>
      <c r="X152" s="43">
        <f>IFERROR(SUMPRODUCT(X149:X150*H149:H150),"0")</f>
        <v>882</v>
      </c>
      <c r="Y152" s="43">
        <f>IFERROR(SUMPRODUCT(Y149:Y150*H149:H150),"0")</f>
        <v>882</v>
      </c>
      <c r="Z152" s="42"/>
      <c r="AA152" s="67"/>
      <c r="AB152" s="67"/>
      <c r="AC152" s="67"/>
    </row>
    <row r="153" spans="1:68" ht="16.5" hidden="1" customHeight="1" x14ac:dyDescent="0.25">
      <c r="A153" s="358" t="s">
        <v>257</v>
      </c>
      <c r="B153" s="358"/>
      <c r="C153" s="358"/>
      <c r="D153" s="358"/>
      <c r="E153" s="358"/>
      <c r="F153" s="358"/>
      <c r="G153" s="358"/>
      <c r="H153" s="358"/>
      <c r="I153" s="358"/>
      <c r="J153" s="358"/>
      <c r="K153" s="358"/>
      <c r="L153" s="358"/>
      <c r="M153" s="358"/>
      <c r="N153" s="358"/>
      <c r="O153" s="358"/>
      <c r="P153" s="358"/>
      <c r="Q153" s="358"/>
      <c r="R153" s="358"/>
      <c r="S153" s="358"/>
      <c r="T153" s="358"/>
      <c r="U153" s="358"/>
      <c r="V153" s="358"/>
      <c r="W153" s="358"/>
      <c r="X153" s="358"/>
      <c r="Y153" s="358"/>
      <c r="Z153" s="358"/>
      <c r="AA153" s="65"/>
      <c r="AB153" s="65"/>
      <c r="AC153" s="82"/>
    </row>
    <row r="154" spans="1:68" ht="14.25" hidden="1" customHeight="1" x14ac:dyDescent="0.25">
      <c r="A154" s="359" t="s">
        <v>157</v>
      </c>
      <c r="B154" s="359"/>
      <c r="C154" s="359"/>
      <c r="D154" s="359"/>
      <c r="E154" s="359"/>
      <c r="F154" s="359"/>
      <c r="G154" s="359"/>
      <c r="H154" s="359"/>
      <c r="I154" s="359"/>
      <c r="J154" s="359"/>
      <c r="K154" s="359"/>
      <c r="L154" s="359"/>
      <c r="M154" s="359"/>
      <c r="N154" s="359"/>
      <c r="O154" s="359"/>
      <c r="P154" s="359"/>
      <c r="Q154" s="359"/>
      <c r="R154" s="359"/>
      <c r="S154" s="359"/>
      <c r="T154" s="359"/>
      <c r="U154" s="359"/>
      <c r="V154" s="359"/>
      <c r="W154" s="359"/>
      <c r="X154" s="359"/>
      <c r="Y154" s="359"/>
      <c r="Z154" s="359"/>
      <c r="AA154" s="66"/>
      <c r="AB154" s="66"/>
      <c r="AC154" s="83"/>
    </row>
    <row r="155" spans="1:68" ht="27" customHeight="1" x14ac:dyDescent="0.25">
      <c r="A155" s="63" t="s">
        <v>258</v>
      </c>
      <c r="B155" s="63" t="s">
        <v>259</v>
      </c>
      <c r="C155" s="36">
        <v>4301135824</v>
      </c>
      <c r="D155" s="360">
        <v>4607111039095</v>
      </c>
      <c r="E155" s="360"/>
      <c r="F155" s="62">
        <v>0.25</v>
      </c>
      <c r="G155" s="37">
        <v>12</v>
      </c>
      <c r="H155" s="62">
        <v>3</v>
      </c>
      <c r="I155" s="62">
        <v>3.7480000000000002</v>
      </c>
      <c r="J155" s="37">
        <v>70</v>
      </c>
      <c r="K155" s="37" t="s">
        <v>118</v>
      </c>
      <c r="L155" s="37" t="s">
        <v>88</v>
      </c>
      <c r="M155" s="38" t="s">
        <v>86</v>
      </c>
      <c r="N155" s="38"/>
      <c r="O155" s="37">
        <v>180</v>
      </c>
      <c r="P155" s="42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5" s="362"/>
      <c r="R155" s="362"/>
      <c r="S155" s="362"/>
      <c r="T155" s="363"/>
      <c r="U155" s="39" t="s">
        <v>46</v>
      </c>
      <c r="V155" s="39" t="s">
        <v>46</v>
      </c>
      <c r="W155" s="40" t="s">
        <v>39</v>
      </c>
      <c r="X155" s="58">
        <v>28</v>
      </c>
      <c r="Y155" s="55">
        <f>IFERROR(IF(X155="","",X155),"")</f>
        <v>28</v>
      </c>
      <c r="Z155" s="41">
        <f>IFERROR(IF(X155="","",X155*0.01788),"")</f>
        <v>0.50063999999999997</v>
      </c>
      <c r="AA155" s="68" t="s">
        <v>46</v>
      </c>
      <c r="AB155" s="69" t="s">
        <v>46</v>
      </c>
      <c r="AC155" s="205" t="s">
        <v>260</v>
      </c>
      <c r="AG155" s="81"/>
      <c r="AJ155" s="87" t="s">
        <v>89</v>
      </c>
      <c r="AK155" s="87">
        <v>1</v>
      </c>
      <c r="BB155" s="206" t="s">
        <v>117</v>
      </c>
      <c r="BM155" s="81">
        <f>IFERROR(X155*I155,"0")</f>
        <v>104.944</v>
      </c>
      <c r="BN155" s="81">
        <f>IFERROR(Y155*I155,"0")</f>
        <v>104.944</v>
      </c>
      <c r="BO155" s="81">
        <f>IFERROR(X155/J155,"0")</f>
        <v>0.4</v>
      </c>
      <c r="BP155" s="81">
        <f>IFERROR(Y155/J155,"0")</f>
        <v>0.4</v>
      </c>
    </row>
    <row r="156" spans="1:68" ht="16.5" customHeight="1" x14ac:dyDescent="0.25">
      <c r="A156" s="63" t="s">
        <v>261</v>
      </c>
      <c r="B156" s="63" t="s">
        <v>262</v>
      </c>
      <c r="C156" s="36">
        <v>4301135550</v>
      </c>
      <c r="D156" s="360">
        <v>4607111034199</v>
      </c>
      <c r="E156" s="360"/>
      <c r="F156" s="62">
        <v>0.25</v>
      </c>
      <c r="G156" s="37">
        <v>12</v>
      </c>
      <c r="H156" s="62">
        <v>3</v>
      </c>
      <c r="I156" s="62">
        <v>3.7035999999999998</v>
      </c>
      <c r="J156" s="37">
        <v>70</v>
      </c>
      <c r="K156" s="37" t="s">
        <v>118</v>
      </c>
      <c r="L156" s="37" t="s">
        <v>119</v>
      </c>
      <c r="M156" s="38" t="s">
        <v>86</v>
      </c>
      <c r="N156" s="38"/>
      <c r="O156" s="37">
        <v>180</v>
      </c>
      <c r="P156" s="427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6" s="362"/>
      <c r="R156" s="362"/>
      <c r="S156" s="362"/>
      <c r="T156" s="363"/>
      <c r="U156" s="39" t="s">
        <v>46</v>
      </c>
      <c r="V156" s="39" t="s">
        <v>46</v>
      </c>
      <c r="W156" s="40" t="s">
        <v>39</v>
      </c>
      <c r="X156" s="58">
        <v>28</v>
      </c>
      <c r="Y156" s="55">
        <f>IFERROR(IF(X156="","",X156),"")</f>
        <v>28</v>
      </c>
      <c r="Z156" s="41">
        <f>IFERROR(IF(X156="","",X156*0.01788),"")</f>
        <v>0.50063999999999997</v>
      </c>
      <c r="AA156" s="68" t="s">
        <v>46</v>
      </c>
      <c r="AB156" s="69" t="s">
        <v>46</v>
      </c>
      <c r="AC156" s="207" t="s">
        <v>263</v>
      </c>
      <c r="AG156" s="81"/>
      <c r="AJ156" s="87" t="s">
        <v>120</v>
      </c>
      <c r="AK156" s="87">
        <v>14</v>
      </c>
      <c r="BB156" s="208" t="s">
        <v>117</v>
      </c>
      <c r="BM156" s="81">
        <f>IFERROR(X156*I156,"0")</f>
        <v>103.70079999999999</v>
      </c>
      <c r="BN156" s="81">
        <f>IFERROR(Y156*I156,"0")</f>
        <v>103.70079999999999</v>
      </c>
      <c r="BO156" s="81">
        <f>IFERROR(X156/J156,"0")</f>
        <v>0.4</v>
      </c>
      <c r="BP156" s="81">
        <f>IFERROR(Y156/J156,"0")</f>
        <v>0.4</v>
      </c>
    </row>
    <row r="157" spans="1:68" x14ac:dyDescent="0.2">
      <c r="A157" s="374"/>
      <c r="B157" s="374"/>
      <c r="C157" s="374"/>
      <c r="D157" s="374"/>
      <c r="E157" s="374"/>
      <c r="F157" s="374"/>
      <c r="G157" s="374"/>
      <c r="H157" s="374"/>
      <c r="I157" s="374"/>
      <c r="J157" s="374"/>
      <c r="K157" s="374"/>
      <c r="L157" s="374"/>
      <c r="M157" s="374"/>
      <c r="N157" s="374"/>
      <c r="O157" s="375"/>
      <c r="P157" s="371" t="s">
        <v>40</v>
      </c>
      <c r="Q157" s="372"/>
      <c r="R157" s="372"/>
      <c r="S157" s="372"/>
      <c r="T157" s="372"/>
      <c r="U157" s="372"/>
      <c r="V157" s="373"/>
      <c r="W157" s="42" t="s">
        <v>39</v>
      </c>
      <c r="X157" s="43">
        <f>IFERROR(SUM(X155:X156),"0")</f>
        <v>56</v>
      </c>
      <c r="Y157" s="43">
        <f>IFERROR(SUM(Y155:Y156),"0")</f>
        <v>56</v>
      </c>
      <c r="Z157" s="43">
        <f>IFERROR(IF(Z155="",0,Z155),"0")+IFERROR(IF(Z156="",0,Z156),"0")</f>
        <v>1.0012799999999999</v>
      </c>
      <c r="AA157" s="67"/>
      <c r="AB157" s="67"/>
      <c r="AC157" s="67"/>
    </row>
    <row r="158" spans="1:68" x14ac:dyDescent="0.2">
      <c r="A158" s="374"/>
      <c r="B158" s="374"/>
      <c r="C158" s="374"/>
      <c r="D158" s="374"/>
      <c r="E158" s="374"/>
      <c r="F158" s="374"/>
      <c r="G158" s="374"/>
      <c r="H158" s="374"/>
      <c r="I158" s="374"/>
      <c r="J158" s="374"/>
      <c r="K158" s="374"/>
      <c r="L158" s="374"/>
      <c r="M158" s="374"/>
      <c r="N158" s="374"/>
      <c r="O158" s="375"/>
      <c r="P158" s="371" t="s">
        <v>40</v>
      </c>
      <c r="Q158" s="372"/>
      <c r="R158" s="372"/>
      <c r="S158" s="372"/>
      <c r="T158" s="372"/>
      <c r="U158" s="372"/>
      <c r="V158" s="373"/>
      <c r="W158" s="42" t="s">
        <v>0</v>
      </c>
      <c r="X158" s="43">
        <f>IFERROR(SUMPRODUCT(X155:X156*H155:H156),"0")</f>
        <v>168</v>
      </c>
      <c r="Y158" s="43">
        <f>IFERROR(SUMPRODUCT(Y155:Y156*H155:H156),"0")</f>
        <v>168</v>
      </c>
      <c r="Z158" s="42"/>
      <c r="AA158" s="67"/>
      <c r="AB158" s="67"/>
      <c r="AC158" s="67"/>
    </row>
    <row r="159" spans="1:68" ht="16.5" hidden="1" customHeight="1" x14ac:dyDescent="0.25">
      <c r="A159" s="358" t="s">
        <v>264</v>
      </c>
      <c r="B159" s="358"/>
      <c r="C159" s="358"/>
      <c r="D159" s="358"/>
      <c r="E159" s="358"/>
      <c r="F159" s="358"/>
      <c r="G159" s="358"/>
      <c r="H159" s="358"/>
      <c r="I159" s="358"/>
      <c r="J159" s="358"/>
      <c r="K159" s="358"/>
      <c r="L159" s="358"/>
      <c r="M159" s="358"/>
      <c r="N159" s="358"/>
      <c r="O159" s="358"/>
      <c r="P159" s="358"/>
      <c r="Q159" s="358"/>
      <c r="R159" s="358"/>
      <c r="S159" s="358"/>
      <c r="T159" s="358"/>
      <c r="U159" s="358"/>
      <c r="V159" s="358"/>
      <c r="W159" s="358"/>
      <c r="X159" s="358"/>
      <c r="Y159" s="358"/>
      <c r="Z159" s="358"/>
      <c r="AA159" s="65"/>
      <c r="AB159" s="65"/>
      <c r="AC159" s="82"/>
    </row>
    <row r="160" spans="1:68" ht="14.25" hidden="1" customHeight="1" x14ac:dyDescent="0.25">
      <c r="A160" s="359" t="s">
        <v>157</v>
      </c>
      <c r="B160" s="359"/>
      <c r="C160" s="359"/>
      <c r="D160" s="359"/>
      <c r="E160" s="359"/>
      <c r="F160" s="359"/>
      <c r="G160" s="359"/>
      <c r="H160" s="359"/>
      <c r="I160" s="359"/>
      <c r="J160" s="359"/>
      <c r="K160" s="359"/>
      <c r="L160" s="359"/>
      <c r="M160" s="359"/>
      <c r="N160" s="359"/>
      <c r="O160" s="359"/>
      <c r="P160" s="359"/>
      <c r="Q160" s="359"/>
      <c r="R160" s="359"/>
      <c r="S160" s="359"/>
      <c r="T160" s="359"/>
      <c r="U160" s="359"/>
      <c r="V160" s="359"/>
      <c r="W160" s="359"/>
      <c r="X160" s="359"/>
      <c r="Y160" s="359"/>
      <c r="Z160" s="359"/>
      <c r="AA160" s="66"/>
      <c r="AB160" s="66"/>
      <c r="AC160" s="83"/>
    </row>
    <row r="161" spans="1:68" ht="27" customHeight="1" x14ac:dyDescent="0.25">
      <c r="A161" s="63" t="s">
        <v>265</v>
      </c>
      <c r="B161" s="63" t="s">
        <v>266</v>
      </c>
      <c r="C161" s="36">
        <v>4301135753</v>
      </c>
      <c r="D161" s="360">
        <v>4620207490914</v>
      </c>
      <c r="E161" s="360"/>
      <c r="F161" s="62">
        <v>0.2</v>
      </c>
      <c r="G161" s="37">
        <v>12</v>
      </c>
      <c r="H161" s="62">
        <v>2.4</v>
      </c>
      <c r="I161" s="62">
        <v>2.68</v>
      </c>
      <c r="J161" s="37">
        <v>70</v>
      </c>
      <c r="K161" s="37" t="s">
        <v>118</v>
      </c>
      <c r="L161" s="37" t="s">
        <v>88</v>
      </c>
      <c r="M161" s="38" t="s">
        <v>86</v>
      </c>
      <c r="N161" s="38"/>
      <c r="O161" s="37">
        <v>180</v>
      </c>
      <c r="P161" s="42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1" s="362"/>
      <c r="R161" s="362"/>
      <c r="S161" s="362"/>
      <c r="T161" s="363"/>
      <c r="U161" s="39" t="s">
        <v>46</v>
      </c>
      <c r="V161" s="39" t="s">
        <v>46</v>
      </c>
      <c r="W161" s="40" t="s">
        <v>39</v>
      </c>
      <c r="X161" s="58">
        <v>28</v>
      </c>
      <c r="Y161" s="55">
        <f>IFERROR(IF(X161="","",X161),"")</f>
        <v>28</v>
      </c>
      <c r="Z161" s="41">
        <f>IFERROR(IF(X161="","",X161*0.01788),"")</f>
        <v>0.50063999999999997</v>
      </c>
      <c r="AA161" s="68" t="s">
        <v>46</v>
      </c>
      <c r="AB161" s="69" t="s">
        <v>46</v>
      </c>
      <c r="AC161" s="209" t="s">
        <v>254</v>
      </c>
      <c r="AG161" s="81"/>
      <c r="AJ161" s="87" t="s">
        <v>89</v>
      </c>
      <c r="AK161" s="87">
        <v>1</v>
      </c>
      <c r="BB161" s="210" t="s">
        <v>117</v>
      </c>
      <c r="BM161" s="81">
        <f>IFERROR(X161*I161,"0")</f>
        <v>75.040000000000006</v>
      </c>
      <c r="BN161" s="81">
        <f>IFERROR(Y161*I161,"0")</f>
        <v>75.040000000000006</v>
      </c>
      <c r="BO161" s="81">
        <f>IFERROR(X161/J161,"0")</f>
        <v>0.4</v>
      </c>
      <c r="BP161" s="81">
        <f>IFERROR(Y161/J161,"0")</f>
        <v>0.4</v>
      </c>
    </row>
    <row r="162" spans="1:68" ht="27" customHeight="1" x14ac:dyDescent="0.25">
      <c r="A162" s="63" t="s">
        <v>267</v>
      </c>
      <c r="B162" s="63" t="s">
        <v>268</v>
      </c>
      <c r="C162" s="36">
        <v>4301135778</v>
      </c>
      <c r="D162" s="360">
        <v>4620207490853</v>
      </c>
      <c r="E162" s="360"/>
      <c r="F162" s="62">
        <v>0.2</v>
      </c>
      <c r="G162" s="37">
        <v>12</v>
      </c>
      <c r="H162" s="62">
        <v>2.4</v>
      </c>
      <c r="I162" s="62">
        <v>2.68</v>
      </c>
      <c r="J162" s="37">
        <v>70</v>
      </c>
      <c r="K162" s="37" t="s">
        <v>118</v>
      </c>
      <c r="L162" s="37" t="s">
        <v>119</v>
      </c>
      <c r="M162" s="38" t="s">
        <v>86</v>
      </c>
      <c r="N162" s="38"/>
      <c r="O162" s="37">
        <v>180</v>
      </c>
      <c r="P162" s="429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2" s="362"/>
      <c r="R162" s="362"/>
      <c r="S162" s="362"/>
      <c r="T162" s="363"/>
      <c r="U162" s="39" t="s">
        <v>46</v>
      </c>
      <c r="V162" s="39" t="s">
        <v>46</v>
      </c>
      <c r="W162" s="40" t="s">
        <v>39</v>
      </c>
      <c r="X162" s="58">
        <v>42</v>
      </c>
      <c r="Y162" s="55">
        <f>IFERROR(IF(X162="","",X162),"")</f>
        <v>42</v>
      </c>
      <c r="Z162" s="41">
        <f>IFERROR(IF(X162="","",X162*0.01788),"")</f>
        <v>0.75095999999999996</v>
      </c>
      <c r="AA162" s="68" t="s">
        <v>46</v>
      </c>
      <c r="AB162" s="69" t="s">
        <v>46</v>
      </c>
      <c r="AC162" s="211" t="s">
        <v>254</v>
      </c>
      <c r="AG162" s="81"/>
      <c r="AJ162" s="87" t="s">
        <v>120</v>
      </c>
      <c r="AK162" s="87">
        <v>14</v>
      </c>
      <c r="BB162" s="212" t="s">
        <v>117</v>
      </c>
      <c r="BM162" s="81">
        <f>IFERROR(X162*I162,"0")</f>
        <v>112.56</v>
      </c>
      <c r="BN162" s="81">
        <f>IFERROR(Y162*I162,"0")</f>
        <v>112.56</v>
      </c>
      <c r="BO162" s="81">
        <f>IFERROR(X162/J162,"0")</f>
        <v>0.6</v>
      </c>
      <c r="BP162" s="81">
        <f>IFERROR(Y162/J162,"0")</f>
        <v>0.6</v>
      </c>
    </row>
    <row r="163" spans="1:68" x14ac:dyDescent="0.2">
      <c r="A163" s="374"/>
      <c r="B163" s="374"/>
      <c r="C163" s="374"/>
      <c r="D163" s="374"/>
      <c r="E163" s="374"/>
      <c r="F163" s="374"/>
      <c r="G163" s="374"/>
      <c r="H163" s="374"/>
      <c r="I163" s="374"/>
      <c r="J163" s="374"/>
      <c r="K163" s="374"/>
      <c r="L163" s="374"/>
      <c r="M163" s="374"/>
      <c r="N163" s="374"/>
      <c r="O163" s="375"/>
      <c r="P163" s="371" t="s">
        <v>40</v>
      </c>
      <c r="Q163" s="372"/>
      <c r="R163" s="372"/>
      <c r="S163" s="372"/>
      <c r="T163" s="372"/>
      <c r="U163" s="372"/>
      <c r="V163" s="373"/>
      <c r="W163" s="42" t="s">
        <v>39</v>
      </c>
      <c r="X163" s="43">
        <f>IFERROR(SUM(X161:X162),"0")</f>
        <v>70</v>
      </c>
      <c r="Y163" s="43">
        <f>IFERROR(SUM(Y161:Y162),"0")</f>
        <v>70</v>
      </c>
      <c r="Z163" s="43">
        <f>IFERROR(IF(Z161="",0,Z161),"0")+IFERROR(IF(Z162="",0,Z162),"0")</f>
        <v>1.2515999999999998</v>
      </c>
      <c r="AA163" s="67"/>
      <c r="AB163" s="67"/>
      <c r="AC163" s="67"/>
    </row>
    <row r="164" spans="1:68" x14ac:dyDescent="0.2">
      <c r="A164" s="374"/>
      <c r="B164" s="374"/>
      <c r="C164" s="374"/>
      <c r="D164" s="374"/>
      <c r="E164" s="374"/>
      <c r="F164" s="374"/>
      <c r="G164" s="374"/>
      <c r="H164" s="374"/>
      <c r="I164" s="374"/>
      <c r="J164" s="374"/>
      <c r="K164" s="374"/>
      <c r="L164" s="374"/>
      <c r="M164" s="374"/>
      <c r="N164" s="374"/>
      <c r="O164" s="375"/>
      <c r="P164" s="371" t="s">
        <v>40</v>
      </c>
      <c r="Q164" s="372"/>
      <c r="R164" s="372"/>
      <c r="S164" s="372"/>
      <c r="T164" s="372"/>
      <c r="U164" s="372"/>
      <c r="V164" s="373"/>
      <c r="W164" s="42" t="s">
        <v>0</v>
      </c>
      <c r="X164" s="43">
        <f>IFERROR(SUMPRODUCT(X161:X162*H161:H162),"0")</f>
        <v>168</v>
      </c>
      <c r="Y164" s="43">
        <f>IFERROR(SUMPRODUCT(Y161:Y162*H161:H162),"0")</f>
        <v>168</v>
      </c>
      <c r="Z164" s="42"/>
      <c r="AA164" s="67"/>
      <c r="AB164" s="67"/>
      <c r="AC164" s="67"/>
    </row>
    <row r="165" spans="1:68" ht="16.5" hidden="1" customHeight="1" x14ac:dyDescent="0.25">
      <c r="A165" s="358" t="s">
        <v>269</v>
      </c>
      <c r="B165" s="358"/>
      <c r="C165" s="358"/>
      <c r="D165" s="358"/>
      <c r="E165" s="358"/>
      <c r="F165" s="358"/>
      <c r="G165" s="358"/>
      <c r="H165" s="358"/>
      <c r="I165" s="358"/>
      <c r="J165" s="358"/>
      <c r="K165" s="358"/>
      <c r="L165" s="358"/>
      <c r="M165" s="358"/>
      <c r="N165" s="358"/>
      <c r="O165" s="358"/>
      <c r="P165" s="358"/>
      <c r="Q165" s="358"/>
      <c r="R165" s="358"/>
      <c r="S165" s="358"/>
      <c r="T165" s="358"/>
      <c r="U165" s="358"/>
      <c r="V165" s="358"/>
      <c r="W165" s="358"/>
      <c r="X165" s="358"/>
      <c r="Y165" s="358"/>
      <c r="Z165" s="358"/>
      <c r="AA165" s="65"/>
      <c r="AB165" s="65"/>
      <c r="AC165" s="82"/>
    </row>
    <row r="166" spans="1:68" ht="14.25" hidden="1" customHeight="1" x14ac:dyDescent="0.25">
      <c r="A166" s="359" t="s">
        <v>157</v>
      </c>
      <c r="B166" s="359"/>
      <c r="C166" s="359"/>
      <c r="D166" s="359"/>
      <c r="E166" s="359"/>
      <c r="F166" s="359"/>
      <c r="G166" s="359"/>
      <c r="H166" s="359"/>
      <c r="I166" s="359"/>
      <c r="J166" s="359"/>
      <c r="K166" s="359"/>
      <c r="L166" s="359"/>
      <c r="M166" s="359"/>
      <c r="N166" s="359"/>
      <c r="O166" s="359"/>
      <c r="P166" s="359"/>
      <c r="Q166" s="359"/>
      <c r="R166" s="359"/>
      <c r="S166" s="359"/>
      <c r="T166" s="359"/>
      <c r="U166" s="359"/>
      <c r="V166" s="359"/>
      <c r="W166" s="359"/>
      <c r="X166" s="359"/>
      <c r="Y166" s="359"/>
      <c r="Z166" s="359"/>
      <c r="AA166" s="66"/>
      <c r="AB166" s="66"/>
      <c r="AC166" s="83"/>
    </row>
    <row r="167" spans="1:68" ht="27" customHeight="1" x14ac:dyDescent="0.25">
      <c r="A167" s="63" t="s">
        <v>270</v>
      </c>
      <c r="B167" s="63" t="s">
        <v>271</v>
      </c>
      <c r="C167" s="36">
        <v>4301135570</v>
      </c>
      <c r="D167" s="360">
        <v>4607111035806</v>
      </c>
      <c r="E167" s="360"/>
      <c r="F167" s="62">
        <v>0.25</v>
      </c>
      <c r="G167" s="37">
        <v>12</v>
      </c>
      <c r="H167" s="62">
        <v>3</v>
      </c>
      <c r="I167" s="62">
        <v>3.7035999999999998</v>
      </c>
      <c r="J167" s="37">
        <v>70</v>
      </c>
      <c r="K167" s="37" t="s">
        <v>118</v>
      </c>
      <c r="L167" s="37" t="s">
        <v>119</v>
      </c>
      <c r="M167" s="38" t="s">
        <v>86</v>
      </c>
      <c r="N167" s="38"/>
      <c r="O167" s="37">
        <v>180</v>
      </c>
      <c r="P167" s="430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7" s="362"/>
      <c r="R167" s="362"/>
      <c r="S167" s="362"/>
      <c r="T167" s="363"/>
      <c r="U167" s="39" t="s">
        <v>46</v>
      </c>
      <c r="V167" s="39" t="s">
        <v>46</v>
      </c>
      <c r="W167" s="40" t="s">
        <v>39</v>
      </c>
      <c r="X167" s="58">
        <v>14</v>
      </c>
      <c r="Y167" s="55">
        <f>IFERROR(IF(X167="","",X167),"")</f>
        <v>14</v>
      </c>
      <c r="Z167" s="41">
        <f>IFERROR(IF(X167="","",X167*0.01788),"")</f>
        <v>0.25031999999999999</v>
      </c>
      <c r="AA167" s="68" t="s">
        <v>46</v>
      </c>
      <c r="AB167" s="69" t="s">
        <v>46</v>
      </c>
      <c r="AC167" s="213" t="s">
        <v>272</v>
      </c>
      <c r="AG167" s="81"/>
      <c r="AJ167" s="87" t="s">
        <v>120</v>
      </c>
      <c r="AK167" s="87">
        <v>14</v>
      </c>
      <c r="BB167" s="214" t="s">
        <v>117</v>
      </c>
      <c r="BM167" s="81">
        <f>IFERROR(X167*I167,"0")</f>
        <v>51.850399999999993</v>
      </c>
      <c r="BN167" s="81">
        <f>IFERROR(Y167*I167,"0")</f>
        <v>51.850399999999993</v>
      </c>
      <c r="BO167" s="81">
        <f>IFERROR(X167/J167,"0")</f>
        <v>0.2</v>
      </c>
      <c r="BP167" s="81">
        <f>IFERROR(Y167/J167,"0")</f>
        <v>0.2</v>
      </c>
    </row>
    <row r="168" spans="1:68" x14ac:dyDescent="0.2">
      <c r="A168" s="374"/>
      <c r="B168" s="374"/>
      <c r="C168" s="374"/>
      <c r="D168" s="374"/>
      <c r="E168" s="374"/>
      <c r="F168" s="374"/>
      <c r="G168" s="374"/>
      <c r="H168" s="374"/>
      <c r="I168" s="374"/>
      <c r="J168" s="374"/>
      <c r="K168" s="374"/>
      <c r="L168" s="374"/>
      <c r="M168" s="374"/>
      <c r="N168" s="374"/>
      <c r="O168" s="375"/>
      <c r="P168" s="371" t="s">
        <v>40</v>
      </c>
      <c r="Q168" s="372"/>
      <c r="R168" s="372"/>
      <c r="S168" s="372"/>
      <c r="T168" s="372"/>
      <c r="U168" s="372"/>
      <c r="V168" s="373"/>
      <c r="W168" s="42" t="s">
        <v>39</v>
      </c>
      <c r="X168" s="43">
        <f>IFERROR(SUM(X167:X167),"0")</f>
        <v>14</v>
      </c>
      <c r="Y168" s="43">
        <f>IFERROR(SUM(Y167:Y167),"0")</f>
        <v>14</v>
      </c>
      <c r="Z168" s="43">
        <f>IFERROR(IF(Z167="",0,Z167),"0")</f>
        <v>0.25031999999999999</v>
      </c>
      <c r="AA168" s="67"/>
      <c r="AB168" s="67"/>
      <c r="AC168" s="67"/>
    </row>
    <row r="169" spans="1:68" x14ac:dyDescent="0.2">
      <c r="A169" s="374"/>
      <c r="B169" s="374"/>
      <c r="C169" s="374"/>
      <c r="D169" s="374"/>
      <c r="E169" s="374"/>
      <c r="F169" s="374"/>
      <c r="G169" s="374"/>
      <c r="H169" s="374"/>
      <c r="I169" s="374"/>
      <c r="J169" s="374"/>
      <c r="K169" s="374"/>
      <c r="L169" s="374"/>
      <c r="M169" s="374"/>
      <c r="N169" s="374"/>
      <c r="O169" s="375"/>
      <c r="P169" s="371" t="s">
        <v>40</v>
      </c>
      <c r="Q169" s="372"/>
      <c r="R169" s="372"/>
      <c r="S169" s="372"/>
      <c r="T169" s="372"/>
      <c r="U169" s="372"/>
      <c r="V169" s="373"/>
      <c r="W169" s="42" t="s">
        <v>0</v>
      </c>
      <c r="X169" s="43">
        <f>IFERROR(SUMPRODUCT(X167:X167*H167:H167),"0")</f>
        <v>42</v>
      </c>
      <c r="Y169" s="43">
        <f>IFERROR(SUMPRODUCT(Y167:Y167*H167:H167),"0")</f>
        <v>42</v>
      </c>
      <c r="Z169" s="42"/>
      <c r="AA169" s="67"/>
      <c r="AB169" s="67"/>
      <c r="AC169" s="67"/>
    </row>
    <row r="170" spans="1:68" ht="16.5" hidden="1" customHeight="1" x14ac:dyDescent="0.25">
      <c r="A170" s="358" t="s">
        <v>273</v>
      </c>
      <c r="B170" s="358"/>
      <c r="C170" s="358"/>
      <c r="D170" s="358"/>
      <c r="E170" s="358"/>
      <c r="F170" s="358"/>
      <c r="G170" s="358"/>
      <c r="H170" s="358"/>
      <c r="I170" s="358"/>
      <c r="J170" s="358"/>
      <c r="K170" s="358"/>
      <c r="L170" s="358"/>
      <c r="M170" s="358"/>
      <c r="N170" s="358"/>
      <c r="O170" s="358"/>
      <c r="P170" s="358"/>
      <c r="Q170" s="358"/>
      <c r="R170" s="358"/>
      <c r="S170" s="358"/>
      <c r="T170" s="358"/>
      <c r="U170" s="358"/>
      <c r="V170" s="358"/>
      <c r="W170" s="358"/>
      <c r="X170" s="358"/>
      <c r="Y170" s="358"/>
      <c r="Z170" s="358"/>
      <c r="AA170" s="65"/>
      <c r="AB170" s="65"/>
      <c r="AC170" s="82"/>
    </row>
    <row r="171" spans="1:68" ht="14.25" hidden="1" customHeight="1" x14ac:dyDescent="0.25">
      <c r="A171" s="359" t="s">
        <v>157</v>
      </c>
      <c r="B171" s="359"/>
      <c r="C171" s="359"/>
      <c r="D171" s="359"/>
      <c r="E171" s="359"/>
      <c r="F171" s="359"/>
      <c r="G171" s="359"/>
      <c r="H171" s="359"/>
      <c r="I171" s="359"/>
      <c r="J171" s="359"/>
      <c r="K171" s="359"/>
      <c r="L171" s="359"/>
      <c r="M171" s="359"/>
      <c r="N171" s="359"/>
      <c r="O171" s="359"/>
      <c r="P171" s="359"/>
      <c r="Q171" s="359"/>
      <c r="R171" s="359"/>
      <c r="S171" s="359"/>
      <c r="T171" s="359"/>
      <c r="U171" s="359"/>
      <c r="V171" s="359"/>
      <c r="W171" s="359"/>
      <c r="X171" s="359"/>
      <c r="Y171" s="359"/>
      <c r="Z171" s="359"/>
      <c r="AA171" s="66"/>
      <c r="AB171" s="66"/>
      <c r="AC171" s="83"/>
    </row>
    <row r="172" spans="1:68" ht="16.5" customHeight="1" x14ac:dyDescent="0.25">
      <c r="A172" s="63" t="s">
        <v>274</v>
      </c>
      <c r="B172" s="63" t="s">
        <v>275</v>
      </c>
      <c r="C172" s="36">
        <v>4301135607</v>
      </c>
      <c r="D172" s="360">
        <v>4607111039613</v>
      </c>
      <c r="E172" s="360"/>
      <c r="F172" s="62">
        <v>0.09</v>
      </c>
      <c r="G172" s="37">
        <v>30</v>
      </c>
      <c r="H172" s="62">
        <v>2.7</v>
      </c>
      <c r="I172" s="62">
        <v>3.09</v>
      </c>
      <c r="J172" s="37">
        <v>126</v>
      </c>
      <c r="K172" s="37" t="s">
        <v>118</v>
      </c>
      <c r="L172" s="37" t="s">
        <v>119</v>
      </c>
      <c r="M172" s="38" t="s">
        <v>86</v>
      </c>
      <c r="N172" s="38"/>
      <c r="O172" s="37">
        <v>180</v>
      </c>
      <c r="P172" s="43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2" s="362"/>
      <c r="R172" s="362"/>
      <c r="S172" s="362"/>
      <c r="T172" s="363"/>
      <c r="U172" s="39" t="s">
        <v>46</v>
      </c>
      <c r="V172" s="39" t="s">
        <v>46</v>
      </c>
      <c r="W172" s="40" t="s">
        <v>39</v>
      </c>
      <c r="X172" s="58">
        <v>14</v>
      </c>
      <c r="Y172" s="55">
        <f>IFERROR(IF(X172="","",X172),"")</f>
        <v>14</v>
      </c>
      <c r="Z172" s="41">
        <f>IFERROR(IF(X172="","",X172*0.00936),"")</f>
        <v>0.13103999999999999</v>
      </c>
      <c r="AA172" s="68" t="s">
        <v>46</v>
      </c>
      <c r="AB172" s="69" t="s">
        <v>46</v>
      </c>
      <c r="AC172" s="215" t="s">
        <v>260</v>
      </c>
      <c r="AG172" s="81"/>
      <c r="AJ172" s="87" t="s">
        <v>120</v>
      </c>
      <c r="AK172" s="87">
        <v>14</v>
      </c>
      <c r="BB172" s="216" t="s">
        <v>117</v>
      </c>
      <c r="BM172" s="81">
        <f>IFERROR(X172*I172,"0")</f>
        <v>43.26</v>
      </c>
      <c r="BN172" s="81">
        <f>IFERROR(Y172*I172,"0")</f>
        <v>43.26</v>
      </c>
      <c r="BO172" s="81">
        <f>IFERROR(X172/J172,"0")</f>
        <v>0.1111111111111111</v>
      </c>
      <c r="BP172" s="81">
        <f>IFERROR(Y172/J172,"0")</f>
        <v>0.1111111111111111</v>
      </c>
    </row>
    <row r="173" spans="1:68" x14ac:dyDescent="0.2">
      <c r="A173" s="374"/>
      <c r="B173" s="374"/>
      <c r="C173" s="374"/>
      <c r="D173" s="374"/>
      <c r="E173" s="374"/>
      <c r="F173" s="374"/>
      <c r="G173" s="374"/>
      <c r="H173" s="374"/>
      <c r="I173" s="374"/>
      <c r="J173" s="374"/>
      <c r="K173" s="374"/>
      <c r="L173" s="374"/>
      <c r="M173" s="374"/>
      <c r="N173" s="374"/>
      <c r="O173" s="375"/>
      <c r="P173" s="371" t="s">
        <v>40</v>
      </c>
      <c r="Q173" s="372"/>
      <c r="R173" s="372"/>
      <c r="S173" s="372"/>
      <c r="T173" s="372"/>
      <c r="U173" s="372"/>
      <c r="V173" s="373"/>
      <c r="W173" s="42" t="s">
        <v>39</v>
      </c>
      <c r="X173" s="43">
        <f>IFERROR(SUM(X172:X172),"0")</f>
        <v>14</v>
      </c>
      <c r="Y173" s="43">
        <f>IFERROR(SUM(Y172:Y172),"0")</f>
        <v>14</v>
      </c>
      <c r="Z173" s="43">
        <f>IFERROR(IF(Z172="",0,Z172),"0")</f>
        <v>0.13103999999999999</v>
      </c>
      <c r="AA173" s="67"/>
      <c r="AB173" s="67"/>
      <c r="AC173" s="67"/>
    </row>
    <row r="174" spans="1:68" x14ac:dyDescent="0.2">
      <c r="A174" s="374"/>
      <c r="B174" s="374"/>
      <c r="C174" s="374"/>
      <c r="D174" s="374"/>
      <c r="E174" s="374"/>
      <c r="F174" s="374"/>
      <c r="G174" s="374"/>
      <c r="H174" s="374"/>
      <c r="I174" s="374"/>
      <c r="J174" s="374"/>
      <c r="K174" s="374"/>
      <c r="L174" s="374"/>
      <c r="M174" s="374"/>
      <c r="N174" s="374"/>
      <c r="O174" s="375"/>
      <c r="P174" s="371" t="s">
        <v>40</v>
      </c>
      <c r="Q174" s="372"/>
      <c r="R174" s="372"/>
      <c r="S174" s="372"/>
      <c r="T174" s="372"/>
      <c r="U174" s="372"/>
      <c r="V174" s="373"/>
      <c r="W174" s="42" t="s">
        <v>0</v>
      </c>
      <c r="X174" s="43">
        <f>IFERROR(SUMPRODUCT(X172:X172*H172:H172),"0")</f>
        <v>37.800000000000004</v>
      </c>
      <c r="Y174" s="43">
        <f>IFERROR(SUMPRODUCT(Y172:Y172*H172:H172),"0")</f>
        <v>37.800000000000004</v>
      </c>
      <c r="Z174" s="42"/>
      <c r="AA174" s="67"/>
      <c r="AB174" s="67"/>
      <c r="AC174" s="67"/>
    </row>
    <row r="175" spans="1:68" ht="16.5" hidden="1" customHeight="1" x14ac:dyDescent="0.25">
      <c r="A175" s="358" t="s">
        <v>276</v>
      </c>
      <c r="B175" s="358"/>
      <c r="C175" s="358"/>
      <c r="D175" s="358"/>
      <c r="E175" s="358"/>
      <c r="F175" s="358"/>
      <c r="G175" s="358"/>
      <c r="H175" s="358"/>
      <c r="I175" s="358"/>
      <c r="J175" s="358"/>
      <c r="K175" s="358"/>
      <c r="L175" s="358"/>
      <c r="M175" s="358"/>
      <c r="N175" s="358"/>
      <c r="O175" s="358"/>
      <c r="P175" s="358"/>
      <c r="Q175" s="358"/>
      <c r="R175" s="358"/>
      <c r="S175" s="358"/>
      <c r="T175" s="358"/>
      <c r="U175" s="358"/>
      <c r="V175" s="358"/>
      <c r="W175" s="358"/>
      <c r="X175" s="358"/>
      <c r="Y175" s="358"/>
      <c r="Z175" s="358"/>
      <c r="AA175" s="65"/>
      <c r="AB175" s="65"/>
      <c r="AC175" s="82"/>
    </row>
    <row r="176" spans="1:68" ht="14.25" hidden="1" customHeight="1" x14ac:dyDescent="0.25">
      <c r="A176" s="359" t="s">
        <v>157</v>
      </c>
      <c r="B176" s="359"/>
      <c r="C176" s="359"/>
      <c r="D176" s="359"/>
      <c r="E176" s="359"/>
      <c r="F176" s="359"/>
      <c r="G176" s="359"/>
      <c r="H176" s="359"/>
      <c r="I176" s="359"/>
      <c r="J176" s="359"/>
      <c r="K176" s="359"/>
      <c r="L176" s="359"/>
      <c r="M176" s="359"/>
      <c r="N176" s="359"/>
      <c r="O176" s="359"/>
      <c r="P176" s="359"/>
      <c r="Q176" s="359"/>
      <c r="R176" s="359"/>
      <c r="S176" s="359"/>
      <c r="T176" s="359"/>
      <c r="U176" s="359"/>
      <c r="V176" s="359"/>
      <c r="W176" s="359"/>
      <c r="X176" s="359"/>
      <c r="Y176" s="359"/>
      <c r="Z176" s="359"/>
      <c r="AA176" s="66"/>
      <c r="AB176" s="66"/>
      <c r="AC176" s="83"/>
    </row>
    <row r="177" spans="1:68" ht="27" hidden="1" customHeight="1" x14ac:dyDescent="0.25">
      <c r="A177" s="63" t="s">
        <v>277</v>
      </c>
      <c r="B177" s="63" t="s">
        <v>278</v>
      </c>
      <c r="C177" s="36">
        <v>4301135591</v>
      </c>
      <c r="D177" s="360">
        <v>4607111036568</v>
      </c>
      <c r="E177" s="360"/>
      <c r="F177" s="62">
        <v>0.28000000000000003</v>
      </c>
      <c r="G177" s="37">
        <v>6</v>
      </c>
      <c r="H177" s="62">
        <v>1.68</v>
      </c>
      <c r="I177" s="62">
        <v>2.1017999999999999</v>
      </c>
      <c r="J177" s="37">
        <v>140</v>
      </c>
      <c r="K177" s="37" t="s">
        <v>118</v>
      </c>
      <c r="L177" s="37" t="s">
        <v>88</v>
      </c>
      <c r="M177" s="38" t="s">
        <v>86</v>
      </c>
      <c r="N177" s="38"/>
      <c r="O177" s="37">
        <v>180</v>
      </c>
      <c r="P177" s="432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7" s="362"/>
      <c r="R177" s="362"/>
      <c r="S177" s="362"/>
      <c r="T177" s="363"/>
      <c r="U177" s="39" t="s">
        <v>46</v>
      </c>
      <c r="V177" s="39" t="s">
        <v>46</v>
      </c>
      <c r="W177" s="40" t="s">
        <v>39</v>
      </c>
      <c r="X177" s="58">
        <v>0</v>
      </c>
      <c r="Y177" s="55">
        <f>IFERROR(IF(X177="","",X177),"")</f>
        <v>0</v>
      </c>
      <c r="Z177" s="41">
        <f>IFERROR(IF(X177="","",X177*0.00941),"")</f>
        <v>0</v>
      </c>
      <c r="AA177" s="68" t="s">
        <v>46</v>
      </c>
      <c r="AB177" s="69" t="s">
        <v>46</v>
      </c>
      <c r="AC177" s="217" t="s">
        <v>279</v>
      </c>
      <c r="AG177" s="81"/>
      <c r="AJ177" s="87" t="s">
        <v>89</v>
      </c>
      <c r="AK177" s="87">
        <v>1</v>
      </c>
      <c r="BB177" s="218" t="s">
        <v>117</v>
      </c>
      <c r="BM177" s="81">
        <f>IFERROR(X177*I177,"0")</f>
        <v>0</v>
      </c>
      <c r="BN177" s="81">
        <f>IFERROR(Y177*I177,"0")</f>
        <v>0</v>
      </c>
      <c r="BO177" s="81">
        <f>IFERROR(X177/J177,"0")</f>
        <v>0</v>
      </c>
      <c r="BP177" s="81">
        <f>IFERROR(Y177/J177,"0")</f>
        <v>0</v>
      </c>
    </row>
    <row r="178" spans="1:68" hidden="1" x14ac:dyDescent="0.2">
      <c r="A178" s="374"/>
      <c r="B178" s="374"/>
      <c r="C178" s="374"/>
      <c r="D178" s="374"/>
      <c r="E178" s="374"/>
      <c r="F178" s="374"/>
      <c r="G178" s="374"/>
      <c r="H178" s="374"/>
      <c r="I178" s="374"/>
      <c r="J178" s="374"/>
      <c r="K178" s="374"/>
      <c r="L178" s="374"/>
      <c r="M178" s="374"/>
      <c r="N178" s="374"/>
      <c r="O178" s="375"/>
      <c r="P178" s="371" t="s">
        <v>40</v>
      </c>
      <c r="Q178" s="372"/>
      <c r="R178" s="372"/>
      <c r="S178" s="372"/>
      <c r="T178" s="372"/>
      <c r="U178" s="372"/>
      <c r="V178" s="373"/>
      <c r="W178" s="42" t="s">
        <v>39</v>
      </c>
      <c r="X178" s="43">
        <f>IFERROR(SUM(X177:X177),"0")</f>
        <v>0</v>
      </c>
      <c r="Y178" s="43">
        <f>IFERROR(SUM(Y177:Y177),"0")</f>
        <v>0</v>
      </c>
      <c r="Z178" s="43">
        <f>IFERROR(IF(Z177="",0,Z177),"0")</f>
        <v>0</v>
      </c>
      <c r="AA178" s="67"/>
      <c r="AB178" s="67"/>
      <c r="AC178" s="67"/>
    </row>
    <row r="179" spans="1:68" hidden="1" x14ac:dyDescent="0.2">
      <c r="A179" s="374"/>
      <c r="B179" s="374"/>
      <c r="C179" s="374"/>
      <c r="D179" s="374"/>
      <c r="E179" s="374"/>
      <c r="F179" s="374"/>
      <c r="G179" s="374"/>
      <c r="H179" s="374"/>
      <c r="I179" s="374"/>
      <c r="J179" s="374"/>
      <c r="K179" s="374"/>
      <c r="L179" s="374"/>
      <c r="M179" s="374"/>
      <c r="N179" s="374"/>
      <c r="O179" s="375"/>
      <c r="P179" s="371" t="s">
        <v>40</v>
      </c>
      <c r="Q179" s="372"/>
      <c r="R179" s="372"/>
      <c r="S179" s="372"/>
      <c r="T179" s="372"/>
      <c r="U179" s="372"/>
      <c r="V179" s="373"/>
      <c r="W179" s="42" t="s">
        <v>0</v>
      </c>
      <c r="X179" s="43">
        <f>IFERROR(SUMPRODUCT(X177:X177*H177:H177),"0")</f>
        <v>0</v>
      </c>
      <c r="Y179" s="43">
        <f>IFERROR(SUMPRODUCT(Y177:Y177*H177:H177),"0")</f>
        <v>0</v>
      </c>
      <c r="Z179" s="42"/>
      <c r="AA179" s="67"/>
      <c r="AB179" s="67"/>
      <c r="AC179" s="67"/>
    </row>
    <row r="180" spans="1:68" ht="27.75" hidden="1" customHeight="1" x14ac:dyDescent="0.2">
      <c r="A180" s="357" t="s">
        <v>280</v>
      </c>
      <c r="B180" s="357"/>
      <c r="C180" s="357"/>
      <c r="D180" s="357"/>
      <c r="E180" s="357"/>
      <c r="F180" s="357"/>
      <c r="G180" s="357"/>
      <c r="H180" s="357"/>
      <c r="I180" s="357"/>
      <c r="J180" s="357"/>
      <c r="K180" s="357"/>
      <c r="L180" s="357"/>
      <c r="M180" s="357"/>
      <c r="N180" s="357"/>
      <c r="O180" s="357"/>
      <c r="P180" s="357"/>
      <c r="Q180" s="357"/>
      <c r="R180" s="357"/>
      <c r="S180" s="357"/>
      <c r="T180" s="357"/>
      <c r="U180" s="357"/>
      <c r="V180" s="357"/>
      <c r="W180" s="357"/>
      <c r="X180" s="357"/>
      <c r="Y180" s="357"/>
      <c r="Z180" s="357"/>
      <c r="AA180" s="54"/>
      <c r="AB180" s="54"/>
      <c r="AC180" s="54"/>
    </row>
    <row r="181" spans="1:68" ht="16.5" hidden="1" customHeight="1" x14ac:dyDescent="0.25">
      <c r="A181" s="358" t="s">
        <v>281</v>
      </c>
      <c r="B181" s="358"/>
      <c r="C181" s="358"/>
      <c r="D181" s="358"/>
      <c r="E181" s="358"/>
      <c r="F181" s="358"/>
      <c r="G181" s="358"/>
      <c r="H181" s="358"/>
      <c r="I181" s="358"/>
      <c r="J181" s="358"/>
      <c r="K181" s="358"/>
      <c r="L181" s="358"/>
      <c r="M181" s="358"/>
      <c r="N181" s="358"/>
      <c r="O181" s="358"/>
      <c r="P181" s="358"/>
      <c r="Q181" s="358"/>
      <c r="R181" s="358"/>
      <c r="S181" s="358"/>
      <c r="T181" s="358"/>
      <c r="U181" s="358"/>
      <c r="V181" s="358"/>
      <c r="W181" s="358"/>
      <c r="X181" s="358"/>
      <c r="Y181" s="358"/>
      <c r="Z181" s="358"/>
      <c r="AA181" s="65"/>
      <c r="AB181" s="65"/>
      <c r="AC181" s="82"/>
    </row>
    <row r="182" spans="1:68" ht="14.25" hidden="1" customHeight="1" x14ac:dyDescent="0.25">
      <c r="A182" s="359" t="s">
        <v>82</v>
      </c>
      <c r="B182" s="359"/>
      <c r="C182" s="359"/>
      <c r="D182" s="359"/>
      <c r="E182" s="359"/>
      <c r="F182" s="359"/>
      <c r="G182" s="359"/>
      <c r="H182" s="359"/>
      <c r="I182" s="359"/>
      <c r="J182" s="359"/>
      <c r="K182" s="359"/>
      <c r="L182" s="359"/>
      <c r="M182" s="359"/>
      <c r="N182" s="359"/>
      <c r="O182" s="359"/>
      <c r="P182" s="359"/>
      <c r="Q182" s="359"/>
      <c r="R182" s="359"/>
      <c r="S182" s="359"/>
      <c r="T182" s="359"/>
      <c r="U182" s="359"/>
      <c r="V182" s="359"/>
      <c r="W182" s="359"/>
      <c r="X182" s="359"/>
      <c r="Y182" s="359"/>
      <c r="Z182" s="359"/>
      <c r="AA182" s="66"/>
      <c r="AB182" s="66"/>
      <c r="AC182" s="83"/>
    </row>
    <row r="183" spans="1:68" ht="16.5" hidden="1" customHeight="1" x14ac:dyDescent="0.25">
      <c r="A183" s="63" t="s">
        <v>282</v>
      </c>
      <c r="B183" s="63" t="s">
        <v>283</v>
      </c>
      <c r="C183" s="36">
        <v>4301071062</v>
      </c>
      <c r="D183" s="360">
        <v>4607111036384</v>
      </c>
      <c r="E183" s="360"/>
      <c r="F183" s="62">
        <v>5</v>
      </c>
      <c r="G183" s="37">
        <v>1</v>
      </c>
      <c r="H183" s="62">
        <v>5</v>
      </c>
      <c r="I183" s="62">
        <v>5.2106000000000003</v>
      </c>
      <c r="J183" s="37">
        <v>144</v>
      </c>
      <c r="K183" s="37" t="s">
        <v>87</v>
      </c>
      <c r="L183" s="37" t="s">
        <v>119</v>
      </c>
      <c r="M183" s="38" t="s">
        <v>86</v>
      </c>
      <c r="N183" s="38"/>
      <c r="O183" s="37">
        <v>180</v>
      </c>
      <c r="P183" s="43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3" s="362"/>
      <c r="R183" s="362"/>
      <c r="S183" s="362"/>
      <c r="T183" s="363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IFERROR(IF(X183="","",X183*0.00866),"")</f>
        <v>0</v>
      </c>
      <c r="AA183" s="68" t="s">
        <v>46</v>
      </c>
      <c r="AB183" s="69" t="s">
        <v>46</v>
      </c>
      <c r="AC183" s="219" t="s">
        <v>284</v>
      </c>
      <c r="AG183" s="81"/>
      <c r="AJ183" s="87" t="s">
        <v>120</v>
      </c>
      <c r="AK183" s="87">
        <v>12</v>
      </c>
      <c r="BB183" s="220" t="s">
        <v>70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ht="27" customHeight="1" x14ac:dyDescent="0.25">
      <c r="A184" s="63" t="s">
        <v>285</v>
      </c>
      <c r="B184" s="63" t="s">
        <v>286</v>
      </c>
      <c r="C184" s="36">
        <v>4301071050</v>
      </c>
      <c r="D184" s="360">
        <v>4607111036216</v>
      </c>
      <c r="E184" s="360"/>
      <c r="F184" s="62">
        <v>5</v>
      </c>
      <c r="G184" s="37">
        <v>1</v>
      </c>
      <c r="H184" s="62">
        <v>5</v>
      </c>
      <c r="I184" s="62">
        <v>5.2131999999999996</v>
      </c>
      <c r="J184" s="37">
        <v>144</v>
      </c>
      <c r="K184" s="37" t="s">
        <v>87</v>
      </c>
      <c r="L184" s="37" t="s">
        <v>119</v>
      </c>
      <c r="M184" s="38" t="s">
        <v>86</v>
      </c>
      <c r="N184" s="38"/>
      <c r="O184" s="37">
        <v>180</v>
      </c>
      <c r="P184" s="43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362"/>
      <c r="R184" s="362"/>
      <c r="S184" s="362"/>
      <c r="T184" s="363"/>
      <c r="U184" s="39" t="s">
        <v>46</v>
      </c>
      <c r="V184" s="39" t="s">
        <v>46</v>
      </c>
      <c r="W184" s="40" t="s">
        <v>39</v>
      </c>
      <c r="X184" s="58">
        <v>108</v>
      </c>
      <c r="Y184" s="55">
        <f>IFERROR(IF(X184="","",X184),"")</f>
        <v>108</v>
      </c>
      <c r="Z184" s="41">
        <f>IFERROR(IF(X184="","",X184*0.00866),"")</f>
        <v>0.93527999999999989</v>
      </c>
      <c r="AA184" s="68" t="s">
        <v>46</v>
      </c>
      <c r="AB184" s="69" t="s">
        <v>46</v>
      </c>
      <c r="AC184" s="221" t="s">
        <v>287</v>
      </c>
      <c r="AG184" s="81"/>
      <c r="AJ184" s="87" t="s">
        <v>120</v>
      </c>
      <c r="AK184" s="87">
        <v>12</v>
      </c>
      <c r="BB184" s="222" t="s">
        <v>70</v>
      </c>
      <c r="BM184" s="81">
        <f>IFERROR(X184*I184,"0")</f>
        <v>563.02559999999994</v>
      </c>
      <c r="BN184" s="81">
        <f>IFERROR(Y184*I184,"0")</f>
        <v>563.02559999999994</v>
      </c>
      <c r="BO184" s="81">
        <f>IFERROR(X184/J184,"0")</f>
        <v>0.75</v>
      </c>
      <c r="BP184" s="81">
        <f>IFERROR(Y184/J184,"0")</f>
        <v>0.75</v>
      </c>
    </row>
    <row r="185" spans="1:68" x14ac:dyDescent="0.2">
      <c r="A185" s="374"/>
      <c r="B185" s="374"/>
      <c r="C185" s="374"/>
      <c r="D185" s="374"/>
      <c r="E185" s="374"/>
      <c r="F185" s="374"/>
      <c r="G185" s="374"/>
      <c r="H185" s="374"/>
      <c r="I185" s="374"/>
      <c r="J185" s="374"/>
      <c r="K185" s="374"/>
      <c r="L185" s="374"/>
      <c r="M185" s="374"/>
      <c r="N185" s="374"/>
      <c r="O185" s="375"/>
      <c r="P185" s="371" t="s">
        <v>40</v>
      </c>
      <c r="Q185" s="372"/>
      <c r="R185" s="372"/>
      <c r="S185" s="372"/>
      <c r="T185" s="372"/>
      <c r="U185" s="372"/>
      <c r="V185" s="373"/>
      <c r="W185" s="42" t="s">
        <v>39</v>
      </c>
      <c r="X185" s="43">
        <f>IFERROR(SUM(X183:X184),"0")</f>
        <v>108</v>
      </c>
      <c r="Y185" s="43">
        <f>IFERROR(SUM(Y183:Y184),"0")</f>
        <v>108</v>
      </c>
      <c r="Z185" s="43">
        <f>IFERROR(IF(Z183="",0,Z183),"0")+IFERROR(IF(Z184="",0,Z184),"0")</f>
        <v>0.93527999999999989</v>
      </c>
      <c r="AA185" s="67"/>
      <c r="AB185" s="67"/>
      <c r="AC185" s="67"/>
    </row>
    <row r="186" spans="1:68" x14ac:dyDescent="0.2">
      <c r="A186" s="374"/>
      <c r="B186" s="374"/>
      <c r="C186" s="374"/>
      <c r="D186" s="374"/>
      <c r="E186" s="374"/>
      <c r="F186" s="374"/>
      <c r="G186" s="374"/>
      <c r="H186" s="374"/>
      <c r="I186" s="374"/>
      <c r="J186" s="374"/>
      <c r="K186" s="374"/>
      <c r="L186" s="374"/>
      <c r="M186" s="374"/>
      <c r="N186" s="374"/>
      <c r="O186" s="375"/>
      <c r="P186" s="371" t="s">
        <v>40</v>
      </c>
      <c r="Q186" s="372"/>
      <c r="R186" s="372"/>
      <c r="S186" s="372"/>
      <c r="T186" s="372"/>
      <c r="U186" s="372"/>
      <c r="V186" s="373"/>
      <c r="W186" s="42" t="s">
        <v>0</v>
      </c>
      <c r="X186" s="43">
        <f>IFERROR(SUMPRODUCT(X183:X184*H183:H184),"0")</f>
        <v>540</v>
      </c>
      <c r="Y186" s="43">
        <f>IFERROR(SUMPRODUCT(Y183:Y184*H183:H184),"0")</f>
        <v>540</v>
      </c>
      <c r="Z186" s="42"/>
      <c r="AA186" s="67"/>
      <c r="AB186" s="67"/>
      <c r="AC186" s="67"/>
    </row>
    <row r="187" spans="1:68" ht="16.5" hidden="1" customHeight="1" x14ac:dyDescent="0.25">
      <c r="A187" s="358" t="s">
        <v>288</v>
      </c>
      <c r="B187" s="358"/>
      <c r="C187" s="358"/>
      <c r="D187" s="358"/>
      <c r="E187" s="358"/>
      <c r="F187" s="358"/>
      <c r="G187" s="358"/>
      <c r="H187" s="358"/>
      <c r="I187" s="358"/>
      <c r="J187" s="358"/>
      <c r="K187" s="358"/>
      <c r="L187" s="358"/>
      <c r="M187" s="358"/>
      <c r="N187" s="358"/>
      <c r="O187" s="358"/>
      <c r="P187" s="358"/>
      <c r="Q187" s="358"/>
      <c r="R187" s="358"/>
      <c r="S187" s="358"/>
      <c r="T187" s="358"/>
      <c r="U187" s="358"/>
      <c r="V187" s="358"/>
      <c r="W187" s="358"/>
      <c r="X187" s="358"/>
      <c r="Y187" s="358"/>
      <c r="Z187" s="358"/>
      <c r="AA187" s="65"/>
      <c r="AB187" s="65"/>
      <c r="AC187" s="82"/>
    </row>
    <row r="188" spans="1:68" ht="14.25" hidden="1" customHeight="1" x14ac:dyDescent="0.25">
      <c r="A188" s="359" t="s">
        <v>82</v>
      </c>
      <c r="B188" s="359"/>
      <c r="C188" s="359"/>
      <c r="D188" s="359"/>
      <c r="E188" s="359"/>
      <c r="F188" s="359"/>
      <c r="G188" s="359"/>
      <c r="H188" s="359"/>
      <c r="I188" s="359"/>
      <c r="J188" s="359"/>
      <c r="K188" s="359"/>
      <c r="L188" s="359"/>
      <c r="M188" s="359"/>
      <c r="N188" s="359"/>
      <c r="O188" s="359"/>
      <c r="P188" s="359"/>
      <c r="Q188" s="359"/>
      <c r="R188" s="359"/>
      <c r="S188" s="359"/>
      <c r="T188" s="359"/>
      <c r="U188" s="359"/>
      <c r="V188" s="359"/>
      <c r="W188" s="359"/>
      <c r="X188" s="359"/>
      <c r="Y188" s="359"/>
      <c r="Z188" s="359"/>
      <c r="AA188" s="66"/>
      <c r="AB188" s="66"/>
      <c r="AC188" s="83"/>
    </row>
    <row r="189" spans="1:68" ht="27" customHeight="1" x14ac:dyDescent="0.25">
      <c r="A189" s="63" t="s">
        <v>289</v>
      </c>
      <c r="B189" s="63" t="s">
        <v>290</v>
      </c>
      <c r="C189" s="36">
        <v>4301071117</v>
      </c>
      <c r="D189" s="360">
        <v>4620207491737</v>
      </c>
      <c r="E189" s="360"/>
      <c r="F189" s="62">
        <v>1</v>
      </c>
      <c r="G189" s="37">
        <v>5</v>
      </c>
      <c r="H189" s="62">
        <v>5</v>
      </c>
      <c r="I189" s="62">
        <v>5.2619999999999996</v>
      </c>
      <c r="J189" s="37">
        <v>84</v>
      </c>
      <c r="K189" s="37" t="s">
        <v>87</v>
      </c>
      <c r="L189" s="37" t="s">
        <v>88</v>
      </c>
      <c r="M189" s="38" t="s">
        <v>86</v>
      </c>
      <c r="N189" s="38"/>
      <c r="O189" s="37">
        <v>180</v>
      </c>
      <c r="P189" s="435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9" s="362"/>
      <c r="R189" s="362"/>
      <c r="S189" s="362"/>
      <c r="T189" s="363"/>
      <c r="U189" s="39" t="s">
        <v>46</v>
      </c>
      <c r="V189" s="39" t="s">
        <v>46</v>
      </c>
      <c r="W189" s="40" t="s">
        <v>39</v>
      </c>
      <c r="X189" s="58">
        <v>84</v>
      </c>
      <c r="Y189" s="55">
        <f>IFERROR(IF(X189="","",X189),"")</f>
        <v>84</v>
      </c>
      <c r="Z189" s="41">
        <f>IFERROR(IF(X189="","",X189*0.0155),"")</f>
        <v>1.302</v>
      </c>
      <c r="AA189" s="68" t="s">
        <v>46</v>
      </c>
      <c r="AB189" s="69" t="s">
        <v>46</v>
      </c>
      <c r="AC189" s="223" t="s">
        <v>287</v>
      </c>
      <c r="AG189" s="81"/>
      <c r="AJ189" s="87" t="s">
        <v>89</v>
      </c>
      <c r="AK189" s="87">
        <v>1</v>
      </c>
      <c r="BB189" s="224" t="s">
        <v>70</v>
      </c>
      <c r="BM189" s="81">
        <f>IFERROR(X189*I189,"0")</f>
        <v>442.00799999999998</v>
      </c>
      <c r="BN189" s="81">
        <f>IFERROR(Y189*I189,"0")</f>
        <v>442.00799999999998</v>
      </c>
      <c r="BO189" s="81">
        <f>IFERROR(X189/J189,"0")</f>
        <v>1</v>
      </c>
      <c r="BP189" s="81">
        <f>IFERROR(Y189/J189,"0")</f>
        <v>1</v>
      </c>
    </row>
    <row r="190" spans="1:68" x14ac:dyDescent="0.2">
      <c r="A190" s="374"/>
      <c r="B190" s="374"/>
      <c r="C190" s="374"/>
      <c r="D190" s="374"/>
      <c r="E190" s="374"/>
      <c r="F190" s="374"/>
      <c r="G190" s="374"/>
      <c r="H190" s="374"/>
      <c r="I190" s="374"/>
      <c r="J190" s="374"/>
      <c r="K190" s="374"/>
      <c r="L190" s="374"/>
      <c r="M190" s="374"/>
      <c r="N190" s="374"/>
      <c r="O190" s="375"/>
      <c r="P190" s="371" t="s">
        <v>40</v>
      </c>
      <c r="Q190" s="372"/>
      <c r="R190" s="372"/>
      <c r="S190" s="372"/>
      <c r="T190" s="372"/>
      <c r="U190" s="372"/>
      <c r="V190" s="373"/>
      <c r="W190" s="42" t="s">
        <v>39</v>
      </c>
      <c r="X190" s="43">
        <f>IFERROR(SUM(X189:X189),"0")</f>
        <v>84</v>
      </c>
      <c r="Y190" s="43">
        <f>IFERROR(SUM(Y189:Y189),"0")</f>
        <v>84</v>
      </c>
      <c r="Z190" s="43">
        <f>IFERROR(IF(Z189="",0,Z189),"0")</f>
        <v>1.302</v>
      </c>
      <c r="AA190" s="67"/>
      <c r="AB190" s="67"/>
      <c r="AC190" s="67"/>
    </row>
    <row r="191" spans="1:68" x14ac:dyDescent="0.2">
      <c r="A191" s="374"/>
      <c r="B191" s="374"/>
      <c r="C191" s="374"/>
      <c r="D191" s="374"/>
      <c r="E191" s="374"/>
      <c r="F191" s="374"/>
      <c r="G191" s="374"/>
      <c r="H191" s="374"/>
      <c r="I191" s="374"/>
      <c r="J191" s="374"/>
      <c r="K191" s="374"/>
      <c r="L191" s="374"/>
      <c r="M191" s="374"/>
      <c r="N191" s="374"/>
      <c r="O191" s="375"/>
      <c r="P191" s="371" t="s">
        <v>40</v>
      </c>
      <c r="Q191" s="372"/>
      <c r="R191" s="372"/>
      <c r="S191" s="372"/>
      <c r="T191" s="372"/>
      <c r="U191" s="372"/>
      <c r="V191" s="373"/>
      <c r="W191" s="42" t="s">
        <v>0</v>
      </c>
      <c r="X191" s="43">
        <f>IFERROR(SUMPRODUCT(X189:X189*H189:H189),"0")</f>
        <v>420</v>
      </c>
      <c r="Y191" s="43">
        <f>IFERROR(SUMPRODUCT(Y189:Y189*H189:H189),"0")</f>
        <v>420</v>
      </c>
      <c r="Z191" s="42"/>
      <c r="AA191" s="67"/>
      <c r="AB191" s="67"/>
      <c r="AC191" s="67"/>
    </row>
    <row r="192" spans="1:68" ht="27.75" hidden="1" customHeight="1" x14ac:dyDescent="0.2">
      <c r="A192" s="357" t="s">
        <v>291</v>
      </c>
      <c r="B192" s="357"/>
      <c r="C192" s="357"/>
      <c r="D192" s="357"/>
      <c r="E192" s="357"/>
      <c r="F192" s="357"/>
      <c r="G192" s="357"/>
      <c r="H192" s="357"/>
      <c r="I192" s="357"/>
      <c r="J192" s="357"/>
      <c r="K192" s="357"/>
      <c r="L192" s="357"/>
      <c r="M192" s="357"/>
      <c r="N192" s="357"/>
      <c r="O192" s="357"/>
      <c r="P192" s="357"/>
      <c r="Q192" s="357"/>
      <c r="R192" s="357"/>
      <c r="S192" s="357"/>
      <c r="T192" s="357"/>
      <c r="U192" s="357"/>
      <c r="V192" s="357"/>
      <c r="W192" s="357"/>
      <c r="X192" s="357"/>
      <c r="Y192" s="357"/>
      <c r="Z192" s="357"/>
      <c r="AA192" s="54"/>
      <c r="AB192" s="54"/>
      <c r="AC192" s="54"/>
    </row>
    <row r="193" spans="1:68" ht="16.5" hidden="1" customHeight="1" x14ac:dyDescent="0.25">
      <c r="A193" s="358" t="s">
        <v>292</v>
      </c>
      <c r="B193" s="358"/>
      <c r="C193" s="358"/>
      <c r="D193" s="358"/>
      <c r="E193" s="358"/>
      <c r="F193" s="358"/>
      <c r="G193" s="358"/>
      <c r="H193" s="358"/>
      <c r="I193" s="358"/>
      <c r="J193" s="358"/>
      <c r="K193" s="358"/>
      <c r="L193" s="358"/>
      <c r="M193" s="358"/>
      <c r="N193" s="358"/>
      <c r="O193" s="358"/>
      <c r="P193" s="358"/>
      <c r="Q193" s="358"/>
      <c r="R193" s="358"/>
      <c r="S193" s="358"/>
      <c r="T193" s="358"/>
      <c r="U193" s="358"/>
      <c r="V193" s="358"/>
      <c r="W193" s="358"/>
      <c r="X193" s="358"/>
      <c r="Y193" s="358"/>
      <c r="Z193" s="358"/>
      <c r="AA193" s="65"/>
      <c r="AB193" s="65"/>
      <c r="AC193" s="82"/>
    </row>
    <row r="194" spans="1:68" ht="14.25" hidden="1" customHeight="1" x14ac:dyDescent="0.25">
      <c r="A194" s="359" t="s">
        <v>113</v>
      </c>
      <c r="B194" s="359"/>
      <c r="C194" s="359"/>
      <c r="D194" s="359"/>
      <c r="E194" s="359"/>
      <c r="F194" s="359"/>
      <c r="G194" s="359"/>
      <c r="H194" s="359"/>
      <c r="I194" s="359"/>
      <c r="J194" s="359"/>
      <c r="K194" s="359"/>
      <c r="L194" s="359"/>
      <c r="M194" s="359"/>
      <c r="N194" s="359"/>
      <c r="O194" s="359"/>
      <c r="P194" s="359"/>
      <c r="Q194" s="359"/>
      <c r="R194" s="359"/>
      <c r="S194" s="359"/>
      <c r="T194" s="359"/>
      <c r="U194" s="359"/>
      <c r="V194" s="359"/>
      <c r="W194" s="359"/>
      <c r="X194" s="359"/>
      <c r="Y194" s="359"/>
      <c r="Z194" s="359"/>
      <c r="AA194" s="66"/>
      <c r="AB194" s="66"/>
      <c r="AC194" s="83"/>
    </row>
    <row r="195" spans="1:68" ht="16.5" customHeight="1" x14ac:dyDescent="0.25">
      <c r="A195" s="63" t="s">
        <v>293</v>
      </c>
      <c r="B195" s="63" t="s">
        <v>294</v>
      </c>
      <c r="C195" s="36">
        <v>4301132179</v>
      </c>
      <c r="D195" s="360">
        <v>4607111035691</v>
      </c>
      <c r="E195" s="360"/>
      <c r="F195" s="62">
        <v>0.25</v>
      </c>
      <c r="G195" s="37">
        <v>12</v>
      </c>
      <c r="H195" s="62">
        <v>3</v>
      </c>
      <c r="I195" s="62">
        <v>3.3879999999999999</v>
      </c>
      <c r="J195" s="37">
        <v>70</v>
      </c>
      <c r="K195" s="37" t="s">
        <v>118</v>
      </c>
      <c r="L195" s="37" t="s">
        <v>119</v>
      </c>
      <c r="M195" s="38" t="s">
        <v>86</v>
      </c>
      <c r="N195" s="38"/>
      <c r="O195" s="37">
        <v>365</v>
      </c>
      <c r="P195" s="43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5" s="362"/>
      <c r="R195" s="362"/>
      <c r="S195" s="362"/>
      <c r="T195" s="363"/>
      <c r="U195" s="39" t="s">
        <v>46</v>
      </c>
      <c r="V195" s="39" t="s">
        <v>46</v>
      </c>
      <c r="W195" s="40" t="s">
        <v>39</v>
      </c>
      <c r="X195" s="58">
        <v>98</v>
      </c>
      <c r="Y195" s="55">
        <f>IFERROR(IF(X195="","",X195),"")</f>
        <v>98</v>
      </c>
      <c r="Z195" s="41">
        <f>IFERROR(IF(X195="","",X195*0.01788),"")</f>
        <v>1.75224</v>
      </c>
      <c r="AA195" s="68" t="s">
        <v>46</v>
      </c>
      <c r="AB195" s="69" t="s">
        <v>46</v>
      </c>
      <c r="AC195" s="225" t="s">
        <v>295</v>
      </c>
      <c r="AG195" s="81"/>
      <c r="AJ195" s="87" t="s">
        <v>120</v>
      </c>
      <c r="AK195" s="87">
        <v>14</v>
      </c>
      <c r="BB195" s="226" t="s">
        <v>117</v>
      </c>
      <c r="BM195" s="81">
        <f>IFERROR(X195*I195,"0")</f>
        <v>332.024</v>
      </c>
      <c r="BN195" s="81">
        <f>IFERROR(Y195*I195,"0")</f>
        <v>332.024</v>
      </c>
      <c r="BO195" s="81">
        <f>IFERROR(X195/J195,"0")</f>
        <v>1.4</v>
      </c>
      <c r="BP195" s="81">
        <f>IFERROR(Y195/J195,"0")</f>
        <v>1.4</v>
      </c>
    </row>
    <row r="196" spans="1:68" ht="27" customHeight="1" x14ac:dyDescent="0.25">
      <c r="A196" s="63" t="s">
        <v>296</v>
      </c>
      <c r="B196" s="63" t="s">
        <v>297</v>
      </c>
      <c r="C196" s="36">
        <v>4301132182</v>
      </c>
      <c r="D196" s="360">
        <v>4607111035721</v>
      </c>
      <c r="E196" s="360"/>
      <c r="F196" s="62">
        <v>0.25</v>
      </c>
      <c r="G196" s="37">
        <v>12</v>
      </c>
      <c r="H196" s="62">
        <v>3</v>
      </c>
      <c r="I196" s="62">
        <v>3.3879999999999999</v>
      </c>
      <c r="J196" s="37">
        <v>70</v>
      </c>
      <c r="K196" s="37" t="s">
        <v>118</v>
      </c>
      <c r="L196" s="37" t="s">
        <v>119</v>
      </c>
      <c r="M196" s="38" t="s">
        <v>86</v>
      </c>
      <c r="N196" s="38"/>
      <c r="O196" s="37">
        <v>365</v>
      </c>
      <c r="P196" s="43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362"/>
      <c r="R196" s="362"/>
      <c r="S196" s="362"/>
      <c r="T196" s="363"/>
      <c r="U196" s="39" t="s">
        <v>46</v>
      </c>
      <c r="V196" s="39" t="s">
        <v>46</v>
      </c>
      <c r="W196" s="40" t="s">
        <v>39</v>
      </c>
      <c r="X196" s="58">
        <v>126</v>
      </c>
      <c r="Y196" s="55">
        <f>IFERROR(IF(X196="","",X196),"")</f>
        <v>126</v>
      </c>
      <c r="Z196" s="41">
        <f>IFERROR(IF(X196="","",X196*0.01788),"")</f>
        <v>2.2528800000000002</v>
      </c>
      <c r="AA196" s="68" t="s">
        <v>46</v>
      </c>
      <c r="AB196" s="69" t="s">
        <v>46</v>
      </c>
      <c r="AC196" s="227" t="s">
        <v>298</v>
      </c>
      <c r="AG196" s="81"/>
      <c r="AJ196" s="87" t="s">
        <v>120</v>
      </c>
      <c r="AK196" s="87">
        <v>14</v>
      </c>
      <c r="BB196" s="228" t="s">
        <v>117</v>
      </c>
      <c r="BM196" s="81">
        <f>IFERROR(X196*I196,"0")</f>
        <v>426.88799999999998</v>
      </c>
      <c r="BN196" s="81">
        <f>IFERROR(Y196*I196,"0")</f>
        <v>426.88799999999998</v>
      </c>
      <c r="BO196" s="81">
        <f>IFERROR(X196/J196,"0")</f>
        <v>1.8</v>
      </c>
      <c r="BP196" s="81">
        <f>IFERROR(Y196/J196,"0")</f>
        <v>1.8</v>
      </c>
    </row>
    <row r="197" spans="1:68" ht="27" customHeight="1" x14ac:dyDescent="0.25">
      <c r="A197" s="63" t="s">
        <v>299</v>
      </c>
      <c r="B197" s="63" t="s">
        <v>300</v>
      </c>
      <c r="C197" s="36">
        <v>4301132170</v>
      </c>
      <c r="D197" s="360">
        <v>4607111038487</v>
      </c>
      <c r="E197" s="360"/>
      <c r="F197" s="62">
        <v>0.25</v>
      </c>
      <c r="G197" s="37">
        <v>12</v>
      </c>
      <c r="H197" s="62">
        <v>3</v>
      </c>
      <c r="I197" s="62">
        <v>3.7360000000000002</v>
      </c>
      <c r="J197" s="37">
        <v>70</v>
      </c>
      <c r="K197" s="37" t="s">
        <v>118</v>
      </c>
      <c r="L197" s="37" t="s">
        <v>119</v>
      </c>
      <c r="M197" s="38" t="s">
        <v>86</v>
      </c>
      <c r="N197" s="38"/>
      <c r="O197" s="37">
        <v>180</v>
      </c>
      <c r="P197" s="43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7" s="362"/>
      <c r="R197" s="362"/>
      <c r="S197" s="362"/>
      <c r="T197" s="363"/>
      <c r="U197" s="39" t="s">
        <v>46</v>
      </c>
      <c r="V197" s="39" t="s">
        <v>46</v>
      </c>
      <c r="W197" s="40" t="s">
        <v>39</v>
      </c>
      <c r="X197" s="58">
        <v>84</v>
      </c>
      <c r="Y197" s="55">
        <f>IFERROR(IF(X197="","",X197),"")</f>
        <v>84</v>
      </c>
      <c r="Z197" s="41">
        <f>IFERROR(IF(X197="","",X197*0.01788),"")</f>
        <v>1.5019199999999999</v>
      </c>
      <c r="AA197" s="68" t="s">
        <v>46</v>
      </c>
      <c r="AB197" s="69" t="s">
        <v>46</v>
      </c>
      <c r="AC197" s="229" t="s">
        <v>301</v>
      </c>
      <c r="AG197" s="81"/>
      <c r="AJ197" s="87" t="s">
        <v>120</v>
      </c>
      <c r="AK197" s="87">
        <v>14</v>
      </c>
      <c r="BB197" s="230" t="s">
        <v>117</v>
      </c>
      <c r="BM197" s="81">
        <f>IFERROR(X197*I197,"0")</f>
        <v>313.82400000000001</v>
      </c>
      <c r="BN197" s="81">
        <f>IFERROR(Y197*I197,"0")</f>
        <v>313.82400000000001</v>
      </c>
      <c r="BO197" s="81">
        <f>IFERROR(X197/J197,"0")</f>
        <v>1.2</v>
      </c>
      <c r="BP197" s="81">
        <f>IFERROR(Y197/J197,"0")</f>
        <v>1.2</v>
      </c>
    </row>
    <row r="198" spans="1:68" ht="27" customHeight="1" x14ac:dyDescent="0.25">
      <c r="A198" s="63" t="s">
        <v>302</v>
      </c>
      <c r="B198" s="63" t="s">
        <v>303</v>
      </c>
      <c r="C198" s="36">
        <v>4301132243</v>
      </c>
      <c r="D198" s="360">
        <v>4620207491195</v>
      </c>
      <c r="E198" s="360"/>
      <c r="F198" s="62">
        <v>0.23</v>
      </c>
      <c r="G198" s="37">
        <v>12</v>
      </c>
      <c r="H198" s="62">
        <v>2.76</v>
      </c>
      <c r="I198" s="62">
        <v>3.1480000000000001</v>
      </c>
      <c r="J198" s="37">
        <v>70</v>
      </c>
      <c r="K198" s="37" t="s">
        <v>118</v>
      </c>
      <c r="L198" s="37" t="s">
        <v>88</v>
      </c>
      <c r="M198" s="38" t="s">
        <v>86</v>
      </c>
      <c r="N198" s="38"/>
      <c r="O198" s="37">
        <v>180</v>
      </c>
      <c r="P198" s="439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8" s="362"/>
      <c r="R198" s="362"/>
      <c r="S198" s="362"/>
      <c r="T198" s="363"/>
      <c r="U198" s="39" t="s">
        <v>46</v>
      </c>
      <c r="V198" s="39" t="s">
        <v>46</v>
      </c>
      <c r="W198" s="40" t="s">
        <v>39</v>
      </c>
      <c r="X198" s="58">
        <v>14</v>
      </c>
      <c r="Y198" s="55">
        <f>IFERROR(IF(X198="","",X198),"")</f>
        <v>14</v>
      </c>
      <c r="Z198" s="41">
        <f>IFERROR(IF(X198="","",X198*0.01788),"")</f>
        <v>0.25031999999999999</v>
      </c>
      <c r="AA198" s="68" t="s">
        <v>46</v>
      </c>
      <c r="AB198" s="69" t="s">
        <v>46</v>
      </c>
      <c r="AC198" s="231" t="s">
        <v>304</v>
      </c>
      <c r="AG198" s="81"/>
      <c r="AJ198" s="87" t="s">
        <v>89</v>
      </c>
      <c r="AK198" s="87">
        <v>1</v>
      </c>
      <c r="BB198" s="232" t="s">
        <v>117</v>
      </c>
      <c r="BM198" s="81">
        <f>IFERROR(X198*I198,"0")</f>
        <v>44.072000000000003</v>
      </c>
      <c r="BN198" s="81">
        <f>IFERROR(Y198*I198,"0")</f>
        <v>44.072000000000003</v>
      </c>
      <c r="BO198" s="81">
        <f>IFERROR(X198/J198,"0")</f>
        <v>0.2</v>
      </c>
      <c r="BP198" s="81">
        <f>IFERROR(Y198/J198,"0")</f>
        <v>0.2</v>
      </c>
    </row>
    <row r="199" spans="1:68" x14ac:dyDescent="0.2">
      <c r="A199" s="374"/>
      <c r="B199" s="374"/>
      <c r="C199" s="374"/>
      <c r="D199" s="374"/>
      <c r="E199" s="374"/>
      <c r="F199" s="374"/>
      <c r="G199" s="374"/>
      <c r="H199" s="374"/>
      <c r="I199" s="374"/>
      <c r="J199" s="374"/>
      <c r="K199" s="374"/>
      <c r="L199" s="374"/>
      <c r="M199" s="374"/>
      <c r="N199" s="374"/>
      <c r="O199" s="375"/>
      <c r="P199" s="371" t="s">
        <v>40</v>
      </c>
      <c r="Q199" s="372"/>
      <c r="R199" s="372"/>
      <c r="S199" s="372"/>
      <c r="T199" s="372"/>
      <c r="U199" s="372"/>
      <c r="V199" s="373"/>
      <c r="W199" s="42" t="s">
        <v>39</v>
      </c>
      <c r="X199" s="43">
        <f>IFERROR(SUM(X195:X198),"0")</f>
        <v>322</v>
      </c>
      <c r="Y199" s="43">
        <f>IFERROR(SUM(Y195:Y198),"0")</f>
        <v>322</v>
      </c>
      <c r="Z199" s="43">
        <f>IFERROR(IF(Z195="",0,Z195),"0")+IFERROR(IF(Z196="",0,Z196),"0")+IFERROR(IF(Z197="",0,Z197),"0")+IFERROR(IF(Z198="",0,Z198),"0")</f>
        <v>5.7573600000000003</v>
      </c>
      <c r="AA199" s="67"/>
      <c r="AB199" s="67"/>
      <c r="AC199" s="67"/>
    </row>
    <row r="200" spans="1:68" x14ac:dyDescent="0.2">
      <c r="A200" s="374"/>
      <c r="B200" s="374"/>
      <c r="C200" s="374"/>
      <c r="D200" s="374"/>
      <c r="E200" s="374"/>
      <c r="F200" s="374"/>
      <c r="G200" s="374"/>
      <c r="H200" s="374"/>
      <c r="I200" s="374"/>
      <c r="J200" s="374"/>
      <c r="K200" s="374"/>
      <c r="L200" s="374"/>
      <c r="M200" s="374"/>
      <c r="N200" s="374"/>
      <c r="O200" s="375"/>
      <c r="P200" s="371" t="s">
        <v>40</v>
      </c>
      <c r="Q200" s="372"/>
      <c r="R200" s="372"/>
      <c r="S200" s="372"/>
      <c r="T200" s="372"/>
      <c r="U200" s="372"/>
      <c r="V200" s="373"/>
      <c r="W200" s="42" t="s">
        <v>0</v>
      </c>
      <c r="X200" s="43">
        <f>IFERROR(SUMPRODUCT(X195:X198*H195:H198),"0")</f>
        <v>962.64</v>
      </c>
      <c r="Y200" s="43">
        <f>IFERROR(SUMPRODUCT(Y195:Y198*H195:H198),"0")</f>
        <v>962.64</v>
      </c>
      <c r="Z200" s="42"/>
      <c r="AA200" s="67"/>
      <c r="AB200" s="67"/>
      <c r="AC200" s="67"/>
    </row>
    <row r="201" spans="1:68" ht="27.75" hidden="1" customHeight="1" x14ac:dyDescent="0.2">
      <c r="A201" s="357" t="s">
        <v>305</v>
      </c>
      <c r="B201" s="357"/>
      <c r="C201" s="357"/>
      <c r="D201" s="357"/>
      <c r="E201" s="357"/>
      <c r="F201" s="357"/>
      <c r="G201" s="357"/>
      <c r="H201" s="357"/>
      <c r="I201" s="357"/>
      <c r="J201" s="357"/>
      <c r="K201" s="357"/>
      <c r="L201" s="357"/>
      <c r="M201" s="357"/>
      <c r="N201" s="357"/>
      <c r="O201" s="357"/>
      <c r="P201" s="357"/>
      <c r="Q201" s="357"/>
      <c r="R201" s="357"/>
      <c r="S201" s="357"/>
      <c r="T201" s="357"/>
      <c r="U201" s="357"/>
      <c r="V201" s="357"/>
      <c r="W201" s="357"/>
      <c r="X201" s="357"/>
      <c r="Y201" s="357"/>
      <c r="Z201" s="357"/>
      <c r="AA201" s="54"/>
      <c r="AB201" s="54"/>
      <c r="AC201" s="54"/>
    </row>
    <row r="202" spans="1:68" ht="16.5" hidden="1" customHeight="1" x14ac:dyDescent="0.25">
      <c r="A202" s="358" t="s">
        <v>306</v>
      </c>
      <c r="B202" s="358"/>
      <c r="C202" s="358"/>
      <c r="D202" s="358"/>
      <c r="E202" s="358"/>
      <c r="F202" s="358"/>
      <c r="G202" s="358"/>
      <c r="H202" s="358"/>
      <c r="I202" s="358"/>
      <c r="J202" s="358"/>
      <c r="K202" s="358"/>
      <c r="L202" s="358"/>
      <c r="M202" s="358"/>
      <c r="N202" s="358"/>
      <c r="O202" s="358"/>
      <c r="P202" s="358"/>
      <c r="Q202" s="358"/>
      <c r="R202" s="358"/>
      <c r="S202" s="358"/>
      <c r="T202" s="358"/>
      <c r="U202" s="358"/>
      <c r="V202" s="358"/>
      <c r="W202" s="358"/>
      <c r="X202" s="358"/>
      <c r="Y202" s="358"/>
      <c r="Z202" s="358"/>
      <c r="AA202" s="65"/>
      <c r="AB202" s="65"/>
      <c r="AC202" s="82"/>
    </row>
    <row r="203" spans="1:68" ht="14.25" hidden="1" customHeight="1" x14ac:dyDescent="0.25">
      <c r="A203" s="359" t="s">
        <v>113</v>
      </c>
      <c r="B203" s="359"/>
      <c r="C203" s="359"/>
      <c r="D203" s="359"/>
      <c r="E203" s="359"/>
      <c r="F203" s="359"/>
      <c r="G203" s="359"/>
      <c r="H203" s="359"/>
      <c r="I203" s="359"/>
      <c r="J203" s="359"/>
      <c r="K203" s="359"/>
      <c r="L203" s="359"/>
      <c r="M203" s="359"/>
      <c r="N203" s="359"/>
      <c r="O203" s="359"/>
      <c r="P203" s="359"/>
      <c r="Q203" s="359"/>
      <c r="R203" s="359"/>
      <c r="S203" s="359"/>
      <c r="T203" s="359"/>
      <c r="U203" s="359"/>
      <c r="V203" s="359"/>
      <c r="W203" s="359"/>
      <c r="X203" s="359"/>
      <c r="Y203" s="359"/>
      <c r="Z203" s="359"/>
      <c r="AA203" s="66"/>
      <c r="AB203" s="66"/>
      <c r="AC203" s="83"/>
    </row>
    <row r="204" spans="1:68" ht="27" customHeight="1" x14ac:dyDescent="0.25">
      <c r="A204" s="63" t="s">
        <v>307</v>
      </c>
      <c r="B204" s="63" t="s">
        <v>308</v>
      </c>
      <c r="C204" s="36">
        <v>4301132227</v>
      </c>
      <c r="D204" s="360">
        <v>4620207491133</v>
      </c>
      <c r="E204" s="360"/>
      <c r="F204" s="62">
        <v>0.23</v>
      </c>
      <c r="G204" s="37">
        <v>12</v>
      </c>
      <c r="H204" s="62">
        <v>2.76</v>
      </c>
      <c r="I204" s="62">
        <v>2.98</v>
      </c>
      <c r="J204" s="37">
        <v>70</v>
      </c>
      <c r="K204" s="37" t="s">
        <v>118</v>
      </c>
      <c r="L204" s="37" t="s">
        <v>119</v>
      </c>
      <c r="M204" s="38" t="s">
        <v>86</v>
      </c>
      <c r="N204" s="38"/>
      <c r="O204" s="37">
        <v>180</v>
      </c>
      <c r="P204" s="44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4" s="362"/>
      <c r="R204" s="362"/>
      <c r="S204" s="362"/>
      <c r="T204" s="363"/>
      <c r="U204" s="39" t="s">
        <v>46</v>
      </c>
      <c r="V204" s="39" t="s">
        <v>46</v>
      </c>
      <c r="W204" s="40" t="s">
        <v>39</v>
      </c>
      <c r="X204" s="58">
        <v>28</v>
      </c>
      <c r="Y204" s="55">
        <f>IFERROR(IF(X204="","",X204),"")</f>
        <v>28</v>
      </c>
      <c r="Z204" s="41">
        <f>IFERROR(IF(X204="","",X204*0.01788),"")</f>
        <v>0.50063999999999997</v>
      </c>
      <c r="AA204" s="68" t="s">
        <v>46</v>
      </c>
      <c r="AB204" s="69" t="s">
        <v>46</v>
      </c>
      <c r="AC204" s="233" t="s">
        <v>309</v>
      </c>
      <c r="AG204" s="81"/>
      <c r="AJ204" s="87" t="s">
        <v>120</v>
      </c>
      <c r="AK204" s="87">
        <v>14</v>
      </c>
      <c r="BB204" s="234" t="s">
        <v>117</v>
      </c>
      <c r="BM204" s="81">
        <f>IFERROR(X204*I204,"0")</f>
        <v>83.44</v>
      </c>
      <c r="BN204" s="81">
        <f>IFERROR(Y204*I204,"0")</f>
        <v>83.44</v>
      </c>
      <c r="BO204" s="81">
        <f>IFERROR(X204/J204,"0")</f>
        <v>0.4</v>
      </c>
      <c r="BP204" s="81">
        <f>IFERROR(Y204/J204,"0")</f>
        <v>0.4</v>
      </c>
    </row>
    <row r="205" spans="1:68" x14ac:dyDescent="0.2">
      <c r="A205" s="374"/>
      <c r="B205" s="374"/>
      <c r="C205" s="374"/>
      <c r="D205" s="374"/>
      <c r="E205" s="374"/>
      <c r="F205" s="374"/>
      <c r="G205" s="374"/>
      <c r="H205" s="374"/>
      <c r="I205" s="374"/>
      <c r="J205" s="374"/>
      <c r="K205" s="374"/>
      <c r="L205" s="374"/>
      <c r="M205" s="374"/>
      <c r="N205" s="374"/>
      <c r="O205" s="375"/>
      <c r="P205" s="371" t="s">
        <v>40</v>
      </c>
      <c r="Q205" s="372"/>
      <c r="R205" s="372"/>
      <c r="S205" s="372"/>
      <c r="T205" s="372"/>
      <c r="U205" s="372"/>
      <c r="V205" s="373"/>
      <c r="W205" s="42" t="s">
        <v>39</v>
      </c>
      <c r="X205" s="43">
        <f>IFERROR(SUM(X204:X204),"0")</f>
        <v>28</v>
      </c>
      <c r="Y205" s="43">
        <f>IFERROR(SUM(Y204:Y204),"0")</f>
        <v>28</v>
      </c>
      <c r="Z205" s="43">
        <f>IFERROR(IF(Z204="",0,Z204),"0")</f>
        <v>0.50063999999999997</v>
      </c>
      <c r="AA205" s="67"/>
      <c r="AB205" s="67"/>
      <c r="AC205" s="67"/>
    </row>
    <row r="206" spans="1:68" x14ac:dyDescent="0.2">
      <c r="A206" s="374"/>
      <c r="B206" s="374"/>
      <c r="C206" s="374"/>
      <c r="D206" s="374"/>
      <c r="E206" s="374"/>
      <c r="F206" s="374"/>
      <c r="G206" s="374"/>
      <c r="H206" s="374"/>
      <c r="I206" s="374"/>
      <c r="J206" s="374"/>
      <c r="K206" s="374"/>
      <c r="L206" s="374"/>
      <c r="M206" s="374"/>
      <c r="N206" s="374"/>
      <c r="O206" s="375"/>
      <c r="P206" s="371" t="s">
        <v>40</v>
      </c>
      <c r="Q206" s="372"/>
      <c r="R206" s="372"/>
      <c r="S206" s="372"/>
      <c r="T206" s="372"/>
      <c r="U206" s="372"/>
      <c r="V206" s="373"/>
      <c r="W206" s="42" t="s">
        <v>0</v>
      </c>
      <c r="X206" s="43">
        <f>IFERROR(SUMPRODUCT(X204:X204*H204:H204),"0")</f>
        <v>77.28</v>
      </c>
      <c r="Y206" s="43">
        <f>IFERROR(SUMPRODUCT(Y204:Y204*H204:H204),"0")</f>
        <v>77.28</v>
      </c>
      <c r="Z206" s="42"/>
      <c r="AA206" s="67"/>
      <c r="AB206" s="67"/>
      <c r="AC206" s="67"/>
    </row>
    <row r="207" spans="1:68" ht="14.25" hidden="1" customHeight="1" x14ac:dyDescent="0.25">
      <c r="A207" s="359" t="s">
        <v>157</v>
      </c>
      <c r="B207" s="359"/>
      <c r="C207" s="359"/>
      <c r="D207" s="359"/>
      <c r="E207" s="359"/>
      <c r="F207" s="359"/>
      <c r="G207" s="359"/>
      <c r="H207" s="359"/>
      <c r="I207" s="359"/>
      <c r="J207" s="359"/>
      <c r="K207" s="359"/>
      <c r="L207" s="359"/>
      <c r="M207" s="359"/>
      <c r="N207" s="359"/>
      <c r="O207" s="359"/>
      <c r="P207" s="359"/>
      <c r="Q207" s="359"/>
      <c r="R207" s="359"/>
      <c r="S207" s="359"/>
      <c r="T207" s="359"/>
      <c r="U207" s="359"/>
      <c r="V207" s="359"/>
      <c r="W207" s="359"/>
      <c r="X207" s="359"/>
      <c r="Y207" s="359"/>
      <c r="Z207" s="359"/>
      <c r="AA207" s="66"/>
      <c r="AB207" s="66"/>
      <c r="AC207" s="83"/>
    </row>
    <row r="208" spans="1:68" ht="27" hidden="1" customHeight="1" x14ac:dyDescent="0.25">
      <c r="A208" s="63" t="s">
        <v>310</v>
      </c>
      <c r="B208" s="63" t="s">
        <v>311</v>
      </c>
      <c r="C208" s="36">
        <v>4301135834</v>
      </c>
      <c r="D208" s="360">
        <v>4620207491188</v>
      </c>
      <c r="E208" s="360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118</v>
      </c>
      <c r="L208" s="37" t="s">
        <v>88</v>
      </c>
      <c r="M208" s="38" t="s">
        <v>86</v>
      </c>
      <c r="N208" s="38"/>
      <c r="O208" s="37">
        <v>180</v>
      </c>
      <c r="P208" s="44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8" s="362"/>
      <c r="R208" s="362"/>
      <c r="S208" s="362"/>
      <c r="T208" s="363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5" t="s">
        <v>312</v>
      </c>
      <c r="AG208" s="81"/>
      <c r="AJ208" s="87" t="s">
        <v>89</v>
      </c>
      <c r="AK208" s="87">
        <v>1</v>
      </c>
      <c r="BB208" s="236" t="s">
        <v>117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27" hidden="1" customHeight="1" x14ac:dyDescent="0.25">
      <c r="A209" s="63" t="s">
        <v>313</v>
      </c>
      <c r="B209" s="63" t="s">
        <v>314</v>
      </c>
      <c r="C209" s="36">
        <v>4301135829</v>
      </c>
      <c r="D209" s="360">
        <v>4620207490235</v>
      </c>
      <c r="E209" s="360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118</v>
      </c>
      <c r="L209" s="37" t="s">
        <v>88</v>
      </c>
      <c r="M209" s="38" t="s">
        <v>86</v>
      </c>
      <c r="N209" s="38"/>
      <c r="O209" s="37">
        <v>180</v>
      </c>
      <c r="P209" s="442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9" s="362"/>
      <c r="R209" s="362"/>
      <c r="S209" s="362"/>
      <c r="T209" s="363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7" t="s">
        <v>315</v>
      </c>
      <c r="AG209" s="81"/>
      <c r="AJ209" s="87" t="s">
        <v>89</v>
      </c>
      <c r="AK209" s="87">
        <v>1</v>
      </c>
      <c r="BB209" s="238" t="s">
        <v>117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hidden="1" customHeight="1" x14ac:dyDescent="0.25">
      <c r="A210" s="63" t="s">
        <v>316</v>
      </c>
      <c r="B210" s="63" t="s">
        <v>317</v>
      </c>
      <c r="C210" s="36">
        <v>4301135697</v>
      </c>
      <c r="D210" s="360">
        <v>4620207490259</v>
      </c>
      <c r="E210" s="360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118</v>
      </c>
      <c r="L210" s="37" t="s">
        <v>119</v>
      </c>
      <c r="M210" s="38" t="s">
        <v>86</v>
      </c>
      <c r="N210" s="38"/>
      <c r="O210" s="37">
        <v>180</v>
      </c>
      <c r="P210" s="44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362"/>
      <c r="R210" s="362"/>
      <c r="S210" s="362"/>
      <c r="T210" s="363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9" t="s">
        <v>318</v>
      </c>
      <c r="AG210" s="81"/>
      <c r="AJ210" s="87" t="s">
        <v>120</v>
      </c>
      <c r="AK210" s="87">
        <v>14</v>
      </c>
      <c r="BB210" s="240" t="s">
        <v>117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idden="1" x14ac:dyDescent="0.2">
      <c r="A211" s="374"/>
      <c r="B211" s="374"/>
      <c r="C211" s="374"/>
      <c r="D211" s="374"/>
      <c r="E211" s="374"/>
      <c r="F211" s="374"/>
      <c r="G211" s="374"/>
      <c r="H211" s="374"/>
      <c r="I211" s="374"/>
      <c r="J211" s="374"/>
      <c r="K211" s="374"/>
      <c r="L211" s="374"/>
      <c r="M211" s="374"/>
      <c r="N211" s="374"/>
      <c r="O211" s="375"/>
      <c r="P211" s="371" t="s">
        <v>40</v>
      </c>
      <c r="Q211" s="372"/>
      <c r="R211" s="372"/>
      <c r="S211" s="372"/>
      <c r="T211" s="372"/>
      <c r="U211" s="372"/>
      <c r="V211" s="373"/>
      <c r="W211" s="42" t="s">
        <v>39</v>
      </c>
      <c r="X211" s="43">
        <f>IFERROR(SUM(X208:X210),"0")</f>
        <v>0</v>
      </c>
      <c r="Y211" s="43">
        <f>IFERROR(SUM(Y208:Y210),"0")</f>
        <v>0</v>
      </c>
      <c r="Z211" s="43">
        <f>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374"/>
      <c r="B212" s="374"/>
      <c r="C212" s="374"/>
      <c r="D212" s="374"/>
      <c r="E212" s="374"/>
      <c r="F212" s="374"/>
      <c r="G212" s="374"/>
      <c r="H212" s="374"/>
      <c r="I212" s="374"/>
      <c r="J212" s="374"/>
      <c r="K212" s="374"/>
      <c r="L212" s="374"/>
      <c r="M212" s="374"/>
      <c r="N212" s="374"/>
      <c r="O212" s="375"/>
      <c r="P212" s="371" t="s">
        <v>40</v>
      </c>
      <c r="Q212" s="372"/>
      <c r="R212" s="372"/>
      <c r="S212" s="372"/>
      <c r="T212" s="372"/>
      <c r="U212" s="372"/>
      <c r="V212" s="373"/>
      <c r="W212" s="42" t="s">
        <v>0</v>
      </c>
      <c r="X212" s="43">
        <f>IFERROR(SUMPRODUCT(X208:X210*H208:H210),"0")</f>
        <v>0</v>
      </c>
      <c r="Y212" s="43">
        <f>IFERROR(SUMPRODUCT(Y208:Y210*H208:H210),"0")</f>
        <v>0</v>
      </c>
      <c r="Z212" s="42"/>
      <c r="AA212" s="67"/>
      <c r="AB212" s="67"/>
      <c r="AC212" s="67"/>
    </row>
    <row r="213" spans="1:68" ht="16.5" hidden="1" customHeight="1" x14ac:dyDescent="0.25">
      <c r="A213" s="358" t="s">
        <v>319</v>
      </c>
      <c r="B213" s="358"/>
      <c r="C213" s="358"/>
      <c r="D213" s="358"/>
      <c r="E213" s="358"/>
      <c r="F213" s="358"/>
      <c r="G213" s="358"/>
      <c r="H213" s="358"/>
      <c r="I213" s="358"/>
      <c r="J213" s="358"/>
      <c r="K213" s="358"/>
      <c r="L213" s="358"/>
      <c r="M213" s="358"/>
      <c r="N213" s="358"/>
      <c r="O213" s="358"/>
      <c r="P213" s="358"/>
      <c r="Q213" s="358"/>
      <c r="R213" s="358"/>
      <c r="S213" s="358"/>
      <c r="T213" s="358"/>
      <c r="U213" s="358"/>
      <c r="V213" s="358"/>
      <c r="W213" s="358"/>
      <c r="X213" s="358"/>
      <c r="Y213" s="358"/>
      <c r="Z213" s="358"/>
      <c r="AA213" s="65"/>
      <c r="AB213" s="65"/>
      <c r="AC213" s="82"/>
    </row>
    <row r="214" spans="1:68" ht="14.25" hidden="1" customHeight="1" x14ac:dyDescent="0.25">
      <c r="A214" s="359" t="s">
        <v>157</v>
      </c>
      <c r="B214" s="359"/>
      <c r="C214" s="359"/>
      <c r="D214" s="359"/>
      <c r="E214" s="359"/>
      <c r="F214" s="359"/>
      <c r="G214" s="359"/>
      <c r="H214" s="359"/>
      <c r="I214" s="359"/>
      <c r="J214" s="359"/>
      <c r="K214" s="359"/>
      <c r="L214" s="359"/>
      <c r="M214" s="359"/>
      <c r="N214" s="359"/>
      <c r="O214" s="359"/>
      <c r="P214" s="359"/>
      <c r="Q214" s="359"/>
      <c r="R214" s="359"/>
      <c r="S214" s="359"/>
      <c r="T214" s="359"/>
      <c r="U214" s="359"/>
      <c r="V214" s="359"/>
      <c r="W214" s="359"/>
      <c r="X214" s="359"/>
      <c r="Y214" s="359"/>
      <c r="Z214" s="359"/>
      <c r="AA214" s="66"/>
      <c r="AB214" s="66"/>
      <c r="AC214" s="83"/>
    </row>
    <row r="215" spans="1:68" ht="27" hidden="1" customHeight="1" x14ac:dyDescent="0.25">
      <c r="A215" s="63" t="s">
        <v>320</v>
      </c>
      <c r="B215" s="63" t="s">
        <v>321</v>
      </c>
      <c r="C215" s="36">
        <v>4301135854</v>
      </c>
      <c r="D215" s="360">
        <v>4620207491706</v>
      </c>
      <c r="E215" s="360"/>
      <c r="F215" s="62">
        <v>0.2</v>
      </c>
      <c r="G215" s="37">
        <v>12</v>
      </c>
      <c r="H215" s="62">
        <v>2.4</v>
      </c>
      <c r="I215" s="62">
        <v>3.1036000000000001</v>
      </c>
      <c r="J215" s="37">
        <v>70</v>
      </c>
      <c r="K215" s="37" t="s">
        <v>118</v>
      </c>
      <c r="L215" s="37" t="s">
        <v>88</v>
      </c>
      <c r="M215" s="38" t="s">
        <v>86</v>
      </c>
      <c r="N215" s="38"/>
      <c r="O215" s="37">
        <v>180</v>
      </c>
      <c r="P215" s="44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5" s="362"/>
      <c r="R215" s="362"/>
      <c r="S215" s="362"/>
      <c r="T215" s="363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41" t="s">
        <v>322</v>
      </c>
      <c r="AG215" s="81"/>
      <c r="AJ215" s="87" t="s">
        <v>89</v>
      </c>
      <c r="AK215" s="87">
        <v>1</v>
      </c>
      <c r="BB215" s="242" t="s">
        <v>117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t="27" hidden="1" customHeight="1" x14ac:dyDescent="0.25">
      <c r="A216" s="63" t="s">
        <v>323</v>
      </c>
      <c r="B216" s="63" t="s">
        <v>324</v>
      </c>
      <c r="C216" s="36">
        <v>4301135895</v>
      </c>
      <c r="D216" s="360">
        <v>4620207491522</v>
      </c>
      <c r="E216" s="360"/>
      <c r="F216" s="62">
        <v>0.28000000000000003</v>
      </c>
      <c r="G216" s="37">
        <v>12</v>
      </c>
      <c r="H216" s="62">
        <v>3.36</v>
      </c>
      <c r="I216" s="62">
        <v>4.0636000000000001</v>
      </c>
      <c r="J216" s="37">
        <v>70</v>
      </c>
      <c r="K216" s="37" t="s">
        <v>118</v>
      </c>
      <c r="L216" s="37" t="s">
        <v>88</v>
      </c>
      <c r="M216" s="38" t="s">
        <v>86</v>
      </c>
      <c r="N216" s="38"/>
      <c r="O216" s="37">
        <v>180</v>
      </c>
      <c r="P216" s="44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6" s="362"/>
      <c r="R216" s="362"/>
      <c r="S216" s="362"/>
      <c r="T216" s="363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IFERROR(IF(X216="","",X216*0.01788),"")</f>
        <v>0</v>
      </c>
      <c r="AA216" s="68" t="s">
        <v>46</v>
      </c>
      <c r="AB216" s="69" t="s">
        <v>46</v>
      </c>
      <c r="AC216" s="243" t="s">
        <v>325</v>
      </c>
      <c r="AG216" s="81"/>
      <c r="AJ216" s="87" t="s">
        <v>89</v>
      </c>
      <c r="AK216" s="87">
        <v>1</v>
      </c>
      <c r="BB216" s="244" t="s">
        <v>117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hidden="1" x14ac:dyDescent="0.2">
      <c r="A217" s="374"/>
      <c r="B217" s="374"/>
      <c r="C217" s="374"/>
      <c r="D217" s="374"/>
      <c r="E217" s="374"/>
      <c r="F217" s="374"/>
      <c r="G217" s="374"/>
      <c r="H217" s="374"/>
      <c r="I217" s="374"/>
      <c r="J217" s="374"/>
      <c r="K217" s="374"/>
      <c r="L217" s="374"/>
      <c r="M217" s="374"/>
      <c r="N217" s="374"/>
      <c r="O217" s="375"/>
      <c r="P217" s="371" t="s">
        <v>40</v>
      </c>
      <c r="Q217" s="372"/>
      <c r="R217" s="372"/>
      <c r="S217" s="372"/>
      <c r="T217" s="372"/>
      <c r="U217" s="372"/>
      <c r="V217" s="373"/>
      <c r="W217" s="42" t="s">
        <v>39</v>
      </c>
      <c r="X217" s="43">
        <f>IFERROR(SUM(X215:X216),"0")</f>
        <v>0</v>
      </c>
      <c r="Y217" s="43">
        <f>IFERROR(SUM(Y215:Y216),"0")</f>
        <v>0</v>
      </c>
      <c r="Z217" s="43">
        <f>IFERROR(IF(Z215="",0,Z215),"0")+IFERROR(IF(Z216="",0,Z216),"0")</f>
        <v>0</v>
      </c>
      <c r="AA217" s="67"/>
      <c r="AB217" s="67"/>
      <c r="AC217" s="67"/>
    </row>
    <row r="218" spans="1:68" hidden="1" x14ac:dyDescent="0.2">
      <c r="A218" s="374"/>
      <c r="B218" s="374"/>
      <c r="C218" s="374"/>
      <c r="D218" s="374"/>
      <c r="E218" s="374"/>
      <c r="F218" s="374"/>
      <c r="G218" s="374"/>
      <c r="H218" s="374"/>
      <c r="I218" s="374"/>
      <c r="J218" s="374"/>
      <c r="K218" s="374"/>
      <c r="L218" s="374"/>
      <c r="M218" s="374"/>
      <c r="N218" s="374"/>
      <c r="O218" s="375"/>
      <c r="P218" s="371" t="s">
        <v>40</v>
      </c>
      <c r="Q218" s="372"/>
      <c r="R218" s="372"/>
      <c r="S218" s="372"/>
      <c r="T218" s="372"/>
      <c r="U218" s="372"/>
      <c r="V218" s="373"/>
      <c r="W218" s="42" t="s">
        <v>0</v>
      </c>
      <c r="X218" s="43">
        <f>IFERROR(SUMPRODUCT(X215:X216*H215:H216),"0")</f>
        <v>0</v>
      </c>
      <c r="Y218" s="43">
        <f>IFERROR(SUMPRODUCT(Y215:Y216*H215:H216),"0")</f>
        <v>0</v>
      </c>
      <c r="Z218" s="42"/>
      <c r="AA218" s="67"/>
      <c r="AB218" s="67"/>
      <c r="AC218" s="67"/>
    </row>
    <row r="219" spans="1:68" ht="16.5" hidden="1" customHeight="1" x14ac:dyDescent="0.25">
      <c r="A219" s="358" t="s">
        <v>326</v>
      </c>
      <c r="B219" s="358"/>
      <c r="C219" s="358"/>
      <c r="D219" s="358"/>
      <c r="E219" s="358"/>
      <c r="F219" s="358"/>
      <c r="G219" s="358"/>
      <c r="H219" s="358"/>
      <c r="I219" s="358"/>
      <c r="J219" s="358"/>
      <c r="K219" s="358"/>
      <c r="L219" s="358"/>
      <c r="M219" s="358"/>
      <c r="N219" s="358"/>
      <c r="O219" s="358"/>
      <c r="P219" s="358"/>
      <c r="Q219" s="358"/>
      <c r="R219" s="358"/>
      <c r="S219" s="358"/>
      <c r="T219" s="358"/>
      <c r="U219" s="358"/>
      <c r="V219" s="358"/>
      <c r="W219" s="358"/>
      <c r="X219" s="358"/>
      <c r="Y219" s="358"/>
      <c r="Z219" s="358"/>
      <c r="AA219" s="65"/>
      <c r="AB219" s="65"/>
      <c r="AC219" s="82"/>
    </row>
    <row r="220" spans="1:68" ht="14.25" hidden="1" customHeight="1" x14ac:dyDescent="0.25">
      <c r="A220" s="359" t="s">
        <v>82</v>
      </c>
      <c r="B220" s="359"/>
      <c r="C220" s="359"/>
      <c r="D220" s="359"/>
      <c r="E220" s="359"/>
      <c r="F220" s="359"/>
      <c r="G220" s="359"/>
      <c r="H220" s="359"/>
      <c r="I220" s="359"/>
      <c r="J220" s="359"/>
      <c r="K220" s="359"/>
      <c r="L220" s="359"/>
      <c r="M220" s="359"/>
      <c r="N220" s="359"/>
      <c r="O220" s="359"/>
      <c r="P220" s="359"/>
      <c r="Q220" s="359"/>
      <c r="R220" s="359"/>
      <c r="S220" s="359"/>
      <c r="T220" s="359"/>
      <c r="U220" s="359"/>
      <c r="V220" s="359"/>
      <c r="W220" s="359"/>
      <c r="X220" s="359"/>
      <c r="Y220" s="359"/>
      <c r="Z220" s="359"/>
      <c r="AA220" s="66"/>
      <c r="AB220" s="66"/>
      <c r="AC220" s="83"/>
    </row>
    <row r="221" spans="1:68" ht="27" customHeight="1" x14ac:dyDescent="0.25">
      <c r="A221" s="63" t="s">
        <v>327</v>
      </c>
      <c r="B221" s="63" t="s">
        <v>328</v>
      </c>
      <c r="C221" s="36">
        <v>4301071097</v>
      </c>
      <c r="D221" s="360">
        <v>4620207491096</v>
      </c>
      <c r="E221" s="360"/>
      <c r="F221" s="62">
        <v>1</v>
      </c>
      <c r="G221" s="37">
        <v>5</v>
      </c>
      <c r="H221" s="62">
        <v>5</v>
      </c>
      <c r="I221" s="62">
        <v>5.23</v>
      </c>
      <c r="J221" s="37">
        <v>84</v>
      </c>
      <c r="K221" s="37" t="s">
        <v>87</v>
      </c>
      <c r="L221" s="37" t="s">
        <v>119</v>
      </c>
      <c r="M221" s="38" t="s">
        <v>86</v>
      </c>
      <c r="N221" s="38"/>
      <c r="O221" s="37">
        <v>180</v>
      </c>
      <c r="P221" s="44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1" s="362"/>
      <c r="R221" s="362"/>
      <c r="S221" s="362"/>
      <c r="T221" s="363"/>
      <c r="U221" s="39" t="s">
        <v>46</v>
      </c>
      <c r="V221" s="39" t="s">
        <v>46</v>
      </c>
      <c r="W221" s="40" t="s">
        <v>39</v>
      </c>
      <c r="X221" s="58">
        <v>60</v>
      </c>
      <c r="Y221" s="55">
        <f>IFERROR(IF(X221="","",X221),"")</f>
        <v>60</v>
      </c>
      <c r="Z221" s="41">
        <f>IFERROR(IF(X221="","",X221*0.0155),"")</f>
        <v>0.92999999999999994</v>
      </c>
      <c r="AA221" s="68" t="s">
        <v>46</v>
      </c>
      <c r="AB221" s="69" t="s">
        <v>46</v>
      </c>
      <c r="AC221" s="245" t="s">
        <v>329</v>
      </c>
      <c r="AG221" s="81"/>
      <c r="AJ221" s="87" t="s">
        <v>120</v>
      </c>
      <c r="AK221" s="87">
        <v>12</v>
      </c>
      <c r="BB221" s="246" t="s">
        <v>70</v>
      </c>
      <c r="BM221" s="81">
        <f>IFERROR(X221*I221,"0")</f>
        <v>313.8</v>
      </c>
      <c r="BN221" s="81">
        <f>IFERROR(Y221*I221,"0")</f>
        <v>313.8</v>
      </c>
      <c r="BO221" s="81">
        <f>IFERROR(X221/J221,"0")</f>
        <v>0.7142857142857143</v>
      </c>
      <c r="BP221" s="81">
        <f>IFERROR(Y221/J221,"0")</f>
        <v>0.7142857142857143</v>
      </c>
    </row>
    <row r="222" spans="1:68" x14ac:dyDescent="0.2">
      <c r="A222" s="374"/>
      <c r="B222" s="374"/>
      <c r="C222" s="374"/>
      <c r="D222" s="374"/>
      <c r="E222" s="374"/>
      <c r="F222" s="374"/>
      <c r="G222" s="374"/>
      <c r="H222" s="374"/>
      <c r="I222" s="374"/>
      <c r="J222" s="374"/>
      <c r="K222" s="374"/>
      <c r="L222" s="374"/>
      <c r="M222" s="374"/>
      <c r="N222" s="374"/>
      <c r="O222" s="375"/>
      <c r="P222" s="371" t="s">
        <v>40</v>
      </c>
      <c r="Q222" s="372"/>
      <c r="R222" s="372"/>
      <c r="S222" s="372"/>
      <c r="T222" s="372"/>
      <c r="U222" s="372"/>
      <c r="V222" s="373"/>
      <c r="W222" s="42" t="s">
        <v>39</v>
      </c>
      <c r="X222" s="43">
        <f>IFERROR(SUM(X221:X221),"0")</f>
        <v>60</v>
      </c>
      <c r="Y222" s="43">
        <f>IFERROR(SUM(Y221:Y221),"0")</f>
        <v>60</v>
      </c>
      <c r="Z222" s="43">
        <f>IFERROR(IF(Z221="",0,Z221),"0")</f>
        <v>0.92999999999999994</v>
      </c>
      <c r="AA222" s="67"/>
      <c r="AB222" s="67"/>
      <c r="AC222" s="67"/>
    </row>
    <row r="223" spans="1:68" x14ac:dyDescent="0.2">
      <c r="A223" s="374"/>
      <c r="B223" s="374"/>
      <c r="C223" s="374"/>
      <c r="D223" s="374"/>
      <c r="E223" s="374"/>
      <c r="F223" s="374"/>
      <c r="G223" s="374"/>
      <c r="H223" s="374"/>
      <c r="I223" s="374"/>
      <c r="J223" s="374"/>
      <c r="K223" s="374"/>
      <c r="L223" s="374"/>
      <c r="M223" s="374"/>
      <c r="N223" s="374"/>
      <c r="O223" s="375"/>
      <c r="P223" s="371" t="s">
        <v>40</v>
      </c>
      <c r="Q223" s="372"/>
      <c r="R223" s="372"/>
      <c r="S223" s="372"/>
      <c r="T223" s="372"/>
      <c r="U223" s="372"/>
      <c r="V223" s="373"/>
      <c r="W223" s="42" t="s">
        <v>0</v>
      </c>
      <c r="X223" s="43">
        <f>IFERROR(SUMPRODUCT(X221:X221*H221:H221),"0")</f>
        <v>300</v>
      </c>
      <c r="Y223" s="43">
        <f>IFERROR(SUMPRODUCT(Y221:Y221*H221:H221),"0")</f>
        <v>300</v>
      </c>
      <c r="Z223" s="42"/>
      <c r="AA223" s="67"/>
      <c r="AB223" s="67"/>
      <c r="AC223" s="67"/>
    </row>
    <row r="224" spans="1:68" ht="16.5" hidden="1" customHeight="1" x14ac:dyDescent="0.25">
      <c r="A224" s="358" t="s">
        <v>330</v>
      </c>
      <c r="B224" s="358"/>
      <c r="C224" s="358"/>
      <c r="D224" s="358"/>
      <c r="E224" s="358"/>
      <c r="F224" s="358"/>
      <c r="G224" s="358"/>
      <c r="H224" s="358"/>
      <c r="I224" s="358"/>
      <c r="J224" s="358"/>
      <c r="K224" s="358"/>
      <c r="L224" s="358"/>
      <c r="M224" s="358"/>
      <c r="N224" s="358"/>
      <c r="O224" s="358"/>
      <c r="P224" s="358"/>
      <c r="Q224" s="358"/>
      <c r="R224" s="358"/>
      <c r="S224" s="358"/>
      <c r="T224" s="358"/>
      <c r="U224" s="358"/>
      <c r="V224" s="358"/>
      <c r="W224" s="358"/>
      <c r="X224" s="358"/>
      <c r="Y224" s="358"/>
      <c r="Z224" s="358"/>
      <c r="AA224" s="65"/>
      <c r="AB224" s="65"/>
      <c r="AC224" s="82"/>
    </row>
    <row r="225" spans="1:68" ht="14.25" hidden="1" customHeight="1" x14ac:dyDescent="0.25">
      <c r="A225" s="359" t="s">
        <v>157</v>
      </c>
      <c r="B225" s="359"/>
      <c r="C225" s="359"/>
      <c r="D225" s="359"/>
      <c r="E225" s="359"/>
      <c r="F225" s="359"/>
      <c r="G225" s="359"/>
      <c r="H225" s="359"/>
      <c r="I225" s="359"/>
      <c r="J225" s="359"/>
      <c r="K225" s="359"/>
      <c r="L225" s="359"/>
      <c r="M225" s="359"/>
      <c r="N225" s="359"/>
      <c r="O225" s="359"/>
      <c r="P225" s="359"/>
      <c r="Q225" s="359"/>
      <c r="R225" s="359"/>
      <c r="S225" s="359"/>
      <c r="T225" s="359"/>
      <c r="U225" s="359"/>
      <c r="V225" s="359"/>
      <c r="W225" s="359"/>
      <c r="X225" s="359"/>
      <c r="Y225" s="359"/>
      <c r="Z225" s="359"/>
      <c r="AA225" s="66"/>
      <c r="AB225" s="66"/>
      <c r="AC225" s="83"/>
    </row>
    <row r="226" spans="1:68" ht="27" hidden="1" customHeight="1" x14ac:dyDescent="0.25">
      <c r="A226" s="63" t="s">
        <v>331</v>
      </c>
      <c r="B226" s="63" t="s">
        <v>332</v>
      </c>
      <c r="C226" s="36">
        <v>4301135694</v>
      </c>
      <c r="D226" s="360">
        <v>4620207490501</v>
      </c>
      <c r="E226" s="360"/>
      <c r="F226" s="62">
        <v>0.2</v>
      </c>
      <c r="G226" s="37">
        <v>12</v>
      </c>
      <c r="H226" s="62">
        <v>2.4</v>
      </c>
      <c r="I226" s="62">
        <v>3.1036000000000001</v>
      </c>
      <c r="J226" s="37">
        <v>70</v>
      </c>
      <c r="K226" s="37" t="s">
        <v>118</v>
      </c>
      <c r="L226" s="37" t="s">
        <v>88</v>
      </c>
      <c r="M226" s="38" t="s">
        <v>86</v>
      </c>
      <c r="N226" s="38"/>
      <c r="O226" s="37">
        <v>180</v>
      </c>
      <c r="P226" s="44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6" s="362"/>
      <c r="R226" s="362"/>
      <c r="S226" s="362"/>
      <c r="T226" s="363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IFERROR(IF(X226="","",X226*0.01788),"")</f>
        <v>0</v>
      </c>
      <c r="AA226" s="68" t="s">
        <v>46</v>
      </c>
      <c r="AB226" s="69" t="s">
        <v>46</v>
      </c>
      <c r="AC226" s="247" t="s">
        <v>333</v>
      </c>
      <c r="AG226" s="81"/>
      <c r="AJ226" s="87" t="s">
        <v>89</v>
      </c>
      <c r="AK226" s="87">
        <v>1</v>
      </c>
      <c r="BB226" s="248" t="s">
        <v>117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hidden="1" x14ac:dyDescent="0.2">
      <c r="A227" s="374"/>
      <c r="B227" s="374"/>
      <c r="C227" s="374"/>
      <c r="D227" s="374"/>
      <c r="E227" s="374"/>
      <c r="F227" s="374"/>
      <c r="G227" s="374"/>
      <c r="H227" s="374"/>
      <c r="I227" s="374"/>
      <c r="J227" s="374"/>
      <c r="K227" s="374"/>
      <c r="L227" s="374"/>
      <c r="M227" s="374"/>
      <c r="N227" s="374"/>
      <c r="O227" s="375"/>
      <c r="P227" s="371" t="s">
        <v>40</v>
      </c>
      <c r="Q227" s="372"/>
      <c r="R227" s="372"/>
      <c r="S227" s="372"/>
      <c r="T227" s="372"/>
      <c r="U227" s="372"/>
      <c r="V227" s="373"/>
      <c r="W227" s="42" t="s">
        <v>39</v>
      </c>
      <c r="X227" s="43">
        <f>IFERROR(SUM(X226:X226),"0")</f>
        <v>0</v>
      </c>
      <c r="Y227" s="43">
        <f>IFERROR(SUM(Y226:Y226),"0")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374"/>
      <c r="B228" s="374"/>
      <c r="C228" s="374"/>
      <c r="D228" s="374"/>
      <c r="E228" s="374"/>
      <c r="F228" s="374"/>
      <c r="G228" s="374"/>
      <c r="H228" s="374"/>
      <c r="I228" s="374"/>
      <c r="J228" s="374"/>
      <c r="K228" s="374"/>
      <c r="L228" s="374"/>
      <c r="M228" s="374"/>
      <c r="N228" s="374"/>
      <c r="O228" s="375"/>
      <c r="P228" s="371" t="s">
        <v>40</v>
      </c>
      <c r="Q228" s="372"/>
      <c r="R228" s="372"/>
      <c r="S228" s="372"/>
      <c r="T228" s="372"/>
      <c r="U228" s="372"/>
      <c r="V228" s="373"/>
      <c r="W228" s="42" t="s">
        <v>0</v>
      </c>
      <c r="X228" s="43">
        <f>IFERROR(SUMPRODUCT(X226:X226*H226:H226),"0")</f>
        <v>0</v>
      </c>
      <c r="Y228" s="43">
        <f>IFERROR(SUMPRODUCT(Y226:Y226*H226:H226),"0")</f>
        <v>0</v>
      </c>
      <c r="Z228" s="42"/>
      <c r="AA228" s="67"/>
      <c r="AB228" s="67"/>
      <c r="AC228" s="67"/>
    </row>
    <row r="229" spans="1:68" ht="27.75" hidden="1" customHeight="1" x14ac:dyDescent="0.2">
      <c r="A229" s="357" t="s">
        <v>334</v>
      </c>
      <c r="B229" s="357"/>
      <c r="C229" s="357"/>
      <c r="D229" s="357"/>
      <c r="E229" s="357"/>
      <c r="F229" s="357"/>
      <c r="G229" s="357"/>
      <c r="H229" s="357"/>
      <c r="I229" s="357"/>
      <c r="J229" s="357"/>
      <c r="K229" s="357"/>
      <c r="L229" s="357"/>
      <c r="M229" s="357"/>
      <c r="N229" s="357"/>
      <c r="O229" s="357"/>
      <c r="P229" s="357"/>
      <c r="Q229" s="357"/>
      <c r="R229" s="357"/>
      <c r="S229" s="357"/>
      <c r="T229" s="357"/>
      <c r="U229" s="357"/>
      <c r="V229" s="357"/>
      <c r="W229" s="357"/>
      <c r="X229" s="357"/>
      <c r="Y229" s="357"/>
      <c r="Z229" s="357"/>
      <c r="AA229" s="54"/>
      <c r="AB229" s="54"/>
      <c r="AC229" s="54"/>
    </row>
    <row r="230" spans="1:68" ht="16.5" hidden="1" customHeight="1" x14ac:dyDescent="0.25">
      <c r="A230" s="358" t="s">
        <v>335</v>
      </c>
      <c r="B230" s="358"/>
      <c r="C230" s="358"/>
      <c r="D230" s="358"/>
      <c r="E230" s="358"/>
      <c r="F230" s="358"/>
      <c r="G230" s="358"/>
      <c r="H230" s="358"/>
      <c r="I230" s="358"/>
      <c r="J230" s="358"/>
      <c r="K230" s="358"/>
      <c r="L230" s="358"/>
      <c r="M230" s="358"/>
      <c r="N230" s="358"/>
      <c r="O230" s="358"/>
      <c r="P230" s="358"/>
      <c r="Q230" s="358"/>
      <c r="R230" s="358"/>
      <c r="S230" s="358"/>
      <c r="T230" s="358"/>
      <c r="U230" s="358"/>
      <c r="V230" s="358"/>
      <c r="W230" s="358"/>
      <c r="X230" s="358"/>
      <c r="Y230" s="358"/>
      <c r="Z230" s="358"/>
      <c r="AA230" s="65"/>
      <c r="AB230" s="65"/>
      <c r="AC230" s="82"/>
    </row>
    <row r="231" spans="1:68" ht="14.25" hidden="1" customHeight="1" x14ac:dyDescent="0.25">
      <c r="A231" s="359" t="s">
        <v>82</v>
      </c>
      <c r="B231" s="359"/>
      <c r="C231" s="359"/>
      <c r="D231" s="359"/>
      <c r="E231" s="359"/>
      <c r="F231" s="359"/>
      <c r="G231" s="359"/>
      <c r="H231" s="359"/>
      <c r="I231" s="359"/>
      <c r="J231" s="359"/>
      <c r="K231" s="359"/>
      <c r="L231" s="359"/>
      <c r="M231" s="359"/>
      <c r="N231" s="359"/>
      <c r="O231" s="359"/>
      <c r="P231" s="359"/>
      <c r="Q231" s="359"/>
      <c r="R231" s="359"/>
      <c r="S231" s="359"/>
      <c r="T231" s="359"/>
      <c r="U231" s="359"/>
      <c r="V231" s="359"/>
      <c r="W231" s="359"/>
      <c r="X231" s="359"/>
      <c r="Y231" s="359"/>
      <c r="Z231" s="359"/>
      <c r="AA231" s="66"/>
      <c r="AB231" s="66"/>
      <c r="AC231" s="83"/>
    </row>
    <row r="232" spans="1:68" ht="27" hidden="1" customHeight="1" x14ac:dyDescent="0.25">
      <c r="A232" s="63" t="s">
        <v>336</v>
      </c>
      <c r="B232" s="63" t="s">
        <v>337</v>
      </c>
      <c r="C232" s="36">
        <v>4301071036</v>
      </c>
      <c r="D232" s="360">
        <v>4607111036162</v>
      </c>
      <c r="E232" s="360"/>
      <c r="F232" s="62">
        <v>0.8</v>
      </c>
      <c r="G232" s="37">
        <v>8</v>
      </c>
      <c r="H232" s="62">
        <v>6.4</v>
      </c>
      <c r="I232" s="62">
        <v>6.6811999999999996</v>
      </c>
      <c r="J232" s="37">
        <v>84</v>
      </c>
      <c r="K232" s="37" t="s">
        <v>87</v>
      </c>
      <c r="L232" s="37" t="s">
        <v>88</v>
      </c>
      <c r="M232" s="38" t="s">
        <v>86</v>
      </c>
      <c r="N232" s="38"/>
      <c r="O232" s="37">
        <v>90</v>
      </c>
      <c r="P232" s="44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2" s="362"/>
      <c r="R232" s="362"/>
      <c r="S232" s="362"/>
      <c r="T232" s="363"/>
      <c r="U232" s="39" t="s">
        <v>46</v>
      </c>
      <c r="V232" s="39" t="s">
        <v>46</v>
      </c>
      <c r="W232" s="40" t="s">
        <v>39</v>
      </c>
      <c r="X232" s="58">
        <v>0</v>
      </c>
      <c r="Y232" s="55">
        <f>IFERROR(IF(X232="","",X232),"")</f>
        <v>0</v>
      </c>
      <c r="Z232" s="41">
        <f>IFERROR(IF(X232="","",X232*0.0155),"")</f>
        <v>0</v>
      </c>
      <c r="AA232" s="68" t="s">
        <v>46</v>
      </c>
      <c r="AB232" s="69" t="s">
        <v>46</v>
      </c>
      <c r="AC232" s="249" t="s">
        <v>338</v>
      </c>
      <c r="AG232" s="81"/>
      <c r="AJ232" s="87" t="s">
        <v>89</v>
      </c>
      <c r="AK232" s="87">
        <v>1</v>
      </c>
      <c r="BB232" s="250" t="s">
        <v>70</v>
      </c>
      <c r="BM232" s="81">
        <f>IFERROR(X232*I232,"0")</f>
        <v>0</v>
      </c>
      <c r="BN232" s="81">
        <f>IFERROR(Y232*I232,"0")</f>
        <v>0</v>
      </c>
      <c r="BO232" s="81">
        <f>IFERROR(X232/J232,"0")</f>
        <v>0</v>
      </c>
      <c r="BP232" s="81">
        <f>IFERROR(Y232/J232,"0")</f>
        <v>0</v>
      </c>
    </row>
    <row r="233" spans="1:68" hidden="1" x14ac:dyDescent="0.2">
      <c r="A233" s="374"/>
      <c r="B233" s="374"/>
      <c r="C233" s="374"/>
      <c r="D233" s="374"/>
      <c r="E233" s="374"/>
      <c r="F233" s="374"/>
      <c r="G233" s="374"/>
      <c r="H233" s="374"/>
      <c r="I233" s="374"/>
      <c r="J233" s="374"/>
      <c r="K233" s="374"/>
      <c r="L233" s="374"/>
      <c r="M233" s="374"/>
      <c r="N233" s="374"/>
      <c r="O233" s="375"/>
      <c r="P233" s="371" t="s">
        <v>40</v>
      </c>
      <c r="Q233" s="372"/>
      <c r="R233" s="372"/>
      <c r="S233" s="372"/>
      <c r="T233" s="372"/>
      <c r="U233" s="372"/>
      <c r="V233" s="373"/>
      <c r="W233" s="42" t="s">
        <v>39</v>
      </c>
      <c r="X233" s="43">
        <f>IFERROR(SUM(X232:X232),"0")</f>
        <v>0</v>
      </c>
      <c r="Y233" s="43">
        <f>IFERROR(SUM(Y232:Y232),"0")</f>
        <v>0</v>
      </c>
      <c r="Z233" s="43">
        <f>IFERROR(IF(Z232="",0,Z232),"0")</f>
        <v>0</v>
      </c>
      <c r="AA233" s="67"/>
      <c r="AB233" s="67"/>
      <c r="AC233" s="67"/>
    </row>
    <row r="234" spans="1:68" hidden="1" x14ac:dyDescent="0.2">
      <c r="A234" s="374"/>
      <c r="B234" s="374"/>
      <c r="C234" s="374"/>
      <c r="D234" s="374"/>
      <c r="E234" s="374"/>
      <c r="F234" s="374"/>
      <c r="G234" s="374"/>
      <c r="H234" s="374"/>
      <c r="I234" s="374"/>
      <c r="J234" s="374"/>
      <c r="K234" s="374"/>
      <c r="L234" s="374"/>
      <c r="M234" s="374"/>
      <c r="N234" s="374"/>
      <c r="O234" s="375"/>
      <c r="P234" s="371" t="s">
        <v>40</v>
      </c>
      <c r="Q234" s="372"/>
      <c r="R234" s="372"/>
      <c r="S234" s="372"/>
      <c r="T234" s="372"/>
      <c r="U234" s="372"/>
      <c r="V234" s="373"/>
      <c r="W234" s="42" t="s">
        <v>0</v>
      </c>
      <c r="X234" s="43">
        <f>IFERROR(SUMPRODUCT(X232:X232*H232:H232),"0")</f>
        <v>0</v>
      </c>
      <c r="Y234" s="43">
        <f>IFERROR(SUMPRODUCT(Y232:Y232*H232:H232),"0")</f>
        <v>0</v>
      </c>
      <c r="Z234" s="42"/>
      <c r="AA234" s="67"/>
      <c r="AB234" s="67"/>
      <c r="AC234" s="67"/>
    </row>
    <row r="235" spans="1:68" ht="27.75" hidden="1" customHeight="1" x14ac:dyDescent="0.2">
      <c r="A235" s="357" t="s">
        <v>339</v>
      </c>
      <c r="B235" s="357"/>
      <c r="C235" s="357"/>
      <c r="D235" s="357"/>
      <c r="E235" s="357"/>
      <c r="F235" s="357"/>
      <c r="G235" s="357"/>
      <c r="H235" s="357"/>
      <c r="I235" s="357"/>
      <c r="J235" s="357"/>
      <c r="K235" s="357"/>
      <c r="L235" s="357"/>
      <c r="M235" s="357"/>
      <c r="N235" s="357"/>
      <c r="O235" s="357"/>
      <c r="P235" s="357"/>
      <c r="Q235" s="357"/>
      <c r="R235" s="357"/>
      <c r="S235" s="357"/>
      <c r="T235" s="357"/>
      <c r="U235" s="357"/>
      <c r="V235" s="357"/>
      <c r="W235" s="357"/>
      <c r="X235" s="357"/>
      <c r="Y235" s="357"/>
      <c r="Z235" s="357"/>
      <c r="AA235" s="54"/>
      <c r="AB235" s="54"/>
      <c r="AC235" s="54"/>
    </row>
    <row r="236" spans="1:68" ht="16.5" hidden="1" customHeight="1" x14ac:dyDescent="0.25">
      <c r="A236" s="358" t="s">
        <v>340</v>
      </c>
      <c r="B236" s="358"/>
      <c r="C236" s="358"/>
      <c r="D236" s="358"/>
      <c r="E236" s="358"/>
      <c r="F236" s="358"/>
      <c r="G236" s="358"/>
      <c r="H236" s="358"/>
      <c r="I236" s="358"/>
      <c r="J236" s="358"/>
      <c r="K236" s="358"/>
      <c r="L236" s="358"/>
      <c r="M236" s="358"/>
      <c r="N236" s="358"/>
      <c r="O236" s="358"/>
      <c r="P236" s="358"/>
      <c r="Q236" s="358"/>
      <c r="R236" s="358"/>
      <c r="S236" s="358"/>
      <c r="T236" s="358"/>
      <c r="U236" s="358"/>
      <c r="V236" s="358"/>
      <c r="W236" s="358"/>
      <c r="X236" s="358"/>
      <c r="Y236" s="358"/>
      <c r="Z236" s="358"/>
      <c r="AA236" s="65"/>
      <c r="AB236" s="65"/>
      <c r="AC236" s="82"/>
    </row>
    <row r="237" spans="1:68" ht="14.25" hidden="1" customHeight="1" x14ac:dyDescent="0.25">
      <c r="A237" s="359" t="s">
        <v>341</v>
      </c>
      <c r="B237" s="359"/>
      <c r="C237" s="359"/>
      <c r="D237" s="359"/>
      <c r="E237" s="359"/>
      <c r="F237" s="359"/>
      <c r="G237" s="359"/>
      <c r="H237" s="359"/>
      <c r="I237" s="359"/>
      <c r="J237" s="359"/>
      <c r="K237" s="359"/>
      <c r="L237" s="359"/>
      <c r="M237" s="359"/>
      <c r="N237" s="359"/>
      <c r="O237" s="359"/>
      <c r="P237" s="359"/>
      <c r="Q237" s="359"/>
      <c r="R237" s="359"/>
      <c r="S237" s="359"/>
      <c r="T237" s="359"/>
      <c r="U237" s="359"/>
      <c r="V237" s="359"/>
      <c r="W237" s="359"/>
      <c r="X237" s="359"/>
      <c r="Y237" s="359"/>
      <c r="Z237" s="359"/>
      <c r="AA237" s="66"/>
      <c r="AB237" s="66"/>
      <c r="AC237" s="83"/>
    </row>
    <row r="238" spans="1:68" ht="27" hidden="1" customHeight="1" x14ac:dyDescent="0.25">
      <c r="A238" s="63" t="s">
        <v>342</v>
      </c>
      <c r="B238" s="63" t="s">
        <v>343</v>
      </c>
      <c r="C238" s="36">
        <v>4301133004</v>
      </c>
      <c r="D238" s="360">
        <v>4607111039774</v>
      </c>
      <c r="E238" s="360"/>
      <c r="F238" s="62">
        <v>0.25</v>
      </c>
      <c r="G238" s="37">
        <v>12</v>
      </c>
      <c r="H238" s="62">
        <v>3</v>
      </c>
      <c r="I238" s="62">
        <v>3.22</v>
      </c>
      <c r="J238" s="37">
        <v>70</v>
      </c>
      <c r="K238" s="37" t="s">
        <v>118</v>
      </c>
      <c r="L238" s="37" t="s">
        <v>88</v>
      </c>
      <c r="M238" s="38" t="s">
        <v>86</v>
      </c>
      <c r="N238" s="38"/>
      <c r="O238" s="37">
        <v>180</v>
      </c>
      <c r="P238" s="44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8" s="362"/>
      <c r="R238" s="362"/>
      <c r="S238" s="362"/>
      <c r="T238" s="363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344</v>
      </c>
      <c r="AG238" s="81"/>
      <c r="AJ238" s="87" t="s">
        <v>89</v>
      </c>
      <c r="AK238" s="87">
        <v>1</v>
      </c>
      <c r="BB238" s="252" t="s">
        <v>117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hidden="1" x14ac:dyDescent="0.2">
      <c r="A239" s="374"/>
      <c r="B239" s="374"/>
      <c r="C239" s="374"/>
      <c r="D239" s="374"/>
      <c r="E239" s="374"/>
      <c r="F239" s="374"/>
      <c r="G239" s="374"/>
      <c r="H239" s="374"/>
      <c r="I239" s="374"/>
      <c r="J239" s="374"/>
      <c r="K239" s="374"/>
      <c r="L239" s="374"/>
      <c r="M239" s="374"/>
      <c r="N239" s="374"/>
      <c r="O239" s="375"/>
      <c r="P239" s="371" t="s">
        <v>40</v>
      </c>
      <c r="Q239" s="372"/>
      <c r="R239" s="372"/>
      <c r="S239" s="372"/>
      <c r="T239" s="372"/>
      <c r="U239" s="372"/>
      <c r="V239" s="373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hidden="1" x14ac:dyDescent="0.2">
      <c r="A240" s="374"/>
      <c r="B240" s="374"/>
      <c r="C240" s="374"/>
      <c r="D240" s="374"/>
      <c r="E240" s="374"/>
      <c r="F240" s="374"/>
      <c r="G240" s="374"/>
      <c r="H240" s="374"/>
      <c r="I240" s="374"/>
      <c r="J240" s="374"/>
      <c r="K240" s="374"/>
      <c r="L240" s="374"/>
      <c r="M240" s="374"/>
      <c r="N240" s="374"/>
      <c r="O240" s="375"/>
      <c r="P240" s="371" t="s">
        <v>40</v>
      </c>
      <c r="Q240" s="372"/>
      <c r="R240" s="372"/>
      <c r="S240" s="372"/>
      <c r="T240" s="372"/>
      <c r="U240" s="372"/>
      <c r="V240" s="373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14.25" hidden="1" customHeight="1" x14ac:dyDescent="0.25">
      <c r="A241" s="359" t="s">
        <v>157</v>
      </c>
      <c r="B241" s="359"/>
      <c r="C241" s="359"/>
      <c r="D241" s="359"/>
      <c r="E241" s="359"/>
      <c r="F241" s="359"/>
      <c r="G241" s="359"/>
      <c r="H241" s="359"/>
      <c r="I241" s="359"/>
      <c r="J241" s="359"/>
      <c r="K241" s="359"/>
      <c r="L241" s="359"/>
      <c r="M241" s="359"/>
      <c r="N241" s="359"/>
      <c r="O241" s="359"/>
      <c r="P241" s="359"/>
      <c r="Q241" s="359"/>
      <c r="R241" s="359"/>
      <c r="S241" s="359"/>
      <c r="T241" s="359"/>
      <c r="U241" s="359"/>
      <c r="V241" s="359"/>
      <c r="W241" s="359"/>
      <c r="X241" s="359"/>
      <c r="Y241" s="359"/>
      <c r="Z241" s="359"/>
      <c r="AA241" s="66"/>
      <c r="AB241" s="66"/>
      <c r="AC241" s="83"/>
    </row>
    <row r="242" spans="1:68" ht="37.5" hidden="1" customHeight="1" x14ac:dyDescent="0.25">
      <c r="A242" s="63" t="s">
        <v>345</v>
      </c>
      <c r="B242" s="63" t="s">
        <v>346</v>
      </c>
      <c r="C242" s="36">
        <v>4301135400</v>
      </c>
      <c r="D242" s="360">
        <v>4607111039361</v>
      </c>
      <c r="E242" s="360"/>
      <c r="F242" s="62">
        <v>0.25</v>
      </c>
      <c r="G242" s="37">
        <v>12</v>
      </c>
      <c r="H242" s="62">
        <v>3</v>
      </c>
      <c r="I242" s="62">
        <v>3.7035999999999998</v>
      </c>
      <c r="J242" s="37">
        <v>70</v>
      </c>
      <c r="K242" s="37" t="s">
        <v>118</v>
      </c>
      <c r="L242" s="37" t="s">
        <v>88</v>
      </c>
      <c r="M242" s="38" t="s">
        <v>86</v>
      </c>
      <c r="N242" s="38"/>
      <c r="O242" s="37">
        <v>180</v>
      </c>
      <c r="P242" s="45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2" s="362"/>
      <c r="R242" s="362"/>
      <c r="S242" s="362"/>
      <c r="T242" s="363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IFERROR(IF(X242="","",X242*0.01788),"")</f>
        <v>0</v>
      </c>
      <c r="AA242" s="68" t="s">
        <v>46</v>
      </c>
      <c r="AB242" s="69" t="s">
        <v>46</v>
      </c>
      <c r="AC242" s="253" t="s">
        <v>344</v>
      </c>
      <c r="AG242" s="81"/>
      <c r="AJ242" s="87" t="s">
        <v>89</v>
      </c>
      <c r="AK242" s="87">
        <v>1</v>
      </c>
      <c r="BB242" s="254" t="s">
        <v>117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hidden="1" x14ac:dyDescent="0.2">
      <c r="A243" s="374"/>
      <c r="B243" s="374"/>
      <c r="C243" s="374"/>
      <c r="D243" s="374"/>
      <c r="E243" s="374"/>
      <c r="F243" s="374"/>
      <c r="G243" s="374"/>
      <c r="H243" s="374"/>
      <c r="I243" s="374"/>
      <c r="J243" s="374"/>
      <c r="K243" s="374"/>
      <c r="L243" s="374"/>
      <c r="M243" s="374"/>
      <c r="N243" s="374"/>
      <c r="O243" s="375"/>
      <c r="P243" s="371" t="s">
        <v>40</v>
      </c>
      <c r="Q243" s="372"/>
      <c r="R243" s="372"/>
      <c r="S243" s="372"/>
      <c r="T243" s="372"/>
      <c r="U243" s="372"/>
      <c r="V243" s="373"/>
      <c r="W243" s="42" t="s">
        <v>39</v>
      </c>
      <c r="X243" s="43">
        <f>IFERROR(SUM(X242:X242),"0")</f>
        <v>0</v>
      </c>
      <c r="Y243" s="43">
        <f>IFERROR(SUM(Y242:Y242),"0")</f>
        <v>0</v>
      </c>
      <c r="Z243" s="43">
        <f>IFERROR(IF(Z242="",0,Z242),"0")</f>
        <v>0</v>
      </c>
      <c r="AA243" s="67"/>
      <c r="AB243" s="67"/>
      <c r="AC243" s="67"/>
    </row>
    <row r="244" spans="1:68" hidden="1" x14ac:dyDescent="0.2">
      <c r="A244" s="374"/>
      <c r="B244" s="374"/>
      <c r="C244" s="374"/>
      <c r="D244" s="374"/>
      <c r="E244" s="374"/>
      <c r="F244" s="374"/>
      <c r="G244" s="374"/>
      <c r="H244" s="374"/>
      <c r="I244" s="374"/>
      <c r="J244" s="374"/>
      <c r="K244" s="374"/>
      <c r="L244" s="374"/>
      <c r="M244" s="374"/>
      <c r="N244" s="374"/>
      <c r="O244" s="375"/>
      <c r="P244" s="371" t="s">
        <v>40</v>
      </c>
      <c r="Q244" s="372"/>
      <c r="R244" s="372"/>
      <c r="S244" s="372"/>
      <c r="T244" s="372"/>
      <c r="U244" s="372"/>
      <c r="V244" s="373"/>
      <c r="W244" s="42" t="s">
        <v>0</v>
      </c>
      <c r="X244" s="43">
        <f>IFERROR(SUMPRODUCT(X242:X242*H242:H242),"0")</f>
        <v>0</v>
      </c>
      <c r="Y244" s="43">
        <f>IFERROR(SUMPRODUCT(Y242:Y242*H242:H242),"0")</f>
        <v>0</v>
      </c>
      <c r="Z244" s="42"/>
      <c r="AA244" s="67"/>
      <c r="AB244" s="67"/>
      <c r="AC244" s="67"/>
    </row>
    <row r="245" spans="1:68" ht="27.75" hidden="1" customHeight="1" x14ac:dyDescent="0.2">
      <c r="A245" s="357" t="s">
        <v>347</v>
      </c>
      <c r="B245" s="357"/>
      <c r="C245" s="357"/>
      <c r="D245" s="357"/>
      <c r="E245" s="357"/>
      <c r="F245" s="357"/>
      <c r="G245" s="357"/>
      <c r="H245" s="357"/>
      <c r="I245" s="357"/>
      <c r="J245" s="357"/>
      <c r="K245" s="357"/>
      <c r="L245" s="357"/>
      <c r="M245" s="357"/>
      <c r="N245" s="357"/>
      <c r="O245" s="357"/>
      <c r="P245" s="357"/>
      <c r="Q245" s="357"/>
      <c r="R245" s="357"/>
      <c r="S245" s="357"/>
      <c r="T245" s="357"/>
      <c r="U245" s="357"/>
      <c r="V245" s="357"/>
      <c r="W245" s="357"/>
      <c r="X245" s="357"/>
      <c r="Y245" s="357"/>
      <c r="Z245" s="357"/>
      <c r="AA245" s="54"/>
      <c r="AB245" s="54"/>
      <c r="AC245" s="54"/>
    </row>
    <row r="246" spans="1:68" ht="16.5" hidden="1" customHeight="1" x14ac:dyDescent="0.25">
      <c r="A246" s="358" t="s">
        <v>347</v>
      </c>
      <c r="B246" s="358"/>
      <c r="C246" s="358"/>
      <c r="D246" s="358"/>
      <c r="E246" s="358"/>
      <c r="F246" s="358"/>
      <c r="G246" s="358"/>
      <c r="H246" s="358"/>
      <c r="I246" s="358"/>
      <c r="J246" s="358"/>
      <c r="K246" s="358"/>
      <c r="L246" s="358"/>
      <c r="M246" s="358"/>
      <c r="N246" s="358"/>
      <c r="O246" s="358"/>
      <c r="P246" s="358"/>
      <c r="Q246" s="358"/>
      <c r="R246" s="358"/>
      <c r="S246" s="358"/>
      <c r="T246" s="358"/>
      <c r="U246" s="358"/>
      <c r="V246" s="358"/>
      <c r="W246" s="358"/>
      <c r="X246" s="358"/>
      <c r="Y246" s="358"/>
      <c r="Z246" s="358"/>
      <c r="AA246" s="65"/>
      <c r="AB246" s="65"/>
      <c r="AC246" s="82"/>
    </row>
    <row r="247" spans="1:68" ht="14.25" hidden="1" customHeight="1" x14ac:dyDescent="0.25">
      <c r="A247" s="359" t="s">
        <v>151</v>
      </c>
      <c r="B247" s="359"/>
      <c r="C247" s="359"/>
      <c r="D247" s="359"/>
      <c r="E247" s="359"/>
      <c r="F247" s="359"/>
      <c r="G247" s="359"/>
      <c r="H247" s="359"/>
      <c r="I247" s="359"/>
      <c r="J247" s="359"/>
      <c r="K247" s="359"/>
      <c r="L247" s="359"/>
      <c r="M247" s="359"/>
      <c r="N247" s="359"/>
      <c r="O247" s="359"/>
      <c r="P247" s="359"/>
      <c r="Q247" s="359"/>
      <c r="R247" s="359"/>
      <c r="S247" s="359"/>
      <c r="T247" s="359"/>
      <c r="U247" s="359"/>
      <c r="V247" s="359"/>
      <c r="W247" s="359"/>
      <c r="X247" s="359"/>
      <c r="Y247" s="359"/>
      <c r="Z247" s="359"/>
      <c r="AA247" s="66"/>
      <c r="AB247" s="66"/>
      <c r="AC247" s="83"/>
    </row>
    <row r="248" spans="1:68" ht="27" hidden="1" customHeight="1" x14ac:dyDescent="0.25">
      <c r="A248" s="63" t="s">
        <v>348</v>
      </c>
      <c r="B248" s="63" t="s">
        <v>349</v>
      </c>
      <c r="C248" s="36">
        <v>4301136098</v>
      </c>
      <c r="D248" s="360">
        <v>4640242181943</v>
      </c>
      <c r="E248" s="360"/>
      <c r="F248" s="62">
        <v>0.09</v>
      </c>
      <c r="G248" s="37">
        <v>24</v>
      </c>
      <c r="H248" s="62">
        <v>2.16</v>
      </c>
      <c r="I248" s="62">
        <v>2.34</v>
      </c>
      <c r="J248" s="37">
        <v>126</v>
      </c>
      <c r="K248" s="37" t="s">
        <v>118</v>
      </c>
      <c r="L248" s="37" t="s">
        <v>88</v>
      </c>
      <c r="M248" s="38" t="s">
        <v>86</v>
      </c>
      <c r="N248" s="38"/>
      <c r="O248" s="37">
        <v>180</v>
      </c>
      <c r="P248" s="451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362"/>
      <c r="R248" s="362"/>
      <c r="S248" s="362"/>
      <c r="T248" s="363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55" t="s">
        <v>350</v>
      </c>
      <c r="AG248" s="81"/>
      <c r="AJ248" s="87" t="s">
        <v>89</v>
      </c>
      <c r="AK248" s="87">
        <v>1</v>
      </c>
      <c r="BB248" s="256" t="s">
        <v>117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idden="1" x14ac:dyDescent="0.2">
      <c r="A249" s="374"/>
      <c r="B249" s="374"/>
      <c r="C249" s="374"/>
      <c r="D249" s="374"/>
      <c r="E249" s="374"/>
      <c r="F249" s="374"/>
      <c r="G249" s="374"/>
      <c r="H249" s="374"/>
      <c r="I249" s="374"/>
      <c r="J249" s="374"/>
      <c r="K249" s="374"/>
      <c r="L249" s="374"/>
      <c r="M249" s="374"/>
      <c r="N249" s="374"/>
      <c r="O249" s="375"/>
      <c r="P249" s="371" t="s">
        <v>40</v>
      </c>
      <c r="Q249" s="372"/>
      <c r="R249" s="372"/>
      <c r="S249" s="372"/>
      <c r="T249" s="372"/>
      <c r="U249" s="372"/>
      <c r="V249" s="373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hidden="1" x14ac:dyDescent="0.2">
      <c r="A250" s="374"/>
      <c r="B250" s="374"/>
      <c r="C250" s="374"/>
      <c r="D250" s="374"/>
      <c r="E250" s="374"/>
      <c r="F250" s="374"/>
      <c r="G250" s="374"/>
      <c r="H250" s="374"/>
      <c r="I250" s="374"/>
      <c r="J250" s="374"/>
      <c r="K250" s="374"/>
      <c r="L250" s="374"/>
      <c r="M250" s="374"/>
      <c r="N250" s="374"/>
      <c r="O250" s="375"/>
      <c r="P250" s="371" t="s">
        <v>40</v>
      </c>
      <c r="Q250" s="372"/>
      <c r="R250" s="372"/>
      <c r="S250" s="372"/>
      <c r="T250" s="372"/>
      <c r="U250" s="372"/>
      <c r="V250" s="373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27.75" hidden="1" customHeight="1" x14ac:dyDescent="0.2">
      <c r="A251" s="357" t="s">
        <v>351</v>
      </c>
      <c r="B251" s="357"/>
      <c r="C251" s="357"/>
      <c r="D251" s="357"/>
      <c r="E251" s="357"/>
      <c r="F251" s="357"/>
      <c r="G251" s="357"/>
      <c r="H251" s="357"/>
      <c r="I251" s="357"/>
      <c r="J251" s="357"/>
      <c r="K251" s="357"/>
      <c r="L251" s="357"/>
      <c r="M251" s="357"/>
      <c r="N251" s="357"/>
      <c r="O251" s="357"/>
      <c r="P251" s="357"/>
      <c r="Q251" s="357"/>
      <c r="R251" s="357"/>
      <c r="S251" s="357"/>
      <c r="T251" s="357"/>
      <c r="U251" s="357"/>
      <c r="V251" s="357"/>
      <c r="W251" s="357"/>
      <c r="X251" s="357"/>
      <c r="Y251" s="357"/>
      <c r="Z251" s="357"/>
      <c r="AA251" s="54"/>
      <c r="AB251" s="54"/>
      <c r="AC251" s="54"/>
    </row>
    <row r="252" spans="1:68" ht="16.5" hidden="1" customHeight="1" x14ac:dyDescent="0.25">
      <c r="A252" s="358" t="s">
        <v>351</v>
      </c>
      <c r="B252" s="358"/>
      <c r="C252" s="358"/>
      <c r="D252" s="358"/>
      <c r="E252" s="358"/>
      <c r="F252" s="358"/>
      <c r="G252" s="358"/>
      <c r="H252" s="358"/>
      <c r="I252" s="358"/>
      <c r="J252" s="358"/>
      <c r="K252" s="358"/>
      <c r="L252" s="358"/>
      <c r="M252" s="358"/>
      <c r="N252" s="358"/>
      <c r="O252" s="358"/>
      <c r="P252" s="358"/>
      <c r="Q252" s="358"/>
      <c r="R252" s="358"/>
      <c r="S252" s="358"/>
      <c r="T252" s="358"/>
      <c r="U252" s="358"/>
      <c r="V252" s="358"/>
      <c r="W252" s="358"/>
      <c r="X252" s="358"/>
      <c r="Y252" s="358"/>
      <c r="Z252" s="358"/>
      <c r="AA252" s="65"/>
      <c r="AB252" s="65"/>
      <c r="AC252" s="82"/>
    </row>
    <row r="253" spans="1:68" ht="14.25" hidden="1" customHeight="1" x14ac:dyDescent="0.25">
      <c r="A253" s="359" t="s">
        <v>82</v>
      </c>
      <c r="B253" s="359"/>
      <c r="C253" s="359"/>
      <c r="D253" s="359"/>
      <c r="E253" s="359"/>
      <c r="F253" s="359"/>
      <c r="G253" s="359"/>
      <c r="H253" s="359"/>
      <c r="I253" s="359"/>
      <c r="J253" s="359"/>
      <c r="K253" s="359"/>
      <c r="L253" s="359"/>
      <c r="M253" s="359"/>
      <c r="N253" s="359"/>
      <c r="O253" s="359"/>
      <c r="P253" s="359"/>
      <c r="Q253" s="359"/>
      <c r="R253" s="359"/>
      <c r="S253" s="359"/>
      <c r="T253" s="359"/>
      <c r="U253" s="359"/>
      <c r="V253" s="359"/>
      <c r="W253" s="359"/>
      <c r="X253" s="359"/>
      <c r="Y253" s="359"/>
      <c r="Z253" s="359"/>
      <c r="AA253" s="66"/>
      <c r="AB253" s="66"/>
      <c r="AC253" s="83"/>
    </row>
    <row r="254" spans="1:68" ht="27" hidden="1" customHeight="1" x14ac:dyDescent="0.25">
      <c r="A254" s="63" t="s">
        <v>352</v>
      </c>
      <c r="B254" s="63" t="s">
        <v>353</v>
      </c>
      <c r="C254" s="36">
        <v>4301071014</v>
      </c>
      <c r="D254" s="360">
        <v>4640242181264</v>
      </c>
      <c r="E254" s="360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87</v>
      </c>
      <c r="L254" s="37" t="s">
        <v>88</v>
      </c>
      <c r="M254" s="38" t="s">
        <v>86</v>
      </c>
      <c r="N254" s="38"/>
      <c r="O254" s="37">
        <v>180</v>
      </c>
      <c r="P254" s="45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362"/>
      <c r="R254" s="362"/>
      <c r="S254" s="362"/>
      <c r="T254" s="363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354</v>
      </c>
      <c r="AG254" s="81"/>
      <c r="AJ254" s="87" t="s">
        <v>89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hidden="1" customHeight="1" x14ac:dyDescent="0.25">
      <c r="A255" s="63" t="s">
        <v>355</v>
      </c>
      <c r="B255" s="63" t="s">
        <v>356</v>
      </c>
      <c r="C255" s="36">
        <v>4301071021</v>
      </c>
      <c r="D255" s="360">
        <v>4640242181325</v>
      </c>
      <c r="E255" s="360"/>
      <c r="F255" s="62">
        <v>0.7</v>
      </c>
      <c r="G255" s="37">
        <v>10</v>
      </c>
      <c r="H255" s="62">
        <v>7</v>
      </c>
      <c r="I255" s="62">
        <v>7.28</v>
      </c>
      <c r="J255" s="37">
        <v>84</v>
      </c>
      <c r="K255" s="37" t="s">
        <v>87</v>
      </c>
      <c r="L255" s="37" t="s">
        <v>88</v>
      </c>
      <c r="M255" s="38" t="s">
        <v>86</v>
      </c>
      <c r="N255" s="38"/>
      <c r="O255" s="37">
        <v>180</v>
      </c>
      <c r="P255" s="45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362"/>
      <c r="R255" s="362"/>
      <c r="S255" s="362"/>
      <c r="T255" s="363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9" t="s">
        <v>354</v>
      </c>
      <c r="AG255" s="81"/>
      <c r="AJ255" s="87" t="s">
        <v>89</v>
      </c>
      <c r="AK255" s="87">
        <v>1</v>
      </c>
      <c r="BB255" s="260" t="s">
        <v>70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idden="1" x14ac:dyDescent="0.2">
      <c r="A256" s="374"/>
      <c r="B256" s="374"/>
      <c r="C256" s="374"/>
      <c r="D256" s="374"/>
      <c r="E256" s="374"/>
      <c r="F256" s="374"/>
      <c r="G256" s="374"/>
      <c r="H256" s="374"/>
      <c r="I256" s="374"/>
      <c r="J256" s="374"/>
      <c r="K256" s="374"/>
      <c r="L256" s="374"/>
      <c r="M256" s="374"/>
      <c r="N256" s="374"/>
      <c r="O256" s="375"/>
      <c r="P256" s="371" t="s">
        <v>40</v>
      </c>
      <c r="Q256" s="372"/>
      <c r="R256" s="372"/>
      <c r="S256" s="372"/>
      <c r="T256" s="372"/>
      <c r="U256" s="372"/>
      <c r="V256" s="373"/>
      <c r="W256" s="42" t="s">
        <v>39</v>
      </c>
      <c r="X256" s="43">
        <f>IFERROR(SUM(X254:X255),"0")</f>
        <v>0</v>
      </c>
      <c r="Y256" s="43">
        <f>IFERROR(SUM(Y254:Y255),"0")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374"/>
      <c r="B257" s="374"/>
      <c r="C257" s="374"/>
      <c r="D257" s="374"/>
      <c r="E257" s="374"/>
      <c r="F257" s="374"/>
      <c r="G257" s="374"/>
      <c r="H257" s="374"/>
      <c r="I257" s="374"/>
      <c r="J257" s="374"/>
      <c r="K257" s="374"/>
      <c r="L257" s="374"/>
      <c r="M257" s="374"/>
      <c r="N257" s="374"/>
      <c r="O257" s="375"/>
      <c r="P257" s="371" t="s">
        <v>40</v>
      </c>
      <c r="Q257" s="372"/>
      <c r="R257" s="372"/>
      <c r="S257" s="372"/>
      <c r="T257" s="372"/>
      <c r="U257" s="372"/>
      <c r="V257" s="373"/>
      <c r="W257" s="42" t="s">
        <v>0</v>
      </c>
      <c r="X257" s="43">
        <f>IFERROR(SUMPRODUCT(X254:X255*H254:H255),"0")</f>
        <v>0</v>
      </c>
      <c r="Y257" s="43">
        <f>IFERROR(SUMPRODUCT(Y254:Y255*H254:H255),"0")</f>
        <v>0</v>
      </c>
      <c r="Z257" s="42"/>
      <c r="AA257" s="67"/>
      <c r="AB257" s="67"/>
      <c r="AC257" s="67"/>
    </row>
    <row r="258" spans="1:68" ht="14.25" hidden="1" customHeight="1" x14ac:dyDescent="0.25">
      <c r="A258" s="359" t="s">
        <v>113</v>
      </c>
      <c r="B258" s="359"/>
      <c r="C258" s="359"/>
      <c r="D258" s="359"/>
      <c r="E258" s="359"/>
      <c r="F258" s="359"/>
      <c r="G258" s="359"/>
      <c r="H258" s="359"/>
      <c r="I258" s="359"/>
      <c r="J258" s="359"/>
      <c r="K258" s="359"/>
      <c r="L258" s="359"/>
      <c r="M258" s="359"/>
      <c r="N258" s="359"/>
      <c r="O258" s="359"/>
      <c r="P258" s="359"/>
      <c r="Q258" s="359"/>
      <c r="R258" s="359"/>
      <c r="S258" s="359"/>
      <c r="T258" s="359"/>
      <c r="U258" s="359"/>
      <c r="V258" s="359"/>
      <c r="W258" s="359"/>
      <c r="X258" s="359"/>
      <c r="Y258" s="359"/>
      <c r="Z258" s="359"/>
      <c r="AA258" s="66"/>
      <c r="AB258" s="66"/>
      <c r="AC258" s="83"/>
    </row>
    <row r="259" spans="1:68" ht="27" customHeight="1" x14ac:dyDescent="0.25">
      <c r="A259" s="63" t="s">
        <v>357</v>
      </c>
      <c r="B259" s="63" t="s">
        <v>358</v>
      </c>
      <c r="C259" s="36">
        <v>4301132080</v>
      </c>
      <c r="D259" s="360">
        <v>4640242180397</v>
      </c>
      <c r="E259" s="360"/>
      <c r="F259" s="62">
        <v>1</v>
      </c>
      <c r="G259" s="37">
        <v>6</v>
      </c>
      <c r="H259" s="62">
        <v>6</v>
      </c>
      <c r="I259" s="62">
        <v>6.26</v>
      </c>
      <c r="J259" s="37">
        <v>84</v>
      </c>
      <c r="K259" s="37" t="s">
        <v>87</v>
      </c>
      <c r="L259" s="37" t="s">
        <v>119</v>
      </c>
      <c r="M259" s="38" t="s">
        <v>86</v>
      </c>
      <c r="N259" s="38"/>
      <c r="O259" s="37">
        <v>180</v>
      </c>
      <c r="P259" s="45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9" s="362"/>
      <c r="R259" s="362"/>
      <c r="S259" s="362"/>
      <c r="T259" s="363"/>
      <c r="U259" s="39" t="s">
        <v>46</v>
      </c>
      <c r="V259" s="39" t="s">
        <v>46</v>
      </c>
      <c r="W259" s="40" t="s">
        <v>39</v>
      </c>
      <c r="X259" s="58">
        <v>180</v>
      </c>
      <c r="Y259" s="55">
        <f>IFERROR(IF(X259="","",X259),"")</f>
        <v>180</v>
      </c>
      <c r="Z259" s="41">
        <f>IFERROR(IF(X259="","",X259*0.0155),"")</f>
        <v>2.79</v>
      </c>
      <c r="AA259" s="68" t="s">
        <v>46</v>
      </c>
      <c r="AB259" s="69" t="s">
        <v>46</v>
      </c>
      <c r="AC259" s="261" t="s">
        <v>359</v>
      </c>
      <c r="AG259" s="81"/>
      <c r="AJ259" s="87" t="s">
        <v>120</v>
      </c>
      <c r="AK259" s="87">
        <v>12</v>
      </c>
      <c r="BB259" s="262" t="s">
        <v>117</v>
      </c>
      <c r="BM259" s="81">
        <f>IFERROR(X259*I259,"0")</f>
        <v>1126.8</v>
      </c>
      <c r="BN259" s="81">
        <f>IFERROR(Y259*I259,"0")</f>
        <v>1126.8</v>
      </c>
      <c r="BO259" s="81">
        <f>IFERROR(X259/J259,"0")</f>
        <v>2.1428571428571428</v>
      </c>
      <c r="BP259" s="81">
        <f>IFERROR(Y259/J259,"0")</f>
        <v>2.1428571428571428</v>
      </c>
    </row>
    <row r="260" spans="1:68" x14ac:dyDescent="0.2">
      <c r="A260" s="374"/>
      <c r="B260" s="374"/>
      <c r="C260" s="374"/>
      <c r="D260" s="374"/>
      <c r="E260" s="374"/>
      <c r="F260" s="374"/>
      <c r="G260" s="374"/>
      <c r="H260" s="374"/>
      <c r="I260" s="374"/>
      <c r="J260" s="374"/>
      <c r="K260" s="374"/>
      <c r="L260" s="374"/>
      <c r="M260" s="374"/>
      <c r="N260" s="374"/>
      <c r="O260" s="375"/>
      <c r="P260" s="371" t="s">
        <v>40</v>
      </c>
      <c r="Q260" s="372"/>
      <c r="R260" s="372"/>
      <c r="S260" s="372"/>
      <c r="T260" s="372"/>
      <c r="U260" s="372"/>
      <c r="V260" s="373"/>
      <c r="W260" s="42" t="s">
        <v>39</v>
      </c>
      <c r="X260" s="43">
        <f>IFERROR(SUM(X259:X259),"0")</f>
        <v>180</v>
      </c>
      <c r="Y260" s="43">
        <f>IFERROR(SUM(Y259:Y259),"0")</f>
        <v>180</v>
      </c>
      <c r="Z260" s="43">
        <f>IFERROR(IF(Z259="",0,Z259),"0")</f>
        <v>2.79</v>
      </c>
      <c r="AA260" s="67"/>
      <c r="AB260" s="67"/>
      <c r="AC260" s="67"/>
    </row>
    <row r="261" spans="1:68" x14ac:dyDescent="0.2">
      <c r="A261" s="374"/>
      <c r="B261" s="374"/>
      <c r="C261" s="374"/>
      <c r="D261" s="374"/>
      <c r="E261" s="374"/>
      <c r="F261" s="374"/>
      <c r="G261" s="374"/>
      <c r="H261" s="374"/>
      <c r="I261" s="374"/>
      <c r="J261" s="374"/>
      <c r="K261" s="374"/>
      <c r="L261" s="374"/>
      <c r="M261" s="374"/>
      <c r="N261" s="374"/>
      <c r="O261" s="375"/>
      <c r="P261" s="371" t="s">
        <v>40</v>
      </c>
      <c r="Q261" s="372"/>
      <c r="R261" s="372"/>
      <c r="S261" s="372"/>
      <c r="T261" s="372"/>
      <c r="U261" s="372"/>
      <c r="V261" s="373"/>
      <c r="W261" s="42" t="s">
        <v>0</v>
      </c>
      <c r="X261" s="43">
        <f>IFERROR(SUMPRODUCT(X259:X259*H259:H259),"0")</f>
        <v>1080</v>
      </c>
      <c r="Y261" s="43">
        <f>IFERROR(SUMPRODUCT(Y259:Y259*H259:H259),"0")</f>
        <v>1080</v>
      </c>
      <c r="Z261" s="42"/>
      <c r="AA261" s="67"/>
      <c r="AB261" s="67"/>
      <c r="AC261" s="67"/>
    </row>
    <row r="262" spans="1:68" ht="14.25" hidden="1" customHeight="1" x14ac:dyDescent="0.25">
      <c r="A262" s="359" t="s">
        <v>151</v>
      </c>
      <c r="B262" s="359"/>
      <c r="C262" s="359"/>
      <c r="D262" s="359"/>
      <c r="E262" s="359"/>
      <c r="F262" s="359"/>
      <c r="G262" s="359"/>
      <c r="H262" s="359"/>
      <c r="I262" s="359"/>
      <c r="J262" s="359"/>
      <c r="K262" s="359"/>
      <c r="L262" s="359"/>
      <c r="M262" s="359"/>
      <c r="N262" s="359"/>
      <c r="O262" s="359"/>
      <c r="P262" s="359"/>
      <c r="Q262" s="359"/>
      <c r="R262" s="359"/>
      <c r="S262" s="359"/>
      <c r="T262" s="359"/>
      <c r="U262" s="359"/>
      <c r="V262" s="359"/>
      <c r="W262" s="359"/>
      <c r="X262" s="359"/>
      <c r="Y262" s="359"/>
      <c r="Z262" s="359"/>
      <c r="AA262" s="66"/>
      <c r="AB262" s="66"/>
      <c r="AC262" s="83"/>
    </row>
    <row r="263" spans="1:68" ht="27" hidden="1" customHeight="1" x14ac:dyDescent="0.25">
      <c r="A263" s="63" t="s">
        <v>360</v>
      </c>
      <c r="B263" s="63" t="s">
        <v>361</v>
      </c>
      <c r="C263" s="36">
        <v>4301136051</v>
      </c>
      <c r="D263" s="360">
        <v>4640242180304</v>
      </c>
      <c r="E263" s="360"/>
      <c r="F263" s="62">
        <v>2.7</v>
      </c>
      <c r="G263" s="37">
        <v>1</v>
      </c>
      <c r="H263" s="62">
        <v>2.7</v>
      </c>
      <c r="I263" s="62">
        <v>2.8906000000000001</v>
      </c>
      <c r="J263" s="37">
        <v>126</v>
      </c>
      <c r="K263" s="37" t="s">
        <v>118</v>
      </c>
      <c r="L263" s="37" t="s">
        <v>119</v>
      </c>
      <c r="M263" s="38" t="s">
        <v>86</v>
      </c>
      <c r="N263" s="38"/>
      <c r="O263" s="37">
        <v>180</v>
      </c>
      <c r="P263" s="45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3" s="362"/>
      <c r="R263" s="362"/>
      <c r="S263" s="362"/>
      <c r="T263" s="363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3" t="s">
        <v>362</v>
      </c>
      <c r="AG263" s="81"/>
      <c r="AJ263" s="87" t="s">
        <v>120</v>
      </c>
      <c r="AK263" s="87">
        <v>14</v>
      </c>
      <c r="BB263" s="264" t="s">
        <v>117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customHeight="1" x14ac:dyDescent="0.25">
      <c r="A264" s="63" t="s">
        <v>363</v>
      </c>
      <c r="B264" s="63" t="s">
        <v>364</v>
      </c>
      <c r="C264" s="36">
        <v>4301136053</v>
      </c>
      <c r="D264" s="360">
        <v>4640242180236</v>
      </c>
      <c r="E264" s="360"/>
      <c r="F264" s="62">
        <v>5</v>
      </c>
      <c r="G264" s="37">
        <v>1</v>
      </c>
      <c r="H264" s="62">
        <v>5</v>
      </c>
      <c r="I264" s="62">
        <v>5.2350000000000003</v>
      </c>
      <c r="J264" s="37">
        <v>84</v>
      </c>
      <c r="K264" s="37" t="s">
        <v>87</v>
      </c>
      <c r="L264" s="37" t="s">
        <v>119</v>
      </c>
      <c r="M264" s="38" t="s">
        <v>86</v>
      </c>
      <c r="N264" s="38"/>
      <c r="O264" s="37">
        <v>180</v>
      </c>
      <c r="P264" s="45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4" s="362"/>
      <c r="R264" s="362"/>
      <c r="S264" s="362"/>
      <c r="T264" s="363"/>
      <c r="U264" s="39" t="s">
        <v>46</v>
      </c>
      <c r="V264" s="39" t="s">
        <v>46</v>
      </c>
      <c r="W264" s="40" t="s">
        <v>39</v>
      </c>
      <c r="X264" s="58">
        <v>192</v>
      </c>
      <c r="Y264" s="55">
        <f>IFERROR(IF(X264="","",X264),"")</f>
        <v>192</v>
      </c>
      <c r="Z264" s="41">
        <f>IFERROR(IF(X264="","",X264*0.0155),"")</f>
        <v>2.976</v>
      </c>
      <c r="AA264" s="68" t="s">
        <v>46</v>
      </c>
      <c r="AB264" s="69" t="s">
        <v>46</v>
      </c>
      <c r="AC264" s="265" t="s">
        <v>362</v>
      </c>
      <c r="AG264" s="81"/>
      <c r="AJ264" s="87" t="s">
        <v>120</v>
      </c>
      <c r="AK264" s="87">
        <v>12</v>
      </c>
      <c r="BB264" s="266" t="s">
        <v>117</v>
      </c>
      <c r="BM264" s="81">
        <f>IFERROR(X264*I264,"0")</f>
        <v>1005.1200000000001</v>
      </c>
      <c r="BN264" s="81">
        <f>IFERROR(Y264*I264,"0")</f>
        <v>1005.1200000000001</v>
      </c>
      <c r="BO264" s="81">
        <f>IFERROR(X264/J264,"0")</f>
        <v>2.2857142857142856</v>
      </c>
      <c r="BP264" s="81">
        <f>IFERROR(Y264/J264,"0")</f>
        <v>2.2857142857142856</v>
      </c>
    </row>
    <row r="265" spans="1:68" ht="27" customHeight="1" x14ac:dyDescent="0.25">
      <c r="A265" s="63" t="s">
        <v>365</v>
      </c>
      <c r="B265" s="63" t="s">
        <v>366</v>
      </c>
      <c r="C265" s="36">
        <v>4301136052</v>
      </c>
      <c r="D265" s="360">
        <v>4640242180410</v>
      </c>
      <c r="E265" s="360"/>
      <c r="F265" s="62">
        <v>2.2400000000000002</v>
      </c>
      <c r="G265" s="37">
        <v>1</v>
      </c>
      <c r="H265" s="62">
        <v>2.2400000000000002</v>
      </c>
      <c r="I265" s="62">
        <v>2.4319999999999999</v>
      </c>
      <c r="J265" s="37">
        <v>126</v>
      </c>
      <c r="K265" s="37" t="s">
        <v>118</v>
      </c>
      <c r="L265" s="37" t="s">
        <v>119</v>
      </c>
      <c r="M265" s="38" t="s">
        <v>86</v>
      </c>
      <c r="N265" s="38"/>
      <c r="O265" s="37">
        <v>180</v>
      </c>
      <c r="P265" s="45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5" s="362"/>
      <c r="R265" s="362"/>
      <c r="S265" s="362"/>
      <c r="T265" s="363"/>
      <c r="U265" s="39" t="s">
        <v>46</v>
      </c>
      <c r="V265" s="39" t="s">
        <v>46</v>
      </c>
      <c r="W265" s="40" t="s">
        <v>39</v>
      </c>
      <c r="X265" s="58">
        <v>14</v>
      </c>
      <c r="Y265" s="55">
        <f>IFERROR(IF(X265="","",X265),"")</f>
        <v>14</v>
      </c>
      <c r="Z265" s="41">
        <f>IFERROR(IF(X265="","",X265*0.00936),"")</f>
        <v>0.13103999999999999</v>
      </c>
      <c r="AA265" s="68" t="s">
        <v>46</v>
      </c>
      <c r="AB265" s="69" t="s">
        <v>46</v>
      </c>
      <c r="AC265" s="267" t="s">
        <v>362</v>
      </c>
      <c r="AG265" s="81"/>
      <c r="AJ265" s="87" t="s">
        <v>120</v>
      </c>
      <c r="AK265" s="87">
        <v>14</v>
      </c>
      <c r="BB265" s="268" t="s">
        <v>117</v>
      </c>
      <c r="BM265" s="81">
        <f>IFERROR(X265*I265,"0")</f>
        <v>34.048000000000002</v>
      </c>
      <c r="BN265" s="81">
        <f>IFERROR(Y265*I265,"0")</f>
        <v>34.048000000000002</v>
      </c>
      <c r="BO265" s="81">
        <f>IFERROR(X265/J265,"0")</f>
        <v>0.1111111111111111</v>
      </c>
      <c r="BP265" s="81">
        <f>IFERROR(Y265/J265,"0")</f>
        <v>0.1111111111111111</v>
      </c>
    </row>
    <row r="266" spans="1:68" x14ac:dyDescent="0.2">
      <c r="A266" s="374"/>
      <c r="B266" s="374"/>
      <c r="C266" s="374"/>
      <c r="D266" s="374"/>
      <c r="E266" s="374"/>
      <c r="F266" s="374"/>
      <c r="G266" s="374"/>
      <c r="H266" s="374"/>
      <c r="I266" s="374"/>
      <c r="J266" s="374"/>
      <c r="K266" s="374"/>
      <c r="L266" s="374"/>
      <c r="M266" s="374"/>
      <c r="N266" s="374"/>
      <c r="O266" s="375"/>
      <c r="P266" s="371" t="s">
        <v>40</v>
      </c>
      <c r="Q266" s="372"/>
      <c r="R266" s="372"/>
      <c r="S266" s="372"/>
      <c r="T266" s="372"/>
      <c r="U266" s="372"/>
      <c r="V266" s="373"/>
      <c r="W266" s="42" t="s">
        <v>39</v>
      </c>
      <c r="X266" s="43">
        <f>IFERROR(SUM(X263:X265),"0")</f>
        <v>206</v>
      </c>
      <c r="Y266" s="43">
        <f>IFERROR(SUM(Y263:Y265),"0")</f>
        <v>206</v>
      </c>
      <c r="Z266" s="43">
        <f>IFERROR(IF(Z263="",0,Z263),"0")+IFERROR(IF(Z264="",0,Z264),"0")+IFERROR(IF(Z265="",0,Z265),"0")</f>
        <v>3.10704</v>
      </c>
      <c r="AA266" s="67"/>
      <c r="AB266" s="67"/>
      <c r="AC266" s="67"/>
    </row>
    <row r="267" spans="1:68" x14ac:dyDescent="0.2">
      <c r="A267" s="374"/>
      <c r="B267" s="374"/>
      <c r="C267" s="374"/>
      <c r="D267" s="374"/>
      <c r="E267" s="374"/>
      <c r="F267" s="374"/>
      <c r="G267" s="374"/>
      <c r="H267" s="374"/>
      <c r="I267" s="374"/>
      <c r="J267" s="374"/>
      <c r="K267" s="374"/>
      <c r="L267" s="374"/>
      <c r="M267" s="374"/>
      <c r="N267" s="374"/>
      <c r="O267" s="375"/>
      <c r="P267" s="371" t="s">
        <v>40</v>
      </c>
      <c r="Q267" s="372"/>
      <c r="R267" s="372"/>
      <c r="S267" s="372"/>
      <c r="T267" s="372"/>
      <c r="U267" s="372"/>
      <c r="V267" s="373"/>
      <c r="W267" s="42" t="s">
        <v>0</v>
      </c>
      <c r="X267" s="43">
        <f>IFERROR(SUMPRODUCT(X263:X265*H263:H265),"0")</f>
        <v>991.36</v>
      </c>
      <c r="Y267" s="43">
        <f>IFERROR(SUMPRODUCT(Y263:Y265*H263:H265),"0")</f>
        <v>991.36</v>
      </c>
      <c r="Z267" s="42"/>
      <c r="AA267" s="67"/>
      <c r="AB267" s="67"/>
      <c r="AC267" s="67"/>
    </row>
    <row r="268" spans="1:68" ht="14.25" hidden="1" customHeight="1" x14ac:dyDescent="0.25">
      <c r="A268" s="359" t="s">
        <v>157</v>
      </c>
      <c r="B268" s="359"/>
      <c r="C268" s="359"/>
      <c r="D268" s="359"/>
      <c r="E268" s="359"/>
      <c r="F268" s="359"/>
      <c r="G268" s="359"/>
      <c r="H268" s="359"/>
      <c r="I268" s="359"/>
      <c r="J268" s="359"/>
      <c r="K268" s="359"/>
      <c r="L268" s="359"/>
      <c r="M268" s="359"/>
      <c r="N268" s="359"/>
      <c r="O268" s="359"/>
      <c r="P268" s="359"/>
      <c r="Q268" s="359"/>
      <c r="R268" s="359"/>
      <c r="S268" s="359"/>
      <c r="T268" s="359"/>
      <c r="U268" s="359"/>
      <c r="V268" s="359"/>
      <c r="W268" s="359"/>
      <c r="X268" s="359"/>
      <c r="Y268" s="359"/>
      <c r="Z268" s="359"/>
      <c r="AA268" s="66"/>
      <c r="AB268" s="66"/>
      <c r="AC268" s="83"/>
    </row>
    <row r="269" spans="1:68" ht="37.5" hidden="1" customHeight="1" x14ac:dyDescent="0.25">
      <c r="A269" s="63" t="s">
        <v>367</v>
      </c>
      <c r="B269" s="63" t="s">
        <v>368</v>
      </c>
      <c r="C269" s="36">
        <v>4301135504</v>
      </c>
      <c r="D269" s="360">
        <v>4640242181554</v>
      </c>
      <c r="E269" s="360"/>
      <c r="F269" s="62">
        <v>3</v>
      </c>
      <c r="G269" s="37">
        <v>1</v>
      </c>
      <c r="H269" s="62">
        <v>3</v>
      </c>
      <c r="I269" s="62">
        <v>3.1920000000000002</v>
      </c>
      <c r="J269" s="37">
        <v>126</v>
      </c>
      <c r="K269" s="37" t="s">
        <v>118</v>
      </c>
      <c r="L269" s="37" t="s">
        <v>88</v>
      </c>
      <c r="M269" s="38" t="s">
        <v>86</v>
      </c>
      <c r="N269" s="38"/>
      <c r="O269" s="37">
        <v>180</v>
      </c>
      <c r="P269" s="458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9" s="362"/>
      <c r="R269" s="362"/>
      <c r="S269" s="362"/>
      <c r="T269" s="363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ref="Y269:Y278" si="18">IFERROR(IF(X269="","",X269),"")</f>
        <v>0</v>
      </c>
      <c r="Z269" s="41">
        <f>IFERROR(IF(X269="","",X269*0.00936),"")</f>
        <v>0</v>
      </c>
      <c r="AA269" s="68" t="s">
        <v>46</v>
      </c>
      <c r="AB269" s="69" t="s">
        <v>46</v>
      </c>
      <c r="AC269" s="269" t="s">
        <v>369</v>
      </c>
      <c r="AG269" s="81"/>
      <c r="AJ269" s="87" t="s">
        <v>89</v>
      </c>
      <c r="AK269" s="87">
        <v>1</v>
      </c>
      <c r="BB269" s="270" t="s">
        <v>117</v>
      </c>
      <c r="BM269" s="81">
        <f t="shared" ref="BM269:BM278" si="19">IFERROR(X269*I269,"0")</f>
        <v>0</v>
      </c>
      <c r="BN269" s="81">
        <f t="shared" ref="BN269:BN278" si="20">IFERROR(Y269*I269,"0")</f>
        <v>0</v>
      </c>
      <c r="BO269" s="81">
        <f t="shared" ref="BO269:BO278" si="21">IFERROR(X269/J269,"0")</f>
        <v>0</v>
      </c>
      <c r="BP269" s="81">
        <f t="shared" ref="BP269:BP278" si="22">IFERROR(Y269/J269,"0")</f>
        <v>0</v>
      </c>
    </row>
    <row r="270" spans="1:68" ht="27" hidden="1" customHeight="1" x14ac:dyDescent="0.25">
      <c r="A270" s="63" t="s">
        <v>370</v>
      </c>
      <c r="B270" s="63" t="s">
        <v>371</v>
      </c>
      <c r="C270" s="36">
        <v>4301135518</v>
      </c>
      <c r="D270" s="360">
        <v>4640242181561</v>
      </c>
      <c r="E270" s="360"/>
      <c r="F270" s="62">
        <v>3.7</v>
      </c>
      <c r="G270" s="37">
        <v>1</v>
      </c>
      <c r="H270" s="62">
        <v>3.7</v>
      </c>
      <c r="I270" s="62">
        <v>3.8919999999999999</v>
      </c>
      <c r="J270" s="37">
        <v>126</v>
      </c>
      <c r="K270" s="37" t="s">
        <v>118</v>
      </c>
      <c r="L270" s="37" t="s">
        <v>119</v>
      </c>
      <c r="M270" s="38" t="s">
        <v>86</v>
      </c>
      <c r="N270" s="38"/>
      <c r="O270" s="37">
        <v>180</v>
      </c>
      <c r="P270" s="459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0" s="362"/>
      <c r="R270" s="362"/>
      <c r="S270" s="362"/>
      <c r="T270" s="363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71" t="s">
        <v>372</v>
      </c>
      <c r="AG270" s="81"/>
      <c r="AJ270" s="87" t="s">
        <v>120</v>
      </c>
      <c r="AK270" s="87">
        <v>14</v>
      </c>
      <c r="BB270" s="272" t="s">
        <v>117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hidden="1" customHeight="1" x14ac:dyDescent="0.25">
      <c r="A271" s="63" t="s">
        <v>373</v>
      </c>
      <c r="B271" s="63" t="s">
        <v>374</v>
      </c>
      <c r="C271" s="36">
        <v>4301135374</v>
      </c>
      <c r="D271" s="360">
        <v>4640242181424</v>
      </c>
      <c r="E271" s="360"/>
      <c r="F271" s="62">
        <v>5.5</v>
      </c>
      <c r="G271" s="37">
        <v>1</v>
      </c>
      <c r="H271" s="62">
        <v>5.5</v>
      </c>
      <c r="I271" s="62">
        <v>5.7350000000000003</v>
      </c>
      <c r="J271" s="37">
        <v>84</v>
      </c>
      <c r="K271" s="37" t="s">
        <v>87</v>
      </c>
      <c r="L271" s="37" t="s">
        <v>119</v>
      </c>
      <c r="M271" s="38" t="s">
        <v>86</v>
      </c>
      <c r="N271" s="38"/>
      <c r="O271" s="37">
        <v>180</v>
      </c>
      <c r="P271" s="46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1" s="362"/>
      <c r="R271" s="362"/>
      <c r="S271" s="362"/>
      <c r="T271" s="363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IFERROR(IF(X271="","",X271*0.0155),"")</f>
        <v>0</v>
      </c>
      <c r="AA271" s="68" t="s">
        <v>46</v>
      </c>
      <c r="AB271" s="69" t="s">
        <v>46</v>
      </c>
      <c r="AC271" s="273" t="s">
        <v>369</v>
      </c>
      <c r="AG271" s="81"/>
      <c r="AJ271" s="87" t="s">
        <v>120</v>
      </c>
      <c r="AK271" s="87">
        <v>12</v>
      </c>
      <c r="BB271" s="274" t="s">
        <v>117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customHeight="1" x14ac:dyDescent="0.25">
      <c r="A272" s="63" t="s">
        <v>375</v>
      </c>
      <c r="B272" s="63" t="s">
        <v>376</v>
      </c>
      <c r="C272" s="36">
        <v>4301135405</v>
      </c>
      <c r="D272" s="360">
        <v>4640242181523</v>
      </c>
      <c r="E272" s="360"/>
      <c r="F272" s="62">
        <v>3</v>
      </c>
      <c r="G272" s="37">
        <v>1</v>
      </c>
      <c r="H272" s="62">
        <v>3</v>
      </c>
      <c r="I272" s="62">
        <v>3.1920000000000002</v>
      </c>
      <c r="J272" s="37">
        <v>126</v>
      </c>
      <c r="K272" s="37" t="s">
        <v>118</v>
      </c>
      <c r="L272" s="37" t="s">
        <v>119</v>
      </c>
      <c r="M272" s="38" t="s">
        <v>86</v>
      </c>
      <c r="N272" s="38"/>
      <c r="O272" s="37">
        <v>180</v>
      </c>
      <c r="P272" s="46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2" s="362"/>
      <c r="R272" s="362"/>
      <c r="S272" s="362"/>
      <c r="T272" s="363"/>
      <c r="U272" s="39" t="s">
        <v>46</v>
      </c>
      <c r="V272" s="39" t="s">
        <v>46</v>
      </c>
      <c r="W272" s="40" t="s">
        <v>39</v>
      </c>
      <c r="X272" s="58">
        <v>84</v>
      </c>
      <c r="Y272" s="55">
        <f t="shared" si="18"/>
        <v>84</v>
      </c>
      <c r="Z272" s="41">
        <f t="shared" ref="Z272:Z277" si="23">IFERROR(IF(X272="","",X272*0.00936),"")</f>
        <v>0.78624000000000005</v>
      </c>
      <c r="AA272" s="68" t="s">
        <v>46</v>
      </c>
      <c r="AB272" s="69" t="s">
        <v>46</v>
      </c>
      <c r="AC272" s="275" t="s">
        <v>372</v>
      </c>
      <c r="AG272" s="81"/>
      <c r="AJ272" s="87" t="s">
        <v>120</v>
      </c>
      <c r="AK272" s="87">
        <v>14</v>
      </c>
      <c r="BB272" s="276" t="s">
        <v>117</v>
      </c>
      <c r="BM272" s="81">
        <f t="shared" si="19"/>
        <v>268.12800000000004</v>
      </c>
      <c r="BN272" s="81">
        <f t="shared" si="20"/>
        <v>268.12800000000004</v>
      </c>
      <c r="BO272" s="81">
        <f t="shared" si="21"/>
        <v>0.66666666666666663</v>
      </c>
      <c r="BP272" s="81">
        <f t="shared" si="22"/>
        <v>0.66666666666666663</v>
      </c>
    </row>
    <row r="273" spans="1:68" ht="27" customHeight="1" x14ac:dyDescent="0.25">
      <c r="A273" s="63" t="s">
        <v>377</v>
      </c>
      <c r="B273" s="63" t="s">
        <v>378</v>
      </c>
      <c r="C273" s="36">
        <v>4301135375</v>
      </c>
      <c r="D273" s="360">
        <v>4640242181486</v>
      </c>
      <c r="E273" s="360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118</v>
      </c>
      <c r="L273" s="37" t="s">
        <v>119</v>
      </c>
      <c r="M273" s="38" t="s">
        <v>86</v>
      </c>
      <c r="N273" s="38"/>
      <c r="O273" s="37">
        <v>180</v>
      </c>
      <c r="P273" s="46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3" s="362"/>
      <c r="R273" s="362"/>
      <c r="S273" s="362"/>
      <c r="T273" s="363"/>
      <c r="U273" s="39" t="s">
        <v>46</v>
      </c>
      <c r="V273" s="39" t="s">
        <v>46</v>
      </c>
      <c r="W273" s="40" t="s">
        <v>39</v>
      </c>
      <c r="X273" s="58">
        <v>42</v>
      </c>
      <c r="Y273" s="55">
        <f t="shared" si="18"/>
        <v>42</v>
      </c>
      <c r="Z273" s="41">
        <f t="shared" si="23"/>
        <v>0.39312000000000002</v>
      </c>
      <c r="AA273" s="68" t="s">
        <v>46</v>
      </c>
      <c r="AB273" s="69" t="s">
        <v>46</v>
      </c>
      <c r="AC273" s="277" t="s">
        <v>369</v>
      </c>
      <c r="AG273" s="81"/>
      <c r="AJ273" s="87" t="s">
        <v>120</v>
      </c>
      <c r="AK273" s="87">
        <v>14</v>
      </c>
      <c r="BB273" s="278" t="s">
        <v>117</v>
      </c>
      <c r="BM273" s="81">
        <f t="shared" si="19"/>
        <v>163.464</v>
      </c>
      <c r="BN273" s="81">
        <f t="shared" si="20"/>
        <v>163.464</v>
      </c>
      <c r="BO273" s="81">
        <f t="shared" si="21"/>
        <v>0.33333333333333331</v>
      </c>
      <c r="BP273" s="81">
        <f t="shared" si="22"/>
        <v>0.33333333333333331</v>
      </c>
    </row>
    <row r="274" spans="1:68" ht="37.5" hidden="1" customHeight="1" x14ac:dyDescent="0.25">
      <c r="A274" s="63" t="s">
        <v>379</v>
      </c>
      <c r="B274" s="63" t="s">
        <v>380</v>
      </c>
      <c r="C274" s="36">
        <v>4301135402</v>
      </c>
      <c r="D274" s="360">
        <v>4640242181493</v>
      </c>
      <c r="E274" s="360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118</v>
      </c>
      <c r="L274" s="37" t="s">
        <v>88</v>
      </c>
      <c r="M274" s="38" t="s">
        <v>86</v>
      </c>
      <c r="N274" s="38"/>
      <c r="O274" s="37">
        <v>180</v>
      </c>
      <c r="P274" s="46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4" s="362"/>
      <c r="R274" s="362"/>
      <c r="S274" s="362"/>
      <c r="T274" s="363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369</v>
      </c>
      <c r="AG274" s="81"/>
      <c r="AJ274" s="87" t="s">
        <v>89</v>
      </c>
      <c r="AK274" s="87">
        <v>1</v>
      </c>
      <c r="BB274" s="280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37.5" hidden="1" customHeight="1" x14ac:dyDescent="0.25">
      <c r="A275" s="63" t="s">
        <v>381</v>
      </c>
      <c r="B275" s="63" t="s">
        <v>382</v>
      </c>
      <c r="C275" s="36">
        <v>4301135403</v>
      </c>
      <c r="D275" s="360">
        <v>4640242181509</v>
      </c>
      <c r="E275" s="360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88</v>
      </c>
      <c r="M275" s="38" t="s">
        <v>86</v>
      </c>
      <c r="N275" s="38"/>
      <c r="O275" s="37">
        <v>180</v>
      </c>
      <c r="P275" s="46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5" s="362"/>
      <c r="R275" s="362"/>
      <c r="S275" s="362"/>
      <c r="T275" s="363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369</v>
      </c>
      <c r="AG275" s="81"/>
      <c r="AJ275" s="87" t="s">
        <v>89</v>
      </c>
      <c r="AK275" s="87">
        <v>1</v>
      </c>
      <c r="BB275" s="282" t="s">
        <v>117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hidden="1" customHeight="1" x14ac:dyDescent="0.25">
      <c r="A276" s="63" t="s">
        <v>383</v>
      </c>
      <c r="B276" s="63" t="s">
        <v>384</v>
      </c>
      <c r="C276" s="36">
        <v>4301135304</v>
      </c>
      <c r="D276" s="360">
        <v>4640242181240</v>
      </c>
      <c r="E276" s="360"/>
      <c r="F276" s="62">
        <v>0.3</v>
      </c>
      <c r="G276" s="37">
        <v>9</v>
      </c>
      <c r="H276" s="62">
        <v>2.7</v>
      </c>
      <c r="I276" s="62">
        <v>2.88</v>
      </c>
      <c r="J276" s="37">
        <v>126</v>
      </c>
      <c r="K276" s="37" t="s">
        <v>118</v>
      </c>
      <c r="L276" s="37" t="s">
        <v>88</v>
      </c>
      <c r="M276" s="38" t="s">
        <v>86</v>
      </c>
      <c r="N276" s="38"/>
      <c r="O276" s="37">
        <v>180</v>
      </c>
      <c r="P276" s="46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6" s="362"/>
      <c r="R276" s="362"/>
      <c r="S276" s="362"/>
      <c r="T276" s="363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369</v>
      </c>
      <c r="AG276" s="81"/>
      <c r="AJ276" s="87" t="s">
        <v>89</v>
      </c>
      <c r="AK276" s="87">
        <v>1</v>
      </c>
      <c r="BB276" s="284" t="s">
        <v>117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hidden="1" customHeight="1" x14ac:dyDescent="0.25">
      <c r="A277" s="63" t="s">
        <v>385</v>
      </c>
      <c r="B277" s="63" t="s">
        <v>386</v>
      </c>
      <c r="C277" s="36">
        <v>4301135610</v>
      </c>
      <c r="D277" s="360">
        <v>4640242181318</v>
      </c>
      <c r="E277" s="360"/>
      <c r="F277" s="62">
        <v>0.3</v>
      </c>
      <c r="G277" s="37">
        <v>9</v>
      </c>
      <c r="H277" s="62">
        <v>2.7</v>
      </c>
      <c r="I277" s="62">
        <v>2.988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46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7" s="362"/>
      <c r="R277" s="362"/>
      <c r="S277" s="362"/>
      <c r="T277" s="363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372</v>
      </c>
      <c r="AG277" s="81"/>
      <c r="AJ277" s="87" t="s">
        <v>89</v>
      </c>
      <c r="AK277" s="87">
        <v>1</v>
      </c>
      <c r="BB277" s="28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hidden="1" customHeight="1" x14ac:dyDescent="0.25">
      <c r="A278" s="63" t="s">
        <v>387</v>
      </c>
      <c r="B278" s="63" t="s">
        <v>388</v>
      </c>
      <c r="C278" s="36">
        <v>4301135306</v>
      </c>
      <c r="D278" s="360">
        <v>4640242181387</v>
      </c>
      <c r="E278" s="360"/>
      <c r="F278" s="62">
        <v>0.3</v>
      </c>
      <c r="G278" s="37">
        <v>9</v>
      </c>
      <c r="H278" s="62">
        <v>2.7</v>
      </c>
      <c r="I278" s="62">
        <v>2.8450000000000002</v>
      </c>
      <c r="J278" s="37">
        <v>234</v>
      </c>
      <c r="K278" s="37" t="s">
        <v>169</v>
      </c>
      <c r="L278" s="37" t="s">
        <v>88</v>
      </c>
      <c r="M278" s="38" t="s">
        <v>86</v>
      </c>
      <c r="N278" s="38"/>
      <c r="O278" s="37">
        <v>180</v>
      </c>
      <c r="P278" s="46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8" s="362"/>
      <c r="R278" s="362"/>
      <c r="S278" s="362"/>
      <c r="T278" s="363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>IFERROR(IF(X278="","",X278*0.00502),"")</f>
        <v>0</v>
      </c>
      <c r="AA278" s="68" t="s">
        <v>46</v>
      </c>
      <c r="AB278" s="69" t="s">
        <v>46</v>
      </c>
      <c r="AC278" s="287" t="s">
        <v>369</v>
      </c>
      <c r="AG278" s="81"/>
      <c r="AJ278" s="87" t="s">
        <v>89</v>
      </c>
      <c r="AK278" s="87">
        <v>1</v>
      </c>
      <c r="BB278" s="288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x14ac:dyDescent="0.2">
      <c r="A279" s="374"/>
      <c r="B279" s="374"/>
      <c r="C279" s="374"/>
      <c r="D279" s="374"/>
      <c r="E279" s="374"/>
      <c r="F279" s="374"/>
      <c r="G279" s="374"/>
      <c r="H279" s="374"/>
      <c r="I279" s="374"/>
      <c r="J279" s="374"/>
      <c r="K279" s="374"/>
      <c r="L279" s="374"/>
      <c r="M279" s="374"/>
      <c r="N279" s="374"/>
      <c r="O279" s="375"/>
      <c r="P279" s="371" t="s">
        <v>40</v>
      </c>
      <c r="Q279" s="372"/>
      <c r="R279" s="372"/>
      <c r="S279" s="372"/>
      <c r="T279" s="372"/>
      <c r="U279" s="372"/>
      <c r="V279" s="373"/>
      <c r="W279" s="42" t="s">
        <v>39</v>
      </c>
      <c r="X279" s="43">
        <f>IFERROR(SUM(X269:X278),"0")</f>
        <v>126</v>
      </c>
      <c r="Y279" s="43">
        <f>IFERROR(SUM(Y269:Y278),"0")</f>
        <v>126</v>
      </c>
      <c r="Z279" s="43">
        <f>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</f>
        <v>1.17936</v>
      </c>
      <c r="AA279" s="67"/>
      <c r="AB279" s="67"/>
      <c r="AC279" s="67"/>
    </row>
    <row r="280" spans="1:68" x14ac:dyDescent="0.2">
      <c r="A280" s="374"/>
      <c r="B280" s="374"/>
      <c r="C280" s="374"/>
      <c r="D280" s="374"/>
      <c r="E280" s="374"/>
      <c r="F280" s="374"/>
      <c r="G280" s="374"/>
      <c r="H280" s="374"/>
      <c r="I280" s="374"/>
      <c r="J280" s="374"/>
      <c r="K280" s="374"/>
      <c r="L280" s="374"/>
      <c r="M280" s="374"/>
      <c r="N280" s="374"/>
      <c r="O280" s="375"/>
      <c r="P280" s="371" t="s">
        <v>40</v>
      </c>
      <c r="Q280" s="372"/>
      <c r="R280" s="372"/>
      <c r="S280" s="372"/>
      <c r="T280" s="372"/>
      <c r="U280" s="372"/>
      <c r="V280" s="373"/>
      <c r="W280" s="42" t="s">
        <v>0</v>
      </c>
      <c r="X280" s="43">
        <f>IFERROR(SUMPRODUCT(X269:X278*H269:H278),"0")</f>
        <v>407.4</v>
      </c>
      <c r="Y280" s="43">
        <f>IFERROR(SUMPRODUCT(Y269:Y278*H269:H278),"0")</f>
        <v>407.4</v>
      </c>
      <c r="Z280" s="42"/>
      <c r="AA280" s="67"/>
      <c r="AB280" s="67"/>
      <c r="AC280" s="67"/>
    </row>
    <row r="281" spans="1:68" ht="15" customHeight="1" x14ac:dyDescent="0.2">
      <c r="A281" s="374"/>
      <c r="B281" s="374"/>
      <c r="C281" s="374"/>
      <c r="D281" s="374"/>
      <c r="E281" s="374"/>
      <c r="F281" s="374"/>
      <c r="G281" s="374"/>
      <c r="H281" s="374"/>
      <c r="I281" s="374"/>
      <c r="J281" s="374"/>
      <c r="K281" s="374"/>
      <c r="L281" s="374"/>
      <c r="M281" s="374"/>
      <c r="N281" s="374"/>
      <c r="O281" s="471"/>
      <c r="P281" s="468" t="s">
        <v>33</v>
      </c>
      <c r="Q281" s="469"/>
      <c r="R281" s="469"/>
      <c r="S281" s="469"/>
      <c r="T281" s="469"/>
      <c r="U281" s="469"/>
      <c r="V281" s="470"/>
      <c r="W281" s="42" t="s">
        <v>0</v>
      </c>
      <c r="X281" s="43">
        <f>IFERROR(X31+X37+X44+X51+X59+X64+X68+X73+X79+X85+X90+X96+X106+X112+X124+X128+X132+X140+X146+X152+X158+X164+X169+X174+X179+X186+X191+X200+X206+X212+X218+X223+X228+X234+X240+X244+X250+X257+X261+X267+X280,"0")</f>
        <v>13055.56</v>
      </c>
      <c r="Y281" s="43">
        <f>IFERROR(Y31+Y37+Y44+Y51+Y59+Y64+Y68+Y73+Y79+Y85+Y90+Y96+Y106+Y112+Y124+Y128+Y132+Y140+Y146+Y152+Y158+Y164+Y169+Y174+Y179+Y186+Y191+Y200+Y206+Y212+Y218+Y223+Y228+Y234+Y240+Y244+Y250+Y257+Y261+Y267+Y280,"0")</f>
        <v>13055.56</v>
      </c>
      <c r="Z281" s="42"/>
      <c r="AA281" s="67"/>
      <c r="AB281" s="67"/>
      <c r="AC281" s="67"/>
    </row>
    <row r="282" spans="1:68" x14ac:dyDescent="0.2">
      <c r="A282" s="374"/>
      <c r="B282" s="374"/>
      <c r="C282" s="374"/>
      <c r="D282" s="374"/>
      <c r="E282" s="374"/>
      <c r="F282" s="374"/>
      <c r="G282" s="374"/>
      <c r="H282" s="374"/>
      <c r="I282" s="374"/>
      <c r="J282" s="374"/>
      <c r="K282" s="374"/>
      <c r="L282" s="374"/>
      <c r="M282" s="374"/>
      <c r="N282" s="374"/>
      <c r="O282" s="471"/>
      <c r="P282" s="468" t="s">
        <v>34</v>
      </c>
      <c r="Q282" s="469"/>
      <c r="R282" s="469"/>
      <c r="S282" s="469"/>
      <c r="T282" s="469"/>
      <c r="U282" s="469"/>
      <c r="V282" s="470"/>
      <c r="W282" s="42" t="s">
        <v>0</v>
      </c>
      <c r="X282" s="43">
        <f>IFERROR(SUM(BM22:BM278),"0")</f>
        <v>14218.091200000003</v>
      </c>
      <c r="Y282" s="43">
        <f>IFERROR(SUM(BN22:BN278),"0")</f>
        <v>14218.091200000003</v>
      </c>
      <c r="Z282" s="42"/>
      <c r="AA282" s="67"/>
      <c r="AB282" s="67"/>
      <c r="AC282" s="67"/>
    </row>
    <row r="283" spans="1:68" x14ac:dyDescent="0.2">
      <c r="A283" s="374"/>
      <c r="B283" s="374"/>
      <c r="C283" s="374"/>
      <c r="D283" s="374"/>
      <c r="E283" s="374"/>
      <c r="F283" s="374"/>
      <c r="G283" s="374"/>
      <c r="H283" s="374"/>
      <c r="I283" s="374"/>
      <c r="J283" s="374"/>
      <c r="K283" s="374"/>
      <c r="L283" s="374"/>
      <c r="M283" s="374"/>
      <c r="N283" s="374"/>
      <c r="O283" s="471"/>
      <c r="P283" s="468" t="s">
        <v>35</v>
      </c>
      <c r="Q283" s="469"/>
      <c r="R283" s="469"/>
      <c r="S283" s="469"/>
      <c r="T283" s="469"/>
      <c r="U283" s="469"/>
      <c r="V283" s="470"/>
      <c r="W283" s="42" t="s">
        <v>20</v>
      </c>
      <c r="X283" s="44">
        <f>ROUNDUP(SUM(BO22:BO278),0)</f>
        <v>35</v>
      </c>
      <c r="Y283" s="44">
        <f>ROUNDUP(SUM(BP22:BP278),0)</f>
        <v>35</v>
      </c>
      <c r="Z283" s="42"/>
      <c r="AA283" s="67"/>
      <c r="AB283" s="67"/>
      <c r="AC283" s="67"/>
    </row>
    <row r="284" spans="1:68" x14ac:dyDescent="0.2">
      <c r="A284" s="374"/>
      <c r="B284" s="374"/>
      <c r="C284" s="374"/>
      <c r="D284" s="374"/>
      <c r="E284" s="374"/>
      <c r="F284" s="374"/>
      <c r="G284" s="374"/>
      <c r="H284" s="374"/>
      <c r="I284" s="374"/>
      <c r="J284" s="374"/>
      <c r="K284" s="374"/>
      <c r="L284" s="374"/>
      <c r="M284" s="374"/>
      <c r="N284" s="374"/>
      <c r="O284" s="471"/>
      <c r="P284" s="468" t="s">
        <v>36</v>
      </c>
      <c r="Q284" s="469"/>
      <c r="R284" s="469"/>
      <c r="S284" s="469"/>
      <c r="T284" s="469"/>
      <c r="U284" s="469"/>
      <c r="V284" s="470"/>
      <c r="W284" s="42" t="s">
        <v>0</v>
      </c>
      <c r="X284" s="43">
        <f>GrossWeightTotal+PalletQtyTotal*25</f>
        <v>15093.091200000003</v>
      </c>
      <c r="Y284" s="43">
        <f>GrossWeightTotalR+PalletQtyTotalR*25</f>
        <v>15093.091200000003</v>
      </c>
      <c r="Z284" s="42"/>
      <c r="AA284" s="67"/>
      <c r="AB284" s="67"/>
      <c r="AC284" s="67"/>
    </row>
    <row r="285" spans="1:68" x14ac:dyDescent="0.2">
      <c r="A285" s="374"/>
      <c r="B285" s="374"/>
      <c r="C285" s="374"/>
      <c r="D285" s="374"/>
      <c r="E285" s="374"/>
      <c r="F285" s="374"/>
      <c r="G285" s="374"/>
      <c r="H285" s="374"/>
      <c r="I285" s="374"/>
      <c r="J285" s="374"/>
      <c r="K285" s="374"/>
      <c r="L285" s="374"/>
      <c r="M285" s="374"/>
      <c r="N285" s="374"/>
      <c r="O285" s="471"/>
      <c r="P285" s="468" t="s">
        <v>37</v>
      </c>
      <c r="Q285" s="469"/>
      <c r="R285" s="469"/>
      <c r="S285" s="469"/>
      <c r="T285" s="469"/>
      <c r="U285" s="469"/>
      <c r="V285" s="470"/>
      <c r="W285" s="42" t="s">
        <v>20</v>
      </c>
      <c r="X285" s="43">
        <f>IFERROR(X30+X36+X43+X50+X58+X63+X67+X72+X78+X84+X89+X95+X105+X111+X123+X127+X131+X139+X145+X151+X157+X163+X168+X173+X178+X185+X190+X199+X205+X211+X217+X222+X227+X233+X239+X243+X249+X256+X260+X266+X279,"0")</f>
        <v>3034</v>
      </c>
      <c r="Y285" s="43">
        <f>IFERROR(Y30+Y36+Y43+Y50+Y58+Y63+Y67+Y72+Y78+Y84+Y89+Y95+Y105+Y111+Y123+Y127+Y131+Y139+Y145+Y151+Y157+Y163+Y168+Y173+Y178+Y185+Y190+Y199+Y205+Y211+Y217+Y222+Y227+Y233+Y239+Y243+Y249+Y256+Y260+Y266+Y279,"0")</f>
        <v>3034</v>
      </c>
      <c r="Z285" s="42"/>
      <c r="AA285" s="67"/>
      <c r="AB285" s="67"/>
      <c r="AC285" s="67"/>
    </row>
    <row r="286" spans="1:68" ht="14.25" hidden="1" x14ac:dyDescent="0.2">
      <c r="A286" s="374"/>
      <c r="B286" s="374"/>
      <c r="C286" s="374"/>
      <c r="D286" s="374"/>
      <c r="E286" s="374"/>
      <c r="F286" s="374"/>
      <c r="G286" s="374"/>
      <c r="H286" s="374"/>
      <c r="I286" s="374"/>
      <c r="J286" s="374"/>
      <c r="K286" s="374"/>
      <c r="L286" s="374"/>
      <c r="M286" s="374"/>
      <c r="N286" s="374"/>
      <c r="O286" s="471"/>
      <c r="P286" s="468" t="s">
        <v>38</v>
      </c>
      <c r="Q286" s="469"/>
      <c r="R286" s="469"/>
      <c r="S286" s="469"/>
      <c r="T286" s="469"/>
      <c r="U286" s="469"/>
      <c r="V286" s="470"/>
      <c r="W286" s="45" t="s">
        <v>52</v>
      </c>
      <c r="X286" s="42"/>
      <c r="Y286" s="42"/>
      <c r="Z286" s="42">
        <f>IFERROR(Z30+Z36+Z43+Z50+Z58+Z63+Z67+Z72+Z78+Z84+Z89+Z95+Z105+Z111+Z123+Z127+Z131+Z139+Z145+Z151+Z157+Z163+Z168+Z173+Z178+Z185+Z190+Z199+Z205+Z211+Z217+Z222+Z227+Z233+Z239+Z243+Z249+Z256+Z260+Z266+Z279,"0")</f>
        <v>43.88765999999999</v>
      </c>
      <c r="AA286" s="67"/>
      <c r="AB286" s="67"/>
      <c r="AC286" s="67"/>
    </row>
    <row r="287" spans="1:68" ht="13.5" thickBot="1" x14ac:dyDescent="0.25"/>
    <row r="288" spans="1:68" ht="27" thickTop="1" thickBot="1" x14ac:dyDescent="0.25">
      <c r="A288" s="46" t="s">
        <v>9</v>
      </c>
      <c r="B288" s="472" t="s">
        <v>81</v>
      </c>
      <c r="C288" s="472" t="s">
        <v>81</v>
      </c>
      <c r="D288" s="472" t="s">
        <v>45</v>
      </c>
      <c r="E288" s="472" t="s">
        <v>45</v>
      </c>
      <c r="F288" s="472" t="s">
        <v>45</v>
      </c>
      <c r="G288" s="472" t="s">
        <v>45</v>
      </c>
      <c r="H288" s="472" t="s">
        <v>45</v>
      </c>
      <c r="I288" s="472" t="s">
        <v>45</v>
      </c>
      <c r="J288" s="472" t="s">
        <v>45</v>
      </c>
      <c r="K288" s="472" t="s">
        <v>45</v>
      </c>
      <c r="L288" s="472" t="s">
        <v>45</v>
      </c>
      <c r="M288" s="472" t="s">
        <v>45</v>
      </c>
      <c r="N288" s="473"/>
      <c r="O288" s="472" t="s">
        <v>45</v>
      </c>
      <c r="P288" s="472" t="s">
        <v>45</v>
      </c>
      <c r="Q288" s="472" t="s">
        <v>45</v>
      </c>
      <c r="R288" s="472" t="s">
        <v>45</v>
      </c>
      <c r="S288" s="472" t="s">
        <v>45</v>
      </c>
      <c r="T288" s="472" t="s">
        <v>45</v>
      </c>
      <c r="U288" s="472" t="s">
        <v>45</v>
      </c>
      <c r="V288" s="472" t="s">
        <v>280</v>
      </c>
      <c r="W288" s="472" t="s">
        <v>280</v>
      </c>
      <c r="X288" s="88" t="s">
        <v>291</v>
      </c>
      <c r="Y288" s="472" t="s">
        <v>305</v>
      </c>
      <c r="Z288" s="472" t="s">
        <v>305</v>
      </c>
      <c r="AA288" s="472" t="s">
        <v>305</v>
      </c>
      <c r="AB288" s="472" t="s">
        <v>305</v>
      </c>
      <c r="AC288" s="88" t="s">
        <v>334</v>
      </c>
      <c r="AD288" s="88" t="s">
        <v>339</v>
      </c>
      <c r="AE288" s="88" t="s">
        <v>347</v>
      </c>
      <c r="AF288" s="88" t="s">
        <v>351</v>
      </c>
    </row>
    <row r="289" spans="1:32" ht="14.25" customHeight="1" thickTop="1" x14ac:dyDescent="0.2">
      <c r="A289" s="474" t="s">
        <v>10</v>
      </c>
      <c r="B289" s="472" t="s">
        <v>81</v>
      </c>
      <c r="C289" s="472" t="s">
        <v>106</v>
      </c>
      <c r="D289" s="472" t="s">
        <v>112</v>
      </c>
      <c r="E289" s="472" t="s">
        <v>123</v>
      </c>
      <c r="F289" s="472" t="s">
        <v>133</v>
      </c>
      <c r="G289" s="472" t="s">
        <v>144</v>
      </c>
      <c r="H289" s="472" t="s">
        <v>165</v>
      </c>
      <c r="I289" s="472" t="s">
        <v>172</v>
      </c>
      <c r="J289" s="472" t="s">
        <v>176</v>
      </c>
      <c r="K289" s="472" t="s">
        <v>184</v>
      </c>
      <c r="L289" s="472" t="s">
        <v>199</v>
      </c>
      <c r="M289" s="472" t="s">
        <v>205</v>
      </c>
      <c r="N289" s="1"/>
      <c r="O289" s="472" t="s">
        <v>233</v>
      </c>
      <c r="P289" s="472" t="s">
        <v>251</v>
      </c>
      <c r="Q289" s="472" t="s">
        <v>257</v>
      </c>
      <c r="R289" s="472" t="s">
        <v>264</v>
      </c>
      <c r="S289" s="472" t="s">
        <v>269</v>
      </c>
      <c r="T289" s="472" t="s">
        <v>273</v>
      </c>
      <c r="U289" s="472" t="s">
        <v>276</v>
      </c>
      <c r="V289" s="472" t="s">
        <v>281</v>
      </c>
      <c r="W289" s="472" t="s">
        <v>288</v>
      </c>
      <c r="X289" s="472" t="s">
        <v>292</v>
      </c>
      <c r="Y289" s="472" t="s">
        <v>306</v>
      </c>
      <c r="Z289" s="472" t="s">
        <v>319</v>
      </c>
      <c r="AA289" s="472" t="s">
        <v>326</v>
      </c>
      <c r="AB289" s="472" t="s">
        <v>330</v>
      </c>
      <c r="AC289" s="472" t="s">
        <v>335</v>
      </c>
      <c r="AD289" s="472" t="s">
        <v>340</v>
      </c>
      <c r="AE289" s="472" t="s">
        <v>347</v>
      </c>
      <c r="AF289" s="472" t="s">
        <v>351</v>
      </c>
    </row>
    <row r="290" spans="1:32" ht="13.5" thickBot="1" x14ac:dyDescent="0.25">
      <c r="A290" s="475"/>
      <c r="B290" s="472"/>
      <c r="C290" s="472"/>
      <c r="D290" s="472"/>
      <c r="E290" s="472"/>
      <c r="F290" s="472"/>
      <c r="G290" s="472"/>
      <c r="H290" s="472"/>
      <c r="I290" s="472"/>
      <c r="J290" s="472"/>
      <c r="K290" s="472"/>
      <c r="L290" s="472"/>
      <c r="M290" s="472"/>
      <c r="N290" s="1"/>
      <c r="O290" s="472"/>
      <c r="P290" s="472"/>
      <c r="Q290" s="472"/>
      <c r="R290" s="472"/>
      <c r="S290" s="472"/>
      <c r="T290" s="472"/>
      <c r="U290" s="472"/>
      <c r="V290" s="472"/>
      <c r="W290" s="472"/>
      <c r="X290" s="472"/>
      <c r="Y290" s="472"/>
      <c r="Z290" s="472"/>
      <c r="AA290" s="472"/>
      <c r="AB290" s="472"/>
      <c r="AC290" s="472"/>
      <c r="AD290" s="472"/>
      <c r="AE290" s="472"/>
      <c r="AF290" s="472"/>
    </row>
    <row r="291" spans="1:32" ht="18" thickTop="1" thickBot="1" x14ac:dyDescent="0.25">
      <c r="A291" s="46" t="s">
        <v>13</v>
      </c>
      <c r="B291" s="52">
        <f>IFERROR(X22*H22,"0")+IFERROR(X23*H23,"0")+IFERROR(X24*H24,"0")+IFERROR(X25*H25,"0")+IFERROR(X26*H26,"0")+IFERROR(X27*H27,"0")+IFERROR(X28*H28,"0")+IFERROR(X29*H29,"0")</f>
        <v>326.40000000000003</v>
      </c>
      <c r="C291" s="52">
        <f>IFERROR(X34*H34,"0")+IFERROR(X35*H35,"0")</f>
        <v>0</v>
      </c>
      <c r="D291" s="52">
        <f>IFERROR(X41*H41,"0")+IFERROR(X42*H42,"0")</f>
        <v>210</v>
      </c>
      <c r="E291" s="52">
        <f>IFERROR(X47*H47,"0")+IFERROR(X48*H48,"0")+IFERROR(X49*H49,"0")</f>
        <v>67.199999999999989</v>
      </c>
      <c r="F291" s="52">
        <f>IFERROR(X54*H54,"0")+IFERROR(X55*H55,"0")+IFERROR(X56*H56,"0")+IFERROR(X57*H57,"0")</f>
        <v>840</v>
      </c>
      <c r="G291" s="52">
        <f>IFERROR(X62*H62,"0")+IFERROR(X66*H66,"0")+IFERROR(X70*H70,"0")+IFERROR(X71*H71,"0")+IFERROR(X75*H75,"0")+IFERROR(X76*H76,"0")+IFERROR(X77*H77,"0")</f>
        <v>0</v>
      </c>
      <c r="H291" s="52">
        <f>IFERROR(X82*H82,"0")+IFERROR(X83*H83,"0")</f>
        <v>1320</v>
      </c>
      <c r="I291" s="52">
        <f>IFERROR(X88*H88,"0")</f>
        <v>100.8</v>
      </c>
      <c r="J291" s="52">
        <f>IFERROR(X93*H93,"0")+IFERROR(X94*H94,"0")</f>
        <v>151.19999999999999</v>
      </c>
      <c r="K291" s="52">
        <f>IFERROR(X99*H99,"0")+IFERROR(X100*H100,"0")+IFERROR(X101*H101,"0")+IFERROR(X102*H102,"0")+IFERROR(X103*H103,"0")+IFERROR(X104*H104,"0")</f>
        <v>443.52</v>
      </c>
      <c r="L291" s="52">
        <f>IFERROR(X109*H109,"0")+IFERROR(X110*H110,"0")</f>
        <v>90.72</v>
      </c>
      <c r="M291" s="52">
        <f>IFERROR(X115*H115,"0")+IFERROR(X116*H116,"0")+IFERROR(X117*H117,"0")+IFERROR(X118*H118,"0")+IFERROR(X119*H119,"0")+IFERROR(X120*H120,"0")+IFERROR(X121*H121,"0")+IFERROR(X122*H122,"0")+IFERROR(X126*H126,"0")+IFERROR(X130*H130,"0")</f>
        <v>3218.3999999999996</v>
      </c>
      <c r="N291" s="1"/>
      <c r="O291" s="52">
        <f>IFERROR(X135*H135,"0")+IFERROR(X136*H136,"0")+IFERROR(X137*H137,"0")+IFERROR(X138*H138,"0")+IFERROR(X142*H142,"0")+IFERROR(X143*H143,"0")+IFERROR(X144*H144,"0")</f>
        <v>210.84</v>
      </c>
      <c r="P291" s="52">
        <f>IFERROR(X149*H149,"0")+IFERROR(X150*H150,"0")</f>
        <v>882</v>
      </c>
      <c r="Q291" s="52">
        <f>IFERROR(X155*H155,"0")+IFERROR(X156*H156,"0")</f>
        <v>168</v>
      </c>
      <c r="R291" s="52">
        <f>IFERROR(X161*H161,"0")+IFERROR(X162*H162,"0")</f>
        <v>168</v>
      </c>
      <c r="S291" s="52">
        <f>IFERROR(X167*H167,"0")</f>
        <v>42</v>
      </c>
      <c r="T291" s="52">
        <f>IFERROR(X172*H172,"0")</f>
        <v>37.800000000000004</v>
      </c>
      <c r="U291" s="52">
        <f>IFERROR(X177*H177,"0")</f>
        <v>0</v>
      </c>
      <c r="V291" s="52">
        <f>IFERROR(X183*H183,"0")+IFERROR(X184*H184,"0")</f>
        <v>540</v>
      </c>
      <c r="W291" s="52">
        <f>IFERROR(X189*H189,"0")</f>
        <v>420</v>
      </c>
      <c r="X291" s="52">
        <f>IFERROR(X195*H195,"0")+IFERROR(X196*H196,"0")+IFERROR(X197*H197,"0")+IFERROR(X198*H198,"0")</f>
        <v>962.64</v>
      </c>
      <c r="Y291" s="52">
        <f>IFERROR(X204*H204,"0")+IFERROR(X208*H208,"0")+IFERROR(X209*H209,"0")+IFERROR(X210*H210,"0")</f>
        <v>77.28</v>
      </c>
      <c r="Z291" s="52">
        <f>IFERROR(X215*H215,"0")+IFERROR(X216*H216,"0")</f>
        <v>0</v>
      </c>
      <c r="AA291" s="52">
        <f>IFERROR(X221*H221,"0")</f>
        <v>300</v>
      </c>
      <c r="AB291" s="52">
        <f>IFERROR(X226*H226,"0")</f>
        <v>0</v>
      </c>
      <c r="AC291" s="52">
        <f>IFERROR(X232*H232,"0")</f>
        <v>0</v>
      </c>
      <c r="AD291" s="52">
        <f>IFERROR(X238*H238,"0")+IFERROR(X242*H242,"0")</f>
        <v>0</v>
      </c>
      <c r="AE291" s="52">
        <f>IFERROR(X248*H248,"0")</f>
        <v>0</v>
      </c>
      <c r="AF291" s="52">
        <f>IFERROR(X254*H254,"0")+IFERROR(X255*H255,"0")+IFERROR(X259*H259,"0")+IFERROR(X263*H263,"0")+IFERROR(X264*H264,"0")+IFERROR(X265*H265,"0")+IFERROR(X269*H269,"0")+IFERROR(X270*H270,"0")+IFERROR(X271*H271,"0")+IFERROR(X272*H272,"0")+IFERROR(X273*H273,"0")+IFERROR(X274*H274,"0")+IFERROR(X275*H275,"0")+IFERROR(X276*H276,"0")+IFERROR(X277*H277,"0")+IFERROR(X278*H278,"0")</f>
        <v>2478.7600000000002</v>
      </c>
    </row>
    <row r="292" spans="1:32" ht="13.5" thickTop="1" x14ac:dyDescent="0.2">
      <c r="C292" s="1"/>
    </row>
    <row r="293" spans="1:32" ht="19.5" customHeight="1" x14ac:dyDescent="0.2">
      <c r="A293" s="70" t="s">
        <v>62</v>
      </c>
      <c r="B293" s="70" t="s">
        <v>63</v>
      </c>
      <c r="C293" s="70" t="s">
        <v>65</v>
      </c>
    </row>
    <row r="294" spans="1:32" x14ac:dyDescent="0.2">
      <c r="A294" s="71">
        <f>SUMPRODUCT(--(BB:BB="ЗПФ"),--(W:W="кор"),H:H,Y:Y)+SUMPRODUCT(--(BB:BB="ЗПФ"),--(W:W="кг"),Y:Y)</f>
        <v>7032</v>
      </c>
      <c r="B294" s="72">
        <f>SUMPRODUCT(--(BB:BB="ПГП"),--(W:W="кор"),H:H,Y:Y)+SUMPRODUCT(--(BB:BB="ПГП"),--(W:W="кг"),Y:Y)</f>
        <v>6023.5599999999995</v>
      </c>
      <c r="C294" s="72">
        <f>SUMPRODUCT(--(BB:BB="КИЗ"),--(W:W="кор"),H:H,Y:Y)+SUMPRODUCT(--(BB:BB="КИЗ"),--(W:W="кг"),Y:Y)</f>
        <v>0</v>
      </c>
    </row>
  </sheetData>
  <sheetProtection algorithmName="SHA-512" hashValue="yBTJD9CE7oB1sfTWoZFkFnfzBHWv6PrUB3lMxceSyjlqyNuCuX4IxxL/yLOR3n6P19TNKEDYMxo9Re2bI0fCnw==" saltValue="PW16HthrRMXy+VyQrCA1CQ==" spinCount="100000" sheet="1" objects="1" scenarios="1" sort="0" autoFilter="0" pivotTables="0"/>
  <autoFilter ref="A18:AF28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0,00"/>
        <filter val="1 320,00"/>
        <filter val="100,80"/>
        <filter val="108,00"/>
        <filter val="112,00"/>
        <filter val="12,00"/>
        <filter val="120,00"/>
        <filter val="126,00"/>
        <filter val="13 055,56"/>
        <filter val="14 218,09"/>
        <filter val="14,00"/>
        <filter val="140,00"/>
        <filter val="15 093,09"/>
        <filter val="151,20"/>
        <filter val="154,00"/>
        <filter val="168,00"/>
        <filter val="180,00"/>
        <filter val="192,00"/>
        <filter val="196,00"/>
        <filter val="206,00"/>
        <filter val="210,00"/>
        <filter val="210,84"/>
        <filter val="24,00"/>
        <filter val="264,00"/>
        <filter val="28,00"/>
        <filter val="294,00"/>
        <filter val="3 034,00"/>
        <filter val="3 218,40"/>
        <filter val="300,00"/>
        <filter val="322,00"/>
        <filter val="326,40"/>
        <filter val="35"/>
        <filter val="36,00"/>
        <filter val="37,80"/>
        <filter val="407,40"/>
        <filter val="42,00"/>
        <filter val="420,00"/>
        <filter val="443,52"/>
        <filter val="468,00"/>
        <filter val="48,00"/>
        <filter val="540,00"/>
        <filter val="56,00"/>
        <filter val="60,00"/>
        <filter val="67,20"/>
        <filter val="70,00"/>
        <filter val="72,00"/>
        <filter val="77,28"/>
        <filter val="84,00"/>
        <filter val="840,00"/>
        <filter val="882,00"/>
        <filter val="90,72"/>
        <filter val="962,64"/>
        <filter val="98,00"/>
        <filter val="991,36"/>
      </filters>
    </filterColumn>
    <filterColumn colId="29" showButton="0"/>
    <filterColumn colId="30" showButton="0"/>
  </autoFilter>
  <dataConsolidate/>
  <mergeCells count="511">
    <mergeCell ref="AE289:AE290"/>
    <mergeCell ref="AF289:AF290"/>
    <mergeCell ref="V289:V290"/>
    <mergeCell ref="W289:W290"/>
    <mergeCell ref="X289:X290"/>
    <mergeCell ref="Y289:Y290"/>
    <mergeCell ref="Z289:Z290"/>
    <mergeCell ref="AA289:AA290"/>
    <mergeCell ref="AB289:AB290"/>
    <mergeCell ref="AC289:AC290"/>
    <mergeCell ref="AD289:AD290"/>
    <mergeCell ref="B288:C288"/>
    <mergeCell ref="D288:U288"/>
    <mergeCell ref="V288:W288"/>
    <mergeCell ref="Y288:AB288"/>
    <mergeCell ref="A289:A290"/>
    <mergeCell ref="B289:B290"/>
    <mergeCell ref="C289:C290"/>
    <mergeCell ref="D289:D290"/>
    <mergeCell ref="E289:E290"/>
    <mergeCell ref="F289:F290"/>
    <mergeCell ref="G289:G290"/>
    <mergeCell ref="H289:H290"/>
    <mergeCell ref="I289:I290"/>
    <mergeCell ref="J289:J290"/>
    <mergeCell ref="K289:K290"/>
    <mergeCell ref="L289:L290"/>
    <mergeCell ref="M289:M290"/>
    <mergeCell ref="O289:O290"/>
    <mergeCell ref="P289:P290"/>
    <mergeCell ref="Q289:Q290"/>
    <mergeCell ref="R289:R290"/>
    <mergeCell ref="S289:S290"/>
    <mergeCell ref="T289:T290"/>
    <mergeCell ref="U289:U290"/>
    <mergeCell ref="D278:E278"/>
    <mergeCell ref="P278:T278"/>
    <mergeCell ref="P279:V279"/>
    <mergeCell ref="A279:O280"/>
    <mergeCell ref="P280:V280"/>
    <mergeCell ref="P281:V281"/>
    <mergeCell ref="A281:O286"/>
    <mergeCell ref="P282:V282"/>
    <mergeCell ref="P283:V283"/>
    <mergeCell ref="P284:V284"/>
    <mergeCell ref="P285:V285"/>
    <mergeCell ref="P286:V286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A262:Z262"/>
    <mergeCell ref="D263:E263"/>
    <mergeCell ref="P263:T263"/>
    <mergeCell ref="D264:E264"/>
    <mergeCell ref="P264:T264"/>
    <mergeCell ref="D265:E265"/>
    <mergeCell ref="P265:T265"/>
    <mergeCell ref="P266:V266"/>
    <mergeCell ref="A266:O267"/>
    <mergeCell ref="P267:V267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P260:V260"/>
    <mergeCell ref="A260:O261"/>
    <mergeCell ref="P261:V261"/>
    <mergeCell ref="D248:E248"/>
    <mergeCell ref="P248:T248"/>
    <mergeCell ref="P249:V249"/>
    <mergeCell ref="A249:O250"/>
    <mergeCell ref="P250:V250"/>
    <mergeCell ref="A251:Z251"/>
    <mergeCell ref="A252:Z252"/>
    <mergeCell ref="A253:Z253"/>
    <mergeCell ref="D254:E254"/>
    <mergeCell ref="P254:T254"/>
    <mergeCell ref="A241:Z241"/>
    <mergeCell ref="D242:E242"/>
    <mergeCell ref="P242:T242"/>
    <mergeCell ref="P243:V243"/>
    <mergeCell ref="A243:O244"/>
    <mergeCell ref="P244:V244"/>
    <mergeCell ref="A245:Z245"/>
    <mergeCell ref="A246:Z246"/>
    <mergeCell ref="A247:Z247"/>
    <mergeCell ref="P233:V233"/>
    <mergeCell ref="A233:O234"/>
    <mergeCell ref="P234:V234"/>
    <mergeCell ref="A235:Z235"/>
    <mergeCell ref="A236:Z236"/>
    <mergeCell ref="A237:Z237"/>
    <mergeCell ref="D238:E238"/>
    <mergeCell ref="P238:T238"/>
    <mergeCell ref="P239:V239"/>
    <mergeCell ref="A239:O240"/>
    <mergeCell ref="P240:V240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D232:E232"/>
    <mergeCell ref="P232:T232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25:Z225"/>
    <mergeCell ref="A213:Z213"/>
    <mergeCell ref="A214:Z214"/>
    <mergeCell ref="D215:E215"/>
    <mergeCell ref="P215:T215"/>
    <mergeCell ref="D216:E216"/>
    <mergeCell ref="P216:T216"/>
    <mergeCell ref="P217:V217"/>
    <mergeCell ref="A217:O218"/>
    <mergeCell ref="P218:V218"/>
    <mergeCell ref="A207:Z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P205:V205"/>
    <mergeCell ref="A205:O206"/>
    <mergeCell ref="P206:V206"/>
    <mergeCell ref="A194:Z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A187:Z187"/>
    <mergeCell ref="A188:Z188"/>
    <mergeCell ref="D189:E189"/>
    <mergeCell ref="P189:T189"/>
    <mergeCell ref="P190:V190"/>
    <mergeCell ref="A190:O191"/>
    <mergeCell ref="P191:V191"/>
    <mergeCell ref="A192:Z192"/>
    <mergeCell ref="A193:Z193"/>
    <mergeCell ref="A180:Z180"/>
    <mergeCell ref="A181:Z181"/>
    <mergeCell ref="A182:Z182"/>
    <mergeCell ref="D183:E183"/>
    <mergeCell ref="P183:T183"/>
    <mergeCell ref="D184:E184"/>
    <mergeCell ref="P184:T184"/>
    <mergeCell ref="P185:V185"/>
    <mergeCell ref="A185:O186"/>
    <mergeCell ref="P186:V186"/>
    <mergeCell ref="P173:V173"/>
    <mergeCell ref="A173:O174"/>
    <mergeCell ref="P174:V174"/>
    <mergeCell ref="A175:Z175"/>
    <mergeCell ref="A176:Z176"/>
    <mergeCell ref="D177:E177"/>
    <mergeCell ref="P177:T177"/>
    <mergeCell ref="P178:V178"/>
    <mergeCell ref="A178:O179"/>
    <mergeCell ref="P179:V179"/>
    <mergeCell ref="D167:E167"/>
    <mergeCell ref="P167:T167"/>
    <mergeCell ref="P168:V168"/>
    <mergeCell ref="A168:O169"/>
    <mergeCell ref="P169:V169"/>
    <mergeCell ref="A170:Z170"/>
    <mergeCell ref="A171:Z171"/>
    <mergeCell ref="D172:E172"/>
    <mergeCell ref="P172:T17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A166:Z166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A160:Z160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A154:Z154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A125:Z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4:X278 X269 X254:X255 X248 X242 X238 X232 X226 X215:X216 X208:X209 X198 X189 X177 X161 X155 X142:X144 X135:X138 X130 X126 X119:X120 X116 X110 X103 X101 X75 X70:X71 X66 X62 X49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70:X273 X263:X265 X259 X221 X210 X204 X195:X197 X183:X184 X172 X167 X162 X156 X149:X150 X121:X122 X117:X118 X115 X109 X104 X102 X99:X100 X93:X94 X88 X82:X83 X76:X77 X54:X57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389</v>
      </c>
      <c r="H1" s="9"/>
    </row>
    <row r="3" spans="2:8" x14ac:dyDescent="0.2">
      <c r="B3" s="53" t="s">
        <v>390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392</v>
      </c>
      <c r="D6" s="53" t="s">
        <v>393</v>
      </c>
      <c r="E6" s="53" t="s">
        <v>46</v>
      </c>
    </row>
    <row r="8" spans="2:8" x14ac:dyDescent="0.2">
      <c r="B8" s="53" t="s">
        <v>80</v>
      </c>
      <c r="C8" s="53" t="s">
        <v>392</v>
      </c>
      <c r="D8" s="53" t="s">
        <v>46</v>
      </c>
      <c r="E8" s="53" t="s">
        <v>46</v>
      </c>
    </row>
    <row r="10" spans="2:8" x14ac:dyDescent="0.2">
      <c r="B10" s="53" t="s">
        <v>394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395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396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404</v>
      </c>
      <c r="C20" s="53" t="s">
        <v>46</v>
      </c>
      <c r="D20" s="53" t="s">
        <v>46</v>
      </c>
      <c r="E20" s="53" t="s">
        <v>46</v>
      </c>
    </row>
  </sheetData>
  <sheetProtection algorithmName="SHA-512" hashValue="llODjJZW1L7hID09Bt7GkAOF9tMkeJ47K+kgDhPGDS70IlzUOpTkcMCRjOpA6uupUIfK4sLL+UiX5BvgLOfYeg==" saltValue="0cyKqUnY5NzluShyxPBh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2026-07-22T13:12:59Z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