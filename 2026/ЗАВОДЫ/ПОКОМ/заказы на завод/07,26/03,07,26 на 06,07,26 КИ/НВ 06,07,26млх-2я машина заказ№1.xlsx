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1A99CB-098A-47A1-A618-4E7327F49D4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O520" i="1"/>
  <c r="BM520" i="1"/>
  <c r="Y520" i="1"/>
  <c r="BP520" i="1" s="1"/>
  <c r="P520" i="1"/>
  <c r="X518" i="1"/>
  <c r="X517" i="1"/>
  <c r="BO516" i="1"/>
  <c r="BM516" i="1"/>
  <c r="Y516" i="1"/>
  <c r="P516" i="1"/>
  <c r="X514" i="1"/>
  <c r="X513" i="1"/>
  <c r="BO512" i="1"/>
  <c r="BM512" i="1"/>
  <c r="Y512" i="1"/>
  <c r="BP512" i="1" s="1"/>
  <c r="P512" i="1"/>
  <c r="BO511" i="1"/>
  <c r="BM511" i="1"/>
  <c r="Y511" i="1"/>
  <c r="Y513" i="1" s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O494" i="1"/>
  <c r="BN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X483" i="1"/>
  <c r="X482" i="1"/>
  <c r="BO481" i="1"/>
  <c r="BM481" i="1"/>
  <c r="Y481" i="1"/>
  <c r="P481" i="1"/>
  <c r="BO480" i="1"/>
  <c r="BM480" i="1"/>
  <c r="Y480" i="1"/>
  <c r="BN480" i="1" s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BO476" i="1"/>
  <c r="BN476" i="1"/>
  <c r="BM476" i="1"/>
  <c r="Z476" i="1"/>
  <c r="Y476" i="1"/>
  <c r="BP476" i="1" s="1"/>
  <c r="P476" i="1"/>
  <c r="BO475" i="1"/>
  <c r="BM475" i="1"/>
  <c r="Y475" i="1"/>
  <c r="P475" i="1"/>
  <c r="BO474" i="1"/>
  <c r="BM474" i="1"/>
  <c r="Y474" i="1"/>
  <c r="BN474" i="1" s="1"/>
  <c r="P474" i="1"/>
  <c r="BO473" i="1"/>
  <c r="BM473" i="1"/>
  <c r="Y473" i="1"/>
  <c r="P473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O455" i="1"/>
  <c r="BM455" i="1"/>
  <c r="Y455" i="1"/>
  <c r="BN455" i="1" s="1"/>
  <c r="P455" i="1"/>
  <c r="X453" i="1"/>
  <c r="X452" i="1"/>
  <c r="BO451" i="1"/>
  <c r="BN451" i="1"/>
  <c r="BM451" i="1"/>
  <c r="Z451" i="1"/>
  <c r="Y451" i="1"/>
  <c r="BP451" i="1" s="1"/>
  <c r="P451" i="1"/>
  <c r="BO450" i="1"/>
  <c r="BM450" i="1"/>
  <c r="Y450" i="1"/>
  <c r="P450" i="1"/>
  <c r="BO449" i="1"/>
  <c r="BM449" i="1"/>
  <c r="Y449" i="1"/>
  <c r="BN449" i="1" s="1"/>
  <c r="P449" i="1"/>
  <c r="BO448" i="1"/>
  <c r="BM448" i="1"/>
  <c r="Y448" i="1"/>
  <c r="P448" i="1"/>
  <c r="BO447" i="1"/>
  <c r="BM447" i="1"/>
  <c r="Y447" i="1"/>
  <c r="BN447" i="1" s="1"/>
  <c r="P447" i="1"/>
  <c r="BO446" i="1"/>
  <c r="BM446" i="1"/>
  <c r="Y446" i="1"/>
  <c r="P446" i="1"/>
  <c r="X442" i="1"/>
  <c r="X441" i="1"/>
  <c r="BO440" i="1"/>
  <c r="BM440" i="1"/>
  <c r="Y440" i="1"/>
  <c r="P440" i="1"/>
  <c r="BO439" i="1"/>
  <c r="BM439" i="1"/>
  <c r="Y439" i="1"/>
  <c r="BN439" i="1" s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X426" i="1"/>
  <c r="Y425" i="1"/>
  <c r="X425" i="1"/>
  <c r="BP424" i="1"/>
  <c r="BO424" i="1"/>
  <c r="BN424" i="1"/>
  <c r="BM424" i="1"/>
  <c r="Y424" i="1"/>
  <c r="Y426" i="1" s="1"/>
  <c r="P424" i="1"/>
  <c r="X422" i="1"/>
  <c r="X421" i="1"/>
  <c r="BO420" i="1"/>
  <c r="BM420" i="1"/>
  <c r="Y420" i="1"/>
  <c r="BN420" i="1" s="1"/>
  <c r="P420" i="1"/>
  <c r="BO419" i="1"/>
  <c r="BM419" i="1"/>
  <c r="Y419" i="1"/>
  <c r="Y421" i="1" s="1"/>
  <c r="P419" i="1"/>
  <c r="X417" i="1"/>
  <c r="X416" i="1"/>
  <c r="BO415" i="1"/>
  <c r="BM415" i="1"/>
  <c r="Y415" i="1"/>
  <c r="P415" i="1"/>
  <c r="BO414" i="1"/>
  <c r="BM414" i="1"/>
  <c r="Y414" i="1"/>
  <c r="BN414" i="1" s="1"/>
  <c r="P414" i="1"/>
  <c r="BO413" i="1"/>
  <c r="BM413" i="1"/>
  <c r="Y413" i="1"/>
  <c r="P413" i="1"/>
  <c r="X411" i="1"/>
  <c r="X410" i="1"/>
  <c r="BO409" i="1"/>
  <c r="BM409" i="1"/>
  <c r="Y409" i="1"/>
  <c r="P409" i="1"/>
  <c r="BP408" i="1"/>
  <c r="BO408" i="1"/>
  <c r="BN408" i="1"/>
  <c r="BM408" i="1"/>
  <c r="Y408" i="1"/>
  <c r="Z408" i="1" s="1"/>
  <c r="P408" i="1"/>
  <c r="BO407" i="1"/>
  <c r="BM407" i="1"/>
  <c r="Y407" i="1"/>
  <c r="P407" i="1"/>
  <c r="BO406" i="1"/>
  <c r="BM406" i="1"/>
  <c r="Y406" i="1"/>
  <c r="BN406" i="1" s="1"/>
  <c r="P406" i="1"/>
  <c r="BO405" i="1"/>
  <c r="BM405" i="1"/>
  <c r="Y405" i="1"/>
  <c r="P405" i="1"/>
  <c r="BO404" i="1"/>
  <c r="BM404" i="1"/>
  <c r="Y404" i="1"/>
  <c r="BN404" i="1" s="1"/>
  <c r="P404" i="1"/>
  <c r="BO403" i="1"/>
  <c r="BM403" i="1"/>
  <c r="Y403" i="1"/>
  <c r="P403" i="1"/>
  <c r="BO402" i="1"/>
  <c r="BN402" i="1"/>
  <c r="BM402" i="1"/>
  <c r="Y402" i="1"/>
  <c r="BP402" i="1" s="1"/>
  <c r="P402" i="1"/>
  <c r="X398" i="1"/>
  <c r="X397" i="1"/>
  <c r="BO396" i="1"/>
  <c r="BM396" i="1"/>
  <c r="Y396" i="1"/>
  <c r="BP396" i="1" s="1"/>
  <c r="P396" i="1"/>
  <c r="BO395" i="1"/>
  <c r="BM395" i="1"/>
  <c r="Y395" i="1"/>
  <c r="BN395" i="1" s="1"/>
  <c r="P395" i="1"/>
  <c r="BO394" i="1"/>
  <c r="BM394" i="1"/>
  <c r="Y394" i="1"/>
  <c r="P394" i="1"/>
  <c r="X391" i="1"/>
  <c r="X390" i="1"/>
  <c r="BO389" i="1"/>
  <c r="BM389" i="1"/>
  <c r="Y389" i="1"/>
  <c r="BP389" i="1" s="1"/>
  <c r="P389" i="1"/>
  <c r="BO388" i="1"/>
  <c r="BM388" i="1"/>
  <c r="Y388" i="1"/>
  <c r="BN388" i="1" s="1"/>
  <c r="P388" i="1"/>
  <c r="BO387" i="1"/>
  <c r="BM387" i="1"/>
  <c r="Y387" i="1"/>
  <c r="Y390" i="1" s="1"/>
  <c r="P387" i="1"/>
  <c r="X385" i="1"/>
  <c r="X384" i="1"/>
  <c r="BO383" i="1"/>
  <c r="BM383" i="1"/>
  <c r="Y383" i="1"/>
  <c r="BP383" i="1" s="1"/>
  <c r="P383" i="1"/>
  <c r="BO382" i="1"/>
  <c r="BM382" i="1"/>
  <c r="Y382" i="1"/>
  <c r="BP382" i="1" s="1"/>
  <c r="P382" i="1"/>
  <c r="BO381" i="1"/>
  <c r="BM381" i="1"/>
  <c r="Y381" i="1"/>
  <c r="BP381" i="1" s="1"/>
  <c r="P381" i="1"/>
  <c r="BO380" i="1"/>
  <c r="BM380" i="1"/>
  <c r="Y380" i="1"/>
  <c r="P380" i="1"/>
  <c r="X378" i="1"/>
  <c r="X377" i="1"/>
  <c r="BP376" i="1"/>
  <c r="BO376" i="1"/>
  <c r="BN376" i="1"/>
  <c r="BM376" i="1"/>
  <c r="Y376" i="1"/>
  <c r="Z376" i="1" s="1"/>
  <c r="P376" i="1"/>
  <c r="BO375" i="1"/>
  <c r="BM375" i="1"/>
  <c r="Y375" i="1"/>
  <c r="BP375" i="1" s="1"/>
  <c r="P375" i="1"/>
  <c r="BO374" i="1"/>
  <c r="BM374" i="1"/>
  <c r="Y374" i="1"/>
  <c r="P374" i="1"/>
  <c r="X372" i="1"/>
  <c r="X371" i="1"/>
  <c r="BP370" i="1"/>
  <c r="BO370" i="1"/>
  <c r="BN370" i="1"/>
  <c r="BM370" i="1"/>
  <c r="Y370" i="1"/>
  <c r="Z370" i="1" s="1"/>
  <c r="P370" i="1"/>
  <c r="BO369" i="1"/>
  <c r="BM369" i="1"/>
  <c r="Y369" i="1"/>
  <c r="BP369" i="1" s="1"/>
  <c r="P369" i="1"/>
  <c r="BO368" i="1"/>
  <c r="BM368" i="1"/>
  <c r="Y368" i="1"/>
  <c r="BN368" i="1" s="1"/>
  <c r="P368" i="1"/>
  <c r="BO367" i="1"/>
  <c r="BM367" i="1"/>
  <c r="Y367" i="1"/>
  <c r="Y372" i="1" s="1"/>
  <c r="P367" i="1"/>
  <c r="X365" i="1"/>
  <c r="X364" i="1"/>
  <c r="BO363" i="1"/>
  <c r="BM363" i="1"/>
  <c r="Y363" i="1"/>
  <c r="BP363" i="1" s="1"/>
  <c r="P363" i="1"/>
  <c r="BO362" i="1"/>
  <c r="BM362" i="1"/>
  <c r="Y362" i="1"/>
  <c r="BP362" i="1" s="1"/>
  <c r="P362" i="1"/>
  <c r="BO361" i="1"/>
  <c r="BM361" i="1"/>
  <c r="Y361" i="1"/>
  <c r="BP361" i="1" s="1"/>
  <c r="P361" i="1"/>
  <c r="BO360" i="1"/>
  <c r="BM360" i="1"/>
  <c r="Y360" i="1"/>
  <c r="BN360" i="1" s="1"/>
  <c r="P360" i="1"/>
  <c r="BO359" i="1"/>
  <c r="BM359" i="1"/>
  <c r="Y359" i="1"/>
  <c r="BP359" i="1" s="1"/>
  <c r="P359" i="1"/>
  <c r="BO358" i="1"/>
  <c r="BM358" i="1"/>
  <c r="Y358" i="1"/>
  <c r="BN358" i="1" s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BN352" i="1" s="1"/>
  <c r="P352" i="1"/>
  <c r="BO351" i="1"/>
  <c r="BM351" i="1"/>
  <c r="Y351" i="1"/>
  <c r="P351" i="1"/>
  <c r="BO350" i="1"/>
  <c r="BN350" i="1"/>
  <c r="BM350" i="1"/>
  <c r="Z350" i="1"/>
  <c r="Y350" i="1"/>
  <c r="BP350" i="1" s="1"/>
  <c r="P350" i="1"/>
  <c r="BO349" i="1"/>
  <c r="BM349" i="1"/>
  <c r="Y349" i="1"/>
  <c r="P349" i="1"/>
  <c r="X346" i="1"/>
  <c r="X345" i="1"/>
  <c r="BO344" i="1"/>
  <c r="BM344" i="1"/>
  <c r="Y344" i="1"/>
  <c r="P344" i="1"/>
  <c r="BO343" i="1"/>
  <c r="BM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Y336" i="1"/>
  <c r="Z336" i="1" s="1"/>
  <c r="P336" i="1"/>
  <c r="X334" i="1"/>
  <c r="X333" i="1"/>
  <c r="BO332" i="1"/>
  <c r="BM332" i="1"/>
  <c r="Y332" i="1"/>
  <c r="BN332" i="1" s="1"/>
  <c r="P332" i="1"/>
  <c r="BO331" i="1"/>
  <c r="BM331" i="1"/>
  <c r="Y331" i="1"/>
  <c r="P331" i="1"/>
  <c r="BP330" i="1"/>
  <c r="BO330" i="1"/>
  <c r="BN330" i="1"/>
  <c r="BM330" i="1"/>
  <c r="Y330" i="1"/>
  <c r="Z330" i="1" s="1"/>
  <c r="P330" i="1"/>
  <c r="BO329" i="1"/>
  <c r="BM329" i="1"/>
  <c r="Y329" i="1"/>
  <c r="P329" i="1"/>
  <c r="BO328" i="1"/>
  <c r="BM328" i="1"/>
  <c r="Y328" i="1"/>
  <c r="BN328" i="1" s="1"/>
  <c r="P328" i="1"/>
  <c r="X325" i="1"/>
  <c r="X324" i="1"/>
  <c r="BO323" i="1"/>
  <c r="BM323" i="1"/>
  <c r="Y323" i="1"/>
  <c r="BN323" i="1" s="1"/>
  <c r="P323" i="1"/>
  <c r="BO322" i="1"/>
  <c r="BM322" i="1"/>
  <c r="Y322" i="1"/>
  <c r="P322" i="1"/>
  <c r="BO321" i="1"/>
  <c r="BM321" i="1"/>
  <c r="Y321" i="1"/>
  <c r="BP321" i="1" s="1"/>
  <c r="P321" i="1"/>
  <c r="X318" i="1"/>
  <c r="X317" i="1"/>
  <c r="BO316" i="1"/>
  <c r="BM316" i="1"/>
  <c r="Y316" i="1"/>
  <c r="P316" i="1"/>
  <c r="BO315" i="1"/>
  <c r="BM315" i="1"/>
  <c r="Y315" i="1"/>
  <c r="P315" i="1"/>
  <c r="BO314" i="1"/>
  <c r="BN314" i="1"/>
  <c r="BM314" i="1"/>
  <c r="Z314" i="1"/>
  <c r="Y314" i="1"/>
  <c r="BP314" i="1" s="1"/>
  <c r="P314" i="1"/>
  <c r="BO313" i="1"/>
  <c r="BM313" i="1"/>
  <c r="Y313" i="1"/>
  <c r="P313" i="1"/>
  <c r="BO312" i="1"/>
  <c r="BM312" i="1"/>
  <c r="Y312" i="1"/>
  <c r="BN312" i="1" s="1"/>
  <c r="P312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X295" i="1"/>
  <c r="X294" i="1"/>
  <c r="BO293" i="1"/>
  <c r="BN293" i="1"/>
  <c r="BM293" i="1"/>
  <c r="Z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BN282" i="1" s="1"/>
  <c r="P282" i="1"/>
  <c r="BO281" i="1"/>
  <c r="BM281" i="1"/>
  <c r="Y281" i="1"/>
  <c r="P281" i="1"/>
  <c r="X279" i="1"/>
  <c r="X278" i="1"/>
  <c r="BO277" i="1"/>
  <c r="BM277" i="1"/>
  <c r="Y277" i="1"/>
  <c r="P277" i="1"/>
  <c r="BO276" i="1"/>
  <c r="BM276" i="1"/>
  <c r="Y276" i="1"/>
  <c r="BN276" i="1" s="1"/>
  <c r="P276" i="1"/>
  <c r="BO275" i="1"/>
  <c r="BM275" i="1"/>
  <c r="Y275" i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N268" i="1" s="1"/>
  <c r="P268" i="1"/>
  <c r="BO267" i="1"/>
  <c r="BM267" i="1"/>
  <c r="Y267" i="1"/>
  <c r="P267" i="1"/>
  <c r="BO266" i="1"/>
  <c r="BM266" i="1"/>
  <c r="Y266" i="1"/>
  <c r="P266" i="1"/>
  <c r="X264" i="1"/>
  <c r="X263" i="1"/>
  <c r="BO262" i="1"/>
  <c r="BM262" i="1"/>
  <c r="Y262" i="1"/>
  <c r="BN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N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3" i="1"/>
  <c r="X252" i="1"/>
  <c r="BO251" i="1"/>
  <c r="BM251" i="1"/>
  <c r="Y251" i="1"/>
  <c r="P251" i="1"/>
  <c r="BO250" i="1"/>
  <c r="BN250" i="1"/>
  <c r="BM250" i="1"/>
  <c r="Y250" i="1"/>
  <c r="P250" i="1"/>
  <c r="X248" i="1"/>
  <c r="X247" i="1"/>
  <c r="BO246" i="1"/>
  <c r="BM246" i="1"/>
  <c r="Y246" i="1"/>
  <c r="BP246" i="1" s="1"/>
  <c r="P246" i="1"/>
  <c r="BO245" i="1"/>
  <c r="BM245" i="1"/>
  <c r="Y245" i="1"/>
  <c r="P245" i="1"/>
  <c r="X242" i="1"/>
  <c r="X241" i="1"/>
  <c r="BO240" i="1"/>
  <c r="BM240" i="1"/>
  <c r="Y240" i="1"/>
  <c r="Y241" i="1" s="1"/>
  <c r="P240" i="1"/>
  <c r="X238" i="1"/>
  <c r="X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2" i="1"/>
  <c r="X231" i="1"/>
  <c r="BO230" i="1"/>
  <c r="BM230" i="1"/>
  <c r="Y230" i="1"/>
  <c r="BP230" i="1" s="1"/>
  <c r="P230" i="1"/>
  <c r="BP229" i="1"/>
  <c r="BO229" i="1"/>
  <c r="BM229" i="1"/>
  <c r="Z229" i="1"/>
  <c r="Y229" i="1"/>
  <c r="BN229" i="1" s="1"/>
  <c r="P229" i="1"/>
  <c r="BO228" i="1"/>
  <c r="BM228" i="1"/>
  <c r="Y228" i="1"/>
  <c r="BP228" i="1" s="1"/>
  <c r="BO227" i="1"/>
  <c r="BM227" i="1"/>
  <c r="Y227" i="1"/>
  <c r="X225" i="1"/>
  <c r="X224" i="1"/>
  <c r="BO223" i="1"/>
  <c r="BM223" i="1"/>
  <c r="Y223" i="1"/>
  <c r="BN223" i="1" s="1"/>
  <c r="P223" i="1"/>
  <c r="BO222" i="1"/>
  <c r="BM222" i="1"/>
  <c r="Y222" i="1"/>
  <c r="BP222" i="1" s="1"/>
  <c r="P222" i="1"/>
  <c r="BO221" i="1"/>
  <c r="BM221" i="1"/>
  <c r="Z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N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P213" i="1"/>
  <c r="BO213" i="1"/>
  <c r="BM213" i="1"/>
  <c r="Z213" i="1"/>
  <c r="Y213" i="1"/>
  <c r="BN213" i="1" s="1"/>
  <c r="P213" i="1"/>
  <c r="BO212" i="1"/>
  <c r="BM212" i="1"/>
  <c r="Y212" i="1"/>
  <c r="BP212" i="1" s="1"/>
  <c r="P212" i="1"/>
  <c r="BO211" i="1"/>
  <c r="BM211" i="1"/>
  <c r="Y211" i="1"/>
  <c r="BN211" i="1" s="1"/>
  <c r="P211" i="1"/>
  <c r="BO210" i="1"/>
  <c r="BM210" i="1"/>
  <c r="Y210" i="1"/>
  <c r="P210" i="1"/>
  <c r="X208" i="1"/>
  <c r="X207" i="1"/>
  <c r="BO206" i="1"/>
  <c r="BM206" i="1"/>
  <c r="Y206" i="1"/>
  <c r="P206" i="1"/>
  <c r="X203" i="1"/>
  <c r="X202" i="1"/>
  <c r="BO201" i="1"/>
  <c r="BM201" i="1"/>
  <c r="Y201" i="1"/>
  <c r="BP201" i="1" s="1"/>
  <c r="P201" i="1"/>
  <c r="BO200" i="1"/>
  <c r="BN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P198" i="1"/>
  <c r="X194" i="1"/>
  <c r="X193" i="1"/>
  <c r="BO192" i="1"/>
  <c r="BM192" i="1"/>
  <c r="Y192" i="1"/>
  <c r="Z192" i="1" s="1"/>
  <c r="Z193" i="1" s="1"/>
  <c r="P192" i="1"/>
  <c r="X190" i="1"/>
  <c r="X189" i="1"/>
  <c r="BP188" i="1"/>
  <c r="BO188" i="1"/>
  <c r="BM188" i="1"/>
  <c r="Y188" i="1"/>
  <c r="BN188" i="1" s="1"/>
  <c r="P188" i="1"/>
  <c r="BO187" i="1"/>
  <c r="BM187" i="1"/>
  <c r="Y187" i="1"/>
  <c r="Y190" i="1" s="1"/>
  <c r="P187" i="1"/>
  <c r="X185" i="1"/>
  <c r="X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N174" i="1" s="1"/>
  <c r="P174" i="1"/>
  <c r="BO173" i="1"/>
  <c r="BM173" i="1"/>
  <c r="Y173" i="1"/>
  <c r="BP173" i="1" s="1"/>
  <c r="P173" i="1"/>
  <c r="BO172" i="1"/>
  <c r="BM172" i="1"/>
  <c r="Y172" i="1"/>
  <c r="Z172" i="1" s="1"/>
  <c r="P172" i="1"/>
  <c r="BO171" i="1"/>
  <c r="BM171" i="1"/>
  <c r="Y171" i="1"/>
  <c r="BP171" i="1" s="1"/>
  <c r="P171" i="1"/>
  <c r="BO170" i="1"/>
  <c r="BM170" i="1"/>
  <c r="Y170" i="1"/>
  <c r="BN170" i="1" s="1"/>
  <c r="P170" i="1"/>
  <c r="BO169" i="1"/>
  <c r="BM169" i="1"/>
  <c r="Y169" i="1"/>
  <c r="BP169" i="1" s="1"/>
  <c r="P169" i="1"/>
  <c r="BO168" i="1"/>
  <c r="BN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Y164" i="1" s="1"/>
  <c r="P163" i="1"/>
  <c r="X161" i="1"/>
  <c r="X160" i="1"/>
  <c r="BO159" i="1"/>
  <c r="BM159" i="1"/>
  <c r="Y159" i="1"/>
  <c r="BP159" i="1" s="1"/>
  <c r="P159" i="1"/>
  <c r="BO158" i="1"/>
  <c r="BM158" i="1"/>
  <c r="Y158" i="1"/>
  <c r="P158" i="1"/>
  <c r="X155" i="1"/>
  <c r="X154" i="1"/>
  <c r="BO153" i="1"/>
  <c r="BM153" i="1"/>
  <c r="Y153" i="1"/>
  <c r="BN153" i="1" s="1"/>
  <c r="P153" i="1"/>
  <c r="BO152" i="1"/>
  <c r="BM152" i="1"/>
  <c r="Y152" i="1"/>
  <c r="BP152" i="1" s="1"/>
  <c r="P152" i="1"/>
  <c r="BO151" i="1"/>
  <c r="BM151" i="1"/>
  <c r="Y151" i="1"/>
  <c r="BN151" i="1" s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BN144" i="1" s="1"/>
  <c r="P144" i="1"/>
  <c r="X142" i="1"/>
  <c r="X141" i="1"/>
  <c r="BO140" i="1"/>
  <c r="BM140" i="1"/>
  <c r="Y140" i="1"/>
  <c r="BN140" i="1" s="1"/>
  <c r="P140" i="1"/>
  <c r="BO139" i="1"/>
  <c r="BM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Z125" i="1"/>
  <c r="Y125" i="1"/>
  <c r="BN125" i="1" s="1"/>
  <c r="P125" i="1"/>
  <c r="BO124" i="1"/>
  <c r="BM124" i="1"/>
  <c r="Y124" i="1"/>
  <c r="BP124" i="1" s="1"/>
  <c r="P124" i="1"/>
  <c r="BO123" i="1"/>
  <c r="BM123" i="1"/>
  <c r="Y123" i="1"/>
  <c r="BN123" i="1" s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O117" i="1"/>
  <c r="BM117" i="1"/>
  <c r="Y117" i="1"/>
  <c r="BN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Y107" i="1"/>
  <c r="Z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P103" i="1"/>
  <c r="BO103" i="1"/>
  <c r="BN103" i="1"/>
  <c r="BM103" i="1"/>
  <c r="Y103" i="1"/>
  <c r="Z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N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X92" i="1"/>
  <c r="X91" i="1"/>
  <c r="BO90" i="1"/>
  <c r="BM90" i="1"/>
  <c r="Y90" i="1"/>
  <c r="BN90" i="1" s="1"/>
  <c r="P90" i="1"/>
  <c r="BO89" i="1"/>
  <c r="BM89" i="1"/>
  <c r="Y89" i="1"/>
  <c r="BP89" i="1" s="1"/>
  <c r="P89" i="1"/>
  <c r="BO88" i="1"/>
  <c r="BN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X79" i="1"/>
  <c r="X78" i="1"/>
  <c r="BP77" i="1"/>
  <c r="BO77" i="1"/>
  <c r="BN77" i="1"/>
  <c r="BM77" i="1"/>
  <c r="Y77" i="1"/>
  <c r="Z77" i="1" s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Z69" i="1" s="1"/>
  <c r="P69" i="1"/>
  <c r="X67" i="1"/>
  <c r="X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N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X38" i="1"/>
  <c r="X37" i="1"/>
  <c r="BO36" i="1"/>
  <c r="BM36" i="1"/>
  <c r="Y36" i="1"/>
  <c r="Y38" i="1" s="1"/>
  <c r="P36" i="1"/>
  <c r="X34" i="1"/>
  <c r="X33" i="1"/>
  <c r="BO32" i="1"/>
  <c r="BN32" i="1"/>
  <c r="BM32" i="1"/>
  <c r="Z32" i="1"/>
  <c r="Y32" i="1"/>
  <c r="BP32" i="1" s="1"/>
  <c r="P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Z176" i="1" l="1"/>
  <c r="BN221" i="1"/>
  <c r="BN65" i="1"/>
  <c r="Y83" i="1"/>
  <c r="BN129" i="1"/>
  <c r="Y142" i="1"/>
  <c r="BN172" i="1"/>
  <c r="BN176" i="1"/>
  <c r="Z256" i="1"/>
  <c r="BN260" i="1"/>
  <c r="BN217" i="1"/>
  <c r="Z492" i="1"/>
  <c r="BP172" i="1"/>
  <c r="BN256" i="1"/>
  <c r="Z268" i="1"/>
  <c r="Z312" i="1"/>
  <c r="BN520" i="1"/>
  <c r="Z360" i="1"/>
  <c r="BP129" i="1"/>
  <c r="Z388" i="1"/>
  <c r="BN478" i="1"/>
  <c r="BN492" i="1"/>
  <c r="Y130" i="1"/>
  <c r="Y364" i="1"/>
  <c r="BN71" i="1"/>
  <c r="BN246" i="1"/>
  <c r="Z36" i="1"/>
  <c r="Z37" i="1" s="1"/>
  <c r="Z382" i="1"/>
  <c r="Z466" i="1"/>
  <c r="Z22" i="1"/>
  <c r="Y119" i="1"/>
  <c r="Z362" i="1"/>
  <c r="BN486" i="1"/>
  <c r="BN115" i="1"/>
  <c r="Z63" i="1"/>
  <c r="Z134" i="1"/>
  <c r="Y225" i="1"/>
  <c r="BN289" i="1"/>
  <c r="Z321" i="1"/>
  <c r="BN382" i="1"/>
  <c r="Z449" i="1"/>
  <c r="BN466" i="1"/>
  <c r="BN512" i="1"/>
  <c r="BP36" i="1"/>
  <c r="BN69" i="1"/>
  <c r="BP30" i="1"/>
  <c r="Z188" i="1"/>
  <c r="Z343" i="1"/>
  <c r="BN362" i="1"/>
  <c r="BN63" i="1"/>
  <c r="BP69" i="1"/>
  <c r="BN134" i="1"/>
  <c r="Y184" i="1"/>
  <c r="BN321" i="1"/>
  <c r="BP22" i="1"/>
  <c r="Z30" i="1"/>
  <c r="BN59" i="1"/>
  <c r="Z414" i="1"/>
  <c r="Y231" i="1"/>
  <c r="Y278" i="1"/>
  <c r="Z129" i="1"/>
  <c r="Z130" i="1" s="1"/>
  <c r="Y237" i="1"/>
  <c r="Y324" i="1"/>
  <c r="Y34" i="1"/>
  <c r="Z424" i="1"/>
  <c r="Z425" i="1" s="1"/>
  <c r="BP113" i="1"/>
  <c r="Z113" i="1"/>
  <c r="BP198" i="1"/>
  <c r="Z198" i="1"/>
  <c r="BP235" i="1"/>
  <c r="Z235" i="1"/>
  <c r="BP262" i="1"/>
  <c r="BP272" i="1"/>
  <c r="Z272" i="1"/>
  <c r="BP276" i="1"/>
  <c r="Y299" i="1"/>
  <c r="Y298" i="1"/>
  <c r="BN297" i="1"/>
  <c r="BP297" i="1"/>
  <c r="Y303" i="1"/>
  <c r="BP301" i="1"/>
  <c r="Z301" i="1"/>
  <c r="Z302" i="1" s="1"/>
  <c r="Y309" i="1"/>
  <c r="BN305" i="1"/>
  <c r="BP305" i="1"/>
  <c r="BP316" i="1"/>
  <c r="Z316" i="1"/>
  <c r="Y384" i="1"/>
  <c r="BN380" i="1"/>
  <c r="BP380" i="1"/>
  <c r="BP406" i="1"/>
  <c r="Y518" i="1"/>
  <c r="Y517" i="1"/>
  <c r="BN516" i="1"/>
  <c r="BP516" i="1"/>
  <c r="BP117" i="1"/>
  <c r="BP192" i="1"/>
  <c r="BP211" i="1"/>
  <c r="BP28" i="1"/>
  <c r="Z44" i="1"/>
  <c r="BP44" i="1"/>
  <c r="BP54" i="1"/>
  <c r="F539" i="1"/>
  <c r="BP90" i="1"/>
  <c r="Z153" i="1"/>
  <c r="BP153" i="1"/>
  <c r="BP158" i="1"/>
  <c r="Z158" i="1"/>
  <c r="BP215" i="1"/>
  <c r="Z215" i="1"/>
  <c r="Z262" i="1"/>
  <c r="Z282" i="1"/>
  <c r="Y295" i="1"/>
  <c r="BP287" i="1"/>
  <c r="Z287" i="1"/>
  <c r="BP291" i="1"/>
  <c r="Z297" i="1"/>
  <c r="Z298" i="1" s="1"/>
  <c r="Y302" i="1"/>
  <c r="Z305" i="1"/>
  <c r="Y378" i="1"/>
  <c r="BN374" i="1"/>
  <c r="BP474" i="1"/>
  <c r="BP496" i="1"/>
  <c r="Z496" i="1"/>
  <c r="Z516" i="1"/>
  <c r="Z517" i="1" s="1"/>
  <c r="X533" i="1"/>
  <c r="D539" i="1"/>
  <c r="Z54" i="1"/>
  <c r="Z61" i="1"/>
  <c r="BP61" i="1"/>
  <c r="Z81" i="1"/>
  <c r="Z117" i="1"/>
  <c r="Z123" i="1"/>
  <c r="BP170" i="1"/>
  <c r="Z211" i="1"/>
  <c r="BP219" i="1"/>
  <c r="Z266" i="1"/>
  <c r="BP266" i="1"/>
  <c r="Z276" i="1"/>
  <c r="BP282" i="1"/>
  <c r="BP374" i="1"/>
  <c r="Z380" i="1"/>
  <c r="Z406" i="1"/>
  <c r="BP429" i="1"/>
  <c r="Z429" i="1"/>
  <c r="BN36" i="1"/>
  <c r="Y37" i="1"/>
  <c r="Z42" i="1"/>
  <c r="Z52" i="1"/>
  <c r="Z59" i="1"/>
  <c r="Z88" i="1"/>
  <c r="BP105" i="1"/>
  <c r="Z105" i="1"/>
  <c r="BN113" i="1"/>
  <c r="Z115" i="1"/>
  <c r="BP140" i="1"/>
  <c r="Y146" i="1"/>
  <c r="Y178" i="1"/>
  <c r="Z170" i="1"/>
  <c r="BP174" i="1"/>
  <c r="Z174" i="1"/>
  <c r="BN198" i="1"/>
  <c r="Z200" i="1"/>
  <c r="L539" i="1"/>
  <c r="Z219" i="1"/>
  <c r="BP223" i="1"/>
  <c r="Z223" i="1"/>
  <c r="BN235" i="1"/>
  <c r="Z246" i="1"/>
  <c r="Y252" i="1"/>
  <c r="BP250" i="1"/>
  <c r="Z250" i="1"/>
  <c r="Z260" i="1"/>
  <c r="BN272" i="1"/>
  <c r="Z274" i="1"/>
  <c r="Z291" i="1"/>
  <c r="BN301" i="1"/>
  <c r="BN316" i="1"/>
  <c r="BP323" i="1"/>
  <c r="Z323" i="1"/>
  <c r="BP328" i="1"/>
  <c r="BP352" i="1"/>
  <c r="BP358" i="1"/>
  <c r="Z358" i="1"/>
  <c r="BP368" i="1"/>
  <c r="Z374" i="1"/>
  <c r="BP439" i="1"/>
  <c r="BP447" i="1"/>
  <c r="Z447" i="1"/>
  <c r="BP455" i="1"/>
  <c r="Z474" i="1"/>
  <c r="BP96" i="1"/>
  <c r="Z96" i="1"/>
  <c r="BP182" i="1"/>
  <c r="Z182" i="1"/>
  <c r="Y194" i="1"/>
  <c r="Y193" i="1"/>
  <c r="BN192" i="1"/>
  <c r="BP258" i="1"/>
  <c r="Z258" i="1"/>
  <c r="Z28" i="1"/>
  <c r="BP81" i="1"/>
  <c r="Z90" i="1"/>
  <c r="BP123" i="1"/>
  <c r="Z65" i="1"/>
  <c r="Y73" i="1"/>
  <c r="Z71" i="1"/>
  <c r="BN81" i="1"/>
  <c r="BP125" i="1"/>
  <c r="Z140" i="1"/>
  <c r="Z144" i="1"/>
  <c r="BP144" i="1"/>
  <c r="I539" i="1"/>
  <c r="BP151" i="1"/>
  <c r="Z151" i="1"/>
  <c r="BN158" i="1"/>
  <c r="Z168" i="1"/>
  <c r="BN215" i="1"/>
  <c r="Z217" i="1"/>
  <c r="BN266" i="1"/>
  <c r="Y279" i="1"/>
  <c r="BP268" i="1"/>
  <c r="BN287" i="1"/>
  <c r="Z289" i="1"/>
  <c r="BP312" i="1"/>
  <c r="Z328" i="1"/>
  <c r="BP332" i="1"/>
  <c r="Z332" i="1"/>
  <c r="BP343" i="1"/>
  <c r="Z352" i="1"/>
  <c r="BP360" i="1"/>
  <c r="Z368" i="1"/>
  <c r="BP388" i="1"/>
  <c r="U539" i="1"/>
  <c r="BP395" i="1"/>
  <c r="Z395" i="1"/>
  <c r="BP404" i="1"/>
  <c r="Z404" i="1"/>
  <c r="BP414" i="1"/>
  <c r="BP420" i="1"/>
  <c r="Z420" i="1"/>
  <c r="BN429" i="1"/>
  <c r="Z439" i="1"/>
  <c r="BP449" i="1"/>
  <c r="Z455" i="1"/>
  <c r="BP480" i="1"/>
  <c r="Z480" i="1"/>
  <c r="BN496" i="1"/>
  <c r="Y98" i="1"/>
  <c r="G539" i="1"/>
  <c r="Y338" i="1"/>
  <c r="Z402" i="1"/>
  <c r="Z478" i="1"/>
  <c r="Z486" i="1"/>
  <c r="Z494" i="1"/>
  <c r="Z512" i="1"/>
  <c r="Z520" i="1"/>
  <c r="F9" i="1"/>
  <c r="J9" i="1"/>
  <c r="F10" i="1"/>
  <c r="Y25" i="1"/>
  <c r="Y33" i="1"/>
  <c r="Y47" i="1"/>
  <c r="Y55" i="1"/>
  <c r="Y66" i="1"/>
  <c r="Y74" i="1"/>
  <c r="Y78" i="1"/>
  <c r="Y84" i="1"/>
  <c r="Y91" i="1"/>
  <c r="Y99" i="1"/>
  <c r="Y110" i="1"/>
  <c r="Y120" i="1"/>
  <c r="Y126" i="1"/>
  <c r="Y137" i="1"/>
  <c r="Y141" i="1"/>
  <c r="Y147" i="1"/>
  <c r="Y154" i="1"/>
  <c r="Y161" i="1"/>
  <c r="Y165" i="1"/>
  <c r="Y179" i="1"/>
  <c r="Y185" i="1"/>
  <c r="Y189" i="1"/>
  <c r="Y203" i="1"/>
  <c r="Y208" i="1"/>
  <c r="Y224" i="1"/>
  <c r="Y232" i="1"/>
  <c r="Y238" i="1"/>
  <c r="Y242" i="1"/>
  <c r="M539" i="1"/>
  <c r="Y248" i="1"/>
  <c r="BP245" i="1"/>
  <c r="BP257" i="1"/>
  <c r="BN257" i="1"/>
  <c r="Z257" i="1"/>
  <c r="BP261" i="1"/>
  <c r="BN261" i="1"/>
  <c r="Z261" i="1"/>
  <c r="BP269" i="1"/>
  <c r="BN269" i="1"/>
  <c r="Z269" i="1"/>
  <c r="BP273" i="1"/>
  <c r="BN273" i="1"/>
  <c r="Z273" i="1"/>
  <c r="BP277" i="1"/>
  <c r="BN277" i="1"/>
  <c r="Z277" i="1"/>
  <c r="Y284" i="1"/>
  <c r="BP281" i="1"/>
  <c r="BN281" i="1"/>
  <c r="Z281" i="1"/>
  <c r="Z283" i="1" s="1"/>
  <c r="BP290" i="1"/>
  <c r="BN290" i="1"/>
  <c r="Z290" i="1"/>
  <c r="Y294" i="1"/>
  <c r="BP306" i="1"/>
  <c r="BN306" i="1"/>
  <c r="Z306" i="1"/>
  <c r="BP315" i="1"/>
  <c r="BN315" i="1"/>
  <c r="Z315" i="1"/>
  <c r="BP329" i="1"/>
  <c r="BN329" i="1"/>
  <c r="Z329" i="1"/>
  <c r="Y333" i="1"/>
  <c r="BP337" i="1"/>
  <c r="BN337" i="1"/>
  <c r="Z337" i="1"/>
  <c r="Z338" i="1" s="1"/>
  <c r="Y339" i="1"/>
  <c r="S539" i="1"/>
  <c r="Y345" i="1"/>
  <c r="BP342" i="1"/>
  <c r="BN342" i="1"/>
  <c r="Z342" i="1"/>
  <c r="BP351" i="1"/>
  <c r="BN351" i="1"/>
  <c r="Z351" i="1"/>
  <c r="H9" i="1"/>
  <c r="B539" i="1"/>
  <c r="X530" i="1"/>
  <c r="X531" i="1"/>
  <c r="Z23" i="1"/>
  <c r="Z24" i="1" s="1"/>
  <c r="BN23" i="1"/>
  <c r="Y24" i="1"/>
  <c r="X529" i="1"/>
  <c r="Z27" i="1"/>
  <c r="BN27" i="1"/>
  <c r="BP27" i="1"/>
  <c r="Z29" i="1"/>
  <c r="BN29" i="1"/>
  <c r="Z31" i="1"/>
  <c r="BN31" i="1"/>
  <c r="C539" i="1"/>
  <c r="Z43" i="1"/>
  <c r="BN43" i="1"/>
  <c r="Z45" i="1"/>
  <c r="BN45" i="1"/>
  <c r="Y46" i="1"/>
  <c r="Z51" i="1"/>
  <c r="BN51" i="1"/>
  <c r="BP51" i="1"/>
  <c r="Z53" i="1"/>
  <c r="BN53" i="1"/>
  <c r="Y56" i="1"/>
  <c r="E539" i="1"/>
  <c r="Z60" i="1"/>
  <c r="BN60" i="1"/>
  <c r="Z62" i="1"/>
  <c r="BN62" i="1"/>
  <c r="Z64" i="1"/>
  <c r="BN64" i="1"/>
  <c r="Y67" i="1"/>
  <c r="Z70" i="1"/>
  <c r="BN70" i="1"/>
  <c r="Z72" i="1"/>
  <c r="BN72" i="1"/>
  <c r="Z76" i="1"/>
  <c r="Z78" i="1" s="1"/>
  <c r="BN76" i="1"/>
  <c r="BP76" i="1"/>
  <c r="Z82" i="1"/>
  <c r="Z83" i="1" s="1"/>
  <c r="BN82" i="1"/>
  <c r="Z87" i="1"/>
  <c r="BN87" i="1"/>
  <c r="BP87" i="1"/>
  <c r="Z89" i="1"/>
  <c r="BN89" i="1"/>
  <c r="Y92" i="1"/>
  <c r="Z95" i="1"/>
  <c r="Z98" i="1" s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18" i="1"/>
  <c r="BN118" i="1"/>
  <c r="Z122" i="1"/>
  <c r="BN122" i="1"/>
  <c r="BP122" i="1"/>
  <c r="Z124" i="1"/>
  <c r="BN124" i="1"/>
  <c r="H539" i="1"/>
  <c r="Z135" i="1"/>
  <c r="Z136" i="1" s="1"/>
  <c r="BN135" i="1"/>
  <c r="Y136" i="1"/>
  <c r="Z139" i="1"/>
  <c r="Z141" i="1" s="1"/>
  <c r="BN139" i="1"/>
  <c r="BP139" i="1"/>
  <c r="Z145" i="1"/>
  <c r="BN145" i="1"/>
  <c r="Z150" i="1"/>
  <c r="Z154" i="1" s="1"/>
  <c r="BN150" i="1"/>
  <c r="BP150" i="1"/>
  <c r="Z152" i="1"/>
  <c r="BN152" i="1"/>
  <c r="Y155" i="1"/>
  <c r="J539" i="1"/>
  <c r="Z159" i="1"/>
  <c r="Z160" i="1" s="1"/>
  <c r="BN159" i="1"/>
  <c r="Y160" i="1"/>
  <c r="Z163" i="1"/>
  <c r="Z164" i="1" s="1"/>
  <c r="BN163" i="1"/>
  <c r="BP163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Z187" i="1"/>
  <c r="Z189" i="1" s="1"/>
  <c r="BN187" i="1"/>
  <c r="BP187" i="1"/>
  <c r="K539" i="1"/>
  <c r="Z199" i="1"/>
  <c r="Z202" i="1" s="1"/>
  <c r="BN199" i="1"/>
  <c r="Z201" i="1"/>
  <c r="BN201" i="1"/>
  <c r="Y202" i="1"/>
  <c r="Z206" i="1"/>
  <c r="Z207" i="1" s="1"/>
  <c r="BN206" i="1"/>
  <c r="BP206" i="1"/>
  <c r="Y207" i="1"/>
  <c r="Z210" i="1"/>
  <c r="BN210" i="1"/>
  <c r="BP210" i="1"/>
  <c r="Z212" i="1"/>
  <c r="BN212" i="1"/>
  <c r="Z214" i="1"/>
  <c r="BN214" i="1"/>
  <c r="Z216" i="1"/>
  <c r="BN216" i="1"/>
  <c r="Z218" i="1"/>
  <c r="BN218" i="1"/>
  <c r="Z220" i="1"/>
  <c r="BN220" i="1"/>
  <c r="Z222" i="1"/>
  <c r="BN222" i="1"/>
  <c r="Z227" i="1"/>
  <c r="BN227" i="1"/>
  <c r="BP227" i="1"/>
  <c r="Z228" i="1"/>
  <c r="BN228" i="1"/>
  <c r="Z230" i="1"/>
  <c r="BN230" i="1"/>
  <c r="Z234" i="1"/>
  <c r="BN234" i="1"/>
  <c r="BP234" i="1"/>
  <c r="Z236" i="1"/>
  <c r="BN236" i="1"/>
  <c r="Z240" i="1"/>
  <c r="Z241" i="1" s="1"/>
  <c r="BN240" i="1"/>
  <c r="BP240" i="1"/>
  <c r="Z245" i="1"/>
  <c r="BN245" i="1"/>
  <c r="Y247" i="1"/>
  <c r="BP251" i="1"/>
  <c r="BN251" i="1"/>
  <c r="Z251" i="1"/>
  <c r="Z252" i="1" s="1"/>
  <c r="Y253" i="1"/>
  <c r="Y264" i="1"/>
  <c r="BP255" i="1"/>
  <c r="BN255" i="1"/>
  <c r="Z255" i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Y283" i="1"/>
  <c r="BP288" i="1"/>
  <c r="BN288" i="1"/>
  <c r="Z288" i="1"/>
  <c r="BP292" i="1"/>
  <c r="BN292" i="1"/>
  <c r="Z292" i="1"/>
  <c r="Y308" i="1"/>
  <c r="BP313" i="1"/>
  <c r="BN313" i="1"/>
  <c r="Z313" i="1"/>
  <c r="Y317" i="1"/>
  <c r="BP322" i="1"/>
  <c r="BN322" i="1"/>
  <c r="Z322" i="1"/>
  <c r="BP331" i="1"/>
  <c r="BN331" i="1"/>
  <c r="Z331" i="1"/>
  <c r="BP344" i="1"/>
  <c r="BN344" i="1"/>
  <c r="Z344" i="1"/>
  <c r="Y346" i="1"/>
  <c r="T539" i="1"/>
  <c r="Y354" i="1"/>
  <c r="BP349" i="1"/>
  <c r="BN349" i="1"/>
  <c r="Z349" i="1"/>
  <c r="Y355" i="1"/>
  <c r="BP353" i="1"/>
  <c r="BN353" i="1"/>
  <c r="Z353" i="1"/>
  <c r="Y365" i="1"/>
  <c r="Y371" i="1"/>
  <c r="Y377" i="1"/>
  <c r="Y385" i="1"/>
  <c r="Y391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BP430" i="1"/>
  <c r="BN430" i="1"/>
  <c r="Z430" i="1"/>
  <c r="Y432" i="1"/>
  <c r="Y435" i="1"/>
  <c r="BP434" i="1"/>
  <c r="BN434" i="1"/>
  <c r="Z434" i="1"/>
  <c r="Z435" i="1" s="1"/>
  <c r="Y436" i="1"/>
  <c r="Y441" i="1"/>
  <c r="BP438" i="1"/>
  <c r="BN438" i="1"/>
  <c r="Z438" i="1"/>
  <c r="BP448" i="1"/>
  <c r="BN448" i="1"/>
  <c r="Z448" i="1"/>
  <c r="Y452" i="1"/>
  <c r="BP456" i="1"/>
  <c r="BN456" i="1"/>
  <c r="Z456" i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Y523" i="1"/>
  <c r="AB539" i="1"/>
  <c r="Y527" i="1"/>
  <c r="BP526" i="1"/>
  <c r="BN526" i="1"/>
  <c r="Z526" i="1"/>
  <c r="Z527" i="1" s="1"/>
  <c r="Y528" i="1"/>
  <c r="O539" i="1"/>
  <c r="W539" i="1"/>
  <c r="P539" i="1"/>
  <c r="Y318" i="1"/>
  <c r="Q539" i="1"/>
  <c r="Y325" i="1"/>
  <c r="R539" i="1"/>
  <c r="Y334" i="1"/>
  <c r="Z357" i="1"/>
  <c r="BN357" i="1"/>
  <c r="BP357" i="1"/>
  <c r="Z359" i="1"/>
  <c r="BN359" i="1"/>
  <c r="Z361" i="1"/>
  <c r="BN361" i="1"/>
  <c r="Z363" i="1"/>
  <c r="BN363" i="1"/>
  <c r="Z367" i="1"/>
  <c r="BN367" i="1"/>
  <c r="BP367" i="1"/>
  <c r="Z369" i="1"/>
  <c r="BN369" i="1"/>
  <c r="Z375" i="1"/>
  <c r="Z377" i="1" s="1"/>
  <c r="BN375" i="1"/>
  <c r="Z381" i="1"/>
  <c r="BN381" i="1"/>
  <c r="Z383" i="1"/>
  <c r="BN383" i="1"/>
  <c r="Z387" i="1"/>
  <c r="BN387" i="1"/>
  <c r="BP387" i="1"/>
  <c r="Z389" i="1"/>
  <c r="BN389" i="1"/>
  <c r="Z394" i="1"/>
  <c r="BN394" i="1"/>
  <c r="BP394" i="1"/>
  <c r="Z396" i="1"/>
  <c r="BN396" i="1"/>
  <c r="Y397" i="1"/>
  <c r="BP403" i="1"/>
  <c r="BN403" i="1"/>
  <c r="Z403" i="1"/>
  <c r="BP407" i="1"/>
  <c r="BN407" i="1"/>
  <c r="Z407" i="1"/>
  <c r="BP415" i="1"/>
  <c r="BN415" i="1"/>
  <c r="Z415" i="1"/>
  <c r="Y417" i="1"/>
  <c r="Y422" i="1"/>
  <c r="BP419" i="1"/>
  <c r="BN419" i="1"/>
  <c r="Z419" i="1"/>
  <c r="Z421" i="1" s="1"/>
  <c r="Y431" i="1"/>
  <c r="BP440" i="1"/>
  <c r="BN440" i="1"/>
  <c r="Z440" i="1"/>
  <c r="Y442" i="1"/>
  <c r="X539" i="1"/>
  <c r="Y453" i="1"/>
  <c r="BP446" i="1"/>
  <c r="BN446" i="1"/>
  <c r="Z446" i="1"/>
  <c r="BP450" i="1"/>
  <c r="BN450" i="1"/>
  <c r="Z450" i="1"/>
  <c r="Y457" i="1"/>
  <c r="AA539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Z308" i="1" l="1"/>
  <c r="Z324" i="1"/>
  <c r="Z278" i="1"/>
  <c r="Z384" i="1"/>
  <c r="Z317" i="1"/>
  <c r="Z73" i="1"/>
  <c r="Z410" i="1"/>
  <c r="Z263" i="1"/>
  <c r="Z224" i="1"/>
  <c r="Z371" i="1"/>
  <c r="Z522" i="1"/>
  <c r="Z146" i="1"/>
  <c r="Z397" i="1"/>
  <c r="Y531" i="1"/>
  <c r="Z333" i="1"/>
  <c r="Z457" i="1"/>
  <c r="Z247" i="1"/>
  <c r="Z237" i="1"/>
  <c r="Z184" i="1"/>
  <c r="Z126" i="1"/>
  <c r="Z55" i="1"/>
  <c r="Y530" i="1"/>
  <c r="Z431" i="1"/>
  <c r="Z294" i="1"/>
  <c r="Z66" i="1"/>
  <c r="Z46" i="1"/>
  <c r="Z452" i="1"/>
  <c r="Z390" i="1"/>
  <c r="Z364" i="1"/>
  <c r="Z468" i="1"/>
  <c r="Z441" i="1"/>
  <c r="Z354" i="1"/>
  <c r="Z231" i="1"/>
  <c r="Z178" i="1"/>
  <c r="Z119" i="1"/>
  <c r="Z109" i="1"/>
  <c r="Z91" i="1"/>
  <c r="Z33" i="1"/>
  <c r="Y533" i="1"/>
  <c r="X532" i="1"/>
  <c r="Z482" i="1"/>
  <c r="Z498" i="1"/>
  <c r="Z416" i="1"/>
  <c r="Z345" i="1"/>
  <c r="Y529" i="1"/>
  <c r="Y532" i="1" l="1"/>
  <c r="Z534" i="1"/>
</calcChain>
</file>

<file path=xl/sharedStrings.xml><?xml version="1.0" encoding="utf-8"?>
<sst xmlns="http://schemas.openxmlformats.org/spreadsheetml/2006/main" count="2379" uniqueCount="864">
  <si>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</si>
  <si>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</si>
  <si>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</si>
  <si>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</si>
  <si>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</si>
  <si>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</si>
  <si>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</si>
  <si>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</si>
  <si>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</si>
  <si>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</si>
  <si>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</si>
  <si>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</si>
  <si>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</si>
  <si>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</si>
  <si>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</si>
  <si>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</si>
  <si>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</si>
  <si>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</si>
  <si>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</si>
  <si>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</si>
  <si>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</si>
  <si>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</si>
  <si>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</si>
  <si>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</si>
  <si>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</si>
  <si>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</si>
  <si>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</si>
  <si>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</si>
  <si>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</si>
  <si>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</si>
  <si>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</si>
  <si>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</si>
  <si>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</si>
  <si>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</si>
  <si>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</si>
  <si>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</si>
  <si>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</si>
  <si>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</si>
  <si>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</si>
  <si>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</si>
  <si>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</si>
  <si>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</si>
  <si>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</si>
  <si>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</si>
  <si>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</si>
  <si>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</si>
  <si>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</si>
  <si>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</si>
  <si>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</si>
  <si>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</si>
  <si>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</si>
  <si>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</si>
  <si>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</si>
  <si>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</si>
  <si>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</si>
  <si>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</si>
  <si>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</si>
  <si>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</si>
  <si>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</si>
  <si>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</si>
  <si>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</si>
  <si>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</si>
  <si>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</si>
  <si>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</si>
  <si>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</si>
  <si>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</si>
  <si>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</si>
  <si>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</si>
  <si>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</si>
  <si>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</si>
  <si>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</si>
  <si>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</si>
  <si>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</si>
  <si>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</si>
  <si>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</si>
  <si>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</si>
  <si>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</si>
  <si>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</si>
  <si>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</si>
  <si>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</si>
  <si>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</si>
  <si>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</si>
  <si>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</si>
  <si>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</si>
  <si>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</si>
  <si>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</si>
  <si>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</si>
  <si>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</si>
  <si>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</si>
  <si>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</si>
  <si>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</si>
  <si>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</si>
  <si>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</si>
  <si>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</si>
  <si>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</si>
  <si>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</si>
  <si>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</si>
  <si>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</si>
  <si>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</si>
  <si>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</si>
  <si>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</si>
  <si>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</si>
  <si>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</si>
  <si>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</si>
  <si>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</si>
  <si>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</si>
  <si>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</si>
  <si>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</si>
  <si>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</si>
  <si>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</si>
  <si>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</si>
  <si>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</si>
  <si>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</si>
  <si>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</si>
  <si>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</si>
  <si>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</si>
  <si>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</si>
  <si>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</si>
  <si>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</si>
  <si>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</si>
  <si>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</si>
  <si>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</si>
  <si>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</si>
  <si>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</si>
  <si>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</si>
  <si>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</si>
  <si>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</si>
  <si>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</si>
  <si>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</si>
  <si>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</si>
  <si>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</si>
  <si>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</si>
  <si>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</si>
  <si>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</si>
  <si>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</si>
  <si>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</si>
  <si>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</si>
  <si>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</si>
  <si>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</si>
  <si>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</si>
  <si>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</si>
  <si>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</si>
  <si>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</si>
  <si>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</si>
  <si>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</si>
  <si>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</si>
  <si>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</si>
  <si>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</si>
  <si>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</si>
  <si>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</si>
  <si>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</si>
  <si>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</si>
  <si>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</si>
  <si>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</si>
  <si>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</si>
  <si>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</si>
  <si>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</si>
  <si>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</si>
  <si>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</si>
  <si>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</si>
  <si>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</si>
  <si>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</si>
  <si>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</si>
  <si>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</si>
  <si>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</si>
  <si>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</si>
  <si>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</si>
  <si>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</si>
  <si>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</si>
  <si>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</si>
  <si>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</si>
  <si>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</si>
  <si>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</si>
  <si>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</si>
  <si>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</si>
  <si>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</si>
  <si>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</si>
  <si>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</si>
  <si>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</si>
  <si>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</si>
  <si>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</si>
  <si>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</si>
  <si>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</si>
  <si>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</si>
  <si>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</si>
  <si>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</si>
  <si>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</si>
  <si>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</si>
  <si>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</si>
  <si>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</si>
  <si>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</si>
  <si>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</si>
  <si>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</si>
  <si>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</si>
  <si>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</si>
  <si>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</si>
  <si>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</si>
  <si>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</si>
  <si>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</si>
  <si>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</si>
  <si>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</si>
  <si>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</si>
  <si>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</si>
  <si>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</si>
  <si>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</si>
  <si>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</si>
  <si>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</si>
  <si>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</si>
  <si>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</si>
  <si>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</si>
  <si>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</si>
  <si>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</si>
  <si>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</si>
  <si>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</si>
  <si>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</si>
  <si>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</si>
  <si>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</si>
  <si>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</si>
  <si>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</si>
  <si>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</si>
  <si>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</si>
  <si>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</si>
  <si>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</si>
  <si>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</si>
  <si>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</si>
  <si>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</si>
  <si>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</si>
  <si>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</si>
  <si>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</si>
  <si>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</si>
  <si>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</si>
  <si>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</si>
  <si>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</si>
  <si>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</si>
  <si>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</si>
  <si>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</si>
  <si>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</si>
  <si>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</si>
  <si>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</si>
  <si>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</si>
  <si>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</si>
  <si>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</si>
  <si>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</si>
  <si>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</si>
  <si>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</si>
  <si>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</si>
  <si>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</si>
  <si>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</si>
  <si>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</si>
  <si>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</si>
  <si>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</si>
  <si>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</si>
  <si>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</si>
  <si>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</si>
  <si>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</si>
  <si>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</si>
  <si>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</si>
  <si>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</si>
  <si>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</si>
  <si>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</si>
  <si>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</si>
  <si>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</si>
  <si>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</si>
  <si>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</si>
  <si>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</si>
  <si>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</si>
  <si>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</si>
  <si>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</si>
  <si>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</si>
  <si>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</si>
  <si>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</si>
  <si>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</si>
  <si>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</si>
  <si>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</si>
  <si>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</si>
  <si>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</si>
  <si>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</si>
  <si>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</si>
  <si>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</si>
  <si>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</si>
  <si>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</si>
  <si>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</si>
  <si>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</si>
  <si>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</si>
  <si>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</si>
  <si>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</si>
  <si>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</si>
  <si>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</si>
  <si>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</si>
  <si>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</si>
  <si>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</si>
  <si>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</si>
  <si>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</si>
  <si>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</si>
  <si>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</si>
  <si>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</si>
  <si>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</si>
  <si>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</si>
  <si>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</si>
  <si>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</si>
  <si>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</si>
  <si>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</si>
  <si>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</si>
  <si>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</si>
  <si>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</si>
  <si>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</si>
  <si>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</si>
  <si>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</si>
  <si>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</si>
  <si>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</si>
  <si>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</si>
  <si>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</si>
  <si>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</si>
  <si>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</si>
  <si>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</si>
  <si>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</si>
  <si>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</si>
  <si>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</si>
  <si>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</si>
  <si>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</si>
  <si>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</si>
  <si>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</si>
  <si>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</si>
  <si>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</si>
  <si>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</si>
  <si>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</si>
  <si>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</si>
  <si>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</si>
  <si>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</si>
  <si>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</si>
  <si>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</si>
  <si>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</si>
  <si>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</si>
  <si>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</si>
  <si>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</si>
  <si>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</si>
  <si>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</si>
  <si>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</si>
  <si>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</si>
  <si>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</si>
  <si>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</si>
  <si>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</si>
  <si>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</si>
  <si>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</si>
  <si>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</si>
  <si>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</si>
  <si>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</si>
  <si>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</si>
  <si>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</si>
  <si>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</si>
  <si>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</si>
  <si>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</si>
  <si>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</si>
  <si>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</si>
  <si>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</si>
  <si>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</si>
  <si>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</si>
  <si>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</si>
  <si>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</si>
  <si>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</si>
  <si>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</si>
  <si>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</si>
  <si>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</si>
  <si>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</si>
  <si>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</si>
  <si>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</si>
  <si>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</si>
  <si>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</si>
  <si>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</si>
  <si>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</si>
  <si>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</si>
  <si>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</si>
  <si>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</si>
  <si>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</si>
  <si>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</si>
  <si>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</si>
  <si>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</si>
  <si>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</si>
  <si>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</si>
  <si>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</si>
  <si>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</si>
  <si>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</si>
  <si>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</si>
  <si>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</si>
  <si>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</si>
  <si>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</si>
  <si>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</si>
  <si>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</si>
  <si>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</si>
  <si>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</si>
  <si>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</si>
  <si>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</si>
  <si>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</si>
  <si>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</si>
  <si>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</si>
  <si>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</si>
  <si>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</si>
  <si>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</si>
  <si>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</si>
  <si>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</si>
  <si>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</si>
  <si>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</si>
  <si>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</si>
  <si>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</si>
  <si>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</si>
  <si>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</si>
  <si>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</si>
  <si>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</si>
  <si>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</si>
  <si>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</si>
  <si>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</si>
  <si>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</si>
  <si>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</si>
  <si>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</si>
  <si>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</si>
  <si>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</si>
  <si>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</si>
  <si>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</si>
  <si>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</si>
  <si>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</si>
  <si>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</si>
  <si>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</si>
  <si>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</si>
  <si>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</si>
  <si>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</si>
  <si>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</si>
  <si>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</si>
  <si>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</si>
  <si>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</si>
  <si>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</si>
  <si>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</si>
  <si>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</si>
  <si>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</si>
  <si>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</si>
  <si>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</si>
  <si>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</si>
  <si>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</si>
  <si>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</si>
  <si>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</si>
  <si>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</si>
  <si>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</si>
  <si>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</si>
  <si>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</si>
  <si>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</si>
  <si>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</si>
  <si>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</si>
  <si>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</si>
  <si>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</si>
  <si>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</si>
  <si>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</si>
  <si>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</si>
  <si>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</si>
  <si>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</si>
  <si>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</si>
  <si>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</si>
  <si>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</si>
  <si>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</si>
  <si>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</si>
  <si>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</si>
  <si>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</si>
  <si>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</si>
  <si>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</si>
  <si>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</si>
  <si>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</si>
  <si>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</si>
  <si>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</si>
  <si>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</si>
  <si>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</si>
  <si>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</si>
  <si>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</si>
  <si>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</si>
  <si>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</si>
  <si>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</si>
  <si>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</si>
  <si>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</si>
  <si>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</si>
  <si>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</si>
  <si>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</si>
  <si>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</si>
  <si>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</si>
  <si>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</si>
  <si>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</si>
  <si>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</si>
  <si>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</si>
  <si>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</si>
  <si>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</si>
  <si>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</si>
  <si>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</si>
  <si>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</si>
  <si>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</si>
  <si>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</si>
  <si>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</si>
  <si>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</si>
  <si>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</si>
  <si>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</si>
  <si>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</si>
  <si>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</si>
  <si>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</si>
  <si>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</si>
  <si>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</si>
  <si>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</si>
  <si>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</si>
  <si>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</si>
  <si>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</si>
  <si>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</si>
  <si>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</si>
  <si>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</si>
  <si>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</si>
  <si>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</si>
  <si>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</si>
  <si>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</si>
  <si>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</si>
  <si>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</si>
  <si>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</si>
  <si>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</si>
  <si>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</si>
  <si>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</si>
  <si>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</si>
  <si>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</si>
  <si>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</si>
  <si>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</si>
  <si>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</si>
  <si>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</si>
  <si>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</si>
  <si>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</si>
  <si>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</si>
  <si>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</si>
  <si>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</si>
  <si>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</si>
  <si>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</si>
  <si>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</si>
  <si>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</si>
  <si>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</si>
  <si>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</si>
  <si>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</si>
  <si>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</si>
  <si>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</si>
  <si>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</si>
  <si>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</si>
  <si>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</si>
  <si>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</si>
  <si>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</si>
  <si>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</si>
  <si>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</si>
  <si>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</si>
  <si>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</si>
  <si>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</si>
  <si>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</si>
  <si>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</si>
  <si>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</si>
  <si>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</si>
  <si>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</si>
  <si>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</si>
  <si>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</si>
  <si>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</si>
  <si>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</si>
  <si>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</si>
  <si>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</si>
  <si>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</si>
  <si>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</si>
  <si>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</si>
  <si>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</si>
  <si>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</si>
  <si>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</si>
  <si>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</si>
  <si>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</si>
  <si>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</si>
  <si>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</si>
  <si>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</si>
  <si>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</si>
  <si>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</si>
  <si>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</si>
  <si>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</si>
  <si>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</si>
  <si>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</si>
  <si>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</si>
  <si>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</si>
  <si>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</si>
  <si>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</si>
  <si>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</si>
  <si>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</si>
  <si>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</si>
  <si>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</si>
  <si>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</si>
  <si>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</si>
  <si>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</si>
  <si>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</si>
  <si>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</si>
  <si>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</si>
  <si>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</si>
  <si>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</si>
  <si>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</si>
  <si>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</si>
  <si>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</si>
  <si>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</si>
  <si>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</si>
  <si>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</si>
  <si>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</si>
  <si>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</si>
  <si>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</si>
  <si>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</si>
  <si>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</si>
  <si>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</si>
  <si>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</si>
  <si>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</si>
  <si>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</si>
  <si>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</si>
  <si>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</si>
  <si>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</si>
  <si>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</si>
  <si>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</si>
  <si>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</si>
  <si>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</si>
  <si>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</si>
  <si>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</si>
  <si>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</si>
  <si>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</si>
  <si>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</si>
  <si>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</si>
  <si>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</si>
  <si>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</si>
  <si>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</si>
  <si>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</si>
  <si>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</si>
  <si>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</si>
  <si>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</si>
  <si>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</si>
  <si>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</si>
  <si>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</si>
  <si>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</si>
  <si>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</si>
  <si>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</si>
  <si>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</si>
  <si>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</si>
  <si>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</si>
  <si>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</si>
  <si>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</si>
  <si>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</si>
  <si>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</si>
  <si>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</si>
  <si>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</si>
  <si>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</si>
  <si>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</si>
  <si>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</si>
  <si>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</si>
  <si>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</si>
  <si>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</si>
  <si>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</si>
  <si>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</si>
  <si>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</si>
  <si>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</si>
  <si>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</si>
  <si>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</si>
  <si>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</si>
  <si>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</si>
  <si>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</si>
  <si>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</si>
  <si>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</si>
  <si>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</si>
  <si>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</si>
  <si>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</si>
  <si>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</si>
  <si>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</si>
  <si>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</si>
  <si>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</si>
  <si>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</si>
  <si>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</si>
  <si>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</si>
  <si>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</si>
  <si>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</si>
  <si>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</si>
  <si>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</si>
  <si>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</si>
  <si>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</si>
  <si>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</si>
  <si>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</si>
  <si>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</si>
  <si>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</si>
  <si>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</si>
  <si>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</si>
  <si>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</si>
  <si>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</si>
  <si>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</si>
  <si>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</si>
  <si>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</si>
  <si>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</si>
  <si>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</si>
  <si>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</si>
  <si>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</si>
  <si>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</si>
  <si>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</si>
  <si>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</si>
  <si>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</si>
  <si>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</si>
  <si>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</si>
  <si>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</si>
  <si>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</si>
  <si>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</si>
  <si>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</si>
  <si>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</si>
  <si>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</si>
  <si>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</si>
  <si>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</si>
  <si>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</si>
  <si>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</si>
  <si>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</si>
  <si>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</si>
  <si>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</si>
  <si>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</si>
  <si>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</si>
  <si>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</si>
  <si>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</si>
  <si>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</si>
  <si>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</si>
  <si>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</si>
  <si>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</si>
  <si>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</si>
  <si>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</si>
  <si>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</si>
  <si>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</si>
  <si>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</si>
  <si>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</si>
  <si>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</si>
  <si>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</si>
  <si>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</si>
  <si>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</si>
  <si>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</si>
  <si>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</si>
  <si>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</si>
  <si>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</si>
  <si>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</si>
  <si>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</si>
  <si>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</si>
  <si>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</si>
  <si>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</si>
  <si>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</si>
  <si>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</si>
  <si>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</si>
  <si>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</si>
  <si>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</si>
  <si>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</si>
  <si>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</si>
  <si>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</si>
  <si>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</si>
  <si>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</si>
  <si>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</si>
  <si>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</si>
  <si>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</si>
  <si>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</si>
  <si>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</si>
  <si>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</si>
  <si>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</si>
  <si>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</si>
  <si>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</si>
  <si>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</si>
  <si>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</si>
  <si>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</si>
  <si>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</si>
  <si>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</si>
  <si>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</si>
  <si>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</si>
  <si>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</si>
  <si>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</si>
  <si>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</si>
  <si>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</si>
  <si>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</si>
  <si>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</si>
  <si>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</si>
  <si>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</si>
  <si>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</si>
  <si>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</si>
  <si>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</si>
  <si>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</si>
  <si>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</si>
  <si>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</si>
  <si>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</si>
  <si>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</si>
  <si>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</si>
  <si>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</si>
  <si>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</si>
  <si>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</si>
  <si>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</si>
  <si>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</si>
  <si>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</si>
  <si>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</si>
  <si>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</si>
  <si>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</si>
  <si>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</si>
  <si>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</si>
  <si>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</si>
  <si>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</si>
  <si>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</si>
  <si>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</si>
  <si>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</si>
  <si>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</si>
  <si>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</si>
  <si>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</si>
  <si>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</si>
  <si>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</si>
  <si>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</si>
  <si>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</si>
  <si>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</si>
  <si>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</si>
  <si>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</si>
  <si>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</si>
  <si>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</si>
  <si>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</si>
  <si>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</si>
  <si>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</si>
  <si>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</si>
  <si>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</si>
  <si>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</si>
  <si>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</si>
  <si>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</si>
  <si>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</si>
  <si>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</si>
  <si>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</si>
  <si>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</si>
  <si>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</si>
  <si>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</si>
  <si>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</si>
  <si>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</si>
  <si>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</si>
  <si>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</si>
  <si>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</si>
  <si>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</si>
  <si>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</si>
  <si>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</si>
  <si>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</si>
  <si>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</si>
  <si>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</si>
  <si>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</si>
  <si>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</si>
  <si>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</si>
  <si>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</si>
  <si>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</si>
  <si>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</si>
  <si>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</si>
  <si>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</si>
  <si>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</si>
  <si>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</si>
  <si>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</si>
  <si>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</si>
  <si>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</si>
  <si>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</si>
  <si>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</si>
  <si>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</si>
  <si>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</si>
  <si>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</si>
  <si>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</si>
  <si>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</si>
  <si>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</si>
  <si>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</si>
  <si>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</si>
  <si>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</si>
  <si>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</si>
  <si>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</si>
  <si>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</si>
  <si>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</si>
  <si>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</si>
  <si>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</si>
  <si>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</si>
  <si>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</si>
  <si>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17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</si>
</sst>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9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869" t="s">
        <v>0</v>
      </c>
      <c r="E1" s="642"/>
      <c r="F1" s="642"/>
      <c r="G1" s="12" t="s">
        <v>1</v>
      </c>
      <c r="H1" s="869" t="s">
        <v>2</v>
      </c>
      <c r="I1" s="642"/>
      <c r="J1" s="642"/>
      <c r="K1" s="642"/>
      <c r="L1" s="642"/>
      <c r="M1" s="642"/>
      <c r="N1" s="642"/>
      <c r="O1" s="642"/>
      <c r="P1" s="642"/>
      <c r="Q1" s="642"/>
      <c r="R1" s="925" t="s">
        <v>3</v>
      </c>
      <c r="S1" s="642"/>
      <c r="T1" s="64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9"/>
      <c r="Q3" s="609"/>
      <c r="R3" s="609"/>
      <c r="S3" s="609"/>
      <c r="T3" s="609"/>
      <c r="U3" s="609"/>
      <c r="V3" s="609"/>
      <c r="W3" s="609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836" t="s">
        <v>8</v>
      </c>
      <c r="B5" s="662"/>
      <c r="C5" s="630"/>
      <c r="D5" s="717"/>
      <c r="E5" s="719"/>
      <c r="F5" s="670" t="s">
        <v>9</v>
      </c>
      <c r="G5" s="630"/>
      <c r="H5" s="717" t="s">
        <v>863</v>
      </c>
      <c r="I5" s="718"/>
      <c r="J5" s="718"/>
      <c r="K5" s="718"/>
      <c r="L5" s="718"/>
      <c r="M5" s="719"/>
      <c r="N5" s="58"/>
      <c r="P5" s="24" t="s">
        <v>10</v>
      </c>
      <c r="Q5" s="691">
        <v>46209</v>
      </c>
      <c r="R5" s="692"/>
      <c r="T5" s="801" t="s">
        <v>11</v>
      </c>
      <c r="U5" s="793"/>
      <c r="V5" s="803" t="s">
        <v>12</v>
      </c>
      <c r="W5" s="692"/>
      <c r="AB5" s="51"/>
      <c r="AC5" s="51"/>
      <c r="AD5" s="51"/>
      <c r="AE5" s="51"/>
    </row>
    <row r="6" spans="1:32" s="591" customFormat="1" ht="24" customHeight="1" x14ac:dyDescent="0.2">
      <c r="A6" s="836" t="s">
        <v>13</v>
      </c>
      <c r="B6" s="662"/>
      <c r="C6" s="630"/>
      <c r="D6" s="721" t="s">
        <v>842</v>
      </c>
      <c r="E6" s="722"/>
      <c r="F6" s="722"/>
      <c r="G6" s="722"/>
      <c r="H6" s="722"/>
      <c r="I6" s="722"/>
      <c r="J6" s="722"/>
      <c r="K6" s="722"/>
      <c r="L6" s="722"/>
      <c r="M6" s="692"/>
      <c r="N6" s="59"/>
      <c r="P6" s="24" t="s">
        <v>14</v>
      </c>
      <c r="Q6" s="638" t="str">
        <f>IF(Q5=0," ",CHOOSE(WEEKDAY(Q5,2),"Понедельник","Вторник","Среда","Четверг","Пятница","Суббота","Воскресенье"))</f>
        <v>Понедельник</v>
      </c>
      <c r="R6" s="604"/>
      <c r="T6" s="792" t="s">
        <v>15</v>
      </c>
      <c r="U6" s="793"/>
      <c r="V6" s="730" t="s">
        <v>16</v>
      </c>
      <c r="W6" s="731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933" t="str">
        <f>IFERROR(VLOOKUP(DeliveryAddress,Table,3,0),1)</f>
        <v>7</v>
      </c>
      <c r="E7" s="934"/>
      <c r="F7" s="934"/>
      <c r="G7" s="934"/>
      <c r="H7" s="934"/>
      <c r="I7" s="934"/>
      <c r="J7" s="934"/>
      <c r="K7" s="934"/>
      <c r="L7" s="934"/>
      <c r="M7" s="808"/>
      <c r="N7" s="60"/>
      <c r="P7" s="24"/>
      <c r="Q7" s="42"/>
      <c r="R7" s="42"/>
      <c r="T7" s="609"/>
      <c r="U7" s="793"/>
      <c r="V7" s="732"/>
      <c r="W7" s="733"/>
      <c r="AB7" s="51"/>
      <c r="AC7" s="51"/>
      <c r="AD7" s="51"/>
      <c r="AE7" s="51"/>
    </row>
    <row r="8" spans="1:32" s="591" customFormat="1" ht="25.5" customHeight="1" x14ac:dyDescent="0.2">
      <c r="A8" s="631" t="s">
        <v>17</v>
      </c>
      <c r="B8" s="614"/>
      <c r="C8" s="615"/>
      <c r="D8" s="935"/>
      <c r="E8" s="936"/>
      <c r="F8" s="936"/>
      <c r="G8" s="936"/>
      <c r="H8" s="936"/>
      <c r="I8" s="936"/>
      <c r="J8" s="936"/>
      <c r="K8" s="936"/>
      <c r="L8" s="936"/>
      <c r="M8" s="937"/>
      <c r="N8" s="61"/>
      <c r="P8" s="24" t="s">
        <v>18</v>
      </c>
      <c r="Q8" s="807">
        <v>0.41666666666666669</v>
      </c>
      <c r="R8" s="808"/>
      <c r="T8" s="609"/>
      <c r="U8" s="793"/>
      <c r="V8" s="732"/>
      <c r="W8" s="733"/>
      <c r="AB8" s="51"/>
      <c r="AC8" s="51"/>
      <c r="AD8" s="51"/>
      <c r="AE8" s="51"/>
    </row>
    <row r="9" spans="1:32" s="591" customFormat="1" ht="39.950000000000003" customHeight="1" x14ac:dyDescent="0.2">
      <c r="A9" s="61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9"/>
      <c r="C9" s="609"/>
      <c r="D9" s="676"/>
      <c r="E9" s="677"/>
      <c r="F9" s="61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9"/>
      <c r="H9" s="799" t="str">
        <f>IF(AND($A$9="Тип доверенности/получателя при получении в адресе перегруза:",$D$9="Разовая доверенность"),"Введите ФИО","")</f>
        <v/>
      </c>
      <c r="I9" s="677"/>
      <c r="J9" s="7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7"/>
      <c r="L9" s="677"/>
      <c r="M9" s="677"/>
      <c r="N9" s="589"/>
      <c r="P9" s="26" t="s">
        <v>19</v>
      </c>
      <c r="Q9" s="877"/>
      <c r="R9" s="673"/>
      <c r="T9" s="609"/>
      <c r="U9" s="793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61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9"/>
      <c r="C10" s="609"/>
      <c r="D10" s="676"/>
      <c r="E10" s="677"/>
      <c r="F10" s="61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9"/>
      <c r="H10" s="742" t="str">
        <f>IFERROR(VLOOKUP($D$10,Proxy,2,FALSE),"")</f>
        <v/>
      </c>
      <c r="I10" s="609"/>
      <c r="J10" s="609"/>
      <c r="K10" s="609"/>
      <c r="L10" s="609"/>
      <c r="M10" s="609"/>
      <c r="N10" s="590"/>
      <c r="P10" s="26" t="s">
        <v>20</v>
      </c>
      <c r="Q10" s="794"/>
      <c r="R10" s="795"/>
      <c r="U10" s="24" t="s">
        <v>21</v>
      </c>
      <c r="V10" s="915" t="s">
        <v>22</v>
      </c>
      <c r="W10" s="731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41"/>
      <c r="R11" s="692"/>
      <c r="U11" s="24" t="s">
        <v>25</v>
      </c>
      <c r="V11" s="672" t="s">
        <v>26</v>
      </c>
      <c r="W11" s="673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3" t="s">
        <v>27</v>
      </c>
      <c r="B12" s="662"/>
      <c r="C12" s="662"/>
      <c r="D12" s="662"/>
      <c r="E12" s="662"/>
      <c r="F12" s="662"/>
      <c r="G12" s="662"/>
      <c r="H12" s="662"/>
      <c r="I12" s="662"/>
      <c r="J12" s="662"/>
      <c r="K12" s="662"/>
      <c r="L12" s="662"/>
      <c r="M12" s="630"/>
      <c r="N12" s="62"/>
      <c r="P12" s="24" t="s">
        <v>28</v>
      </c>
      <c r="Q12" s="807"/>
      <c r="R12" s="808"/>
      <c r="S12" s="23"/>
      <c r="U12" s="24"/>
      <c r="V12" s="642"/>
      <c r="W12" s="609"/>
      <c r="AB12" s="51"/>
      <c r="AC12" s="51"/>
      <c r="AD12" s="51"/>
      <c r="AE12" s="51"/>
    </row>
    <row r="13" spans="1:32" s="591" customFormat="1" ht="23.25" customHeight="1" x14ac:dyDescent="0.2">
      <c r="A13" s="773" t="s">
        <v>29</v>
      </c>
      <c r="B13" s="662"/>
      <c r="C13" s="662"/>
      <c r="D13" s="662"/>
      <c r="E13" s="662"/>
      <c r="F13" s="662"/>
      <c r="G13" s="662"/>
      <c r="H13" s="662"/>
      <c r="I13" s="662"/>
      <c r="J13" s="662"/>
      <c r="K13" s="662"/>
      <c r="L13" s="662"/>
      <c r="M13" s="630"/>
      <c r="N13" s="62"/>
      <c r="O13" s="26"/>
      <c r="P13" s="26" t="s">
        <v>30</v>
      </c>
      <c r="Q13" s="672"/>
      <c r="R13" s="6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3" t="s">
        <v>31</v>
      </c>
      <c r="B14" s="662"/>
      <c r="C14" s="662"/>
      <c r="D14" s="662"/>
      <c r="E14" s="662"/>
      <c r="F14" s="662"/>
      <c r="G14" s="662"/>
      <c r="H14" s="662"/>
      <c r="I14" s="662"/>
      <c r="J14" s="662"/>
      <c r="K14" s="662"/>
      <c r="L14" s="662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775" t="s">
        <v>32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30"/>
      <c r="N15" s="63"/>
      <c r="P15" s="820" t="s">
        <v>33</v>
      </c>
      <c r="Q15" s="642"/>
      <c r="R15" s="642"/>
      <c r="S15" s="642"/>
      <c r="T15" s="64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0" t="s">
        <v>34</v>
      </c>
      <c r="B17" s="620" t="s">
        <v>35</v>
      </c>
      <c r="C17" s="839" t="s">
        <v>36</v>
      </c>
      <c r="D17" s="620" t="s">
        <v>37</v>
      </c>
      <c r="E17" s="621"/>
      <c r="F17" s="620" t="s">
        <v>38</v>
      </c>
      <c r="G17" s="620" t="s">
        <v>39</v>
      </c>
      <c r="H17" s="620" t="s">
        <v>40</v>
      </c>
      <c r="I17" s="620" t="s">
        <v>41</v>
      </c>
      <c r="J17" s="620" t="s">
        <v>42</v>
      </c>
      <c r="K17" s="620" t="s">
        <v>43</v>
      </c>
      <c r="L17" s="620" t="s">
        <v>44</v>
      </c>
      <c r="M17" s="620" t="s">
        <v>45</v>
      </c>
      <c r="N17" s="620" t="s">
        <v>46</v>
      </c>
      <c r="O17" s="620" t="s">
        <v>47</v>
      </c>
      <c r="P17" s="620" t="s">
        <v>48</v>
      </c>
      <c r="Q17" s="859"/>
      <c r="R17" s="859"/>
      <c r="S17" s="859"/>
      <c r="T17" s="621"/>
      <c r="U17" s="629" t="s">
        <v>49</v>
      </c>
      <c r="V17" s="630"/>
      <c r="W17" s="620" t="s">
        <v>50</v>
      </c>
      <c r="X17" s="620" t="s">
        <v>51</v>
      </c>
      <c r="Y17" s="626" t="s">
        <v>52</v>
      </c>
      <c r="Z17" s="749" t="s">
        <v>53</v>
      </c>
      <c r="AA17" s="664" t="s">
        <v>54</v>
      </c>
      <c r="AB17" s="664" t="s">
        <v>55</v>
      </c>
      <c r="AC17" s="664" t="s">
        <v>56</v>
      </c>
      <c r="AD17" s="664" t="s">
        <v>57</v>
      </c>
      <c r="AE17" s="665"/>
      <c r="AF17" s="666"/>
      <c r="AG17" s="66"/>
      <c r="BD17" s="65" t="s">
        <v>58</v>
      </c>
    </row>
    <row r="18" spans="1:68" ht="14.25" customHeight="1" x14ac:dyDescent="0.2">
      <c r="A18" s="636"/>
      <c r="B18" s="636"/>
      <c r="C18" s="636"/>
      <c r="D18" s="622"/>
      <c r="E18" s="623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622"/>
      <c r="Q18" s="860"/>
      <c r="R18" s="860"/>
      <c r="S18" s="860"/>
      <c r="T18" s="623"/>
      <c r="U18" s="67" t="s">
        <v>59</v>
      </c>
      <c r="V18" s="67" t="s">
        <v>60</v>
      </c>
      <c r="W18" s="636"/>
      <c r="X18" s="636"/>
      <c r="Y18" s="627"/>
      <c r="Z18" s="750"/>
      <c r="AA18" s="741"/>
      <c r="AB18" s="741"/>
      <c r="AC18" s="741"/>
      <c r="AD18" s="667"/>
      <c r="AE18" s="668"/>
      <c r="AF18" s="669"/>
      <c r="AG18" s="66"/>
      <c r="BD18" s="65"/>
    </row>
    <row r="19" spans="1:68" ht="27.75" hidden="1" customHeight="1" x14ac:dyDescent="0.2">
      <c r="A19" s="644" t="s">
        <v>61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612" t="s">
        <v>61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592"/>
      <c r="AB20" s="592"/>
      <c r="AC20" s="592"/>
    </row>
    <row r="21" spans="1:68" ht="14.25" hidden="1" customHeight="1" x14ac:dyDescent="0.25">
      <c r="A21" s="608" t="s">
        <v>62</v>
      </c>
      <c r="B21" s="609"/>
      <c r="C21" s="609"/>
      <c r="D21" s="609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  <c r="Z21" s="609"/>
      <c r="AA21" s="593"/>
      <c r="AB21" s="593"/>
      <c r="AC21" s="59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03">
        <v>4680115886643</v>
      </c>
      <c r="E22" s="604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3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03">
        <v>4680115889071</v>
      </c>
      <c r="E23" s="604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7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8"/>
      <c r="P24" s="613" t="s">
        <v>72</v>
      </c>
      <c r="Q24" s="614"/>
      <c r="R24" s="614"/>
      <c r="S24" s="614"/>
      <c r="T24" s="614"/>
      <c r="U24" s="614"/>
      <c r="V24" s="61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8"/>
      <c r="P25" s="613" t="s">
        <v>72</v>
      </c>
      <c r="Q25" s="614"/>
      <c r="R25" s="614"/>
      <c r="S25" s="614"/>
      <c r="T25" s="614"/>
      <c r="U25" s="614"/>
      <c r="V25" s="61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hidden="1" customHeight="1" x14ac:dyDescent="0.25">
      <c r="A26" s="608" t="s">
        <v>74</v>
      </c>
      <c r="B26" s="609"/>
      <c r="C26" s="609"/>
      <c r="D26" s="609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593"/>
      <c r="AB26" s="593"/>
      <c r="AC26" s="59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03">
        <v>4680115885912</v>
      </c>
      <c r="E27" s="604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03">
        <v>4607091388237</v>
      </c>
      <c r="E28" s="604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03">
        <v>4680115887350</v>
      </c>
      <c r="E29" s="604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03">
        <v>4680115885905</v>
      </c>
      <c r="E30" s="604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03">
        <v>4680115887657</v>
      </c>
      <c r="E31" s="604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8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03">
        <v>4680115887619</v>
      </c>
      <c r="E32" s="604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8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17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8"/>
      <c r="P33" s="613" t="s">
        <v>72</v>
      </c>
      <c r="Q33" s="614"/>
      <c r="R33" s="614"/>
      <c r="S33" s="614"/>
      <c r="T33" s="614"/>
      <c r="U33" s="614"/>
      <c r="V33" s="61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8"/>
      <c r="P34" s="613" t="s">
        <v>72</v>
      </c>
      <c r="Q34" s="614"/>
      <c r="R34" s="614"/>
      <c r="S34" s="614"/>
      <c r="T34" s="614"/>
      <c r="U34" s="614"/>
      <c r="V34" s="61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hidden="1" customHeight="1" x14ac:dyDescent="0.25">
      <c r="A35" s="608" t="s">
        <v>95</v>
      </c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593"/>
      <c r="AB35" s="593"/>
      <c r="AC35" s="593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03">
        <v>4607091388503</v>
      </c>
      <c r="E36" s="604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17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8"/>
      <c r="P37" s="613" t="s">
        <v>72</v>
      </c>
      <c r="Q37" s="614"/>
      <c r="R37" s="614"/>
      <c r="S37" s="614"/>
      <c r="T37" s="614"/>
      <c r="U37" s="614"/>
      <c r="V37" s="61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8"/>
      <c r="P38" s="613" t="s">
        <v>72</v>
      </c>
      <c r="Q38" s="614"/>
      <c r="R38" s="614"/>
      <c r="S38" s="614"/>
      <c r="T38" s="614"/>
      <c r="U38" s="614"/>
      <c r="V38" s="61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hidden="1" customHeight="1" x14ac:dyDescent="0.2">
      <c r="A39" s="64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48"/>
      <c r="AB39" s="48"/>
      <c r="AC39" s="48"/>
    </row>
    <row r="40" spans="1:68" ht="16.5" hidden="1" customHeight="1" x14ac:dyDescent="0.25">
      <c r="A40" s="612" t="s">
        <v>102</v>
      </c>
      <c r="B40" s="609"/>
      <c r="C40" s="609"/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  <c r="Z40" s="609"/>
      <c r="AA40" s="592"/>
      <c r="AB40" s="592"/>
      <c r="AC40" s="592"/>
    </row>
    <row r="41" spans="1:68" ht="14.25" hidden="1" customHeight="1" x14ac:dyDescent="0.25">
      <c r="A41" s="608" t="s">
        <v>74</v>
      </c>
      <c r="B41" s="609"/>
      <c r="C41" s="609"/>
      <c r="D41" s="609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  <c r="Z41" s="609"/>
      <c r="AA41" s="593"/>
      <c r="AB41" s="593"/>
      <c r="AC41" s="593"/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03">
        <v>4680115888463</v>
      </c>
      <c r="E42" s="604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03">
        <v>4680115888494</v>
      </c>
      <c r="E43" s="604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1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03">
        <v>4680115888272</v>
      </c>
      <c r="E44" s="604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03">
        <v>4680115888364</v>
      </c>
      <c r="E45" s="604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7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8"/>
      <c r="P46" s="613" t="s">
        <v>72</v>
      </c>
      <c r="Q46" s="614"/>
      <c r="R46" s="614"/>
      <c r="S46" s="614"/>
      <c r="T46" s="614"/>
      <c r="U46" s="614"/>
      <c r="V46" s="61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hidden="1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8"/>
      <c r="P47" s="613" t="s">
        <v>72</v>
      </c>
      <c r="Q47" s="614"/>
      <c r="R47" s="614"/>
      <c r="S47" s="614"/>
      <c r="T47" s="614"/>
      <c r="U47" s="614"/>
      <c r="V47" s="61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hidden="1" customHeight="1" x14ac:dyDescent="0.2">
      <c r="A48" s="644" t="s">
        <v>115</v>
      </c>
      <c r="B48" s="645"/>
      <c r="C48" s="645"/>
      <c r="D48" s="645"/>
      <c r="E48" s="645"/>
      <c r="F48" s="645"/>
      <c r="G48" s="645"/>
      <c r="H48" s="645"/>
      <c r="I48" s="645"/>
      <c r="J48" s="645"/>
      <c r="K48" s="645"/>
      <c r="L48" s="645"/>
      <c r="M48" s="645"/>
      <c r="N48" s="645"/>
      <c r="O48" s="645"/>
      <c r="P48" s="645"/>
      <c r="Q48" s="645"/>
      <c r="R48" s="645"/>
      <c r="S48" s="645"/>
      <c r="T48" s="645"/>
      <c r="U48" s="645"/>
      <c r="V48" s="645"/>
      <c r="W48" s="645"/>
      <c r="X48" s="645"/>
      <c r="Y48" s="645"/>
      <c r="Z48" s="645"/>
      <c r="AA48" s="48"/>
      <c r="AB48" s="48"/>
      <c r="AC48" s="48"/>
    </row>
    <row r="49" spans="1:68" ht="16.5" hidden="1" customHeight="1" x14ac:dyDescent="0.25">
      <c r="A49" s="612" t="s">
        <v>116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592"/>
      <c r="AB49" s="592"/>
      <c r="AC49" s="592"/>
    </row>
    <row r="50" spans="1:68" ht="14.25" hidden="1" customHeight="1" x14ac:dyDescent="0.25">
      <c r="A50" s="608" t="s">
        <v>117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593"/>
      <c r="AB50" s="593"/>
      <c r="AC50" s="59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03">
        <v>4607091385670</v>
      </c>
      <c r="E51" s="604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4"/>
      <c r="V51" s="34"/>
      <c r="W51" s="35" t="s">
        <v>67</v>
      </c>
      <c r="X51" s="597">
        <v>0</v>
      </c>
      <c r="Y51" s="59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03">
        <v>4680115887725</v>
      </c>
      <c r="E52" s="604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87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03">
        <v>4607091385687</v>
      </c>
      <c r="E53" s="604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8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03">
        <v>4680115882539</v>
      </c>
      <c r="E54" s="604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68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17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8"/>
      <c r="P55" s="613" t="s">
        <v>72</v>
      </c>
      <c r="Q55" s="614"/>
      <c r="R55" s="614"/>
      <c r="S55" s="614"/>
      <c r="T55" s="614"/>
      <c r="U55" s="614"/>
      <c r="V55" s="615"/>
      <c r="W55" s="37" t="s">
        <v>73</v>
      </c>
      <c r="X55" s="599">
        <f>IFERROR(X51/H51,"0")+IFERROR(X52/H52,"0")+IFERROR(X53/H53,"0")+IFERROR(X54/H54,"0")</f>
        <v>0</v>
      </c>
      <c r="Y55" s="599">
        <f>IFERROR(Y51/H51,"0")+IFERROR(Y52/H52,"0")+IFERROR(Y53/H53,"0")+IFERROR(Y54/H54,"0")</f>
        <v>0</v>
      </c>
      <c r="Z55" s="599">
        <f>IFERROR(IF(Z51="",0,Z51),"0")+IFERROR(IF(Z52="",0,Z52),"0")+IFERROR(IF(Z53="",0,Z53),"0")+IFERROR(IF(Z54="",0,Z54),"0")</f>
        <v>0</v>
      </c>
      <c r="AA55" s="600"/>
      <c r="AB55" s="600"/>
      <c r="AC55" s="600"/>
    </row>
    <row r="56" spans="1:68" hidden="1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8"/>
      <c r="P56" s="613" t="s">
        <v>72</v>
      </c>
      <c r="Q56" s="614"/>
      <c r="R56" s="614"/>
      <c r="S56" s="614"/>
      <c r="T56" s="614"/>
      <c r="U56" s="614"/>
      <c r="V56" s="615"/>
      <c r="W56" s="37" t="s">
        <v>67</v>
      </c>
      <c r="X56" s="599">
        <f>IFERROR(SUM(X51:X54),"0")</f>
        <v>0</v>
      </c>
      <c r="Y56" s="599">
        <f>IFERROR(SUM(Y51:Y54),"0")</f>
        <v>0</v>
      </c>
      <c r="Z56" s="37"/>
      <c r="AA56" s="600"/>
      <c r="AB56" s="600"/>
      <c r="AC56" s="600"/>
    </row>
    <row r="57" spans="1:68" ht="16.5" hidden="1" customHeight="1" x14ac:dyDescent="0.25">
      <c r="A57" s="612" t="s">
        <v>132</v>
      </c>
      <c r="B57" s="609"/>
      <c r="C57" s="609"/>
      <c r="D57" s="609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592"/>
      <c r="AB57" s="592"/>
      <c r="AC57" s="592"/>
    </row>
    <row r="58" spans="1:68" ht="14.25" hidden="1" customHeight="1" x14ac:dyDescent="0.25">
      <c r="A58" s="608" t="s">
        <v>117</v>
      </c>
      <c r="B58" s="609"/>
      <c r="C58" s="609"/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3">
        <v>4680115885882</v>
      </c>
      <c r="E59" s="604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4"/>
      <c r="V59" s="34"/>
      <c r="W59" s="35" t="s">
        <v>67</v>
      </c>
      <c r="X59" s="597">
        <v>10</v>
      </c>
      <c r="Y59" s="598">
        <f t="shared" ref="Y59:Y65" si="6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10.366071428571429</v>
      </c>
      <c r="BN59" s="64">
        <f t="shared" ref="BN59:BN65" si="8">IFERROR(Y59*I59/H59,"0")</f>
        <v>11.61</v>
      </c>
      <c r="BO59" s="64">
        <f t="shared" ref="BO59:BO65" si="9">IFERROR(1/J59*(X59/H59),"0")</f>
        <v>1.3950892857142858E-2</v>
      </c>
      <c r="BP59" s="64">
        <f t="shared" ref="BP59:BP65" si="10">IFERROR(1/J59*(Y59/H59),"0")</f>
        <v>1.5625E-2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03">
        <v>4680115885882</v>
      </c>
      <c r="E60" s="604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5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3">
        <v>4680115881426</v>
      </c>
      <c r="E61" s="604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4"/>
      <c r="V61" s="34"/>
      <c r="W61" s="35" t="s">
        <v>67</v>
      </c>
      <c r="X61" s="597">
        <v>57</v>
      </c>
      <c r="Y61" s="598">
        <f t="shared" si="6"/>
        <v>64.800000000000011</v>
      </c>
      <c r="Z61" s="36">
        <f>IFERROR(IF(Y61=0,"",ROUNDUP(Y61/H61,0)*0.01898),"")</f>
        <v>0.11388000000000001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59.163888888888884</v>
      </c>
      <c r="BN61" s="64">
        <f t="shared" si="8"/>
        <v>67.260000000000005</v>
      </c>
      <c r="BO61" s="64">
        <f t="shared" si="9"/>
        <v>8.2465277777777776E-2</v>
      </c>
      <c r="BP61" s="64">
        <f t="shared" si="10"/>
        <v>9.3750000000000014E-2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03">
        <v>4680115880283</v>
      </c>
      <c r="E62" s="604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4301011806</v>
      </c>
      <c r="D63" s="603">
        <v>4680115881525</v>
      </c>
      <c r="E63" s="604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86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4301012165</v>
      </c>
      <c r="D64" s="603">
        <v>4680115885899</v>
      </c>
      <c r="E64" s="604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6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hidden="1" customHeight="1" x14ac:dyDescent="0.25">
      <c r="A65" s="54" t="s">
        <v>149</v>
      </c>
      <c r="B65" s="54" t="s">
        <v>150</v>
      </c>
      <c r="C65" s="31">
        <v>4301011801</v>
      </c>
      <c r="D65" s="603">
        <v>4680115881419</v>
      </c>
      <c r="E65" s="604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4"/>
      <c r="V65" s="34"/>
      <c r="W65" s="35" t="s">
        <v>67</v>
      </c>
      <c r="X65" s="597">
        <v>0</v>
      </c>
      <c r="Y65" s="598">
        <f t="shared" si="6"/>
        <v>0</v>
      </c>
      <c r="Z65" s="36" t="str">
        <f>IFERROR(IF(Y65=0,"",ROUNDUP(Y65/H65,0)*0.00902),"")</f>
        <v/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x14ac:dyDescent="0.2">
      <c r="A66" s="617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8"/>
      <c r="P66" s="613" t="s">
        <v>72</v>
      </c>
      <c r="Q66" s="614"/>
      <c r="R66" s="614"/>
      <c r="S66" s="614"/>
      <c r="T66" s="614"/>
      <c r="U66" s="614"/>
      <c r="V66" s="615"/>
      <c r="W66" s="37" t="s">
        <v>73</v>
      </c>
      <c r="X66" s="599">
        <f>IFERROR(X59/H59,"0")+IFERROR(X60/H60,"0")+IFERROR(X61/H61,"0")+IFERROR(X62/H62,"0")+IFERROR(X63/H63,"0")+IFERROR(X64/H64,"0")+IFERROR(X65/H65,"0")</f>
        <v>6.1706349206349209</v>
      </c>
      <c r="Y66" s="599">
        <f>IFERROR(Y59/H59,"0")+IFERROR(Y60/H60,"0")+IFERROR(Y61/H61,"0")+IFERROR(Y62/H62,"0")+IFERROR(Y63/H63,"0")+IFERROR(Y64/H64,"0")+IFERROR(Y65/H65,"0")</f>
        <v>7.0000000000000009</v>
      </c>
      <c r="Z66" s="599">
        <f>IFERROR(IF(Z59="",0,Z59),"0")+IFERROR(IF(Z60="",0,Z60),"0")+IFERROR(IF(Z61="",0,Z61),"0")+IFERROR(IF(Z62="",0,Z62),"0")+IFERROR(IF(Z63="",0,Z63),"0")+IFERROR(IF(Z64="",0,Z64),"0")+IFERROR(IF(Z65="",0,Z65),"0")</f>
        <v>0.13286000000000001</v>
      </c>
      <c r="AA66" s="600"/>
      <c r="AB66" s="600"/>
      <c r="AC66" s="600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8"/>
      <c r="P67" s="613" t="s">
        <v>72</v>
      </c>
      <c r="Q67" s="614"/>
      <c r="R67" s="614"/>
      <c r="S67" s="614"/>
      <c r="T67" s="614"/>
      <c r="U67" s="614"/>
      <c r="V67" s="615"/>
      <c r="W67" s="37" t="s">
        <v>67</v>
      </c>
      <c r="X67" s="599">
        <f>IFERROR(SUM(X59:X65),"0")</f>
        <v>67</v>
      </c>
      <c r="Y67" s="599">
        <f>IFERROR(SUM(Y59:Y65),"0")</f>
        <v>76.000000000000014</v>
      </c>
      <c r="Z67" s="37"/>
      <c r="AA67" s="600"/>
      <c r="AB67" s="600"/>
      <c r="AC67" s="600"/>
    </row>
    <row r="68" spans="1:68" ht="14.25" hidden="1" customHeight="1" x14ac:dyDescent="0.25">
      <c r="A68" s="608" t="s">
        <v>152</v>
      </c>
      <c r="B68" s="609"/>
      <c r="C68" s="609"/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593"/>
      <c r="AB68" s="593"/>
      <c r="AC68" s="593"/>
    </row>
    <row r="69" spans="1:68" ht="16.5" hidden="1" customHeight="1" x14ac:dyDescent="0.25">
      <c r="A69" s="54" t="s">
        <v>153</v>
      </c>
      <c r="B69" s="54" t="s">
        <v>154</v>
      </c>
      <c r="C69" s="31">
        <v>4301020298</v>
      </c>
      <c r="D69" s="603">
        <v>4680115881440</v>
      </c>
      <c r="E69" s="604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8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4"/>
      <c r="V69" s="34"/>
      <c r="W69" s="35" t="s">
        <v>67</v>
      </c>
      <c r="X69" s="597">
        <v>0</v>
      </c>
      <c r="Y69" s="598">
        <f>IFERROR(IF(X69="",0,CEILING((X69/$H69),1)*$H69),"")</f>
        <v>0</v>
      </c>
      <c r="Z69" s="36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4301020358</v>
      </c>
      <c r="D70" s="603">
        <v>4680115885950</v>
      </c>
      <c r="E70" s="604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4301020371</v>
      </c>
      <c r="D71" s="603">
        <v>4680115887688</v>
      </c>
      <c r="E71" s="604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6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4301020296</v>
      </c>
      <c r="D72" s="603">
        <v>4680115881433</v>
      </c>
      <c r="E72" s="604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idden="1" x14ac:dyDescent="0.2">
      <c r="A73" s="617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8"/>
      <c r="P73" s="613" t="s">
        <v>72</v>
      </c>
      <c r="Q73" s="614"/>
      <c r="R73" s="614"/>
      <c r="S73" s="614"/>
      <c r="T73" s="614"/>
      <c r="U73" s="614"/>
      <c r="V73" s="615"/>
      <c r="W73" s="37" t="s">
        <v>73</v>
      </c>
      <c r="X73" s="599">
        <f>IFERROR(X69/H69,"0")+IFERROR(X70/H70,"0")+IFERROR(X71/H71,"0")+IFERROR(X72/H72,"0")</f>
        <v>0</v>
      </c>
      <c r="Y73" s="599">
        <f>IFERROR(Y69/H69,"0")+IFERROR(Y70/H70,"0")+IFERROR(Y71/H71,"0")+IFERROR(Y72/H72,"0")</f>
        <v>0</v>
      </c>
      <c r="Z73" s="599">
        <f>IFERROR(IF(Z69="",0,Z69),"0")+IFERROR(IF(Z70="",0,Z70),"0")+IFERROR(IF(Z71="",0,Z71),"0")+IFERROR(IF(Z72="",0,Z72),"0")</f>
        <v>0</v>
      </c>
      <c r="AA73" s="600"/>
      <c r="AB73" s="600"/>
      <c r="AC73" s="600"/>
    </row>
    <row r="74" spans="1:68" hidden="1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8"/>
      <c r="P74" s="613" t="s">
        <v>72</v>
      </c>
      <c r="Q74" s="614"/>
      <c r="R74" s="614"/>
      <c r="S74" s="614"/>
      <c r="T74" s="614"/>
      <c r="U74" s="614"/>
      <c r="V74" s="615"/>
      <c r="W74" s="37" t="s">
        <v>67</v>
      </c>
      <c r="X74" s="599">
        <f>IFERROR(SUM(X69:X72),"0")</f>
        <v>0</v>
      </c>
      <c r="Y74" s="599">
        <f>IFERROR(SUM(Y69:Y72),"0")</f>
        <v>0</v>
      </c>
      <c r="Z74" s="37"/>
      <c r="AA74" s="600"/>
      <c r="AB74" s="600"/>
      <c r="AC74" s="600"/>
    </row>
    <row r="75" spans="1:68" ht="14.25" hidden="1" customHeight="1" x14ac:dyDescent="0.25">
      <c r="A75" s="608" t="s">
        <v>74</v>
      </c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  <c r="Z75" s="609"/>
      <c r="AA75" s="593"/>
      <c r="AB75" s="593"/>
      <c r="AC75" s="593"/>
    </row>
    <row r="76" spans="1:68" ht="16.5" hidden="1" customHeight="1" x14ac:dyDescent="0.25">
      <c r="A76" s="54" t="s">
        <v>163</v>
      </c>
      <c r="B76" s="54" t="s">
        <v>164</v>
      </c>
      <c r="C76" s="31">
        <v>4301051837</v>
      </c>
      <c r="D76" s="603">
        <v>4680115884311</v>
      </c>
      <c r="E76" s="604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1">
        <v>4301051929</v>
      </c>
      <c r="D77" s="603">
        <v>4680115884403</v>
      </c>
      <c r="E77" s="604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17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8"/>
      <c r="P78" s="613" t="s">
        <v>72</v>
      </c>
      <c r="Q78" s="614"/>
      <c r="R78" s="614"/>
      <c r="S78" s="614"/>
      <c r="T78" s="614"/>
      <c r="U78" s="614"/>
      <c r="V78" s="61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hidden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8"/>
      <c r="P79" s="613" t="s">
        <v>72</v>
      </c>
      <c r="Q79" s="614"/>
      <c r="R79" s="614"/>
      <c r="S79" s="614"/>
      <c r="T79" s="614"/>
      <c r="U79" s="614"/>
      <c r="V79" s="61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hidden="1" customHeight="1" x14ac:dyDescent="0.25">
      <c r="A80" s="608" t="s">
        <v>169</v>
      </c>
      <c r="B80" s="609"/>
      <c r="C80" s="609"/>
      <c r="D80" s="609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  <c r="Z80" s="609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3">
        <v>4680115881532</v>
      </c>
      <c r="E81" s="604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4"/>
      <c r="V81" s="34"/>
      <c r="W81" s="35" t="s">
        <v>67</v>
      </c>
      <c r="X81" s="597">
        <v>265</v>
      </c>
      <c r="Y81" s="598">
        <f>IFERROR(IF(X81="",0,CEILING((X81/$H81),1)*$H81),"")</f>
        <v>265.2</v>
      </c>
      <c r="Z81" s="36">
        <f>IFERROR(IF(Y81=0,"",ROUNDUP(Y81/H81,0)*0.01898),"")</f>
        <v>0.64532</v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278.92948717948718</v>
      </c>
      <c r="BN81" s="64">
        <f>IFERROR(Y81*I81/H81,"0")</f>
        <v>279.14</v>
      </c>
      <c r="BO81" s="64">
        <f>IFERROR(1/J81*(X81/H81),"0")</f>
        <v>0.53084935897435903</v>
      </c>
      <c r="BP81" s="64">
        <f>IFERROR(1/J81*(Y81/H81),"0")</f>
        <v>0.53125</v>
      </c>
    </row>
    <row r="82" spans="1:68" ht="27" hidden="1" customHeight="1" x14ac:dyDescent="0.25">
      <c r="A82" s="54" t="s">
        <v>173</v>
      </c>
      <c r="B82" s="54" t="s">
        <v>174</v>
      </c>
      <c r="C82" s="31">
        <v>4301060351</v>
      </c>
      <c r="D82" s="603">
        <v>4680115881464</v>
      </c>
      <c r="E82" s="604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6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17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8"/>
      <c r="P83" s="613" t="s">
        <v>72</v>
      </c>
      <c r="Q83" s="614"/>
      <c r="R83" s="614"/>
      <c r="S83" s="614"/>
      <c r="T83" s="614"/>
      <c r="U83" s="614"/>
      <c r="V83" s="615"/>
      <c r="W83" s="37" t="s">
        <v>73</v>
      </c>
      <c r="X83" s="599">
        <f>IFERROR(X81/H81,"0")+IFERROR(X82/H82,"0")</f>
        <v>33.974358974358978</v>
      </c>
      <c r="Y83" s="599">
        <f>IFERROR(Y81/H81,"0")+IFERROR(Y82/H82,"0")</f>
        <v>34</v>
      </c>
      <c r="Z83" s="599">
        <f>IFERROR(IF(Z81="",0,Z81),"0")+IFERROR(IF(Z82="",0,Z82),"0")</f>
        <v>0.64532</v>
      </c>
      <c r="AA83" s="600"/>
      <c r="AB83" s="600"/>
      <c r="AC83" s="600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8"/>
      <c r="P84" s="613" t="s">
        <v>72</v>
      </c>
      <c r="Q84" s="614"/>
      <c r="R84" s="614"/>
      <c r="S84" s="614"/>
      <c r="T84" s="614"/>
      <c r="U84" s="614"/>
      <c r="V84" s="615"/>
      <c r="W84" s="37" t="s">
        <v>67</v>
      </c>
      <c r="X84" s="599">
        <f>IFERROR(SUM(X81:X82),"0")</f>
        <v>265</v>
      </c>
      <c r="Y84" s="599">
        <f>IFERROR(SUM(Y81:Y82),"0")</f>
        <v>265.2</v>
      </c>
      <c r="Z84" s="37"/>
      <c r="AA84" s="600"/>
      <c r="AB84" s="600"/>
      <c r="AC84" s="600"/>
    </row>
    <row r="85" spans="1:68" ht="16.5" hidden="1" customHeight="1" x14ac:dyDescent="0.25">
      <c r="A85" s="612" t="s">
        <v>176</v>
      </c>
      <c r="B85" s="609"/>
      <c r="C85" s="609"/>
      <c r="D85" s="609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  <c r="Z85" s="609"/>
      <c r="AA85" s="592"/>
      <c r="AB85" s="592"/>
      <c r="AC85" s="592"/>
    </row>
    <row r="86" spans="1:68" ht="14.25" hidden="1" customHeight="1" x14ac:dyDescent="0.25">
      <c r="A86" s="608" t="s">
        <v>117</v>
      </c>
      <c r="B86" s="609"/>
      <c r="C86" s="609"/>
      <c r="D86" s="609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  <c r="Z86" s="609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3">
        <v>4680115881327</v>
      </c>
      <c r="E87" s="604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4"/>
      <c r="V87" s="34"/>
      <c r="W87" s="35" t="s">
        <v>67</v>
      </c>
      <c r="X87" s="597">
        <v>78</v>
      </c>
      <c r="Y87" s="598">
        <f>IFERROR(IF(X87="",0,CEILING((X87/$H87),1)*$H87),"")</f>
        <v>86.4</v>
      </c>
      <c r="Z87" s="36">
        <f>IFERROR(IF(Y87=0,"",ROUNDUP(Y87/H87,0)*0.01898),"")</f>
        <v>0.15184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80.961111111111123</v>
      </c>
      <c r="BN87" s="64">
        <f>IFERROR(Y87*I87/H87,"0")</f>
        <v>89.68</v>
      </c>
      <c r="BO87" s="64">
        <f>IFERROR(1/J87*(X87/H87),"0")</f>
        <v>0.11284722222222221</v>
      </c>
      <c r="BP87" s="64">
        <f>IFERROR(1/J87*(Y87/H87),"0")</f>
        <v>0.125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4301011261</v>
      </c>
      <c r="D88" s="603">
        <v>4680115887732</v>
      </c>
      <c r="E88" s="604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4"/>
      <c r="V88" s="34"/>
      <c r="W88" s="35" t="s">
        <v>67</v>
      </c>
      <c r="X88" s="597">
        <v>0</v>
      </c>
      <c r="Y88" s="59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4301011476</v>
      </c>
      <c r="D89" s="603">
        <v>4680115881518</v>
      </c>
      <c r="E89" s="604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79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3">
        <v>4680115881303</v>
      </c>
      <c r="E90" s="604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7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4"/>
      <c r="V90" s="34"/>
      <c r="W90" s="35" t="s">
        <v>67</v>
      </c>
      <c r="X90" s="597">
        <v>38</v>
      </c>
      <c r="Y90" s="598">
        <f>IFERROR(IF(X90="",0,CEILING((X90/$H90),1)*$H90),"")</f>
        <v>40.5</v>
      </c>
      <c r="Z90" s="36">
        <f>IFERROR(IF(Y90=0,"",ROUNDUP(Y90/H90,0)*0.00902),"")</f>
        <v>8.1180000000000002E-2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39.604444444444454</v>
      </c>
      <c r="BN90" s="64">
        <f>IFERROR(Y90*I90/H90,"0")</f>
        <v>42.210000000000008</v>
      </c>
      <c r="BO90" s="64">
        <f>IFERROR(1/J90*(X90/H90),"0")</f>
        <v>6.3973063973063973E-2</v>
      </c>
      <c r="BP90" s="64">
        <f>IFERROR(1/J90*(Y90/H90),"0")</f>
        <v>6.8181818181818177E-2</v>
      </c>
    </row>
    <row r="91" spans="1:68" x14ac:dyDescent="0.2">
      <c r="A91" s="617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8"/>
      <c r="P91" s="613" t="s">
        <v>72</v>
      </c>
      <c r="Q91" s="614"/>
      <c r="R91" s="614"/>
      <c r="S91" s="614"/>
      <c r="T91" s="614"/>
      <c r="U91" s="614"/>
      <c r="V91" s="615"/>
      <c r="W91" s="37" t="s">
        <v>73</v>
      </c>
      <c r="X91" s="599">
        <f>IFERROR(X87/H87,"0")+IFERROR(X88/H88,"0")+IFERROR(X89/H89,"0")+IFERROR(X90/H90,"0")</f>
        <v>15.666666666666666</v>
      </c>
      <c r="Y91" s="599">
        <f>IFERROR(Y87/H87,"0")+IFERROR(Y88/H88,"0")+IFERROR(Y89/H89,"0")+IFERROR(Y90/H90,"0")</f>
        <v>17</v>
      </c>
      <c r="Z91" s="599">
        <f>IFERROR(IF(Z87="",0,Z87),"0")+IFERROR(IF(Z88="",0,Z88),"0")+IFERROR(IF(Z89="",0,Z89),"0")+IFERROR(IF(Z90="",0,Z90),"0")</f>
        <v>0.23302</v>
      </c>
      <c r="AA91" s="600"/>
      <c r="AB91" s="600"/>
      <c r="AC91" s="600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8"/>
      <c r="P92" s="613" t="s">
        <v>72</v>
      </c>
      <c r="Q92" s="614"/>
      <c r="R92" s="614"/>
      <c r="S92" s="614"/>
      <c r="T92" s="614"/>
      <c r="U92" s="614"/>
      <c r="V92" s="615"/>
      <c r="W92" s="37" t="s">
        <v>67</v>
      </c>
      <c r="X92" s="599">
        <f>IFERROR(SUM(X87:X90),"0")</f>
        <v>116</v>
      </c>
      <c r="Y92" s="599">
        <f>IFERROR(SUM(Y87:Y90),"0")</f>
        <v>126.9</v>
      </c>
      <c r="Z92" s="37"/>
      <c r="AA92" s="600"/>
      <c r="AB92" s="600"/>
      <c r="AC92" s="600"/>
    </row>
    <row r="93" spans="1:68" ht="14.25" hidden="1" customHeight="1" x14ac:dyDescent="0.25">
      <c r="A93" s="608" t="s">
        <v>74</v>
      </c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  <c r="Z93" s="609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3">
        <v>4607091386967</v>
      </c>
      <c r="E94" s="604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9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4"/>
      <c r="V94" s="34"/>
      <c r="W94" s="35" t="s">
        <v>67</v>
      </c>
      <c r="X94" s="597">
        <v>640</v>
      </c>
      <c r="Y94" s="598">
        <f>IFERROR(IF(X94="",0,CEILING((X94/$H94),1)*$H94),"")</f>
        <v>648</v>
      </c>
      <c r="Z94" s="36">
        <f>IFERROR(IF(Y94=0,"",ROUNDUP(Y94/H94,0)*0.01898),"")</f>
        <v>1.5184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679.03209876543212</v>
      </c>
      <c r="BN94" s="64">
        <f>IFERROR(Y94*I94/H94,"0")</f>
        <v>687.52</v>
      </c>
      <c r="BO94" s="64">
        <f>IFERROR(1/J94*(X94/H94),"0")</f>
        <v>1.2345679012345681</v>
      </c>
      <c r="BP94" s="64">
        <f>IFERROR(1/J94*(Y94/H94),"0")</f>
        <v>1.25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4301051788</v>
      </c>
      <c r="D95" s="603">
        <v>4680115884953</v>
      </c>
      <c r="E95" s="604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9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3">
        <v>4607091385731</v>
      </c>
      <c r="E96" s="604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4"/>
      <c r="V96" s="34"/>
      <c r="W96" s="35" t="s">
        <v>67</v>
      </c>
      <c r="X96" s="597">
        <v>32</v>
      </c>
      <c r="Y96" s="598">
        <f>IFERROR(IF(X96="",0,CEILING((X96/$H96),1)*$H96),"")</f>
        <v>32.400000000000006</v>
      </c>
      <c r="Z96" s="36">
        <f>IFERROR(IF(Y96=0,"",ROUNDUP(Y96/H96,0)*0.00651),"")</f>
        <v>7.8119999999999995E-2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34.986666666666665</v>
      </c>
      <c r="BN96" s="64">
        <f>IFERROR(Y96*I96/H96,"0")</f>
        <v>35.424000000000007</v>
      </c>
      <c r="BO96" s="64">
        <f>IFERROR(1/J96*(X96/H96),"0")</f>
        <v>6.5120065120065115E-2</v>
      </c>
      <c r="BP96" s="64">
        <f>IFERROR(1/J96*(Y96/H96),"0")</f>
        <v>6.593406593406595E-2</v>
      </c>
    </row>
    <row r="97" spans="1:68" ht="16.5" hidden="1" customHeight="1" x14ac:dyDescent="0.25">
      <c r="A97" s="54" t="s">
        <v>194</v>
      </c>
      <c r="B97" s="54" t="s">
        <v>195</v>
      </c>
      <c r="C97" s="31">
        <v>4301052092</v>
      </c>
      <c r="D97" s="603">
        <v>4680115880894</v>
      </c>
      <c r="E97" s="604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88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17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8"/>
      <c r="P98" s="613" t="s">
        <v>72</v>
      </c>
      <c r="Q98" s="614"/>
      <c r="R98" s="614"/>
      <c r="S98" s="614"/>
      <c r="T98" s="614"/>
      <c r="U98" s="614"/>
      <c r="V98" s="615"/>
      <c r="W98" s="37" t="s">
        <v>73</v>
      </c>
      <c r="X98" s="599">
        <f>IFERROR(X94/H94,"0")+IFERROR(X95/H95,"0")+IFERROR(X96/H96,"0")+IFERROR(X97/H97,"0")</f>
        <v>90.864197530864203</v>
      </c>
      <c r="Y98" s="599">
        <f>IFERROR(Y94/H94,"0")+IFERROR(Y95/H95,"0")+IFERROR(Y96/H96,"0")+IFERROR(Y97/H97,"0")</f>
        <v>92</v>
      </c>
      <c r="Z98" s="599">
        <f>IFERROR(IF(Z94="",0,Z94),"0")+IFERROR(IF(Z95="",0,Z95),"0")+IFERROR(IF(Z96="",0,Z96),"0")+IFERROR(IF(Z97="",0,Z97),"0")</f>
        <v>1.5965199999999999</v>
      </c>
      <c r="AA98" s="600"/>
      <c r="AB98" s="600"/>
      <c r="AC98" s="600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8"/>
      <c r="P99" s="613" t="s">
        <v>72</v>
      </c>
      <c r="Q99" s="614"/>
      <c r="R99" s="614"/>
      <c r="S99" s="614"/>
      <c r="T99" s="614"/>
      <c r="U99" s="614"/>
      <c r="V99" s="615"/>
      <c r="W99" s="37" t="s">
        <v>67</v>
      </c>
      <c r="X99" s="599">
        <f>IFERROR(SUM(X94:X97),"0")</f>
        <v>672</v>
      </c>
      <c r="Y99" s="599">
        <f>IFERROR(SUM(Y94:Y97),"0")</f>
        <v>680.4</v>
      </c>
      <c r="Z99" s="37"/>
      <c r="AA99" s="600"/>
      <c r="AB99" s="600"/>
      <c r="AC99" s="600"/>
    </row>
    <row r="100" spans="1:68" ht="16.5" hidden="1" customHeight="1" x14ac:dyDescent="0.25">
      <c r="A100" s="612" t="s">
        <v>197</v>
      </c>
      <c r="B100" s="609"/>
      <c r="C100" s="609"/>
      <c r="D100" s="609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592"/>
      <c r="AB100" s="592"/>
      <c r="AC100" s="592"/>
    </row>
    <row r="101" spans="1:68" ht="14.25" hidden="1" customHeight="1" x14ac:dyDescent="0.25">
      <c r="A101" s="608" t="s">
        <v>117</v>
      </c>
      <c r="B101" s="609"/>
      <c r="C101" s="609"/>
      <c r="D101" s="609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  <c r="Z101" s="609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3">
        <v>4680115882133</v>
      </c>
      <c r="E102" s="604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6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4"/>
      <c r="V102" s="34"/>
      <c r="W102" s="35" t="s">
        <v>67</v>
      </c>
      <c r="X102" s="597">
        <v>32</v>
      </c>
      <c r="Y102" s="598">
        <f t="shared" ref="Y102:Y108" si="11">IFERROR(IF(X102="",0,CEILING((X102/$H102),1)*$H102),"")</f>
        <v>32.400000000000006</v>
      </c>
      <c r="Z102" s="36">
        <f>IFERROR(IF(Y102=0,"",ROUNDUP(Y102/H102,0)*0.01898),"")</f>
        <v>5.6940000000000004E-2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33.214814814814815</v>
      </c>
      <c r="BN102" s="64">
        <f t="shared" ref="BN102:BN108" si="13">IFERROR(Y102*I102/H102,"0")</f>
        <v>33.630000000000003</v>
      </c>
      <c r="BO102" s="64">
        <f t="shared" ref="BO102:BO108" si="14">IFERROR(1/J102*(X102/H102),"0")</f>
        <v>4.6296296296296294E-2</v>
      </c>
      <c r="BP102" s="64">
        <f t="shared" ref="BP102:BP108" si="15">IFERROR(1/J102*(Y102/H102),"0")</f>
        <v>4.6875000000000007E-2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4301012051</v>
      </c>
      <c r="D103" s="603">
        <v>4680115887718</v>
      </c>
      <c r="E103" s="604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9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4"/>
      <c r="V103" s="34"/>
      <c r="W103" s="35" t="s">
        <v>67</v>
      </c>
      <c r="X103" s="597">
        <v>0</v>
      </c>
      <c r="Y103" s="598">
        <f t="shared" si="11"/>
        <v>0</v>
      </c>
      <c r="Z103" s="36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1">
        <v>4301012334</v>
      </c>
      <c r="D104" s="603">
        <v>4680115887718</v>
      </c>
      <c r="E104" s="604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4301012226</v>
      </c>
      <c r="D105" s="603">
        <v>4680115887749</v>
      </c>
      <c r="E105" s="604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0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03">
        <v>4680115880269</v>
      </c>
      <c r="E106" s="604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2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3">
        <v>4680115880429</v>
      </c>
      <c r="E107" s="604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7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4"/>
      <c r="V107" s="34"/>
      <c r="W107" s="35" t="s">
        <v>67</v>
      </c>
      <c r="X107" s="597">
        <v>7</v>
      </c>
      <c r="Y107" s="598">
        <f t="shared" si="11"/>
        <v>9</v>
      </c>
      <c r="Z107" s="36">
        <f>IFERROR(IF(Y107=0,"",ROUNDUP(Y107/H107,0)*0.00902),"")</f>
        <v>1.804E-2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7.2955555555555565</v>
      </c>
      <c r="BN107" s="64">
        <f t="shared" si="13"/>
        <v>9.3800000000000008</v>
      </c>
      <c r="BO107" s="64">
        <f t="shared" si="14"/>
        <v>1.1784511784511785E-2</v>
      </c>
      <c r="BP107" s="64">
        <f t="shared" si="15"/>
        <v>1.5151515151515152E-2</v>
      </c>
    </row>
    <row r="108" spans="1:68" ht="37.5" hidden="1" customHeight="1" x14ac:dyDescent="0.25">
      <c r="A108" s="54" t="s">
        <v>211</v>
      </c>
      <c r="B108" s="54" t="s">
        <v>212</v>
      </c>
      <c r="C108" s="31">
        <v>4301011462</v>
      </c>
      <c r="D108" s="603">
        <v>4680115881457</v>
      </c>
      <c r="E108" s="604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17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8"/>
      <c r="P109" s="613" t="s">
        <v>72</v>
      </c>
      <c r="Q109" s="614"/>
      <c r="R109" s="614"/>
      <c r="S109" s="614"/>
      <c r="T109" s="614"/>
      <c r="U109" s="614"/>
      <c r="V109" s="61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4.5185185185185182</v>
      </c>
      <c r="Y109" s="599">
        <f>IFERROR(Y102/H102,"0")+IFERROR(Y103/H103,"0")+IFERROR(Y104/H104,"0")+IFERROR(Y105/H105,"0")+IFERROR(Y106/H106,"0")+IFERROR(Y107/H107,"0")+IFERROR(Y108/H108,"0")</f>
        <v>5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7.4980000000000005E-2</v>
      </c>
      <c r="AA109" s="600"/>
      <c r="AB109" s="600"/>
      <c r="AC109" s="600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8"/>
      <c r="P110" s="613" t="s">
        <v>72</v>
      </c>
      <c r="Q110" s="614"/>
      <c r="R110" s="614"/>
      <c r="S110" s="614"/>
      <c r="T110" s="614"/>
      <c r="U110" s="614"/>
      <c r="V110" s="615"/>
      <c r="W110" s="37" t="s">
        <v>67</v>
      </c>
      <c r="X110" s="599">
        <f>IFERROR(SUM(X102:X108),"0")</f>
        <v>39</v>
      </c>
      <c r="Y110" s="599">
        <f>IFERROR(SUM(Y102:Y108),"0")</f>
        <v>41.400000000000006</v>
      </c>
      <c r="Z110" s="37"/>
      <c r="AA110" s="600"/>
      <c r="AB110" s="600"/>
      <c r="AC110" s="600"/>
    </row>
    <row r="111" spans="1:68" ht="14.25" hidden="1" customHeight="1" x14ac:dyDescent="0.25">
      <c r="A111" s="608" t="s">
        <v>152</v>
      </c>
      <c r="B111" s="609"/>
      <c r="C111" s="609"/>
      <c r="D111" s="609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3">
        <v>4680115881488</v>
      </c>
      <c r="E112" s="604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4"/>
      <c r="V112" s="34"/>
      <c r="W112" s="35" t="s">
        <v>67</v>
      </c>
      <c r="X112" s="597">
        <v>10</v>
      </c>
      <c r="Y112" s="598">
        <f t="shared" ref="Y112:Y118" si="16"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10.37962962962963</v>
      </c>
      <c r="BN112" s="64">
        <f t="shared" ref="BN112:BN118" si="18">IFERROR(Y112*I112/H112,"0")</f>
        <v>11.21</v>
      </c>
      <c r="BO112" s="64">
        <f t="shared" ref="BO112:BO118" si="19">IFERROR(1/J112*(X112/H112),"0")</f>
        <v>1.4467592592592591E-2</v>
      </c>
      <c r="BP112" s="64">
        <f t="shared" ref="BP112:BP118" si="20">IFERROR(1/J112*(Y112/H112),"0")</f>
        <v>1.5625E-2</v>
      </c>
    </row>
    <row r="113" spans="1:68" ht="27" hidden="1" customHeight="1" x14ac:dyDescent="0.25">
      <c r="A113" s="54" t="s">
        <v>213</v>
      </c>
      <c r="B113" s="54" t="s">
        <v>216</v>
      </c>
      <c r="C113" s="31">
        <v>4301020391</v>
      </c>
      <c r="D113" s="603">
        <v>4680115881488</v>
      </c>
      <c r="E113" s="604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8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1">
        <v>4301020186</v>
      </c>
      <c r="D114" s="603">
        <v>4680115887664</v>
      </c>
      <c r="E114" s="604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7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1">
        <v>4301020430</v>
      </c>
      <c r="D115" s="603">
        <v>4680115887664</v>
      </c>
      <c r="E115" s="604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1">
        <v>4301020393</v>
      </c>
      <c r="D116" s="603">
        <v>4680115882775</v>
      </c>
      <c r="E116" s="604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1">
        <v>4301020344</v>
      </c>
      <c r="D117" s="603">
        <v>4680115880658</v>
      </c>
      <c r="E117" s="604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8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4"/>
      <c r="V117" s="34"/>
      <c r="W117" s="35" t="s">
        <v>67</v>
      </c>
      <c r="X117" s="597">
        <v>44</v>
      </c>
      <c r="Y117" s="598">
        <f t="shared" si="16"/>
        <v>45.6</v>
      </c>
      <c r="Z117" s="36">
        <f>IFERROR(IF(Y117=0,"",ROUNDUP(Y117/H117,0)*0.00651),"")</f>
        <v>0.12369000000000001</v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47.300000000000004</v>
      </c>
      <c r="BN117" s="64">
        <f t="shared" si="18"/>
        <v>49.02</v>
      </c>
      <c r="BO117" s="64">
        <f t="shared" si="19"/>
        <v>0.10073260073260075</v>
      </c>
      <c r="BP117" s="64">
        <f t="shared" si="20"/>
        <v>0.1043956043956044</v>
      </c>
    </row>
    <row r="118" spans="1:68" ht="27" hidden="1" customHeight="1" x14ac:dyDescent="0.25">
      <c r="A118" s="54" t="s">
        <v>225</v>
      </c>
      <c r="B118" s="54" t="s">
        <v>227</v>
      </c>
      <c r="C118" s="31">
        <v>4301020392</v>
      </c>
      <c r="D118" s="603">
        <v>4680115880658</v>
      </c>
      <c r="E118" s="604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8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06"/>
      <c r="R118" s="606"/>
      <c r="S118" s="606"/>
      <c r="T118" s="607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17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8"/>
      <c r="P119" s="613" t="s">
        <v>72</v>
      </c>
      <c r="Q119" s="614"/>
      <c r="R119" s="614"/>
      <c r="S119" s="614"/>
      <c r="T119" s="614"/>
      <c r="U119" s="614"/>
      <c r="V119" s="61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19.259259259259263</v>
      </c>
      <c r="Y119" s="599">
        <f>IFERROR(Y112/H112,"0")+IFERROR(Y113/H113,"0")+IFERROR(Y114/H114,"0")+IFERROR(Y115/H115,"0")+IFERROR(Y116/H116,"0")+IFERROR(Y117/H117,"0")+IFERROR(Y118/H118,"0")</f>
        <v>20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0.14267000000000002</v>
      </c>
      <c r="AA119" s="600"/>
      <c r="AB119" s="600"/>
      <c r="AC119" s="600"/>
    </row>
    <row r="120" spans="1:68" x14ac:dyDescent="0.2">
      <c r="A120" s="609"/>
      <c r="B120" s="609"/>
      <c r="C120" s="609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18"/>
      <c r="P120" s="613" t="s">
        <v>72</v>
      </c>
      <c r="Q120" s="614"/>
      <c r="R120" s="614"/>
      <c r="S120" s="614"/>
      <c r="T120" s="614"/>
      <c r="U120" s="614"/>
      <c r="V120" s="615"/>
      <c r="W120" s="37" t="s">
        <v>67</v>
      </c>
      <c r="X120" s="599">
        <f>IFERROR(SUM(X112:X118),"0")</f>
        <v>54</v>
      </c>
      <c r="Y120" s="599">
        <f>IFERROR(SUM(Y112:Y118),"0")</f>
        <v>56.400000000000006</v>
      </c>
      <c r="Z120" s="37"/>
      <c r="AA120" s="600"/>
      <c r="AB120" s="600"/>
      <c r="AC120" s="600"/>
    </row>
    <row r="121" spans="1:68" ht="14.25" hidden="1" customHeight="1" x14ac:dyDescent="0.25">
      <c r="A121" s="608" t="s">
        <v>74</v>
      </c>
      <c r="B121" s="609"/>
      <c r="C121" s="609"/>
      <c r="D121" s="609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3">
        <v>4607091385168</v>
      </c>
      <c r="E122" s="604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06"/>
      <c r="R122" s="606"/>
      <c r="S122" s="606"/>
      <c r="T122" s="607"/>
      <c r="U122" s="34"/>
      <c r="V122" s="34"/>
      <c r="W122" s="35" t="s">
        <v>67</v>
      </c>
      <c r="X122" s="597">
        <v>634</v>
      </c>
      <c r="Y122" s="598">
        <f>IFERROR(IF(X122="",0,CEILING((X122/$H122),1)*$H122),"")</f>
        <v>639.9</v>
      </c>
      <c r="Z122" s="36">
        <f>IFERROR(IF(Y122=0,"",ROUNDUP(Y122/H122,0)*0.01898),"")</f>
        <v>1.49942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672.19654320987649</v>
      </c>
      <c r="BN122" s="64">
        <f>IFERROR(Y122*I122/H122,"0")</f>
        <v>678.452</v>
      </c>
      <c r="BO122" s="64">
        <f>IFERROR(1/J122*(X122/H122),"0")</f>
        <v>1.2229938271604939</v>
      </c>
      <c r="BP122" s="64">
        <f>IFERROR(1/J122*(Y122/H122),"0")</f>
        <v>1.234375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4301051730</v>
      </c>
      <c r="D123" s="603">
        <v>4607091383256</v>
      </c>
      <c r="E123" s="604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06"/>
      <c r="R123" s="606"/>
      <c r="S123" s="606"/>
      <c r="T123" s="607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3">
        <v>4607091385748</v>
      </c>
      <c r="E124" s="604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6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06"/>
      <c r="R124" s="606"/>
      <c r="S124" s="606"/>
      <c r="T124" s="607"/>
      <c r="U124" s="34"/>
      <c r="V124" s="34"/>
      <c r="W124" s="35" t="s">
        <v>67</v>
      </c>
      <c r="X124" s="597">
        <v>9</v>
      </c>
      <c r="Y124" s="598">
        <f>IFERROR(IF(X124="",0,CEILING((X124/$H124),1)*$H124),"")</f>
        <v>10.8</v>
      </c>
      <c r="Z124" s="36">
        <f>IFERROR(IF(Y124=0,"",ROUNDUP(Y124/H124,0)*0.00651),"")</f>
        <v>2.6040000000000001E-2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9.8399999999999981</v>
      </c>
      <c r="BN124" s="64">
        <f>IFERROR(Y124*I124/H124,"0")</f>
        <v>11.808</v>
      </c>
      <c r="BO124" s="64">
        <f>IFERROR(1/J124*(X124/H124),"0")</f>
        <v>1.8315018315018316E-2</v>
      </c>
      <c r="BP124" s="64">
        <f>IFERROR(1/J124*(Y124/H124),"0")</f>
        <v>2.197802197802198E-2</v>
      </c>
    </row>
    <row r="125" spans="1:68" ht="16.5" hidden="1" customHeight="1" x14ac:dyDescent="0.25">
      <c r="A125" s="54" t="s">
        <v>235</v>
      </c>
      <c r="B125" s="54" t="s">
        <v>236</v>
      </c>
      <c r="C125" s="31">
        <v>4301051740</v>
      </c>
      <c r="D125" s="603">
        <v>4680115884533</v>
      </c>
      <c r="E125" s="604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7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06"/>
      <c r="R125" s="606"/>
      <c r="S125" s="606"/>
      <c r="T125" s="607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7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8"/>
      <c r="P126" s="613" t="s">
        <v>72</v>
      </c>
      <c r="Q126" s="614"/>
      <c r="R126" s="614"/>
      <c r="S126" s="614"/>
      <c r="T126" s="614"/>
      <c r="U126" s="614"/>
      <c r="V126" s="615"/>
      <c r="W126" s="37" t="s">
        <v>73</v>
      </c>
      <c r="X126" s="599">
        <f>IFERROR(X122/H122,"0")+IFERROR(X123/H123,"0")+IFERROR(X124/H124,"0")+IFERROR(X125/H125,"0")</f>
        <v>81.604938271604937</v>
      </c>
      <c r="Y126" s="599">
        <f>IFERROR(Y122/H122,"0")+IFERROR(Y123/H123,"0")+IFERROR(Y124/H124,"0")+IFERROR(Y125/H125,"0")</f>
        <v>83</v>
      </c>
      <c r="Z126" s="599">
        <f>IFERROR(IF(Z122="",0,Z122),"0")+IFERROR(IF(Z123="",0,Z123),"0")+IFERROR(IF(Z124="",0,Z124),"0")+IFERROR(IF(Z125="",0,Z125),"0")</f>
        <v>1.52546</v>
      </c>
      <c r="AA126" s="600"/>
      <c r="AB126" s="600"/>
      <c r="AC126" s="600"/>
    </row>
    <row r="127" spans="1:68" x14ac:dyDescent="0.2">
      <c r="A127" s="609"/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18"/>
      <c r="P127" s="613" t="s">
        <v>72</v>
      </c>
      <c r="Q127" s="614"/>
      <c r="R127" s="614"/>
      <c r="S127" s="614"/>
      <c r="T127" s="614"/>
      <c r="U127" s="614"/>
      <c r="V127" s="615"/>
      <c r="W127" s="37" t="s">
        <v>67</v>
      </c>
      <c r="X127" s="599">
        <f>IFERROR(SUM(X122:X125),"0")</f>
        <v>643</v>
      </c>
      <c r="Y127" s="599">
        <f>IFERROR(SUM(Y122:Y125),"0")</f>
        <v>650.69999999999993</v>
      </c>
      <c r="Z127" s="37"/>
      <c r="AA127" s="600"/>
      <c r="AB127" s="600"/>
      <c r="AC127" s="600"/>
    </row>
    <row r="128" spans="1:68" ht="14.25" hidden="1" customHeight="1" x14ac:dyDescent="0.25">
      <c r="A128" s="608" t="s">
        <v>169</v>
      </c>
      <c r="B128" s="609"/>
      <c r="C128" s="609"/>
      <c r="D128" s="609"/>
      <c r="E128" s="609"/>
      <c r="F128" s="609"/>
      <c r="G128" s="609"/>
      <c r="H128" s="609"/>
      <c r="I128" s="609"/>
      <c r="J128" s="609"/>
      <c r="K128" s="609"/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  <c r="Z128" s="609"/>
      <c r="AA128" s="593"/>
      <c r="AB128" s="593"/>
      <c r="AC128" s="593"/>
    </row>
    <row r="129" spans="1:68" ht="16.5" hidden="1" customHeight="1" x14ac:dyDescent="0.25">
      <c r="A129" s="54" t="s">
        <v>238</v>
      </c>
      <c r="B129" s="54" t="s">
        <v>239</v>
      </c>
      <c r="C129" s="31">
        <v>4301060317</v>
      </c>
      <c r="D129" s="603">
        <v>4680115880238</v>
      </c>
      <c r="E129" s="604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8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06"/>
      <c r="R129" s="606"/>
      <c r="S129" s="606"/>
      <c r="T129" s="607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7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8"/>
      <c r="P130" s="613" t="s">
        <v>72</v>
      </c>
      <c r="Q130" s="614"/>
      <c r="R130" s="614"/>
      <c r="S130" s="614"/>
      <c r="T130" s="614"/>
      <c r="U130" s="614"/>
      <c r="V130" s="61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hidden="1" x14ac:dyDescent="0.2">
      <c r="A131" s="609"/>
      <c r="B131" s="609"/>
      <c r="C131" s="609"/>
      <c r="D131" s="609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18"/>
      <c r="P131" s="613" t="s">
        <v>72</v>
      </c>
      <c r="Q131" s="614"/>
      <c r="R131" s="614"/>
      <c r="S131" s="614"/>
      <c r="T131" s="614"/>
      <c r="U131" s="614"/>
      <c r="V131" s="61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hidden="1" customHeight="1" x14ac:dyDescent="0.25">
      <c r="A132" s="612" t="s">
        <v>241</v>
      </c>
      <c r="B132" s="609"/>
      <c r="C132" s="609"/>
      <c r="D132" s="609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592"/>
      <c r="AB132" s="592"/>
      <c r="AC132" s="592"/>
    </row>
    <row r="133" spans="1:68" ht="14.25" hidden="1" customHeight="1" x14ac:dyDescent="0.25">
      <c r="A133" s="608" t="s">
        <v>117</v>
      </c>
      <c r="B133" s="609"/>
      <c r="C133" s="609"/>
      <c r="D133" s="609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  <c r="Z133" s="609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3">
        <v>4680115882577</v>
      </c>
      <c r="E134" s="604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6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06"/>
      <c r="R134" s="606"/>
      <c r="S134" s="606"/>
      <c r="T134" s="607"/>
      <c r="U134" s="34"/>
      <c r="V134" s="34"/>
      <c r="W134" s="35" t="s">
        <v>67</v>
      </c>
      <c r="X134" s="597">
        <v>48</v>
      </c>
      <c r="Y134" s="598">
        <f>IFERROR(IF(X134="",0,CEILING((X134/$H134),1)*$H134),"")</f>
        <v>48</v>
      </c>
      <c r="Z134" s="36">
        <f>IFERROR(IF(Y134=0,"",ROUNDUP(Y134/H134,0)*0.00651),"")</f>
        <v>9.7650000000000001E-2</v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50.7</v>
      </c>
      <c r="BN134" s="64">
        <f>IFERROR(Y134*I134/H134,"0")</f>
        <v>50.7</v>
      </c>
      <c r="BO134" s="64">
        <f>IFERROR(1/J134*(X134/H134),"0")</f>
        <v>8.241758241758243E-2</v>
      </c>
      <c r="BP134" s="64">
        <f>IFERROR(1/J134*(Y134/H134),"0")</f>
        <v>8.241758241758243E-2</v>
      </c>
    </row>
    <row r="135" spans="1:68" ht="27" hidden="1" customHeight="1" x14ac:dyDescent="0.25">
      <c r="A135" s="54" t="s">
        <v>242</v>
      </c>
      <c r="B135" s="54" t="s">
        <v>245</v>
      </c>
      <c r="C135" s="31">
        <v>4301011564</v>
      </c>
      <c r="D135" s="603">
        <v>4680115882577</v>
      </c>
      <c r="E135" s="604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6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06"/>
      <c r="R135" s="606"/>
      <c r="S135" s="606"/>
      <c r="T135" s="607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7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8"/>
      <c r="P136" s="613" t="s">
        <v>72</v>
      </c>
      <c r="Q136" s="614"/>
      <c r="R136" s="614"/>
      <c r="S136" s="614"/>
      <c r="T136" s="614"/>
      <c r="U136" s="614"/>
      <c r="V136" s="615"/>
      <c r="W136" s="37" t="s">
        <v>73</v>
      </c>
      <c r="X136" s="599">
        <f>IFERROR(X134/H134,"0")+IFERROR(X135/H135,"0")</f>
        <v>15</v>
      </c>
      <c r="Y136" s="599">
        <f>IFERROR(Y134/H134,"0")+IFERROR(Y135/H135,"0")</f>
        <v>15</v>
      </c>
      <c r="Z136" s="599">
        <f>IFERROR(IF(Z134="",0,Z134),"0")+IFERROR(IF(Z135="",0,Z135),"0")</f>
        <v>9.7650000000000001E-2</v>
      </c>
      <c r="AA136" s="600"/>
      <c r="AB136" s="600"/>
      <c r="AC136" s="600"/>
    </row>
    <row r="137" spans="1:68" x14ac:dyDescent="0.2">
      <c r="A137" s="609"/>
      <c r="B137" s="609"/>
      <c r="C137" s="609"/>
      <c r="D137" s="609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18"/>
      <c r="P137" s="613" t="s">
        <v>72</v>
      </c>
      <c r="Q137" s="614"/>
      <c r="R137" s="614"/>
      <c r="S137" s="614"/>
      <c r="T137" s="614"/>
      <c r="U137" s="614"/>
      <c r="V137" s="615"/>
      <c r="W137" s="37" t="s">
        <v>67</v>
      </c>
      <c r="X137" s="599">
        <f>IFERROR(SUM(X134:X135),"0")</f>
        <v>48</v>
      </c>
      <c r="Y137" s="599">
        <f>IFERROR(SUM(Y134:Y135),"0")</f>
        <v>48</v>
      </c>
      <c r="Z137" s="37"/>
      <c r="AA137" s="600"/>
      <c r="AB137" s="600"/>
      <c r="AC137" s="600"/>
    </row>
    <row r="138" spans="1:68" ht="14.25" hidden="1" customHeight="1" x14ac:dyDescent="0.25">
      <c r="A138" s="608" t="s">
        <v>62</v>
      </c>
      <c r="B138" s="609"/>
      <c r="C138" s="609"/>
      <c r="D138" s="609"/>
      <c r="E138" s="609"/>
      <c r="F138" s="609"/>
      <c r="G138" s="609"/>
      <c r="H138" s="609"/>
      <c r="I138" s="609"/>
      <c r="J138" s="609"/>
      <c r="K138" s="609"/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  <c r="Z138" s="609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3">
        <v>4680115883444</v>
      </c>
      <c r="E139" s="604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7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4"/>
      <c r="V139" s="34"/>
      <c r="W139" s="35" t="s">
        <v>67</v>
      </c>
      <c r="X139" s="597">
        <v>28</v>
      </c>
      <c r="Y139" s="598">
        <f>IFERROR(IF(X139="",0,CEILING((X139/$H139),1)*$H139),"")</f>
        <v>28</v>
      </c>
      <c r="Z139" s="36">
        <f>IFERROR(IF(Y139=0,"",ROUNDUP(Y139/H139,0)*0.00651),"")</f>
        <v>6.5100000000000005E-2</v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30.68</v>
      </c>
      <c r="BN139" s="64">
        <f>IFERROR(Y139*I139/H139,"0")</f>
        <v>30.68</v>
      </c>
      <c r="BO139" s="64">
        <f>IFERROR(1/J139*(X139/H139),"0")</f>
        <v>5.4945054945054951E-2</v>
      </c>
      <c r="BP139" s="64">
        <f>IFERROR(1/J139*(Y139/H139),"0")</f>
        <v>5.4945054945054951E-2</v>
      </c>
    </row>
    <row r="140" spans="1:68" ht="27" hidden="1" customHeight="1" x14ac:dyDescent="0.25">
      <c r="A140" s="54" t="s">
        <v>246</v>
      </c>
      <c r="B140" s="54" t="s">
        <v>249</v>
      </c>
      <c r="C140" s="31">
        <v>4301031235</v>
      </c>
      <c r="D140" s="603">
        <v>4680115883444</v>
      </c>
      <c r="E140" s="604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8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06"/>
      <c r="R140" s="606"/>
      <c r="S140" s="606"/>
      <c r="T140" s="607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7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8"/>
      <c r="P141" s="613" t="s">
        <v>72</v>
      </c>
      <c r="Q141" s="614"/>
      <c r="R141" s="614"/>
      <c r="S141" s="614"/>
      <c r="T141" s="614"/>
      <c r="U141" s="614"/>
      <c r="V141" s="615"/>
      <c r="W141" s="37" t="s">
        <v>73</v>
      </c>
      <c r="X141" s="599">
        <f>IFERROR(X139/H139,"0")+IFERROR(X140/H140,"0")</f>
        <v>10</v>
      </c>
      <c r="Y141" s="599">
        <f>IFERROR(Y139/H139,"0")+IFERROR(Y140/H140,"0")</f>
        <v>10</v>
      </c>
      <c r="Z141" s="599">
        <f>IFERROR(IF(Z139="",0,Z139),"0")+IFERROR(IF(Z140="",0,Z140),"0")</f>
        <v>6.5100000000000005E-2</v>
      </c>
      <c r="AA141" s="600"/>
      <c r="AB141" s="600"/>
      <c r="AC141" s="600"/>
    </row>
    <row r="142" spans="1:68" x14ac:dyDescent="0.2">
      <c r="A142" s="609"/>
      <c r="B142" s="609"/>
      <c r="C142" s="609"/>
      <c r="D142" s="609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18"/>
      <c r="P142" s="613" t="s">
        <v>72</v>
      </c>
      <c r="Q142" s="614"/>
      <c r="R142" s="614"/>
      <c r="S142" s="614"/>
      <c r="T142" s="614"/>
      <c r="U142" s="614"/>
      <c r="V142" s="615"/>
      <c r="W142" s="37" t="s">
        <v>67</v>
      </c>
      <c r="X142" s="599">
        <f>IFERROR(SUM(X139:X140),"0")</f>
        <v>28</v>
      </c>
      <c r="Y142" s="599">
        <f>IFERROR(SUM(Y139:Y140),"0")</f>
        <v>28</v>
      </c>
      <c r="Z142" s="37"/>
      <c r="AA142" s="600"/>
      <c r="AB142" s="600"/>
      <c r="AC142" s="600"/>
    </row>
    <row r="143" spans="1:68" ht="14.25" hidden="1" customHeight="1" x14ac:dyDescent="0.25">
      <c r="A143" s="608" t="s">
        <v>74</v>
      </c>
      <c r="B143" s="609"/>
      <c r="C143" s="609"/>
      <c r="D143" s="609"/>
      <c r="E143" s="609"/>
      <c r="F143" s="609"/>
      <c r="G143" s="609"/>
      <c r="H143" s="609"/>
      <c r="I143" s="609"/>
      <c r="J143" s="609"/>
      <c r="K143" s="609"/>
      <c r="L143" s="609"/>
      <c r="M143" s="609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  <c r="Z143" s="609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3">
        <v>4680115882584</v>
      </c>
      <c r="E144" s="604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9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06"/>
      <c r="R144" s="606"/>
      <c r="S144" s="606"/>
      <c r="T144" s="607"/>
      <c r="U144" s="34"/>
      <c r="V144" s="34"/>
      <c r="W144" s="35" t="s">
        <v>67</v>
      </c>
      <c r="X144" s="597">
        <v>55</v>
      </c>
      <c r="Y144" s="598">
        <f>IFERROR(IF(X144="",0,CEILING((X144/$H144),1)*$H144),"")</f>
        <v>55.440000000000005</v>
      </c>
      <c r="Z144" s="36">
        <f>IFERROR(IF(Y144=0,"",ROUNDUP(Y144/H144,0)*0.00651),"")</f>
        <v>0.13671</v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60.583333333333329</v>
      </c>
      <c r="BN144" s="64">
        <f>IFERROR(Y144*I144/H144,"0")</f>
        <v>61.068000000000005</v>
      </c>
      <c r="BO144" s="64">
        <f>IFERROR(1/J144*(X144/H144),"0")</f>
        <v>0.11446886446886446</v>
      </c>
      <c r="BP144" s="64">
        <f>IFERROR(1/J144*(Y144/H144),"0")</f>
        <v>0.11538461538461539</v>
      </c>
    </row>
    <row r="145" spans="1:68" ht="16.5" hidden="1" customHeight="1" x14ac:dyDescent="0.25">
      <c r="A145" s="54" t="s">
        <v>250</v>
      </c>
      <c r="B145" s="54" t="s">
        <v>252</v>
      </c>
      <c r="C145" s="31">
        <v>4301051477</v>
      </c>
      <c r="D145" s="603">
        <v>4680115882584</v>
      </c>
      <c r="E145" s="604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9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06"/>
      <c r="R145" s="606"/>
      <c r="S145" s="606"/>
      <c r="T145" s="607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7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8"/>
      <c r="P146" s="613" t="s">
        <v>72</v>
      </c>
      <c r="Q146" s="614"/>
      <c r="R146" s="614"/>
      <c r="S146" s="614"/>
      <c r="T146" s="614"/>
      <c r="U146" s="614"/>
      <c r="V146" s="615"/>
      <c r="W146" s="37" t="s">
        <v>73</v>
      </c>
      <c r="X146" s="599">
        <f>IFERROR(X144/H144,"0")+IFERROR(X145/H145,"0")</f>
        <v>20.833333333333332</v>
      </c>
      <c r="Y146" s="599">
        <f>IFERROR(Y144/H144,"0")+IFERROR(Y145/H145,"0")</f>
        <v>21</v>
      </c>
      <c r="Z146" s="599">
        <f>IFERROR(IF(Z144="",0,Z144),"0")+IFERROR(IF(Z145="",0,Z145),"0")</f>
        <v>0.13671</v>
      </c>
      <c r="AA146" s="600"/>
      <c r="AB146" s="600"/>
      <c r="AC146" s="600"/>
    </row>
    <row r="147" spans="1:68" x14ac:dyDescent="0.2">
      <c r="A147" s="609"/>
      <c r="B147" s="609"/>
      <c r="C147" s="609"/>
      <c r="D147" s="609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18"/>
      <c r="P147" s="613" t="s">
        <v>72</v>
      </c>
      <c r="Q147" s="614"/>
      <c r="R147" s="614"/>
      <c r="S147" s="614"/>
      <c r="T147" s="614"/>
      <c r="U147" s="614"/>
      <c r="V147" s="615"/>
      <c r="W147" s="37" t="s">
        <v>67</v>
      </c>
      <c r="X147" s="599">
        <f>IFERROR(SUM(X144:X145),"0")</f>
        <v>55</v>
      </c>
      <c r="Y147" s="599">
        <f>IFERROR(SUM(Y144:Y145),"0")</f>
        <v>55.440000000000005</v>
      </c>
      <c r="Z147" s="37"/>
      <c r="AA147" s="600"/>
      <c r="AB147" s="600"/>
      <c r="AC147" s="600"/>
    </row>
    <row r="148" spans="1:68" ht="16.5" hidden="1" customHeight="1" x14ac:dyDescent="0.25">
      <c r="A148" s="612" t="s">
        <v>253</v>
      </c>
      <c r="B148" s="609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592"/>
      <c r="AB148" s="592"/>
      <c r="AC148" s="592"/>
    </row>
    <row r="149" spans="1:68" ht="14.25" hidden="1" customHeight="1" x14ac:dyDescent="0.25">
      <c r="A149" s="608" t="s">
        <v>74</v>
      </c>
      <c r="B149" s="609"/>
      <c r="C149" s="609"/>
      <c r="D149" s="609"/>
      <c r="E149" s="609"/>
      <c r="F149" s="609"/>
      <c r="G149" s="609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  <c r="Z149" s="609"/>
      <c r="AA149" s="593"/>
      <c r="AB149" s="593"/>
      <c r="AC149" s="593"/>
    </row>
    <row r="150" spans="1:68" ht="27" hidden="1" customHeight="1" x14ac:dyDescent="0.25">
      <c r="A150" s="54" t="s">
        <v>254</v>
      </c>
      <c r="B150" s="54" t="s">
        <v>255</v>
      </c>
      <c r="C150" s="31">
        <v>4301052174</v>
      </c>
      <c r="D150" s="603">
        <v>4680115888203</v>
      </c>
      <c r="E150" s="604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2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06"/>
      <c r="R150" s="606"/>
      <c r="S150" s="606"/>
      <c r="T150" s="607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4301052172</v>
      </c>
      <c r="D151" s="603">
        <v>4680115888180</v>
      </c>
      <c r="E151" s="604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3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06"/>
      <c r="R151" s="606"/>
      <c r="S151" s="606"/>
      <c r="T151" s="607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4301052173</v>
      </c>
      <c r="D152" s="603">
        <v>4680115888197</v>
      </c>
      <c r="E152" s="604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3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06"/>
      <c r="R152" s="606"/>
      <c r="S152" s="606"/>
      <c r="T152" s="607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263</v>
      </c>
      <c r="B153" s="54" t="s">
        <v>264</v>
      </c>
      <c r="C153" s="31">
        <v>4301052175</v>
      </c>
      <c r="D153" s="603">
        <v>4680115888210</v>
      </c>
      <c r="E153" s="604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06"/>
      <c r="R153" s="606"/>
      <c r="S153" s="606"/>
      <c r="T153" s="607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7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8"/>
      <c r="P154" s="613" t="s">
        <v>72</v>
      </c>
      <c r="Q154" s="614"/>
      <c r="R154" s="614"/>
      <c r="S154" s="614"/>
      <c r="T154" s="614"/>
      <c r="U154" s="614"/>
      <c r="V154" s="61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hidden="1" x14ac:dyDescent="0.2">
      <c r="A155" s="609"/>
      <c r="B155" s="609"/>
      <c r="C155" s="609"/>
      <c r="D155" s="609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18"/>
      <c r="P155" s="613" t="s">
        <v>72</v>
      </c>
      <c r="Q155" s="614"/>
      <c r="R155" s="614"/>
      <c r="S155" s="614"/>
      <c r="T155" s="614"/>
      <c r="U155" s="614"/>
      <c r="V155" s="61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hidden="1" customHeight="1" x14ac:dyDescent="0.25">
      <c r="A156" s="612" t="s">
        <v>115</v>
      </c>
      <c r="B156" s="609"/>
      <c r="C156" s="609"/>
      <c r="D156" s="609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592"/>
      <c r="AB156" s="592"/>
      <c r="AC156" s="592"/>
    </row>
    <row r="157" spans="1:68" ht="14.25" hidden="1" customHeight="1" x14ac:dyDescent="0.25">
      <c r="A157" s="608" t="s">
        <v>117</v>
      </c>
      <c r="B157" s="609"/>
      <c r="C157" s="609"/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593"/>
      <c r="AB157" s="593"/>
      <c r="AC157" s="593"/>
    </row>
    <row r="158" spans="1:68" ht="27" hidden="1" customHeight="1" x14ac:dyDescent="0.25">
      <c r="A158" s="54" t="s">
        <v>266</v>
      </c>
      <c r="B158" s="54" t="s">
        <v>267</v>
      </c>
      <c r="C158" s="31">
        <v>4301012244</v>
      </c>
      <c r="D158" s="603">
        <v>4680115887374</v>
      </c>
      <c r="E158" s="604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9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06"/>
      <c r="R158" s="606"/>
      <c r="S158" s="606"/>
      <c r="T158" s="607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269</v>
      </c>
      <c r="B159" s="54" t="s">
        <v>270</v>
      </c>
      <c r="C159" s="31">
        <v>4301011705</v>
      </c>
      <c r="D159" s="603">
        <v>4607091384604</v>
      </c>
      <c r="E159" s="604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06"/>
      <c r="R159" s="606"/>
      <c r="S159" s="606"/>
      <c r="T159" s="607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7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8"/>
      <c r="P160" s="613" t="s">
        <v>72</v>
      </c>
      <c r="Q160" s="614"/>
      <c r="R160" s="614"/>
      <c r="S160" s="614"/>
      <c r="T160" s="614"/>
      <c r="U160" s="614"/>
      <c r="V160" s="61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hidden="1" x14ac:dyDescent="0.2">
      <c r="A161" s="609"/>
      <c r="B161" s="609"/>
      <c r="C161" s="609"/>
      <c r="D161" s="609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18"/>
      <c r="P161" s="613" t="s">
        <v>72</v>
      </c>
      <c r="Q161" s="614"/>
      <c r="R161" s="614"/>
      <c r="S161" s="614"/>
      <c r="T161" s="614"/>
      <c r="U161" s="614"/>
      <c r="V161" s="61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hidden="1" customHeight="1" x14ac:dyDescent="0.25">
      <c r="A162" s="608" t="s">
        <v>152</v>
      </c>
      <c r="B162" s="609"/>
      <c r="C162" s="609"/>
      <c r="D162" s="609"/>
      <c r="E162" s="609"/>
      <c r="F162" s="609"/>
      <c r="G162" s="609"/>
      <c r="H162" s="609"/>
      <c r="I162" s="609"/>
      <c r="J162" s="609"/>
      <c r="K162" s="609"/>
      <c r="L162" s="609"/>
      <c r="M162" s="609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  <c r="Z162" s="609"/>
      <c r="AA162" s="593"/>
      <c r="AB162" s="593"/>
      <c r="AC162" s="593"/>
    </row>
    <row r="163" spans="1:68" ht="16.5" hidden="1" customHeight="1" x14ac:dyDescent="0.25">
      <c r="A163" s="54" t="s">
        <v>272</v>
      </c>
      <c r="B163" s="54" t="s">
        <v>273</v>
      </c>
      <c r="C163" s="31">
        <v>4301020410</v>
      </c>
      <c r="D163" s="603">
        <v>4680115887695</v>
      </c>
      <c r="E163" s="604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8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06"/>
      <c r="R163" s="606"/>
      <c r="S163" s="606"/>
      <c r="T163" s="607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7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8"/>
      <c r="P164" s="613" t="s">
        <v>72</v>
      </c>
      <c r="Q164" s="614"/>
      <c r="R164" s="614"/>
      <c r="S164" s="614"/>
      <c r="T164" s="614"/>
      <c r="U164" s="614"/>
      <c r="V164" s="61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hidden="1" x14ac:dyDescent="0.2">
      <c r="A165" s="609"/>
      <c r="B165" s="609"/>
      <c r="C165" s="609"/>
      <c r="D165" s="609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18"/>
      <c r="P165" s="613" t="s">
        <v>72</v>
      </c>
      <c r="Q165" s="614"/>
      <c r="R165" s="614"/>
      <c r="S165" s="614"/>
      <c r="T165" s="614"/>
      <c r="U165" s="614"/>
      <c r="V165" s="61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hidden="1" customHeight="1" x14ac:dyDescent="0.25">
      <c r="A166" s="608" t="s">
        <v>62</v>
      </c>
      <c r="B166" s="609"/>
      <c r="C166" s="609"/>
      <c r="D166" s="609"/>
      <c r="E166" s="609"/>
      <c r="F166" s="609"/>
      <c r="G166" s="609"/>
      <c r="H166" s="609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593"/>
      <c r="AB166" s="593"/>
      <c r="AC166" s="593"/>
    </row>
    <row r="167" spans="1:68" ht="27" hidden="1" customHeight="1" x14ac:dyDescent="0.25">
      <c r="A167" s="54" t="s">
        <v>275</v>
      </c>
      <c r="B167" s="54" t="s">
        <v>276</v>
      </c>
      <c r="C167" s="31">
        <v>4301031496</v>
      </c>
      <c r="D167" s="603">
        <v>4680115887428</v>
      </c>
      <c r="E167" s="604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8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06"/>
      <c r="R167" s="606"/>
      <c r="S167" s="606"/>
      <c r="T167" s="607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4301030963</v>
      </c>
      <c r="D168" s="603">
        <v>4607091382426</v>
      </c>
      <c r="E168" s="604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06"/>
      <c r="R168" s="606"/>
      <c r="S168" s="606"/>
      <c r="T168" s="607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281</v>
      </c>
      <c r="B169" s="54" t="s">
        <v>282</v>
      </c>
      <c r="C169" s="31">
        <v>4301031498</v>
      </c>
      <c r="D169" s="603">
        <v>4680115887398</v>
      </c>
      <c r="E169" s="604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8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06"/>
      <c r="R169" s="606"/>
      <c r="S169" s="606"/>
      <c r="T169" s="607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3">
        <v>4680115887336</v>
      </c>
      <c r="E170" s="604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9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06"/>
      <c r="R170" s="606"/>
      <c r="S170" s="606"/>
      <c r="T170" s="607"/>
      <c r="U170" s="34"/>
      <c r="V170" s="34"/>
      <c r="W170" s="35" t="s">
        <v>67</v>
      </c>
      <c r="X170" s="597">
        <v>192</v>
      </c>
      <c r="Y170" s="598">
        <f t="shared" si="21"/>
        <v>192.5</v>
      </c>
      <c r="Z170" s="36">
        <f>IFERROR(IF(Y170=0,"",ROUNDUP(Y170/H170,0)*0.00902),"")</f>
        <v>0.49609999999999999</v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202.42285714285714</v>
      </c>
      <c r="BN170" s="64">
        <f t="shared" si="23"/>
        <v>202.95000000000002</v>
      </c>
      <c r="BO170" s="64">
        <f t="shared" si="24"/>
        <v>0.41558441558441556</v>
      </c>
      <c r="BP170" s="64">
        <f t="shared" si="25"/>
        <v>0.41666666666666669</v>
      </c>
    </row>
    <row r="171" spans="1:68" ht="16.5" hidden="1" customHeight="1" x14ac:dyDescent="0.25">
      <c r="A171" s="54" t="s">
        <v>287</v>
      </c>
      <c r="B171" s="54" t="s">
        <v>288</v>
      </c>
      <c r="C171" s="31">
        <v>4301032049</v>
      </c>
      <c r="D171" s="603">
        <v>4680115887787</v>
      </c>
      <c r="E171" s="604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9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06"/>
      <c r="R171" s="606"/>
      <c r="S171" s="606"/>
      <c r="T171" s="607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3">
        <v>4680115887503</v>
      </c>
      <c r="E172" s="604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9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06"/>
      <c r="R172" s="606"/>
      <c r="S172" s="606"/>
      <c r="T172" s="607"/>
      <c r="U172" s="34"/>
      <c r="V172" s="34"/>
      <c r="W172" s="35" t="s">
        <v>67</v>
      </c>
      <c r="X172" s="597">
        <v>28</v>
      </c>
      <c r="Y172" s="598">
        <f t="shared" si="21"/>
        <v>28.56</v>
      </c>
      <c r="Z172" s="36">
        <f>IFERROR(IF(Y172=0,"",ROUNDUP(Y172/H172,0)*0.00502),"")</f>
        <v>8.5339999999999999E-2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29.666666666666671</v>
      </c>
      <c r="BN172" s="64">
        <f t="shared" si="23"/>
        <v>30.259999999999998</v>
      </c>
      <c r="BO172" s="64">
        <f t="shared" si="24"/>
        <v>7.122507122507124E-2</v>
      </c>
      <c r="BP172" s="64">
        <f t="shared" si="25"/>
        <v>7.2649572649572655E-2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4301031389</v>
      </c>
      <c r="D173" s="603">
        <v>4680115887763</v>
      </c>
      <c r="E173" s="604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9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06"/>
      <c r="R173" s="606"/>
      <c r="S173" s="606"/>
      <c r="T173" s="607"/>
      <c r="U173" s="34"/>
      <c r="V173" s="34"/>
      <c r="W173" s="35" t="s">
        <v>67</v>
      </c>
      <c r="X173" s="597">
        <v>0</v>
      </c>
      <c r="Y173" s="598">
        <f t="shared" si="21"/>
        <v>0</v>
      </c>
      <c r="Z173" s="36" t="str">
        <f>IFERROR(IF(Y173=0,"",ROUNDUP(Y173/H173,0)*0.00417),"")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295</v>
      </c>
      <c r="C174" s="31">
        <v>4301031510</v>
      </c>
      <c r="D174" s="603">
        <v>4680115887763</v>
      </c>
      <c r="E174" s="604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65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06"/>
      <c r="R174" s="606"/>
      <c r="S174" s="606"/>
      <c r="T174" s="607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3">
        <v>4680115887480</v>
      </c>
      <c r="E175" s="604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72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06"/>
      <c r="R175" s="606"/>
      <c r="S175" s="606"/>
      <c r="T175" s="607"/>
      <c r="U175" s="34"/>
      <c r="V175" s="34"/>
      <c r="W175" s="35" t="s">
        <v>67</v>
      </c>
      <c r="X175" s="597">
        <v>67</v>
      </c>
      <c r="Y175" s="598">
        <f t="shared" si="21"/>
        <v>67.2</v>
      </c>
      <c r="Z175" s="36">
        <f>IFERROR(IF(Y175=0,"",ROUNDUP(Y175/H175,0)*0.00502),"")</f>
        <v>0.20080000000000001</v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70.988095238095241</v>
      </c>
      <c r="BN175" s="64">
        <f t="shared" si="23"/>
        <v>71.200000000000017</v>
      </c>
      <c r="BO175" s="64">
        <f t="shared" si="24"/>
        <v>0.17043142043142046</v>
      </c>
      <c r="BP175" s="64">
        <f t="shared" si="25"/>
        <v>0.17094017094017094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4301031434</v>
      </c>
      <c r="D176" s="603">
        <v>4680115888067</v>
      </c>
      <c r="E176" s="604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7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06"/>
      <c r="R176" s="606"/>
      <c r="S176" s="606"/>
      <c r="T176" s="607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4301031451</v>
      </c>
      <c r="D177" s="603">
        <v>4680115887435</v>
      </c>
      <c r="E177" s="604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72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06"/>
      <c r="R177" s="606"/>
      <c r="S177" s="606"/>
      <c r="T177" s="607"/>
      <c r="U177" s="34"/>
      <c r="V177" s="34"/>
      <c r="W177" s="35" t="s">
        <v>67</v>
      </c>
      <c r="X177" s="597">
        <v>23</v>
      </c>
      <c r="Y177" s="598">
        <f t="shared" si="21"/>
        <v>23.52</v>
      </c>
      <c r="Z177" s="36">
        <f>IFERROR(IF(Y177=0,"",ROUNDUP(Y177/H177,0)*0.00502),"")</f>
        <v>7.0280000000000009E-2</v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24.369047619047617</v>
      </c>
      <c r="BN177" s="64">
        <f t="shared" si="23"/>
        <v>24.92</v>
      </c>
      <c r="BO177" s="64">
        <f t="shared" si="24"/>
        <v>5.8506308506308516E-2</v>
      </c>
      <c r="BP177" s="64">
        <f t="shared" si="25"/>
        <v>5.9829059829059839E-2</v>
      </c>
    </row>
    <row r="178" spans="1:68" x14ac:dyDescent="0.2">
      <c r="A178" s="617"/>
      <c r="B178" s="609"/>
      <c r="C178" s="609"/>
      <c r="D178" s="609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18"/>
      <c r="P178" s="613" t="s">
        <v>72</v>
      </c>
      <c r="Q178" s="614"/>
      <c r="R178" s="614"/>
      <c r="S178" s="614"/>
      <c r="T178" s="614"/>
      <c r="U178" s="614"/>
      <c r="V178" s="61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125.09523809523809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126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0.85251999999999994</v>
      </c>
      <c r="AA178" s="600"/>
      <c r="AB178" s="600"/>
      <c r="AC178" s="600"/>
    </row>
    <row r="179" spans="1:68" x14ac:dyDescent="0.2">
      <c r="A179" s="609"/>
      <c r="B179" s="609"/>
      <c r="C179" s="609"/>
      <c r="D179" s="609"/>
      <c r="E179" s="609"/>
      <c r="F179" s="609"/>
      <c r="G179" s="609"/>
      <c r="H179" s="609"/>
      <c r="I179" s="609"/>
      <c r="J179" s="609"/>
      <c r="K179" s="609"/>
      <c r="L179" s="609"/>
      <c r="M179" s="609"/>
      <c r="N179" s="609"/>
      <c r="O179" s="618"/>
      <c r="P179" s="613" t="s">
        <v>72</v>
      </c>
      <c r="Q179" s="614"/>
      <c r="R179" s="614"/>
      <c r="S179" s="614"/>
      <c r="T179" s="614"/>
      <c r="U179" s="614"/>
      <c r="V179" s="615"/>
      <c r="W179" s="37" t="s">
        <v>67</v>
      </c>
      <c r="X179" s="599">
        <f>IFERROR(SUM(X167:X177),"0")</f>
        <v>310</v>
      </c>
      <c r="Y179" s="599">
        <f>IFERROR(SUM(Y167:Y177),"0")</f>
        <v>311.77999999999997</v>
      </c>
      <c r="Z179" s="37"/>
      <c r="AA179" s="600"/>
      <c r="AB179" s="600"/>
      <c r="AC179" s="600"/>
    </row>
    <row r="180" spans="1:68" ht="14.25" hidden="1" customHeight="1" x14ac:dyDescent="0.25">
      <c r="A180" s="608" t="s">
        <v>74</v>
      </c>
      <c r="B180" s="609"/>
      <c r="C180" s="609"/>
      <c r="D180" s="609"/>
      <c r="E180" s="609"/>
      <c r="F180" s="609"/>
      <c r="G180" s="609"/>
      <c r="H180" s="609"/>
      <c r="I180" s="609"/>
      <c r="J180" s="609"/>
      <c r="K180" s="609"/>
      <c r="L180" s="609"/>
      <c r="M180" s="609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  <c r="Z180" s="609"/>
      <c r="AA180" s="593"/>
      <c r="AB180" s="593"/>
      <c r="AC180" s="593"/>
    </row>
    <row r="181" spans="1:68" ht="16.5" hidden="1" customHeight="1" x14ac:dyDescent="0.25">
      <c r="A181" s="54" t="s">
        <v>303</v>
      </c>
      <c r="B181" s="54" t="s">
        <v>304</v>
      </c>
      <c r="C181" s="31">
        <v>4301052193</v>
      </c>
      <c r="D181" s="603">
        <v>4680115888395</v>
      </c>
      <c r="E181" s="604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65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06"/>
      <c r="R181" s="606"/>
      <c r="S181" s="606"/>
      <c r="T181" s="607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306</v>
      </c>
      <c r="B182" s="54" t="s">
        <v>307</v>
      </c>
      <c r="C182" s="31">
        <v>4301052191</v>
      </c>
      <c r="D182" s="603">
        <v>4680115888371</v>
      </c>
      <c r="E182" s="604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06"/>
      <c r="R182" s="606"/>
      <c r="S182" s="606"/>
      <c r="T182" s="607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4301052064</v>
      </c>
      <c r="D183" s="603">
        <v>4680115887459</v>
      </c>
      <c r="E183" s="604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6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06"/>
      <c r="R183" s="606"/>
      <c r="S183" s="606"/>
      <c r="T183" s="607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7"/>
      <c r="B184" s="609"/>
      <c r="C184" s="609"/>
      <c r="D184" s="609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18"/>
      <c r="P184" s="613" t="s">
        <v>72</v>
      </c>
      <c r="Q184" s="614"/>
      <c r="R184" s="614"/>
      <c r="S184" s="614"/>
      <c r="T184" s="614"/>
      <c r="U184" s="614"/>
      <c r="V184" s="61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hidden="1" x14ac:dyDescent="0.2">
      <c r="A185" s="609"/>
      <c r="B185" s="609"/>
      <c r="C185" s="609"/>
      <c r="D185" s="609"/>
      <c r="E185" s="609"/>
      <c r="F185" s="609"/>
      <c r="G185" s="609"/>
      <c r="H185" s="609"/>
      <c r="I185" s="609"/>
      <c r="J185" s="609"/>
      <c r="K185" s="609"/>
      <c r="L185" s="609"/>
      <c r="M185" s="609"/>
      <c r="N185" s="609"/>
      <c r="O185" s="618"/>
      <c r="P185" s="613" t="s">
        <v>72</v>
      </c>
      <c r="Q185" s="614"/>
      <c r="R185" s="614"/>
      <c r="S185" s="614"/>
      <c r="T185" s="614"/>
      <c r="U185" s="614"/>
      <c r="V185" s="61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hidden="1" customHeight="1" x14ac:dyDescent="0.25">
      <c r="A186" s="608" t="s">
        <v>95</v>
      </c>
      <c r="B186" s="609"/>
      <c r="C186" s="609"/>
      <c r="D186" s="609"/>
      <c r="E186" s="609"/>
      <c r="F186" s="609"/>
      <c r="G186" s="609"/>
      <c r="H186" s="609"/>
      <c r="I186" s="609"/>
      <c r="J186" s="609"/>
      <c r="K186" s="609"/>
      <c r="L186" s="609"/>
      <c r="M186" s="609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  <c r="Z186" s="609"/>
      <c r="AA186" s="593"/>
      <c r="AB186" s="593"/>
      <c r="AC186" s="593"/>
    </row>
    <row r="187" spans="1:68" ht="16.5" hidden="1" customHeight="1" x14ac:dyDescent="0.25">
      <c r="A187" s="54" t="s">
        <v>312</v>
      </c>
      <c r="B187" s="54" t="s">
        <v>313</v>
      </c>
      <c r="C187" s="31">
        <v>4301032058</v>
      </c>
      <c r="D187" s="603">
        <v>4680115889026</v>
      </c>
      <c r="E187" s="604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86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06"/>
      <c r="R187" s="606"/>
      <c r="S187" s="606"/>
      <c r="T187" s="607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317</v>
      </c>
      <c r="B188" s="54" t="s">
        <v>318</v>
      </c>
      <c r="C188" s="31">
        <v>4301032057</v>
      </c>
      <c r="D188" s="603">
        <v>4680115889088</v>
      </c>
      <c r="E188" s="604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75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06"/>
      <c r="R188" s="606"/>
      <c r="S188" s="606"/>
      <c r="T188" s="607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7"/>
      <c r="B189" s="609"/>
      <c r="C189" s="609"/>
      <c r="D189" s="609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18"/>
      <c r="P189" s="613" t="s">
        <v>72</v>
      </c>
      <c r="Q189" s="614"/>
      <c r="R189" s="614"/>
      <c r="S189" s="614"/>
      <c r="T189" s="614"/>
      <c r="U189" s="614"/>
      <c r="V189" s="61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hidden="1" x14ac:dyDescent="0.2">
      <c r="A190" s="609"/>
      <c r="B190" s="609"/>
      <c r="C190" s="609"/>
      <c r="D190" s="609"/>
      <c r="E190" s="609"/>
      <c r="F190" s="609"/>
      <c r="G190" s="609"/>
      <c r="H190" s="609"/>
      <c r="I190" s="609"/>
      <c r="J190" s="609"/>
      <c r="K190" s="609"/>
      <c r="L190" s="609"/>
      <c r="M190" s="609"/>
      <c r="N190" s="609"/>
      <c r="O190" s="618"/>
      <c r="P190" s="613" t="s">
        <v>72</v>
      </c>
      <c r="Q190" s="614"/>
      <c r="R190" s="614"/>
      <c r="S190" s="614"/>
      <c r="T190" s="614"/>
      <c r="U190" s="614"/>
      <c r="V190" s="61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hidden="1" customHeight="1" x14ac:dyDescent="0.25">
      <c r="A191" s="608" t="s">
        <v>320</v>
      </c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  <c r="Z191" s="609"/>
      <c r="AA191" s="593"/>
      <c r="AB191" s="593"/>
      <c r="AC191" s="593"/>
    </row>
    <row r="192" spans="1:68" ht="27" hidden="1" customHeight="1" x14ac:dyDescent="0.25">
      <c r="A192" s="54" t="s">
        <v>321</v>
      </c>
      <c r="B192" s="54" t="s">
        <v>322</v>
      </c>
      <c r="C192" s="31">
        <v>4301041009</v>
      </c>
      <c r="D192" s="603">
        <v>4680115889033</v>
      </c>
      <c r="E192" s="604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85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06"/>
      <c r="R192" s="606"/>
      <c r="S192" s="606"/>
      <c r="T192" s="607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7"/>
      <c r="B193" s="609"/>
      <c r="C193" s="609"/>
      <c r="D193" s="609"/>
      <c r="E193" s="609"/>
      <c r="F193" s="609"/>
      <c r="G193" s="609"/>
      <c r="H193" s="609"/>
      <c r="I193" s="609"/>
      <c r="J193" s="609"/>
      <c r="K193" s="609"/>
      <c r="L193" s="609"/>
      <c r="M193" s="609"/>
      <c r="N193" s="609"/>
      <c r="O193" s="618"/>
      <c r="P193" s="613" t="s">
        <v>72</v>
      </c>
      <c r="Q193" s="614"/>
      <c r="R193" s="614"/>
      <c r="S193" s="614"/>
      <c r="T193" s="614"/>
      <c r="U193" s="614"/>
      <c r="V193" s="61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hidden="1" x14ac:dyDescent="0.2">
      <c r="A194" s="609"/>
      <c r="B194" s="609"/>
      <c r="C194" s="609"/>
      <c r="D194" s="609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18"/>
      <c r="P194" s="613" t="s">
        <v>72</v>
      </c>
      <c r="Q194" s="614"/>
      <c r="R194" s="614"/>
      <c r="S194" s="614"/>
      <c r="T194" s="614"/>
      <c r="U194" s="614"/>
      <c r="V194" s="61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hidden="1" customHeight="1" x14ac:dyDescent="0.2">
      <c r="A195" s="644" t="s">
        <v>324</v>
      </c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5"/>
      <c r="P195" s="645"/>
      <c r="Q195" s="645"/>
      <c r="R195" s="645"/>
      <c r="S195" s="645"/>
      <c r="T195" s="645"/>
      <c r="U195" s="645"/>
      <c r="V195" s="645"/>
      <c r="W195" s="645"/>
      <c r="X195" s="645"/>
      <c r="Y195" s="645"/>
      <c r="Z195" s="645"/>
      <c r="AA195" s="48"/>
      <c r="AB195" s="48"/>
      <c r="AC195" s="48"/>
    </row>
    <row r="196" spans="1:68" ht="16.5" hidden="1" customHeight="1" x14ac:dyDescent="0.25">
      <c r="A196" s="612" t="s">
        <v>325</v>
      </c>
      <c r="B196" s="609"/>
      <c r="C196" s="609"/>
      <c r="D196" s="609"/>
      <c r="E196" s="609"/>
      <c r="F196" s="609"/>
      <c r="G196" s="609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  <c r="Z196" s="609"/>
      <c r="AA196" s="592"/>
      <c r="AB196" s="592"/>
      <c r="AC196" s="592"/>
    </row>
    <row r="197" spans="1:68" ht="14.25" hidden="1" customHeight="1" x14ac:dyDescent="0.25">
      <c r="A197" s="608" t="s">
        <v>117</v>
      </c>
      <c r="B197" s="609"/>
      <c r="C197" s="609"/>
      <c r="D197" s="609"/>
      <c r="E197" s="609"/>
      <c r="F197" s="609"/>
      <c r="G197" s="609"/>
      <c r="H197" s="609"/>
      <c r="I197" s="609"/>
      <c r="J197" s="609"/>
      <c r="K197" s="609"/>
      <c r="L197" s="609"/>
      <c r="M197" s="609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  <c r="Z197" s="609"/>
      <c r="AA197" s="593"/>
      <c r="AB197" s="593"/>
      <c r="AC197" s="593"/>
    </row>
    <row r="198" spans="1:68" ht="27" hidden="1" customHeight="1" x14ac:dyDescent="0.25">
      <c r="A198" s="54" t="s">
        <v>326</v>
      </c>
      <c r="B198" s="54" t="s">
        <v>327</v>
      </c>
      <c r="C198" s="31">
        <v>4301011223</v>
      </c>
      <c r="D198" s="603">
        <v>4607091383423</v>
      </c>
      <c r="E198" s="604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68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06"/>
      <c r="R198" s="606"/>
      <c r="S198" s="606"/>
      <c r="T198" s="607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hidden="1" customHeight="1" x14ac:dyDescent="0.25">
      <c r="A199" s="54" t="s">
        <v>328</v>
      </c>
      <c r="B199" s="54" t="s">
        <v>329</v>
      </c>
      <c r="C199" s="31">
        <v>4301012199</v>
      </c>
      <c r="D199" s="603">
        <v>4680115886957</v>
      </c>
      <c r="E199" s="604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69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06"/>
      <c r="R199" s="606"/>
      <c r="S199" s="606"/>
      <c r="T199" s="607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4301012098</v>
      </c>
      <c r="D200" s="603">
        <v>4680115885660</v>
      </c>
      <c r="E200" s="604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63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06"/>
      <c r="R200" s="606"/>
      <c r="S200" s="606"/>
      <c r="T200" s="607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4301012369</v>
      </c>
      <c r="D201" s="603">
        <v>4680115886773</v>
      </c>
      <c r="E201" s="604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7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06"/>
      <c r="R201" s="606"/>
      <c r="S201" s="606"/>
      <c r="T201" s="607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17"/>
      <c r="B202" s="609"/>
      <c r="C202" s="609"/>
      <c r="D202" s="609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18"/>
      <c r="P202" s="613" t="s">
        <v>72</v>
      </c>
      <c r="Q202" s="614"/>
      <c r="R202" s="614"/>
      <c r="S202" s="614"/>
      <c r="T202" s="614"/>
      <c r="U202" s="614"/>
      <c r="V202" s="61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hidden="1" x14ac:dyDescent="0.2">
      <c r="A203" s="609"/>
      <c r="B203" s="609"/>
      <c r="C203" s="609"/>
      <c r="D203" s="609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18"/>
      <c r="P203" s="613" t="s">
        <v>72</v>
      </c>
      <c r="Q203" s="614"/>
      <c r="R203" s="614"/>
      <c r="S203" s="614"/>
      <c r="T203" s="614"/>
      <c r="U203" s="614"/>
      <c r="V203" s="61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hidden="1" customHeight="1" x14ac:dyDescent="0.25">
      <c r="A204" s="612" t="s">
        <v>337</v>
      </c>
      <c r="B204" s="609"/>
      <c r="C204" s="609"/>
      <c r="D204" s="609"/>
      <c r="E204" s="609"/>
      <c r="F204" s="609"/>
      <c r="G204" s="609"/>
      <c r="H204" s="609"/>
      <c r="I204" s="609"/>
      <c r="J204" s="609"/>
      <c r="K204" s="609"/>
      <c r="L204" s="609"/>
      <c r="M204" s="609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  <c r="Z204" s="609"/>
      <c r="AA204" s="592"/>
      <c r="AB204" s="592"/>
      <c r="AC204" s="592"/>
    </row>
    <row r="205" spans="1:68" ht="14.25" hidden="1" customHeight="1" x14ac:dyDescent="0.25">
      <c r="A205" s="608" t="s">
        <v>152</v>
      </c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  <c r="Z205" s="609"/>
      <c r="AA205" s="593"/>
      <c r="AB205" s="593"/>
      <c r="AC205" s="593"/>
    </row>
    <row r="206" spans="1:68" ht="27" hidden="1" customHeight="1" x14ac:dyDescent="0.25">
      <c r="A206" s="54" t="s">
        <v>338</v>
      </c>
      <c r="B206" s="54" t="s">
        <v>339</v>
      </c>
      <c r="C206" s="31">
        <v>4301020323</v>
      </c>
      <c r="D206" s="603">
        <v>4680115886223</v>
      </c>
      <c r="E206" s="604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06"/>
      <c r="R206" s="606"/>
      <c r="S206" s="606"/>
      <c r="T206" s="607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hidden="1" x14ac:dyDescent="0.2">
      <c r="A207" s="617"/>
      <c r="B207" s="609"/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18"/>
      <c r="P207" s="613" t="s">
        <v>72</v>
      </c>
      <c r="Q207" s="614"/>
      <c r="R207" s="614"/>
      <c r="S207" s="614"/>
      <c r="T207" s="614"/>
      <c r="U207" s="614"/>
      <c r="V207" s="61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hidden="1" x14ac:dyDescent="0.2">
      <c r="A208" s="609"/>
      <c r="B208" s="609"/>
      <c r="C208" s="609"/>
      <c r="D208" s="609"/>
      <c r="E208" s="609"/>
      <c r="F208" s="609"/>
      <c r="G208" s="609"/>
      <c r="H208" s="609"/>
      <c r="I208" s="609"/>
      <c r="J208" s="609"/>
      <c r="K208" s="609"/>
      <c r="L208" s="609"/>
      <c r="M208" s="609"/>
      <c r="N208" s="609"/>
      <c r="O208" s="618"/>
      <c r="P208" s="613" t="s">
        <v>72</v>
      </c>
      <c r="Q208" s="614"/>
      <c r="R208" s="614"/>
      <c r="S208" s="614"/>
      <c r="T208" s="614"/>
      <c r="U208" s="614"/>
      <c r="V208" s="61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hidden="1" customHeight="1" x14ac:dyDescent="0.25">
      <c r="A209" s="608" t="s">
        <v>62</v>
      </c>
      <c r="B209" s="609"/>
      <c r="C209" s="609"/>
      <c r="D209" s="609"/>
      <c r="E209" s="609"/>
      <c r="F209" s="609"/>
      <c r="G209" s="609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  <c r="Z209" s="609"/>
      <c r="AA209" s="593"/>
      <c r="AB209" s="593"/>
      <c r="AC209" s="593"/>
    </row>
    <row r="210" spans="1:68" ht="27" customHeight="1" x14ac:dyDescent="0.25">
      <c r="A210" s="54" t="s">
        <v>341</v>
      </c>
      <c r="B210" s="54" t="s">
        <v>342</v>
      </c>
      <c r="C210" s="31">
        <v>4301031191</v>
      </c>
      <c r="D210" s="603">
        <v>4680115880993</v>
      </c>
      <c r="E210" s="604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06"/>
      <c r="R210" s="606"/>
      <c r="S210" s="606"/>
      <c r="T210" s="607"/>
      <c r="U210" s="34"/>
      <c r="V210" s="34"/>
      <c r="W210" s="35" t="s">
        <v>67</v>
      </c>
      <c r="X210" s="597">
        <v>32</v>
      </c>
      <c r="Y210" s="598">
        <f t="shared" ref="Y210:Y223" si="26">IFERROR(IF(X210="",0,CEILING((X210/$H210),1)*$H210),"")</f>
        <v>33.6</v>
      </c>
      <c r="Z210" s="36">
        <f>IFERROR(IF(Y210=0,"",ROUNDUP(Y210/H210,0)*0.00902),"")</f>
        <v>7.2160000000000002E-2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33.904761904761905</v>
      </c>
      <c r="BN210" s="64">
        <f t="shared" ref="BN210:BN223" si="28">IFERROR(Y210*I210/H210,"0")</f>
        <v>35.6</v>
      </c>
      <c r="BO210" s="64">
        <f t="shared" ref="BO210:BO223" si="29">IFERROR(1/J210*(X210/H210),"0")</f>
        <v>5.772005772005772E-2</v>
      </c>
      <c r="BP210" s="64">
        <f t="shared" ref="BP210:BP223" si="30">IFERROR(1/J210*(Y210/H210),"0")</f>
        <v>6.0606060606060608E-2</v>
      </c>
    </row>
    <row r="211" spans="1:68" ht="27" customHeight="1" x14ac:dyDescent="0.25">
      <c r="A211" s="54" t="s">
        <v>344</v>
      </c>
      <c r="B211" s="54" t="s">
        <v>345</v>
      </c>
      <c r="C211" s="31">
        <v>4301031204</v>
      </c>
      <c r="D211" s="603">
        <v>4680115881761</v>
      </c>
      <c r="E211" s="604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7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06"/>
      <c r="R211" s="606"/>
      <c r="S211" s="606"/>
      <c r="T211" s="607"/>
      <c r="U211" s="34"/>
      <c r="V211" s="34"/>
      <c r="W211" s="35" t="s">
        <v>67</v>
      </c>
      <c r="X211" s="597">
        <v>55</v>
      </c>
      <c r="Y211" s="598">
        <f t="shared" si="26"/>
        <v>58.800000000000004</v>
      </c>
      <c r="Z211" s="36">
        <f>IFERROR(IF(Y211=0,"",ROUNDUP(Y211/H211,0)*0.00902),"")</f>
        <v>0.12628</v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58.273809523809518</v>
      </c>
      <c r="BN211" s="64">
        <f t="shared" si="28"/>
        <v>62.300000000000004</v>
      </c>
      <c r="BO211" s="64">
        <f t="shared" si="29"/>
        <v>9.9206349206349201E-2</v>
      </c>
      <c r="BP211" s="64">
        <f t="shared" si="30"/>
        <v>0.10606060606060606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3">
        <v>4680115881563</v>
      </c>
      <c r="E212" s="604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06"/>
      <c r="R212" s="606"/>
      <c r="S212" s="606"/>
      <c r="T212" s="607"/>
      <c r="U212" s="34"/>
      <c r="V212" s="34"/>
      <c r="W212" s="35" t="s">
        <v>67</v>
      </c>
      <c r="X212" s="597">
        <v>85</v>
      </c>
      <c r="Y212" s="598">
        <f t="shared" si="26"/>
        <v>88.2</v>
      </c>
      <c r="Z212" s="36">
        <f>IFERROR(IF(Y212=0,"",ROUNDUP(Y212/H212,0)*0.00902),"")</f>
        <v>0.18942000000000001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88.845238095238088</v>
      </c>
      <c r="BN212" s="64">
        <f t="shared" si="28"/>
        <v>92.19</v>
      </c>
      <c r="BO212" s="64">
        <f t="shared" si="29"/>
        <v>0.15331890331890333</v>
      </c>
      <c r="BP212" s="64">
        <f t="shared" si="30"/>
        <v>0.15909090909090909</v>
      </c>
    </row>
    <row r="213" spans="1:68" ht="37.5" hidden="1" customHeight="1" x14ac:dyDescent="0.25">
      <c r="A213" s="54" t="s">
        <v>350</v>
      </c>
      <c r="B213" s="54" t="s">
        <v>351</v>
      </c>
      <c r="C213" s="31">
        <v>4301031447</v>
      </c>
      <c r="D213" s="603">
        <v>4680115887565</v>
      </c>
      <c r="E213" s="604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9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06"/>
      <c r="R213" s="606"/>
      <c r="S213" s="606"/>
      <c r="T213" s="607"/>
      <c r="U213" s="34"/>
      <c r="V213" s="34"/>
      <c r="W213" s="35" t="s">
        <v>67</v>
      </c>
      <c r="X213" s="597">
        <v>0</v>
      </c>
      <c r="Y213" s="598">
        <f t="shared" si="26"/>
        <v>0</v>
      </c>
      <c r="Z213" s="36" t="str">
        <f>IFERROR(IF(Y213=0,"",ROUNDUP(Y213/H213,0)*0.00556),"")</f>
        <v/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3">
        <v>4680115880986</v>
      </c>
      <c r="E214" s="604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06"/>
      <c r="R214" s="606"/>
      <c r="S214" s="606"/>
      <c r="T214" s="607"/>
      <c r="U214" s="34"/>
      <c r="V214" s="34"/>
      <c r="W214" s="35" t="s">
        <v>67</v>
      </c>
      <c r="X214" s="597">
        <v>45</v>
      </c>
      <c r="Y214" s="598">
        <f t="shared" si="26"/>
        <v>46.2</v>
      </c>
      <c r="Z214" s="36">
        <f t="shared" ref="Z214:Z219" si="31">IFERROR(IF(Y214=0,"",ROUNDUP(Y214/H214,0)*0.00502),"")</f>
        <v>0.11044000000000001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47.785714285714278</v>
      </c>
      <c r="BN214" s="64">
        <f t="shared" si="28"/>
        <v>49.06</v>
      </c>
      <c r="BO214" s="64">
        <f t="shared" si="29"/>
        <v>9.1575091575091583E-2</v>
      </c>
      <c r="BP214" s="64">
        <f t="shared" si="30"/>
        <v>9.401709401709403E-2</v>
      </c>
    </row>
    <row r="215" spans="1:68" ht="27" hidden="1" customHeight="1" x14ac:dyDescent="0.25">
      <c r="A215" s="54" t="s">
        <v>355</v>
      </c>
      <c r="B215" s="54" t="s">
        <v>356</v>
      </c>
      <c r="C215" s="31">
        <v>4301031443</v>
      </c>
      <c r="D215" s="603">
        <v>4680115887213</v>
      </c>
      <c r="E215" s="604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9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06"/>
      <c r="R215" s="606"/>
      <c r="S215" s="606"/>
      <c r="T215" s="607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358</v>
      </c>
      <c r="B216" s="54" t="s">
        <v>359</v>
      </c>
      <c r="C216" s="31">
        <v>4301031205</v>
      </c>
      <c r="D216" s="603">
        <v>4680115881785</v>
      </c>
      <c r="E216" s="604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06"/>
      <c r="R216" s="606"/>
      <c r="S216" s="606"/>
      <c r="T216" s="607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4301031499</v>
      </c>
      <c r="D217" s="603">
        <v>4680115888432</v>
      </c>
      <c r="E217" s="604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75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06"/>
      <c r="R217" s="606"/>
      <c r="S217" s="606"/>
      <c r="T217" s="607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4301031427</v>
      </c>
      <c r="D218" s="603">
        <v>4680115888104</v>
      </c>
      <c r="E218" s="604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6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06"/>
      <c r="R218" s="606"/>
      <c r="S218" s="606"/>
      <c r="T218" s="607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366</v>
      </c>
      <c r="B219" s="54" t="s">
        <v>367</v>
      </c>
      <c r="C219" s="31">
        <v>4301031399</v>
      </c>
      <c r="D219" s="603">
        <v>4680115886537</v>
      </c>
      <c r="E219" s="604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06"/>
      <c r="R219" s="606"/>
      <c r="S219" s="606"/>
      <c r="T219" s="607"/>
      <c r="U219" s="34"/>
      <c r="V219" s="34"/>
      <c r="W219" s="35" t="s">
        <v>67</v>
      </c>
      <c r="X219" s="597">
        <v>0</v>
      </c>
      <c r="Y219" s="598">
        <f t="shared" si="26"/>
        <v>0</v>
      </c>
      <c r="Z219" s="36" t="str">
        <f t="shared" si="31"/>
        <v/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3">
        <v>4680115887596</v>
      </c>
      <c r="E220" s="604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9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06"/>
      <c r="R220" s="606"/>
      <c r="S220" s="606"/>
      <c r="T220" s="607"/>
      <c r="U220" s="34"/>
      <c r="V220" s="34"/>
      <c r="W220" s="35" t="s">
        <v>67</v>
      </c>
      <c r="X220" s="597">
        <v>6</v>
      </c>
      <c r="Y220" s="598">
        <f t="shared" si="26"/>
        <v>6.4</v>
      </c>
      <c r="Z220" s="36">
        <f>IFERROR(IF(Y220=0,"",ROUNDUP(Y220/H220,0)*0.00417),"")</f>
        <v>3.3360000000000001E-2</v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7.5750000000000002</v>
      </c>
      <c r="BN220" s="64">
        <f t="shared" si="28"/>
        <v>8.08</v>
      </c>
      <c r="BO220" s="64">
        <f t="shared" si="29"/>
        <v>2.2321428571428568E-2</v>
      </c>
      <c r="BP220" s="64">
        <f t="shared" si="30"/>
        <v>2.3809523809523808E-2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3">
        <v>4680115881679</v>
      </c>
      <c r="E221" s="604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9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06"/>
      <c r="R221" s="606"/>
      <c r="S221" s="606"/>
      <c r="T221" s="607"/>
      <c r="U221" s="34"/>
      <c r="V221" s="34"/>
      <c r="W221" s="35" t="s">
        <v>67</v>
      </c>
      <c r="X221" s="597">
        <v>62</v>
      </c>
      <c r="Y221" s="598">
        <f t="shared" si="26"/>
        <v>63</v>
      </c>
      <c r="Z221" s="36">
        <f>IFERROR(IF(Y221=0,"",ROUNDUP(Y221/H221,0)*0.00502),"")</f>
        <v>0.15060000000000001</v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64.952380952380949</v>
      </c>
      <c r="BN221" s="64">
        <f t="shared" si="28"/>
        <v>66.000000000000014</v>
      </c>
      <c r="BO221" s="64">
        <f t="shared" si="29"/>
        <v>0.12617012617012618</v>
      </c>
      <c r="BP221" s="64">
        <f t="shared" si="30"/>
        <v>0.12820512820512822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4301031158</v>
      </c>
      <c r="D222" s="603">
        <v>4680115880191</v>
      </c>
      <c r="E222" s="604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7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06"/>
      <c r="R222" s="606"/>
      <c r="S222" s="606"/>
      <c r="T222" s="607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4301031245</v>
      </c>
      <c r="D223" s="603">
        <v>4680115883963</v>
      </c>
      <c r="E223" s="604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87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06"/>
      <c r="R223" s="606"/>
      <c r="S223" s="606"/>
      <c r="T223" s="607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17"/>
      <c r="B224" s="609"/>
      <c r="C224" s="609"/>
      <c r="D224" s="609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18"/>
      <c r="P224" s="613" t="s">
        <v>72</v>
      </c>
      <c r="Q224" s="614"/>
      <c r="R224" s="614"/>
      <c r="S224" s="614"/>
      <c r="T224" s="614"/>
      <c r="U224" s="614"/>
      <c r="V224" s="61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99.404761904761898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103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0.68226000000000009</v>
      </c>
      <c r="AA224" s="600"/>
      <c r="AB224" s="600"/>
      <c r="AC224" s="600"/>
    </row>
    <row r="225" spans="1:68" x14ac:dyDescent="0.2">
      <c r="A225" s="609"/>
      <c r="B225" s="609"/>
      <c r="C225" s="609"/>
      <c r="D225" s="609"/>
      <c r="E225" s="609"/>
      <c r="F225" s="609"/>
      <c r="G225" s="609"/>
      <c r="H225" s="609"/>
      <c r="I225" s="609"/>
      <c r="J225" s="609"/>
      <c r="K225" s="609"/>
      <c r="L225" s="609"/>
      <c r="M225" s="609"/>
      <c r="N225" s="609"/>
      <c r="O225" s="618"/>
      <c r="P225" s="613" t="s">
        <v>72</v>
      </c>
      <c r="Q225" s="614"/>
      <c r="R225" s="614"/>
      <c r="S225" s="614"/>
      <c r="T225" s="614"/>
      <c r="U225" s="614"/>
      <c r="V225" s="615"/>
      <c r="W225" s="37" t="s">
        <v>67</v>
      </c>
      <c r="X225" s="599">
        <f>IFERROR(SUM(X210:X223),"0")</f>
        <v>285</v>
      </c>
      <c r="Y225" s="599">
        <f>IFERROR(SUM(Y210:Y223),"0")</f>
        <v>296.20000000000005</v>
      </c>
      <c r="Z225" s="37"/>
      <c r="AA225" s="600"/>
      <c r="AB225" s="600"/>
      <c r="AC225" s="600"/>
    </row>
    <row r="226" spans="1:68" ht="14.25" hidden="1" customHeight="1" x14ac:dyDescent="0.25">
      <c r="A226" s="608" t="s">
        <v>74</v>
      </c>
      <c r="B226" s="609"/>
      <c r="C226" s="609"/>
      <c r="D226" s="609"/>
      <c r="E226" s="609"/>
      <c r="F226" s="609"/>
      <c r="G226" s="609"/>
      <c r="H226" s="609"/>
      <c r="I226" s="609"/>
      <c r="J226" s="609"/>
      <c r="K226" s="609"/>
      <c r="L226" s="609"/>
      <c r="M226" s="609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  <c r="Z226" s="609"/>
      <c r="AA226" s="593"/>
      <c r="AB226" s="593"/>
      <c r="AC226" s="593"/>
    </row>
    <row r="227" spans="1:68" ht="16.5" hidden="1" customHeight="1" x14ac:dyDescent="0.25">
      <c r="A227" s="54" t="s">
        <v>379</v>
      </c>
      <c r="B227" s="54" t="s">
        <v>380</v>
      </c>
      <c r="C227" s="31">
        <v>4301052209</v>
      </c>
      <c r="D227" s="603">
        <v>4680115888692</v>
      </c>
      <c r="E227" s="604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725" t="s">
        <v>381</v>
      </c>
      <c r="Q227" s="606"/>
      <c r="R227" s="606"/>
      <c r="S227" s="606"/>
      <c r="T227" s="607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4301052213</v>
      </c>
      <c r="D228" s="603">
        <v>4680115888722</v>
      </c>
      <c r="E228" s="604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651" t="s">
        <v>386</v>
      </c>
      <c r="Q228" s="606"/>
      <c r="R228" s="606"/>
      <c r="S228" s="606"/>
      <c r="T228" s="607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4301052177</v>
      </c>
      <c r="D229" s="603">
        <v>4680115888951</v>
      </c>
      <c r="E229" s="604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77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6"/>
      <c r="R229" s="606"/>
      <c r="S229" s="606"/>
      <c r="T229" s="607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4301052176</v>
      </c>
      <c r="D230" s="603">
        <v>4680115888982</v>
      </c>
      <c r="E230" s="604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8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06"/>
      <c r="R230" s="606"/>
      <c r="S230" s="606"/>
      <c r="T230" s="607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idden="1" x14ac:dyDescent="0.2">
      <c r="A231" s="617"/>
      <c r="B231" s="609"/>
      <c r="C231" s="609"/>
      <c r="D231" s="609"/>
      <c r="E231" s="609"/>
      <c r="F231" s="609"/>
      <c r="G231" s="609"/>
      <c r="H231" s="609"/>
      <c r="I231" s="609"/>
      <c r="J231" s="609"/>
      <c r="K231" s="609"/>
      <c r="L231" s="609"/>
      <c r="M231" s="609"/>
      <c r="N231" s="609"/>
      <c r="O231" s="618"/>
      <c r="P231" s="613" t="s">
        <v>72</v>
      </c>
      <c r="Q231" s="614"/>
      <c r="R231" s="614"/>
      <c r="S231" s="614"/>
      <c r="T231" s="614"/>
      <c r="U231" s="614"/>
      <c r="V231" s="61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hidden="1" x14ac:dyDescent="0.2">
      <c r="A232" s="609"/>
      <c r="B232" s="609"/>
      <c r="C232" s="609"/>
      <c r="D232" s="609"/>
      <c r="E232" s="609"/>
      <c r="F232" s="609"/>
      <c r="G232" s="609"/>
      <c r="H232" s="609"/>
      <c r="I232" s="609"/>
      <c r="J232" s="609"/>
      <c r="K232" s="609"/>
      <c r="L232" s="609"/>
      <c r="M232" s="609"/>
      <c r="N232" s="609"/>
      <c r="O232" s="618"/>
      <c r="P232" s="613" t="s">
        <v>72</v>
      </c>
      <c r="Q232" s="614"/>
      <c r="R232" s="614"/>
      <c r="S232" s="614"/>
      <c r="T232" s="614"/>
      <c r="U232" s="614"/>
      <c r="V232" s="61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hidden="1" customHeight="1" x14ac:dyDescent="0.25">
      <c r="A233" s="608" t="s">
        <v>95</v>
      </c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  <c r="Z233" s="609"/>
      <c r="AA233" s="593"/>
      <c r="AB233" s="593"/>
      <c r="AC233" s="593"/>
    </row>
    <row r="234" spans="1:68" ht="27" hidden="1" customHeight="1" x14ac:dyDescent="0.25">
      <c r="A234" s="54" t="s">
        <v>393</v>
      </c>
      <c r="B234" s="54" t="s">
        <v>394</v>
      </c>
      <c r="C234" s="31">
        <v>4301032053</v>
      </c>
      <c r="D234" s="603">
        <v>4680115886780</v>
      </c>
      <c r="E234" s="604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90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06"/>
      <c r="R234" s="606"/>
      <c r="S234" s="606"/>
      <c r="T234" s="607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4301032051</v>
      </c>
      <c r="D235" s="603">
        <v>4680115886742</v>
      </c>
      <c r="E235" s="604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06"/>
      <c r="R235" s="606"/>
      <c r="S235" s="606"/>
      <c r="T235" s="607"/>
      <c r="U235" s="34"/>
      <c r="V235" s="34"/>
      <c r="W235" s="35" t="s">
        <v>67</v>
      </c>
      <c r="X235" s="597">
        <v>3</v>
      </c>
      <c r="Y235" s="598">
        <f>IFERROR(IF(X235="",0,CEILING((X235/$H235),1)*$H235),"")</f>
        <v>3.7800000000000002</v>
      </c>
      <c r="Z235" s="36">
        <f>IFERROR(IF(Y235=0,"",ROUNDUP(Y235/H235,0)*0.0059),"")</f>
        <v>1.77E-2</v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3.4523809523809521</v>
      </c>
      <c r="BN235" s="64">
        <f>IFERROR(Y235*I235/H235,"0")</f>
        <v>4.3499999999999996</v>
      </c>
      <c r="BO235" s="64">
        <f>IFERROR(1/J235*(X235/H235),"0")</f>
        <v>1.1022927689594356E-2</v>
      </c>
      <c r="BP235" s="64">
        <f>IFERROR(1/J235*(Y235/H235),"0")</f>
        <v>1.3888888888888888E-2</v>
      </c>
    </row>
    <row r="236" spans="1:68" ht="27" customHeight="1" x14ac:dyDescent="0.25">
      <c r="A236" s="54" t="s">
        <v>399</v>
      </c>
      <c r="B236" s="54" t="s">
        <v>400</v>
      </c>
      <c r="C236" s="31">
        <v>4301032052</v>
      </c>
      <c r="D236" s="603">
        <v>4680115886766</v>
      </c>
      <c r="E236" s="604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9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06"/>
      <c r="R236" s="606"/>
      <c r="S236" s="606"/>
      <c r="T236" s="607"/>
      <c r="U236" s="34"/>
      <c r="V236" s="34"/>
      <c r="W236" s="35" t="s">
        <v>67</v>
      </c>
      <c r="X236" s="597">
        <v>7</v>
      </c>
      <c r="Y236" s="598">
        <f>IFERROR(IF(X236="",0,CEILING((X236/$H236),1)*$H236),"")</f>
        <v>7.5600000000000005</v>
      </c>
      <c r="Z236" s="36">
        <f>IFERROR(IF(Y236=0,"",ROUNDUP(Y236/H236,0)*0.0059),"")</f>
        <v>3.5400000000000001E-2</v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8.0555555555555554</v>
      </c>
      <c r="BN236" s="64">
        <f>IFERROR(Y236*I236/H236,"0")</f>
        <v>8.6999999999999993</v>
      </c>
      <c r="BO236" s="64">
        <f>IFERROR(1/J236*(X236/H236),"0")</f>
        <v>2.5720164609053495E-2</v>
      </c>
      <c r="BP236" s="64">
        <f>IFERROR(1/J236*(Y236/H236),"0")</f>
        <v>2.7777777777777776E-2</v>
      </c>
    </row>
    <row r="237" spans="1:68" x14ac:dyDescent="0.2">
      <c r="A237" s="617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8"/>
      <c r="P237" s="613" t="s">
        <v>72</v>
      </c>
      <c r="Q237" s="614"/>
      <c r="R237" s="614"/>
      <c r="S237" s="614"/>
      <c r="T237" s="614"/>
      <c r="U237" s="614"/>
      <c r="V237" s="615"/>
      <c r="W237" s="37" t="s">
        <v>73</v>
      </c>
      <c r="X237" s="599">
        <f>IFERROR(X234/H234,"0")+IFERROR(X235/H235,"0")+IFERROR(X236/H236,"0")</f>
        <v>7.9365079365079367</v>
      </c>
      <c r="Y237" s="599">
        <f>IFERROR(Y234/H234,"0")+IFERROR(Y235/H235,"0")+IFERROR(Y236/H236,"0")</f>
        <v>9</v>
      </c>
      <c r="Z237" s="599">
        <f>IFERROR(IF(Z234="",0,Z234),"0")+IFERROR(IF(Z235="",0,Z235),"0")+IFERROR(IF(Z236="",0,Z236),"0")</f>
        <v>5.3100000000000001E-2</v>
      </c>
      <c r="AA237" s="600"/>
      <c r="AB237" s="600"/>
      <c r="AC237" s="600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8"/>
      <c r="P238" s="613" t="s">
        <v>72</v>
      </c>
      <c r="Q238" s="614"/>
      <c r="R238" s="614"/>
      <c r="S238" s="614"/>
      <c r="T238" s="614"/>
      <c r="U238" s="614"/>
      <c r="V238" s="615"/>
      <c r="W238" s="37" t="s">
        <v>67</v>
      </c>
      <c r="X238" s="599">
        <f>IFERROR(SUM(X234:X236),"0")</f>
        <v>10</v>
      </c>
      <c r="Y238" s="599">
        <f>IFERROR(SUM(Y234:Y236),"0")</f>
        <v>11.34</v>
      </c>
      <c r="Z238" s="37"/>
      <c r="AA238" s="600"/>
      <c r="AB238" s="600"/>
      <c r="AC238" s="600"/>
    </row>
    <row r="239" spans="1:68" ht="14.25" hidden="1" customHeight="1" x14ac:dyDescent="0.25">
      <c r="A239" s="608" t="s">
        <v>401</v>
      </c>
      <c r="B239" s="609"/>
      <c r="C239" s="609"/>
      <c r="D239" s="609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  <c r="Z239" s="609"/>
      <c r="AA239" s="593"/>
      <c r="AB239" s="593"/>
      <c r="AC239" s="593"/>
    </row>
    <row r="240" spans="1:68" ht="27" customHeight="1" x14ac:dyDescent="0.25">
      <c r="A240" s="54" t="s">
        <v>402</v>
      </c>
      <c r="B240" s="54" t="s">
        <v>403</v>
      </c>
      <c r="C240" s="31">
        <v>4301170013</v>
      </c>
      <c r="D240" s="603">
        <v>4680115886797</v>
      </c>
      <c r="E240" s="604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89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06"/>
      <c r="R240" s="606"/>
      <c r="S240" s="606"/>
      <c r="T240" s="607"/>
      <c r="U240" s="34"/>
      <c r="V240" s="34"/>
      <c r="W240" s="35" t="s">
        <v>67</v>
      </c>
      <c r="X240" s="597">
        <v>4</v>
      </c>
      <c r="Y240" s="59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17"/>
      <c r="B241" s="609"/>
      <c r="C241" s="609"/>
      <c r="D241" s="609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18"/>
      <c r="P241" s="613" t="s">
        <v>72</v>
      </c>
      <c r="Q241" s="614"/>
      <c r="R241" s="614"/>
      <c r="S241" s="614"/>
      <c r="T241" s="614"/>
      <c r="U241" s="614"/>
      <c r="V241" s="615"/>
      <c r="W241" s="37" t="s">
        <v>73</v>
      </c>
      <c r="X241" s="599">
        <f>IFERROR(X240/H240,"0")</f>
        <v>3.1746031746031744</v>
      </c>
      <c r="Y241" s="599">
        <f>IFERROR(Y240/H240,"0")</f>
        <v>4</v>
      </c>
      <c r="Z241" s="599">
        <f>IFERROR(IF(Z240="",0,Z240),"0")</f>
        <v>2.3599999999999999E-2</v>
      </c>
      <c r="AA241" s="600"/>
      <c r="AB241" s="600"/>
      <c r="AC241" s="600"/>
    </row>
    <row r="242" spans="1:68" x14ac:dyDescent="0.2">
      <c r="A242" s="609"/>
      <c r="B242" s="609"/>
      <c r="C242" s="609"/>
      <c r="D242" s="609"/>
      <c r="E242" s="609"/>
      <c r="F242" s="609"/>
      <c r="G242" s="609"/>
      <c r="H242" s="609"/>
      <c r="I242" s="609"/>
      <c r="J242" s="609"/>
      <c r="K242" s="609"/>
      <c r="L242" s="609"/>
      <c r="M242" s="609"/>
      <c r="N242" s="609"/>
      <c r="O242" s="618"/>
      <c r="P242" s="613" t="s">
        <v>72</v>
      </c>
      <c r="Q242" s="614"/>
      <c r="R242" s="614"/>
      <c r="S242" s="614"/>
      <c r="T242" s="614"/>
      <c r="U242" s="614"/>
      <c r="V242" s="615"/>
      <c r="W242" s="37" t="s">
        <v>67</v>
      </c>
      <c r="X242" s="599">
        <f>IFERROR(SUM(X240:X240),"0")</f>
        <v>4</v>
      </c>
      <c r="Y242" s="599">
        <f>IFERROR(SUM(Y240:Y240),"0")</f>
        <v>5.04</v>
      </c>
      <c r="Z242" s="37"/>
      <c r="AA242" s="600"/>
      <c r="AB242" s="600"/>
      <c r="AC242" s="600"/>
    </row>
    <row r="243" spans="1:68" ht="16.5" hidden="1" customHeight="1" x14ac:dyDescent="0.25">
      <c r="A243" s="612" t="s">
        <v>404</v>
      </c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  <c r="Z243" s="609"/>
      <c r="AA243" s="592"/>
      <c r="AB243" s="592"/>
      <c r="AC243" s="592"/>
    </row>
    <row r="244" spans="1:68" ht="14.25" hidden="1" customHeight="1" x14ac:dyDescent="0.25">
      <c r="A244" s="608" t="s">
        <v>117</v>
      </c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  <c r="Z244" s="609"/>
      <c r="AA244" s="593"/>
      <c r="AB244" s="593"/>
      <c r="AC244" s="593"/>
    </row>
    <row r="245" spans="1:68" ht="27" hidden="1" customHeight="1" x14ac:dyDescent="0.25">
      <c r="A245" s="54" t="s">
        <v>405</v>
      </c>
      <c r="B245" s="54" t="s">
        <v>406</v>
      </c>
      <c r="C245" s="31">
        <v>4301011450</v>
      </c>
      <c r="D245" s="603">
        <v>4680115881402</v>
      </c>
      <c r="E245" s="604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7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06"/>
      <c r="R245" s="606"/>
      <c r="S245" s="606"/>
      <c r="T245" s="607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408</v>
      </c>
      <c r="B246" s="54" t="s">
        <v>409</v>
      </c>
      <c r="C246" s="31">
        <v>4301011768</v>
      </c>
      <c r="D246" s="603">
        <v>4680115881396</v>
      </c>
      <c r="E246" s="604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06"/>
      <c r="R246" s="606"/>
      <c r="S246" s="606"/>
      <c r="T246" s="607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17"/>
      <c r="B247" s="609"/>
      <c r="C247" s="609"/>
      <c r="D247" s="609"/>
      <c r="E247" s="609"/>
      <c r="F247" s="609"/>
      <c r="G247" s="609"/>
      <c r="H247" s="609"/>
      <c r="I247" s="609"/>
      <c r="J247" s="609"/>
      <c r="K247" s="609"/>
      <c r="L247" s="609"/>
      <c r="M247" s="609"/>
      <c r="N247" s="609"/>
      <c r="O247" s="618"/>
      <c r="P247" s="613" t="s">
        <v>72</v>
      </c>
      <c r="Q247" s="614"/>
      <c r="R247" s="614"/>
      <c r="S247" s="614"/>
      <c r="T247" s="614"/>
      <c r="U247" s="614"/>
      <c r="V247" s="61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hidden="1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8"/>
      <c r="P248" s="613" t="s">
        <v>72</v>
      </c>
      <c r="Q248" s="614"/>
      <c r="R248" s="614"/>
      <c r="S248" s="614"/>
      <c r="T248" s="614"/>
      <c r="U248" s="614"/>
      <c r="V248" s="61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hidden="1" customHeight="1" x14ac:dyDescent="0.25">
      <c r="A249" s="608" t="s">
        <v>152</v>
      </c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  <c r="Z249" s="609"/>
      <c r="AA249" s="593"/>
      <c r="AB249" s="593"/>
      <c r="AC249" s="593"/>
    </row>
    <row r="250" spans="1:68" ht="16.5" hidden="1" customHeight="1" x14ac:dyDescent="0.25">
      <c r="A250" s="54" t="s">
        <v>410</v>
      </c>
      <c r="B250" s="54" t="s">
        <v>411</v>
      </c>
      <c r="C250" s="31">
        <v>4301020261</v>
      </c>
      <c r="D250" s="603">
        <v>4680115882935</v>
      </c>
      <c r="E250" s="604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06"/>
      <c r="R250" s="606"/>
      <c r="S250" s="606"/>
      <c r="T250" s="607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hidden="1" customHeight="1" x14ac:dyDescent="0.25">
      <c r="A251" s="54" t="s">
        <v>413</v>
      </c>
      <c r="B251" s="54" t="s">
        <v>414</v>
      </c>
      <c r="C251" s="31">
        <v>4301020220</v>
      </c>
      <c r="D251" s="603">
        <v>4680115880764</v>
      </c>
      <c r="E251" s="604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06"/>
      <c r="R251" s="606"/>
      <c r="S251" s="606"/>
      <c r="T251" s="607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17"/>
      <c r="B252" s="609"/>
      <c r="C252" s="609"/>
      <c r="D252" s="609"/>
      <c r="E252" s="609"/>
      <c r="F252" s="609"/>
      <c r="G252" s="609"/>
      <c r="H252" s="609"/>
      <c r="I252" s="609"/>
      <c r="J252" s="609"/>
      <c r="K252" s="609"/>
      <c r="L252" s="609"/>
      <c r="M252" s="609"/>
      <c r="N252" s="609"/>
      <c r="O252" s="618"/>
      <c r="P252" s="613" t="s">
        <v>72</v>
      </c>
      <c r="Q252" s="614"/>
      <c r="R252" s="614"/>
      <c r="S252" s="614"/>
      <c r="T252" s="614"/>
      <c r="U252" s="614"/>
      <c r="V252" s="61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hidden="1" x14ac:dyDescent="0.2">
      <c r="A253" s="609"/>
      <c r="B253" s="609"/>
      <c r="C253" s="609"/>
      <c r="D253" s="609"/>
      <c r="E253" s="609"/>
      <c r="F253" s="609"/>
      <c r="G253" s="609"/>
      <c r="H253" s="609"/>
      <c r="I253" s="609"/>
      <c r="J253" s="609"/>
      <c r="K253" s="609"/>
      <c r="L253" s="609"/>
      <c r="M253" s="609"/>
      <c r="N253" s="609"/>
      <c r="O253" s="618"/>
      <c r="P253" s="613" t="s">
        <v>72</v>
      </c>
      <c r="Q253" s="614"/>
      <c r="R253" s="614"/>
      <c r="S253" s="614"/>
      <c r="T253" s="614"/>
      <c r="U253" s="614"/>
      <c r="V253" s="61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hidden="1" customHeight="1" x14ac:dyDescent="0.25">
      <c r="A254" s="608" t="s">
        <v>62</v>
      </c>
      <c r="B254" s="609"/>
      <c r="C254" s="609"/>
      <c r="D254" s="609"/>
      <c r="E254" s="609"/>
      <c r="F254" s="609"/>
      <c r="G254" s="609"/>
      <c r="H254" s="609"/>
      <c r="I254" s="609"/>
      <c r="J254" s="609"/>
      <c r="K254" s="609"/>
      <c r="L254" s="609"/>
      <c r="M254" s="609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  <c r="Z254" s="609"/>
      <c r="AA254" s="593"/>
      <c r="AB254" s="593"/>
      <c r="AC254" s="593"/>
    </row>
    <row r="255" spans="1:68" ht="27" hidden="1" customHeight="1" x14ac:dyDescent="0.25">
      <c r="A255" s="54" t="s">
        <v>415</v>
      </c>
      <c r="B255" s="54" t="s">
        <v>416</v>
      </c>
      <c r="C255" s="31">
        <v>4301031224</v>
      </c>
      <c r="D255" s="603">
        <v>4680115882683</v>
      </c>
      <c r="E255" s="604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06"/>
      <c r="R255" s="606"/>
      <c r="S255" s="606"/>
      <c r="T255" s="607"/>
      <c r="U255" s="34"/>
      <c r="V255" s="34"/>
      <c r="W255" s="35" t="s">
        <v>67</v>
      </c>
      <c r="X255" s="597">
        <v>0</v>
      </c>
      <c r="Y255" s="598">
        <f t="shared" ref="Y255:Y262" si="32">IFERROR(IF(X255="",0,CEILING((X255/$H255),1)*$H255),"")</f>
        <v>0</v>
      </c>
      <c r="Z255" s="36" t="str">
        <f>IFERROR(IF(Y255=0,"",ROUNDUP(Y255/H255,0)*0.00902),"")</f>
        <v/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0</v>
      </c>
      <c r="BN255" s="64">
        <f t="shared" ref="BN255:BN262" si="34">IFERROR(Y255*I255/H255,"0")</f>
        <v>0</v>
      </c>
      <c r="BO255" s="64">
        <f t="shared" ref="BO255:BO262" si="35">IFERROR(1/J255*(X255/H255),"0")</f>
        <v>0</v>
      </c>
      <c r="BP255" s="64">
        <f t="shared" ref="BP255:BP262" si="36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4301031230</v>
      </c>
      <c r="D256" s="603">
        <v>4680115882690</v>
      </c>
      <c r="E256" s="604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7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06"/>
      <c r="R256" s="606"/>
      <c r="S256" s="606"/>
      <c r="T256" s="607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3">
        <v>4680115882669</v>
      </c>
      <c r="E257" s="604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74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06"/>
      <c r="R257" s="606"/>
      <c r="S257" s="606"/>
      <c r="T257" s="607"/>
      <c r="U257" s="34"/>
      <c r="V257" s="34"/>
      <c r="W257" s="35" t="s">
        <v>67</v>
      </c>
      <c r="X257" s="597">
        <v>276</v>
      </c>
      <c r="Y257" s="598">
        <f t="shared" si="32"/>
        <v>280.8</v>
      </c>
      <c r="Z257" s="36">
        <f>IFERROR(IF(Y257=0,"",ROUNDUP(Y257/H257,0)*0.00902),"")</f>
        <v>0.46904000000000001</v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285.71111111111105</v>
      </c>
      <c r="BN257" s="64">
        <f t="shared" si="34"/>
        <v>290.68</v>
      </c>
      <c r="BO257" s="64">
        <f t="shared" si="35"/>
        <v>0.38720538720538716</v>
      </c>
      <c r="BP257" s="64">
        <f t="shared" si="36"/>
        <v>0.39393939393939392</v>
      </c>
    </row>
    <row r="258" spans="1:68" ht="27" hidden="1" customHeight="1" x14ac:dyDescent="0.25">
      <c r="A258" s="54" t="s">
        <v>424</v>
      </c>
      <c r="B258" s="54" t="s">
        <v>425</v>
      </c>
      <c r="C258" s="31">
        <v>4301031221</v>
      </c>
      <c r="D258" s="603">
        <v>4680115882676</v>
      </c>
      <c r="E258" s="604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06"/>
      <c r="R258" s="606"/>
      <c r="S258" s="606"/>
      <c r="T258" s="607"/>
      <c r="U258" s="34"/>
      <c r="V258" s="34"/>
      <c r="W258" s="35" t="s">
        <v>67</v>
      </c>
      <c r="X258" s="597">
        <v>0</v>
      </c>
      <c r="Y258" s="598">
        <f t="shared" si="32"/>
        <v>0</v>
      </c>
      <c r="Z258" s="36" t="str">
        <f>IFERROR(IF(Y258=0,"",ROUNDUP(Y258/H258,0)*0.00902),"")</f>
        <v/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3">
        <v>4680115884014</v>
      </c>
      <c r="E259" s="604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89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06"/>
      <c r="R259" s="606"/>
      <c r="S259" s="606"/>
      <c r="T259" s="607"/>
      <c r="U259" s="34"/>
      <c r="V259" s="34"/>
      <c r="W259" s="35" t="s">
        <v>67</v>
      </c>
      <c r="X259" s="597">
        <v>20</v>
      </c>
      <c r="Y259" s="598">
        <f t="shared" si="32"/>
        <v>21.6</v>
      </c>
      <c r="Z259" s="36">
        <f>IFERROR(IF(Y259=0,"",ROUNDUP(Y259/H259,0)*0.00502),"")</f>
        <v>6.0240000000000002E-2</v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21.444444444444446</v>
      </c>
      <c r="BN259" s="64">
        <f t="shared" si="34"/>
        <v>23.16</v>
      </c>
      <c r="BO259" s="64">
        <f t="shared" si="35"/>
        <v>4.7483380816714153E-2</v>
      </c>
      <c r="BP259" s="64">
        <f t="shared" si="36"/>
        <v>5.1282051282051287E-2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4301031222</v>
      </c>
      <c r="D260" s="603">
        <v>4680115884007</v>
      </c>
      <c r="E260" s="604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7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06"/>
      <c r="R260" s="606"/>
      <c r="S260" s="606"/>
      <c r="T260" s="607"/>
      <c r="U260" s="34"/>
      <c r="V260" s="34"/>
      <c r="W260" s="35" t="s">
        <v>67</v>
      </c>
      <c r="X260" s="597">
        <v>0</v>
      </c>
      <c r="Y260" s="598">
        <f t="shared" si="32"/>
        <v>0</v>
      </c>
      <c r="Z260" s="36" t="str">
        <f>IFERROR(IF(Y260=0,"",ROUNDUP(Y260/H260,0)*0.00502),"")</f>
        <v/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4301031229</v>
      </c>
      <c r="D261" s="603">
        <v>4680115884038</v>
      </c>
      <c r="E261" s="604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75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06"/>
      <c r="R261" s="606"/>
      <c r="S261" s="606"/>
      <c r="T261" s="607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hidden="1" customHeight="1" x14ac:dyDescent="0.25">
      <c r="A262" s="54" t="s">
        <v>433</v>
      </c>
      <c r="B262" s="54" t="s">
        <v>434</v>
      </c>
      <c r="C262" s="31">
        <v>4301031225</v>
      </c>
      <c r="D262" s="603">
        <v>4680115884021</v>
      </c>
      <c r="E262" s="604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6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06"/>
      <c r="R262" s="606"/>
      <c r="S262" s="606"/>
      <c r="T262" s="607"/>
      <c r="U262" s="34"/>
      <c r="V262" s="34"/>
      <c r="W262" s="35" t="s">
        <v>67</v>
      </c>
      <c r="X262" s="597">
        <v>0</v>
      </c>
      <c r="Y262" s="598">
        <f t="shared" si="32"/>
        <v>0</v>
      </c>
      <c r="Z262" s="36" t="str">
        <f>IFERROR(IF(Y262=0,"",ROUNDUP(Y262/H262,0)*0.00502),"")</f>
        <v/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x14ac:dyDescent="0.2">
      <c r="A263" s="617"/>
      <c r="B263" s="609"/>
      <c r="C263" s="609"/>
      <c r="D263" s="609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18"/>
      <c r="P263" s="613" t="s">
        <v>72</v>
      </c>
      <c r="Q263" s="614"/>
      <c r="R263" s="614"/>
      <c r="S263" s="614"/>
      <c r="T263" s="614"/>
      <c r="U263" s="614"/>
      <c r="V263" s="61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62.222222222222214</v>
      </c>
      <c r="Y263" s="599">
        <f>IFERROR(Y255/H255,"0")+IFERROR(Y256/H256,"0")+IFERROR(Y257/H257,"0")+IFERROR(Y258/H258,"0")+IFERROR(Y259/H259,"0")+IFERROR(Y260/H260,"0")+IFERROR(Y261/H261,"0")+IFERROR(Y262/H262,"0")</f>
        <v>64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0.52927999999999997</v>
      </c>
      <c r="AA263" s="600"/>
      <c r="AB263" s="600"/>
      <c r="AC263" s="600"/>
    </row>
    <row r="264" spans="1:68" x14ac:dyDescent="0.2">
      <c r="A264" s="609"/>
      <c r="B264" s="609"/>
      <c r="C264" s="609"/>
      <c r="D264" s="609"/>
      <c r="E264" s="609"/>
      <c r="F264" s="609"/>
      <c r="G264" s="609"/>
      <c r="H264" s="609"/>
      <c r="I264" s="609"/>
      <c r="J264" s="609"/>
      <c r="K264" s="609"/>
      <c r="L264" s="609"/>
      <c r="M264" s="609"/>
      <c r="N264" s="609"/>
      <c r="O264" s="618"/>
      <c r="P264" s="613" t="s">
        <v>72</v>
      </c>
      <c r="Q264" s="614"/>
      <c r="R264" s="614"/>
      <c r="S264" s="614"/>
      <c r="T264" s="614"/>
      <c r="U264" s="614"/>
      <c r="V264" s="615"/>
      <c r="W264" s="37" t="s">
        <v>67</v>
      </c>
      <c r="X264" s="599">
        <f>IFERROR(SUM(X255:X262),"0")</f>
        <v>296</v>
      </c>
      <c r="Y264" s="599">
        <f>IFERROR(SUM(Y255:Y262),"0")</f>
        <v>302.40000000000003</v>
      </c>
      <c r="Z264" s="37"/>
      <c r="AA264" s="600"/>
      <c r="AB264" s="600"/>
      <c r="AC264" s="600"/>
    </row>
    <row r="265" spans="1:68" ht="14.25" hidden="1" customHeight="1" x14ac:dyDescent="0.25">
      <c r="A265" s="608" t="s">
        <v>74</v>
      </c>
      <c r="B265" s="609"/>
      <c r="C265" s="609"/>
      <c r="D265" s="609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  <c r="Z265" s="609"/>
      <c r="AA265" s="593"/>
      <c r="AB265" s="593"/>
      <c r="AC265" s="593"/>
    </row>
    <row r="266" spans="1:68" ht="27" customHeight="1" x14ac:dyDescent="0.25">
      <c r="A266" s="54" t="s">
        <v>435</v>
      </c>
      <c r="B266" s="54" t="s">
        <v>436</v>
      </c>
      <c r="C266" s="31">
        <v>4301051408</v>
      </c>
      <c r="D266" s="603">
        <v>4680115881594</v>
      </c>
      <c r="E266" s="604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9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6"/>
      <c r="R266" s="606"/>
      <c r="S266" s="606"/>
      <c r="T266" s="607"/>
      <c r="U266" s="34"/>
      <c r="V266" s="34"/>
      <c r="W266" s="35" t="s">
        <v>67</v>
      </c>
      <c r="X266" s="597">
        <v>10</v>
      </c>
      <c r="Y266" s="598">
        <f t="shared" ref="Y266:Y277" si="37">IFERROR(IF(X266="",0,CEILING((X266/$H266),1)*$H266),"")</f>
        <v>16.2</v>
      </c>
      <c r="Z266" s="36">
        <f>IFERROR(IF(Y266=0,"",ROUNDUP(Y266/H266,0)*0.01898),"")</f>
        <v>3.7960000000000001E-2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10.609876543209877</v>
      </c>
      <c r="BN266" s="64">
        <f t="shared" ref="BN266:BN277" si="39">IFERROR(Y266*I266/H266,"0")</f>
        <v>17.187999999999999</v>
      </c>
      <c r="BO266" s="64">
        <f t="shared" ref="BO266:BO277" si="40">IFERROR(1/J266*(X266/H266),"0")</f>
        <v>1.9290123456790126E-2</v>
      </c>
      <c r="BP266" s="64">
        <f t="shared" ref="BP266:BP277" si="41">IFERROR(1/J266*(Y266/H266),"0")</f>
        <v>3.125E-2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4301051411</v>
      </c>
      <c r="D267" s="603">
        <v>4680115881617</v>
      </c>
      <c r="E267" s="604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6"/>
      <c r="R267" s="606"/>
      <c r="S267" s="606"/>
      <c r="T267" s="607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4301051656</v>
      </c>
      <c r="D268" s="603">
        <v>4680115880573</v>
      </c>
      <c r="E268" s="604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6"/>
      <c r="R268" s="606"/>
      <c r="S268" s="606"/>
      <c r="T268" s="607"/>
      <c r="U268" s="34"/>
      <c r="V268" s="34"/>
      <c r="W268" s="35" t="s">
        <v>67</v>
      </c>
      <c r="X268" s="597">
        <v>0</v>
      </c>
      <c r="Y268" s="598">
        <f t="shared" si="37"/>
        <v>0</v>
      </c>
      <c r="Z268" s="36" t="str">
        <f>IFERROR(IF(Y268=0,"",ROUNDUP(Y268/H268,0)*0.01898),"")</f>
        <v/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3">
        <v>4680115882195</v>
      </c>
      <c r="E269" s="604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6"/>
      <c r="R269" s="606"/>
      <c r="S269" s="606"/>
      <c r="T269" s="607"/>
      <c r="U269" s="34"/>
      <c r="V269" s="34"/>
      <c r="W269" s="35" t="s">
        <v>67</v>
      </c>
      <c r="X269" s="597">
        <v>65</v>
      </c>
      <c r="Y269" s="598">
        <f t="shared" si="37"/>
        <v>67.2</v>
      </c>
      <c r="Z269" s="36">
        <f>IFERROR(IF(Y269=0,"",ROUNDUP(Y269/H269,0)*0.00651),"")</f>
        <v>0.18228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72.3125</v>
      </c>
      <c r="BN269" s="64">
        <f t="shared" si="39"/>
        <v>74.760000000000005</v>
      </c>
      <c r="BO269" s="64">
        <f t="shared" si="40"/>
        <v>0.14880952380952384</v>
      </c>
      <c r="BP269" s="64">
        <f t="shared" si="41"/>
        <v>0.15384615384615388</v>
      </c>
    </row>
    <row r="270" spans="1:68" ht="27" hidden="1" customHeight="1" x14ac:dyDescent="0.25">
      <c r="A270" s="54" t="s">
        <v>446</v>
      </c>
      <c r="B270" s="54" t="s">
        <v>447</v>
      </c>
      <c r="C270" s="31">
        <v>4301051752</v>
      </c>
      <c r="D270" s="603">
        <v>4680115882607</v>
      </c>
      <c r="E270" s="604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7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6"/>
      <c r="R270" s="606"/>
      <c r="S270" s="606"/>
      <c r="T270" s="607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4301052143</v>
      </c>
      <c r="D271" s="603">
        <v>4680115882607</v>
      </c>
      <c r="E271" s="604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9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6"/>
      <c r="R271" s="606"/>
      <c r="S271" s="606"/>
      <c r="T271" s="607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3">
        <v>4680115880092</v>
      </c>
      <c r="E272" s="604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82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6"/>
      <c r="R272" s="606"/>
      <c r="S272" s="606"/>
      <c r="T272" s="607"/>
      <c r="U272" s="34"/>
      <c r="V272" s="34"/>
      <c r="W272" s="35" t="s">
        <v>67</v>
      </c>
      <c r="X272" s="597">
        <v>275</v>
      </c>
      <c r="Y272" s="598">
        <f t="shared" si="37"/>
        <v>276</v>
      </c>
      <c r="Z272" s="36">
        <f>IFERROR(IF(Y272=0,"",ROUNDUP(Y272/H272,0)*0.00651),"")</f>
        <v>0.74865000000000004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303.87500000000006</v>
      </c>
      <c r="BN272" s="64">
        <f t="shared" si="39"/>
        <v>304.98</v>
      </c>
      <c r="BO272" s="64">
        <f t="shared" si="40"/>
        <v>0.62957875457875467</v>
      </c>
      <c r="BP272" s="64">
        <f t="shared" si="41"/>
        <v>0.63186813186813195</v>
      </c>
    </row>
    <row r="273" spans="1:68" ht="27" hidden="1" customHeight="1" x14ac:dyDescent="0.25">
      <c r="A273" s="54" t="s">
        <v>453</v>
      </c>
      <c r="B273" s="54" t="s">
        <v>454</v>
      </c>
      <c r="C273" s="31">
        <v>4301052214</v>
      </c>
      <c r="D273" s="603">
        <v>4680115889064</v>
      </c>
      <c r="E273" s="604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06"/>
      <c r="R273" s="606"/>
      <c r="S273" s="606"/>
      <c r="T273" s="607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3">
        <v>4680115880221</v>
      </c>
      <c r="E274" s="604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06"/>
      <c r="R274" s="606"/>
      <c r="S274" s="606"/>
      <c r="T274" s="607"/>
      <c r="U274" s="34"/>
      <c r="V274" s="34"/>
      <c r="W274" s="35" t="s">
        <v>67</v>
      </c>
      <c r="X274" s="597">
        <v>2</v>
      </c>
      <c r="Y274" s="598">
        <f t="shared" si="37"/>
        <v>2.4</v>
      </c>
      <c r="Z274" s="36">
        <f>IFERROR(IF(Y274=0,"",ROUNDUP(Y274/H274,0)*0.00651),"")</f>
        <v>6.5100000000000002E-3</v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2.2100000000000004</v>
      </c>
      <c r="BN274" s="64">
        <f t="shared" si="39"/>
        <v>2.6520000000000001</v>
      </c>
      <c r="BO274" s="64">
        <f t="shared" si="40"/>
        <v>4.578754578754579E-3</v>
      </c>
      <c r="BP274" s="64">
        <f t="shared" si="41"/>
        <v>5.4945054945054949E-3</v>
      </c>
    </row>
    <row r="275" spans="1:68" ht="27" hidden="1" customHeight="1" x14ac:dyDescent="0.25">
      <c r="A275" s="54" t="s">
        <v>457</v>
      </c>
      <c r="B275" s="54" t="s">
        <v>458</v>
      </c>
      <c r="C275" s="31">
        <v>4301051945</v>
      </c>
      <c r="D275" s="603">
        <v>4680115880504</v>
      </c>
      <c r="E275" s="604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92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06"/>
      <c r="R275" s="606"/>
      <c r="S275" s="606"/>
      <c r="T275" s="607"/>
      <c r="U275" s="34"/>
      <c r="V275" s="34"/>
      <c r="W275" s="35" t="s">
        <v>67</v>
      </c>
      <c r="X275" s="597">
        <v>0</v>
      </c>
      <c r="Y275" s="598">
        <f t="shared" si="37"/>
        <v>0</v>
      </c>
      <c r="Z275" s="36" t="str">
        <f>IFERROR(IF(Y275=0,"",ROUNDUP(Y275/H275,0)*0.00651),"")</f>
        <v/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hidden="1" customHeight="1" x14ac:dyDescent="0.25">
      <c r="A276" s="54" t="s">
        <v>460</v>
      </c>
      <c r="B276" s="54" t="s">
        <v>461</v>
      </c>
      <c r="C276" s="31">
        <v>4301051410</v>
      </c>
      <c r="D276" s="603">
        <v>4680115882164</v>
      </c>
      <c r="E276" s="604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70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06"/>
      <c r="R276" s="606"/>
      <c r="S276" s="606"/>
      <c r="T276" s="607"/>
      <c r="U276" s="34"/>
      <c r="V276" s="34"/>
      <c r="W276" s="35" t="s">
        <v>67</v>
      </c>
      <c r="X276" s="597">
        <v>0</v>
      </c>
      <c r="Y276" s="598">
        <f t="shared" si="37"/>
        <v>0</v>
      </c>
      <c r="Z276" s="36" t="str">
        <f>IFERROR(IF(Y276=0,"",ROUNDUP(Y276/H276,0)*0.00651),"")</f>
        <v/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0</v>
      </c>
      <c r="BN276" s="64">
        <f t="shared" si="39"/>
        <v>0</v>
      </c>
      <c r="BO276" s="64">
        <f t="shared" si="40"/>
        <v>0</v>
      </c>
      <c r="BP276" s="64">
        <f t="shared" si="41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4301052180</v>
      </c>
      <c r="D277" s="603">
        <v>4680115888340</v>
      </c>
      <c r="E277" s="604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06"/>
      <c r="R277" s="606"/>
      <c r="S277" s="606"/>
      <c r="T277" s="607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17"/>
      <c r="B278" s="609"/>
      <c r="C278" s="609"/>
      <c r="D278" s="609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18"/>
      <c r="P278" s="613" t="s">
        <v>72</v>
      </c>
      <c r="Q278" s="614"/>
      <c r="R278" s="614"/>
      <c r="S278" s="614"/>
      <c r="T278" s="614"/>
      <c r="U278" s="614"/>
      <c r="V278" s="61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143.73456790123458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146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0.97540000000000004</v>
      </c>
      <c r="AA278" s="600"/>
      <c r="AB278" s="600"/>
      <c r="AC278" s="600"/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8"/>
      <c r="P279" s="613" t="s">
        <v>72</v>
      </c>
      <c r="Q279" s="614"/>
      <c r="R279" s="614"/>
      <c r="S279" s="614"/>
      <c r="T279" s="614"/>
      <c r="U279" s="614"/>
      <c r="V279" s="615"/>
      <c r="W279" s="37" t="s">
        <v>67</v>
      </c>
      <c r="X279" s="599">
        <f>IFERROR(SUM(X266:X277),"0")</f>
        <v>352</v>
      </c>
      <c r="Y279" s="599">
        <f>IFERROR(SUM(Y266:Y277),"0")</f>
        <v>361.79999999999995</v>
      </c>
      <c r="Z279" s="37"/>
      <c r="AA279" s="600"/>
      <c r="AB279" s="600"/>
      <c r="AC279" s="600"/>
    </row>
    <row r="280" spans="1:68" ht="14.25" hidden="1" customHeight="1" x14ac:dyDescent="0.25">
      <c r="A280" s="608" t="s">
        <v>169</v>
      </c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  <c r="Z280" s="609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3">
        <v>4680115880818</v>
      </c>
      <c r="E281" s="604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8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06"/>
      <c r="R281" s="606"/>
      <c r="S281" s="606"/>
      <c r="T281" s="607"/>
      <c r="U281" s="34"/>
      <c r="V281" s="34"/>
      <c r="W281" s="35" t="s">
        <v>67</v>
      </c>
      <c r="X281" s="597">
        <v>2</v>
      </c>
      <c r="Y281" s="598">
        <f>IFERROR(IF(X281="",0,CEILING((X281/$H281),1)*$H281),"")</f>
        <v>2.4</v>
      </c>
      <c r="Z281" s="36">
        <f>IFERROR(IF(Y281=0,"",ROUNDUP(Y281/H281,0)*0.00651),"")</f>
        <v>6.5100000000000002E-3</v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2.2100000000000004</v>
      </c>
      <c r="BN281" s="64">
        <f>IFERROR(Y281*I281/H281,"0")</f>
        <v>2.6520000000000001</v>
      </c>
      <c r="BO281" s="64">
        <f>IFERROR(1/J281*(X281/H281),"0")</f>
        <v>4.578754578754579E-3</v>
      </c>
      <c r="BP281" s="64">
        <f>IFERROR(1/J281*(Y281/H281),"0")</f>
        <v>5.4945054945054949E-3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4301060389</v>
      </c>
      <c r="D282" s="603">
        <v>4680115880801</v>
      </c>
      <c r="E282" s="604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06"/>
      <c r="R282" s="606"/>
      <c r="S282" s="606"/>
      <c r="T282" s="607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617"/>
      <c r="B283" s="609"/>
      <c r="C283" s="609"/>
      <c r="D283" s="609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18"/>
      <c r="P283" s="613" t="s">
        <v>72</v>
      </c>
      <c r="Q283" s="614"/>
      <c r="R283" s="614"/>
      <c r="S283" s="614"/>
      <c r="T283" s="614"/>
      <c r="U283" s="614"/>
      <c r="V283" s="615"/>
      <c r="W283" s="37" t="s">
        <v>73</v>
      </c>
      <c r="X283" s="599">
        <f>IFERROR(X281/H281,"0")+IFERROR(X282/H282,"0")</f>
        <v>0.83333333333333337</v>
      </c>
      <c r="Y283" s="599">
        <f>IFERROR(Y281/H281,"0")+IFERROR(Y282/H282,"0")</f>
        <v>1</v>
      </c>
      <c r="Z283" s="599">
        <f>IFERROR(IF(Z281="",0,Z281),"0")+IFERROR(IF(Z282="",0,Z282),"0")</f>
        <v>6.5100000000000002E-3</v>
      </c>
      <c r="AA283" s="600"/>
      <c r="AB283" s="600"/>
      <c r="AC283" s="600"/>
    </row>
    <row r="284" spans="1:68" x14ac:dyDescent="0.2">
      <c r="A284" s="609"/>
      <c r="B284" s="609"/>
      <c r="C284" s="609"/>
      <c r="D284" s="609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18"/>
      <c r="P284" s="613" t="s">
        <v>72</v>
      </c>
      <c r="Q284" s="614"/>
      <c r="R284" s="614"/>
      <c r="S284" s="614"/>
      <c r="T284" s="614"/>
      <c r="U284" s="614"/>
      <c r="V284" s="615"/>
      <c r="W284" s="37" t="s">
        <v>67</v>
      </c>
      <c r="X284" s="599">
        <f>IFERROR(SUM(X281:X282),"0")</f>
        <v>2</v>
      </c>
      <c r="Y284" s="599">
        <f>IFERROR(SUM(Y281:Y282),"0")</f>
        <v>2.4</v>
      </c>
      <c r="Z284" s="37"/>
      <c r="AA284" s="600"/>
      <c r="AB284" s="600"/>
      <c r="AC284" s="600"/>
    </row>
    <row r="285" spans="1:68" ht="16.5" hidden="1" customHeight="1" x14ac:dyDescent="0.25">
      <c r="A285" s="612" t="s">
        <v>472</v>
      </c>
      <c r="B285" s="609"/>
      <c r="C285" s="609"/>
      <c r="D285" s="609"/>
      <c r="E285" s="609"/>
      <c r="F285" s="609"/>
      <c r="G285" s="609"/>
      <c r="H285" s="609"/>
      <c r="I285" s="609"/>
      <c r="J285" s="609"/>
      <c r="K285" s="609"/>
      <c r="L285" s="609"/>
      <c r="M285" s="609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  <c r="Z285" s="609"/>
      <c r="AA285" s="592"/>
      <c r="AB285" s="592"/>
      <c r="AC285" s="592"/>
    </row>
    <row r="286" spans="1:68" ht="14.25" hidden="1" customHeight="1" x14ac:dyDescent="0.25">
      <c r="A286" s="608" t="s">
        <v>117</v>
      </c>
      <c r="B286" s="609"/>
      <c r="C286" s="609"/>
      <c r="D286" s="609"/>
      <c r="E286" s="609"/>
      <c r="F286" s="609"/>
      <c r="G286" s="609"/>
      <c r="H286" s="609"/>
      <c r="I286" s="609"/>
      <c r="J286" s="609"/>
      <c r="K286" s="609"/>
      <c r="L286" s="609"/>
      <c r="M286" s="609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  <c r="Z286" s="609"/>
      <c r="AA286" s="593"/>
      <c r="AB286" s="593"/>
      <c r="AC286" s="593"/>
    </row>
    <row r="287" spans="1:68" ht="27" hidden="1" customHeight="1" x14ac:dyDescent="0.25">
      <c r="A287" s="54" t="s">
        <v>473</v>
      </c>
      <c r="B287" s="54" t="s">
        <v>474</v>
      </c>
      <c r="C287" s="31">
        <v>4301011826</v>
      </c>
      <c r="D287" s="603">
        <v>4680115884137</v>
      </c>
      <c r="E287" s="604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06"/>
      <c r="R287" s="606"/>
      <c r="S287" s="606"/>
      <c r="T287" s="607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hidden="1" customHeight="1" x14ac:dyDescent="0.25">
      <c r="A288" s="54" t="s">
        <v>476</v>
      </c>
      <c r="B288" s="54" t="s">
        <v>477</v>
      </c>
      <c r="C288" s="31">
        <v>4301011724</v>
      </c>
      <c r="D288" s="603">
        <v>4680115884236</v>
      </c>
      <c r="E288" s="604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6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06"/>
      <c r="R288" s="606"/>
      <c r="S288" s="606"/>
      <c r="T288" s="607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4301011721</v>
      </c>
      <c r="D289" s="603">
        <v>4680115884175</v>
      </c>
      <c r="E289" s="604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06"/>
      <c r="R289" s="606"/>
      <c r="S289" s="606"/>
      <c r="T289" s="607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4301011824</v>
      </c>
      <c r="D290" s="603">
        <v>4680115884144</v>
      </c>
      <c r="E290" s="604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9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06"/>
      <c r="R290" s="606"/>
      <c r="S290" s="606"/>
      <c r="T290" s="607"/>
      <c r="U290" s="34"/>
      <c r="V290" s="34"/>
      <c r="W290" s="35" t="s">
        <v>67</v>
      </c>
      <c r="X290" s="597">
        <v>34</v>
      </c>
      <c r="Y290" s="598">
        <f t="shared" si="42"/>
        <v>36</v>
      </c>
      <c r="Z290" s="36">
        <f>IFERROR(IF(Y290=0,"",ROUNDUP(Y290/H290,0)*0.00902),"")</f>
        <v>8.1180000000000002E-2</v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35.615000000000002</v>
      </c>
      <c r="BN290" s="64">
        <f t="shared" si="44"/>
        <v>37.71</v>
      </c>
      <c r="BO290" s="64">
        <f t="shared" si="45"/>
        <v>6.4393939393939392E-2</v>
      </c>
      <c r="BP290" s="64">
        <f t="shared" si="46"/>
        <v>6.8181818181818177E-2</v>
      </c>
    </row>
    <row r="291" spans="1:68" ht="27" hidden="1" customHeight="1" x14ac:dyDescent="0.25">
      <c r="A291" s="54" t="s">
        <v>483</v>
      </c>
      <c r="B291" s="54" t="s">
        <v>484</v>
      </c>
      <c r="C291" s="31">
        <v>4301012149</v>
      </c>
      <c r="D291" s="603">
        <v>4680115886551</v>
      </c>
      <c r="E291" s="604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6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06"/>
      <c r="R291" s="606"/>
      <c r="S291" s="606"/>
      <c r="T291" s="607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4301012228</v>
      </c>
      <c r="D292" s="603">
        <v>4680115887282</v>
      </c>
      <c r="E292" s="604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6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06"/>
      <c r="R292" s="606"/>
      <c r="S292" s="606"/>
      <c r="T292" s="607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4301011722</v>
      </c>
      <c r="D293" s="603">
        <v>4680115884205</v>
      </c>
      <c r="E293" s="604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6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06"/>
      <c r="R293" s="606"/>
      <c r="S293" s="606"/>
      <c r="T293" s="607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x14ac:dyDescent="0.2">
      <c r="A294" s="617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8"/>
      <c r="P294" s="613" t="s">
        <v>72</v>
      </c>
      <c r="Q294" s="614"/>
      <c r="R294" s="614"/>
      <c r="S294" s="614"/>
      <c r="T294" s="614"/>
      <c r="U294" s="614"/>
      <c r="V294" s="61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8.5</v>
      </c>
      <c r="Y294" s="599">
        <f>IFERROR(Y287/H287,"0")+IFERROR(Y288/H288,"0")+IFERROR(Y289/H289,"0")+IFERROR(Y290/H290,"0")+IFERROR(Y291/H291,"0")+IFERROR(Y292/H292,"0")+IFERROR(Y293/H293,"0")</f>
        <v>9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8.1180000000000002E-2</v>
      </c>
      <c r="AA294" s="600"/>
      <c r="AB294" s="600"/>
      <c r="AC294" s="600"/>
    </row>
    <row r="295" spans="1:68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8"/>
      <c r="P295" s="613" t="s">
        <v>72</v>
      </c>
      <c r="Q295" s="614"/>
      <c r="R295" s="614"/>
      <c r="S295" s="614"/>
      <c r="T295" s="614"/>
      <c r="U295" s="614"/>
      <c r="V295" s="615"/>
      <c r="W295" s="37" t="s">
        <v>67</v>
      </c>
      <c r="X295" s="599">
        <f>IFERROR(SUM(X287:X293),"0")</f>
        <v>34</v>
      </c>
      <c r="Y295" s="599">
        <f>IFERROR(SUM(Y287:Y293),"0")</f>
        <v>36</v>
      </c>
      <c r="Z295" s="37"/>
      <c r="AA295" s="600"/>
      <c r="AB295" s="600"/>
      <c r="AC295" s="600"/>
    </row>
    <row r="296" spans="1:68" ht="14.25" hidden="1" customHeight="1" x14ac:dyDescent="0.25">
      <c r="A296" s="608" t="s">
        <v>152</v>
      </c>
      <c r="B296" s="609"/>
      <c r="C296" s="609"/>
      <c r="D296" s="609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09"/>
      <c r="AA296" s="593"/>
      <c r="AB296" s="593"/>
      <c r="AC296" s="593"/>
    </row>
    <row r="297" spans="1:68" ht="27" hidden="1" customHeight="1" x14ac:dyDescent="0.25">
      <c r="A297" s="54" t="s">
        <v>491</v>
      </c>
      <c r="B297" s="54" t="s">
        <v>492</v>
      </c>
      <c r="C297" s="31">
        <v>4301020377</v>
      </c>
      <c r="D297" s="603">
        <v>4680115885981</v>
      </c>
      <c r="E297" s="604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70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06"/>
      <c r="R297" s="606"/>
      <c r="S297" s="606"/>
      <c r="T297" s="607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17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8"/>
      <c r="P298" s="613" t="s">
        <v>72</v>
      </c>
      <c r="Q298" s="614"/>
      <c r="R298" s="614"/>
      <c r="S298" s="614"/>
      <c r="T298" s="614"/>
      <c r="U298" s="614"/>
      <c r="V298" s="61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hidden="1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8"/>
      <c r="P299" s="613" t="s">
        <v>72</v>
      </c>
      <c r="Q299" s="614"/>
      <c r="R299" s="614"/>
      <c r="S299" s="614"/>
      <c r="T299" s="614"/>
      <c r="U299" s="614"/>
      <c r="V299" s="61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hidden="1" customHeight="1" x14ac:dyDescent="0.25">
      <c r="A300" s="608" t="s">
        <v>494</v>
      </c>
      <c r="B300" s="609"/>
      <c r="C300" s="609"/>
      <c r="D300" s="609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  <c r="Z300" s="609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3">
        <v>4680115886803</v>
      </c>
      <c r="E301" s="604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7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06"/>
      <c r="R301" s="606"/>
      <c r="S301" s="606"/>
      <c r="T301" s="607"/>
      <c r="U301" s="34"/>
      <c r="V301" s="34"/>
      <c r="W301" s="35" t="s">
        <v>67</v>
      </c>
      <c r="X301" s="597">
        <v>10</v>
      </c>
      <c r="Y301" s="598">
        <f>IFERROR(IF(X301="",0,CEILING((X301/$H301),1)*$H301),"")</f>
        <v>10.8</v>
      </c>
      <c r="Z301" s="36">
        <f>IFERROR(IF(Y301=0,"",ROUNDUP(Y301/H301,0)*0.0059),"")</f>
        <v>3.5400000000000001E-2</v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10.972222222222221</v>
      </c>
      <c r="BN301" s="64">
        <f>IFERROR(Y301*I301/H301,"0")</f>
        <v>11.850000000000001</v>
      </c>
      <c r="BO301" s="64">
        <f>IFERROR(1/J301*(X301/H301),"0")</f>
        <v>2.5720164609053495E-2</v>
      </c>
      <c r="BP301" s="64">
        <f>IFERROR(1/J301*(Y301/H301),"0")</f>
        <v>2.7777777777777776E-2</v>
      </c>
    </row>
    <row r="302" spans="1:68" x14ac:dyDescent="0.2">
      <c r="A302" s="617"/>
      <c r="B302" s="609"/>
      <c r="C302" s="609"/>
      <c r="D302" s="609"/>
      <c r="E302" s="609"/>
      <c r="F302" s="609"/>
      <c r="G302" s="609"/>
      <c r="H302" s="609"/>
      <c r="I302" s="609"/>
      <c r="J302" s="609"/>
      <c r="K302" s="609"/>
      <c r="L302" s="609"/>
      <c r="M302" s="609"/>
      <c r="N302" s="609"/>
      <c r="O302" s="618"/>
      <c r="P302" s="613" t="s">
        <v>72</v>
      </c>
      <c r="Q302" s="614"/>
      <c r="R302" s="614"/>
      <c r="S302" s="614"/>
      <c r="T302" s="614"/>
      <c r="U302" s="614"/>
      <c r="V302" s="615"/>
      <c r="W302" s="37" t="s">
        <v>73</v>
      </c>
      <c r="X302" s="599">
        <f>IFERROR(X301/H301,"0")</f>
        <v>5.5555555555555554</v>
      </c>
      <c r="Y302" s="599">
        <f>IFERROR(Y301/H301,"0")</f>
        <v>6</v>
      </c>
      <c r="Z302" s="599">
        <f>IFERROR(IF(Z301="",0,Z301),"0")</f>
        <v>3.5400000000000001E-2</v>
      </c>
      <c r="AA302" s="600"/>
      <c r="AB302" s="600"/>
      <c r="AC302" s="600"/>
    </row>
    <row r="303" spans="1:68" x14ac:dyDescent="0.2">
      <c r="A303" s="609"/>
      <c r="B303" s="609"/>
      <c r="C303" s="609"/>
      <c r="D303" s="609"/>
      <c r="E303" s="609"/>
      <c r="F303" s="609"/>
      <c r="G303" s="609"/>
      <c r="H303" s="609"/>
      <c r="I303" s="609"/>
      <c r="J303" s="609"/>
      <c r="K303" s="609"/>
      <c r="L303" s="609"/>
      <c r="M303" s="609"/>
      <c r="N303" s="609"/>
      <c r="O303" s="618"/>
      <c r="P303" s="613" t="s">
        <v>72</v>
      </c>
      <c r="Q303" s="614"/>
      <c r="R303" s="614"/>
      <c r="S303" s="614"/>
      <c r="T303" s="614"/>
      <c r="U303" s="614"/>
      <c r="V303" s="615"/>
      <c r="W303" s="37" t="s">
        <v>67</v>
      </c>
      <c r="X303" s="599">
        <f>IFERROR(SUM(X301:X301),"0")</f>
        <v>10</v>
      </c>
      <c r="Y303" s="599">
        <f>IFERROR(SUM(Y301:Y301),"0")</f>
        <v>10.8</v>
      </c>
      <c r="Z303" s="37"/>
      <c r="AA303" s="600"/>
      <c r="AB303" s="600"/>
      <c r="AC303" s="600"/>
    </row>
    <row r="304" spans="1:68" ht="14.25" hidden="1" customHeight="1" x14ac:dyDescent="0.25">
      <c r="A304" s="608" t="s">
        <v>320</v>
      </c>
      <c r="B304" s="609"/>
      <c r="C304" s="609"/>
      <c r="D304" s="609"/>
      <c r="E304" s="609"/>
      <c r="F304" s="609"/>
      <c r="G304" s="609"/>
      <c r="H304" s="609"/>
      <c r="I304" s="609"/>
      <c r="J304" s="609"/>
      <c r="K304" s="609"/>
      <c r="L304" s="609"/>
      <c r="M304" s="609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  <c r="Z304" s="609"/>
      <c r="AA304" s="593"/>
      <c r="AB304" s="593"/>
      <c r="AC304" s="593"/>
    </row>
    <row r="305" spans="1:68" ht="27" hidden="1" customHeight="1" x14ac:dyDescent="0.25">
      <c r="A305" s="54" t="s">
        <v>498</v>
      </c>
      <c r="B305" s="54" t="s">
        <v>499</v>
      </c>
      <c r="C305" s="31">
        <v>4301041004</v>
      </c>
      <c r="D305" s="603">
        <v>4680115886704</v>
      </c>
      <c r="E305" s="604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8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06"/>
      <c r="R305" s="606"/>
      <c r="S305" s="606"/>
      <c r="T305" s="607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hidden="1" customHeight="1" x14ac:dyDescent="0.25">
      <c r="A306" s="54" t="s">
        <v>501</v>
      </c>
      <c r="B306" s="54" t="s">
        <v>502</v>
      </c>
      <c r="C306" s="31">
        <v>4301041008</v>
      </c>
      <c r="D306" s="603">
        <v>4680115886681</v>
      </c>
      <c r="E306" s="604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06"/>
      <c r="R306" s="606"/>
      <c r="S306" s="606"/>
      <c r="T306" s="607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3">
        <v>4680115886735</v>
      </c>
      <c r="E307" s="604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63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06"/>
      <c r="R307" s="606"/>
      <c r="S307" s="606"/>
      <c r="T307" s="607"/>
      <c r="U307" s="34"/>
      <c r="V307" s="34"/>
      <c r="W307" s="35" t="s">
        <v>67</v>
      </c>
      <c r="X307" s="597">
        <v>8</v>
      </c>
      <c r="Y307" s="598">
        <f>IFERROR(IF(X307="",0,CEILING((X307/$H307),1)*$H307),"")</f>
        <v>8.1</v>
      </c>
      <c r="Z307" s="36">
        <f>IFERROR(IF(Y307=0,"",ROUNDUP(Y307/H307,0)*0.0059),"")</f>
        <v>5.3100000000000001E-2</v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9.68888888888889</v>
      </c>
      <c r="BN307" s="64">
        <f>IFERROR(Y307*I307/H307,"0")</f>
        <v>9.81</v>
      </c>
      <c r="BO307" s="64">
        <f>IFERROR(1/J307*(X307/H307),"0")</f>
        <v>4.1152263374485597E-2</v>
      </c>
      <c r="BP307" s="64">
        <f>IFERROR(1/J307*(Y307/H307),"0")</f>
        <v>4.1666666666666664E-2</v>
      </c>
    </row>
    <row r="308" spans="1:68" x14ac:dyDescent="0.2">
      <c r="A308" s="617"/>
      <c r="B308" s="609"/>
      <c r="C308" s="609"/>
      <c r="D308" s="609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18"/>
      <c r="P308" s="613" t="s">
        <v>72</v>
      </c>
      <c r="Q308" s="614"/>
      <c r="R308" s="614"/>
      <c r="S308" s="614"/>
      <c r="T308" s="614"/>
      <c r="U308" s="614"/>
      <c r="V308" s="615"/>
      <c r="W308" s="37" t="s">
        <v>73</v>
      </c>
      <c r="X308" s="599">
        <f>IFERROR(X305/H305,"0")+IFERROR(X306/H306,"0")+IFERROR(X307/H307,"0")</f>
        <v>8.8888888888888893</v>
      </c>
      <c r="Y308" s="599">
        <f>IFERROR(Y305/H305,"0")+IFERROR(Y306/H306,"0")+IFERROR(Y307/H307,"0")</f>
        <v>9</v>
      </c>
      <c r="Z308" s="599">
        <f>IFERROR(IF(Z305="",0,Z305),"0")+IFERROR(IF(Z306="",0,Z306),"0")+IFERROR(IF(Z307="",0,Z307),"0")</f>
        <v>5.3100000000000001E-2</v>
      </c>
      <c r="AA308" s="600"/>
      <c r="AB308" s="600"/>
      <c r="AC308" s="600"/>
    </row>
    <row r="309" spans="1:68" x14ac:dyDescent="0.2">
      <c r="A309" s="609"/>
      <c r="B309" s="609"/>
      <c r="C309" s="609"/>
      <c r="D309" s="609"/>
      <c r="E309" s="609"/>
      <c r="F309" s="609"/>
      <c r="G309" s="609"/>
      <c r="H309" s="609"/>
      <c r="I309" s="609"/>
      <c r="J309" s="609"/>
      <c r="K309" s="609"/>
      <c r="L309" s="609"/>
      <c r="M309" s="609"/>
      <c r="N309" s="609"/>
      <c r="O309" s="618"/>
      <c r="P309" s="613" t="s">
        <v>72</v>
      </c>
      <c r="Q309" s="614"/>
      <c r="R309" s="614"/>
      <c r="S309" s="614"/>
      <c r="T309" s="614"/>
      <c r="U309" s="614"/>
      <c r="V309" s="615"/>
      <c r="W309" s="37" t="s">
        <v>67</v>
      </c>
      <c r="X309" s="599">
        <f>IFERROR(SUM(X305:X307),"0")</f>
        <v>8</v>
      </c>
      <c r="Y309" s="599">
        <f>IFERROR(SUM(Y305:Y307),"0")</f>
        <v>8.1</v>
      </c>
      <c r="Z309" s="37"/>
      <c r="AA309" s="600"/>
      <c r="AB309" s="600"/>
      <c r="AC309" s="600"/>
    </row>
    <row r="310" spans="1:68" ht="16.5" hidden="1" customHeight="1" x14ac:dyDescent="0.25">
      <c r="A310" s="612" t="s">
        <v>505</v>
      </c>
      <c r="B310" s="609"/>
      <c r="C310" s="609"/>
      <c r="D310" s="609"/>
      <c r="E310" s="609"/>
      <c r="F310" s="609"/>
      <c r="G310" s="609"/>
      <c r="H310" s="609"/>
      <c r="I310" s="609"/>
      <c r="J310" s="609"/>
      <c r="K310" s="609"/>
      <c r="L310" s="609"/>
      <c r="M310" s="609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  <c r="Z310" s="609"/>
      <c r="AA310" s="592"/>
      <c r="AB310" s="592"/>
      <c r="AC310" s="592"/>
    </row>
    <row r="311" spans="1:68" ht="14.25" hidden="1" customHeight="1" x14ac:dyDescent="0.25">
      <c r="A311" s="608" t="s">
        <v>117</v>
      </c>
      <c r="B311" s="609"/>
      <c r="C311" s="609"/>
      <c r="D311" s="609"/>
      <c r="E311" s="609"/>
      <c r="F311" s="609"/>
      <c r="G311" s="609"/>
      <c r="H311" s="609"/>
      <c r="I311" s="609"/>
      <c r="J311" s="609"/>
      <c r="K311" s="609"/>
      <c r="L311" s="609"/>
      <c r="M311" s="609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  <c r="Z311" s="609"/>
      <c r="AA311" s="593"/>
      <c r="AB311" s="593"/>
      <c r="AC311" s="593"/>
    </row>
    <row r="312" spans="1:68" ht="27" hidden="1" customHeight="1" x14ac:dyDescent="0.25">
      <c r="A312" s="54" t="s">
        <v>506</v>
      </c>
      <c r="B312" s="54" t="s">
        <v>507</v>
      </c>
      <c r="C312" s="31">
        <v>4301011855</v>
      </c>
      <c r="D312" s="603">
        <v>4680115885837</v>
      </c>
      <c r="E312" s="604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8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06"/>
      <c r="R312" s="606"/>
      <c r="S312" s="606"/>
      <c r="T312" s="607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509</v>
      </c>
      <c r="B313" s="54" t="s">
        <v>510</v>
      </c>
      <c r="C313" s="31">
        <v>4301012234</v>
      </c>
      <c r="D313" s="603">
        <v>4680115887237</v>
      </c>
      <c r="E313" s="604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6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06"/>
      <c r="R313" s="606"/>
      <c r="S313" s="606"/>
      <c r="T313" s="607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512</v>
      </c>
      <c r="B314" s="54" t="s">
        <v>513</v>
      </c>
      <c r="C314" s="31">
        <v>4301011850</v>
      </c>
      <c r="D314" s="603">
        <v>4680115885806</v>
      </c>
      <c r="E314" s="604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7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06"/>
      <c r="R314" s="606"/>
      <c r="S314" s="606"/>
      <c r="T314" s="607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4301011852</v>
      </c>
      <c r="D315" s="603">
        <v>4680115885844</v>
      </c>
      <c r="E315" s="604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9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06"/>
      <c r="R315" s="606"/>
      <c r="S315" s="606"/>
      <c r="T315" s="607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hidden="1" customHeight="1" x14ac:dyDescent="0.25">
      <c r="A316" s="54" t="s">
        <v>518</v>
      </c>
      <c r="B316" s="54" t="s">
        <v>519</v>
      </c>
      <c r="C316" s="31">
        <v>4301011851</v>
      </c>
      <c r="D316" s="603">
        <v>4680115885820</v>
      </c>
      <c r="E316" s="604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9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06"/>
      <c r="R316" s="606"/>
      <c r="S316" s="606"/>
      <c r="T316" s="607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17"/>
      <c r="B317" s="609"/>
      <c r="C317" s="609"/>
      <c r="D317" s="609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18"/>
      <c r="P317" s="613" t="s">
        <v>72</v>
      </c>
      <c r="Q317" s="614"/>
      <c r="R317" s="614"/>
      <c r="S317" s="614"/>
      <c r="T317" s="614"/>
      <c r="U317" s="614"/>
      <c r="V317" s="61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hidden="1" x14ac:dyDescent="0.2">
      <c r="A318" s="609"/>
      <c r="B318" s="609"/>
      <c r="C318" s="609"/>
      <c r="D318" s="609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18"/>
      <c r="P318" s="613" t="s">
        <v>72</v>
      </c>
      <c r="Q318" s="614"/>
      <c r="R318" s="614"/>
      <c r="S318" s="614"/>
      <c r="T318" s="614"/>
      <c r="U318" s="614"/>
      <c r="V318" s="61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hidden="1" customHeight="1" x14ac:dyDescent="0.25">
      <c r="A319" s="612" t="s">
        <v>521</v>
      </c>
      <c r="B319" s="609"/>
      <c r="C319" s="609"/>
      <c r="D319" s="609"/>
      <c r="E319" s="609"/>
      <c r="F319" s="609"/>
      <c r="G319" s="609"/>
      <c r="H319" s="609"/>
      <c r="I319" s="609"/>
      <c r="J319" s="609"/>
      <c r="K319" s="609"/>
      <c r="L319" s="609"/>
      <c r="M319" s="609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  <c r="Z319" s="609"/>
      <c r="AA319" s="592"/>
      <c r="AB319" s="592"/>
      <c r="AC319" s="592"/>
    </row>
    <row r="320" spans="1:68" ht="14.25" hidden="1" customHeight="1" x14ac:dyDescent="0.25">
      <c r="A320" s="608" t="s">
        <v>74</v>
      </c>
      <c r="B320" s="609"/>
      <c r="C320" s="609"/>
      <c r="D320" s="609"/>
      <c r="E320" s="609"/>
      <c r="F320" s="609"/>
      <c r="G320" s="609"/>
      <c r="H320" s="609"/>
      <c r="I320" s="609"/>
      <c r="J320" s="609"/>
      <c r="K320" s="609"/>
      <c r="L320" s="609"/>
      <c r="M320" s="609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  <c r="Z320" s="609"/>
      <c r="AA320" s="593"/>
      <c r="AB320" s="593"/>
      <c r="AC320" s="593"/>
    </row>
    <row r="321" spans="1:68" ht="27" hidden="1" customHeight="1" x14ac:dyDescent="0.25">
      <c r="A321" s="54" t="s">
        <v>522</v>
      </c>
      <c r="B321" s="54" t="s">
        <v>523</v>
      </c>
      <c r="C321" s="31">
        <v>4301051893</v>
      </c>
      <c r="D321" s="603">
        <v>4680115886186</v>
      </c>
      <c r="E321" s="604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06"/>
      <c r="R321" s="606"/>
      <c r="S321" s="606"/>
      <c r="T321" s="607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3">
        <v>4680115881228</v>
      </c>
      <c r="E322" s="604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7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06"/>
      <c r="R322" s="606"/>
      <c r="S322" s="606"/>
      <c r="T322" s="607"/>
      <c r="U322" s="34"/>
      <c r="V322" s="34"/>
      <c r="W322" s="35" t="s">
        <v>67</v>
      </c>
      <c r="X322" s="597">
        <v>11</v>
      </c>
      <c r="Y322" s="598">
        <f>IFERROR(IF(X322="",0,CEILING((X322/$H322),1)*$H322),"")</f>
        <v>12</v>
      </c>
      <c r="Z322" s="36">
        <f>IFERROR(IF(Y322=0,"",ROUNDUP(Y322/H322,0)*0.00651),"")</f>
        <v>3.2550000000000003E-2</v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12.155000000000001</v>
      </c>
      <c r="BN322" s="64">
        <f>IFERROR(Y322*I322/H322,"0")</f>
        <v>13.260000000000002</v>
      </c>
      <c r="BO322" s="64">
        <f>IFERROR(1/J322*(X322/H322),"0")</f>
        <v>2.5183150183150187E-2</v>
      </c>
      <c r="BP322" s="64">
        <f>IFERROR(1/J322*(Y322/H322),"0")</f>
        <v>2.7472527472527476E-2</v>
      </c>
    </row>
    <row r="323" spans="1:68" ht="27" hidden="1" customHeight="1" x14ac:dyDescent="0.25">
      <c r="A323" s="54" t="s">
        <v>528</v>
      </c>
      <c r="B323" s="54" t="s">
        <v>529</v>
      </c>
      <c r="C323" s="31">
        <v>4301051388</v>
      </c>
      <c r="D323" s="603">
        <v>4680115881211</v>
      </c>
      <c r="E323" s="604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7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06"/>
      <c r="R323" s="606"/>
      <c r="S323" s="606"/>
      <c r="T323" s="607"/>
      <c r="U323" s="34"/>
      <c r="V323" s="34"/>
      <c r="W323" s="35" t="s">
        <v>67</v>
      </c>
      <c r="X323" s="597">
        <v>0</v>
      </c>
      <c r="Y323" s="598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17"/>
      <c r="B324" s="609"/>
      <c r="C324" s="609"/>
      <c r="D324" s="609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18"/>
      <c r="P324" s="613" t="s">
        <v>72</v>
      </c>
      <c r="Q324" s="614"/>
      <c r="R324" s="614"/>
      <c r="S324" s="614"/>
      <c r="T324" s="614"/>
      <c r="U324" s="614"/>
      <c r="V324" s="615"/>
      <c r="W324" s="37" t="s">
        <v>73</v>
      </c>
      <c r="X324" s="599">
        <f>IFERROR(X321/H321,"0")+IFERROR(X322/H322,"0")+IFERROR(X323/H323,"0")</f>
        <v>4.5833333333333339</v>
      </c>
      <c r="Y324" s="599">
        <f>IFERROR(Y321/H321,"0")+IFERROR(Y322/H322,"0")+IFERROR(Y323/H323,"0")</f>
        <v>5</v>
      </c>
      <c r="Z324" s="599">
        <f>IFERROR(IF(Z321="",0,Z321),"0")+IFERROR(IF(Z322="",0,Z322),"0")+IFERROR(IF(Z323="",0,Z323),"0")</f>
        <v>3.2550000000000003E-2</v>
      </c>
      <c r="AA324" s="600"/>
      <c r="AB324" s="600"/>
      <c r="AC324" s="600"/>
    </row>
    <row r="325" spans="1:68" x14ac:dyDescent="0.2">
      <c r="A325" s="609"/>
      <c r="B325" s="609"/>
      <c r="C325" s="609"/>
      <c r="D325" s="609"/>
      <c r="E325" s="609"/>
      <c r="F325" s="609"/>
      <c r="G325" s="609"/>
      <c r="H325" s="609"/>
      <c r="I325" s="609"/>
      <c r="J325" s="609"/>
      <c r="K325" s="609"/>
      <c r="L325" s="609"/>
      <c r="M325" s="609"/>
      <c r="N325" s="609"/>
      <c r="O325" s="618"/>
      <c r="P325" s="613" t="s">
        <v>72</v>
      </c>
      <c r="Q325" s="614"/>
      <c r="R325" s="614"/>
      <c r="S325" s="614"/>
      <c r="T325" s="614"/>
      <c r="U325" s="614"/>
      <c r="V325" s="615"/>
      <c r="W325" s="37" t="s">
        <v>67</v>
      </c>
      <c r="X325" s="599">
        <f>IFERROR(SUM(X321:X323),"0")</f>
        <v>11</v>
      </c>
      <c r="Y325" s="599">
        <f>IFERROR(SUM(Y321:Y323),"0")</f>
        <v>12</v>
      </c>
      <c r="Z325" s="37"/>
      <c r="AA325" s="600"/>
      <c r="AB325" s="600"/>
      <c r="AC325" s="600"/>
    </row>
    <row r="326" spans="1:68" ht="16.5" hidden="1" customHeight="1" x14ac:dyDescent="0.25">
      <c r="A326" s="612" t="s">
        <v>530</v>
      </c>
      <c r="B326" s="609"/>
      <c r="C326" s="609"/>
      <c r="D326" s="609"/>
      <c r="E326" s="609"/>
      <c r="F326" s="609"/>
      <c r="G326" s="609"/>
      <c r="H326" s="609"/>
      <c r="I326" s="609"/>
      <c r="J326" s="609"/>
      <c r="K326" s="609"/>
      <c r="L326" s="609"/>
      <c r="M326" s="609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  <c r="Z326" s="609"/>
      <c r="AA326" s="592"/>
      <c r="AB326" s="592"/>
      <c r="AC326" s="592"/>
    </row>
    <row r="327" spans="1:68" ht="14.25" hidden="1" customHeight="1" x14ac:dyDescent="0.25">
      <c r="A327" s="608" t="s">
        <v>62</v>
      </c>
      <c r="B327" s="609"/>
      <c r="C327" s="609"/>
      <c r="D327" s="609"/>
      <c r="E327" s="609"/>
      <c r="F327" s="609"/>
      <c r="G327" s="609"/>
      <c r="H327" s="609"/>
      <c r="I327" s="609"/>
      <c r="J327" s="609"/>
      <c r="K327" s="609"/>
      <c r="L327" s="609"/>
      <c r="M327" s="609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  <c r="Z327" s="609"/>
      <c r="AA327" s="593"/>
      <c r="AB327" s="593"/>
      <c r="AC327" s="593"/>
    </row>
    <row r="328" spans="1:68" ht="27" hidden="1" customHeight="1" x14ac:dyDescent="0.25">
      <c r="A328" s="54" t="s">
        <v>531</v>
      </c>
      <c r="B328" s="54" t="s">
        <v>532</v>
      </c>
      <c r="C328" s="31">
        <v>4301031445</v>
      </c>
      <c r="D328" s="603">
        <v>4680115888319</v>
      </c>
      <c r="E328" s="604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9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06"/>
      <c r="R328" s="606"/>
      <c r="S328" s="606"/>
      <c r="T328" s="607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4301031502</v>
      </c>
      <c r="D329" s="603">
        <v>4680115884700</v>
      </c>
      <c r="E329" s="604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06"/>
      <c r="R329" s="606"/>
      <c r="S329" s="606"/>
      <c r="T329" s="607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4301031307</v>
      </c>
      <c r="D330" s="603">
        <v>4680115880344</v>
      </c>
      <c r="E330" s="604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06"/>
      <c r="R330" s="606"/>
      <c r="S330" s="606"/>
      <c r="T330" s="607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539</v>
      </c>
      <c r="B331" s="54" t="s">
        <v>540</v>
      </c>
      <c r="C331" s="31">
        <v>4301031501</v>
      </c>
      <c r="D331" s="603">
        <v>4680115886919</v>
      </c>
      <c r="E331" s="604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06"/>
      <c r="R331" s="606"/>
      <c r="S331" s="606"/>
      <c r="T331" s="607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542</v>
      </c>
      <c r="B332" s="54" t="s">
        <v>543</v>
      </c>
      <c r="C332" s="31">
        <v>4301031246</v>
      </c>
      <c r="D332" s="603">
        <v>4680115883970</v>
      </c>
      <c r="E332" s="604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76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06"/>
      <c r="R332" s="606"/>
      <c r="S332" s="606"/>
      <c r="T332" s="607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17"/>
      <c r="B333" s="609"/>
      <c r="C333" s="609"/>
      <c r="D333" s="609"/>
      <c r="E333" s="609"/>
      <c r="F333" s="609"/>
      <c r="G333" s="609"/>
      <c r="H333" s="609"/>
      <c r="I333" s="609"/>
      <c r="J333" s="609"/>
      <c r="K333" s="609"/>
      <c r="L333" s="609"/>
      <c r="M333" s="609"/>
      <c r="N333" s="609"/>
      <c r="O333" s="618"/>
      <c r="P333" s="613" t="s">
        <v>72</v>
      </c>
      <c r="Q333" s="614"/>
      <c r="R333" s="614"/>
      <c r="S333" s="614"/>
      <c r="T333" s="614"/>
      <c r="U333" s="614"/>
      <c r="V333" s="61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hidden="1" x14ac:dyDescent="0.2">
      <c r="A334" s="609"/>
      <c r="B334" s="609"/>
      <c r="C334" s="609"/>
      <c r="D334" s="609"/>
      <c r="E334" s="609"/>
      <c r="F334" s="609"/>
      <c r="G334" s="609"/>
      <c r="H334" s="609"/>
      <c r="I334" s="609"/>
      <c r="J334" s="609"/>
      <c r="K334" s="609"/>
      <c r="L334" s="609"/>
      <c r="M334" s="609"/>
      <c r="N334" s="609"/>
      <c r="O334" s="618"/>
      <c r="P334" s="613" t="s">
        <v>72</v>
      </c>
      <c r="Q334" s="614"/>
      <c r="R334" s="614"/>
      <c r="S334" s="614"/>
      <c r="T334" s="614"/>
      <c r="U334" s="614"/>
      <c r="V334" s="61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hidden="1" customHeight="1" x14ac:dyDescent="0.25">
      <c r="A335" s="608" t="s">
        <v>74</v>
      </c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  <c r="Z335" s="609"/>
      <c r="AA335" s="593"/>
      <c r="AB335" s="593"/>
      <c r="AC335" s="593"/>
    </row>
    <row r="336" spans="1:68" ht="27" hidden="1" customHeight="1" x14ac:dyDescent="0.25">
      <c r="A336" s="54" t="s">
        <v>545</v>
      </c>
      <c r="B336" s="54" t="s">
        <v>546</v>
      </c>
      <c r="C336" s="31">
        <v>4301051782</v>
      </c>
      <c r="D336" s="603">
        <v>4680115884618</v>
      </c>
      <c r="E336" s="604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06"/>
      <c r="R336" s="606"/>
      <c r="S336" s="606"/>
      <c r="T336" s="607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4301052057</v>
      </c>
      <c r="D337" s="603">
        <v>4680115887114</v>
      </c>
      <c r="E337" s="604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8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06"/>
      <c r="R337" s="606"/>
      <c r="S337" s="606"/>
      <c r="T337" s="607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17"/>
      <c r="B338" s="609"/>
      <c r="C338" s="609"/>
      <c r="D338" s="609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18"/>
      <c r="P338" s="613" t="s">
        <v>72</v>
      </c>
      <c r="Q338" s="614"/>
      <c r="R338" s="614"/>
      <c r="S338" s="614"/>
      <c r="T338" s="614"/>
      <c r="U338" s="614"/>
      <c r="V338" s="61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hidden="1" x14ac:dyDescent="0.2">
      <c r="A339" s="609"/>
      <c r="B339" s="609"/>
      <c r="C339" s="609"/>
      <c r="D339" s="609"/>
      <c r="E339" s="609"/>
      <c r="F339" s="609"/>
      <c r="G339" s="609"/>
      <c r="H339" s="609"/>
      <c r="I339" s="609"/>
      <c r="J339" s="609"/>
      <c r="K339" s="609"/>
      <c r="L339" s="609"/>
      <c r="M339" s="609"/>
      <c r="N339" s="609"/>
      <c r="O339" s="618"/>
      <c r="P339" s="613" t="s">
        <v>72</v>
      </c>
      <c r="Q339" s="614"/>
      <c r="R339" s="614"/>
      <c r="S339" s="614"/>
      <c r="T339" s="614"/>
      <c r="U339" s="614"/>
      <c r="V339" s="61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hidden="1" customHeight="1" x14ac:dyDescent="0.25">
      <c r="A340" s="612" t="s">
        <v>551</v>
      </c>
      <c r="B340" s="609"/>
      <c r="C340" s="609"/>
      <c r="D340" s="609"/>
      <c r="E340" s="609"/>
      <c r="F340" s="609"/>
      <c r="G340" s="609"/>
      <c r="H340" s="609"/>
      <c r="I340" s="609"/>
      <c r="J340" s="609"/>
      <c r="K340" s="609"/>
      <c r="L340" s="609"/>
      <c r="M340" s="609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  <c r="Z340" s="609"/>
      <c r="AA340" s="592"/>
      <c r="AB340" s="592"/>
      <c r="AC340" s="592"/>
    </row>
    <row r="341" spans="1:68" ht="14.25" hidden="1" customHeight="1" x14ac:dyDescent="0.25">
      <c r="A341" s="608" t="s">
        <v>117</v>
      </c>
      <c r="B341" s="609"/>
      <c r="C341" s="609"/>
      <c r="D341" s="609"/>
      <c r="E341" s="609"/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  <c r="Z341" s="609"/>
      <c r="AA341" s="593"/>
      <c r="AB341" s="593"/>
      <c r="AC341" s="593"/>
    </row>
    <row r="342" spans="1:68" ht="27" hidden="1" customHeight="1" x14ac:dyDescent="0.25">
      <c r="A342" s="54" t="s">
        <v>552</v>
      </c>
      <c r="B342" s="54" t="s">
        <v>553</v>
      </c>
      <c r="C342" s="31">
        <v>4301012324</v>
      </c>
      <c r="D342" s="603">
        <v>4680115887947</v>
      </c>
      <c r="E342" s="604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6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06"/>
      <c r="R342" s="606"/>
      <c r="S342" s="606"/>
      <c r="T342" s="607"/>
      <c r="U342" s="34"/>
      <c r="V342" s="34"/>
      <c r="W342" s="35" t="s">
        <v>67</v>
      </c>
      <c r="X342" s="597">
        <v>0</v>
      </c>
      <c r="Y342" s="598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555</v>
      </c>
      <c r="B343" s="54" t="s">
        <v>556</v>
      </c>
      <c r="C343" s="31">
        <v>4301012325</v>
      </c>
      <c r="D343" s="603">
        <v>4680115887978</v>
      </c>
      <c r="E343" s="604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06"/>
      <c r="R343" s="606"/>
      <c r="S343" s="606"/>
      <c r="T343" s="607"/>
      <c r="U343" s="34"/>
      <c r="V343" s="34"/>
      <c r="W343" s="35" t="s">
        <v>67</v>
      </c>
      <c r="X343" s="597">
        <v>0</v>
      </c>
      <c r="Y343" s="59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558</v>
      </c>
      <c r="B344" s="54" t="s">
        <v>559</v>
      </c>
      <c r="C344" s="31">
        <v>4301012327</v>
      </c>
      <c r="D344" s="603">
        <v>4680115887992</v>
      </c>
      <c r="E344" s="604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6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06"/>
      <c r="R344" s="606"/>
      <c r="S344" s="606"/>
      <c r="T344" s="607"/>
      <c r="U344" s="34"/>
      <c r="V344" s="34"/>
      <c r="W344" s="35" t="s">
        <v>67</v>
      </c>
      <c r="X344" s="597">
        <v>0</v>
      </c>
      <c r="Y344" s="59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17"/>
      <c r="B345" s="609"/>
      <c r="C345" s="609"/>
      <c r="D345" s="609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18"/>
      <c r="P345" s="613" t="s">
        <v>72</v>
      </c>
      <c r="Q345" s="614"/>
      <c r="R345" s="614"/>
      <c r="S345" s="614"/>
      <c r="T345" s="614"/>
      <c r="U345" s="614"/>
      <c r="V345" s="615"/>
      <c r="W345" s="37" t="s">
        <v>73</v>
      </c>
      <c r="X345" s="599">
        <f>IFERROR(X342/H342,"0")+IFERROR(X343/H343,"0")+IFERROR(X344/H344,"0")</f>
        <v>0</v>
      </c>
      <c r="Y345" s="599">
        <f>IFERROR(Y342/H342,"0")+IFERROR(Y343/H343,"0")+IFERROR(Y344/H344,"0")</f>
        <v>0</v>
      </c>
      <c r="Z345" s="599">
        <f>IFERROR(IF(Z342="",0,Z342),"0")+IFERROR(IF(Z343="",0,Z343),"0")+IFERROR(IF(Z344="",0,Z344),"0")</f>
        <v>0</v>
      </c>
      <c r="AA345" s="600"/>
      <c r="AB345" s="600"/>
      <c r="AC345" s="600"/>
    </row>
    <row r="346" spans="1:68" hidden="1" x14ac:dyDescent="0.2">
      <c r="A346" s="609"/>
      <c r="B346" s="609"/>
      <c r="C346" s="609"/>
      <c r="D346" s="609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18"/>
      <c r="P346" s="613" t="s">
        <v>72</v>
      </c>
      <c r="Q346" s="614"/>
      <c r="R346" s="614"/>
      <c r="S346" s="614"/>
      <c r="T346" s="614"/>
      <c r="U346" s="614"/>
      <c r="V346" s="615"/>
      <c r="W346" s="37" t="s">
        <v>67</v>
      </c>
      <c r="X346" s="599">
        <f>IFERROR(SUM(X342:X344),"0")</f>
        <v>0</v>
      </c>
      <c r="Y346" s="599">
        <f>IFERROR(SUM(Y342:Y344),"0")</f>
        <v>0</v>
      </c>
      <c r="Z346" s="37"/>
      <c r="AA346" s="600"/>
      <c r="AB346" s="600"/>
      <c r="AC346" s="600"/>
    </row>
    <row r="347" spans="1:68" ht="16.5" hidden="1" customHeight="1" x14ac:dyDescent="0.25">
      <c r="A347" s="612" t="s">
        <v>561</v>
      </c>
      <c r="B347" s="609"/>
      <c r="C347" s="609"/>
      <c r="D347" s="609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  <c r="Z347" s="609"/>
      <c r="AA347" s="592"/>
      <c r="AB347" s="592"/>
      <c r="AC347" s="592"/>
    </row>
    <row r="348" spans="1:68" ht="14.25" hidden="1" customHeight="1" x14ac:dyDescent="0.25">
      <c r="A348" s="608" t="s">
        <v>117</v>
      </c>
      <c r="B348" s="609"/>
      <c r="C348" s="609"/>
      <c r="D348" s="609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  <c r="Z348" s="609"/>
      <c r="AA348" s="593"/>
      <c r="AB348" s="593"/>
      <c r="AC348" s="593"/>
    </row>
    <row r="349" spans="1:68" ht="27" hidden="1" customHeight="1" x14ac:dyDescent="0.25">
      <c r="A349" s="54" t="s">
        <v>562</v>
      </c>
      <c r="B349" s="54" t="s">
        <v>563</v>
      </c>
      <c r="C349" s="31">
        <v>4301012235</v>
      </c>
      <c r="D349" s="603">
        <v>4680115887190</v>
      </c>
      <c r="E349" s="604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68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06"/>
      <c r="R349" s="606"/>
      <c r="S349" s="606"/>
      <c r="T349" s="607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565</v>
      </c>
      <c r="B350" s="54" t="s">
        <v>566</v>
      </c>
      <c r="C350" s="31">
        <v>4301012233</v>
      </c>
      <c r="D350" s="603">
        <v>4680115887138</v>
      </c>
      <c r="E350" s="604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8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06"/>
      <c r="R350" s="606"/>
      <c r="S350" s="606"/>
      <c r="T350" s="607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4301012016</v>
      </c>
      <c r="D351" s="603">
        <v>4680115885554</v>
      </c>
      <c r="E351" s="604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06"/>
      <c r="R351" s="606"/>
      <c r="S351" s="606"/>
      <c r="T351" s="607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4301012236</v>
      </c>
      <c r="D352" s="603">
        <v>4680115887220</v>
      </c>
      <c r="E352" s="604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8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06"/>
      <c r="R352" s="606"/>
      <c r="S352" s="606"/>
      <c r="T352" s="607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573</v>
      </c>
      <c r="B353" s="54" t="s">
        <v>574</v>
      </c>
      <c r="C353" s="31">
        <v>4301011859</v>
      </c>
      <c r="D353" s="603">
        <v>4680115885608</v>
      </c>
      <c r="E353" s="604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06"/>
      <c r="R353" s="606"/>
      <c r="S353" s="606"/>
      <c r="T353" s="607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17"/>
      <c r="B354" s="609"/>
      <c r="C354" s="609"/>
      <c r="D354" s="609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18"/>
      <c r="P354" s="613" t="s">
        <v>72</v>
      </c>
      <c r="Q354" s="614"/>
      <c r="R354" s="614"/>
      <c r="S354" s="614"/>
      <c r="T354" s="614"/>
      <c r="U354" s="614"/>
      <c r="V354" s="61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hidden="1" x14ac:dyDescent="0.2">
      <c r="A355" s="609"/>
      <c r="B355" s="609"/>
      <c r="C355" s="609"/>
      <c r="D355" s="609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18"/>
      <c r="P355" s="613" t="s">
        <v>72</v>
      </c>
      <c r="Q355" s="614"/>
      <c r="R355" s="614"/>
      <c r="S355" s="614"/>
      <c r="T355" s="614"/>
      <c r="U355" s="614"/>
      <c r="V355" s="61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hidden="1" customHeight="1" x14ac:dyDescent="0.25">
      <c r="A356" s="608" t="s">
        <v>62</v>
      </c>
      <c r="B356" s="609"/>
      <c r="C356" s="609"/>
      <c r="D356" s="609"/>
      <c r="E356" s="609"/>
      <c r="F356" s="609"/>
      <c r="G356" s="609"/>
      <c r="H356" s="609"/>
      <c r="I356" s="609"/>
      <c r="J356" s="609"/>
      <c r="K356" s="609"/>
      <c r="L356" s="609"/>
      <c r="M356" s="609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  <c r="Z356" s="609"/>
      <c r="AA356" s="593"/>
      <c r="AB356" s="593"/>
      <c r="AC356" s="593"/>
    </row>
    <row r="357" spans="1:68" ht="27" hidden="1" customHeight="1" x14ac:dyDescent="0.25">
      <c r="A357" s="54" t="s">
        <v>576</v>
      </c>
      <c r="B357" s="54" t="s">
        <v>577</v>
      </c>
      <c r="C357" s="31">
        <v>4301030878</v>
      </c>
      <c r="D357" s="603">
        <v>4607091387193</v>
      </c>
      <c r="E357" s="604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65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06"/>
      <c r="R357" s="606"/>
      <c r="S357" s="606"/>
      <c r="T357" s="607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hidden="1" customHeight="1" x14ac:dyDescent="0.25">
      <c r="A358" s="54" t="s">
        <v>579</v>
      </c>
      <c r="B358" s="54" t="s">
        <v>580</v>
      </c>
      <c r="C358" s="31">
        <v>4301031153</v>
      </c>
      <c r="D358" s="603">
        <v>4607091387230</v>
      </c>
      <c r="E358" s="604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8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06"/>
      <c r="R358" s="606"/>
      <c r="S358" s="606"/>
      <c r="T358" s="607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582</v>
      </c>
      <c r="B359" s="54" t="s">
        <v>583</v>
      </c>
      <c r="C359" s="31">
        <v>4301031154</v>
      </c>
      <c r="D359" s="603">
        <v>4607091387292</v>
      </c>
      <c r="E359" s="604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7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06"/>
      <c r="R359" s="606"/>
      <c r="S359" s="606"/>
      <c r="T359" s="607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1">
        <v>4301031152</v>
      </c>
      <c r="D360" s="603">
        <v>4607091387285</v>
      </c>
      <c r="E360" s="604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6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06"/>
      <c r="R360" s="606"/>
      <c r="S360" s="606"/>
      <c r="T360" s="607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hidden="1" customHeight="1" x14ac:dyDescent="0.25">
      <c r="A361" s="54" t="s">
        <v>587</v>
      </c>
      <c r="B361" s="54" t="s">
        <v>588</v>
      </c>
      <c r="C361" s="31">
        <v>4301031305</v>
      </c>
      <c r="D361" s="603">
        <v>4607091389845</v>
      </c>
      <c r="E361" s="604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80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06"/>
      <c r="R361" s="606"/>
      <c r="S361" s="606"/>
      <c r="T361" s="607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4301031460</v>
      </c>
      <c r="D362" s="603">
        <v>4680115887442</v>
      </c>
      <c r="E362" s="604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68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06"/>
      <c r="R362" s="606"/>
      <c r="S362" s="606"/>
      <c r="T362" s="607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3">
        <v>4607091383836</v>
      </c>
      <c r="E363" s="604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6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06"/>
      <c r="R363" s="606"/>
      <c r="S363" s="606"/>
      <c r="T363" s="607"/>
      <c r="U363" s="34"/>
      <c r="V363" s="34"/>
      <c r="W363" s="35" t="s">
        <v>67</v>
      </c>
      <c r="X363" s="597">
        <v>24</v>
      </c>
      <c r="Y363" s="598">
        <f t="shared" si="47"/>
        <v>25.2</v>
      </c>
      <c r="Z363" s="36">
        <f>IFERROR(IF(Y363=0,"",ROUNDUP(Y363/H363,0)*0.00651),"")</f>
        <v>9.1139999999999999E-2</v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27.04</v>
      </c>
      <c r="BN363" s="64">
        <f t="shared" si="49"/>
        <v>28.391999999999999</v>
      </c>
      <c r="BO363" s="64">
        <f t="shared" si="50"/>
        <v>7.3260073260073263E-2</v>
      </c>
      <c r="BP363" s="64">
        <f t="shared" si="51"/>
        <v>7.6923076923076927E-2</v>
      </c>
    </row>
    <row r="364" spans="1:68" x14ac:dyDescent="0.2">
      <c r="A364" s="617"/>
      <c r="B364" s="609"/>
      <c r="C364" s="609"/>
      <c r="D364" s="609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18"/>
      <c r="P364" s="613" t="s">
        <v>72</v>
      </c>
      <c r="Q364" s="614"/>
      <c r="R364" s="614"/>
      <c r="S364" s="614"/>
      <c r="T364" s="614"/>
      <c r="U364" s="614"/>
      <c r="V364" s="61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13.333333333333332</v>
      </c>
      <c r="Y364" s="599">
        <f>IFERROR(Y357/H357,"0")+IFERROR(Y358/H358,"0")+IFERROR(Y359/H359,"0")+IFERROR(Y360/H360,"0")+IFERROR(Y361/H361,"0")+IFERROR(Y362/H362,"0")+IFERROR(Y363/H363,"0")</f>
        <v>14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9.1139999999999999E-2</v>
      </c>
      <c r="AA364" s="600"/>
      <c r="AB364" s="600"/>
      <c r="AC364" s="600"/>
    </row>
    <row r="365" spans="1:68" x14ac:dyDescent="0.2">
      <c r="A365" s="609"/>
      <c r="B365" s="609"/>
      <c r="C365" s="609"/>
      <c r="D365" s="609"/>
      <c r="E365" s="609"/>
      <c r="F365" s="609"/>
      <c r="G365" s="609"/>
      <c r="H365" s="609"/>
      <c r="I365" s="609"/>
      <c r="J365" s="609"/>
      <c r="K365" s="609"/>
      <c r="L365" s="609"/>
      <c r="M365" s="609"/>
      <c r="N365" s="609"/>
      <c r="O365" s="618"/>
      <c r="P365" s="613" t="s">
        <v>72</v>
      </c>
      <c r="Q365" s="614"/>
      <c r="R365" s="614"/>
      <c r="S365" s="614"/>
      <c r="T365" s="614"/>
      <c r="U365" s="614"/>
      <c r="V365" s="615"/>
      <c r="W365" s="37" t="s">
        <v>67</v>
      </c>
      <c r="X365" s="599">
        <f>IFERROR(SUM(X357:X363),"0")</f>
        <v>24</v>
      </c>
      <c r="Y365" s="599">
        <f>IFERROR(SUM(Y357:Y363),"0")</f>
        <v>25.2</v>
      </c>
      <c r="Z365" s="37"/>
      <c r="AA365" s="600"/>
      <c r="AB365" s="600"/>
      <c r="AC365" s="600"/>
    </row>
    <row r="366" spans="1:68" ht="14.25" hidden="1" customHeight="1" x14ac:dyDescent="0.25">
      <c r="A366" s="608" t="s">
        <v>74</v>
      </c>
      <c r="B366" s="609"/>
      <c r="C366" s="609"/>
      <c r="D366" s="609"/>
      <c r="E366" s="609"/>
      <c r="F366" s="609"/>
      <c r="G366" s="609"/>
      <c r="H366" s="609"/>
      <c r="I366" s="609"/>
      <c r="J366" s="609"/>
      <c r="K366" s="609"/>
      <c r="L366" s="609"/>
      <c r="M366" s="609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  <c r="Z366" s="609"/>
      <c r="AA366" s="593"/>
      <c r="AB366" s="593"/>
      <c r="AC366" s="593"/>
    </row>
    <row r="367" spans="1:68" ht="27" hidden="1" customHeight="1" x14ac:dyDescent="0.25">
      <c r="A367" s="54" t="s">
        <v>595</v>
      </c>
      <c r="B367" s="54" t="s">
        <v>596</v>
      </c>
      <c r="C367" s="31">
        <v>4301051100</v>
      </c>
      <c r="D367" s="603">
        <v>4607091387766</v>
      </c>
      <c r="E367" s="604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06"/>
      <c r="R367" s="606"/>
      <c r="S367" s="606"/>
      <c r="T367" s="607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4301051818</v>
      </c>
      <c r="D368" s="603">
        <v>4607091387957</v>
      </c>
      <c r="E368" s="604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6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06"/>
      <c r="R368" s="606"/>
      <c r="S368" s="606"/>
      <c r="T368" s="607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4301051819</v>
      </c>
      <c r="D369" s="603">
        <v>4607091387964</v>
      </c>
      <c r="E369" s="604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6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06"/>
      <c r="R369" s="606"/>
      <c r="S369" s="606"/>
      <c r="T369" s="607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4301051734</v>
      </c>
      <c r="D370" s="603">
        <v>4680115884588</v>
      </c>
      <c r="E370" s="604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6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06"/>
      <c r="R370" s="606"/>
      <c r="S370" s="606"/>
      <c r="T370" s="607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17"/>
      <c r="B371" s="609"/>
      <c r="C371" s="609"/>
      <c r="D371" s="609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18"/>
      <c r="P371" s="613" t="s">
        <v>72</v>
      </c>
      <c r="Q371" s="614"/>
      <c r="R371" s="614"/>
      <c r="S371" s="614"/>
      <c r="T371" s="614"/>
      <c r="U371" s="614"/>
      <c r="V371" s="61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hidden="1" x14ac:dyDescent="0.2">
      <c r="A372" s="609"/>
      <c r="B372" s="609"/>
      <c r="C372" s="609"/>
      <c r="D372" s="609"/>
      <c r="E372" s="609"/>
      <c r="F372" s="609"/>
      <c r="G372" s="609"/>
      <c r="H372" s="609"/>
      <c r="I372" s="609"/>
      <c r="J372" s="609"/>
      <c r="K372" s="609"/>
      <c r="L372" s="609"/>
      <c r="M372" s="609"/>
      <c r="N372" s="609"/>
      <c r="O372" s="618"/>
      <c r="P372" s="613" t="s">
        <v>72</v>
      </c>
      <c r="Q372" s="614"/>
      <c r="R372" s="614"/>
      <c r="S372" s="614"/>
      <c r="T372" s="614"/>
      <c r="U372" s="614"/>
      <c r="V372" s="61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hidden="1" customHeight="1" x14ac:dyDescent="0.25">
      <c r="A373" s="608" t="s">
        <v>169</v>
      </c>
      <c r="B373" s="609"/>
      <c r="C373" s="609"/>
      <c r="D373" s="609"/>
      <c r="E373" s="609"/>
      <c r="F373" s="609"/>
      <c r="G373" s="609"/>
      <c r="H373" s="609"/>
      <c r="I373" s="609"/>
      <c r="J373" s="609"/>
      <c r="K373" s="609"/>
      <c r="L373" s="609"/>
      <c r="M373" s="609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  <c r="Z373" s="609"/>
      <c r="AA373" s="593"/>
      <c r="AB373" s="593"/>
      <c r="AC373" s="593"/>
    </row>
    <row r="374" spans="1:68" ht="27" hidden="1" customHeight="1" x14ac:dyDescent="0.25">
      <c r="A374" s="54" t="s">
        <v>606</v>
      </c>
      <c r="B374" s="54" t="s">
        <v>607</v>
      </c>
      <c r="C374" s="31">
        <v>4301060387</v>
      </c>
      <c r="D374" s="603">
        <v>4607091380880</v>
      </c>
      <c r="E374" s="604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06"/>
      <c r="R374" s="606"/>
      <c r="S374" s="606"/>
      <c r="T374" s="607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3">
        <v>4607091384482</v>
      </c>
      <c r="E375" s="604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06"/>
      <c r="R375" s="606"/>
      <c r="S375" s="606"/>
      <c r="T375" s="607"/>
      <c r="U375" s="34"/>
      <c r="V375" s="34"/>
      <c r="W375" s="35" t="s">
        <v>67</v>
      </c>
      <c r="X375" s="597">
        <v>488</v>
      </c>
      <c r="Y375" s="598">
        <f>IFERROR(IF(X375="",0,CEILING((X375/$H375),1)*$H375),"")</f>
        <v>491.4</v>
      </c>
      <c r="Z375" s="36">
        <f>IFERROR(IF(Y375=0,"",ROUNDUP(Y375/H375,0)*0.01898),"")</f>
        <v>1.19574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518.90666666666675</v>
      </c>
      <c r="BN375" s="64">
        <f>IFERROR(Y375*I375/H375,"0")</f>
        <v>522.52200000000005</v>
      </c>
      <c r="BO375" s="64">
        <f>IFERROR(1/J375*(X375/H375),"0")</f>
        <v>0.97756410256410253</v>
      </c>
      <c r="BP375" s="64">
        <f>IFERROR(1/J375*(Y375/H375),"0")</f>
        <v>0.984375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3">
        <v>4607091380897</v>
      </c>
      <c r="E376" s="604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85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06"/>
      <c r="R376" s="606"/>
      <c r="S376" s="606"/>
      <c r="T376" s="607"/>
      <c r="U376" s="34"/>
      <c r="V376" s="34"/>
      <c r="W376" s="35" t="s">
        <v>67</v>
      </c>
      <c r="X376" s="597">
        <v>54</v>
      </c>
      <c r="Y376" s="598">
        <f>IFERROR(IF(X376="",0,CEILING((X376/$H376),1)*$H376),"")</f>
        <v>58.800000000000004</v>
      </c>
      <c r="Z376" s="36">
        <f>IFERROR(IF(Y376=0,"",ROUNDUP(Y376/H376,0)*0.01898),"")</f>
        <v>0.13286000000000001</v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57.175714285714285</v>
      </c>
      <c r="BN376" s="64">
        <f>IFERROR(Y376*I376/H376,"0")</f>
        <v>62.258000000000003</v>
      </c>
      <c r="BO376" s="64">
        <f>IFERROR(1/J376*(X376/H376),"0")</f>
        <v>0.10044642857142856</v>
      </c>
      <c r="BP376" s="64">
        <f>IFERROR(1/J376*(Y376/H376),"0")</f>
        <v>0.109375</v>
      </c>
    </row>
    <row r="377" spans="1:68" x14ac:dyDescent="0.2">
      <c r="A377" s="617"/>
      <c r="B377" s="609"/>
      <c r="C377" s="609"/>
      <c r="D377" s="609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18"/>
      <c r="P377" s="613" t="s">
        <v>72</v>
      </c>
      <c r="Q377" s="614"/>
      <c r="R377" s="614"/>
      <c r="S377" s="614"/>
      <c r="T377" s="614"/>
      <c r="U377" s="614"/>
      <c r="V377" s="615"/>
      <c r="W377" s="37" t="s">
        <v>73</v>
      </c>
      <c r="X377" s="599">
        <f>IFERROR(X374/H374,"0")+IFERROR(X375/H375,"0")+IFERROR(X376/H376,"0")</f>
        <v>68.992673992673986</v>
      </c>
      <c r="Y377" s="599">
        <f>IFERROR(Y374/H374,"0")+IFERROR(Y375/H375,"0")+IFERROR(Y376/H376,"0")</f>
        <v>70</v>
      </c>
      <c r="Z377" s="599">
        <f>IFERROR(IF(Z374="",0,Z374),"0")+IFERROR(IF(Z375="",0,Z375),"0")+IFERROR(IF(Z376="",0,Z376),"0")</f>
        <v>1.3286</v>
      </c>
      <c r="AA377" s="600"/>
      <c r="AB377" s="600"/>
      <c r="AC377" s="600"/>
    </row>
    <row r="378" spans="1:68" x14ac:dyDescent="0.2">
      <c r="A378" s="609"/>
      <c r="B378" s="609"/>
      <c r="C378" s="609"/>
      <c r="D378" s="609"/>
      <c r="E378" s="609"/>
      <c r="F378" s="609"/>
      <c r="G378" s="609"/>
      <c r="H378" s="609"/>
      <c r="I378" s="609"/>
      <c r="J378" s="609"/>
      <c r="K378" s="609"/>
      <c r="L378" s="609"/>
      <c r="M378" s="609"/>
      <c r="N378" s="609"/>
      <c r="O378" s="618"/>
      <c r="P378" s="613" t="s">
        <v>72</v>
      </c>
      <c r="Q378" s="614"/>
      <c r="R378" s="614"/>
      <c r="S378" s="614"/>
      <c r="T378" s="614"/>
      <c r="U378" s="614"/>
      <c r="V378" s="615"/>
      <c r="W378" s="37" t="s">
        <v>67</v>
      </c>
      <c r="X378" s="599">
        <f>IFERROR(SUM(X374:X376),"0")</f>
        <v>542</v>
      </c>
      <c r="Y378" s="599">
        <f>IFERROR(SUM(Y374:Y376),"0")</f>
        <v>550.19999999999993</v>
      </c>
      <c r="Z378" s="37"/>
      <c r="AA378" s="600"/>
      <c r="AB378" s="600"/>
      <c r="AC378" s="600"/>
    </row>
    <row r="379" spans="1:68" ht="14.25" hidden="1" customHeight="1" x14ac:dyDescent="0.25">
      <c r="A379" s="608" t="s">
        <v>95</v>
      </c>
      <c r="B379" s="609"/>
      <c r="C379" s="609"/>
      <c r="D379" s="609"/>
      <c r="E379" s="609"/>
      <c r="F379" s="609"/>
      <c r="G379" s="609"/>
      <c r="H379" s="609"/>
      <c r="I379" s="609"/>
      <c r="J379" s="609"/>
      <c r="K379" s="609"/>
      <c r="L379" s="609"/>
      <c r="M379" s="609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  <c r="Z379" s="609"/>
      <c r="AA379" s="593"/>
      <c r="AB379" s="593"/>
      <c r="AC379" s="593"/>
    </row>
    <row r="380" spans="1:68" ht="27" customHeight="1" x14ac:dyDescent="0.25">
      <c r="A380" s="54" t="s">
        <v>615</v>
      </c>
      <c r="B380" s="54" t="s">
        <v>616</v>
      </c>
      <c r="C380" s="31">
        <v>4301030235</v>
      </c>
      <c r="D380" s="603">
        <v>4607091388381</v>
      </c>
      <c r="E380" s="604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8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06"/>
      <c r="R380" s="606"/>
      <c r="S380" s="606"/>
      <c r="T380" s="607"/>
      <c r="U380" s="34"/>
      <c r="V380" s="34"/>
      <c r="W380" s="35" t="s">
        <v>67</v>
      </c>
      <c r="X380" s="597">
        <v>24</v>
      </c>
      <c r="Y380" s="598">
        <f>IFERROR(IF(X380="",0,CEILING((X380/$H380),1)*$H380),"")</f>
        <v>24.32</v>
      </c>
      <c r="Z380" s="36">
        <f>IFERROR(IF(Y380=0,"",ROUNDUP(Y380/H380,0)*0.00902),"")</f>
        <v>7.2160000000000002E-2</v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26.131578947368421</v>
      </c>
      <c r="BN380" s="64">
        <f>IFERROR(Y380*I380/H380,"0")</f>
        <v>26.48</v>
      </c>
      <c r="BO380" s="64">
        <f>IFERROR(1/J380*(X380/H380),"0")</f>
        <v>5.9808612440191387E-2</v>
      </c>
      <c r="BP380" s="64">
        <f>IFERROR(1/J380*(Y380/H380),"0")</f>
        <v>6.0606060606060608E-2</v>
      </c>
    </row>
    <row r="381" spans="1:68" ht="27" customHeight="1" x14ac:dyDescent="0.25">
      <c r="A381" s="54" t="s">
        <v>618</v>
      </c>
      <c r="B381" s="54" t="s">
        <v>619</v>
      </c>
      <c r="C381" s="31">
        <v>4301030232</v>
      </c>
      <c r="D381" s="603">
        <v>4607091388374</v>
      </c>
      <c r="E381" s="604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06"/>
      <c r="R381" s="606"/>
      <c r="S381" s="606"/>
      <c r="T381" s="607"/>
      <c r="U381" s="34"/>
      <c r="V381" s="34"/>
      <c r="W381" s="35" t="s">
        <v>67</v>
      </c>
      <c r="X381" s="597">
        <v>38</v>
      </c>
      <c r="Y381" s="598">
        <f>IFERROR(IF(X381="",0,CEILING((X381/$H381),1)*$H381),"")</f>
        <v>39.520000000000003</v>
      </c>
      <c r="Z381" s="36">
        <f>IFERROR(IF(Y381=0,"",ROUNDUP(Y381/H381,0)*0.00902),"")</f>
        <v>0.11726</v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40.875</v>
      </c>
      <c r="BN381" s="64">
        <f>IFERROR(Y381*I381/H381,"0")</f>
        <v>42.51</v>
      </c>
      <c r="BO381" s="64">
        <f>IFERROR(1/J381*(X381/H381),"0")</f>
        <v>9.4696969696969696E-2</v>
      </c>
      <c r="BP381" s="64">
        <f>IFERROR(1/J381*(Y381/H381),"0")</f>
        <v>9.8484848484848481E-2</v>
      </c>
    </row>
    <row r="382" spans="1:68" ht="27" hidden="1" customHeight="1" x14ac:dyDescent="0.25">
      <c r="A382" s="54" t="s">
        <v>620</v>
      </c>
      <c r="B382" s="54" t="s">
        <v>621</v>
      </c>
      <c r="C382" s="31">
        <v>4301032015</v>
      </c>
      <c r="D382" s="603">
        <v>4607091383102</v>
      </c>
      <c r="E382" s="604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8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06"/>
      <c r="R382" s="606"/>
      <c r="S382" s="606"/>
      <c r="T382" s="607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622</v>
      </c>
      <c r="B383" s="54" t="s">
        <v>623</v>
      </c>
      <c r="C383" s="31">
        <v>4301030233</v>
      </c>
      <c r="D383" s="603">
        <v>4607091388404</v>
      </c>
      <c r="E383" s="604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65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06"/>
      <c r="R383" s="606"/>
      <c r="S383" s="606"/>
      <c r="T383" s="607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17"/>
      <c r="B384" s="609"/>
      <c r="C384" s="609"/>
      <c r="D384" s="609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18"/>
      <c r="P384" s="613" t="s">
        <v>72</v>
      </c>
      <c r="Q384" s="614"/>
      <c r="R384" s="614"/>
      <c r="S384" s="614"/>
      <c r="T384" s="614"/>
      <c r="U384" s="614"/>
      <c r="V384" s="615"/>
      <c r="W384" s="37" t="s">
        <v>73</v>
      </c>
      <c r="X384" s="599">
        <f>IFERROR(X380/H380,"0")+IFERROR(X381/H381,"0")+IFERROR(X382/H382,"0")+IFERROR(X383/H383,"0")</f>
        <v>20.394736842105264</v>
      </c>
      <c r="Y384" s="599">
        <f>IFERROR(Y380/H380,"0")+IFERROR(Y381/H381,"0")+IFERROR(Y382/H382,"0")+IFERROR(Y383/H383,"0")</f>
        <v>21</v>
      </c>
      <c r="Z384" s="599">
        <f>IFERROR(IF(Z380="",0,Z380),"0")+IFERROR(IF(Z381="",0,Z381),"0")+IFERROR(IF(Z382="",0,Z382),"0")+IFERROR(IF(Z383="",0,Z383),"0")</f>
        <v>0.18942000000000001</v>
      </c>
      <c r="AA384" s="600"/>
      <c r="AB384" s="600"/>
      <c r="AC384" s="600"/>
    </row>
    <row r="385" spans="1:68" x14ac:dyDescent="0.2">
      <c r="A385" s="609"/>
      <c r="B385" s="609"/>
      <c r="C385" s="609"/>
      <c r="D385" s="609"/>
      <c r="E385" s="609"/>
      <c r="F385" s="609"/>
      <c r="G385" s="609"/>
      <c r="H385" s="609"/>
      <c r="I385" s="609"/>
      <c r="J385" s="609"/>
      <c r="K385" s="609"/>
      <c r="L385" s="609"/>
      <c r="M385" s="609"/>
      <c r="N385" s="609"/>
      <c r="O385" s="618"/>
      <c r="P385" s="613" t="s">
        <v>72</v>
      </c>
      <c r="Q385" s="614"/>
      <c r="R385" s="614"/>
      <c r="S385" s="614"/>
      <c r="T385" s="614"/>
      <c r="U385" s="614"/>
      <c r="V385" s="615"/>
      <c r="W385" s="37" t="s">
        <v>67</v>
      </c>
      <c r="X385" s="599">
        <f>IFERROR(SUM(X380:X383),"0")</f>
        <v>62</v>
      </c>
      <c r="Y385" s="599">
        <f>IFERROR(SUM(Y380:Y383),"0")</f>
        <v>63.84</v>
      </c>
      <c r="Z385" s="37"/>
      <c r="AA385" s="600"/>
      <c r="AB385" s="600"/>
      <c r="AC385" s="600"/>
    </row>
    <row r="386" spans="1:68" ht="14.25" hidden="1" customHeight="1" x14ac:dyDescent="0.25">
      <c r="A386" s="608" t="s">
        <v>624</v>
      </c>
      <c r="B386" s="609"/>
      <c r="C386" s="609"/>
      <c r="D386" s="609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  <c r="Z386" s="609"/>
      <c r="AA386" s="593"/>
      <c r="AB386" s="593"/>
      <c r="AC386" s="593"/>
    </row>
    <row r="387" spans="1:68" ht="16.5" hidden="1" customHeight="1" x14ac:dyDescent="0.25">
      <c r="A387" s="54" t="s">
        <v>625</v>
      </c>
      <c r="B387" s="54" t="s">
        <v>626</v>
      </c>
      <c r="C387" s="31">
        <v>4301180007</v>
      </c>
      <c r="D387" s="603">
        <v>4680115881808</v>
      </c>
      <c r="E387" s="604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06"/>
      <c r="R387" s="606"/>
      <c r="S387" s="606"/>
      <c r="T387" s="607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629</v>
      </c>
      <c r="B388" s="54" t="s">
        <v>630</v>
      </c>
      <c r="C388" s="31">
        <v>4301180006</v>
      </c>
      <c r="D388" s="603">
        <v>4680115881822</v>
      </c>
      <c r="E388" s="604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7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06"/>
      <c r="R388" s="606"/>
      <c r="S388" s="606"/>
      <c r="T388" s="607"/>
      <c r="U388" s="34"/>
      <c r="V388" s="34"/>
      <c r="W388" s="35" t="s">
        <v>67</v>
      </c>
      <c r="X388" s="597">
        <v>2</v>
      </c>
      <c r="Y388" s="598">
        <f>IFERROR(IF(X388="",0,CEILING((X388/$H388),1)*$H388),"")</f>
        <v>2</v>
      </c>
      <c r="Z388" s="36">
        <f>IFERROR(IF(Y388=0,"",ROUNDUP(Y388/H388,0)*0.00474),"")</f>
        <v>4.7400000000000003E-3</v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2.2400000000000002</v>
      </c>
      <c r="BN388" s="64">
        <f>IFERROR(Y388*I388/H388,"0")</f>
        <v>2.2400000000000002</v>
      </c>
      <c r="BO388" s="64">
        <f>IFERROR(1/J388*(X388/H388),"0")</f>
        <v>4.2016806722689074E-3</v>
      </c>
      <c r="BP388" s="64">
        <f>IFERROR(1/J388*(Y388/H388),"0")</f>
        <v>4.2016806722689074E-3</v>
      </c>
    </row>
    <row r="389" spans="1:68" ht="27" customHeight="1" x14ac:dyDescent="0.25">
      <c r="A389" s="54" t="s">
        <v>631</v>
      </c>
      <c r="B389" s="54" t="s">
        <v>632</v>
      </c>
      <c r="C389" s="31">
        <v>4301180001</v>
      </c>
      <c r="D389" s="603">
        <v>4680115880016</v>
      </c>
      <c r="E389" s="604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9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06"/>
      <c r="R389" s="606"/>
      <c r="S389" s="606"/>
      <c r="T389" s="607"/>
      <c r="U389" s="34"/>
      <c r="V389" s="34"/>
      <c r="W389" s="35" t="s">
        <v>67</v>
      </c>
      <c r="X389" s="597">
        <v>24</v>
      </c>
      <c r="Y389" s="598">
        <f>IFERROR(IF(X389="",0,CEILING((X389/$H389),1)*$H389),"")</f>
        <v>24</v>
      </c>
      <c r="Z389" s="36">
        <f>IFERROR(IF(Y389=0,"",ROUNDUP(Y389/H389,0)*0.00474),"")</f>
        <v>5.688E-2</v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26.880000000000003</v>
      </c>
      <c r="BN389" s="64">
        <f>IFERROR(Y389*I389/H389,"0")</f>
        <v>26.880000000000003</v>
      </c>
      <c r="BO389" s="64">
        <f>IFERROR(1/J389*(X389/H389),"0")</f>
        <v>5.0420168067226892E-2</v>
      </c>
      <c r="BP389" s="64">
        <f>IFERROR(1/J389*(Y389/H389),"0")</f>
        <v>5.0420168067226892E-2</v>
      </c>
    </row>
    <row r="390" spans="1:68" x14ac:dyDescent="0.2">
      <c r="A390" s="617"/>
      <c r="B390" s="609"/>
      <c r="C390" s="609"/>
      <c r="D390" s="609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18"/>
      <c r="P390" s="613" t="s">
        <v>72</v>
      </c>
      <c r="Q390" s="614"/>
      <c r="R390" s="614"/>
      <c r="S390" s="614"/>
      <c r="T390" s="614"/>
      <c r="U390" s="614"/>
      <c r="V390" s="615"/>
      <c r="W390" s="37" t="s">
        <v>73</v>
      </c>
      <c r="X390" s="599">
        <f>IFERROR(X387/H387,"0")+IFERROR(X388/H388,"0")+IFERROR(X389/H389,"0")</f>
        <v>13</v>
      </c>
      <c r="Y390" s="599">
        <f>IFERROR(Y387/H387,"0")+IFERROR(Y388/H388,"0")+IFERROR(Y389/H389,"0")</f>
        <v>13</v>
      </c>
      <c r="Z390" s="599">
        <f>IFERROR(IF(Z387="",0,Z387),"0")+IFERROR(IF(Z388="",0,Z388),"0")+IFERROR(IF(Z389="",0,Z389),"0")</f>
        <v>6.1620000000000001E-2</v>
      </c>
      <c r="AA390" s="600"/>
      <c r="AB390" s="600"/>
      <c r="AC390" s="600"/>
    </row>
    <row r="391" spans="1:68" x14ac:dyDescent="0.2">
      <c r="A391" s="609"/>
      <c r="B391" s="609"/>
      <c r="C391" s="609"/>
      <c r="D391" s="609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18"/>
      <c r="P391" s="613" t="s">
        <v>72</v>
      </c>
      <c r="Q391" s="614"/>
      <c r="R391" s="614"/>
      <c r="S391" s="614"/>
      <c r="T391" s="614"/>
      <c r="U391" s="614"/>
      <c r="V391" s="615"/>
      <c r="W391" s="37" t="s">
        <v>67</v>
      </c>
      <c r="X391" s="599">
        <f>IFERROR(SUM(X387:X389),"0")</f>
        <v>26</v>
      </c>
      <c r="Y391" s="599">
        <f>IFERROR(SUM(Y387:Y389),"0")</f>
        <v>26</v>
      </c>
      <c r="Z391" s="37"/>
      <c r="AA391" s="600"/>
      <c r="AB391" s="600"/>
      <c r="AC391" s="600"/>
    </row>
    <row r="392" spans="1:68" ht="16.5" hidden="1" customHeight="1" x14ac:dyDescent="0.25">
      <c r="A392" s="612" t="s">
        <v>633</v>
      </c>
      <c r="B392" s="609"/>
      <c r="C392" s="609"/>
      <c r="D392" s="609"/>
      <c r="E392" s="609"/>
      <c r="F392" s="609"/>
      <c r="G392" s="609"/>
      <c r="H392" s="609"/>
      <c r="I392" s="609"/>
      <c r="J392" s="609"/>
      <c r="K392" s="609"/>
      <c r="L392" s="609"/>
      <c r="M392" s="609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  <c r="Z392" s="609"/>
      <c r="AA392" s="592"/>
      <c r="AB392" s="592"/>
      <c r="AC392" s="592"/>
    </row>
    <row r="393" spans="1:68" ht="14.25" hidden="1" customHeight="1" x14ac:dyDescent="0.25">
      <c r="A393" s="608" t="s">
        <v>74</v>
      </c>
      <c r="B393" s="609"/>
      <c r="C393" s="609"/>
      <c r="D393" s="609"/>
      <c r="E393" s="609"/>
      <c r="F393" s="609"/>
      <c r="G393" s="609"/>
      <c r="H393" s="609"/>
      <c r="I393" s="609"/>
      <c r="J393" s="609"/>
      <c r="K393" s="609"/>
      <c r="L393" s="609"/>
      <c r="M393" s="609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  <c r="Z393" s="609"/>
      <c r="AA393" s="593"/>
      <c r="AB393" s="593"/>
      <c r="AC393" s="593"/>
    </row>
    <row r="394" spans="1:68" ht="27" hidden="1" customHeight="1" x14ac:dyDescent="0.25">
      <c r="A394" s="54" t="s">
        <v>634</v>
      </c>
      <c r="B394" s="54" t="s">
        <v>635</v>
      </c>
      <c r="C394" s="31">
        <v>4301051489</v>
      </c>
      <c r="D394" s="603">
        <v>4607091387919</v>
      </c>
      <c r="E394" s="604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9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06"/>
      <c r="R394" s="606"/>
      <c r="S394" s="606"/>
      <c r="T394" s="607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637</v>
      </c>
      <c r="B395" s="54" t="s">
        <v>638</v>
      </c>
      <c r="C395" s="31">
        <v>4301051461</v>
      </c>
      <c r="D395" s="603">
        <v>4680115883604</v>
      </c>
      <c r="E395" s="604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77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06"/>
      <c r="R395" s="606"/>
      <c r="S395" s="606"/>
      <c r="T395" s="607"/>
      <c r="U395" s="34"/>
      <c r="V395" s="34"/>
      <c r="W395" s="35" t="s">
        <v>67</v>
      </c>
      <c r="X395" s="597">
        <v>0</v>
      </c>
      <c r="Y395" s="598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640</v>
      </c>
      <c r="B396" s="54" t="s">
        <v>641</v>
      </c>
      <c r="C396" s="31">
        <v>4301051864</v>
      </c>
      <c r="D396" s="603">
        <v>4680115883567</v>
      </c>
      <c r="E396" s="604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06"/>
      <c r="R396" s="606"/>
      <c r="S396" s="606"/>
      <c r="T396" s="607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17"/>
      <c r="B397" s="609"/>
      <c r="C397" s="609"/>
      <c r="D397" s="609"/>
      <c r="E397" s="609"/>
      <c r="F397" s="609"/>
      <c r="G397" s="609"/>
      <c r="H397" s="609"/>
      <c r="I397" s="609"/>
      <c r="J397" s="609"/>
      <c r="K397" s="609"/>
      <c r="L397" s="609"/>
      <c r="M397" s="609"/>
      <c r="N397" s="609"/>
      <c r="O397" s="618"/>
      <c r="P397" s="613" t="s">
        <v>72</v>
      </c>
      <c r="Q397" s="614"/>
      <c r="R397" s="614"/>
      <c r="S397" s="614"/>
      <c r="T397" s="614"/>
      <c r="U397" s="614"/>
      <c r="V397" s="615"/>
      <c r="W397" s="37" t="s">
        <v>73</v>
      </c>
      <c r="X397" s="599">
        <f>IFERROR(X394/H394,"0")+IFERROR(X395/H395,"0")+IFERROR(X396/H396,"0")</f>
        <v>0</v>
      </c>
      <c r="Y397" s="599">
        <f>IFERROR(Y394/H394,"0")+IFERROR(Y395/H395,"0")+IFERROR(Y396/H396,"0")</f>
        <v>0</v>
      </c>
      <c r="Z397" s="599">
        <f>IFERROR(IF(Z394="",0,Z394),"0")+IFERROR(IF(Z395="",0,Z395),"0")+IFERROR(IF(Z396="",0,Z396),"0")</f>
        <v>0</v>
      </c>
      <c r="AA397" s="600"/>
      <c r="AB397" s="600"/>
      <c r="AC397" s="600"/>
    </row>
    <row r="398" spans="1:68" hidden="1" x14ac:dyDescent="0.2">
      <c r="A398" s="609"/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18"/>
      <c r="P398" s="613" t="s">
        <v>72</v>
      </c>
      <c r="Q398" s="614"/>
      <c r="R398" s="614"/>
      <c r="S398" s="614"/>
      <c r="T398" s="614"/>
      <c r="U398" s="614"/>
      <c r="V398" s="615"/>
      <c r="W398" s="37" t="s">
        <v>67</v>
      </c>
      <c r="X398" s="599">
        <f>IFERROR(SUM(X394:X396),"0")</f>
        <v>0</v>
      </c>
      <c r="Y398" s="599">
        <f>IFERROR(SUM(Y394:Y396),"0")</f>
        <v>0</v>
      </c>
      <c r="Z398" s="37"/>
      <c r="AA398" s="600"/>
      <c r="AB398" s="600"/>
      <c r="AC398" s="600"/>
    </row>
    <row r="399" spans="1:68" ht="27.75" hidden="1" customHeight="1" x14ac:dyDescent="0.2">
      <c r="A399" s="644" t="s">
        <v>643</v>
      </c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5"/>
      <c r="P399" s="645"/>
      <c r="Q399" s="645"/>
      <c r="R399" s="645"/>
      <c r="S399" s="645"/>
      <c r="T399" s="645"/>
      <c r="U399" s="645"/>
      <c r="V399" s="645"/>
      <c r="W399" s="645"/>
      <c r="X399" s="645"/>
      <c r="Y399" s="645"/>
      <c r="Z399" s="645"/>
      <c r="AA399" s="48"/>
      <c r="AB399" s="48"/>
      <c r="AC399" s="48"/>
    </row>
    <row r="400" spans="1:68" ht="16.5" hidden="1" customHeight="1" x14ac:dyDescent="0.25">
      <c r="A400" s="612" t="s">
        <v>644</v>
      </c>
      <c r="B400" s="609"/>
      <c r="C400" s="609"/>
      <c r="D400" s="609"/>
      <c r="E400" s="609"/>
      <c r="F400" s="609"/>
      <c r="G400" s="609"/>
      <c r="H400" s="609"/>
      <c r="I400" s="609"/>
      <c r="J400" s="609"/>
      <c r="K400" s="609"/>
      <c r="L400" s="609"/>
      <c r="M400" s="609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  <c r="Z400" s="609"/>
      <c r="AA400" s="592"/>
      <c r="AB400" s="592"/>
      <c r="AC400" s="592"/>
    </row>
    <row r="401" spans="1:68" ht="14.25" hidden="1" customHeight="1" x14ac:dyDescent="0.25">
      <c r="A401" s="608" t="s">
        <v>117</v>
      </c>
      <c r="B401" s="609"/>
      <c r="C401" s="609"/>
      <c r="D401" s="609"/>
      <c r="E401" s="609"/>
      <c r="F401" s="609"/>
      <c r="G401" s="609"/>
      <c r="H401" s="609"/>
      <c r="I401" s="609"/>
      <c r="J401" s="609"/>
      <c r="K401" s="609"/>
      <c r="L401" s="609"/>
      <c r="M401" s="609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  <c r="Z401" s="609"/>
      <c r="AA401" s="593"/>
      <c r="AB401" s="593"/>
      <c r="AC401" s="593"/>
    </row>
    <row r="402" spans="1:68" ht="27" customHeight="1" x14ac:dyDescent="0.25">
      <c r="A402" s="54" t="s">
        <v>645</v>
      </c>
      <c r="B402" s="54" t="s">
        <v>646</v>
      </c>
      <c r="C402" s="31">
        <v>4301012332</v>
      </c>
      <c r="D402" s="603">
        <v>4680115888401</v>
      </c>
      <c r="E402" s="604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8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06"/>
      <c r="R402" s="606"/>
      <c r="S402" s="606"/>
      <c r="T402" s="607"/>
      <c r="U402" s="34"/>
      <c r="V402" s="34"/>
      <c r="W402" s="35" t="s">
        <v>67</v>
      </c>
      <c r="X402" s="597">
        <v>47</v>
      </c>
      <c r="Y402" s="598">
        <f t="shared" ref="Y402:Y409" si="52">IFERROR(IF(X402="",0,CEILING((X402/$H402),1)*$H402),"")</f>
        <v>60</v>
      </c>
      <c r="Z402" s="36">
        <f>IFERROR(IF(Y402=0,"",ROUNDUP(Y402/H402,0)*0.02175),"")</f>
        <v>8.6999999999999994E-2</v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48.472666666666669</v>
      </c>
      <c r="BN402" s="64">
        <f t="shared" ref="BN402:BN409" si="54">IFERROR(Y402*I402/H402,"0")</f>
        <v>61.88</v>
      </c>
      <c r="BO402" s="64">
        <f t="shared" ref="BO402:BO409" si="55">IFERROR(1/J402*(X402/H402),"0")</f>
        <v>6.5277777777777768E-2</v>
      </c>
      <c r="BP402" s="64">
        <f t="shared" ref="BP402:BP409" si="56">IFERROR(1/J402*(Y402/H402),"0")</f>
        <v>8.3333333333333329E-2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3">
        <v>4680115884847</v>
      </c>
      <c r="E403" s="604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8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06"/>
      <c r="R403" s="606"/>
      <c r="S403" s="606"/>
      <c r="T403" s="607"/>
      <c r="U403" s="34"/>
      <c r="V403" s="34"/>
      <c r="W403" s="35" t="s">
        <v>67</v>
      </c>
      <c r="X403" s="597">
        <v>155</v>
      </c>
      <c r="Y403" s="598">
        <f t="shared" si="52"/>
        <v>165</v>
      </c>
      <c r="Z403" s="36">
        <f>IFERROR(IF(Y403=0,"",ROUNDUP(Y403/H403,0)*0.02175),"")</f>
        <v>0.23924999999999999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159.85666666666665</v>
      </c>
      <c r="BN403" s="64">
        <f t="shared" si="54"/>
        <v>170.17000000000002</v>
      </c>
      <c r="BO403" s="64">
        <f t="shared" si="55"/>
        <v>0.21527777777777779</v>
      </c>
      <c r="BP403" s="64">
        <f t="shared" si="56"/>
        <v>0.22916666666666666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3">
        <v>4680115884854</v>
      </c>
      <c r="E404" s="604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9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06"/>
      <c r="R404" s="606"/>
      <c r="S404" s="606"/>
      <c r="T404" s="607"/>
      <c r="U404" s="34"/>
      <c r="V404" s="34"/>
      <c r="W404" s="35" t="s">
        <v>67</v>
      </c>
      <c r="X404" s="597">
        <v>1242</v>
      </c>
      <c r="Y404" s="598">
        <f t="shared" si="52"/>
        <v>1245</v>
      </c>
      <c r="Z404" s="36">
        <f>IFERROR(IF(Y404=0,"",ROUNDUP(Y404/H404,0)*0.02175),"")</f>
        <v>1.8052499999999998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1280.9160000000002</v>
      </c>
      <c r="BN404" s="64">
        <f t="shared" si="54"/>
        <v>1284.01</v>
      </c>
      <c r="BO404" s="64">
        <f t="shared" si="55"/>
        <v>1.7249999999999999</v>
      </c>
      <c r="BP404" s="64">
        <f t="shared" si="56"/>
        <v>1.7291666666666665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3">
        <v>4680115884830</v>
      </c>
      <c r="E405" s="604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06"/>
      <c r="R405" s="606"/>
      <c r="S405" s="606"/>
      <c r="T405" s="607"/>
      <c r="U405" s="34"/>
      <c r="V405" s="34"/>
      <c r="W405" s="35" t="s">
        <v>67</v>
      </c>
      <c r="X405" s="597">
        <v>1413</v>
      </c>
      <c r="Y405" s="598">
        <f t="shared" si="52"/>
        <v>1425</v>
      </c>
      <c r="Z405" s="36">
        <f>IFERROR(IF(Y405=0,"",ROUNDUP(Y405/H405,0)*0.02175),"")</f>
        <v>2.0662499999999997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1457.2740000000001</v>
      </c>
      <c r="BN405" s="64">
        <f t="shared" si="54"/>
        <v>1469.65</v>
      </c>
      <c r="BO405" s="64">
        <f t="shared" si="55"/>
        <v>1.9624999999999999</v>
      </c>
      <c r="BP405" s="64">
        <f t="shared" si="56"/>
        <v>1.9791666666666665</v>
      </c>
    </row>
    <row r="406" spans="1:68" ht="27" hidden="1" customHeight="1" x14ac:dyDescent="0.25">
      <c r="A406" s="54" t="s">
        <v>657</v>
      </c>
      <c r="B406" s="54" t="s">
        <v>658</v>
      </c>
      <c r="C406" s="31">
        <v>4301012356</v>
      </c>
      <c r="D406" s="603">
        <v>4680115889231</v>
      </c>
      <c r="E406" s="604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8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06"/>
      <c r="R406" s="606"/>
      <c r="S406" s="606"/>
      <c r="T406" s="607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hidden="1" customHeight="1" x14ac:dyDescent="0.25">
      <c r="A407" s="54" t="s">
        <v>660</v>
      </c>
      <c r="B407" s="54" t="s">
        <v>661</v>
      </c>
      <c r="C407" s="31">
        <v>4301011433</v>
      </c>
      <c r="D407" s="603">
        <v>4680115882638</v>
      </c>
      <c r="E407" s="604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8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06"/>
      <c r="R407" s="606"/>
      <c r="S407" s="606"/>
      <c r="T407" s="607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hidden="1" customHeight="1" x14ac:dyDescent="0.25">
      <c r="A408" s="54" t="s">
        <v>663</v>
      </c>
      <c r="B408" s="54" t="s">
        <v>664</v>
      </c>
      <c r="C408" s="31">
        <v>4301011952</v>
      </c>
      <c r="D408" s="603">
        <v>4680115884922</v>
      </c>
      <c r="E408" s="604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6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06"/>
      <c r="R408" s="606"/>
      <c r="S408" s="606"/>
      <c r="T408" s="607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hidden="1" customHeight="1" x14ac:dyDescent="0.25">
      <c r="A409" s="54" t="s">
        <v>666</v>
      </c>
      <c r="B409" s="54" t="s">
        <v>667</v>
      </c>
      <c r="C409" s="31">
        <v>4301011868</v>
      </c>
      <c r="D409" s="603">
        <v>4680115884861</v>
      </c>
      <c r="E409" s="604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7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06"/>
      <c r="R409" s="606"/>
      <c r="S409" s="606"/>
      <c r="T409" s="607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17"/>
      <c r="B410" s="609"/>
      <c r="C410" s="609"/>
      <c r="D410" s="609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18"/>
      <c r="P410" s="613" t="s">
        <v>72</v>
      </c>
      <c r="Q410" s="614"/>
      <c r="R410" s="614"/>
      <c r="S410" s="614"/>
      <c r="T410" s="614"/>
      <c r="U410" s="614"/>
      <c r="V410" s="61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190.46666666666667</v>
      </c>
      <c r="Y410" s="599">
        <f>IFERROR(Y402/H402,"0")+IFERROR(Y403/H403,"0")+IFERROR(Y404/H404,"0")+IFERROR(Y405/H405,"0")+IFERROR(Y406/H406,"0")+IFERROR(Y407/H407,"0")+IFERROR(Y408/H408,"0")+IFERROR(Y409/H409,"0")</f>
        <v>193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4.1977499999999992</v>
      </c>
      <c r="AA410" s="600"/>
      <c r="AB410" s="600"/>
      <c r="AC410" s="600"/>
    </row>
    <row r="411" spans="1:68" x14ac:dyDescent="0.2">
      <c r="A411" s="609"/>
      <c r="B411" s="609"/>
      <c r="C411" s="609"/>
      <c r="D411" s="609"/>
      <c r="E411" s="609"/>
      <c r="F411" s="609"/>
      <c r="G411" s="609"/>
      <c r="H411" s="609"/>
      <c r="I411" s="609"/>
      <c r="J411" s="609"/>
      <c r="K411" s="609"/>
      <c r="L411" s="609"/>
      <c r="M411" s="609"/>
      <c r="N411" s="609"/>
      <c r="O411" s="618"/>
      <c r="P411" s="613" t="s">
        <v>72</v>
      </c>
      <c r="Q411" s="614"/>
      <c r="R411" s="614"/>
      <c r="S411" s="614"/>
      <c r="T411" s="614"/>
      <c r="U411" s="614"/>
      <c r="V411" s="615"/>
      <c r="W411" s="37" t="s">
        <v>67</v>
      </c>
      <c r="X411" s="599">
        <f>IFERROR(SUM(X402:X409),"0")</f>
        <v>2857</v>
      </c>
      <c r="Y411" s="599">
        <f>IFERROR(SUM(Y402:Y409),"0")</f>
        <v>2895</v>
      </c>
      <c r="Z411" s="37"/>
      <c r="AA411" s="600"/>
      <c r="AB411" s="600"/>
      <c r="AC411" s="600"/>
    </row>
    <row r="412" spans="1:68" ht="14.25" hidden="1" customHeight="1" x14ac:dyDescent="0.25">
      <c r="A412" s="608" t="s">
        <v>152</v>
      </c>
      <c r="B412" s="609"/>
      <c r="C412" s="609"/>
      <c r="D412" s="609"/>
      <c r="E412" s="609"/>
      <c r="F412" s="609"/>
      <c r="G412" s="609"/>
      <c r="H412" s="609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  <c r="Z412" s="609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3">
        <v>4607091383980</v>
      </c>
      <c r="E413" s="604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9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06"/>
      <c r="R413" s="606"/>
      <c r="S413" s="606"/>
      <c r="T413" s="607"/>
      <c r="U413" s="34"/>
      <c r="V413" s="34"/>
      <c r="W413" s="35" t="s">
        <v>67</v>
      </c>
      <c r="X413" s="597">
        <v>1951</v>
      </c>
      <c r="Y413" s="598">
        <f>IFERROR(IF(X413="",0,CEILING((X413/$H413),1)*$H413),"")</f>
        <v>1965</v>
      </c>
      <c r="Z413" s="36">
        <f>IFERROR(IF(Y413=0,"",ROUNDUP(Y413/H413,0)*0.02175),"")</f>
        <v>2.8492499999999996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2012.1313333333335</v>
      </c>
      <c r="BN413" s="64">
        <f>IFERROR(Y413*I413/H413,"0")</f>
        <v>2026.5700000000002</v>
      </c>
      <c r="BO413" s="64">
        <f>IFERROR(1/J413*(X413/H413),"0")</f>
        <v>2.7097222222222221</v>
      </c>
      <c r="BP413" s="64">
        <f>IFERROR(1/J413*(Y413/H413),"0")</f>
        <v>2.7291666666666665</v>
      </c>
    </row>
    <row r="414" spans="1:68" ht="27" hidden="1" customHeight="1" x14ac:dyDescent="0.25">
      <c r="A414" s="54" t="s">
        <v>672</v>
      </c>
      <c r="B414" s="54" t="s">
        <v>673</v>
      </c>
      <c r="C414" s="31">
        <v>4301020355</v>
      </c>
      <c r="D414" s="603">
        <v>4680115888425</v>
      </c>
      <c r="E414" s="604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8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06"/>
      <c r="R414" s="606"/>
      <c r="S414" s="606"/>
      <c r="T414" s="607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675</v>
      </c>
      <c r="B415" s="54" t="s">
        <v>676</v>
      </c>
      <c r="C415" s="31">
        <v>4301020179</v>
      </c>
      <c r="D415" s="603">
        <v>4607091384178</v>
      </c>
      <c r="E415" s="604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6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06"/>
      <c r="R415" s="606"/>
      <c r="S415" s="606"/>
      <c r="T415" s="607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17"/>
      <c r="B416" s="609"/>
      <c r="C416" s="609"/>
      <c r="D416" s="609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18"/>
      <c r="P416" s="613" t="s">
        <v>72</v>
      </c>
      <c r="Q416" s="614"/>
      <c r="R416" s="614"/>
      <c r="S416" s="614"/>
      <c r="T416" s="614"/>
      <c r="U416" s="614"/>
      <c r="V416" s="615"/>
      <c r="W416" s="37" t="s">
        <v>73</v>
      </c>
      <c r="X416" s="599">
        <f>IFERROR(X413/H413,"0")+IFERROR(X414/H414,"0")+IFERROR(X415/H415,"0")</f>
        <v>130.06666666666666</v>
      </c>
      <c r="Y416" s="599">
        <f>IFERROR(Y413/H413,"0")+IFERROR(Y414/H414,"0")+IFERROR(Y415/H415,"0")</f>
        <v>131</v>
      </c>
      <c r="Z416" s="599">
        <f>IFERROR(IF(Z413="",0,Z413),"0")+IFERROR(IF(Z414="",0,Z414),"0")+IFERROR(IF(Z415="",0,Z415),"0")</f>
        <v>2.8492499999999996</v>
      </c>
      <c r="AA416" s="600"/>
      <c r="AB416" s="600"/>
      <c r="AC416" s="600"/>
    </row>
    <row r="417" spans="1:68" x14ac:dyDescent="0.2">
      <c r="A417" s="609"/>
      <c r="B417" s="609"/>
      <c r="C417" s="609"/>
      <c r="D417" s="609"/>
      <c r="E417" s="609"/>
      <c r="F417" s="609"/>
      <c r="G417" s="609"/>
      <c r="H417" s="609"/>
      <c r="I417" s="609"/>
      <c r="J417" s="609"/>
      <c r="K417" s="609"/>
      <c r="L417" s="609"/>
      <c r="M417" s="609"/>
      <c r="N417" s="609"/>
      <c r="O417" s="618"/>
      <c r="P417" s="613" t="s">
        <v>72</v>
      </c>
      <c r="Q417" s="614"/>
      <c r="R417" s="614"/>
      <c r="S417" s="614"/>
      <c r="T417" s="614"/>
      <c r="U417" s="614"/>
      <c r="V417" s="615"/>
      <c r="W417" s="37" t="s">
        <v>67</v>
      </c>
      <c r="X417" s="599">
        <f>IFERROR(SUM(X413:X415),"0")</f>
        <v>1951</v>
      </c>
      <c r="Y417" s="599">
        <f>IFERROR(SUM(Y413:Y415),"0")</f>
        <v>1965</v>
      </c>
      <c r="Z417" s="37"/>
      <c r="AA417" s="600"/>
      <c r="AB417" s="600"/>
      <c r="AC417" s="600"/>
    </row>
    <row r="418" spans="1:68" ht="14.25" hidden="1" customHeight="1" x14ac:dyDescent="0.25">
      <c r="A418" s="608" t="s">
        <v>74</v>
      </c>
      <c r="B418" s="609"/>
      <c r="C418" s="609"/>
      <c r="D418" s="609"/>
      <c r="E418" s="609"/>
      <c r="F418" s="609"/>
      <c r="G418" s="609"/>
      <c r="H418" s="609"/>
      <c r="I418" s="609"/>
      <c r="J418" s="609"/>
      <c r="K418" s="609"/>
      <c r="L418" s="609"/>
      <c r="M418" s="609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  <c r="Z418" s="609"/>
      <c r="AA418" s="593"/>
      <c r="AB418" s="593"/>
      <c r="AC418" s="593"/>
    </row>
    <row r="419" spans="1:68" ht="27" hidden="1" customHeight="1" x14ac:dyDescent="0.25">
      <c r="A419" s="54" t="s">
        <v>678</v>
      </c>
      <c r="B419" s="54" t="s">
        <v>679</v>
      </c>
      <c r="C419" s="31">
        <v>4301051903</v>
      </c>
      <c r="D419" s="603">
        <v>4607091383928</v>
      </c>
      <c r="E419" s="604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8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06"/>
      <c r="R419" s="606"/>
      <c r="S419" s="606"/>
      <c r="T419" s="607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681</v>
      </c>
      <c r="B420" s="54" t="s">
        <v>682</v>
      </c>
      <c r="C420" s="31">
        <v>4301051897</v>
      </c>
      <c r="D420" s="603">
        <v>4607091384260</v>
      </c>
      <c r="E420" s="604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06"/>
      <c r="R420" s="606"/>
      <c r="S420" s="606"/>
      <c r="T420" s="607"/>
      <c r="U420" s="34"/>
      <c r="V420" s="34"/>
      <c r="W420" s="35" t="s">
        <v>67</v>
      </c>
      <c r="X420" s="597">
        <v>30</v>
      </c>
      <c r="Y420" s="598">
        <f>IFERROR(IF(X420="",0,CEILING((X420/$H420),1)*$H420),"")</f>
        <v>36</v>
      </c>
      <c r="Z420" s="36">
        <f>IFERROR(IF(Y420=0,"",ROUNDUP(Y420/H420,0)*0.01898),"")</f>
        <v>7.5920000000000001E-2</v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31.646666666666665</v>
      </c>
      <c r="BN420" s="64">
        <f>IFERROR(Y420*I420/H420,"0")</f>
        <v>37.975999999999999</v>
      </c>
      <c r="BO420" s="64">
        <f>IFERROR(1/J420*(X420/H420),"0")</f>
        <v>5.2083333333333336E-2</v>
      </c>
      <c r="BP420" s="64">
        <f>IFERROR(1/J420*(Y420/H420),"0")</f>
        <v>6.25E-2</v>
      </c>
    </row>
    <row r="421" spans="1:68" x14ac:dyDescent="0.2">
      <c r="A421" s="617"/>
      <c r="B421" s="609"/>
      <c r="C421" s="609"/>
      <c r="D421" s="609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18"/>
      <c r="P421" s="613" t="s">
        <v>72</v>
      </c>
      <c r="Q421" s="614"/>
      <c r="R421" s="614"/>
      <c r="S421" s="614"/>
      <c r="T421" s="614"/>
      <c r="U421" s="614"/>
      <c r="V421" s="615"/>
      <c r="W421" s="37" t="s">
        <v>73</v>
      </c>
      <c r="X421" s="599">
        <f>IFERROR(X419/H419,"0")+IFERROR(X420/H420,"0")</f>
        <v>3.3333333333333335</v>
      </c>
      <c r="Y421" s="599">
        <f>IFERROR(Y419/H419,"0")+IFERROR(Y420/H420,"0")</f>
        <v>4</v>
      </c>
      <c r="Z421" s="599">
        <f>IFERROR(IF(Z419="",0,Z419),"0")+IFERROR(IF(Z420="",0,Z420),"0")</f>
        <v>7.5920000000000001E-2</v>
      </c>
      <c r="AA421" s="600"/>
      <c r="AB421" s="600"/>
      <c r="AC421" s="600"/>
    </row>
    <row r="422" spans="1:68" x14ac:dyDescent="0.2">
      <c r="A422" s="609"/>
      <c r="B422" s="609"/>
      <c r="C422" s="609"/>
      <c r="D422" s="609"/>
      <c r="E422" s="609"/>
      <c r="F422" s="609"/>
      <c r="G422" s="609"/>
      <c r="H422" s="609"/>
      <c r="I422" s="609"/>
      <c r="J422" s="609"/>
      <c r="K422" s="609"/>
      <c r="L422" s="609"/>
      <c r="M422" s="609"/>
      <c r="N422" s="609"/>
      <c r="O422" s="618"/>
      <c r="P422" s="613" t="s">
        <v>72</v>
      </c>
      <c r="Q422" s="614"/>
      <c r="R422" s="614"/>
      <c r="S422" s="614"/>
      <c r="T422" s="614"/>
      <c r="U422" s="614"/>
      <c r="V422" s="615"/>
      <c r="W422" s="37" t="s">
        <v>67</v>
      </c>
      <c r="X422" s="599">
        <f>IFERROR(SUM(X419:X420),"0")</f>
        <v>30</v>
      </c>
      <c r="Y422" s="599">
        <f>IFERROR(SUM(Y419:Y420),"0")</f>
        <v>36</v>
      </c>
      <c r="Z422" s="37"/>
      <c r="AA422" s="600"/>
      <c r="AB422" s="600"/>
      <c r="AC422" s="600"/>
    </row>
    <row r="423" spans="1:68" ht="14.25" hidden="1" customHeight="1" x14ac:dyDescent="0.25">
      <c r="A423" s="608" t="s">
        <v>169</v>
      </c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  <c r="Z423" s="609"/>
      <c r="AA423" s="593"/>
      <c r="AB423" s="593"/>
      <c r="AC423" s="593"/>
    </row>
    <row r="424" spans="1:68" ht="16.5" customHeight="1" x14ac:dyDescent="0.25">
      <c r="A424" s="54" t="s">
        <v>684</v>
      </c>
      <c r="B424" s="54" t="s">
        <v>685</v>
      </c>
      <c r="C424" s="31">
        <v>4301060524</v>
      </c>
      <c r="D424" s="603">
        <v>4607091384673</v>
      </c>
      <c r="E424" s="604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06"/>
      <c r="R424" s="606"/>
      <c r="S424" s="606"/>
      <c r="T424" s="607"/>
      <c r="U424" s="34"/>
      <c r="V424" s="34"/>
      <c r="W424" s="35" t="s">
        <v>67</v>
      </c>
      <c r="X424" s="597">
        <v>114</v>
      </c>
      <c r="Y424" s="598">
        <f>IFERROR(IF(X424="",0,CEILING((X424/$H424),1)*$H424),"")</f>
        <v>117</v>
      </c>
      <c r="Z424" s="36">
        <f>IFERROR(IF(Y424=0,"",ROUNDUP(Y424/H424,0)*0.01898),"")</f>
        <v>0.24674000000000001</v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120.25733333333334</v>
      </c>
      <c r="BN424" s="64">
        <f>IFERROR(Y424*I424/H424,"0")</f>
        <v>123.422</v>
      </c>
      <c r="BO424" s="64">
        <f>IFERROR(1/J424*(X424/H424),"0")</f>
        <v>0.19791666666666666</v>
      </c>
      <c r="BP424" s="64">
        <f>IFERROR(1/J424*(Y424/H424),"0")</f>
        <v>0.203125</v>
      </c>
    </row>
    <row r="425" spans="1:68" x14ac:dyDescent="0.2">
      <c r="A425" s="617"/>
      <c r="B425" s="609"/>
      <c r="C425" s="609"/>
      <c r="D425" s="609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18"/>
      <c r="P425" s="613" t="s">
        <v>72</v>
      </c>
      <c r="Q425" s="614"/>
      <c r="R425" s="614"/>
      <c r="S425" s="614"/>
      <c r="T425" s="614"/>
      <c r="U425" s="614"/>
      <c r="V425" s="615"/>
      <c r="W425" s="37" t="s">
        <v>73</v>
      </c>
      <c r="X425" s="599">
        <f>IFERROR(X424/H424,"0")</f>
        <v>12.666666666666666</v>
      </c>
      <c r="Y425" s="599">
        <f>IFERROR(Y424/H424,"0")</f>
        <v>13</v>
      </c>
      <c r="Z425" s="599">
        <f>IFERROR(IF(Z424="",0,Z424),"0")</f>
        <v>0.24674000000000001</v>
      </c>
      <c r="AA425" s="600"/>
      <c r="AB425" s="600"/>
      <c r="AC425" s="600"/>
    </row>
    <row r="426" spans="1:68" x14ac:dyDescent="0.2">
      <c r="A426" s="609"/>
      <c r="B426" s="609"/>
      <c r="C426" s="609"/>
      <c r="D426" s="609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18"/>
      <c r="P426" s="613" t="s">
        <v>72</v>
      </c>
      <c r="Q426" s="614"/>
      <c r="R426" s="614"/>
      <c r="S426" s="614"/>
      <c r="T426" s="614"/>
      <c r="U426" s="614"/>
      <c r="V426" s="615"/>
      <c r="W426" s="37" t="s">
        <v>67</v>
      </c>
      <c r="X426" s="599">
        <f>IFERROR(SUM(X424:X424),"0")</f>
        <v>114</v>
      </c>
      <c r="Y426" s="599">
        <f>IFERROR(SUM(Y424:Y424),"0")</f>
        <v>117</v>
      </c>
      <c r="Z426" s="37"/>
      <c r="AA426" s="600"/>
      <c r="AB426" s="600"/>
      <c r="AC426" s="600"/>
    </row>
    <row r="427" spans="1:68" ht="16.5" hidden="1" customHeight="1" x14ac:dyDescent="0.25">
      <c r="A427" s="612" t="s">
        <v>687</v>
      </c>
      <c r="B427" s="609"/>
      <c r="C427" s="609"/>
      <c r="D427" s="609"/>
      <c r="E427" s="609"/>
      <c r="F427" s="609"/>
      <c r="G427" s="609"/>
      <c r="H427" s="609"/>
      <c r="I427" s="609"/>
      <c r="J427" s="609"/>
      <c r="K427" s="609"/>
      <c r="L427" s="609"/>
      <c r="M427" s="609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  <c r="Z427" s="609"/>
      <c r="AA427" s="592"/>
      <c r="AB427" s="592"/>
      <c r="AC427" s="592"/>
    </row>
    <row r="428" spans="1:68" ht="14.25" hidden="1" customHeight="1" x14ac:dyDescent="0.25">
      <c r="A428" s="608" t="s">
        <v>117</v>
      </c>
      <c r="B428" s="609"/>
      <c r="C428" s="609"/>
      <c r="D428" s="609"/>
      <c r="E428" s="609"/>
      <c r="F428" s="609"/>
      <c r="G428" s="609"/>
      <c r="H428" s="609"/>
      <c r="I428" s="609"/>
      <c r="J428" s="609"/>
      <c r="K428" s="609"/>
      <c r="L428" s="609"/>
      <c r="M428" s="609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  <c r="Z428" s="609"/>
      <c r="AA428" s="593"/>
      <c r="AB428" s="593"/>
      <c r="AC428" s="593"/>
    </row>
    <row r="429" spans="1:68" ht="27" hidden="1" customHeight="1" x14ac:dyDescent="0.25">
      <c r="A429" s="54" t="s">
        <v>688</v>
      </c>
      <c r="B429" s="54" t="s">
        <v>689</v>
      </c>
      <c r="C429" s="31">
        <v>4301011875</v>
      </c>
      <c r="D429" s="603">
        <v>4680115884885</v>
      </c>
      <c r="E429" s="604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8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06"/>
      <c r="R429" s="606"/>
      <c r="S429" s="606"/>
      <c r="T429" s="607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hidden="1" customHeight="1" x14ac:dyDescent="0.25">
      <c r="A430" s="54" t="s">
        <v>691</v>
      </c>
      <c r="B430" s="54" t="s">
        <v>692</v>
      </c>
      <c r="C430" s="31">
        <v>4301011871</v>
      </c>
      <c r="D430" s="603">
        <v>4680115884908</v>
      </c>
      <c r="E430" s="604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06"/>
      <c r="R430" s="606"/>
      <c r="S430" s="606"/>
      <c r="T430" s="607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17"/>
      <c r="B431" s="609"/>
      <c r="C431" s="609"/>
      <c r="D431" s="609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18"/>
      <c r="P431" s="613" t="s">
        <v>72</v>
      </c>
      <c r="Q431" s="614"/>
      <c r="R431" s="614"/>
      <c r="S431" s="614"/>
      <c r="T431" s="614"/>
      <c r="U431" s="614"/>
      <c r="V431" s="61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hidden="1" x14ac:dyDescent="0.2">
      <c r="A432" s="609"/>
      <c r="B432" s="609"/>
      <c r="C432" s="609"/>
      <c r="D432" s="609"/>
      <c r="E432" s="609"/>
      <c r="F432" s="609"/>
      <c r="G432" s="609"/>
      <c r="H432" s="609"/>
      <c r="I432" s="609"/>
      <c r="J432" s="609"/>
      <c r="K432" s="609"/>
      <c r="L432" s="609"/>
      <c r="M432" s="609"/>
      <c r="N432" s="609"/>
      <c r="O432" s="618"/>
      <c r="P432" s="613" t="s">
        <v>72</v>
      </c>
      <c r="Q432" s="614"/>
      <c r="R432" s="614"/>
      <c r="S432" s="614"/>
      <c r="T432" s="614"/>
      <c r="U432" s="614"/>
      <c r="V432" s="61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hidden="1" customHeight="1" x14ac:dyDescent="0.25">
      <c r="A433" s="608" t="s">
        <v>62</v>
      </c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  <c r="Z433" s="609"/>
      <c r="AA433" s="593"/>
      <c r="AB433" s="593"/>
      <c r="AC433" s="593"/>
    </row>
    <row r="434" spans="1:68" ht="27" hidden="1" customHeight="1" x14ac:dyDescent="0.25">
      <c r="A434" s="54" t="s">
        <v>693</v>
      </c>
      <c r="B434" s="54" t="s">
        <v>694</v>
      </c>
      <c r="C434" s="31">
        <v>4301031457</v>
      </c>
      <c r="D434" s="603">
        <v>4607091384802</v>
      </c>
      <c r="E434" s="604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06"/>
      <c r="R434" s="606"/>
      <c r="S434" s="606"/>
      <c r="T434" s="607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7"/>
      <c r="B435" s="609"/>
      <c r="C435" s="609"/>
      <c r="D435" s="609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18"/>
      <c r="P435" s="613" t="s">
        <v>72</v>
      </c>
      <c r="Q435" s="614"/>
      <c r="R435" s="614"/>
      <c r="S435" s="614"/>
      <c r="T435" s="614"/>
      <c r="U435" s="614"/>
      <c r="V435" s="61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hidden="1" x14ac:dyDescent="0.2">
      <c r="A436" s="609"/>
      <c r="B436" s="609"/>
      <c r="C436" s="609"/>
      <c r="D436" s="609"/>
      <c r="E436" s="609"/>
      <c r="F436" s="609"/>
      <c r="G436" s="609"/>
      <c r="H436" s="609"/>
      <c r="I436" s="609"/>
      <c r="J436" s="609"/>
      <c r="K436" s="609"/>
      <c r="L436" s="609"/>
      <c r="M436" s="609"/>
      <c r="N436" s="609"/>
      <c r="O436" s="618"/>
      <c r="P436" s="613" t="s">
        <v>72</v>
      </c>
      <c r="Q436" s="614"/>
      <c r="R436" s="614"/>
      <c r="S436" s="614"/>
      <c r="T436" s="614"/>
      <c r="U436" s="614"/>
      <c r="V436" s="61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hidden="1" customHeight="1" x14ac:dyDescent="0.25">
      <c r="A437" s="608" t="s">
        <v>74</v>
      </c>
      <c r="B437" s="609"/>
      <c r="C437" s="609"/>
      <c r="D437" s="609"/>
      <c r="E437" s="609"/>
      <c r="F437" s="609"/>
      <c r="G437" s="609"/>
      <c r="H437" s="609"/>
      <c r="I437" s="609"/>
      <c r="J437" s="609"/>
      <c r="K437" s="609"/>
      <c r="L437" s="609"/>
      <c r="M437" s="609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  <c r="Z437" s="609"/>
      <c r="AA437" s="593"/>
      <c r="AB437" s="593"/>
      <c r="AC437" s="593"/>
    </row>
    <row r="438" spans="1:68" ht="27" hidden="1" customHeight="1" x14ac:dyDescent="0.25">
      <c r="A438" s="54" t="s">
        <v>696</v>
      </c>
      <c r="B438" s="54" t="s">
        <v>697</v>
      </c>
      <c r="C438" s="31">
        <v>4301051899</v>
      </c>
      <c r="D438" s="603">
        <v>4607091384246</v>
      </c>
      <c r="E438" s="604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06"/>
      <c r="R438" s="606"/>
      <c r="S438" s="606"/>
      <c r="T438" s="607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699</v>
      </c>
      <c r="B439" s="54" t="s">
        <v>700</v>
      </c>
      <c r="C439" s="31">
        <v>4301051660</v>
      </c>
      <c r="D439" s="603">
        <v>4607091384253</v>
      </c>
      <c r="E439" s="604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6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06"/>
      <c r="R439" s="606"/>
      <c r="S439" s="606"/>
      <c r="T439" s="607"/>
      <c r="U439" s="34"/>
      <c r="V439" s="34"/>
      <c r="W439" s="35" t="s">
        <v>67</v>
      </c>
      <c r="X439" s="597">
        <v>0</v>
      </c>
      <c r="Y439" s="598">
        <f>IFERROR(IF(X439="",0,CEILING((X439/$H439),1)*$H439),"")</f>
        <v>0</v>
      </c>
      <c r="Z439" s="36" t="str">
        <f>IFERROR(IF(Y439=0,"",ROUNDUP(Y439/H439,0)*0.00651),"")</f>
        <v/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699</v>
      </c>
      <c r="B440" s="54" t="s">
        <v>701</v>
      </c>
      <c r="C440" s="31">
        <v>4301052069</v>
      </c>
      <c r="D440" s="603">
        <v>4607091384253</v>
      </c>
      <c r="E440" s="604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78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06"/>
      <c r="R440" s="606"/>
      <c r="S440" s="606"/>
      <c r="T440" s="607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idden="1" x14ac:dyDescent="0.2">
      <c r="A441" s="617"/>
      <c r="B441" s="609"/>
      <c r="C441" s="609"/>
      <c r="D441" s="609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18"/>
      <c r="P441" s="613" t="s">
        <v>72</v>
      </c>
      <c r="Q441" s="614"/>
      <c r="R441" s="614"/>
      <c r="S441" s="614"/>
      <c r="T441" s="614"/>
      <c r="U441" s="614"/>
      <c r="V441" s="615"/>
      <c r="W441" s="37" t="s">
        <v>73</v>
      </c>
      <c r="X441" s="599">
        <f>IFERROR(X438/H438,"0")+IFERROR(X439/H439,"0")+IFERROR(X440/H440,"0")</f>
        <v>0</v>
      </c>
      <c r="Y441" s="599">
        <f>IFERROR(Y438/H438,"0")+IFERROR(Y439/H439,"0")+IFERROR(Y440/H440,"0")</f>
        <v>0</v>
      </c>
      <c r="Z441" s="599">
        <f>IFERROR(IF(Z438="",0,Z438),"0")+IFERROR(IF(Z439="",0,Z439),"0")+IFERROR(IF(Z440="",0,Z440),"0")</f>
        <v>0</v>
      </c>
      <c r="AA441" s="600"/>
      <c r="AB441" s="600"/>
      <c r="AC441" s="600"/>
    </row>
    <row r="442" spans="1:68" hidden="1" x14ac:dyDescent="0.2">
      <c r="A442" s="609"/>
      <c r="B442" s="609"/>
      <c r="C442" s="609"/>
      <c r="D442" s="609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18"/>
      <c r="P442" s="613" t="s">
        <v>72</v>
      </c>
      <c r="Q442" s="614"/>
      <c r="R442" s="614"/>
      <c r="S442" s="614"/>
      <c r="T442" s="614"/>
      <c r="U442" s="614"/>
      <c r="V442" s="615"/>
      <c r="W442" s="37" t="s">
        <v>67</v>
      </c>
      <c r="X442" s="599">
        <f>IFERROR(SUM(X438:X440),"0")</f>
        <v>0</v>
      </c>
      <c r="Y442" s="599">
        <f>IFERROR(SUM(Y438:Y440),"0")</f>
        <v>0</v>
      </c>
      <c r="Z442" s="37"/>
      <c r="AA442" s="600"/>
      <c r="AB442" s="600"/>
      <c r="AC442" s="600"/>
    </row>
    <row r="443" spans="1:68" ht="27.75" hidden="1" customHeight="1" x14ac:dyDescent="0.2">
      <c r="A443" s="644" t="s">
        <v>703</v>
      </c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5"/>
      <c r="P443" s="645"/>
      <c r="Q443" s="645"/>
      <c r="R443" s="645"/>
      <c r="S443" s="645"/>
      <c r="T443" s="645"/>
      <c r="U443" s="645"/>
      <c r="V443" s="645"/>
      <c r="W443" s="645"/>
      <c r="X443" s="645"/>
      <c r="Y443" s="645"/>
      <c r="Z443" s="645"/>
      <c r="AA443" s="48"/>
      <c r="AB443" s="48"/>
      <c r="AC443" s="48"/>
    </row>
    <row r="444" spans="1:68" ht="16.5" hidden="1" customHeight="1" x14ac:dyDescent="0.25">
      <c r="A444" s="612" t="s">
        <v>704</v>
      </c>
      <c r="B444" s="609"/>
      <c r="C444" s="609"/>
      <c r="D444" s="609"/>
      <c r="E444" s="609"/>
      <c r="F444" s="609"/>
      <c r="G444" s="609"/>
      <c r="H444" s="609"/>
      <c r="I444" s="609"/>
      <c r="J444" s="609"/>
      <c r="K444" s="609"/>
      <c r="L444" s="609"/>
      <c r="M444" s="609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  <c r="Z444" s="609"/>
      <c r="AA444" s="592"/>
      <c r="AB444" s="592"/>
      <c r="AC444" s="592"/>
    </row>
    <row r="445" spans="1:68" ht="14.25" hidden="1" customHeight="1" x14ac:dyDescent="0.25">
      <c r="A445" s="608" t="s">
        <v>62</v>
      </c>
      <c r="B445" s="609"/>
      <c r="C445" s="609"/>
      <c r="D445" s="609"/>
      <c r="E445" s="609"/>
      <c r="F445" s="609"/>
      <c r="G445" s="609"/>
      <c r="H445" s="609"/>
      <c r="I445" s="609"/>
      <c r="J445" s="609"/>
      <c r="K445" s="609"/>
      <c r="L445" s="609"/>
      <c r="M445" s="609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  <c r="Z445" s="609"/>
      <c r="AA445" s="593"/>
      <c r="AB445" s="593"/>
      <c r="AC445" s="593"/>
    </row>
    <row r="446" spans="1:68" ht="27" customHeight="1" x14ac:dyDescent="0.25">
      <c r="A446" s="54" t="s">
        <v>705</v>
      </c>
      <c r="B446" s="54" t="s">
        <v>706</v>
      </c>
      <c r="C446" s="31">
        <v>4301031405</v>
      </c>
      <c r="D446" s="603">
        <v>4680115886100</v>
      </c>
      <c r="E446" s="604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7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06"/>
      <c r="R446" s="606"/>
      <c r="S446" s="606"/>
      <c r="T446" s="607"/>
      <c r="U446" s="34"/>
      <c r="V446" s="34"/>
      <c r="W446" s="35" t="s">
        <v>67</v>
      </c>
      <c r="X446" s="597">
        <v>44</v>
      </c>
      <c r="Y446" s="598">
        <f t="shared" ref="Y446:Y451" si="57">IFERROR(IF(X446="",0,CEILING((X446/$H446),1)*$H446),"")</f>
        <v>48.6</v>
      </c>
      <c r="Z446" s="36">
        <f>IFERROR(IF(Y446=0,"",ROUNDUP(Y446/H446,0)*0.00902),"")</f>
        <v>8.1180000000000002E-2</v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45.548148148148144</v>
      </c>
      <c r="BN446" s="64">
        <f t="shared" ref="BN446:BN451" si="59">IFERROR(Y446*I446/H446,"0")</f>
        <v>50.309999999999995</v>
      </c>
      <c r="BO446" s="64">
        <f t="shared" ref="BO446:BO451" si="60">IFERROR(1/J446*(X446/H446),"0")</f>
        <v>6.1728395061728392E-2</v>
      </c>
      <c r="BP446" s="64">
        <f t="shared" ref="BP446:BP451" si="61">IFERROR(1/J446*(Y446/H446),"0")</f>
        <v>6.8181818181818177E-2</v>
      </c>
    </row>
    <row r="447" spans="1:68" ht="27" customHeight="1" x14ac:dyDescent="0.25">
      <c r="A447" s="54" t="s">
        <v>708</v>
      </c>
      <c r="B447" s="54" t="s">
        <v>709</v>
      </c>
      <c r="C447" s="31">
        <v>4301031402</v>
      </c>
      <c r="D447" s="603">
        <v>4680115886124</v>
      </c>
      <c r="E447" s="604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6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06"/>
      <c r="R447" s="606"/>
      <c r="S447" s="606"/>
      <c r="T447" s="607"/>
      <c r="U447" s="34"/>
      <c r="V447" s="34"/>
      <c r="W447" s="35" t="s">
        <v>67</v>
      </c>
      <c r="X447" s="597">
        <v>63</v>
      </c>
      <c r="Y447" s="598">
        <f t="shared" si="57"/>
        <v>64.800000000000011</v>
      </c>
      <c r="Z447" s="36">
        <f>IFERROR(IF(Y447=0,"",ROUNDUP(Y447/H447,0)*0.00902),"")</f>
        <v>0.10824</v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65.216666666666669</v>
      </c>
      <c r="BN447" s="64">
        <f t="shared" si="59"/>
        <v>67.08</v>
      </c>
      <c r="BO447" s="64">
        <f t="shared" si="60"/>
        <v>8.8383838383838384E-2</v>
      </c>
      <c r="BP447" s="64">
        <f t="shared" si="61"/>
        <v>9.0909090909090925E-2</v>
      </c>
    </row>
    <row r="448" spans="1:68" ht="27" hidden="1" customHeight="1" x14ac:dyDescent="0.25">
      <c r="A448" s="54" t="s">
        <v>711</v>
      </c>
      <c r="B448" s="54" t="s">
        <v>712</v>
      </c>
      <c r="C448" s="31">
        <v>4301031362</v>
      </c>
      <c r="D448" s="603">
        <v>4607091384338</v>
      </c>
      <c r="E448" s="604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06"/>
      <c r="R448" s="606"/>
      <c r="S448" s="606"/>
      <c r="T448" s="607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hidden="1" customHeight="1" x14ac:dyDescent="0.25">
      <c r="A449" s="54" t="s">
        <v>713</v>
      </c>
      <c r="B449" s="54" t="s">
        <v>714</v>
      </c>
      <c r="C449" s="31">
        <v>4301031364</v>
      </c>
      <c r="D449" s="603">
        <v>4680115883161</v>
      </c>
      <c r="E449" s="604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6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06"/>
      <c r="R449" s="606"/>
      <c r="S449" s="606"/>
      <c r="T449" s="607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hidden="1" customHeight="1" x14ac:dyDescent="0.25">
      <c r="A450" s="54" t="s">
        <v>716</v>
      </c>
      <c r="B450" s="54" t="s">
        <v>717</v>
      </c>
      <c r="C450" s="31">
        <v>4301031358</v>
      </c>
      <c r="D450" s="603">
        <v>4607091389531</v>
      </c>
      <c r="E450" s="604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95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06"/>
      <c r="R450" s="606"/>
      <c r="S450" s="606"/>
      <c r="T450" s="607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hidden="1" customHeight="1" x14ac:dyDescent="0.25">
      <c r="A451" s="54" t="s">
        <v>719</v>
      </c>
      <c r="B451" s="54" t="s">
        <v>720</v>
      </c>
      <c r="C451" s="31">
        <v>4301031360</v>
      </c>
      <c r="D451" s="603">
        <v>4607091384345</v>
      </c>
      <c r="E451" s="604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06"/>
      <c r="R451" s="606"/>
      <c r="S451" s="606"/>
      <c r="T451" s="607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x14ac:dyDescent="0.2">
      <c r="A452" s="617"/>
      <c r="B452" s="609"/>
      <c r="C452" s="609"/>
      <c r="D452" s="609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18"/>
      <c r="P452" s="613" t="s">
        <v>72</v>
      </c>
      <c r="Q452" s="614"/>
      <c r="R452" s="614"/>
      <c r="S452" s="614"/>
      <c r="T452" s="614"/>
      <c r="U452" s="614"/>
      <c r="V452" s="615"/>
      <c r="W452" s="37" t="s">
        <v>73</v>
      </c>
      <c r="X452" s="599">
        <f>IFERROR(X446/H446,"0")+IFERROR(X447/H447,"0")+IFERROR(X448/H448,"0")+IFERROR(X449/H449,"0")+IFERROR(X450/H450,"0")+IFERROR(X451/H451,"0")</f>
        <v>19.814814814814813</v>
      </c>
      <c r="Y452" s="599">
        <f>IFERROR(Y446/H446,"0")+IFERROR(Y447/H447,"0")+IFERROR(Y448/H448,"0")+IFERROR(Y449/H449,"0")+IFERROR(Y450/H450,"0")+IFERROR(Y451/H451,"0")</f>
        <v>21</v>
      </c>
      <c r="Z452" s="599">
        <f>IFERROR(IF(Z446="",0,Z446),"0")+IFERROR(IF(Z447="",0,Z447),"0")+IFERROR(IF(Z448="",0,Z448),"0")+IFERROR(IF(Z449="",0,Z449),"0")+IFERROR(IF(Z450="",0,Z450),"0")+IFERROR(IF(Z451="",0,Z451),"0")</f>
        <v>0.18942000000000001</v>
      </c>
      <c r="AA452" s="600"/>
      <c r="AB452" s="600"/>
      <c r="AC452" s="600"/>
    </row>
    <row r="453" spans="1:68" x14ac:dyDescent="0.2">
      <c r="A453" s="609"/>
      <c r="B453" s="609"/>
      <c r="C453" s="609"/>
      <c r="D453" s="609"/>
      <c r="E453" s="609"/>
      <c r="F453" s="609"/>
      <c r="G453" s="609"/>
      <c r="H453" s="609"/>
      <c r="I453" s="609"/>
      <c r="J453" s="609"/>
      <c r="K453" s="609"/>
      <c r="L453" s="609"/>
      <c r="M453" s="609"/>
      <c r="N453" s="609"/>
      <c r="O453" s="618"/>
      <c r="P453" s="613" t="s">
        <v>72</v>
      </c>
      <c r="Q453" s="614"/>
      <c r="R453" s="614"/>
      <c r="S453" s="614"/>
      <c r="T453" s="614"/>
      <c r="U453" s="614"/>
      <c r="V453" s="615"/>
      <c r="W453" s="37" t="s">
        <v>67</v>
      </c>
      <c r="X453" s="599">
        <f>IFERROR(SUM(X446:X451),"0")</f>
        <v>107</v>
      </c>
      <c r="Y453" s="599">
        <f>IFERROR(SUM(Y446:Y451),"0")</f>
        <v>113.4</v>
      </c>
      <c r="Z453" s="37"/>
      <c r="AA453" s="600"/>
      <c r="AB453" s="600"/>
      <c r="AC453" s="600"/>
    </row>
    <row r="454" spans="1:68" ht="14.25" hidden="1" customHeight="1" x14ac:dyDescent="0.25">
      <c r="A454" s="608" t="s">
        <v>74</v>
      </c>
      <c r="B454" s="609"/>
      <c r="C454" s="609"/>
      <c r="D454" s="609"/>
      <c r="E454" s="609"/>
      <c r="F454" s="609"/>
      <c r="G454" s="609"/>
      <c r="H454" s="609"/>
      <c r="I454" s="609"/>
      <c r="J454" s="609"/>
      <c r="K454" s="609"/>
      <c r="L454" s="609"/>
      <c r="M454" s="609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  <c r="Z454" s="609"/>
      <c r="AA454" s="593"/>
      <c r="AB454" s="593"/>
      <c r="AC454" s="593"/>
    </row>
    <row r="455" spans="1:68" ht="27" hidden="1" customHeight="1" x14ac:dyDescent="0.25">
      <c r="A455" s="54" t="s">
        <v>721</v>
      </c>
      <c r="B455" s="54" t="s">
        <v>722</v>
      </c>
      <c r="C455" s="31">
        <v>4301051284</v>
      </c>
      <c r="D455" s="603">
        <v>4607091384352</v>
      </c>
      <c r="E455" s="604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06"/>
      <c r="R455" s="606"/>
      <c r="S455" s="606"/>
      <c r="T455" s="607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724</v>
      </c>
      <c r="B456" s="54" t="s">
        <v>725</v>
      </c>
      <c r="C456" s="31">
        <v>4301051431</v>
      </c>
      <c r="D456" s="603">
        <v>4607091389654</v>
      </c>
      <c r="E456" s="604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8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06"/>
      <c r="R456" s="606"/>
      <c r="S456" s="606"/>
      <c r="T456" s="607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17"/>
      <c r="B457" s="609"/>
      <c r="C457" s="609"/>
      <c r="D457" s="609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18"/>
      <c r="P457" s="613" t="s">
        <v>72</v>
      </c>
      <c r="Q457" s="614"/>
      <c r="R457" s="614"/>
      <c r="S457" s="614"/>
      <c r="T457" s="614"/>
      <c r="U457" s="614"/>
      <c r="V457" s="61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hidden="1" x14ac:dyDescent="0.2">
      <c r="A458" s="609"/>
      <c r="B458" s="609"/>
      <c r="C458" s="609"/>
      <c r="D458" s="609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18"/>
      <c r="P458" s="613" t="s">
        <v>72</v>
      </c>
      <c r="Q458" s="614"/>
      <c r="R458" s="614"/>
      <c r="S458" s="614"/>
      <c r="T458" s="614"/>
      <c r="U458" s="614"/>
      <c r="V458" s="61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hidden="1" customHeight="1" x14ac:dyDescent="0.25">
      <c r="A459" s="612" t="s">
        <v>727</v>
      </c>
      <c r="B459" s="609"/>
      <c r="C459" s="609"/>
      <c r="D459" s="609"/>
      <c r="E459" s="609"/>
      <c r="F459" s="609"/>
      <c r="G459" s="609"/>
      <c r="H459" s="609"/>
      <c r="I459" s="609"/>
      <c r="J459" s="609"/>
      <c r="K459" s="609"/>
      <c r="L459" s="609"/>
      <c r="M459" s="609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  <c r="Z459" s="609"/>
      <c r="AA459" s="592"/>
      <c r="AB459" s="592"/>
      <c r="AC459" s="592"/>
    </row>
    <row r="460" spans="1:68" ht="14.25" hidden="1" customHeight="1" x14ac:dyDescent="0.25">
      <c r="A460" s="608" t="s">
        <v>152</v>
      </c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  <c r="Z460" s="609"/>
      <c r="AA460" s="593"/>
      <c r="AB460" s="593"/>
      <c r="AC460" s="593"/>
    </row>
    <row r="461" spans="1:68" ht="27" hidden="1" customHeight="1" x14ac:dyDescent="0.25">
      <c r="A461" s="54" t="s">
        <v>728</v>
      </c>
      <c r="B461" s="54" t="s">
        <v>729</v>
      </c>
      <c r="C461" s="31">
        <v>4301020416</v>
      </c>
      <c r="D461" s="603">
        <v>4680115885240</v>
      </c>
      <c r="E461" s="604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7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06"/>
      <c r="R461" s="606"/>
      <c r="S461" s="606"/>
      <c r="T461" s="607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17"/>
      <c r="B462" s="609"/>
      <c r="C462" s="609"/>
      <c r="D462" s="609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18"/>
      <c r="P462" s="613" t="s">
        <v>72</v>
      </c>
      <c r="Q462" s="614"/>
      <c r="R462" s="614"/>
      <c r="S462" s="614"/>
      <c r="T462" s="614"/>
      <c r="U462" s="614"/>
      <c r="V462" s="61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hidden="1" x14ac:dyDescent="0.2">
      <c r="A463" s="609"/>
      <c r="B463" s="609"/>
      <c r="C463" s="609"/>
      <c r="D463" s="609"/>
      <c r="E463" s="609"/>
      <c r="F463" s="609"/>
      <c r="G463" s="609"/>
      <c r="H463" s="609"/>
      <c r="I463" s="609"/>
      <c r="J463" s="609"/>
      <c r="K463" s="609"/>
      <c r="L463" s="609"/>
      <c r="M463" s="609"/>
      <c r="N463" s="609"/>
      <c r="O463" s="618"/>
      <c r="P463" s="613" t="s">
        <v>72</v>
      </c>
      <c r="Q463" s="614"/>
      <c r="R463" s="614"/>
      <c r="S463" s="614"/>
      <c r="T463" s="614"/>
      <c r="U463" s="614"/>
      <c r="V463" s="61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hidden="1" customHeight="1" x14ac:dyDescent="0.25">
      <c r="A464" s="608" t="s">
        <v>62</v>
      </c>
      <c r="B464" s="609"/>
      <c r="C464" s="609"/>
      <c r="D464" s="609"/>
      <c r="E464" s="609"/>
      <c r="F464" s="609"/>
      <c r="G464" s="609"/>
      <c r="H464" s="609"/>
      <c r="I464" s="609"/>
      <c r="J464" s="609"/>
      <c r="K464" s="609"/>
      <c r="L464" s="609"/>
      <c r="M464" s="609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  <c r="Z464" s="609"/>
      <c r="AA464" s="593"/>
      <c r="AB464" s="593"/>
      <c r="AC464" s="593"/>
    </row>
    <row r="465" spans="1:68" ht="27" customHeight="1" x14ac:dyDescent="0.25">
      <c r="A465" s="54" t="s">
        <v>731</v>
      </c>
      <c r="B465" s="54" t="s">
        <v>732</v>
      </c>
      <c r="C465" s="31">
        <v>4301031407</v>
      </c>
      <c r="D465" s="603">
        <v>4680115886094</v>
      </c>
      <c r="E465" s="604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70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06"/>
      <c r="R465" s="606"/>
      <c r="S465" s="606"/>
      <c r="T465" s="607"/>
      <c r="U465" s="34"/>
      <c r="V465" s="34"/>
      <c r="W465" s="35" t="s">
        <v>67</v>
      </c>
      <c r="X465" s="597">
        <v>94</v>
      </c>
      <c r="Y465" s="598">
        <f>IFERROR(IF(X465="",0,CEILING((X465/$H465),1)*$H465),"")</f>
        <v>97.2</v>
      </c>
      <c r="Z465" s="36">
        <f>IFERROR(IF(Y465=0,"",ROUNDUP(Y465/H465,0)*0.00902),"")</f>
        <v>0.16236</v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97.30740740740741</v>
      </c>
      <c r="BN465" s="64">
        <f>IFERROR(Y465*I465/H465,"0")</f>
        <v>100.61999999999999</v>
      </c>
      <c r="BO465" s="64">
        <f>IFERROR(1/J465*(X465/H465),"0")</f>
        <v>0.13187429854096519</v>
      </c>
      <c r="BP465" s="64">
        <f>IFERROR(1/J465*(Y465/H465),"0")</f>
        <v>0.13636363636363635</v>
      </c>
    </row>
    <row r="466" spans="1:68" ht="27" hidden="1" customHeight="1" x14ac:dyDescent="0.25">
      <c r="A466" s="54" t="s">
        <v>734</v>
      </c>
      <c r="B466" s="54" t="s">
        <v>735</v>
      </c>
      <c r="C466" s="31">
        <v>4301031373</v>
      </c>
      <c r="D466" s="603">
        <v>4680115880771</v>
      </c>
      <c r="E466" s="604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06"/>
      <c r="R466" s="606"/>
      <c r="S466" s="606"/>
      <c r="T466" s="607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737</v>
      </c>
      <c r="B467" s="54" t="s">
        <v>738</v>
      </c>
      <c r="C467" s="31">
        <v>4301031359</v>
      </c>
      <c r="D467" s="603">
        <v>4607091389500</v>
      </c>
      <c r="E467" s="604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06"/>
      <c r="R467" s="606"/>
      <c r="S467" s="606"/>
      <c r="T467" s="607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17"/>
      <c r="B468" s="609"/>
      <c r="C468" s="609"/>
      <c r="D468" s="609"/>
      <c r="E468" s="609"/>
      <c r="F468" s="609"/>
      <c r="G468" s="609"/>
      <c r="H468" s="609"/>
      <c r="I468" s="609"/>
      <c r="J468" s="609"/>
      <c r="K468" s="609"/>
      <c r="L468" s="609"/>
      <c r="M468" s="609"/>
      <c r="N468" s="609"/>
      <c r="O468" s="618"/>
      <c r="P468" s="613" t="s">
        <v>72</v>
      </c>
      <c r="Q468" s="614"/>
      <c r="R468" s="614"/>
      <c r="S468" s="614"/>
      <c r="T468" s="614"/>
      <c r="U468" s="614"/>
      <c r="V468" s="615"/>
      <c r="W468" s="37" t="s">
        <v>73</v>
      </c>
      <c r="X468" s="599">
        <f>IFERROR(X465/H465,"0")+IFERROR(X466/H466,"0")+IFERROR(X467/H467,"0")</f>
        <v>17.407407407407405</v>
      </c>
      <c r="Y468" s="599">
        <f>IFERROR(Y465/H465,"0")+IFERROR(Y466/H466,"0")+IFERROR(Y467/H467,"0")</f>
        <v>18</v>
      </c>
      <c r="Z468" s="599">
        <f>IFERROR(IF(Z465="",0,Z465),"0")+IFERROR(IF(Z466="",0,Z466),"0")+IFERROR(IF(Z467="",0,Z467),"0")</f>
        <v>0.16236</v>
      </c>
      <c r="AA468" s="600"/>
      <c r="AB468" s="600"/>
      <c r="AC468" s="600"/>
    </row>
    <row r="469" spans="1:68" x14ac:dyDescent="0.2">
      <c r="A469" s="609"/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18"/>
      <c r="P469" s="613" t="s">
        <v>72</v>
      </c>
      <c r="Q469" s="614"/>
      <c r="R469" s="614"/>
      <c r="S469" s="614"/>
      <c r="T469" s="614"/>
      <c r="U469" s="614"/>
      <c r="V469" s="615"/>
      <c r="W469" s="37" t="s">
        <v>67</v>
      </c>
      <c r="X469" s="599">
        <f>IFERROR(SUM(X465:X467),"0")</f>
        <v>94</v>
      </c>
      <c r="Y469" s="599">
        <f>IFERROR(SUM(Y465:Y467),"0")</f>
        <v>97.2</v>
      </c>
      <c r="Z469" s="37"/>
      <c r="AA469" s="600"/>
      <c r="AB469" s="600"/>
      <c r="AC469" s="600"/>
    </row>
    <row r="470" spans="1:68" ht="27.75" hidden="1" customHeight="1" x14ac:dyDescent="0.2">
      <c r="A470" s="644" t="s">
        <v>739</v>
      </c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5"/>
      <c r="P470" s="645"/>
      <c r="Q470" s="645"/>
      <c r="R470" s="645"/>
      <c r="S470" s="645"/>
      <c r="T470" s="645"/>
      <c r="U470" s="645"/>
      <c r="V470" s="645"/>
      <c r="W470" s="645"/>
      <c r="X470" s="645"/>
      <c r="Y470" s="645"/>
      <c r="Z470" s="645"/>
      <c r="AA470" s="48"/>
      <c r="AB470" s="48"/>
      <c r="AC470" s="48"/>
    </row>
    <row r="471" spans="1:68" ht="16.5" hidden="1" customHeight="1" x14ac:dyDescent="0.25">
      <c r="A471" s="612" t="s">
        <v>739</v>
      </c>
      <c r="B471" s="609"/>
      <c r="C471" s="609"/>
      <c r="D471" s="609"/>
      <c r="E471" s="609"/>
      <c r="F471" s="609"/>
      <c r="G471" s="609"/>
      <c r="H471" s="609"/>
      <c r="I471" s="609"/>
      <c r="J471" s="609"/>
      <c r="K471" s="609"/>
      <c r="L471" s="609"/>
      <c r="M471" s="609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  <c r="Z471" s="609"/>
      <c r="AA471" s="592"/>
      <c r="AB471" s="592"/>
      <c r="AC471" s="592"/>
    </row>
    <row r="472" spans="1:68" ht="14.25" hidden="1" customHeight="1" x14ac:dyDescent="0.25">
      <c r="A472" s="608" t="s">
        <v>117</v>
      </c>
      <c r="B472" s="609"/>
      <c r="C472" s="609"/>
      <c r="D472" s="609"/>
      <c r="E472" s="609"/>
      <c r="F472" s="609"/>
      <c r="G472" s="609"/>
      <c r="H472" s="609"/>
      <c r="I472" s="609"/>
      <c r="J472" s="609"/>
      <c r="K472" s="609"/>
      <c r="L472" s="609"/>
      <c r="M472" s="609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  <c r="Z472" s="609"/>
      <c r="AA472" s="593"/>
      <c r="AB472" s="593"/>
      <c r="AC472" s="593"/>
    </row>
    <row r="473" spans="1:68" ht="27" hidden="1" customHeight="1" x14ac:dyDescent="0.25">
      <c r="A473" s="54" t="s">
        <v>740</v>
      </c>
      <c r="B473" s="54" t="s">
        <v>741</v>
      </c>
      <c r="C473" s="31">
        <v>4301011769</v>
      </c>
      <c r="D473" s="603">
        <v>4607091389067</v>
      </c>
      <c r="E473" s="604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9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06"/>
      <c r="R473" s="606"/>
      <c r="S473" s="606"/>
      <c r="T473" s="607"/>
      <c r="U473" s="34"/>
      <c r="V473" s="34"/>
      <c r="W473" s="35" t="s">
        <v>67</v>
      </c>
      <c r="X473" s="597">
        <v>0</v>
      </c>
      <c r="Y473" s="598">
        <f t="shared" ref="Y473:Y481" si="62">IFERROR(IF(X473="",0,CEILING((X473/$H473),1)*$H473),"")</f>
        <v>0</v>
      </c>
      <c r="Z473" s="36" t="str">
        <f t="shared" ref="Z473:Z478" si="63">IFERROR(IF(Y473=0,"",ROUNDUP(Y473/H473,0)*0.01196),"")</f>
        <v/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0</v>
      </c>
      <c r="BN473" s="64">
        <f t="shared" ref="BN473:BN481" si="65">IFERROR(Y473*I473/H473,"0")</f>
        <v>0</v>
      </c>
      <c r="BO473" s="64">
        <f t="shared" ref="BO473:BO481" si="66">IFERROR(1/J473*(X473/H473),"0")</f>
        <v>0</v>
      </c>
      <c r="BP473" s="64">
        <f t="shared" ref="BP473:BP481" si="67">IFERROR(1/J473*(Y473/H473),"0")</f>
        <v>0</v>
      </c>
    </row>
    <row r="474" spans="1:68" ht="27" hidden="1" customHeight="1" x14ac:dyDescent="0.25">
      <c r="A474" s="54" t="s">
        <v>742</v>
      </c>
      <c r="B474" s="54" t="s">
        <v>743</v>
      </c>
      <c r="C474" s="31">
        <v>4301012210</v>
      </c>
      <c r="D474" s="603">
        <v>4607091383522</v>
      </c>
      <c r="E474" s="604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94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06"/>
      <c r="R474" s="606"/>
      <c r="S474" s="606"/>
      <c r="T474" s="607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3">
        <v>4680115885271</v>
      </c>
      <c r="E475" s="604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72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06"/>
      <c r="R475" s="606"/>
      <c r="S475" s="606"/>
      <c r="T475" s="607"/>
      <c r="U475" s="34"/>
      <c r="V475" s="34"/>
      <c r="W475" s="35" t="s">
        <v>67</v>
      </c>
      <c r="X475" s="597">
        <v>15</v>
      </c>
      <c r="Y475" s="598">
        <f t="shared" si="62"/>
        <v>15.84</v>
      </c>
      <c r="Z475" s="36">
        <f t="shared" si="63"/>
        <v>3.5880000000000002E-2</v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15.994318181818182</v>
      </c>
      <c r="BN475" s="64">
        <f t="shared" si="65"/>
        <v>16.889999999999997</v>
      </c>
      <c r="BO475" s="64">
        <f t="shared" si="66"/>
        <v>2.7316433566433568E-2</v>
      </c>
      <c r="BP475" s="64">
        <f t="shared" si="67"/>
        <v>2.8846153846153848E-2</v>
      </c>
    </row>
    <row r="476" spans="1:68" ht="27" hidden="1" customHeight="1" x14ac:dyDescent="0.25">
      <c r="A476" s="54" t="s">
        <v>748</v>
      </c>
      <c r="B476" s="54" t="s">
        <v>749</v>
      </c>
      <c r="C476" s="31">
        <v>4301011369</v>
      </c>
      <c r="D476" s="603">
        <v>4680115885226</v>
      </c>
      <c r="E476" s="604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06"/>
      <c r="R476" s="606"/>
      <c r="S476" s="606"/>
      <c r="T476" s="607"/>
      <c r="U476" s="34"/>
      <c r="V476" s="34"/>
      <c r="W476" s="35" t="s">
        <v>67</v>
      </c>
      <c r="X476" s="597">
        <v>0</v>
      </c>
      <c r="Y476" s="598">
        <f t="shared" si="62"/>
        <v>0</v>
      </c>
      <c r="Z476" s="36" t="str">
        <f t="shared" si="63"/>
        <v/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16.5" hidden="1" customHeight="1" x14ac:dyDescent="0.25">
      <c r="A477" s="54" t="s">
        <v>751</v>
      </c>
      <c r="B477" s="54" t="s">
        <v>752</v>
      </c>
      <c r="C477" s="31">
        <v>4301011797</v>
      </c>
      <c r="D477" s="603">
        <v>4680115884502</v>
      </c>
      <c r="E477" s="604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7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06"/>
      <c r="R477" s="606"/>
      <c r="S477" s="606"/>
      <c r="T477" s="607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3">
        <v>4607091389104</v>
      </c>
      <c r="E478" s="604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7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06"/>
      <c r="R478" s="606"/>
      <c r="S478" s="606"/>
      <c r="T478" s="607"/>
      <c r="U478" s="34"/>
      <c r="V478" s="34"/>
      <c r="W478" s="35" t="s">
        <v>67</v>
      </c>
      <c r="X478" s="597">
        <v>314</v>
      </c>
      <c r="Y478" s="598">
        <f t="shared" si="62"/>
        <v>316.8</v>
      </c>
      <c r="Z478" s="36">
        <f t="shared" si="63"/>
        <v>0.71760000000000002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334.81439393939394</v>
      </c>
      <c r="BN478" s="64">
        <f t="shared" si="65"/>
        <v>337.8</v>
      </c>
      <c r="BO478" s="64">
        <f t="shared" si="66"/>
        <v>0.57182400932400934</v>
      </c>
      <c r="BP478" s="64">
        <f t="shared" si="67"/>
        <v>0.57692307692307698</v>
      </c>
    </row>
    <row r="479" spans="1:68" ht="27" hidden="1" customHeight="1" x14ac:dyDescent="0.25">
      <c r="A479" s="54" t="s">
        <v>757</v>
      </c>
      <c r="B479" s="54" t="s">
        <v>758</v>
      </c>
      <c r="C479" s="31">
        <v>4301012125</v>
      </c>
      <c r="D479" s="603">
        <v>4680115886391</v>
      </c>
      <c r="E479" s="604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8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06"/>
      <c r="R479" s="606"/>
      <c r="S479" s="606"/>
      <c r="T479" s="607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hidden="1" customHeight="1" x14ac:dyDescent="0.25">
      <c r="A480" s="54" t="s">
        <v>759</v>
      </c>
      <c r="B480" s="54" t="s">
        <v>760</v>
      </c>
      <c r="C480" s="31">
        <v>4301012048</v>
      </c>
      <c r="D480" s="603">
        <v>4680115880603</v>
      </c>
      <c r="E480" s="604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06"/>
      <c r="R480" s="606"/>
      <c r="S480" s="606"/>
      <c r="T480" s="607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hidden="1" customHeight="1" x14ac:dyDescent="0.25">
      <c r="A481" s="54" t="s">
        <v>761</v>
      </c>
      <c r="B481" s="54" t="s">
        <v>762</v>
      </c>
      <c r="C481" s="31">
        <v>4301012034</v>
      </c>
      <c r="D481" s="603">
        <v>4607091389982</v>
      </c>
      <c r="E481" s="604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8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06"/>
      <c r="R481" s="606"/>
      <c r="S481" s="606"/>
      <c r="T481" s="607"/>
      <c r="U481" s="34"/>
      <c r="V481" s="34"/>
      <c r="W481" s="35" t="s">
        <v>67</v>
      </c>
      <c r="X481" s="597">
        <v>0</v>
      </c>
      <c r="Y481" s="598">
        <f t="shared" si="62"/>
        <v>0</v>
      </c>
      <c r="Z481" s="36" t="str">
        <f>IFERROR(IF(Y481=0,"",ROUNDUP(Y481/H481,0)*0.00902),"")</f>
        <v/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x14ac:dyDescent="0.2">
      <c r="A482" s="617"/>
      <c r="B482" s="609"/>
      <c r="C482" s="609"/>
      <c r="D482" s="609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18"/>
      <c r="P482" s="613" t="s">
        <v>72</v>
      </c>
      <c r="Q482" s="614"/>
      <c r="R482" s="614"/>
      <c r="S482" s="614"/>
      <c r="T482" s="614"/>
      <c r="U482" s="614"/>
      <c r="V482" s="61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62.310606060606062</v>
      </c>
      <c r="Y482" s="599">
        <f>IFERROR(Y473/H473,"0")+IFERROR(Y474/H474,"0")+IFERROR(Y475/H475,"0")+IFERROR(Y476/H476,"0")+IFERROR(Y477/H477,"0")+IFERROR(Y478/H478,"0")+IFERROR(Y479/H479,"0")+IFERROR(Y480/H480,"0")+IFERROR(Y481/H481,"0")</f>
        <v>63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0.75348000000000004</v>
      </c>
      <c r="AA482" s="600"/>
      <c r="AB482" s="600"/>
      <c r="AC482" s="600"/>
    </row>
    <row r="483" spans="1:68" x14ac:dyDescent="0.2">
      <c r="A483" s="609"/>
      <c r="B483" s="609"/>
      <c r="C483" s="609"/>
      <c r="D483" s="609"/>
      <c r="E483" s="609"/>
      <c r="F483" s="609"/>
      <c r="G483" s="609"/>
      <c r="H483" s="609"/>
      <c r="I483" s="609"/>
      <c r="J483" s="609"/>
      <c r="K483" s="609"/>
      <c r="L483" s="609"/>
      <c r="M483" s="609"/>
      <c r="N483" s="609"/>
      <c r="O483" s="618"/>
      <c r="P483" s="613" t="s">
        <v>72</v>
      </c>
      <c r="Q483" s="614"/>
      <c r="R483" s="614"/>
      <c r="S483" s="614"/>
      <c r="T483" s="614"/>
      <c r="U483" s="614"/>
      <c r="V483" s="615"/>
      <c r="W483" s="37" t="s">
        <v>67</v>
      </c>
      <c r="X483" s="599">
        <f>IFERROR(SUM(X473:X481),"0")</f>
        <v>329</v>
      </c>
      <c r="Y483" s="599">
        <f>IFERROR(SUM(Y473:Y481),"0")</f>
        <v>332.64</v>
      </c>
      <c r="Z483" s="37"/>
      <c r="AA483" s="600"/>
      <c r="AB483" s="600"/>
      <c r="AC483" s="600"/>
    </row>
    <row r="484" spans="1:68" ht="14.25" hidden="1" customHeight="1" x14ac:dyDescent="0.25">
      <c r="A484" s="608" t="s">
        <v>152</v>
      </c>
      <c r="B484" s="609"/>
      <c r="C484" s="609"/>
      <c r="D484" s="609"/>
      <c r="E484" s="609"/>
      <c r="F484" s="609"/>
      <c r="G484" s="609"/>
      <c r="H484" s="609"/>
      <c r="I484" s="609"/>
      <c r="J484" s="609"/>
      <c r="K484" s="609"/>
      <c r="L484" s="609"/>
      <c r="M484" s="609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  <c r="Z484" s="609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3">
        <v>4607091388930</v>
      </c>
      <c r="E485" s="604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7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06"/>
      <c r="R485" s="606"/>
      <c r="S485" s="606"/>
      <c r="T485" s="607"/>
      <c r="U485" s="34"/>
      <c r="V485" s="34"/>
      <c r="W485" s="35" t="s">
        <v>67</v>
      </c>
      <c r="X485" s="597">
        <v>301</v>
      </c>
      <c r="Y485" s="598">
        <f>IFERROR(IF(X485="",0,CEILING((X485/$H485),1)*$H485),"")</f>
        <v>306.24</v>
      </c>
      <c r="Z485" s="36">
        <f>IFERROR(IF(Y485=0,"",ROUNDUP(Y485/H485,0)*0.01196),"")</f>
        <v>0.69367999999999996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320.9526515151515</v>
      </c>
      <c r="BN485" s="64">
        <f>IFERROR(Y485*I485/H485,"0")</f>
        <v>326.53999999999996</v>
      </c>
      <c r="BO485" s="64">
        <f>IFERROR(1/J485*(X485/H485),"0")</f>
        <v>0.54814976689976691</v>
      </c>
      <c r="BP485" s="64">
        <f>IFERROR(1/J485*(Y485/H485),"0")</f>
        <v>0.55769230769230771</v>
      </c>
    </row>
    <row r="486" spans="1:68" ht="16.5" hidden="1" customHeight="1" x14ac:dyDescent="0.25">
      <c r="A486" s="54" t="s">
        <v>766</v>
      </c>
      <c r="B486" s="54" t="s">
        <v>767</v>
      </c>
      <c r="C486" s="31">
        <v>4301020374</v>
      </c>
      <c r="D486" s="603">
        <v>4680115886407</v>
      </c>
      <c r="E486" s="604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6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06"/>
      <c r="R486" s="606"/>
      <c r="S486" s="606"/>
      <c r="T486" s="607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hidden="1" customHeight="1" x14ac:dyDescent="0.25">
      <c r="A487" s="54" t="s">
        <v>768</v>
      </c>
      <c r="B487" s="54" t="s">
        <v>769</v>
      </c>
      <c r="C487" s="31">
        <v>4301020385</v>
      </c>
      <c r="D487" s="603">
        <v>4680115880054</v>
      </c>
      <c r="E487" s="604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7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06"/>
      <c r="R487" s="606"/>
      <c r="S487" s="606"/>
      <c r="T487" s="607"/>
      <c r="U487" s="34"/>
      <c r="V487" s="34"/>
      <c r="W487" s="35" t="s">
        <v>67</v>
      </c>
      <c r="X487" s="597">
        <v>0</v>
      </c>
      <c r="Y487" s="59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17"/>
      <c r="B488" s="609"/>
      <c r="C488" s="609"/>
      <c r="D488" s="609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18"/>
      <c r="P488" s="613" t="s">
        <v>72</v>
      </c>
      <c r="Q488" s="614"/>
      <c r="R488" s="614"/>
      <c r="S488" s="614"/>
      <c r="T488" s="614"/>
      <c r="U488" s="614"/>
      <c r="V488" s="615"/>
      <c r="W488" s="37" t="s">
        <v>73</v>
      </c>
      <c r="X488" s="599">
        <f>IFERROR(X485/H485,"0")+IFERROR(X486/H486,"0")+IFERROR(X487/H487,"0")</f>
        <v>57.007575757575758</v>
      </c>
      <c r="Y488" s="599">
        <f>IFERROR(Y485/H485,"0")+IFERROR(Y486/H486,"0")+IFERROR(Y487/H487,"0")</f>
        <v>58</v>
      </c>
      <c r="Z488" s="599">
        <f>IFERROR(IF(Z485="",0,Z485),"0")+IFERROR(IF(Z486="",0,Z486),"0")+IFERROR(IF(Z487="",0,Z487),"0")</f>
        <v>0.69367999999999996</v>
      </c>
      <c r="AA488" s="600"/>
      <c r="AB488" s="600"/>
      <c r="AC488" s="600"/>
    </row>
    <row r="489" spans="1:68" x14ac:dyDescent="0.2">
      <c r="A489" s="609"/>
      <c r="B489" s="609"/>
      <c r="C489" s="609"/>
      <c r="D489" s="609"/>
      <c r="E489" s="609"/>
      <c r="F489" s="609"/>
      <c r="G489" s="609"/>
      <c r="H489" s="609"/>
      <c r="I489" s="609"/>
      <c r="J489" s="609"/>
      <c r="K489" s="609"/>
      <c r="L489" s="609"/>
      <c r="M489" s="609"/>
      <c r="N489" s="609"/>
      <c r="O489" s="618"/>
      <c r="P489" s="613" t="s">
        <v>72</v>
      </c>
      <c r="Q489" s="614"/>
      <c r="R489" s="614"/>
      <c r="S489" s="614"/>
      <c r="T489" s="614"/>
      <c r="U489" s="614"/>
      <c r="V489" s="615"/>
      <c r="W489" s="37" t="s">
        <v>67</v>
      </c>
      <c r="X489" s="599">
        <f>IFERROR(SUM(X485:X487),"0")</f>
        <v>301</v>
      </c>
      <c r="Y489" s="599">
        <f>IFERROR(SUM(Y485:Y487),"0")</f>
        <v>306.24</v>
      </c>
      <c r="Z489" s="37"/>
      <c r="AA489" s="600"/>
      <c r="AB489" s="600"/>
      <c r="AC489" s="600"/>
    </row>
    <row r="490" spans="1:68" ht="14.25" hidden="1" customHeight="1" x14ac:dyDescent="0.25">
      <c r="A490" s="608" t="s">
        <v>62</v>
      </c>
      <c r="B490" s="609"/>
      <c r="C490" s="609"/>
      <c r="D490" s="609"/>
      <c r="E490" s="609"/>
      <c r="F490" s="609"/>
      <c r="G490" s="609"/>
      <c r="H490" s="609"/>
      <c r="I490" s="609"/>
      <c r="J490" s="609"/>
      <c r="K490" s="609"/>
      <c r="L490" s="609"/>
      <c r="M490" s="609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  <c r="Z490" s="609"/>
      <c r="AA490" s="593"/>
      <c r="AB490" s="593"/>
      <c r="AC490" s="593"/>
    </row>
    <row r="491" spans="1:68" ht="27" hidden="1" customHeight="1" x14ac:dyDescent="0.25">
      <c r="A491" s="54" t="s">
        <v>770</v>
      </c>
      <c r="B491" s="54" t="s">
        <v>771</v>
      </c>
      <c r="C491" s="31">
        <v>4301031349</v>
      </c>
      <c r="D491" s="603">
        <v>4680115883116</v>
      </c>
      <c r="E491" s="604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7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06"/>
      <c r="R491" s="606"/>
      <c r="S491" s="606"/>
      <c r="T491" s="607"/>
      <c r="U491" s="34"/>
      <c r="V491" s="34"/>
      <c r="W491" s="35" t="s">
        <v>67</v>
      </c>
      <c r="X491" s="597">
        <v>0</v>
      </c>
      <c r="Y491" s="598">
        <f t="shared" ref="Y491:Y497" si="68">IFERROR(IF(X491="",0,CEILING((X491/$H491),1)*$H491),"")</f>
        <v>0</v>
      </c>
      <c r="Z491" s="36" t="str">
        <f>IFERROR(IF(Y491=0,"",ROUNDUP(Y491/H491,0)*0.01196),"")</f>
        <v/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0</v>
      </c>
      <c r="BN491" s="64">
        <f t="shared" ref="BN491:BN497" si="70">IFERROR(Y491*I491/H491,"0")</f>
        <v>0</v>
      </c>
      <c r="BO491" s="64">
        <f t="shared" ref="BO491:BO497" si="71">IFERROR(1/J491*(X491/H491),"0")</f>
        <v>0</v>
      </c>
      <c r="BP491" s="64">
        <f t="shared" ref="BP491:BP497" si="72">IFERROR(1/J491*(Y491/H491),"0")</f>
        <v>0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3">
        <v>4680115883093</v>
      </c>
      <c r="E492" s="604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8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06"/>
      <c r="R492" s="606"/>
      <c r="S492" s="606"/>
      <c r="T492" s="607"/>
      <c r="U492" s="34"/>
      <c r="V492" s="34"/>
      <c r="W492" s="35" t="s">
        <v>67</v>
      </c>
      <c r="X492" s="597">
        <v>28</v>
      </c>
      <c r="Y492" s="598">
        <f t="shared" si="68"/>
        <v>31.68</v>
      </c>
      <c r="Z492" s="36">
        <f>IFERROR(IF(Y492=0,"",ROUNDUP(Y492/H492,0)*0.01196),"")</f>
        <v>7.1760000000000004E-2</v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29.856060606060602</v>
      </c>
      <c r="BN492" s="64">
        <f t="shared" si="70"/>
        <v>33.779999999999994</v>
      </c>
      <c r="BO492" s="64">
        <f t="shared" si="71"/>
        <v>5.0990675990675992E-2</v>
      </c>
      <c r="BP492" s="64">
        <f t="shared" si="72"/>
        <v>5.7692307692307696E-2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3">
        <v>4680115883109</v>
      </c>
      <c r="E493" s="604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06"/>
      <c r="R493" s="606"/>
      <c r="S493" s="606"/>
      <c r="T493" s="607"/>
      <c r="U493" s="34"/>
      <c r="V493" s="34"/>
      <c r="W493" s="35" t="s">
        <v>67</v>
      </c>
      <c r="X493" s="597">
        <v>159</v>
      </c>
      <c r="Y493" s="598">
        <f t="shared" si="68"/>
        <v>163.68</v>
      </c>
      <c r="Z493" s="36">
        <f>IFERROR(IF(Y493=0,"",ROUNDUP(Y493/H493,0)*0.01196),"")</f>
        <v>0.37075999999999998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169.53977272727272</v>
      </c>
      <c r="BN493" s="64">
        <f t="shared" si="70"/>
        <v>174.53</v>
      </c>
      <c r="BO493" s="64">
        <f t="shared" si="71"/>
        <v>0.28955419580419584</v>
      </c>
      <c r="BP493" s="64">
        <f t="shared" si="72"/>
        <v>0.29807692307692307</v>
      </c>
    </row>
    <row r="494" spans="1:68" ht="27" hidden="1" customHeight="1" x14ac:dyDescent="0.25">
      <c r="A494" s="54" t="s">
        <v>779</v>
      </c>
      <c r="B494" s="54" t="s">
        <v>780</v>
      </c>
      <c r="C494" s="31">
        <v>4301031419</v>
      </c>
      <c r="D494" s="603">
        <v>4680115882072</v>
      </c>
      <c r="E494" s="604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8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06"/>
      <c r="R494" s="606"/>
      <c r="S494" s="606"/>
      <c r="T494" s="607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4301031352</v>
      </c>
      <c r="D495" s="603">
        <v>4680115882102</v>
      </c>
      <c r="E495" s="604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95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06"/>
      <c r="R495" s="606"/>
      <c r="S495" s="606"/>
      <c r="T495" s="607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hidden="1" customHeight="1" x14ac:dyDescent="0.25">
      <c r="A496" s="54" t="s">
        <v>781</v>
      </c>
      <c r="B496" s="54" t="s">
        <v>783</v>
      </c>
      <c r="C496" s="31">
        <v>4301031418</v>
      </c>
      <c r="D496" s="603">
        <v>4680115882102</v>
      </c>
      <c r="E496" s="604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06"/>
      <c r="R496" s="606"/>
      <c r="S496" s="606"/>
      <c r="T496" s="607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784</v>
      </c>
      <c r="B497" s="54" t="s">
        <v>785</v>
      </c>
      <c r="C497" s="31">
        <v>4301031417</v>
      </c>
      <c r="D497" s="603">
        <v>4680115882096</v>
      </c>
      <c r="E497" s="604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6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06"/>
      <c r="R497" s="606"/>
      <c r="S497" s="606"/>
      <c r="T497" s="607"/>
      <c r="U497" s="34"/>
      <c r="V497" s="34"/>
      <c r="W497" s="35" t="s">
        <v>67</v>
      </c>
      <c r="X497" s="597">
        <v>11</v>
      </c>
      <c r="Y497" s="598">
        <f t="shared" si="68"/>
        <v>14.399999999999999</v>
      </c>
      <c r="Z497" s="36">
        <f>IFERROR(IF(Y497=0,"",ROUNDUP(Y497/H497,0)*0.00902),"")</f>
        <v>2.7060000000000001E-2</v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15.285416666666668</v>
      </c>
      <c r="BN497" s="64">
        <f t="shared" si="70"/>
        <v>20.009999999999998</v>
      </c>
      <c r="BO497" s="64">
        <f t="shared" si="71"/>
        <v>1.7361111111111115E-2</v>
      </c>
      <c r="BP497" s="64">
        <f t="shared" si="72"/>
        <v>2.2727272727272728E-2</v>
      </c>
    </row>
    <row r="498" spans="1:68" x14ac:dyDescent="0.2">
      <c r="A498" s="617"/>
      <c r="B498" s="609"/>
      <c r="C498" s="609"/>
      <c r="D498" s="609"/>
      <c r="E498" s="609"/>
      <c r="F498" s="609"/>
      <c r="G498" s="609"/>
      <c r="H498" s="609"/>
      <c r="I498" s="609"/>
      <c r="J498" s="609"/>
      <c r="K498" s="609"/>
      <c r="L498" s="609"/>
      <c r="M498" s="609"/>
      <c r="N498" s="609"/>
      <c r="O498" s="618"/>
      <c r="P498" s="613" t="s">
        <v>72</v>
      </c>
      <c r="Q498" s="614"/>
      <c r="R498" s="614"/>
      <c r="S498" s="614"/>
      <c r="T498" s="614"/>
      <c r="U498" s="614"/>
      <c r="V498" s="61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37.708333333333329</v>
      </c>
      <c r="Y498" s="599">
        <f>IFERROR(Y491/H491,"0")+IFERROR(Y492/H492,"0")+IFERROR(Y493/H493,"0")+IFERROR(Y494/H494,"0")+IFERROR(Y495/H495,"0")+IFERROR(Y496/H496,"0")+IFERROR(Y497/H497,"0")</f>
        <v>40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0.46958</v>
      </c>
      <c r="AA498" s="600"/>
      <c r="AB498" s="600"/>
      <c r="AC498" s="600"/>
    </row>
    <row r="499" spans="1:68" x14ac:dyDescent="0.2">
      <c r="A499" s="609"/>
      <c r="B499" s="609"/>
      <c r="C499" s="609"/>
      <c r="D499" s="609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18"/>
      <c r="P499" s="613" t="s">
        <v>72</v>
      </c>
      <c r="Q499" s="614"/>
      <c r="R499" s="614"/>
      <c r="S499" s="614"/>
      <c r="T499" s="614"/>
      <c r="U499" s="614"/>
      <c r="V499" s="615"/>
      <c r="W499" s="37" t="s">
        <v>67</v>
      </c>
      <c r="X499" s="599">
        <f>IFERROR(SUM(X491:X497),"0")</f>
        <v>198</v>
      </c>
      <c r="Y499" s="599">
        <f>IFERROR(SUM(Y491:Y497),"0")</f>
        <v>209.76000000000002</v>
      </c>
      <c r="Z499" s="37"/>
      <c r="AA499" s="600"/>
      <c r="AB499" s="600"/>
      <c r="AC499" s="600"/>
    </row>
    <row r="500" spans="1:68" ht="27.75" hidden="1" customHeight="1" x14ac:dyDescent="0.2">
      <c r="A500" s="644" t="s">
        <v>786</v>
      </c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5"/>
      <c r="P500" s="645"/>
      <c r="Q500" s="645"/>
      <c r="R500" s="645"/>
      <c r="S500" s="645"/>
      <c r="T500" s="645"/>
      <c r="U500" s="645"/>
      <c r="V500" s="645"/>
      <c r="W500" s="645"/>
      <c r="X500" s="645"/>
      <c r="Y500" s="645"/>
      <c r="Z500" s="645"/>
      <c r="AA500" s="48"/>
      <c r="AB500" s="48"/>
      <c r="AC500" s="48"/>
    </row>
    <row r="501" spans="1:68" ht="16.5" hidden="1" customHeight="1" x14ac:dyDescent="0.25">
      <c r="A501" s="612" t="s">
        <v>786</v>
      </c>
      <c r="B501" s="609"/>
      <c r="C501" s="609"/>
      <c r="D501" s="609"/>
      <c r="E501" s="609"/>
      <c r="F501" s="609"/>
      <c r="G501" s="609"/>
      <c r="H501" s="609"/>
      <c r="I501" s="609"/>
      <c r="J501" s="609"/>
      <c r="K501" s="609"/>
      <c r="L501" s="609"/>
      <c r="M501" s="609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  <c r="Z501" s="609"/>
      <c r="AA501" s="592"/>
      <c r="AB501" s="592"/>
      <c r="AC501" s="592"/>
    </row>
    <row r="502" spans="1:68" ht="14.25" hidden="1" customHeight="1" x14ac:dyDescent="0.25">
      <c r="A502" s="608" t="s">
        <v>117</v>
      </c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  <c r="Z502" s="609"/>
      <c r="AA502" s="593"/>
      <c r="AB502" s="593"/>
      <c r="AC502" s="593"/>
    </row>
    <row r="503" spans="1:68" ht="27" hidden="1" customHeight="1" x14ac:dyDescent="0.25">
      <c r="A503" s="54" t="s">
        <v>787</v>
      </c>
      <c r="B503" s="54" t="s">
        <v>788</v>
      </c>
      <c r="C503" s="31">
        <v>4301011584</v>
      </c>
      <c r="D503" s="603">
        <v>4640242180564</v>
      </c>
      <c r="E503" s="604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7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06"/>
      <c r="R503" s="606"/>
      <c r="S503" s="606"/>
      <c r="T503" s="607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idden="1" x14ac:dyDescent="0.2">
      <c r="A504" s="617"/>
      <c r="B504" s="609"/>
      <c r="C504" s="609"/>
      <c r="D504" s="609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18"/>
      <c r="P504" s="613" t="s">
        <v>72</v>
      </c>
      <c r="Q504" s="614"/>
      <c r="R504" s="614"/>
      <c r="S504" s="614"/>
      <c r="T504" s="614"/>
      <c r="U504" s="614"/>
      <c r="V504" s="61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hidden="1" x14ac:dyDescent="0.2">
      <c r="A505" s="609"/>
      <c r="B505" s="609"/>
      <c r="C505" s="609"/>
      <c r="D505" s="609"/>
      <c r="E505" s="609"/>
      <c r="F505" s="609"/>
      <c r="G505" s="609"/>
      <c r="H505" s="609"/>
      <c r="I505" s="609"/>
      <c r="J505" s="609"/>
      <c r="K505" s="609"/>
      <c r="L505" s="609"/>
      <c r="M505" s="609"/>
      <c r="N505" s="609"/>
      <c r="O505" s="618"/>
      <c r="P505" s="613" t="s">
        <v>72</v>
      </c>
      <c r="Q505" s="614"/>
      <c r="R505" s="614"/>
      <c r="S505" s="614"/>
      <c r="T505" s="614"/>
      <c r="U505" s="614"/>
      <c r="V505" s="61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hidden="1" customHeight="1" x14ac:dyDescent="0.25">
      <c r="A506" s="608" t="s">
        <v>152</v>
      </c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  <c r="Z506" s="609"/>
      <c r="AA506" s="593"/>
      <c r="AB506" s="593"/>
      <c r="AC506" s="593"/>
    </row>
    <row r="507" spans="1:68" ht="27" hidden="1" customHeight="1" x14ac:dyDescent="0.25">
      <c r="A507" s="54" t="s">
        <v>790</v>
      </c>
      <c r="B507" s="54" t="s">
        <v>791</v>
      </c>
      <c r="C507" s="31">
        <v>4301020400</v>
      </c>
      <c r="D507" s="603">
        <v>4640242180519</v>
      </c>
      <c r="E507" s="604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61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06"/>
      <c r="R507" s="606"/>
      <c r="S507" s="606"/>
      <c r="T507" s="607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7"/>
      <c r="B508" s="609"/>
      <c r="C508" s="609"/>
      <c r="D508" s="609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18"/>
      <c r="P508" s="613" t="s">
        <v>72</v>
      </c>
      <c r="Q508" s="614"/>
      <c r="R508" s="614"/>
      <c r="S508" s="614"/>
      <c r="T508" s="614"/>
      <c r="U508" s="614"/>
      <c r="V508" s="61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hidden="1" x14ac:dyDescent="0.2">
      <c r="A509" s="609"/>
      <c r="B509" s="609"/>
      <c r="C509" s="609"/>
      <c r="D509" s="609"/>
      <c r="E509" s="609"/>
      <c r="F509" s="609"/>
      <c r="G509" s="609"/>
      <c r="H509" s="609"/>
      <c r="I509" s="609"/>
      <c r="J509" s="609"/>
      <c r="K509" s="609"/>
      <c r="L509" s="609"/>
      <c r="M509" s="609"/>
      <c r="N509" s="609"/>
      <c r="O509" s="618"/>
      <c r="P509" s="613" t="s">
        <v>72</v>
      </c>
      <c r="Q509" s="614"/>
      <c r="R509" s="614"/>
      <c r="S509" s="614"/>
      <c r="T509" s="614"/>
      <c r="U509" s="614"/>
      <c r="V509" s="61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hidden="1" customHeight="1" x14ac:dyDescent="0.25">
      <c r="A510" s="608" t="s">
        <v>62</v>
      </c>
      <c r="B510" s="609"/>
      <c r="C510" s="609"/>
      <c r="D510" s="609"/>
      <c r="E510" s="609"/>
      <c r="F510" s="609"/>
      <c r="G510" s="609"/>
      <c r="H510" s="609"/>
      <c r="I510" s="609"/>
      <c r="J510" s="609"/>
      <c r="K510" s="609"/>
      <c r="L510" s="609"/>
      <c r="M510" s="609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  <c r="Z510" s="609"/>
      <c r="AA510" s="593"/>
      <c r="AB510" s="593"/>
      <c r="AC510" s="593"/>
    </row>
    <row r="511" spans="1:68" ht="27" hidden="1" customHeight="1" x14ac:dyDescent="0.25">
      <c r="A511" s="54" t="s">
        <v>793</v>
      </c>
      <c r="B511" s="54" t="s">
        <v>794</v>
      </c>
      <c r="C511" s="31">
        <v>4301031467</v>
      </c>
      <c r="D511" s="603">
        <v>4640242180595</v>
      </c>
      <c r="E511" s="604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06"/>
      <c r="R511" s="606"/>
      <c r="S511" s="606"/>
      <c r="T511" s="607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hidden="1" customHeight="1" x14ac:dyDescent="0.25">
      <c r="A512" s="54" t="s">
        <v>793</v>
      </c>
      <c r="B512" s="54" t="s">
        <v>796</v>
      </c>
      <c r="C512" s="31">
        <v>4301031500</v>
      </c>
      <c r="D512" s="603">
        <v>4640242180595</v>
      </c>
      <c r="E512" s="604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7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6"/>
      <c r="R512" s="606"/>
      <c r="S512" s="606"/>
      <c r="T512" s="607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idden="1" x14ac:dyDescent="0.2">
      <c r="A513" s="617"/>
      <c r="B513" s="609"/>
      <c r="C513" s="609"/>
      <c r="D513" s="609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18"/>
      <c r="P513" s="613" t="s">
        <v>72</v>
      </c>
      <c r="Q513" s="614"/>
      <c r="R513" s="614"/>
      <c r="S513" s="614"/>
      <c r="T513" s="614"/>
      <c r="U513" s="614"/>
      <c r="V513" s="61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hidden="1" x14ac:dyDescent="0.2">
      <c r="A514" s="609"/>
      <c r="B514" s="609"/>
      <c r="C514" s="609"/>
      <c r="D514" s="609"/>
      <c r="E514" s="609"/>
      <c r="F514" s="609"/>
      <c r="G514" s="609"/>
      <c r="H514" s="609"/>
      <c r="I514" s="609"/>
      <c r="J514" s="609"/>
      <c r="K514" s="609"/>
      <c r="L514" s="609"/>
      <c r="M514" s="609"/>
      <c r="N514" s="609"/>
      <c r="O514" s="618"/>
      <c r="P514" s="613" t="s">
        <v>72</v>
      </c>
      <c r="Q514" s="614"/>
      <c r="R514" s="614"/>
      <c r="S514" s="614"/>
      <c r="T514" s="614"/>
      <c r="U514" s="614"/>
      <c r="V514" s="61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hidden="1" customHeight="1" x14ac:dyDescent="0.25">
      <c r="A515" s="608" t="s">
        <v>74</v>
      </c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  <c r="Z515" s="609"/>
      <c r="AA515" s="593"/>
      <c r="AB515" s="593"/>
      <c r="AC515" s="593"/>
    </row>
    <row r="516" spans="1:68" ht="27" hidden="1" customHeight="1" x14ac:dyDescent="0.25">
      <c r="A516" s="54" t="s">
        <v>798</v>
      </c>
      <c r="B516" s="54" t="s">
        <v>799</v>
      </c>
      <c r="C516" s="31">
        <v>4301052043</v>
      </c>
      <c r="D516" s="603">
        <v>4640242180533</v>
      </c>
      <c r="E516" s="604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7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06"/>
      <c r="R516" s="606"/>
      <c r="S516" s="606"/>
      <c r="T516" s="607"/>
      <c r="U516" s="34"/>
      <c r="V516" s="34"/>
      <c r="W516" s="35" t="s">
        <v>67</v>
      </c>
      <c r="X516" s="597">
        <v>0</v>
      </c>
      <c r="Y516" s="598">
        <f>IFERROR(IF(X516="",0,CEILING((X516/$H516),1)*$H516),"")</f>
        <v>0</v>
      </c>
      <c r="Z516" s="36" t="str">
        <f>IFERROR(IF(Y516=0,"",ROUNDUP(Y516/H516,0)*0.01898),"")</f>
        <v/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7"/>
      <c r="B517" s="609"/>
      <c r="C517" s="609"/>
      <c r="D517" s="609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18"/>
      <c r="P517" s="613" t="s">
        <v>72</v>
      </c>
      <c r="Q517" s="614"/>
      <c r="R517" s="614"/>
      <c r="S517" s="614"/>
      <c r="T517" s="614"/>
      <c r="U517" s="614"/>
      <c r="V517" s="615"/>
      <c r="W517" s="37" t="s">
        <v>73</v>
      </c>
      <c r="X517" s="599">
        <f>IFERROR(X516/H516,"0")</f>
        <v>0</v>
      </c>
      <c r="Y517" s="599">
        <f>IFERROR(Y516/H516,"0")</f>
        <v>0</v>
      </c>
      <c r="Z517" s="599">
        <f>IFERROR(IF(Z516="",0,Z516),"0")</f>
        <v>0</v>
      </c>
      <c r="AA517" s="600"/>
      <c r="AB517" s="600"/>
      <c r="AC517" s="600"/>
    </row>
    <row r="518" spans="1:68" hidden="1" x14ac:dyDescent="0.2">
      <c r="A518" s="609"/>
      <c r="B518" s="609"/>
      <c r="C518" s="609"/>
      <c r="D518" s="609"/>
      <c r="E518" s="609"/>
      <c r="F518" s="609"/>
      <c r="G518" s="609"/>
      <c r="H518" s="609"/>
      <c r="I518" s="609"/>
      <c r="J518" s="609"/>
      <c r="K518" s="609"/>
      <c r="L518" s="609"/>
      <c r="M518" s="609"/>
      <c r="N518" s="609"/>
      <c r="O518" s="618"/>
      <c r="P518" s="613" t="s">
        <v>72</v>
      </c>
      <c r="Q518" s="614"/>
      <c r="R518" s="614"/>
      <c r="S518" s="614"/>
      <c r="T518" s="614"/>
      <c r="U518" s="614"/>
      <c r="V518" s="615"/>
      <c r="W518" s="37" t="s">
        <v>67</v>
      </c>
      <c r="X518" s="599">
        <f>IFERROR(SUM(X516:X516),"0")</f>
        <v>0</v>
      </c>
      <c r="Y518" s="599">
        <f>IFERROR(SUM(Y516:Y516),"0")</f>
        <v>0</v>
      </c>
      <c r="Z518" s="37"/>
      <c r="AA518" s="600"/>
      <c r="AB518" s="600"/>
      <c r="AC518" s="600"/>
    </row>
    <row r="519" spans="1:68" ht="14.25" hidden="1" customHeight="1" x14ac:dyDescent="0.25">
      <c r="A519" s="608" t="s">
        <v>169</v>
      </c>
      <c r="B519" s="609"/>
      <c r="C519" s="609"/>
      <c r="D519" s="609"/>
      <c r="E519" s="609"/>
      <c r="F519" s="609"/>
      <c r="G519" s="609"/>
      <c r="H519" s="609"/>
      <c r="I519" s="609"/>
      <c r="J519" s="609"/>
      <c r="K519" s="609"/>
      <c r="L519" s="609"/>
      <c r="M519" s="609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  <c r="Z519" s="609"/>
      <c r="AA519" s="593"/>
      <c r="AB519" s="593"/>
      <c r="AC519" s="593"/>
    </row>
    <row r="520" spans="1:68" ht="27" hidden="1" customHeight="1" x14ac:dyDescent="0.25">
      <c r="A520" s="54" t="s">
        <v>801</v>
      </c>
      <c r="B520" s="54" t="s">
        <v>802</v>
      </c>
      <c r="C520" s="31">
        <v>4301060535</v>
      </c>
      <c r="D520" s="603">
        <v>4640242180120</v>
      </c>
      <c r="E520" s="604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92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06"/>
      <c r="R520" s="606"/>
      <c r="S520" s="606"/>
      <c r="T520" s="607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804</v>
      </c>
      <c r="B521" s="54" t="s">
        <v>805</v>
      </c>
      <c r="C521" s="31">
        <v>4301060536</v>
      </c>
      <c r="D521" s="603">
        <v>4640242180137</v>
      </c>
      <c r="E521" s="604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90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06"/>
      <c r="R521" s="606"/>
      <c r="S521" s="606"/>
      <c r="T521" s="607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17"/>
      <c r="B522" s="609"/>
      <c r="C522" s="609"/>
      <c r="D522" s="609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18"/>
      <c r="P522" s="613" t="s">
        <v>72</v>
      </c>
      <c r="Q522" s="614"/>
      <c r="R522" s="614"/>
      <c r="S522" s="614"/>
      <c r="T522" s="614"/>
      <c r="U522" s="614"/>
      <c r="V522" s="61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hidden="1" x14ac:dyDescent="0.2">
      <c r="A523" s="609"/>
      <c r="B523" s="609"/>
      <c r="C523" s="609"/>
      <c r="D523" s="609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18"/>
      <c r="P523" s="613" t="s">
        <v>72</v>
      </c>
      <c r="Q523" s="614"/>
      <c r="R523" s="614"/>
      <c r="S523" s="614"/>
      <c r="T523" s="614"/>
      <c r="U523" s="614"/>
      <c r="V523" s="61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hidden="1" customHeight="1" x14ac:dyDescent="0.25">
      <c r="A524" s="612" t="s">
        <v>807</v>
      </c>
      <c r="B524" s="609"/>
      <c r="C524" s="609"/>
      <c r="D524" s="609"/>
      <c r="E524" s="609"/>
      <c r="F524" s="609"/>
      <c r="G524" s="609"/>
      <c r="H524" s="609"/>
      <c r="I524" s="609"/>
      <c r="J524" s="609"/>
      <c r="K524" s="609"/>
      <c r="L524" s="609"/>
      <c r="M524" s="609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  <c r="Z524" s="609"/>
      <c r="AA524" s="592"/>
      <c r="AB524" s="592"/>
      <c r="AC524" s="592"/>
    </row>
    <row r="525" spans="1:68" ht="14.25" hidden="1" customHeight="1" x14ac:dyDescent="0.25">
      <c r="A525" s="608" t="s">
        <v>152</v>
      </c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  <c r="Z525" s="609"/>
      <c r="AA525" s="593"/>
      <c r="AB525" s="593"/>
      <c r="AC525" s="593"/>
    </row>
    <row r="526" spans="1:68" ht="27" hidden="1" customHeight="1" x14ac:dyDescent="0.25">
      <c r="A526" s="54" t="s">
        <v>808</v>
      </c>
      <c r="B526" s="54" t="s">
        <v>809</v>
      </c>
      <c r="C526" s="31">
        <v>4301020428</v>
      </c>
      <c r="D526" s="603">
        <v>4640242180090</v>
      </c>
      <c r="E526" s="604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7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06"/>
      <c r="R526" s="606"/>
      <c r="S526" s="606"/>
      <c r="T526" s="607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idden="1" x14ac:dyDescent="0.2">
      <c r="A527" s="617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8"/>
      <c r="P527" s="613" t="s">
        <v>72</v>
      </c>
      <c r="Q527" s="614"/>
      <c r="R527" s="614"/>
      <c r="S527" s="614"/>
      <c r="T527" s="614"/>
      <c r="U527" s="614"/>
      <c r="V527" s="61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hidden="1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8"/>
      <c r="P528" s="613" t="s">
        <v>72</v>
      </c>
      <c r="Q528" s="614"/>
      <c r="R528" s="614"/>
      <c r="S528" s="614"/>
      <c r="T528" s="614"/>
      <c r="U528" s="614"/>
      <c r="V528" s="61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866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793"/>
      <c r="P529" s="661" t="s">
        <v>811</v>
      </c>
      <c r="Q529" s="662"/>
      <c r="R529" s="662"/>
      <c r="S529" s="662"/>
      <c r="T529" s="662"/>
      <c r="U529" s="662"/>
      <c r="V529" s="630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9944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10123.780000000001</v>
      </c>
      <c r="Z529" s="37"/>
      <c r="AA529" s="600"/>
      <c r="AB529" s="600"/>
      <c r="AC529" s="600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793"/>
      <c r="P530" s="661" t="s">
        <v>812</v>
      </c>
      <c r="Q530" s="662"/>
      <c r="R530" s="662"/>
      <c r="S530" s="662"/>
      <c r="T530" s="662"/>
      <c r="U530" s="662"/>
      <c r="V530" s="630"/>
      <c r="W530" s="37" t="s">
        <v>67</v>
      </c>
      <c r="X530" s="599">
        <f>IFERROR(SUM(BM22:BM526),"0")</f>
        <v>10421.250833202372</v>
      </c>
      <c r="Y530" s="599">
        <f>IFERROR(SUM(BN22:BN526),"0")</f>
        <v>10611.424000000001</v>
      </c>
      <c r="Z530" s="37"/>
      <c r="AA530" s="600"/>
      <c r="AB530" s="600"/>
      <c r="AC530" s="600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793"/>
      <c r="P531" s="661" t="s">
        <v>813</v>
      </c>
      <c r="Q531" s="662"/>
      <c r="R531" s="662"/>
      <c r="S531" s="662"/>
      <c r="T531" s="662"/>
      <c r="U531" s="662"/>
      <c r="V531" s="630"/>
      <c r="W531" s="37" t="s">
        <v>814</v>
      </c>
      <c r="X531" s="38">
        <f>ROUNDUP(SUM(BO22:BO526),0)</f>
        <v>17</v>
      </c>
      <c r="Y531" s="38">
        <f>ROUNDUP(SUM(BP22:BP526),0)</f>
        <v>17</v>
      </c>
      <c r="Z531" s="37"/>
      <c r="AA531" s="600"/>
      <c r="AB531" s="600"/>
      <c r="AC531" s="600"/>
    </row>
    <row r="532" spans="1:32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793"/>
      <c r="P532" s="661" t="s">
        <v>815</v>
      </c>
      <c r="Q532" s="662"/>
      <c r="R532" s="662"/>
      <c r="S532" s="662"/>
      <c r="T532" s="662"/>
      <c r="U532" s="662"/>
      <c r="V532" s="630"/>
      <c r="W532" s="37" t="s">
        <v>67</v>
      </c>
      <c r="X532" s="599">
        <f>GrossWeightTotal+PalletQtyTotal*25</f>
        <v>10846.250833202372</v>
      </c>
      <c r="Y532" s="599">
        <f>GrossWeightTotalR+PalletQtyTotalR*25</f>
        <v>11036.424000000001</v>
      </c>
      <c r="Z532" s="37"/>
      <c r="AA532" s="600"/>
      <c r="AB532" s="600"/>
      <c r="AC532" s="600"/>
    </row>
    <row r="533" spans="1:32" x14ac:dyDescent="0.2">
      <c r="A533" s="609"/>
      <c r="B533" s="609"/>
      <c r="C533" s="609"/>
      <c r="D533" s="609"/>
      <c r="E533" s="609"/>
      <c r="F533" s="609"/>
      <c r="G533" s="609"/>
      <c r="H533" s="609"/>
      <c r="I533" s="609"/>
      <c r="J533" s="609"/>
      <c r="K533" s="609"/>
      <c r="L533" s="609"/>
      <c r="M533" s="609"/>
      <c r="N533" s="609"/>
      <c r="O533" s="793"/>
      <c r="P533" s="661" t="s">
        <v>816</v>
      </c>
      <c r="Q533" s="662"/>
      <c r="R533" s="662"/>
      <c r="S533" s="662"/>
      <c r="T533" s="662"/>
      <c r="U533" s="662"/>
      <c r="V533" s="630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1414.323734696103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1445</v>
      </c>
      <c r="Z533" s="37"/>
      <c r="AA533" s="600"/>
      <c r="AB533" s="600"/>
      <c r="AC533" s="600"/>
    </row>
    <row r="534" spans="1:32" ht="14.25" hidden="1" customHeight="1" x14ac:dyDescent="0.2">
      <c r="A534" s="609"/>
      <c r="B534" s="609"/>
      <c r="C534" s="609"/>
      <c r="D534" s="609"/>
      <c r="E534" s="609"/>
      <c r="F534" s="609"/>
      <c r="G534" s="609"/>
      <c r="H534" s="609"/>
      <c r="I534" s="609"/>
      <c r="J534" s="609"/>
      <c r="K534" s="609"/>
      <c r="L534" s="609"/>
      <c r="M534" s="609"/>
      <c r="N534" s="609"/>
      <c r="O534" s="793"/>
      <c r="P534" s="661" t="s">
        <v>817</v>
      </c>
      <c r="Q534" s="662"/>
      <c r="R534" s="662"/>
      <c r="S534" s="662"/>
      <c r="T534" s="662"/>
      <c r="U534" s="662"/>
      <c r="V534" s="630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19.284149999999993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01" t="s">
        <v>115</v>
      </c>
      <c r="E536" s="835"/>
      <c r="F536" s="835"/>
      <c r="G536" s="835"/>
      <c r="H536" s="835"/>
      <c r="I536" s="835"/>
      <c r="J536" s="757"/>
      <c r="K536" s="601" t="s">
        <v>324</v>
      </c>
      <c r="L536" s="835"/>
      <c r="M536" s="835"/>
      <c r="N536" s="835"/>
      <c r="O536" s="835"/>
      <c r="P536" s="835"/>
      <c r="Q536" s="835"/>
      <c r="R536" s="835"/>
      <c r="S536" s="835"/>
      <c r="T536" s="835"/>
      <c r="U536" s="757"/>
      <c r="V536" s="601" t="s">
        <v>643</v>
      </c>
      <c r="W536" s="757"/>
      <c r="X536" s="601" t="s">
        <v>703</v>
      </c>
      <c r="Y536" s="757"/>
      <c r="Z536" s="594" t="s">
        <v>739</v>
      </c>
      <c r="AA536" s="601" t="s">
        <v>786</v>
      </c>
      <c r="AB536" s="757"/>
      <c r="AC536" s="52"/>
      <c r="AF536" s="595"/>
    </row>
    <row r="537" spans="1:32" ht="14.25" customHeight="1" thickTop="1" x14ac:dyDescent="0.2">
      <c r="A537" s="886" t="s">
        <v>820</v>
      </c>
      <c r="B537" s="601" t="s">
        <v>61</v>
      </c>
      <c r="C537" s="601" t="s">
        <v>102</v>
      </c>
      <c r="D537" s="601" t="s">
        <v>116</v>
      </c>
      <c r="E537" s="601" t="s">
        <v>132</v>
      </c>
      <c r="F537" s="601" t="s">
        <v>176</v>
      </c>
      <c r="G537" s="601" t="s">
        <v>197</v>
      </c>
      <c r="H537" s="601" t="s">
        <v>241</v>
      </c>
      <c r="I537" s="601" t="s">
        <v>253</v>
      </c>
      <c r="J537" s="601" t="s">
        <v>115</v>
      </c>
      <c r="K537" s="601" t="s">
        <v>325</v>
      </c>
      <c r="L537" s="601" t="s">
        <v>337</v>
      </c>
      <c r="M537" s="601" t="s">
        <v>404</v>
      </c>
      <c r="N537" s="595"/>
      <c r="O537" s="601" t="s">
        <v>472</v>
      </c>
      <c r="P537" s="601" t="s">
        <v>505</v>
      </c>
      <c r="Q537" s="601" t="s">
        <v>521</v>
      </c>
      <c r="R537" s="601" t="s">
        <v>530</v>
      </c>
      <c r="S537" s="601" t="s">
        <v>551</v>
      </c>
      <c r="T537" s="601" t="s">
        <v>561</v>
      </c>
      <c r="U537" s="601" t="s">
        <v>633</v>
      </c>
      <c r="V537" s="601" t="s">
        <v>644</v>
      </c>
      <c r="W537" s="601" t="s">
        <v>687</v>
      </c>
      <c r="X537" s="601" t="s">
        <v>704</v>
      </c>
      <c r="Y537" s="601" t="s">
        <v>727</v>
      </c>
      <c r="Z537" s="601" t="s">
        <v>739</v>
      </c>
      <c r="AA537" s="601" t="s">
        <v>786</v>
      </c>
      <c r="AB537" s="601" t="s">
        <v>807</v>
      </c>
      <c r="AC537" s="52"/>
      <c r="AF537" s="595"/>
    </row>
    <row r="538" spans="1:32" ht="13.5" customHeight="1" thickBot="1" x14ac:dyDescent="0.25">
      <c r="A538" s="887"/>
      <c r="B538" s="602"/>
      <c r="C538" s="602"/>
      <c r="D538" s="602"/>
      <c r="E538" s="602"/>
      <c r="F538" s="602"/>
      <c r="G538" s="602"/>
      <c r="H538" s="602"/>
      <c r="I538" s="602"/>
      <c r="J538" s="602"/>
      <c r="K538" s="602"/>
      <c r="L538" s="602"/>
      <c r="M538" s="602"/>
      <c r="N538" s="595"/>
      <c r="O538" s="602"/>
      <c r="P538" s="602"/>
      <c r="Q538" s="602"/>
      <c r="R538" s="602"/>
      <c r="S538" s="602"/>
      <c r="T538" s="602"/>
      <c r="U538" s="602"/>
      <c r="V538" s="602"/>
      <c r="W538" s="602"/>
      <c r="X538" s="602"/>
      <c r="Y538" s="602"/>
      <c r="Z538" s="602"/>
      <c r="AA538" s="602"/>
      <c r="AB538" s="602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0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341.2</v>
      </c>
      <c r="F539" s="46">
        <f>IFERROR(Y87*1,"0")+IFERROR(Y88*1,"0")+IFERROR(Y89*1,"0")+IFERROR(Y90*1,"0")+IFERROR(Y94*1,"0")+IFERROR(Y95*1,"0")+IFERROR(Y96*1,"0")+IFERROR(Y97*1,"0")</f>
        <v>807.3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748.5</v>
      </c>
      <c r="H539" s="46">
        <f>IFERROR(Y134*1,"0")+IFERROR(Y135*1,"0")+IFERROR(Y139*1,"0")+IFERROR(Y140*1,"0")+IFERROR(Y144*1,"0")+IFERROR(Y145*1,"0")</f>
        <v>131.44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311.77999999999997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312.58000000000004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666.59999999999991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54.9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12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0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665.24</v>
      </c>
      <c r="U539" s="46">
        <f>IFERROR(Y394*1,"0")+IFERROR(Y395*1,"0")+IFERROR(Y396*1,"0")</f>
        <v>0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5013</v>
      </c>
      <c r="W539" s="46">
        <f>IFERROR(Y429*1,"0")+IFERROR(Y430*1,"0")+IFERROR(Y434*1,"0")+IFERROR(Y438*1,"0")+IFERROR(Y439*1,"0")+IFERROR(Y440*1,"0")</f>
        <v>0</v>
      </c>
      <c r="X539" s="46">
        <f>IFERROR(Y446*1,"0")+IFERROR(Y447*1,"0")+IFERROR(Y448*1,"0")+IFERROR(Y449*1,"0")+IFERROR(Y450*1,"0")+IFERROR(Y451*1,"0")+IFERROR(Y455*1,"0")+IFERROR(Y456*1,"0")</f>
        <v>113.4</v>
      </c>
      <c r="Y539" s="46">
        <f>IFERROR(Y461*1,"0")+IFERROR(Y465*1,"0")+IFERROR(Y466*1,"0")+IFERROR(Y467*1,"0")</f>
        <v>97.2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848.64</v>
      </c>
      <c r="AA539" s="46">
        <f>IFERROR(Y503*1,"0")+IFERROR(Y507*1,"0")+IFERROR(Y511*1,"0")+IFERROR(Y512*1,"0")+IFERROR(Y516*1,"0")+IFERROR(Y520*1,"0")+IFERROR(Y521*1,"0")</f>
        <v>0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53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242,00"/>
        <filter val="1 413,00"/>
        <filter val="1 414,32"/>
        <filter val="1 951,00"/>
        <filter val="10 421,25"/>
        <filter val="10 846,25"/>
        <filter val="10,00"/>
        <filter val="107,00"/>
        <filter val="11,00"/>
        <filter val="114,00"/>
        <filter val="116,00"/>
        <filter val="12,67"/>
        <filter val="125,10"/>
        <filter val="13,00"/>
        <filter val="13,33"/>
        <filter val="130,07"/>
        <filter val="143,73"/>
        <filter val="15,00"/>
        <filter val="15,67"/>
        <filter val="155,00"/>
        <filter val="159,00"/>
        <filter val="17"/>
        <filter val="17,41"/>
        <filter val="19,26"/>
        <filter val="19,81"/>
        <filter val="190,47"/>
        <filter val="192,00"/>
        <filter val="198,00"/>
        <filter val="2 857,00"/>
        <filter val="2,00"/>
        <filter val="20,00"/>
        <filter val="20,39"/>
        <filter val="20,83"/>
        <filter val="23,00"/>
        <filter val="24,00"/>
        <filter val="26,00"/>
        <filter val="265,00"/>
        <filter val="275,00"/>
        <filter val="276,00"/>
        <filter val="28,00"/>
        <filter val="285,00"/>
        <filter val="296,00"/>
        <filter val="3,00"/>
        <filter val="3,17"/>
        <filter val="3,33"/>
        <filter val="30,00"/>
        <filter val="301,00"/>
        <filter val="310,00"/>
        <filter val="314,00"/>
        <filter val="32,00"/>
        <filter val="329,00"/>
        <filter val="33,97"/>
        <filter val="34,00"/>
        <filter val="352,00"/>
        <filter val="37,71"/>
        <filter val="38,00"/>
        <filter val="39,00"/>
        <filter val="4,00"/>
        <filter val="4,52"/>
        <filter val="4,58"/>
        <filter val="44,00"/>
        <filter val="45,00"/>
        <filter val="47,00"/>
        <filter val="48,00"/>
        <filter val="488,00"/>
        <filter val="5,56"/>
        <filter val="54,00"/>
        <filter val="542,00"/>
        <filter val="55,00"/>
        <filter val="57,00"/>
        <filter val="57,01"/>
        <filter val="6,00"/>
        <filter val="6,17"/>
        <filter val="62,00"/>
        <filter val="62,22"/>
        <filter val="62,31"/>
        <filter val="63,00"/>
        <filter val="634,00"/>
        <filter val="640,00"/>
        <filter val="643,00"/>
        <filter val="65,00"/>
        <filter val="67,00"/>
        <filter val="672,00"/>
        <filter val="68,99"/>
        <filter val="7,00"/>
        <filter val="7,94"/>
        <filter val="78,00"/>
        <filter val="8,00"/>
        <filter val="8,50"/>
        <filter val="8,89"/>
        <filter val="81,60"/>
        <filter val="85,00"/>
        <filter val="9 944,00"/>
        <filter val="9,00"/>
        <filter val="90,86"/>
        <filter val="94,00"/>
        <filter val="99,40"/>
      </filters>
    </filterColumn>
    <filterColumn colId="29" showButton="0"/>
    <filterColumn colId="30" showButton="0"/>
  </autoFilter>
  <mergeCells count="947"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2026-07-03T15:56:06Z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