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0A5DCC-29E7-4FA9-98D2-227E27D69FA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AB539" i="1" s="1"/>
  <c r="P526" i="1"/>
  <c r="X523" i="1"/>
  <c r="X522" i="1"/>
  <c r="BO521" i="1"/>
  <c r="BM521" i="1"/>
  <c r="Y521" i="1"/>
  <c r="BP521" i="1" s="1"/>
  <c r="P521" i="1"/>
  <c r="BO520" i="1"/>
  <c r="BM520" i="1"/>
  <c r="Y520" i="1"/>
  <c r="BN520" i="1" s="1"/>
  <c r="P520" i="1"/>
  <c r="X518" i="1"/>
  <c r="X517" i="1"/>
  <c r="BO516" i="1"/>
  <c r="BM516" i="1"/>
  <c r="Y516" i="1"/>
  <c r="P516" i="1"/>
  <c r="X514" i="1"/>
  <c r="X513" i="1"/>
  <c r="BP512" i="1"/>
  <c r="BO512" i="1"/>
  <c r="BM512" i="1"/>
  <c r="Y512" i="1"/>
  <c r="BN512" i="1" s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BP496" i="1" s="1"/>
  <c r="P496" i="1"/>
  <c r="BO495" i="1"/>
  <c r="BM495" i="1"/>
  <c r="Y495" i="1"/>
  <c r="P495" i="1"/>
  <c r="BP494" i="1"/>
  <c r="BO494" i="1"/>
  <c r="BN494" i="1"/>
  <c r="BM494" i="1"/>
  <c r="Y494" i="1"/>
  <c r="Z494" i="1" s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Z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N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P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Y462" i="1"/>
  <c r="X462" i="1"/>
  <c r="BP461" i="1"/>
  <c r="BO461" i="1"/>
  <c r="BN461" i="1"/>
  <c r="BM461" i="1"/>
  <c r="Z461" i="1"/>
  <c r="Z462" i="1" s="1"/>
  <c r="Y461" i="1"/>
  <c r="P461" i="1"/>
  <c r="X458" i="1"/>
  <c r="X457" i="1"/>
  <c r="BO456" i="1"/>
  <c r="BM456" i="1"/>
  <c r="Y456" i="1"/>
  <c r="P456" i="1"/>
  <c r="BO455" i="1"/>
  <c r="BM455" i="1"/>
  <c r="Y455" i="1"/>
  <c r="Y457" i="1" s="1"/>
  <c r="P455" i="1"/>
  <c r="X453" i="1"/>
  <c r="X452" i="1"/>
  <c r="BO451" i="1"/>
  <c r="BM451" i="1"/>
  <c r="Y451" i="1"/>
  <c r="P451" i="1"/>
  <c r="BP450" i="1"/>
  <c r="BO450" i="1"/>
  <c r="BM450" i="1"/>
  <c r="Z450" i="1"/>
  <c r="Y450" i="1"/>
  <c r="BN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BP446" i="1" s="1"/>
  <c r="P446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BP438" i="1" s="1"/>
  <c r="P438" i="1"/>
  <c r="X436" i="1"/>
  <c r="X435" i="1"/>
  <c r="BP434" i="1"/>
  <c r="BO434" i="1"/>
  <c r="BM434" i="1"/>
  <c r="Z434" i="1"/>
  <c r="Z435" i="1" s="1"/>
  <c r="Y434" i="1"/>
  <c r="Y436" i="1" s="1"/>
  <c r="P434" i="1"/>
  <c r="X432" i="1"/>
  <c r="X431" i="1"/>
  <c r="BO430" i="1"/>
  <c r="BN430" i="1"/>
  <c r="BM430" i="1"/>
  <c r="Y430" i="1"/>
  <c r="BP430" i="1" s="1"/>
  <c r="P430" i="1"/>
  <c r="BO429" i="1"/>
  <c r="BM429" i="1"/>
  <c r="Y429" i="1"/>
  <c r="Y431" i="1" s="1"/>
  <c r="P429" i="1"/>
  <c r="X426" i="1"/>
  <c r="X425" i="1"/>
  <c r="BO424" i="1"/>
  <c r="BM424" i="1"/>
  <c r="Y424" i="1"/>
  <c r="P424" i="1"/>
  <c r="X422" i="1"/>
  <c r="X421" i="1"/>
  <c r="BO420" i="1"/>
  <c r="BM420" i="1"/>
  <c r="Y420" i="1"/>
  <c r="P420" i="1"/>
  <c r="BP419" i="1"/>
  <c r="BO419" i="1"/>
  <c r="BN419" i="1"/>
  <c r="BM419" i="1"/>
  <c r="Y419" i="1"/>
  <c r="Z419" i="1" s="1"/>
  <c r="P419" i="1"/>
  <c r="X417" i="1"/>
  <c r="X416" i="1"/>
  <c r="BO415" i="1"/>
  <c r="BN415" i="1"/>
  <c r="BM415" i="1"/>
  <c r="Y415" i="1"/>
  <c r="BP415" i="1" s="1"/>
  <c r="P415" i="1"/>
  <c r="BO414" i="1"/>
  <c r="BM414" i="1"/>
  <c r="Y414" i="1"/>
  <c r="P414" i="1"/>
  <c r="BO413" i="1"/>
  <c r="BN413" i="1"/>
  <c r="BM413" i="1"/>
  <c r="Z413" i="1"/>
  <c r="Y413" i="1"/>
  <c r="BP413" i="1" s="1"/>
  <c r="P413" i="1"/>
  <c r="X411" i="1"/>
  <c r="X410" i="1"/>
  <c r="BO409" i="1"/>
  <c r="BM409" i="1"/>
  <c r="Y409" i="1"/>
  <c r="BP409" i="1" s="1"/>
  <c r="P409" i="1"/>
  <c r="BO408" i="1"/>
  <c r="BM408" i="1"/>
  <c r="Y408" i="1"/>
  <c r="P408" i="1"/>
  <c r="BO407" i="1"/>
  <c r="BM407" i="1"/>
  <c r="Z407" i="1"/>
  <c r="Y407" i="1"/>
  <c r="BP407" i="1" s="1"/>
  <c r="P407" i="1"/>
  <c r="BO406" i="1"/>
  <c r="BM406" i="1"/>
  <c r="Y406" i="1"/>
  <c r="P406" i="1"/>
  <c r="BP405" i="1"/>
  <c r="BO405" i="1"/>
  <c r="BM405" i="1"/>
  <c r="Z405" i="1"/>
  <c r="Y405" i="1"/>
  <c r="BN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398" i="1"/>
  <c r="X397" i="1"/>
  <c r="BO396" i="1"/>
  <c r="BM396" i="1"/>
  <c r="Y396" i="1"/>
  <c r="P396" i="1"/>
  <c r="BP395" i="1"/>
  <c r="BO395" i="1"/>
  <c r="BM395" i="1"/>
  <c r="Z395" i="1"/>
  <c r="Y395" i="1"/>
  <c r="BN395" i="1" s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X385" i="1"/>
  <c r="X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BP380" i="1"/>
  <c r="BO380" i="1"/>
  <c r="BM380" i="1"/>
  <c r="Y380" i="1"/>
  <c r="BN380" i="1" s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P374" i="1"/>
  <c r="BO374" i="1"/>
  <c r="BN374" i="1"/>
  <c r="BM374" i="1"/>
  <c r="Y374" i="1"/>
  <c r="Z374" i="1" s="1"/>
  <c r="P374" i="1"/>
  <c r="X372" i="1"/>
  <c r="X371" i="1"/>
  <c r="BO370" i="1"/>
  <c r="BN370" i="1"/>
  <c r="BM370" i="1"/>
  <c r="Y370" i="1"/>
  <c r="BP370" i="1" s="1"/>
  <c r="P370" i="1"/>
  <c r="BO369" i="1"/>
  <c r="BM369" i="1"/>
  <c r="Y369" i="1"/>
  <c r="P369" i="1"/>
  <c r="BO368" i="1"/>
  <c r="BN368" i="1"/>
  <c r="BM368" i="1"/>
  <c r="Z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N362" i="1"/>
  <c r="BM362" i="1"/>
  <c r="Y362" i="1"/>
  <c r="BP362" i="1" s="1"/>
  <c r="P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BO358" i="1"/>
  <c r="BM358" i="1"/>
  <c r="Y358" i="1"/>
  <c r="BN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BP352" i="1" s="1"/>
  <c r="P352" i="1"/>
  <c r="BO351" i="1"/>
  <c r="BM351" i="1"/>
  <c r="Y351" i="1"/>
  <c r="P351" i="1"/>
  <c r="BP350" i="1"/>
  <c r="BO350" i="1"/>
  <c r="BM350" i="1"/>
  <c r="Y350" i="1"/>
  <c r="BN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N343" i="1"/>
  <c r="BM343" i="1"/>
  <c r="Z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N336" i="1"/>
  <c r="BM336" i="1"/>
  <c r="Y336" i="1"/>
  <c r="BP336" i="1" s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N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BN321" i="1" s="1"/>
  <c r="P321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BP314" i="1" s="1"/>
  <c r="P314" i="1"/>
  <c r="BO313" i="1"/>
  <c r="BM313" i="1"/>
  <c r="Y313" i="1"/>
  <c r="P313" i="1"/>
  <c r="BP312" i="1"/>
  <c r="BO312" i="1"/>
  <c r="BN312" i="1"/>
  <c r="BM312" i="1"/>
  <c r="Y312" i="1"/>
  <c r="Z312" i="1" s="1"/>
  <c r="P312" i="1"/>
  <c r="X309" i="1"/>
  <c r="X308" i="1"/>
  <c r="BO307" i="1"/>
  <c r="BN307" i="1"/>
  <c r="BM307" i="1"/>
  <c r="Y307" i="1"/>
  <c r="BP307" i="1" s="1"/>
  <c r="P307" i="1"/>
  <c r="BO306" i="1"/>
  <c r="BM306" i="1"/>
  <c r="Y306" i="1"/>
  <c r="P306" i="1"/>
  <c r="BO305" i="1"/>
  <c r="BN305" i="1"/>
  <c r="BM305" i="1"/>
  <c r="Z305" i="1"/>
  <c r="Y305" i="1"/>
  <c r="BP305" i="1" s="1"/>
  <c r="P305" i="1"/>
  <c r="X303" i="1"/>
  <c r="X302" i="1"/>
  <c r="BO301" i="1"/>
  <c r="BM301" i="1"/>
  <c r="Y301" i="1"/>
  <c r="P301" i="1"/>
  <c r="X299" i="1"/>
  <c r="X298" i="1"/>
  <c r="BO297" i="1"/>
  <c r="BN297" i="1"/>
  <c r="BM297" i="1"/>
  <c r="Y297" i="1"/>
  <c r="Y299" i="1" s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Z288" i="1"/>
  <c r="Y288" i="1"/>
  <c r="BN288" i="1" s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M281" i="1"/>
  <c r="Y281" i="1"/>
  <c r="BN281" i="1" s="1"/>
  <c r="P281" i="1"/>
  <c r="X279" i="1"/>
  <c r="X278" i="1"/>
  <c r="BO277" i="1"/>
  <c r="BN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N269" i="1"/>
  <c r="BM269" i="1"/>
  <c r="Y269" i="1"/>
  <c r="BP269" i="1" s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X264" i="1"/>
  <c r="X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M257" i="1"/>
  <c r="Z257" i="1"/>
  <c r="Y257" i="1"/>
  <c r="BN257" i="1" s="1"/>
  <c r="P257" i="1"/>
  <c r="BO256" i="1"/>
  <c r="BM256" i="1"/>
  <c r="Y256" i="1"/>
  <c r="P256" i="1"/>
  <c r="BO255" i="1"/>
  <c r="BM255" i="1"/>
  <c r="Y255" i="1"/>
  <c r="P255" i="1"/>
  <c r="X253" i="1"/>
  <c r="X252" i="1"/>
  <c r="BP251" i="1"/>
  <c r="BO251" i="1"/>
  <c r="BM251" i="1"/>
  <c r="Y251" i="1"/>
  <c r="Z251" i="1" s="1"/>
  <c r="P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N245" i="1"/>
  <c r="BM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M234" i="1"/>
  <c r="Z234" i="1"/>
  <c r="Y234" i="1"/>
  <c r="Y238" i="1" s="1"/>
  <c r="P234" i="1"/>
  <c r="X232" i="1"/>
  <c r="X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N228" i="1" s="1"/>
  <c r="BO227" i="1"/>
  <c r="BM227" i="1"/>
  <c r="Y227" i="1"/>
  <c r="X225" i="1"/>
  <c r="X224" i="1"/>
  <c r="BO223" i="1"/>
  <c r="BM223" i="1"/>
  <c r="Y223" i="1"/>
  <c r="BP223" i="1" s="1"/>
  <c r="P223" i="1"/>
  <c r="BO222" i="1"/>
  <c r="BN222" i="1"/>
  <c r="BM222" i="1"/>
  <c r="Y222" i="1"/>
  <c r="P222" i="1"/>
  <c r="BO221" i="1"/>
  <c r="BM221" i="1"/>
  <c r="Y221" i="1"/>
  <c r="BP221" i="1" s="1"/>
  <c r="P221" i="1"/>
  <c r="BO220" i="1"/>
  <c r="BN220" i="1"/>
  <c r="BM220" i="1"/>
  <c r="Z220" i="1"/>
  <c r="Y220" i="1"/>
  <c r="BP220" i="1" s="1"/>
  <c r="P220" i="1"/>
  <c r="BO219" i="1"/>
  <c r="BM219" i="1"/>
  <c r="Y219" i="1"/>
  <c r="BP219" i="1" s="1"/>
  <c r="P219" i="1"/>
  <c r="BP218" i="1"/>
  <c r="BO218" i="1"/>
  <c r="BM218" i="1"/>
  <c r="Z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N214" i="1"/>
  <c r="BM214" i="1"/>
  <c r="Y214" i="1"/>
  <c r="P214" i="1"/>
  <c r="BO213" i="1"/>
  <c r="BM213" i="1"/>
  <c r="Y213" i="1"/>
  <c r="BP213" i="1" s="1"/>
  <c r="P213" i="1"/>
  <c r="BO212" i="1"/>
  <c r="BN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Z210" i="1"/>
  <c r="Y210" i="1"/>
  <c r="BN210" i="1" s="1"/>
  <c r="P210" i="1"/>
  <c r="X208" i="1"/>
  <c r="X207" i="1"/>
  <c r="BO206" i="1"/>
  <c r="BM206" i="1"/>
  <c r="Y206" i="1"/>
  <c r="BN206" i="1" s="1"/>
  <c r="P206" i="1"/>
  <c r="X203" i="1"/>
  <c r="X202" i="1"/>
  <c r="BO201" i="1"/>
  <c r="BM201" i="1"/>
  <c r="Y201" i="1"/>
  <c r="BN201" i="1" s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X185" i="1"/>
  <c r="X184" i="1"/>
  <c r="BO183" i="1"/>
  <c r="BN183" i="1"/>
  <c r="BM183" i="1"/>
  <c r="Y183" i="1"/>
  <c r="P183" i="1"/>
  <c r="BO182" i="1"/>
  <c r="BM182" i="1"/>
  <c r="Y182" i="1"/>
  <c r="BP182" i="1" s="1"/>
  <c r="P182" i="1"/>
  <c r="BO181" i="1"/>
  <c r="BN181" i="1"/>
  <c r="BM181" i="1"/>
  <c r="Z181" i="1"/>
  <c r="Y181" i="1"/>
  <c r="BP181" i="1" s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N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X165" i="1"/>
  <c r="X164" i="1"/>
  <c r="BO163" i="1"/>
  <c r="BN163" i="1"/>
  <c r="BM163" i="1"/>
  <c r="Y163" i="1"/>
  <c r="Y165" i="1" s="1"/>
  <c r="P163" i="1"/>
  <c r="X161" i="1"/>
  <c r="X160" i="1"/>
  <c r="BO159" i="1"/>
  <c r="BM159" i="1"/>
  <c r="Y159" i="1"/>
  <c r="BN159" i="1" s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N152" i="1"/>
  <c r="BM152" i="1"/>
  <c r="Z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N150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2" i="1"/>
  <c r="X141" i="1"/>
  <c r="BO140" i="1"/>
  <c r="BM140" i="1"/>
  <c r="Y140" i="1"/>
  <c r="BP140" i="1" s="1"/>
  <c r="P140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BP122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M115" i="1"/>
  <c r="Y115" i="1"/>
  <c r="BP115" i="1" s="1"/>
  <c r="P115" i="1"/>
  <c r="BP114" i="1"/>
  <c r="BO114" i="1"/>
  <c r="BM114" i="1"/>
  <c r="Z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Z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Z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BN102" i="1" s="1"/>
  <c r="P102" i="1"/>
  <c r="X99" i="1"/>
  <c r="X98" i="1"/>
  <c r="BO97" i="1"/>
  <c r="BN97" i="1"/>
  <c r="BM97" i="1"/>
  <c r="Y97" i="1"/>
  <c r="Z97" i="1" s="1"/>
  <c r="P97" i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N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O76" i="1"/>
  <c r="BM76" i="1"/>
  <c r="Y76" i="1"/>
  <c r="Y78" i="1" s="1"/>
  <c r="P76" i="1"/>
  <c r="X74" i="1"/>
  <c r="X73" i="1"/>
  <c r="BP72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Y74" i="1" s="1"/>
  <c r="P69" i="1"/>
  <c r="X67" i="1"/>
  <c r="X66" i="1"/>
  <c r="BO65" i="1"/>
  <c r="BM65" i="1"/>
  <c r="Y65" i="1"/>
  <c r="BP65" i="1" s="1"/>
  <c r="P65" i="1"/>
  <c r="BO64" i="1"/>
  <c r="BM64" i="1"/>
  <c r="Z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Y51" i="1"/>
  <c r="Z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Z43" i="1"/>
  <c r="Y43" i="1"/>
  <c r="BN43" i="1" s="1"/>
  <c r="P43" i="1"/>
  <c r="BO42" i="1"/>
  <c r="BM42" i="1"/>
  <c r="Y42" i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M31" i="1"/>
  <c r="Z31" i="1"/>
  <c r="Y31" i="1"/>
  <c r="BN31" i="1" s="1"/>
  <c r="P31" i="1"/>
  <c r="BO30" i="1"/>
  <c r="BM30" i="1"/>
  <c r="Y30" i="1"/>
  <c r="BP30" i="1" s="1"/>
  <c r="P30" i="1"/>
  <c r="BP29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M23" i="1"/>
  <c r="Z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Z87" i="1" l="1"/>
  <c r="BP104" i="1"/>
  <c r="Z122" i="1"/>
  <c r="BP228" i="1"/>
  <c r="BN251" i="1"/>
  <c r="Z273" i="1"/>
  <c r="Z352" i="1"/>
  <c r="BP358" i="1"/>
  <c r="Z478" i="1"/>
  <c r="BP97" i="1"/>
  <c r="BP163" i="1"/>
  <c r="BP297" i="1"/>
  <c r="BN382" i="1"/>
  <c r="Y99" i="1"/>
  <c r="Y120" i="1"/>
  <c r="BN352" i="1"/>
  <c r="BN438" i="1"/>
  <c r="BN478" i="1"/>
  <c r="BP87" i="1"/>
  <c r="Y164" i="1"/>
  <c r="BP273" i="1"/>
  <c r="Y298" i="1"/>
  <c r="BN314" i="1"/>
  <c r="BN376" i="1"/>
  <c r="BN496" i="1"/>
  <c r="Z150" i="1"/>
  <c r="Z175" i="1"/>
  <c r="Z236" i="1"/>
  <c r="Z259" i="1"/>
  <c r="Z95" i="1"/>
  <c r="Z167" i="1"/>
  <c r="Z171" i="1"/>
  <c r="BP210" i="1"/>
  <c r="Z230" i="1"/>
  <c r="Z360" i="1"/>
  <c r="Z102" i="1"/>
  <c r="BN60" i="1"/>
  <c r="BP64" i="1"/>
  <c r="H539" i="1"/>
  <c r="BN175" i="1"/>
  <c r="BN236" i="1"/>
  <c r="BN259" i="1"/>
  <c r="Z281" i="1"/>
  <c r="BP288" i="1"/>
  <c r="BN407" i="1"/>
  <c r="BN486" i="1"/>
  <c r="Z72" i="1"/>
  <c r="BP102" i="1"/>
  <c r="BN167" i="1"/>
  <c r="BN230" i="1"/>
  <c r="BN360" i="1"/>
  <c r="Z380" i="1"/>
  <c r="Z512" i="1"/>
  <c r="Z60" i="1"/>
  <c r="BP43" i="1"/>
  <c r="Z89" i="1"/>
  <c r="BP95" i="1"/>
  <c r="Z124" i="1"/>
  <c r="Y147" i="1"/>
  <c r="Z159" i="1"/>
  <c r="BP171" i="1"/>
  <c r="Z275" i="1"/>
  <c r="Z350" i="1"/>
  <c r="BN293" i="1"/>
  <c r="X530" i="1"/>
  <c r="BN124" i="1"/>
  <c r="Z212" i="1"/>
  <c r="Z216" i="1"/>
  <c r="Z163" i="1"/>
  <c r="Z164" i="1" s="1"/>
  <c r="Z173" i="1"/>
  <c r="Z228" i="1"/>
  <c r="Z297" i="1"/>
  <c r="Z298" i="1" s="1"/>
  <c r="Z358" i="1"/>
  <c r="BN446" i="1"/>
  <c r="BP108" i="1"/>
  <c r="BP240" i="1"/>
  <c r="BN261" i="1"/>
  <c r="BN409" i="1"/>
  <c r="Y126" i="1"/>
  <c r="BP150" i="1"/>
  <c r="BP169" i="1"/>
  <c r="Z169" i="1"/>
  <c r="BP173" i="1"/>
  <c r="BP216" i="1"/>
  <c r="BN255" i="1"/>
  <c r="BP255" i="1"/>
  <c r="Z255" i="1"/>
  <c r="BN271" i="1"/>
  <c r="BP271" i="1"/>
  <c r="Z271" i="1"/>
  <c r="BN332" i="1"/>
  <c r="BP332" i="1"/>
  <c r="Z332" i="1"/>
  <c r="BN403" i="1"/>
  <c r="BP403" i="1"/>
  <c r="Z403" i="1"/>
  <c r="BN476" i="1"/>
  <c r="BP476" i="1"/>
  <c r="Z476" i="1"/>
  <c r="B539" i="1"/>
  <c r="BN27" i="1"/>
  <c r="BN45" i="1"/>
  <c r="BN53" i="1"/>
  <c r="BN62" i="1"/>
  <c r="BN70" i="1"/>
  <c r="BN76" i="1"/>
  <c r="BN106" i="1"/>
  <c r="BN112" i="1"/>
  <c r="BN135" i="1"/>
  <c r="BP177" i="1"/>
  <c r="Z177" i="1"/>
  <c r="K539" i="1"/>
  <c r="BP199" i="1"/>
  <c r="Z199" i="1"/>
  <c r="Y232" i="1"/>
  <c r="BP227" i="1"/>
  <c r="Z227" i="1"/>
  <c r="Y324" i="1"/>
  <c r="BN448" i="1"/>
  <c r="BP448" i="1"/>
  <c r="Z448" i="1"/>
  <c r="BN456" i="1"/>
  <c r="BP456" i="1"/>
  <c r="Z456" i="1"/>
  <c r="BN466" i="1"/>
  <c r="BP466" i="1"/>
  <c r="Z466" i="1"/>
  <c r="BP201" i="1"/>
  <c r="BP206" i="1"/>
  <c r="Z206" i="1"/>
  <c r="Z207" i="1" s="1"/>
  <c r="BN323" i="1"/>
  <c r="BP323" i="1"/>
  <c r="Z323" i="1"/>
  <c r="BN440" i="1"/>
  <c r="BP440" i="1"/>
  <c r="Z440" i="1"/>
  <c r="Y518" i="1"/>
  <c r="Y517" i="1"/>
  <c r="BN516" i="1"/>
  <c r="BP516" i="1"/>
  <c r="Z516" i="1"/>
  <c r="Z517" i="1" s="1"/>
  <c r="X531" i="1"/>
  <c r="X532" i="1" s="1"/>
  <c r="Z27" i="1"/>
  <c r="BP27" i="1"/>
  <c r="C539" i="1"/>
  <c r="Z45" i="1"/>
  <c r="Z53" i="1"/>
  <c r="E539" i="1"/>
  <c r="Z62" i="1"/>
  <c r="Z70" i="1"/>
  <c r="Z76" i="1"/>
  <c r="BP76" i="1"/>
  <c r="Z106" i="1"/>
  <c r="Z112" i="1"/>
  <c r="BP112" i="1"/>
  <c r="BN122" i="1"/>
  <c r="Z135" i="1"/>
  <c r="Y141" i="1"/>
  <c r="BP139" i="1"/>
  <c r="J539" i="1"/>
  <c r="BP159" i="1"/>
  <c r="BN177" i="1"/>
  <c r="BP183" i="1"/>
  <c r="Z183" i="1"/>
  <c r="BN199" i="1"/>
  <c r="Z201" i="1"/>
  <c r="Y207" i="1"/>
  <c r="BP214" i="1"/>
  <c r="Z214" i="1"/>
  <c r="BP222" i="1"/>
  <c r="Z222" i="1"/>
  <c r="BN227" i="1"/>
  <c r="BP245" i="1"/>
  <c r="Z245" i="1"/>
  <c r="Y303" i="1"/>
  <c r="Y302" i="1"/>
  <c r="BN301" i="1"/>
  <c r="BP301" i="1"/>
  <c r="Z301" i="1"/>
  <c r="Z302" i="1" s="1"/>
  <c r="BN316" i="1"/>
  <c r="BP316" i="1"/>
  <c r="Z316" i="1"/>
  <c r="BN492" i="1"/>
  <c r="BP492" i="1"/>
  <c r="Z492" i="1"/>
  <c r="Y179" i="1"/>
  <c r="Y185" i="1"/>
  <c r="Y189" i="1"/>
  <c r="BN234" i="1"/>
  <c r="BN240" i="1"/>
  <c r="Y241" i="1"/>
  <c r="Z261" i="1"/>
  <c r="Z269" i="1"/>
  <c r="Z277" i="1"/>
  <c r="Y283" i="1"/>
  <c r="Z293" i="1"/>
  <c r="Z307" i="1"/>
  <c r="Z314" i="1"/>
  <c r="Z321" i="1"/>
  <c r="Z324" i="1" s="1"/>
  <c r="BP321" i="1"/>
  <c r="Z330" i="1"/>
  <c r="Z336" i="1"/>
  <c r="Y365" i="1"/>
  <c r="Z362" i="1"/>
  <c r="Y371" i="1"/>
  <c r="Z370" i="1"/>
  <c r="Z376" i="1"/>
  <c r="Y384" i="1"/>
  <c r="Z382" i="1"/>
  <c r="Z409" i="1"/>
  <c r="Z415" i="1"/>
  <c r="Y421" i="1"/>
  <c r="Z430" i="1"/>
  <c r="BN434" i="1"/>
  <c r="Y435" i="1"/>
  <c r="Z438" i="1"/>
  <c r="Z446" i="1"/>
  <c r="Z474" i="1"/>
  <c r="Y522" i="1"/>
  <c r="Y224" i="1"/>
  <c r="Z480" i="1"/>
  <c r="Z496" i="1"/>
  <c r="Z520" i="1"/>
  <c r="BP520" i="1"/>
  <c r="Y237" i="1"/>
  <c r="BP246" i="1"/>
  <c r="BN246" i="1"/>
  <c r="BP256" i="1"/>
  <c r="BN256" i="1"/>
  <c r="Z256" i="1"/>
  <c r="BP260" i="1"/>
  <c r="BN260" i="1"/>
  <c r="Z260" i="1"/>
  <c r="BP272" i="1"/>
  <c r="BN272" i="1"/>
  <c r="Z272" i="1"/>
  <c r="BP276" i="1"/>
  <c r="BN276" i="1"/>
  <c r="Z276" i="1"/>
  <c r="BP289" i="1"/>
  <c r="BN289" i="1"/>
  <c r="Z289" i="1"/>
  <c r="BP306" i="1"/>
  <c r="BN306" i="1"/>
  <c r="Z306" i="1"/>
  <c r="Z308" i="1" s="1"/>
  <c r="Y308" i="1"/>
  <c r="BP337" i="1"/>
  <c r="BN337" i="1"/>
  <c r="Z337" i="1"/>
  <c r="Z338" i="1" s="1"/>
  <c r="S539" i="1"/>
  <c r="Y345" i="1"/>
  <c r="BP342" i="1"/>
  <c r="BN342" i="1"/>
  <c r="Z342" i="1"/>
  <c r="Y346" i="1"/>
  <c r="BP351" i="1"/>
  <c r="BN351" i="1"/>
  <c r="Z351" i="1"/>
  <c r="BP363" i="1"/>
  <c r="BN363" i="1"/>
  <c r="Z363" i="1"/>
  <c r="BP375" i="1"/>
  <c r="BN375" i="1"/>
  <c r="Z375" i="1"/>
  <c r="Y377" i="1"/>
  <c r="BP439" i="1"/>
  <c r="BN439" i="1"/>
  <c r="Z439" i="1"/>
  <c r="Y441" i="1"/>
  <c r="H9" i="1"/>
  <c r="A10" i="1"/>
  <c r="Y24" i="1"/>
  <c r="X529" i="1"/>
  <c r="Y34" i="1"/>
  <c r="Y38" i="1"/>
  <c r="Y46" i="1"/>
  <c r="Y56" i="1"/>
  <c r="Y67" i="1"/>
  <c r="Y73" i="1"/>
  <c r="Y79" i="1"/>
  <c r="Y83" i="1"/>
  <c r="Y92" i="1"/>
  <c r="Y98" i="1"/>
  <c r="Y109" i="1"/>
  <c r="Y119" i="1"/>
  <c r="Y127" i="1"/>
  <c r="Y131" i="1"/>
  <c r="Y136" i="1"/>
  <c r="Y142" i="1"/>
  <c r="Y146" i="1"/>
  <c r="Y155" i="1"/>
  <c r="Y160" i="1"/>
  <c r="Y178" i="1"/>
  <c r="Y184" i="1"/>
  <c r="Y190" i="1"/>
  <c r="Y194" i="1"/>
  <c r="Y202" i="1"/>
  <c r="Y225" i="1"/>
  <c r="Y231" i="1"/>
  <c r="BP268" i="1"/>
  <c r="BN268" i="1"/>
  <c r="Z268" i="1"/>
  <c r="Y294" i="1"/>
  <c r="BP329" i="1"/>
  <c r="BN329" i="1"/>
  <c r="Z329" i="1"/>
  <c r="Y333" i="1"/>
  <c r="Y339" i="1"/>
  <c r="BP359" i="1"/>
  <c r="BN359" i="1"/>
  <c r="Z359" i="1"/>
  <c r="Y372" i="1"/>
  <c r="BP367" i="1"/>
  <c r="BN367" i="1"/>
  <c r="Z367" i="1"/>
  <c r="Z377" i="1"/>
  <c r="F9" i="1"/>
  <c r="J9" i="1"/>
  <c r="Z22" i="1"/>
  <c r="Z24" i="1" s="1"/>
  <c r="BN22" i="1"/>
  <c r="BP22" i="1"/>
  <c r="X533" i="1"/>
  <c r="Y25" i="1"/>
  <c r="Z28" i="1"/>
  <c r="BN28" i="1"/>
  <c r="Z30" i="1"/>
  <c r="BN30" i="1"/>
  <c r="Z32" i="1"/>
  <c r="BN32" i="1"/>
  <c r="Z36" i="1"/>
  <c r="Z37" i="1" s="1"/>
  <c r="BN36" i="1"/>
  <c r="BP36" i="1"/>
  <c r="Z42" i="1"/>
  <c r="BN42" i="1"/>
  <c r="BP42" i="1"/>
  <c r="Z44" i="1"/>
  <c r="BN44" i="1"/>
  <c r="Y47" i="1"/>
  <c r="D539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6" i="1"/>
  <c r="Z69" i="1"/>
  <c r="BN69" i="1"/>
  <c r="BP69" i="1"/>
  <c r="Z71" i="1"/>
  <c r="BN71" i="1"/>
  <c r="Z77" i="1"/>
  <c r="Z78" i="1" s="1"/>
  <c r="BN77" i="1"/>
  <c r="Z81" i="1"/>
  <c r="Z83" i="1" s="1"/>
  <c r="BN81" i="1"/>
  <c r="BP81" i="1"/>
  <c r="F539" i="1"/>
  <c r="Z88" i="1"/>
  <c r="BN88" i="1"/>
  <c r="Z90" i="1"/>
  <c r="BN90" i="1"/>
  <c r="Y91" i="1"/>
  <c r="Z94" i="1"/>
  <c r="Z98" i="1" s="1"/>
  <c r="BN94" i="1"/>
  <c r="BP94" i="1"/>
  <c r="Z96" i="1"/>
  <c r="BN96" i="1"/>
  <c r="G539" i="1"/>
  <c r="Z103" i="1"/>
  <c r="BN103" i="1"/>
  <c r="Z105" i="1"/>
  <c r="BN105" i="1"/>
  <c r="Z107" i="1"/>
  <c r="BN107" i="1"/>
  <c r="Y110" i="1"/>
  <c r="Z113" i="1"/>
  <c r="BN113" i="1"/>
  <c r="Z115" i="1"/>
  <c r="BN115" i="1"/>
  <c r="Z117" i="1"/>
  <c r="BN117" i="1"/>
  <c r="Z123" i="1"/>
  <c r="Z126" i="1" s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39" i="1"/>
  <c r="Z151" i="1"/>
  <c r="BN151" i="1"/>
  <c r="Z153" i="1"/>
  <c r="BN153" i="1"/>
  <c r="Y154" i="1"/>
  <c r="Z158" i="1"/>
  <c r="BN158" i="1"/>
  <c r="BP158" i="1"/>
  <c r="Y161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Y203" i="1"/>
  <c r="L539" i="1"/>
  <c r="Y208" i="1"/>
  <c r="Z211" i="1"/>
  <c r="BN211" i="1"/>
  <c r="Z213" i="1"/>
  <c r="BN213" i="1"/>
  <c r="Z215" i="1"/>
  <c r="BN215" i="1"/>
  <c r="Z217" i="1"/>
  <c r="BN217" i="1"/>
  <c r="Z219" i="1"/>
  <c r="BN219" i="1"/>
  <c r="Z221" i="1"/>
  <c r="BN221" i="1"/>
  <c r="Z223" i="1"/>
  <c r="BN223" i="1"/>
  <c r="Z229" i="1"/>
  <c r="Z231" i="1" s="1"/>
  <c r="BN229" i="1"/>
  <c r="Z235" i="1"/>
  <c r="Z237" i="1" s="1"/>
  <c r="BN235" i="1"/>
  <c r="M539" i="1"/>
  <c r="Y247" i="1"/>
  <c r="Z246" i="1"/>
  <c r="Z247" i="1" s="1"/>
  <c r="Y248" i="1"/>
  <c r="Y253" i="1"/>
  <c r="BP250" i="1"/>
  <c r="BN250" i="1"/>
  <c r="Z250" i="1"/>
  <c r="Z252" i="1" s="1"/>
  <c r="Y263" i="1"/>
  <c r="BP258" i="1"/>
  <c r="BN258" i="1"/>
  <c r="Z258" i="1"/>
  <c r="BP262" i="1"/>
  <c r="BN262" i="1"/>
  <c r="Z262" i="1"/>
  <c r="Y264" i="1"/>
  <c r="Y279" i="1"/>
  <c r="BP266" i="1"/>
  <c r="BN266" i="1"/>
  <c r="Z266" i="1"/>
  <c r="BP270" i="1"/>
  <c r="BN270" i="1"/>
  <c r="Z270" i="1"/>
  <c r="BP274" i="1"/>
  <c r="BN274" i="1"/>
  <c r="Z274" i="1"/>
  <c r="Y278" i="1"/>
  <c r="BP282" i="1"/>
  <c r="BN282" i="1"/>
  <c r="Z282" i="1"/>
  <c r="Z283" i="1" s="1"/>
  <c r="Y284" i="1"/>
  <c r="O539" i="1"/>
  <c r="Y295" i="1"/>
  <c r="BP287" i="1"/>
  <c r="BN287" i="1"/>
  <c r="Z287" i="1"/>
  <c r="BP291" i="1"/>
  <c r="BN291" i="1"/>
  <c r="Z291" i="1"/>
  <c r="BP315" i="1"/>
  <c r="BN315" i="1"/>
  <c r="Z315" i="1"/>
  <c r="BP383" i="1"/>
  <c r="BN383" i="1"/>
  <c r="Z383" i="1"/>
  <c r="Y385" i="1"/>
  <c r="Y390" i="1"/>
  <c r="BP387" i="1"/>
  <c r="BN387" i="1"/>
  <c r="Z387" i="1"/>
  <c r="Y391" i="1"/>
  <c r="BP396" i="1"/>
  <c r="BN396" i="1"/>
  <c r="Z396" i="1"/>
  <c r="Y398" i="1"/>
  <c r="V539" i="1"/>
  <c r="Y411" i="1"/>
  <c r="BP402" i="1"/>
  <c r="BN402" i="1"/>
  <c r="Z402" i="1"/>
  <c r="BP406" i="1"/>
  <c r="BN406" i="1"/>
  <c r="Z406" i="1"/>
  <c r="Y410" i="1"/>
  <c r="BP414" i="1"/>
  <c r="BN414" i="1"/>
  <c r="Z414" i="1"/>
  <c r="Z416" i="1" s="1"/>
  <c r="Y416" i="1"/>
  <c r="BP449" i="1"/>
  <c r="BN449" i="1"/>
  <c r="Z449" i="1"/>
  <c r="BP467" i="1"/>
  <c r="BN467" i="1"/>
  <c r="Z467" i="1"/>
  <c r="Y469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Y489" i="1"/>
  <c r="BP493" i="1"/>
  <c r="BN493" i="1"/>
  <c r="Z493" i="1"/>
  <c r="BP497" i="1"/>
  <c r="BN497" i="1"/>
  <c r="Z497" i="1"/>
  <c r="Y499" i="1"/>
  <c r="Y504" i="1"/>
  <c r="BP503" i="1"/>
  <c r="BN503" i="1"/>
  <c r="Z503" i="1"/>
  <c r="Z504" i="1" s="1"/>
  <c r="AA539" i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13" i="1"/>
  <c r="BP292" i="1"/>
  <c r="BN292" i="1"/>
  <c r="Z292" i="1"/>
  <c r="Y309" i="1"/>
  <c r="BP313" i="1"/>
  <c r="BN313" i="1"/>
  <c r="Z313" i="1"/>
  <c r="Y317" i="1"/>
  <c r="BP322" i="1"/>
  <c r="BN322" i="1"/>
  <c r="Z322" i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BP404" i="1"/>
  <c r="BN404" i="1"/>
  <c r="Z404" i="1"/>
  <c r="BP408" i="1"/>
  <c r="BN408" i="1"/>
  <c r="Z408" i="1"/>
  <c r="Y417" i="1"/>
  <c r="BP420" i="1"/>
  <c r="BN420" i="1"/>
  <c r="Z420" i="1"/>
  <c r="Z421" i="1" s="1"/>
  <c r="Y422" i="1"/>
  <c r="Y425" i="1"/>
  <c r="BP424" i="1"/>
  <c r="BN424" i="1"/>
  <c r="Z424" i="1"/>
  <c r="Z425" i="1" s="1"/>
  <c r="Y426" i="1"/>
  <c r="W539" i="1"/>
  <c r="Y432" i="1"/>
  <c r="BP429" i="1"/>
  <c r="BN429" i="1"/>
  <c r="Z429" i="1"/>
  <c r="Z431" i="1" s="1"/>
  <c r="Y442" i="1"/>
  <c r="BP447" i="1"/>
  <c r="BN447" i="1"/>
  <c r="Z447" i="1"/>
  <c r="BP451" i="1"/>
  <c r="BN451" i="1"/>
  <c r="Z451" i="1"/>
  <c r="Y453" i="1"/>
  <c r="Y458" i="1"/>
  <c r="BP455" i="1"/>
  <c r="BN455" i="1"/>
  <c r="Z455" i="1"/>
  <c r="Z457" i="1" s="1"/>
  <c r="P539" i="1"/>
  <c r="Y318" i="1"/>
  <c r="Q539" i="1"/>
  <c r="Y325" i="1"/>
  <c r="R539" i="1"/>
  <c r="Y334" i="1"/>
  <c r="X539" i="1"/>
  <c r="Y452" i="1"/>
  <c r="Y539" i="1"/>
  <c r="Y463" i="1"/>
  <c r="Y468" i="1"/>
  <c r="BP465" i="1"/>
  <c r="BN465" i="1"/>
  <c r="Z465" i="1"/>
  <c r="Z468" i="1" s="1"/>
  <c r="BP475" i="1"/>
  <c r="BN475" i="1"/>
  <c r="Z475" i="1"/>
  <c r="BP479" i="1"/>
  <c r="BN479" i="1"/>
  <c r="Z479" i="1"/>
  <c r="BP487" i="1"/>
  <c r="BN487" i="1"/>
  <c r="Z487" i="1"/>
  <c r="Y498" i="1"/>
  <c r="BP491" i="1"/>
  <c r="BN491" i="1"/>
  <c r="Z491" i="1"/>
  <c r="BP495" i="1"/>
  <c r="BN495" i="1"/>
  <c r="Z495" i="1"/>
  <c r="Y523" i="1"/>
  <c r="Y528" i="1"/>
  <c r="Z521" i="1"/>
  <c r="Z522" i="1" s="1"/>
  <c r="BN521" i="1"/>
  <c r="Z526" i="1"/>
  <c r="Z527" i="1" s="1"/>
  <c r="BN526" i="1"/>
  <c r="BP526" i="1"/>
  <c r="Y527" i="1"/>
  <c r="Z73" i="1" l="1"/>
  <c r="Z160" i="1"/>
  <c r="Z441" i="1"/>
  <c r="Z154" i="1"/>
  <c r="Z397" i="1"/>
  <c r="Z178" i="1"/>
  <c r="Z119" i="1"/>
  <c r="Z33" i="1"/>
  <c r="Z263" i="1"/>
  <c r="Z371" i="1"/>
  <c r="Z488" i="1"/>
  <c r="Z91" i="1"/>
  <c r="Z333" i="1"/>
  <c r="Z452" i="1"/>
  <c r="Z317" i="1"/>
  <c r="Z224" i="1"/>
  <c r="Z202" i="1"/>
  <c r="Z109" i="1"/>
  <c r="Z66" i="1"/>
  <c r="Z46" i="1"/>
  <c r="Y529" i="1"/>
  <c r="Y531" i="1"/>
  <c r="Z498" i="1"/>
  <c r="Z384" i="1"/>
  <c r="Z364" i="1"/>
  <c r="Z354" i="1"/>
  <c r="Z482" i="1"/>
  <c r="Z410" i="1"/>
  <c r="Z390" i="1"/>
  <c r="Z294" i="1"/>
  <c r="Z278" i="1"/>
  <c r="Y530" i="1"/>
  <c r="Y533" i="1"/>
  <c r="Z345" i="1"/>
  <c r="Z534" i="1" l="1"/>
  <c r="Y532" i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<sst xmlns="http://schemas.openxmlformats.org/spreadsheetml/2006/main" count="2379" uniqueCount="864">
  <si>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</si>
  <si>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</si>
  <si>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</si>
  <si>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</si>
  <si>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</si>
  <si>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</si>
  <si>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</si>
  <si>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</si>
  <si>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</si>
  <si>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</si>
  <si>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</si>
  <si>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</si>
  <si>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</si>
  <si>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</si>
  <si>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</si>
  <si>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</si>
  <si>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</si>
  <si>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</si>
  <si>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</si>
  <si>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</si>
  <si>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</si>
  <si>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</si>
  <si>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</si>
  <si>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</si>
  <si>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</si>
  <si>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</si>
  <si>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</si>
  <si>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</si>
  <si>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</si>
  <si>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</si>
  <si>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</si>
  <si>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</si>
  <si>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</si>
  <si>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</si>
  <si>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</si>
  <si>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</si>
  <si>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</si>
  <si>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</si>
  <si>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</si>
  <si>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</si>
  <si>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</si>
  <si>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</si>
  <si>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</si>
  <si>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</si>
  <si>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</si>
  <si>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</si>
  <si>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</si>
  <si>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</si>
  <si>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</si>
  <si>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</si>
  <si>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</si>
  <si>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</si>
  <si>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</si>
  <si>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</si>
  <si>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</si>
  <si>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</si>
  <si>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</si>
  <si>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</si>
  <si>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</si>
  <si>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</si>
  <si>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</si>
  <si>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</si>
  <si>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</si>
  <si>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</si>
  <si>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</si>
  <si>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</si>
  <si>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</si>
  <si>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</si>
  <si>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</si>
  <si>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</si>
  <si>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</si>
  <si>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</si>
  <si>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</si>
  <si>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</si>
  <si>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</si>
  <si>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</si>
  <si>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</si>
  <si>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</si>
  <si>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</si>
  <si>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</si>
  <si>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</si>
  <si>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</si>
  <si>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</si>
  <si>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</si>
  <si>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</si>
  <si>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</si>
  <si>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</si>
  <si>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</si>
  <si>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</si>
  <si>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</si>
  <si>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</si>
  <si>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</si>
  <si>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</si>
  <si>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</si>
  <si>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</si>
  <si>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</si>
  <si>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</si>
  <si>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</si>
  <si>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</si>
  <si>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</si>
  <si>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</si>
  <si>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</si>
  <si>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</si>
  <si>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</si>
  <si>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</si>
  <si>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</si>
  <si>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</si>
  <si>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</si>
  <si>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</si>
  <si>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</si>
  <si>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</si>
  <si>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</si>
  <si>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</si>
  <si>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</si>
  <si>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</si>
  <si>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</si>
  <si>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</si>
  <si>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</si>
  <si>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</si>
  <si>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</si>
  <si>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</si>
  <si>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</si>
  <si>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</si>
  <si>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</si>
  <si>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</si>
  <si>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</si>
  <si>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</si>
  <si>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</si>
  <si>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</si>
  <si>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</si>
  <si>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</si>
  <si>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</si>
  <si>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</si>
  <si>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</si>
  <si>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</si>
  <si>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</si>
  <si>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</si>
  <si>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</si>
  <si>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</si>
  <si>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</si>
  <si>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</si>
  <si>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</si>
  <si>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</si>
  <si>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</si>
  <si>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</si>
  <si>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</si>
  <si>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</si>
  <si>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</si>
  <si>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</si>
  <si>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</si>
  <si>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</si>
  <si>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</si>
  <si>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</si>
  <si>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</si>
  <si>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</si>
  <si>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</si>
  <si>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</si>
  <si>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</si>
  <si>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</si>
  <si>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</si>
  <si>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</si>
  <si>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</si>
  <si>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</si>
  <si>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</si>
  <si>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</si>
  <si>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</si>
  <si>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</si>
  <si>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</si>
  <si>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</si>
  <si>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</si>
  <si>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</si>
  <si>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</si>
  <si>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</si>
  <si>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</si>
  <si>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</si>
  <si>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</si>
  <si>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</si>
  <si>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</si>
  <si>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</si>
  <si>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</si>
  <si>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</si>
  <si>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</si>
  <si>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</si>
  <si>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</si>
  <si>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</si>
  <si>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</si>
  <si>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</si>
  <si>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</si>
  <si>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</si>
  <si>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</si>
  <si>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</si>
  <si>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</si>
  <si>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</si>
  <si>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</si>
  <si>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</si>
  <si>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</si>
  <si>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</si>
  <si>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</si>
  <si>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</si>
  <si>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</si>
  <si>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</si>
  <si>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</si>
  <si>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</si>
  <si>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</si>
  <si>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</si>
  <si>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</si>
  <si>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</si>
  <si>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</si>
  <si>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</si>
  <si>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</si>
  <si>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</si>
  <si>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</si>
  <si>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</si>
  <si>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</si>
  <si>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</si>
  <si>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</si>
  <si>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</si>
  <si>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</si>
  <si>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</si>
  <si>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</si>
  <si>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</si>
  <si>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</si>
  <si>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</si>
  <si>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</si>
  <si>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</si>
  <si>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</si>
  <si>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</si>
  <si>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</si>
  <si>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</si>
  <si>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</si>
  <si>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</si>
  <si>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</si>
  <si>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</si>
  <si>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</si>
  <si>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</si>
  <si>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</si>
  <si>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</si>
  <si>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</si>
  <si>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</si>
  <si>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</si>
  <si>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</si>
  <si>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</si>
  <si>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</si>
  <si>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</si>
  <si>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</si>
  <si>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</si>
  <si>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</si>
  <si>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</si>
  <si>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</si>
  <si>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</si>
  <si>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</si>
  <si>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</si>
  <si>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</si>
  <si>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</si>
  <si>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</si>
  <si>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</si>
  <si>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</si>
  <si>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</si>
  <si>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</si>
  <si>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</si>
  <si>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</si>
  <si>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</si>
  <si>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</si>
  <si>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</si>
  <si>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</si>
  <si>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</si>
  <si>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</si>
  <si>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</si>
  <si>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</si>
  <si>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</si>
  <si>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</si>
  <si>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</si>
  <si>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</si>
  <si>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</si>
  <si>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</si>
  <si>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</si>
  <si>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</si>
  <si>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</si>
  <si>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</si>
  <si>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</si>
  <si>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</si>
  <si>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</si>
  <si>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</si>
  <si>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</si>
  <si>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</si>
  <si>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</si>
  <si>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</si>
  <si>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</si>
  <si>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</si>
  <si>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</si>
  <si>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</si>
  <si>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</si>
  <si>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</si>
  <si>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</si>
  <si>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</si>
  <si>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</si>
  <si>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</si>
  <si>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</si>
  <si>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</si>
  <si>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</si>
  <si>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</si>
  <si>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</si>
  <si>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</si>
  <si>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</si>
  <si>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</si>
  <si>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</si>
  <si>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</si>
  <si>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</si>
  <si>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</si>
  <si>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</si>
  <si>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</si>
  <si>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</si>
  <si>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</si>
  <si>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</si>
  <si>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</si>
  <si>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</si>
  <si>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</si>
  <si>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</si>
  <si>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</si>
  <si>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</si>
  <si>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</si>
  <si>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</si>
  <si>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</si>
  <si>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</si>
  <si>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</si>
  <si>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</si>
  <si>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</si>
  <si>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</si>
  <si>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</si>
  <si>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</si>
  <si>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</si>
  <si>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</si>
  <si>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</si>
  <si>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</si>
  <si>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</si>
  <si>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</si>
  <si>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</si>
  <si>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</si>
  <si>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</si>
  <si>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</si>
  <si>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</si>
  <si>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</si>
  <si>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</si>
  <si>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</si>
  <si>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</si>
  <si>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</si>
  <si>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</si>
  <si>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</si>
  <si>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</si>
  <si>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</si>
  <si>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</si>
  <si>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</si>
  <si>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</si>
  <si>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</si>
  <si>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</si>
  <si>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</si>
  <si>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</si>
  <si>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</si>
  <si>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</si>
  <si>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</si>
  <si>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</si>
  <si>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</si>
  <si>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</si>
  <si>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</si>
  <si>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</si>
  <si>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</si>
  <si>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</si>
  <si>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</si>
  <si>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</si>
  <si>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</si>
  <si>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</si>
  <si>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</si>
  <si>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</si>
  <si>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</si>
  <si>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</si>
  <si>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</si>
  <si>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</si>
  <si>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</si>
  <si>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</si>
  <si>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</si>
  <si>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</si>
  <si>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</si>
  <si>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</si>
  <si>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</si>
  <si>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</si>
  <si>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</si>
  <si>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</si>
  <si>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</si>
  <si>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</si>
  <si>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</si>
  <si>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</si>
  <si>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</si>
  <si>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</si>
  <si>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</si>
  <si>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</si>
  <si>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</si>
  <si>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</si>
  <si>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</si>
  <si>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</si>
  <si>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</si>
  <si>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</si>
  <si>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</si>
  <si>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</si>
  <si>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</si>
  <si>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</si>
  <si>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</si>
  <si>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</si>
  <si>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</si>
  <si>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</si>
  <si>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</si>
  <si>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</si>
  <si>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</si>
  <si>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</si>
  <si>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</si>
  <si>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</si>
  <si>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</si>
  <si>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</si>
  <si>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</si>
  <si>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</si>
  <si>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</si>
  <si>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</si>
  <si>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</si>
  <si>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</si>
  <si>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</si>
  <si>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</si>
  <si>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</si>
  <si>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</si>
  <si>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</si>
  <si>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</si>
  <si>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</si>
  <si>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</si>
  <si>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</si>
  <si>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</si>
  <si>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</si>
  <si>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</si>
  <si>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</si>
  <si>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</si>
  <si>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</si>
  <si>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</si>
  <si>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</si>
  <si>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</si>
  <si>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</si>
  <si>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</si>
  <si>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</si>
  <si>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</si>
  <si>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</si>
  <si>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</si>
  <si>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</si>
  <si>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</si>
  <si>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</si>
  <si>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</si>
  <si>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</si>
  <si>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</si>
  <si>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</si>
  <si>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</si>
  <si>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</si>
  <si>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</si>
  <si>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</si>
  <si>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</si>
  <si>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</si>
  <si>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</si>
  <si>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</si>
  <si>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</si>
  <si>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</si>
  <si>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</si>
  <si>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</si>
  <si>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</si>
  <si>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</si>
  <si>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</si>
  <si>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</si>
  <si>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</si>
  <si>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</si>
  <si>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</si>
  <si>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</si>
  <si>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</si>
  <si>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</si>
  <si>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</si>
  <si>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</si>
  <si>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</si>
  <si>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</si>
  <si>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</si>
  <si>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</si>
  <si>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</si>
  <si>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</si>
  <si>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</si>
  <si>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</si>
  <si>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</si>
  <si>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</si>
  <si>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</si>
  <si>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</si>
  <si>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</si>
  <si>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</si>
  <si>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</si>
  <si>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</si>
  <si>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</si>
  <si>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</si>
  <si>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</si>
  <si>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</si>
  <si>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</si>
  <si>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</si>
  <si>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</si>
  <si>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</si>
  <si>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</si>
  <si>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</si>
  <si>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</si>
  <si>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</si>
  <si>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</si>
  <si>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</si>
  <si>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</si>
  <si>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</si>
  <si>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</si>
  <si>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</si>
  <si>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</si>
  <si>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</si>
  <si>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</si>
  <si>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</si>
  <si>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</si>
  <si>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</si>
  <si>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</si>
  <si>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</si>
  <si>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</si>
  <si>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</si>
  <si>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</si>
  <si>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</si>
  <si>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</si>
  <si>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</si>
  <si>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</si>
  <si>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</si>
  <si>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</si>
  <si>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</si>
  <si>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</si>
  <si>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</si>
  <si>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</si>
  <si>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</si>
  <si>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</si>
  <si>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</si>
  <si>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</si>
  <si>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</si>
  <si>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</si>
  <si>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</si>
  <si>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</si>
  <si>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</si>
  <si>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</si>
  <si>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</si>
  <si>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</si>
  <si>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</si>
  <si>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</si>
  <si>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</si>
  <si>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</si>
  <si>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</si>
  <si>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</si>
  <si>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</si>
  <si>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</si>
  <si>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</si>
  <si>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</si>
  <si>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</si>
  <si>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</si>
  <si>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</si>
  <si>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</si>
  <si>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</si>
  <si>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</si>
  <si>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</si>
  <si>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</si>
  <si>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</si>
  <si>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</si>
  <si>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</si>
  <si>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</si>
  <si>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</si>
  <si>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</si>
  <si>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</si>
  <si>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</si>
  <si>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</si>
  <si>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</si>
  <si>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</si>
  <si>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</si>
  <si>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</si>
  <si>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</si>
  <si>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</si>
  <si>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</si>
  <si>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</si>
  <si>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</si>
  <si>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</si>
  <si>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</si>
  <si>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</si>
  <si>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</si>
  <si>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</si>
  <si>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</si>
  <si>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</si>
  <si>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</si>
  <si>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</si>
  <si>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</si>
  <si>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</si>
  <si>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</si>
  <si>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</si>
  <si>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</si>
  <si>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</si>
  <si>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</si>
  <si>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</si>
  <si>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</si>
  <si>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</si>
  <si>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</si>
  <si>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</si>
  <si>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</si>
  <si>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</si>
  <si>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</si>
  <si>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</si>
  <si>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</si>
  <si>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</si>
  <si>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</si>
  <si>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</si>
  <si>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</si>
  <si>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</si>
  <si>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</si>
  <si>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</si>
  <si>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</si>
  <si>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</si>
  <si>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</si>
  <si>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</si>
  <si>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</si>
  <si>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</si>
  <si>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</si>
  <si>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</si>
  <si>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</si>
  <si>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</si>
  <si>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</si>
  <si>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</si>
  <si>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</si>
  <si>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</si>
  <si>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</si>
  <si>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</si>
  <si>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</si>
  <si>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</si>
  <si>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</si>
  <si>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</si>
  <si>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</si>
  <si>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</si>
  <si>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</si>
  <si>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</si>
  <si>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</si>
  <si>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</si>
  <si>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</si>
  <si>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</si>
  <si>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</si>
  <si>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</si>
  <si>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</si>
  <si>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</si>
  <si>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</si>
  <si>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</si>
  <si>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</si>
  <si>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</si>
  <si>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</si>
  <si>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</si>
  <si>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</si>
  <si>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</si>
  <si>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</si>
  <si>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</si>
  <si>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</si>
  <si>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</si>
  <si>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</si>
  <si>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</si>
  <si>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</si>
  <si>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</si>
  <si>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</si>
  <si>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</si>
  <si>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</si>
  <si>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</si>
  <si>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</si>
  <si>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</si>
  <si>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</si>
  <si>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</si>
  <si>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</si>
  <si>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</si>
  <si>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</si>
  <si>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</si>
  <si>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</si>
  <si>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</si>
  <si>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</si>
  <si>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</si>
  <si>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</si>
  <si>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</si>
  <si>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</si>
  <si>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</si>
  <si>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</si>
  <si>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</si>
  <si>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</si>
  <si>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</si>
  <si>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</si>
  <si>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</si>
  <si>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</si>
  <si>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</si>
  <si>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</si>
  <si>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</si>
  <si>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</si>
  <si>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</si>
  <si>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</si>
  <si>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</si>
  <si>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</si>
  <si>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</si>
  <si>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</si>
  <si>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</si>
  <si>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</si>
  <si>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</si>
  <si>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</si>
  <si>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</si>
  <si>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</si>
  <si>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</si>
  <si>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</si>
  <si>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</si>
  <si>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</si>
  <si>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</si>
  <si>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</si>
  <si>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</si>
  <si>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</si>
  <si>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</si>
  <si>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</si>
  <si>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</si>
  <si>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</si>
  <si>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</si>
  <si>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</si>
  <si>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</si>
  <si>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</si>
  <si>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</si>
  <si>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</si>
  <si>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</si>
  <si>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</si>
  <si>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</si>
  <si>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</si>
  <si>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</si>
  <si>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</si>
  <si>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</si>
  <si>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</si>
  <si>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</si>
  <si>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</si>
  <si>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</si>
  <si>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</si>
  <si>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</si>
  <si>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</si>
  <si>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</si>
  <si>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</si>
  <si>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</si>
  <si>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</si>
  <si>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</si>
  <si>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</si>
  <si>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</si>
  <si>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</si>
  <si>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</si>
  <si>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</si>
  <si>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</si>
  <si>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</si>
  <si>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</si>
  <si>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</si>
  <si>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</si>
  <si>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</si>
  <si>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</si>
  <si>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</si>
  <si>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</si>
  <si>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</si>
  <si>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</si>
  <si>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</si>
  <si>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</si>
  <si>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</si>
  <si>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</si>
  <si>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</si>
  <si>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</si>
  <si>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</si>
  <si>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</si>
  <si>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</si>
  <si>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</si>
  <si>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</si>
  <si>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</si>
  <si>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</si>
  <si>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</si>
  <si>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</si>
  <si>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</si>
  <si>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</si>
  <si>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</si>
  <si>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</si>
  <si>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</si>
  <si>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</si>
  <si>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</si>
  <si>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</si>
  <si>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</si>
  <si>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</si>
  <si>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</si>
  <si>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</si>
  <si>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</si>
  <si>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</si>
  <si>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</si>
  <si>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</si>
  <si>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</si>
  <si>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</si>
  <si>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</si>
  <si>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</si>
  <si>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</si>
  <si>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</si>
  <si>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</si>
  <si>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</si>
  <si>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</si>
  <si>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</si>
  <si>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</si>
  <si>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</si>
  <si>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</si>
  <si>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</si>
  <si>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</si>
  <si>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</si>
  <si>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</si>
  <si>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</si>
  <si>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</si>
  <si>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</si>
  <si>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</si>
  <si>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</si>
  <si>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</si>
  <si>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</si>
  <si>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</si>
  <si>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</si>
  <si>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</si>
  <si>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</si>
  <si>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</si>
  <si>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</si>
  <si>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</si>
  <si>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</si>
  <si>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</si>
  <si>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</si>
  <si>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</si>
  <si>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</si>
  <si>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</si>
  <si>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</si>
  <si>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</si>
  <si>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</si>
  <si>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</si>
  <si>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</si>
  <si>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</si>
  <si>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</si>
  <si>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</si>
  <si>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</si>
  <si>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</si>
  <si>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</si>
  <si>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</si>
  <si>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</si>
  <si>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</si>
  <si>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</si>
  <si>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</si>
  <si>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</si>
  <si>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</si>
  <si>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</si>
  <si>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</si>
  <si>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</si>
  <si>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</si>
  <si>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</si>
  <si>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</si>
  <si>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</si>
  <si>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</si>
  <si>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</si>
  <si>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</si>
  <si>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</si>
  <si>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</si>
  <si>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</si>
  <si>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</si>
  <si>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</si>
  <si>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</si>
  <si>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</si>
  <si>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</si>
  <si>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</si>
  <si>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27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</si>
</sst>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 t="s">
        <v>863</v>
      </c>
      <c r="I5" s="857"/>
      <c r="J5" s="857"/>
      <c r="K5" s="857"/>
      <c r="L5" s="857"/>
      <c r="M5" s="687"/>
      <c r="N5" s="58"/>
      <c r="P5" s="24" t="s">
        <v>10</v>
      </c>
      <c r="Q5" s="898">
        <v>46209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 t="s">
        <v>839</v>
      </c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 t="str">
        <f>IFERROR(VLOOKUP(DeliveryAddress,Table,3,0),1)</f>
        <v>6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0.5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hidden="1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hidden="1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hidden="1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hidden="1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hidden="1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hidden="1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hidden="1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hidden="1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1005</v>
      </c>
      <c r="Y51" s="598">
        <f>IFERROR(IF(X51="",0,CEILING((X51/$H51),1)*$H51),"")</f>
        <v>1015.2</v>
      </c>
      <c r="Z51" s="36">
        <f>IFERROR(IF(Y51=0,"",ROUNDUP(Y51/H51,0)*0.01898),"")</f>
        <v>1.7841199999999999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1043.1527777777778</v>
      </c>
      <c r="BN51" s="64">
        <f>IFERROR(Y51*I51/H51,"0")</f>
        <v>1053.74</v>
      </c>
      <c r="BO51" s="64">
        <f>IFERROR(1/J51*(X51/H51),"0")</f>
        <v>1.4539930555555554</v>
      </c>
      <c r="BP51" s="64">
        <f>IFERROR(1/J51*(Y51/H51),"0")</f>
        <v>1.46875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105</v>
      </c>
      <c r="Y54" s="598">
        <f>IFERROR(IF(X54="",0,CEILING((X54/$H54),1)*$H54),"")</f>
        <v>107.30000000000001</v>
      </c>
      <c r="Z54" s="36">
        <f>IFERROR(IF(Y54=0,"",ROUNDUP(Y54/H54,0)*0.00902),"")</f>
        <v>0.26158000000000003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110.39189189189189</v>
      </c>
      <c r="BN54" s="64">
        <f>IFERROR(Y54*I54/H54,"0")</f>
        <v>112.81</v>
      </c>
      <c r="BO54" s="64">
        <f>IFERROR(1/J54*(X54/H54),"0")</f>
        <v>0.21498771498771496</v>
      </c>
      <c r="BP54" s="64">
        <f>IFERROR(1/J54*(Y54/H54),"0")</f>
        <v>0.2196969696969697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121.43393393393391</v>
      </c>
      <c r="Y55" s="599">
        <f>IFERROR(Y51/H51,"0")+IFERROR(Y52/H52,"0")+IFERROR(Y53/H53,"0")+IFERROR(Y54/H54,"0")</f>
        <v>123</v>
      </c>
      <c r="Z55" s="599">
        <f>IFERROR(IF(Z51="",0,Z51),"0")+IFERROR(IF(Z52="",0,Z52),"0")+IFERROR(IF(Z53="",0,Z53),"0")+IFERROR(IF(Z54="",0,Z54),"0")</f>
        <v>2.0457000000000001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1110</v>
      </c>
      <c r="Y56" s="599">
        <f>IFERROR(SUM(Y51:Y54),"0")</f>
        <v>1122.5</v>
      </c>
      <c r="Z56" s="37"/>
      <c r="AA56" s="600"/>
      <c r="AB56" s="600"/>
      <c r="AC56" s="600"/>
    </row>
    <row r="57" spans="1:68" ht="16.5" hidden="1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hidden="1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394</v>
      </c>
      <c r="Y59" s="598">
        <f t="shared" ref="Y59:Y65" si="6">IFERROR(IF(X59="",0,CEILING((X59/$H59),1)*$H59),"")</f>
        <v>403.2</v>
      </c>
      <c r="Z59" s="36">
        <f>IFERROR(IF(Y59=0,"",ROUNDUP(Y59/H59,0)*0.01898),"")</f>
        <v>0.68328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408.42321428571432</v>
      </c>
      <c r="BN59" s="64">
        <f t="shared" ref="BN59:BN65" si="8">IFERROR(Y59*I59/H59,"0")</f>
        <v>417.96000000000004</v>
      </c>
      <c r="BO59" s="64">
        <f t="shared" ref="BO59:BO65" si="9">IFERROR(1/J59*(X59/H59),"0")</f>
        <v>0.5496651785714286</v>
      </c>
      <c r="BP59" s="64">
        <f t="shared" ref="BP59:BP65" si="10">IFERROR(1/J59*(Y59/H59),"0")</f>
        <v>0.5625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261</v>
      </c>
      <c r="Y61" s="598">
        <f t="shared" si="6"/>
        <v>270</v>
      </c>
      <c r="Z61" s="36">
        <f>IFERROR(IF(Y61=0,"",ROUNDUP(Y61/H61,0)*0.01898),"")</f>
        <v>0.47450000000000003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270.90833333333336</v>
      </c>
      <c r="BN61" s="64">
        <f t="shared" si="8"/>
        <v>280.25</v>
      </c>
      <c r="BO61" s="64">
        <f t="shared" si="9"/>
        <v>0.37760416666666663</v>
      </c>
      <c r="BP61" s="64">
        <f t="shared" si="10"/>
        <v>0.390625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29</v>
      </c>
      <c r="Y63" s="598">
        <f t="shared" si="6"/>
        <v>32</v>
      </c>
      <c r="Z63" s="36">
        <f>IFERROR(IF(Y63=0,"",ROUNDUP(Y63/H63,0)*0.00902),"")</f>
        <v>7.2160000000000002E-2</v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30.377500000000001</v>
      </c>
      <c r="BN63" s="64">
        <f t="shared" si="8"/>
        <v>33.520000000000003</v>
      </c>
      <c r="BO63" s="64">
        <f t="shared" si="9"/>
        <v>5.4924242424242424E-2</v>
      </c>
      <c r="BP63" s="64">
        <f t="shared" si="10"/>
        <v>6.0606060606060608E-2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106</v>
      </c>
      <c r="Y65" s="598">
        <f t="shared" si="6"/>
        <v>108</v>
      </c>
      <c r="Z65" s="36">
        <f>IFERROR(IF(Y65=0,"",ROUNDUP(Y65/H65,0)*0.00902),"")</f>
        <v>0.21648000000000001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110.47555555555556</v>
      </c>
      <c r="BN65" s="64">
        <f t="shared" si="8"/>
        <v>112.56</v>
      </c>
      <c r="BO65" s="64">
        <f t="shared" si="9"/>
        <v>0.17845117845117847</v>
      </c>
      <c r="BP65" s="64">
        <f t="shared" si="10"/>
        <v>0.18181818181818182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90.150793650793659</v>
      </c>
      <c r="Y66" s="599">
        <f>IFERROR(Y59/H59,"0")+IFERROR(Y60/H60,"0")+IFERROR(Y61/H61,"0")+IFERROR(Y62/H62,"0")+IFERROR(Y63/H63,"0")+IFERROR(Y64/H64,"0")+IFERROR(Y65/H65,"0")</f>
        <v>93</v>
      </c>
      <c r="Z66" s="599">
        <f>IFERROR(IF(Z59="",0,Z59),"0")+IFERROR(IF(Z60="",0,Z60),"0")+IFERROR(IF(Z61="",0,Z61),"0")+IFERROR(IF(Z62="",0,Z62),"0")+IFERROR(IF(Z63="",0,Z63),"0")+IFERROR(IF(Z64="",0,Z64),"0")+IFERROR(IF(Z65="",0,Z65),"0")</f>
        <v>1.44642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790</v>
      </c>
      <c r="Y67" s="599">
        <f>IFERROR(SUM(Y59:Y65),"0")</f>
        <v>813.2</v>
      </c>
      <c r="Z67" s="37"/>
      <c r="AA67" s="600"/>
      <c r="AB67" s="600"/>
      <c r="AC67" s="600"/>
    </row>
    <row r="68" spans="1:68" ht="14.25" hidden="1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325</v>
      </c>
      <c r="Y69" s="598">
        <f>IFERROR(IF(X69="",0,CEILING((X69/$H69),1)*$H69),"")</f>
        <v>334.8</v>
      </c>
      <c r="Z69" s="36">
        <f>IFERROR(IF(Y69=0,"",ROUNDUP(Y69/H69,0)*0.01898),"")</f>
        <v>0.58838000000000001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337.33796296296299</v>
      </c>
      <c r="BN69" s="64">
        <f>IFERROR(Y69*I69/H69,"0")</f>
        <v>347.51000000000005</v>
      </c>
      <c r="BO69" s="64">
        <f>IFERROR(1/J69*(X69/H69),"0")</f>
        <v>0.47019675925925924</v>
      </c>
      <c r="BP69" s="64">
        <f>IFERROR(1/J69*(Y69/H69),"0")</f>
        <v>0.484375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30.092592592592592</v>
      </c>
      <c r="Y73" s="599">
        <f>IFERROR(Y69/H69,"0")+IFERROR(Y70/H70,"0")+IFERROR(Y71/H71,"0")+IFERROR(Y72/H72,"0")</f>
        <v>31</v>
      </c>
      <c r="Z73" s="599">
        <f>IFERROR(IF(Z69="",0,Z69),"0")+IFERROR(IF(Z70="",0,Z70),"0")+IFERROR(IF(Z71="",0,Z71),"0")+IFERROR(IF(Z72="",0,Z72),"0")</f>
        <v>0.58838000000000001</v>
      </c>
      <c r="AA73" s="600"/>
      <c r="AB73" s="600"/>
      <c r="AC73" s="600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325</v>
      </c>
      <c r="Y74" s="599">
        <f>IFERROR(SUM(Y69:Y72),"0")</f>
        <v>334.8</v>
      </c>
      <c r="Z74" s="37"/>
      <c r="AA74" s="600"/>
      <c r="AB74" s="600"/>
      <c r="AC74" s="600"/>
    </row>
    <row r="75" spans="1:68" ht="14.25" hidden="1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hidden="1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hidden="1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hidden="1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0</v>
      </c>
      <c r="Y81" s="59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0</v>
      </c>
      <c r="Y83" s="599">
        <f>IFERROR(Y81/H81,"0")+IFERROR(Y82/H82,"0")</f>
        <v>0</v>
      </c>
      <c r="Z83" s="599">
        <f>IFERROR(IF(Z81="",0,Z81),"0")+IFERROR(IF(Z82="",0,Z82),"0")</f>
        <v>0</v>
      </c>
      <c r="AA83" s="600"/>
      <c r="AB83" s="600"/>
      <c r="AC83" s="600"/>
    </row>
    <row r="84" spans="1:68" hidden="1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0</v>
      </c>
      <c r="Y84" s="599">
        <f>IFERROR(SUM(Y81:Y82),"0")</f>
        <v>0</v>
      </c>
      <c r="Z84" s="37"/>
      <c r="AA84" s="600"/>
      <c r="AB84" s="600"/>
      <c r="AC84" s="600"/>
    </row>
    <row r="85" spans="1:68" ht="16.5" hidden="1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hidden="1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277</v>
      </c>
      <c r="Y87" s="598">
        <f>IFERROR(IF(X87="",0,CEILING((X87/$H87),1)*$H87),"")</f>
        <v>280.8</v>
      </c>
      <c r="Z87" s="36">
        <f>IFERROR(IF(Y87=0,"",ROUNDUP(Y87/H87,0)*0.01898),"")</f>
        <v>0.49348000000000003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287.51574074074074</v>
      </c>
      <c r="BN87" s="64">
        <f>IFERROR(Y87*I87/H87,"0")</f>
        <v>291.46000000000004</v>
      </c>
      <c r="BO87" s="64">
        <f>IFERROR(1/J87*(X87/H87),"0")</f>
        <v>0.40075231481481477</v>
      </c>
      <c r="BP87" s="64">
        <f>IFERROR(1/J87*(Y87/H87),"0")</f>
        <v>0.40625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122</v>
      </c>
      <c r="Y90" s="598">
        <f>IFERROR(IF(X90="",0,CEILING((X90/$H90),1)*$H90),"")</f>
        <v>126</v>
      </c>
      <c r="Z90" s="36">
        <f>IFERROR(IF(Y90=0,"",ROUNDUP(Y90/H90,0)*0.00902),"")</f>
        <v>0.25256000000000001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127.15111111111112</v>
      </c>
      <c r="BN90" s="64">
        <f>IFERROR(Y90*I90/H90,"0")</f>
        <v>131.32000000000002</v>
      </c>
      <c r="BO90" s="64">
        <f>IFERROR(1/J90*(X90/H90),"0")</f>
        <v>0.2053872053872054</v>
      </c>
      <c r="BP90" s="64">
        <f>IFERROR(1/J90*(Y90/H90),"0")</f>
        <v>0.21212121212121213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52.759259259259252</v>
      </c>
      <c r="Y91" s="599">
        <f>IFERROR(Y87/H87,"0")+IFERROR(Y88/H88,"0")+IFERROR(Y89/H89,"0")+IFERROR(Y90/H90,"0")</f>
        <v>54</v>
      </c>
      <c r="Z91" s="599">
        <f>IFERROR(IF(Z87="",0,Z87),"0")+IFERROR(IF(Z88="",0,Z88),"0")+IFERROR(IF(Z89="",0,Z89),"0")+IFERROR(IF(Z90="",0,Z90),"0")</f>
        <v>0.74604000000000004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399</v>
      </c>
      <c r="Y92" s="599">
        <f>IFERROR(SUM(Y87:Y90),"0")</f>
        <v>406.8</v>
      </c>
      <c r="Z92" s="37"/>
      <c r="AA92" s="600"/>
      <c r="AB92" s="600"/>
      <c r="AC92" s="600"/>
    </row>
    <row r="93" spans="1:68" ht="14.25" hidden="1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744</v>
      </c>
      <c r="Y94" s="598">
        <f>IFERROR(IF(X94="",0,CEILING((X94/$H94),1)*$H94),"")</f>
        <v>745.19999999999993</v>
      </c>
      <c r="Z94" s="36">
        <f>IFERROR(IF(Y94=0,"",ROUNDUP(Y94/H94,0)*0.01898),"")</f>
        <v>1.7461599999999999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789.37481481481484</v>
      </c>
      <c r="BN94" s="64">
        <f>IFERROR(Y94*I94/H94,"0")</f>
        <v>790.64799999999991</v>
      </c>
      <c r="BO94" s="64">
        <f>IFERROR(1/J94*(X94/H94),"0")</f>
        <v>1.4351851851851853</v>
      </c>
      <c r="BP94" s="64">
        <f>IFERROR(1/J94*(Y94/H94),"0")</f>
        <v>1.4375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152</v>
      </c>
      <c r="Y96" s="598">
        <f>IFERROR(IF(X96="",0,CEILING((X96/$H96),1)*$H96),"")</f>
        <v>153.9</v>
      </c>
      <c r="Z96" s="36">
        <f>IFERROR(IF(Y96=0,"",ROUNDUP(Y96/H96,0)*0.00651),"")</f>
        <v>0.37107000000000001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166.18666666666667</v>
      </c>
      <c r="BN96" s="64">
        <f>IFERROR(Y96*I96/H96,"0")</f>
        <v>168.26400000000001</v>
      </c>
      <c r="BO96" s="64">
        <f>IFERROR(1/J96*(X96/H96),"0")</f>
        <v>0.30932030932030929</v>
      </c>
      <c r="BP96" s="64">
        <f>IFERROR(1/J96*(Y96/H96),"0")</f>
        <v>0.31318681318681318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148.14814814814815</v>
      </c>
      <c r="Y98" s="599">
        <f>IFERROR(Y94/H94,"0")+IFERROR(Y95/H95,"0")+IFERROR(Y96/H96,"0")+IFERROR(Y97/H97,"0")</f>
        <v>149</v>
      </c>
      <c r="Z98" s="599">
        <f>IFERROR(IF(Z94="",0,Z94),"0")+IFERROR(IF(Z95="",0,Z95),"0")+IFERROR(IF(Z96="",0,Z96),"0")+IFERROR(IF(Z97="",0,Z97),"0")</f>
        <v>2.1172300000000002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896</v>
      </c>
      <c r="Y99" s="599">
        <f>IFERROR(SUM(Y94:Y97),"0")</f>
        <v>899.09999999999991</v>
      </c>
      <c r="Z99" s="37"/>
      <c r="AA99" s="600"/>
      <c r="AB99" s="600"/>
      <c r="AC99" s="600"/>
    </row>
    <row r="100" spans="1:68" ht="16.5" hidden="1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hidden="1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220</v>
      </c>
      <c r="Y102" s="598">
        <f t="shared" ref="Y102:Y108" si="11">IFERROR(IF(X102="",0,CEILING((X102/$H102),1)*$H102),"")</f>
        <v>226.8</v>
      </c>
      <c r="Z102" s="36">
        <f>IFERROR(IF(Y102=0,"",ROUNDUP(Y102/H102,0)*0.01898),"")</f>
        <v>0.39857999999999999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228.35185185185188</v>
      </c>
      <c r="BN102" s="64">
        <f t="shared" ref="BN102:BN108" si="13">IFERROR(Y102*I102/H102,"0")</f>
        <v>235.41000000000003</v>
      </c>
      <c r="BO102" s="64">
        <f t="shared" ref="BO102:BO108" si="14">IFERROR(1/J102*(X102/H102),"0")</f>
        <v>0.31828703703703703</v>
      </c>
      <c r="BP102" s="64">
        <f t="shared" ref="BP102:BP108" si="15">IFERROR(1/J102*(Y102/H102),"0")</f>
        <v>0.328125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116</v>
      </c>
      <c r="Y107" s="598">
        <f t="shared" si="11"/>
        <v>117</v>
      </c>
      <c r="Z107" s="36">
        <f>IFERROR(IF(Y107=0,"",ROUNDUP(Y107/H107,0)*0.00902),"")</f>
        <v>0.23452000000000001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120.89777777777779</v>
      </c>
      <c r="BN107" s="64">
        <f t="shared" si="13"/>
        <v>121.94</v>
      </c>
      <c r="BO107" s="64">
        <f t="shared" si="14"/>
        <v>0.19528619528619529</v>
      </c>
      <c r="BP107" s="64">
        <f t="shared" si="15"/>
        <v>0.19696969696969696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46.148148148148152</v>
      </c>
      <c r="Y109" s="599">
        <f>IFERROR(Y102/H102,"0")+IFERROR(Y103/H103,"0")+IFERROR(Y104/H104,"0")+IFERROR(Y105/H105,"0")+IFERROR(Y106/H106,"0")+IFERROR(Y107/H107,"0")+IFERROR(Y108/H108,"0")</f>
        <v>47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0.6331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336</v>
      </c>
      <c r="Y110" s="599">
        <f>IFERROR(SUM(Y102:Y108),"0")</f>
        <v>343.8</v>
      </c>
      <c r="Z110" s="37"/>
      <c r="AA110" s="600"/>
      <c r="AB110" s="600"/>
      <c r="AC110" s="600"/>
    </row>
    <row r="111" spans="1:68" ht="14.25" hidden="1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51</v>
      </c>
      <c r="Y112" s="598">
        <f t="shared" ref="Y112:Y118" si="16"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52.93611111111111</v>
      </c>
      <c r="BN112" s="64">
        <f t="shared" ref="BN112:BN118" si="18">IFERROR(Y112*I112/H112,"0")</f>
        <v>56.05</v>
      </c>
      <c r="BO112" s="64">
        <f t="shared" ref="BO112:BO118" si="19">IFERROR(1/J112*(X112/H112),"0")</f>
        <v>7.3784722222222224E-2</v>
      </c>
      <c r="BP112" s="64">
        <f t="shared" ref="BP112:BP118" si="20">IFERROR(1/J112*(Y112/H112),"0")</f>
        <v>7.8125E-2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75</v>
      </c>
      <c r="Y117" s="598">
        <f t="shared" si="16"/>
        <v>76.8</v>
      </c>
      <c r="Z117" s="36">
        <f>IFERROR(IF(Y117=0,"",ROUNDUP(Y117/H117,0)*0.00651),"")</f>
        <v>0.20832000000000001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80.625</v>
      </c>
      <c r="BN117" s="64">
        <f t="shared" si="18"/>
        <v>82.56</v>
      </c>
      <c r="BO117" s="64">
        <f t="shared" si="19"/>
        <v>0.1717032967032967</v>
      </c>
      <c r="BP117" s="64">
        <f t="shared" si="20"/>
        <v>0.17582417582417584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35.972222222222221</v>
      </c>
      <c r="Y119" s="599">
        <f>IFERROR(Y112/H112,"0")+IFERROR(Y113/H113,"0")+IFERROR(Y114/H114,"0")+IFERROR(Y115/H115,"0")+IFERROR(Y116/H116,"0")+IFERROR(Y117/H117,"0")+IFERROR(Y118/H118,"0")</f>
        <v>37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0.30321999999999999</v>
      </c>
      <c r="AA119" s="600"/>
      <c r="AB119" s="600"/>
      <c r="AC119" s="600"/>
    </row>
    <row r="120" spans="1:68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126</v>
      </c>
      <c r="Y120" s="599">
        <f>IFERROR(SUM(Y112:Y118),"0")</f>
        <v>130.80000000000001</v>
      </c>
      <c r="Z120" s="37"/>
      <c r="AA120" s="600"/>
      <c r="AB120" s="600"/>
      <c r="AC120" s="600"/>
    </row>
    <row r="121" spans="1:68" ht="14.25" hidden="1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541</v>
      </c>
      <c r="Y122" s="598">
        <f>IFERROR(IF(X122="",0,CEILING((X122/$H122),1)*$H122),"")</f>
        <v>542.69999999999993</v>
      </c>
      <c r="Z122" s="36">
        <f>IFERROR(IF(Y122=0,"",ROUNDUP(Y122/H122,0)*0.01898),"")</f>
        <v>1.27166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573.59358024691346</v>
      </c>
      <c r="BN122" s="64">
        <f>IFERROR(Y122*I122/H122,"0")</f>
        <v>575.39599999999984</v>
      </c>
      <c r="BO122" s="64">
        <f>IFERROR(1/J122*(X122/H122),"0")</f>
        <v>1.0435956790123457</v>
      </c>
      <c r="BP122" s="64">
        <f>IFERROR(1/J122*(Y122/H122),"0")</f>
        <v>1.046875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157</v>
      </c>
      <c r="Y124" s="598">
        <f>IFERROR(IF(X124="",0,CEILING((X124/$H124),1)*$H124),"")</f>
        <v>159.30000000000001</v>
      </c>
      <c r="Z124" s="36">
        <f>IFERROR(IF(Y124=0,"",ROUNDUP(Y124/H124,0)*0.00651),"")</f>
        <v>0.38408999999999999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171.65333333333331</v>
      </c>
      <c r="BN124" s="64">
        <f>IFERROR(Y124*I124/H124,"0")</f>
        <v>174.16799999999998</v>
      </c>
      <c r="BO124" s="64">
        <f>IFERROR(1/J124*(X124/H124),"0")</f>
        <v>0.31949531949531951</v>
      </c>
      <c r="BP124" s="64">
        <f>IFERROR(1/J124*(Y124/H124),"0")</f>
        <v>0.32417582417582419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124.93827160493828</v>
      </c>
      <c r="Y126" s="599">
        <f>IFERROR(Y122/H122,"0")+IFERROR(Y123/H123,"0")+IFERROR(Y124/H124,"0")+IFERROR(Y125/H125,"0")</f>
        <v>126</v>
      </c>
      <c r="Z126" s="599">
        <f>IFERROR(IF(Z122="",0,Z122),"0")+IFERROR(IF(Z123="",0,Z123),"0")+IFERROR(IF(Z124="",0,Z124),"0")+IFERROR(IF(Z125="",0,Z125),"0")</f>
        <v>1.6557500000000001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698</v>
      </c>
      <c r="Y127" s="599">
        <f>IFERROR(SUM(Y122:Y125),"0")</f>
        <v>702</v>
      </c>
      <c r="Z127" s="37"/>
      <c r="AA127" s="600"/>
      <c r="AB127" s="600"/>
      <c r="AC127" s="600"/>
    </row>
    <row r="128" spans="1:68" ht="14.25" hidden="1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hidden="1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hidden="1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hidden="1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hidden="1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41</v>
      </c>
      <c r="Y134" s="598">
        <f>IFERROR(IF(X134="",0,CEILING((X134/$H134),1)*$H134),"")</f>
        <v>41.6</v>
      </c>
      <c r="Z134" s="36">
        <f>IFERROR(IF(Y134=0,"",ROUNDUP(Y134/H134,0)*0.00651),"")</f>
        <v>8.4629999999999997E-2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43.306249999999991</v>
      </c>
      <c r="BN134" s="64">
        <f>IFERROR(Y134*I134/H134,"0")</f>
        <v>43.94</v>
      </c>
      <c r="BO134" s="64">
        <f>IFERROR(1/J134*(X134/H134),"0")</f>
        <v>7.0398351648351648E-2</v>
      </c>
      <c r="BP134" s="64">
        <f>IFERROR(1/J134*(Y134/H134),"0")</f>
        <v>7.1428571428571438E-2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12.8125</v>
      </c>
      <c r="Y136" s="599">
        <f>IFERROR(Y134/H134,"0")+IFERROR(Y135/H135,"0")</f>
        <v>13</v>
      </c>
      <c r="Z136" s="599">
        <f>IFERROR(IF(Z134="",0,Z134),"0")+IFERROR(IF(Z135="",0,Z135),"0")</f>
        <v>8.4629999999999997E-2</v>
      </c>
      <c r="AA136" s="600"/>
      <c r="AB136" s="600"/>
      <c r="AC136" s="600"/>
    </row>
    <row r="137" spans="1:68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41</v>
      </c>
      <c r="Y137" s="599">
        <f>IFERROR(SUM(Y134:Y135),"0")</f>
        <v>41.6</v>
      </c>
      <c r="Z137" s="37"/>
      <c r="AA137" s="600"/>
      <c r="AB137" s="600"/>
      <c r="AC137" s="600"/>
    </row>
    <row r="138" spans="1:68" ht="14.25" hidden="1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50</v>
      </c>
      <c r="Y139" s="598">
        <f>IFERROR(IF(X139="",0,CEILING((X139/$H139),1)*$H139),"")</f>
        <v>50.4</v>
      </c>
      <c r="Z139" s="36">
        <f>IFERROR(IF(Y139=0,"",ROUNDUP(Y139/H139,0)*0.00651),"")</f>
        <v>0.11718000000000001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54.785714285714292</v>
      </c>
      <c r="BN139" s="64">
        <f>IFERROR(Y139*I139/H139,"0")</f>
        <v>55.223999999999997</v>
      </c>
      <c r="BO139" s="64">
        <f>IFERROR(1/J139*(X139/H139),"0")</f>
        <v>9.8116169544740978E-2</v>
      </c>
      <c r="BP139" s="64">
        <f>IFERROR(1/J139*(Y139/H139),"0")</f>
        <v>9.8901098901098911E-2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17.857142857142858</v>
      </c>
      <c r="Y141" s="599">
        <f>IFERROR(Y139/H139,"0")+IFERROR(Y140/H140,"0")</f>
        <v>18</v>
      </c>
      <c r="Z141" s="599">
        <f>IFERROR(IF(Z139="",0,Z139),"0")+IFERROR(IF(Z140="",0,Z140),"0")</f>
        <v>0.11718000000000001</v>
      </c>
      <c r="AA141" s="600"/>
      <c r="AB141" s="600"/>
      <c r="AC141" s="600"/>
    </row>
    <row r="142" spans="1:68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50</v>
      </c>
      <c r="Y142" s="599">
        <f>IFERROR(SUM(Y139:Y140),"0")</f>
        <v>50.4</v>
      </c>
      <c r="Z142" s="37"/>
      <c r="AA142" s="600"/>
      <c r="AB142" s="600"/>
      <c r="AC142" s="600"/>
    </row>
    <row r="143" spans="1:68" ht="14.25" hidden="1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34</v>
      </c>
      <c r="Y144" s="598">
        <f>IFERROR(IF(X144="",0,CEILING((X144/$H144),1)*$H144),"")</f>
        <v>34.32</v>
      </c>
      <c r="Z144" s="36">
        <f>IFERROR(IF(Y144=0,"",ROUNDUP(Y144/H144,0)*0.00651),"")</f>
        <v>8.4629999999999997E-2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37.451515151515153</v>
      </c>
      <c r="BN144" s="64">
        <f>IFERROR(Y144*I144/H144,"0")</f>
        <v>37.803999999999995</v>
      </c>
      <c r="BO144" s="64">
        <f>IFERROR(1/J144*(X144/H144),"0")</f>
        <v>7.0762570762570767E-2</v>
      </c>
      <c r="BP144" s="64">
        <f>IFERROR(1/J144*(Y144/H144),"0")</f>
        <v>7.1428571428571438E-2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12.878787878787879</v>
      </c>
      <c r="Y146" s="599">
        <f>IFERROR(Y144/H144,"0")+IFERROR(Y145/H145,"0")</f>
        <v>13</v>
      </c>
      <c r="Z146" s="599">
        <f>IFERROR(IF(Z144="",0,Z144),"0")+IFERROR(IF(Z145="",0,Z145),"0")</f>
        <v>8.4629999999999997E-2</v>
      </c>
      <c r="AA146" s="600"/>
      <c r="AB146" s="600"/>
      <c r="AC146" s="600"/>
    </row>
    <row r="147" spans="1:68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34</v>
      </c>
      <c r="Y147" s="599">
        <f>IFERROR(SUM(Y144:Y145),"0")</f>
        <v>34.32</v>
      </c>
      <c r="Z147" s="37"/>
      <c r="AA147" s="600"/>
      <c r="AB147" s="600"/>
      <c r="AC147" s="600"/>
    </row>
    <row r="148" spans="1:68" ht="16.5" hidden="1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hidden="1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hidden="1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140</v>
      </c>
      <c r="Y158" s="598">
        <f>IFERROR(IF(X158="",0,CEILING((X158/$H158),1)*$H158),"")</f>
        <v>140.80000000000001</v>
      </c>
      <c r="Z158" s="36">
        <f>IFERROR(IF(Y158=0,"",ROUNDUP(Y158/H158,0)*0.01898),"")</f>
        <v>0.20877999999999999</v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144.484375</v>
      </c>
      <c r="BN158" s="64">
        <f>IFERROR(Y158*I158/H158,"0")</f>
        <v>145.31</v>
      </c>
      <c r="BO158" s="64">
        <f>IFERROR(1/J158*(X158/H158),"0")</f>
        <v>0.1708984375</v>
      </c>
      <c r="BP158" s="64">
        <f>IFERROR(1/J158*(Y158/H158),"0")</f>
        <v>0.171875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10.9375</v>
      </c>
      <c r="Y160" s="599">
        <f>IFERROR(Y158/H158,"0")+IFERROR(Y159/H159,"0")</f>
        <v>11</v>
      </c>
      <c r="Z160" s="599">
        <f>IFERROR(IF(Z158="",0,Z158),"0")+IFERROR(IF(Z159="",0,Z159),"0")</f>
        <v>0.20877999999999999</v>
      </c>
      <c r="AA160" s="600"/>
      <c r="AB160" s="600"/>
      <c r="AC160" s="600"/>
    </row>
    <row r="161" spans="1:68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140</v>
      </c>
      <c r="Y161" s="599">
        <f>IFERROR(SUM(Y158:Y159),"0")</f>
        <v>140.80000000000001</v>
      </c>
      <c r="Z161" s="37"/>
      <c r="AA161" s="600"/>
      <c r="AB161" s="600"/>
      <c r="AC161" s="600"/>
    </row>
    <row r="162" spans="1:68" ht="14.25" hidden="1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hidden="1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98</v>
      </c>
      <c r="Y170" s="598">
        <f t="shared" si="21"/>
        <v>98</v>
      </c>
      <c r="Z170" s="36">
        <f>IFERROR(IF(Y170=0,"",ROUNDUP(Y170/H170,0)*0.00902),"")</f>
        <v>0.25256000000000001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103.32000000000001</v>
      </c>
      <c r="BN170" s="64">
        <f t="shared" si="23"/>
        <v>103.32000000000001</v>
      </c>
      <c r="BO170" s="64">
        <f t="shared" si="24"/>
        <v>0.21212121212121213</v>
      </c>
      <c r="BP170" s="64">
        <f t="shared" si="25"/>
        <v>0.21212121212121213</v>
      </c>
    </row>
    <row r="171" spans="1:68" ht="16.5" hidden="1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32</v>
      </c>
      <c r="Y172" s="598">
        <f t="shared" si="21"/>
        <v>33.6</v>
      </c>
      <c r="Z172" s="36">
        <f>IFERROR(IF(Y172=0,"",ROUNDUP(Y172/H172,0)*0.00502),"")</f>
        <v>0.1004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33.904761904761905</v>
      </c>
      <c r="BN172" s="64">
        <f t="shared" si="23"/>
        <v>35.600000000000009</v>
      </c>
      <c r="BO172" s="64">
        <f t="shared" si="24"/>
        <v>8.1400081400081412E-2</v>
      </c>
      <c r="BP172" s="64">
        <f t="shared" si="25"/>
        <v>8.5470085470085472E-2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47.047619047619051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48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0.35296</v>
      </c>
      <c r="AA178" s="600"/>
      <c r="AB178" s="600"/>
      <c r="AC178" s="600"/>
    </row>
    <row r="179" spans="1:68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130</v>
      </c>
      <c r="Y179" s="599">
        <f>IFERROR(SUM(Y167:Y177),"0")</f>
        <v>131.6</v>
      </c>
      <c r="Z179" s="37"/>
      <c r="AA179" s="600"/>
      <c r="AB179" s="600"/>
      <c r="AC179" s="600"/>
    </row>
    <row r="180" spans="1:68" ht="14.25" hidden="1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hidden="1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hidden="1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hidden="1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37</v>
      </c>
      <c r="Y210" s="598">
        <f t="shared" ref="Y210:Y223" si="26">IFERROR(IF(X210="",0,CEILING((X210/$H210),1)*$H210),"")</f>
        <v>37.800000000000004</v>
      </c>
      <c r="Z210" s="36">
        <f>IFERROR(IF(Y210=0,"",ROUNDUP(Y210/H210,0)*0.00902),"")</f>
        <v>8.1180000000000002E-2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39.202380952380949</v>
      </c>
      <c r="BN210" s="64">
        <f t="shared" ref="BN210:BN223" si="28">IFERROR(Y210*I210/H210,"0")</f>
        <v>40.050000000000004</v>
      </c>
      <c r="BO210" s="64">
        <f t="shared" ref="BO210:BO223" si="29">IFERROR(1/J210*(X210/H210),"0")</f>
        <v>6.6738816738816736E-2</v>
      </c>
      <c r="BP210" s="64">
        <f t="shared" ref="BP210:BP223" si="30">IFERROR(1/J210*(Y210/H210),"0")</f>
        <v>6.8181818181818177E-2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84</v>
      </c>
      <c r="Y212" s="598">
        <f t="shared" si="26"/>
        <v>84</v>
      </c>
      <c r="Z212" s="36">
        <f>IFERROR(IF(Y212=0,"",ROUNDUP(Y212/H212,0)*0.00902),"")</f>
        <v>0.1804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87.8</v>
      </c>
      <c r="BN212" s="64">
        <f t="shared" si="28"/>
        <v>87.8</v>
      </c>
      <c r="BO212" s="64">
        <f t="shared" si="29"/>
        <v>0.15151515151515152</v>
      </c>
      <c r="BP212" s="64">
        <f t="shared" si="30"/>
        <v>0.15151515151515152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10</v>
      </c>
      <c r="Y213" s="598">
        <f t="shared" si="26"/>
        <v>10.4</v>
      </c>
      <c r="Z213" s="36">
        <f>IFERROR(IF(Y213=0,"",ROUNDUP(Y213/H213,0)*0.00556),"")</f>
        <v>7.2279999999999997E-2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11.625</v>
      </c>
      <c r="BN213" s="64">
        <f t="shared" si="28"/>
        <v>12.09</v>
      </c>
      <c r="BO213" s="64">
        <f t="shared" si="29"/>
        <v>4.96031746031746E-2</v>
      </c>
      <c r="BP213" s="64">
        <f t="shared" si="30"/>
        <v>5.1587301587301584E-2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91</v>
      </c>
      <c r="Y214" s="598">
        <f t="shared" si="26"/>
        <v>92.4</v>
      </c>
      <c r="Z214" s="36">
        <f t="shared" ref="Z214:Z219" si="31">IFERROR(IF(Y214=0,"",ROUNDUP(Y214/H214,0)*0.00502),"")</f>
        <v>0.22088000000000002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96.633333333333326</v>
      </c>
      <c r="BN214" s="64">
        <f t="shared" si="28"/>
        <v>98.12</v>
      </c>
      <c r="BO214" s="64">
        <f t="shared" si="29"/>
        <v>0.18518518518518517</v>
      </c>
      <c r="BP214" s="64">
        <f t="shared" si="30"/>
        <v>0.18803418803418806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76</v>
      </c>
      <c r="Y219" s="598">
        <f t="shared" si="26"/>
        <v>77.400000000000006</v>
      </c>
      <c r="Z219" s="36">
        <f t="shared" si="31"/>
        <v>0.21586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81.488888888888894</v>
      </c>
      <c r="BN219" s="64">
        <f t="shared" si="28"/>
        <v>82.99</v>
      </c>
      <c r="BO219" s="64">
        <f t="shared" si="29"/>
        <v>0.18043684710351379</v>
      </c>
      <c r="BP219" s="64">
        <f t="shared" si="30"/>
        <v>0.18376068376068377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12</v>
      </c>
      <c r="Y220" s="598">
        <f t="shared" si="26"/>
        <v>12</v>
      </c>
      <c r="Z220" s="36">
        <f>IFERROR(IF(Y220=0,"",ROUNDUP(Y220/H220,0)*0.00417),"")</f>
        <v>6.2549999999999994E-2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15.15</v>
      </c>
      <c r="BN220" s="64">
        <f t="shared" si="28"/>
        <v>15.15</v>
      </c>
      <c r="BO220" s="64">
        <f t="shared" si="29"/>
        <v>4.4642857142857137E-2</v>
      </c>
      <c r="BP220" s="64">
        <f t="shared" si="30"/>
        <v>4.4642857142857137E-2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430</v>
      </c>
      <c r="Y221" s="598">
        <f t="shared" si="26"/>
        <v>430.5</v>
      </c>
      <c r="Z221" s="36">
        <f>IFERROR(IF(Y221=0,"",ROUNDUP(Y221/H221,0)*0.00502),"")</f>
        <v>1.0291000000000001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450.47619047619054</v>
      </c>
      <c r="BN221" s="64">
        <f t="shared" si="28"/>
        <v>451</v>
      </c>
      <c r="BO221" s="64">
        <f t="shared" si="29"/>
        <v>0.87505087505087509</v>
      </c>
      <c r="BP221" s="64">
        <f t="shared" si="30"/>
        <v>0.87606837606837618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346.6269841269841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349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1.86225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740</v>
      </c>
      <c r="Y225" s="599">
        <f>IFERROR(SUM(Y210:Y223),"0")</f>
        <v>744.5</v>
      </c>
      <c r="Z225" s="37"/>
      <c r="AA225" s="600"/>
      <c r="AB225" s="600"/>
      <c r="AC225" s="600"/>
    </row>
    <row r="226" spans="1:68" ht="14.25" hidden="1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hidden="1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9</v>
      </c>
      <c r="Y236" s="598">
        <f>IFERROR(IF(X236="",0,CEILING((X236/$H236),1)*$H236),"")</f>
        <v>10.08</v>
      </c>
      <c r="Z236" s="36">
        <f>IFERROR(IF(Y236=0,"",ROUNDUP(Y236/H236,0)*0.0059),"")</f>
        <v>4.7199999999999999E-2</v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10.357142857142856</v>
      </c>
      <c r="BN236" s="64">
        <f>IFERROR(Y236*I236/H236,"0")</f>
        <v>11.6</v>
      </c>
      <c r="BO236" s="64">
        <f>IFERROR(1/J236*(X236/H236),"0")</f>
        <v>3.3068783068783067E-2</v>
      </c>
      <c r="BP236" s="64">
        <f>IFERROR(1/J236*(Y236/H236),"0")</f>
        <v>3.7037037037037035E-2</v>
      </c>
    </row>
    <row r="237" spans="1:68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7.1428571428571432</v>
      </c>
      <c r="Y237" s="599">
        <f>IFERROR(Y234/H234,"0")+IFERROR(Y235/H235,"0")+IFERROR(Y236/H236,"0")</f>
        <v>8</v>
      </c>
      <c r="Z237" s="599">
        <f>IFERROR(IF(Z234="",0,Z234),"0")+IFERROR(IF(Z235="",0,Z235),"0")+IFERROR(IF(Z236="",0,Z236),"0")</f>
        <v>4.7199999999999999E-2</v>
      </c>
      <c r="AA237" s="600"/>
      <c r="AB237" s="600"/>
      <c r="AC237" s="600"/>
    </row>
    <row r="238" spans="1:68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9</v>
      </c>
      <c r="Y238" s="599">
        <f>IFERROR(SUM(Y234:Y236),"0")</f>
        <v>10.08</v>
      </c>
      <c r="Z238" s="37"/>
      <c r="AA238" s="600"/>
      <c r="AB238" s="600"/>
      <c r="AC238" s="600"/>
    </row>
    <row r="239" spans="1:68" ht="14.25" hidden="1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5</v>
      </c>
      <c r="Y240" s="59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3.9682539682539684</v>
      </c>
      <c r="Y241" s="599">
        <f>IFERROR(Y240/H240,"0")</f>
        <v>4</v>
      </c>
      <c r="Z241" s="599">
        <f>IFERROR(IF(Z240="",0,Z240),"0")</f>
        <v>2.3599999999999999E-2</v>
      </c>
      <c r="AA241" s="600"/>
      <c r="AB241" s="600"/>
      <c r="AC241" s="600"/>
    </row>
    <row r="242" spans="1:68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5</v>
      </c>
      <c r="Y242" s="599">
        <f>IFERROR(SUM(Y240:Y240),"0")</f>
        <v>5.04</v>
      </c>
      <c r="Z242" s="37"/>
      <c r="AA242" s="600"/>
      <c r="AB242" s="600"/>
      <c r="AC242" s="600"/>
    </row>
    <row r="243" spans="1:68" ht="16.5" hidden="1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hidden="1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150</v>
      </c>
      <c r="Y255" s="598">
        <f t="shared" ref="Y255:Y262" si="32">IFERROR(IF(X255="",0,CEILING((X255/$H255),1)*$H255),"")</f>
        <v>151.20000000000002</v>
      </c>
      <c r="Z255" s="36">
        <f>IFERROR(IF(Y255=0,"",ROUNDUP(Y255/H255,0)*0.00902),"")</f>
        <v>0.25256000000000001</v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155.27777777777777</v>
      </c>
      <c r="BN255" s="64">
        <f t="shared" ref="BN255:BN262" si="34">IFERROR(Y255*I255/H255,"0")</f>
        <v>156.52000000000001</v>
      </c>
      <c r="BO255" s="64">
        <f t="shared" ref="BO255:BO262" si="35">IFERROR(1/J255*(X255/H255),"0")</f>
        <v>0.21043771043771042</v>
      </c>
      <c r="BP255" s="64">
        <f t="shared" ref="BP255:BP262" si="36">IFERROR(1/J255*(Y255/H255),"0")</f>
        <v>0.21212121212121213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260</v>
      </c>
      <c r="Y256" s="598">
        <f t="shared" si="32"/>
        <v>264.60000000000002</v>
      </c>
      <c r="Z256" s="36">
        <f>IFERROR(IF(Y256=0,"",ROUNDUP(Y256/H256,0)*0.00902),"")</f>
        <v>0.44198000000000004</v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269.1481481481481</v>
      </c>
      <c r="BN256" s="64">
        <f t="shared" si="34"/>
        <v>273.90999999999997</v>
      </c>
      <c r="BO256" s="64">
        <f t="shared" si="35"/>
        <v>0.36475869809203143</v>
      </c>
      <c r="BP256" s="64">
        <f t="shared" si="36"/>
        <v>0.37121212121212122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237</v>
      </c>
      <c r="Y257" s="598">
        <f t="shared" si="32"/>
        <v>237.60000000000002</v>
      </c>
      <c r="Z257" s="36">
        <f>IFERROR(IF(Y257=0,"",ROUNDUP(Y257/H257,0)*0.00902),"")</f>
        <v>0.39688000000000001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245.33888888888885</v>
      </c>
      <c r="BN257" s="64">
        <f t="shared" si="34"/>
        <v>245.96</v>
      </c>
      <c r="BO257" s="64">
        <f t="shared" si="35"/>
        <v>0.33249158249158245</v>
      </c>
      <c r="BP257" s="64">
        <f t="shared" si="36"/>
        <v>0.33333333333333337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164</v>
      </c>
      <c r="Y258" s="598">
        <f t="shared" si="32"/>
        <v>167.4</v>
      </c>
      <c r="Z258" s="36">
        <f>IFERROR(IF(Y258=0,"",ROUNDUP(Y258/H258,0)*0.00902),"")</f>
        <v>0.27961999999999998</v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169.77037037037036</v>
      </c>
      <c r="BN258" s="64">
        <f t="shared" si="34"/>
        <v>173.29</v>
      </c>
      <c r="BO258" s="64">
        <f t="shared" si="35"/>
        <v>0.23007856341189672</v>
      </c>
      <c r="BP258" s="64">
        <f t="shared" si="36"/>
        <v>0.23484848484848486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36</v>
      </c>
      <c r="Y259" s="598">
        <f t="shared" si="32"/>
        <v>36</v>
      </c>
      <c r="Z259" s="36">
        <f>IFERROR(IF(Y259=0,"",ROUNDUP(Y259/H259,0)*0.00502),"")</f>
        <v>0.1004</v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38.6</v>
      </c>
      <c r="BN259" s="64">
        <f t="shared" si="34"/>
        <v>38.6</v>
      </c>
      <c r="BO259" s="64">
        <f t="shared" si="35"/>
        <v>8.5470085470085472E-2</v>
      </c>
      <c r="BP259" s="64">
        <f t="shared" si="36"/>
        <v>8.5470085470085472E-2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13</v>
      </c>
      <c r="Y260" s="598">
        <f t="shared" si="32"/>
        <v>14.4</v>
      </c>
      <c r="Z260" s="36">
        <f>IFERROR(IF(Y260=0,"",ROUNDUP(Y260/H260,0)*0.00502),"")</f>
        <v>4.0160000000000001E-2</v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13.722222222222221</v>
      </c>
      <c r="BN260" s="64">
        <f t="shared" si="34"/>
        <v>15.2</v>
      </c>
      <c r="BO260" s="64">
        <f t="shared" si="35"/>
        <v>3.0864197530864203E-2</v>
      </c>
      <c r="BP260" s="64">
        <f t="shared" si="36"/>
        <v>3.4188034188034191E-2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4</v>
      </c>
      <c r="Y262" s="598">
        <f t="shared" si="32"/>
        <v>5.4</v>
      </c>
      <c r="Z262" s="36">
        <f>IFERROR(IF(Y262=0,"",ROUNDUP(Y262/H262,0)*0.00502),"")</f>
        <v>1.506E-2</v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4.2222222222222223</v>
      </c>
      <c r="BN262" s="64">
        <f t="shared" si="34"/>
        <v>5.7</v>
      </c>
      <c r="BO262" s="64">
        <f t="shared" si="35"/>
        <v>9.4966761633428314E-3</v>
      </c>
      <c r="BP262" s="64">
        <f t="shared" si="36"/>
        <v>1.2820512820512822E-2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179.62962962962962</v>
      </c>
      <c r="Y263" s="599">
        <f>IFERROR(Y255/H255,"0")+IFERROR(Y256/H256,"0")+IFERROR(Y257/H257,"0")+IFERROR(Y258/H258,"0")+IFERROR(Y259/H259,"0")+IFERROR(Y260/H260,"0")+IFERROR(Y261/H261,"0")+IFERROR(Y262/H262,"0")</f>
        <v>183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1.5266600000000001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864</v>
      </c>
      <c r="Y264" s="599">
        <f>IFERROR(SUM(Y255:Y262),"0")</f>
        <v>876.6</v>
      </c>
      <c r="Z264" s="37"/>
      <c r="AA264" s="600"/>
      <c r="AB264" s="600"/>
      <c r="AC264" s="600"/>
    </row>
    <row r="265" spans="1:68" ht="14.25" hidden="1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hidden="1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240</v>
      </c>
      <c r="Y268" s="598">
        <f t="shared" si="37"/>
        <v>243.59999999999997</v>
      </c>
      <c r="Z268" s="36">
        <f>IFERROR(IF(Y268=0,"",ROUNDUP(Y268/H268,0)*0.01898),"")</f>
        <v>0.53144000000000002</v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253.62758620689661</v>
      </c>
      <c r="BN268" s="64">
        <f t="shared" si="39"/>
        <v>257.43200000000002</v>
      </c>
      <c r="BO268" s="64">
        <f t="shared" si="40"/>
        <v>0.43103448275862072</v>
      </c>
      <c r="BP268" s="64">
        <f t="shared" si="41"/>
        <v>0.4375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197</v>
      </c>
      <c r="Y269" s="598">
        <f t="shared" si="37"/>
        <v>199.2</v>
      </c>
      <c r="Z269" s="36">
        <f>IFERROR(IF(Y269=0,"",ROUNDUP(Y269/H269,0)*0.00651),"")</f>
        <v>0.54032999999999998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219.16250000000002</v>
      </c>
      <c r="BN269" s="64">
        <f t="shared" si="39"/>
        <v>221.60999999999999</v>
      </c>
      <c r="BO269" s="64">
        <f t="shared" si="40"/>
        <v>0.45100732600732607</v>
      </c>
      <c r="BP269" s="64">
        <f t="shared" si="41"/>
        <v>0.45604395604395609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501</v>
      </c>
      <c r="Y272" s="598">
        <f t="shared" si="37"/>
        <v>501.59999999999997</v>
      </c>
      <c r="Z272" s="36">
        <f>IFERROR(IF(Y272=0,"",ROUNDUP(Y272/H272,0)*0.00651),"")</f>
        <v>1.36059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553.60500000000002</v>
      </c>
      <c r="BN272" s="64">
        <f t="shared" si="39"/>
        <v>554.26800000000003</v>
      </c>
      <c r="BO272" s="64">
        <f t="shared" si="40"/>
        <v>1.1469780219780221</v>
      </c>
      <c r="BP272" s="64">
        <f t="shared" si="41"/>
        <v>1.1483516483516485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260</v>
      </c>
      <c r="Y274" s="598">
        <f t="shared" si="37"/>
        <v>261.59999999999997</v>
      </c>
      <c r="Z274" s="36">
        <f>IFERROR(IF(Y274=0,"",ROUNDUP(Y274/H274,0)*0.00651),"")</f>
        <v>0.70959000000000005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287.3</v>
      </c>
      <c r="BN274" s="64">
        <f t="shared" si="39"/>
        <v>289.06799999999998</v>
      </c>
      <c r="BO274" s="64">
        <f t="shared" si="40"/>
        <v>0.59523809523809534</v>
      </c>
      <c r="BP274" s="64">
        <f t="shared" si="41"/>
        <v>0.59890109890109888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92</v>
      </c>
      <c r="Y275" s="598">
        <f t="shared" si="37"/>
        <v>93.6</v>
      </c>
      <c r="Z275" s="36">
        <f>IFERROR(IF(Y275=0,"",ROUNDUP(Y275/H275,0)*0.00651),"")</f>
        <v>0.25389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101.66000000000001</v>
      </c>
      <c r="BN275" s="64">
        <f t="shared" si="39"/>
        <v>103.42800000000001</v>
      </c>
      <c r="BO275" s="64">
        <f t="shared" si="40"/>
        <v>0.21062271062271065</v>
      </c>
      <c r="BP275" s="64">
        <f t="shared" si="41"/>
        <v>0.2142857142857143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148</v>
      </c>
      <c r="Y276" s="598">
        <f t="shared" si="37"/>
        <v>148.79999999999998</v>
      </c>
      <c r="Z276" s="36">
        <f>IFERROR(IF(Y276=0,"",ROUNDUP(Y276/H276,0)*0.00651),"")</f>
        <v>0.40362000000000003</v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163.91000000000003</v>
      </c>
      <c r="BN276" s="64">
        <f t="shared" si="39"/>
        <v>164.79599999999999</v>
      </c>
      <c r="BO276" s="64">
        <f t="shared" si="40"/>
        <v>0.3388278388278389</v>
      </c>
      <c r="BP276" s="64">
        <f t="shared" si="41"/>
        <v>0.34065934065934067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526.75287356321837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530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3.7994600000000003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1438</v>
      </c>
      <c r="Y279" s="599">
        <f>IFERROR(SUM(Y266:Y277),"0")</f>
        <v>1448.3999999999996</v>
      </c>
      <c r="Z279" s="37"/>
      <c r="AA279" s="600"/>
      <c r="AB279" s="600"/>
      <c r="AC279" s="600"/>
    </row>
    <row r="280" spans="1:68" ht="14.25" hidden="1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29</v>
      </c>
      <c r="Y281" s="598">
        <f>IFERROR(IF(X281="",0,CEILING((X281/$H281),1)*$H281),"")</f>
        <v>31.2</v>
      </c>
      <c r="Z281" s="36">
        <f>IFERROR(IF(Y281=0,"",ROUNDUP(Y281/H281,0)*0.00651),"")</f>
        <v>8.4629999999999997E-2</v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32.045000000000002</v>
      </c>
      <c r="BN281" s="64">
        <f>IFERROR(Y281*I281/H281,"0")</f>
        <v>34.476000000000006</v>
      </c>
      <c r="BO281" s="64">
        <f>IFERROR(1/J281*(X281/H281),"0")</f>
        <v>6.6391941391941406E-2</v>
      </c>
      <c r="BP281" s="64">
        <f>IFERROR(1/J281*(Y281/H281),"0")</f>
        <v>7.1428571428571438E-2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60</v>
      </c>
      <c r="Y282" s="598">
        <f>IFERROR(IF(X282="",0,CEILING((X282/$H282),1)*$H282),"")</f>
        <v>60</v>
      </c>
      <c r="Z282" s="36">
        <f>IFERROR(IF(Y282=0,"",ROUNDUP(Y282/H282,0)*0.00651),"")</f>
        <v>0.16275000000000001</v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66.300000000000011</v>
      </c>
      <c r="BN282" s="64">
        <f>IFERROR(Y282*I282/H282,"0")</f>
        <v>66.300000000000011</v>
      </c>
      <c r="BO282" s="64">
        <f>IFERROR(1/J282*(X282/H282),"0")</f>
        <v>0.13736263736263737</v>
      </c>
      <c r="BP282" s="64">
        <f>IFERROR(1/J282*(Y282/H282),"0")</f>
        <v>0.13736263736263737</v>
      </c>
    </row>
    <row r="283" spans="1:68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37.083333333333336</v>
      </c>
      <c r="Y283" s="599">
        <f>IFERROR(Y281/H281,"0")+IFERROR(Y282/H282,"0")</f>
        <v>38</v>
      </c>
      <c r="Z283" s="599">
        <f>IFERROR(IF(Z281="",0,Z281),"0")+IFERROR(IF(Z282="",0,Z282),"0")</f>
        <v>0.24737999999999999</v>
      </c>
      <c r="AA283" s="600"/>
      <c r="AB283" s="600"/>
      <c r="AC283" s="600"/>
    </row>
    <row r="284" spans="1:68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89</v>
      </c>
      <c r="Y284" s="599">
        <f>IFERROR(SUM(Y281:Y282),"0")</f>
        <v>91.2</v>
      </c>
      <c r="Z284" s="37"/>
      <c r="AA284" s="600"/>
      <c r="AB284" s="600"/>
      <c r="AC284" s="600"/>
    </row>
    <row r="285" spans="1:68" ht="16.5" hidden="1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hidden="1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144</v>
      </c>
      <c r="Y287" s="598">
        <f t="shared" ref="Y287:Y293" si="42">IFERROR(IF(X287="",0,CEILING((X287/$H287),1)*$H287),"")</f>
        <v>150.79999999999998</v>
      </c>
      <c r="Z287" s="36">
        <f>IFERROR(IF(Y287=0,"",ROUNDUP(Y287/H287,0)*0.01898),"")</f>
        <v>0.24674000000000001</v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149.08965517241381</v>
      </c>
      <c r="BN287" s="64">
        <f t="shared" ref="BN287:BN293" si="44">IFERROR(Y287*I287/H287,"0")</f>
        <v>156.12999999999997</v>
      </c>
      <c r="BO287" s="64">
        <f t="shared" ref="BO287:BO293" si="45">IFERROR(1/J287*(X287/H287),"0")</f>
        <v>0.19396551724137931</v>
      </c>
      <c r="BP287" s="64">
        <f t="shared" ref="BP287:BP293" si="46">IFERROR(1/J287*(Y287/H287),"0")</f>
        <v>0.20312499999999997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7</v>
      </c>
      <c r="Y290" s="598">
        <f t="shared" si="42"/>
        <v>8</v>
      </c>
      <c r="Z290" s="36">
        <f>IFERROR(IF(Y290=0,"",ROUNDUP(Y290/H290,0)*0.00902),"")</f>
        <v>1.804E-2</v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7.3325000000000005</v>
      </c>
      <c r="BN290" s="64">
        <f t="shared" si="44"/>
        <v>8.3800000000000008</v>
      </c>
      <c r="BO290" s="64">
        <f t="shared" si="45"/>
        <v>1.3257575757575758E-2</v>
      </c>
      <c r="BP290" s="64">
        <f t="shared" si="46"/>
        <v>1.5151515151515152E-2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14.163793103448276</v>
      </c>
      <c r="Y294" s="599">
        <f>IFERROR(Y287/H287,"0")+IFERROR(Y288/H288,"0")+IFERROR(Y289/H289,"0")+IFERROR(Y290/H290,"0")+IFERROR(Y291/H291,"0")+IFERROR(Y292/H292,"0")+IFERROR(Y293/H293,"0")</f>
        <v>14.999999999999998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0.26478000000000002</v>
      </c>
      <c r="AA294" s="600"/>
      <c r="AB294" s="600"/>
      <c r="AC294" s="600"/>
    </row>
    <row r="295" spans="1:68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151</v>
      </c>
      <c r="Y295" s="599">
        <f>IFERROR(SUM(Y287:Y293),"0")</f>
        <v>158.79999999999998</v>
      </c>
      <c r="Z295" s="37"/>
      <c r="AA295" s="600"/>
      <c r="AB295" s="600"/>
      <c r="AC295" s="600"/>
    </row>
    <row r="296" spans="1:68" ht="14.25" hidden="1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hidden="1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hidden="1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hidden="1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2</v>
      </c>
      <c r="Y307" s="598">
        <f>IFERROR(IF(X307="",0,CEILING((X307/$H307),1)*$H307),"")</f>
        <v>2.7</v>
      </c>
      <c r="Z307" s="36">
        <f>IFERROR(IF(Y307=0,"",ROUNDUP(Y307/H307,0)*0.0059),"")</f>
        <v>1.77E-2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2.4222222222222225</v>
      </c>
      <c r="BN307" s="64">
        <f>IFERROR(Y307*I307/H307,"0")</f>
        <v>3.2700000000000005</v>
      </c>
      <c r="BO307" s="64">
        <f>IFERROR(1/J307*(X307/H307),"0")</f>
        <v>1.0288065843621399E-2</v>
      </c>
      <c r="BP307" s="64">
        <f>IFERROR(1/J307*(Y307/H307),"0")</f>
        <v>1.3888888888888888E-2</v>
      </c>
    </row>
    <row r="308" spans="1:68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2.2222222222222223</v>
      </c>
      <c r="Y308" s="599">
        <f>IFERROR(Y305/H305,"0")+IFERROR(Y306/H306,"0")+IFERROR(Y307/H307,"0")</f>
        <v>3</v>
      </c>
      <c r="Z308" s="599">
        <f>IFERROR(IF(Z305="",0,Z305),"0")+IFERROR(IF(Z306="",0,Z306),"0")+IFERROR(IF(Z307="",0,Z307),"0")</f>
        <v>1.77E-2</v>
      </c>
      <c r="AA308" s="600"/>
      <c r="AB308" s="600"/>
      <c r="AC308" s="600"/>
    </row>
    <row r="309" spans="1:68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2</v>
      </c>
      <c r="Y309" s="599">
        <f>IFERROR(SUM(Y305:Y307),"0")</f>
        <v>2.7</v>
      </c>
      <c r="Z309" s="37"/>
      <c r="AA309" s="600"/>
      <c r="AB309" s="600"/>
      <c r="AC309" s="600"/>
    </row>
    <row r="310" spans="1:68" ht="16.5" hidden="1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hidden="1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17</v>
      </c>
      <c r="Y314" s="598">
        <f>IFERROR(IF(X314="",0,CEILING((X314/$H314),1)*$H314),"")</f>
        <v>21.6</v>
      </c>
      <c r="Z314" s="36">
        <f>IFERROR(IF(Y314=0,"",ROUNDUP(Y314/H314,0)*0.01898),"")</f>
        <v>3.7960000000000001E-2</v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17.645370370370372</v>
      </c>
      <c r="BN314" s="64">
        <f>IFERROR(Y314*I314/H314,"0")</f>
        <v>22.42</v>
      </c>
      <c r="BO314" s="64">
        <f>IFERROR(1/J314*(X314/H314),"0")</f>
        <v>2.4594907407407406E-2</v>
      </c>
      <c r="BP314" s="64">
        <f>IFERROR(1/J314*(Y314/H314),"0")</f>
        <v>3.125E-2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1.574074074074074</v>
      </c>
      <c r="Y317" s="599">
        <f>IFERROR(Y312/H312,"0")+IFERROR(Y313/H313,"0")+IFERROR(Y314/H314,"0")+IFERROR(Y315/H315,"0")+IFERROR(Y316/H316,"0")</f>
        <v>2</v>
      </c>
      <c r="Z317" s="599">
        <f>IFERROR(IF(Z312="",0,Z312),"0")+IFERROR(IF(Z313="",0,Z313),"0")+IFERROR(IF(Z314="",0,Z314),"0")+IFERROR(IF(Z315="",0,Z315),"0")+IFERROR(IF(Z316="",0,Z316),"0")</f>
        <v>3.7960000000000001E-2</v>
      </c>
      <c r="AA317" s="600"/>
      <c r="AB317" s="600"/>
      <c r="AC317" s="600"/>
    </row>
    <row r="318" spans="1:68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17</v>
      </c>
      <c r="Y318" s="599">
        <f>IFERROR(SUM(Y312:Y316),"0")</f>
        <v>21.6</v>
      </c>
      <c r="Z318" s="37"/>
      <c r="AA318" s="600"/>
      <c r="AB318" s="600"/>
      <c r="AC318" s="600"/>
    </row>
    <row r="319" spans="1:68" ht="16.5" hidden="1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hidden="1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38</v>
      </c>
      <c r="Y322" s="598">
        <f>IFERROR(IF(X322="",0,CEILING((X322/$H322),1)*$H322),"")</f>
        <v>38.4</v>
      </c>
      <c r="Z322" s="36">
        <f>IFERROR(IF(Y322=0,"",ROUNDUP(Y322/H322,0)*0.00651),"")</f>
        <v>0.10416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41.990000000000009</v>
      </c>
      <c r="BN322" s="64">
        <f>IFERROR(Y322*I322/H322,"0")</f>
        <v>42.432000000000002</v>
      </c>
      <c r="BO322" s="64">
        <f>IFERROR(1/J322*(X322/H322),"0")</f>
        <v>8.6996336996337006E-2</v>
      </c>
      <c r="BP322" s="64">
        <f>IFERROR(1/J322*(Y322/H322),"0")</f>
        <v>8.7912087912087919E-2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31</v>
      </c>
      <c r="Y323" s="598">
        <f>IFERROR(IF(X323="",0,CEILING((X323/$H323),1)*$H323),"")</f>
        <v>31.2</v>
      </c>
      <c r="Z323" s="36">
        <f>IFERROR(IF(Y323=0,"",ROUNDUP(Y323/H323,0)*0.00651),"")</f>
        <v>8.4629999999999997E-2</v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33.325000000000003</v>
      </c>
      <c r="BN323" s="64">
        <f>IFERROR(Y323*I323/H323,"0")</f>
        <v>33.54</v>
      </c>
      <c r="BO323" s="64">
        <f>IFERROR(1/J323*(X323/H323),"0")</f>
        <v>7.0970695970695982E-2</v>
      </c>
      <c r="BP323" s="64">
        <f>IFERROR(1/J323*(Y323/H323),"0")</f>
        <v>7.1428571428571438E-2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28.75</v>
      </c>
      <c r="Y324" s="599">
        <f>IFERROR(Y321/H321,"0")+IFERROR(Y322/H322,"0")+IFERROR(Y323/H323,"0")</f>
        <v>29</v>
      </c>
      <c r="Z324" s="599">
        <f>IFERROR(IF(Z321="",0,Z321),"0")+IFERROR(IF(Z322="",0,Z322),"0")+IFERROR(IF(Z323="",0,Z323),"0")</f>
        <v>0.18879000000000001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69</v>
      </c>
      <c r="Y325" s="599">
        <f>IFERROR(SUM(Y321:Y323),"0")</f>
        <v>69.599999999999994</v>
      </c>
      <c r="Z325" s="37"/>
      <c r="AA325" s="600"/>
      <c r="AB325" s="600"/>
      <c r="AC325" s="600"/>
    </row>
    <row r="326" spans="1:68" ht="16.5" hidden="1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hidden="1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hidden="1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46</v>
      </c>
      <c r="Y342" s="598">
        <f>IFERROR(IF(X342="",0,CEILING((X342/$H342),1)*$H342),"")</f>
        <v>46.8</v>
      </c>
      <c r="Z342" s="36">
        <f>IFERROR(IF(Y342=0,"",ROUNDUP(Y342/H342,0)*0.01898),"")</f>
        <v>0.11388000000000001</v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48.417948717948725</v>
      </c>
      <c r="BN342" s="64">
        <f>IFERROR(Y342*I342/H342,"0")</f>
        <v>49.260000000000005</v>
      </c>
      <c r="BO342" s="64">
        <f>IFERROR(1/J342*(X342/H342),"0")</f>
        <v>9.2147435897435903E-2</v>
      </c>
      <c r="BP342" s="64">
        <f>IFERROR(1/J342*(Y342/H342),"0")</f>
        <v>9.375E-2</v>
      </c>
    </row>
    <row r="343" spans="1:68" ht="27" hidden="1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5</v>
      </c>
      <c r="Y344" s="598">
        <f>IFERROR(IF(X344="",0,CEILING((X344/$H344),1)*$H344),"")</f>
        <v>7.8</v>
      </c>
      <c r="Z344" s="36">
        <f>IFERROR(IF(Y344=0,"",ROUNDUP(Y344/H344,0)*0.01898),"")</f>
        <v>1.898E-2</v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5.2628205128205137</v>
      </c>
      <c r="BN344" s="64">
        <f>IFERROR(Y344*I344/H344,"0")</f>
        <v>8.2100000000000009</v>
      </c>
      <c r="BO344" s="64">
        <f>IFERROR(1/J344*(X344/H344),"0")</f>
        <v>1.0016025641025642E-2</v>
      </c>
      <c r="BP344" s="64">
        <f>IFERROR(1/J344*(Y344/H344),"0")</f>
        <v>1.5625E-2</v>
      </c>
    </row>
    <row r="345" spans="1:68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6.5384615384615392</v>
      </c>
      <c r="Y345" s="599">
        <f>IFERROR(Y342/H342,"0")+IFERROR(Y343/H343,"0")+IFERROR(Y344/H344,"0")</f>
        <v>7</v>
      </c>
      <c r="Z345" s="599">
        <f>IFERROR(IF(Z342="",0,Z342),"0")+IFERROR(IF(Z343="",0,Z343),"0")+IFERROR(IF(Z344="",0,Z344),"0")</f>
        <v>0.13286000000000001</v>
      </c>
      <c r="AA345" s="600"/>
      <c r="AB345" s="600"/>
      <c r="AC345" s="600"/>
    </row>
    <row r="346" spans="1:68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51</v>
      </c>
      <c r="Y346" s="599">
        <f>IFERROR(SUM(Y342:Y344),"0")</f>
        <v>54.599999999999994</v>
      </c>
      <c r="Z346" s="37"/>
      <c r="AA346" s="600"/>
      <c r="AB346" s="600"/>
      <c r="AC346" s="600"/>
    </row>
    <row r="347" spans="1:68" ht="16.5" hidden="1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hidden="1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3</v>
      </c>
      <c r="Y363" s="598">
        <f t="shared" si="47"/>
        <v>3.6</v>
      </c>
      <c r="Z363" s="36">
        <f>IFERROR(IF(Y363=0,"",ROUNDUP(Y363/H363,0)*0.00651),"")</f>
        <v>1.302E-2</v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3.38</v>
      </c>
      <c r="BN363" s="64">
        <f t="shared" si="49"/>
        <v>4.056</v>
      </c>
      <c r="BO363" s="64">
        <f t="shared" si="50"/>
        <v>9.1575091575091579E-3</v>
      </c>
      <c r="BP363" s="64">
        <f t="shared" si="51"/>
        <v>1.098901098901099E-2</v>
      </c>
    </row>
    <row r="364" spans="1:68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1.6666666666666665</v>
      </c>
      <c r="Y364" s="599">
        <f>IFERROR(Y357/H357,"0")+IFERROR(Y358/H358,"0")+IFERROR(Y359/H359,"0")+IFERROR(Y360/H360,"0")+IFERROR(Y361/H361,"0")+IFERROR(Y362/H362,"0")+IFERROR(Y363/H363,"0")</f>
        <v>2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1.302E-2</v>
      </c>
      <c r="AA364" s="600"/>
      <c r="AB364" s="600"/>
      <c r="AC364" s="600"/>
    </row>
    <row r="365" spans="1:68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3</v>
      </c>
      <c r="Y365" s="599">
        <f>IFERROR(SUM(Y357:Y363),"0")</f>
        <v>3.6</v>
      </c>
      <c r="Z365" s="37"/>
      <c r="AA365" s="600"/>
      <c r="AB365" s="600"/>
      <c r="AC365" s="600"/>
    </row>
    <row r="366" spans="1:68" ht="14.25" hidden="1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330</v>
      </c>
      <c r="Y374" s="598">
        <f>IFERROR(IF(X374="",0,CEILING((X374/$H374),1)*$H374),"")</f>
        <v>336</v>
      </c>
      <c r="Z374" s="36">
        <f>IFERROR(IF(Y374=0,"",ROUNDUP(Y374/H374,0)*0.01898),"")</f>
        <v>0.75919999999999999</v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349.40714285714284</v>
      </c>
      <c r="BN374" s="64">
        <f>IFERROR(Y374*I374/H374,"0")</f>
        <v>355.76</v>
      </c>
      <c r="BO374" s="64">
        <f>IFERROR(1/J374*(X374/H374),"0")</f>
        <v>0.6138392857142857</v>
      </c>
      <c r="BP374" s="64">
        <f>IFERROR(1/J374*(Y374/H374),"0")</f>
        <v>0.625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547</v>
      </c>
      <c r="Y375" s="598">
        <f>IFERROR(IF(X375="",0,CEILING((X375/$H375),1)*$H375),"")</f>
        <v>553.79999999999995</v>
      </c>
      <c r="Z375" s="36">
        <f>IFERROR(IF(Y375=0,"",ROUNDUP(Y375/H375,0)*0.01898),"")</f>
        <v>1.34758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581.64333333333343</v>
      </c>
      <c r="BN375" s="64">
        <f>IFERROR(Y375*I375/H375,"0")</f>
        <v>588.87400000000002</v>
      </c>
      <c r="BO375" s="64">
        <f>IFERROR(1/J375*(X375/H375),"0")</f>
        <v>1.0957532051282051</v>
      </c>
      <c r="BP375" s="64">
        <f>IFERROR(1/J375*(Y375/H375),"0")</f>
        <v>1.109375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164</v>
      </c>
      <c r="Y376" s="598">
        <f>IFERROR(IF(X376="",0,CEILING((X376/$H376),1)*$H376),"")</f>
        <v>168</v>
      </c>
      <c r="Z376" s="36">
        <f>IFERROR(IF(Y376=0,"",ROUNDUP(Y376/H376,0)*0.01898),"")</f>
        <v>0.37959999999999999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173.64476190476191</v>
      </c>
      <c r="BN376" s="64">
        <f>IFERROR(Y376*I376/H376,"0")</f>
        <v>177.88</v>
      </c>
      <c r="BO376" s="64">
        <f>IFERROR(1/J376*(X376/H376),"0")</f>
        <v>0.30505952380952378</v>
      </c>
      <c r="BP376" s="64">
        <f>IFERROR(1/J376*(Y376/H376),"0")</f>
        <v>0.3125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128.93772893772893</v>
      </c>
      <c r="Y377" s="599">
        <f>IFERROR(Y374/H374,"0")+IFERROR(Y375/H375,"0")+IFERROR(Y376/H376,"0")</f>
        <v>131</v>
      </c>
      <c r="Z377" s="599">
        <f>IFERROR(IF(Z374="",0,Z374),"0")+IFERROR(IF(Z375="",0,Z375),"0")+IFERROR(IF(Z376="",0,Z376),"0")</f>
        <v>2.48638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1041</v>
      </c>
      <c r="Y378" s="599">
        <f>IFERROR(SUM(Y374:Y376),"0")</f>
        <v>1057.8</v>
      </c>
      <c r="Z378" s="37"/>
      <c r="AA378" s="600"/>
      <c r="AB378" s="600"/>
      <c r="AC378" s="600"/>
    </row>
    <row r="379" spans="1:68" ht="14.25" hidden="1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hidden="1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40</v>
      </c>
      <c r="Y383" s="598">
        <f>IFERROR(IF(X383="",0,CEILING((X383/$H383),1)*$H383),"")</f>
        <v>40.799999999999997</v>
      </c>
      <c r="Z383" s="36">
        <f>IFERROR(IF(Y383=0,"",ROUNDUP(Y383/H383,0)*0.00651),"")</f>
        <v>0.10416</v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45.17647058823529</v>
      </c>
      <c r="BN383" s="64">
        <f>IFERROR(Y383*I383/H383,"0")</f>
        <v>46.08</v>
      </c>
      <c r="BO383" s="64">
        <f>IFERROR(1/J383*(X383/H383),"0")</f>
        <v>8.6188321482439142E-2</v>
      </c>
      <c r="BP383" s="64">
        <f>IFERROR(1/J383*(Y383/H383),"0")</f>
        <v>8.7912087912087919E-2</v>
      </c>
    </row>
    <row r="384" spans="1:68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15.686274509803923</v>
      </c>
      <c r="Y384" s="599">
        <f>IFERROR(Y380/H380,"0")+IFERROR(Y381/H381,"0")+IFERROR(Y382/H382,"0")+IFERROR(Y383/H383,"0")</f>
        <v>16</v>
      </c>
      <c r="Z384" s="599">
        <f>IFERROR(IF(Z380="",0,Z380),"0")+IFERROR(IF(Z381="",0,Z381),"0")+IFERROR(IF(Z382="",0,Z382),"0")+IFERROR(IF(Z383="",0,Z383),"0")</f>
        <v>0.10416</v>
      </c>
      <c r="AA384" s="600"/>
      <c r="AB384" s="600"/>
      <c r="AC384" s="600"/>
    </row>
    <row r="385" spans="1:68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40</v>
      </c>
      <c r="Y385" s="599">
        <f>IFERROR(SUM(Y380:Y383),"0")</f>
        <v>40.799999999999997</v>
      </c>
      <c r="Z385" s="37"/>
      <c r="AA385" s="600"/>
      <c r="AB385" s="600"/>
      <c r="AC385" s="600"/>
    </row>
    <row r="386" spans="1:68" ht="14.25" hidden="1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hidden="1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hidden="1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hidden="1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24</v>
      </c>
      <c r="Y395" s="598">
        <f>IFERROR(IF(X395="",0,CEILING((X395/$H395),1)*$H395),"")</f>
        <v>25.200000000000003</v>
      </c>
      <c r="Z395" s="36">
        <f>IFERROR(IF(Y395=0,"",ROUNDUP(Y395/H395,0)*0.00651),"")</f>
        <v>7.8119999999999995E-2</v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26.879999999999995</v>
      </c>
      <c r="BN395" s="64">
        <f>IFERROR(Y395*I395/H395,"0")</f>
        <v>28.224</v>
      </c>
      <c r="BO395" s="64">
        <f>IFERROR(1/J395*(X395/H395),"0")</f>
        <v>6.2794348508634232E-2</v>
      </c>
      <c r="BP395" s="64">
        <f>IFERROR(1/J395*(Y395/H395),"0")</f>
        <v>6.5934065934065936E-2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37</v>
      </c>
      <c r="Y396" s="598">
        <f>IFERROR(IF(X396="",0,CEILING((X396/$H396),1)*$H396),"")</f>
        <v>37.800000000000004</v>
      </c>
      <c r="Z396" s="36">
        <f>IFERROR(IF(Y396=0,"",ROUNDUP(Y396/H396,0)*0.00651),"")</f>
        <v>0.11718000000000001</v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41.228571428571428</v>
      </c>
      <c r="BN396" s="64">
        <f>IFERROR(Y396*I396/H396,"0")</f>
        <v>42.12</v>
      </c>
      <c r="BO396" s="64">
        <f>IFERROR(1/J396*(X396/H396),"0")</f>
        <v>9.6807953950811085E-2</v>
      </c>
      <c r="BP396" s="64">
        <f>IFERROR(1/J396*(Y396/H396),"0")</f>
        <v>9.8901098901098911E-2</v>
      </c>
    </row>
    <row r="397" spans="1:68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29.047619047619044</v>
      </c>
      <c r="Y397" s="599">
        <f>IFERROR(Y394/H394,"0")+IFERROR(Y395/H395,"0")+IFERROR(Y396/H396,"0")</f>
        <v>30</v>
      </c>
      <c r="Z397" s="599">
        <f>IFERROR(IF(Z394="",0,Z394),"0")+IFERROR(IF(Z395="",0,Z395),"0")+IFERROR(IF(Z396="",0,Z396),"0")</f>
        <v>0.1953</v>
      </c>
      <c r="AA397" s="600"/>
      <c r="AB397" s="600"/>
      <c r="AC397" s="600"/>
    </row>
    <row r="398" spans="1:68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61</v>
      </c>
      <c r="Y398" s="599">
        <f>IFERROR(SUM(Y394:Y396),"0")</f>
        <v>63.000000000000007</v>
      </c>
      <c r="Z398" s="37"/>
      <c r="AA398" s="600"/>
      <c r="AB398" s="600"/>
      <c r="AC398" s="600"/>
    </row>
    <row r="399" spans="1:68" ht="27.75" hidden="1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hidden="1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hidden="1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39</v>
      </c>
      <c r="Y402" s="598">
        <f t="shared" ref="Y402:Y409" si="52">IFERROR(IF(X402="",0,CEILING((X402/$H402),1)*$H402),"")</f>
        <v>45</v>
      </c>
      <c r="Z402" s="36">
        <f>IFERROR(IF(Y402=0,"",ROUNDUP(Y402/H402,0)*0.02175),"")</f>
        <v>6.5250000000000002E-2</v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40.222000000000001</v>
      </c>
      <c r="BN402" s="64">
        <f t="shared" ref="BN402:BN409" si="54">IFERROR(Y402*I402/H402,"0")</f>
        <v>46.41</v>
      </c>
      <c r="BO402" s="64">
        <f t="shared" ref="BO402:BO409" si="55">IFERROR(1/J402*(X402/H402),"0")</f>
        <v>5.4166666666666669E-2</v>
      </c>
      <c r="BP402" s="64">
        <f t="shared" ref="BP402:BP409" si="56">IFERROR(1/J402*(Y402/H402),"0")</f>
        <v>6.25E-2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847</v>
      </c>
      <c r="Y403" s="598">
        <f t="shared" si="52"/>
        <v>855</v>
      </c>
      <c r="Z403" s="36">
        <f>IFERROR(IF(Y403=0,"",ROUNDUP(Y403/H403,0)*0.02175),"")</f>
        <v>1.2397499999999999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873.53933333333339</v>
      </c>
      <c r="BN403" s="64">
        <f t="shared" si="54"/>
        <v>881.79000000000008</v>
      </c>
      <c r="BO403" s="64">
        <f t="shared" si="55"/>
        <v>1.1763888888888889</v>
      </c>
      <c r="BP403" s="64">
        <f t="shared" si="56"/>
        <v>1.1875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647</v>
      </c>
      <c r="Y404" s="598">
        <f t="shared" si="52"/>
        <v>660</v>
      </c>
      <c r="Z404" s="36">
        <f>IFERROR(IF(Y404=0,"",ROUNDUP(Y404/H404,0)*0.02175),"")</f>
        <v>0.95699999999999996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667.27266666666662</v>
      </c>
      <c r="BN404" s="64">
        <f t="shared" si="54"/>
        <v>680.68000000000006</v>
      </c>
      <c r="BO404" s="64">
        <f t="shared" si="55"/>
        <v>0.89861111111111103</v>
      </c>
      <c r="BP404" s="64">
        <f t="shared" si="56"/>
        <v>0.91666666666666663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970</v>
      </c>
      <c r="Y405" s="598">
        <f t="shared" si="52"/>
        <v>975</v>
      </c>
      <c r="Z405" s="36">
        <f>IFERROR(IF(Y405=0,"",ROUNDUP(Y405/H405,0)*0.02175),"")</f>
        <v>1.4137499999999998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1000.3933333333334</v>
      </c>
      <c r="BN405" s="64">
        <f t="shared" si="54"/>
        <v>1005.55</v>
      </c>
      <c r="BO405" s="64">
        <f t="shared" si="55"/>
        <v>1.3472222222222223</v>
      </c>
      <c r="BP405" s="64">
        <f t="shared" si="56"/>
        <v>1.3541666666666665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166.86666666666667</v>
      </c>
      <c r="Y410" s="599">
        <f>IFERROR(Y402/H402,"0")+IFERROR(Y403/H403,"0")+IFERROR(Y404/H404,"0")+IFERROR(Y405/H405,"0")+IFERROR(Y406/H406,"0")+IFERROR(Y407/H407,"0")+IFERROR(Y408/H408,"0")+IFERROR(Y409/H409,"0")</f>
        <v>169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3.6757499999999999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2503</v>
      </c>
      <c r="Y411" s="599">
        <f>IFERROR(SUM(Y402:Y409),"0")</f>
        <v>2535</v>
      </c>
      <c r="Z411" s="37"/>
      <c r="AA411" s="600"/>
      <c r="AB411" s="600"/>
      <c r="AC411" s="600"/>
    </row>
    <row r="412" spans="1:68" ht="14.25" hidden="1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645</v>
      </c>
      <c r="Y413" s="598">
        <f>IFERROR(IF(X413="",0,CEILING((X413/$H413),1)*$H413),"")</f>
        <v>645</v>
      </c>
      <c r="Z413" s="36">
        <f>IFERROR(IF(Y413=0,"",ROUNDUP(Y413/H413,0)*0.02175),"")</f>
        <v>0.93524999999999991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665.20999999999992</v>
      </c>
      <c r="BN413" s="64">
        <f>IFERROR(Y413*I413/H413,"0")</f>
        <v>665.20999999999992</v>
      </c>
      <c r="BO413" s="64">
        <f>IFERROR(1/J413*(X413/H413),"0")</f>
        <v>0.89583333333333326</v>
      </c>
      <c r="BP413" s="64">
        <f>IFERROR(1/J413*(Y413/H413),"0")</f>
        <v>0.89583333333333326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43</v>
      </c>
      <c r="Y416" s="599">
        <f>IFERROR(Y413/H413,"0")+IFERROR(Y414/H414,"0")+IFERROR(Y415/H415,"0")</f>
        <v>43</v>
      </c>
      <c r="Z416" s="599">
        <f>IFERROR(IF(Z413="",0,Z413),"0")+IFERROR(IF(Z414="",0,Z414),"0")+IFERROR(IF(Z415="",0,Z415),"0")</f>
        <v>0.93524999999999991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645</v>
      </c>
      <c r="Y417" s="599">
        <f>IFERROR(SUM(Y413:Y415),"0")</f>
        <v>645</v>
      </c>
      <c r="Z417" s="37"/>
      <c r="AA417" s="600"/>
      <c r="AB417" s="600"/>
      <c r="AC417" s="600"/>
    </row>
    <row r="418" spans="1:68" ht="14.25" hidden="1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hidden="1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hidden="1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169</v>
      </c>
      <c r="Y424" s="598">
        <f>IFERROR(IF(X424="",0,CEILING((X424/$H424),1)*$H424),"")</f>
        <v>171</v>
      </c>
      <c r="Z424" s="36">
        <f>IFERROR(IF(Y424=0,"",ROUNDUP(Y424/H424,0)*0.01898),"")</f>
        <v>0.36062</v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178.2762222222222</v>
      </c>
      <c r="BN424" s="64">
        <f>IFERROR(Y424*I424/H424,"0")</f>
        <v>180.386</v>
      </c>
      <c r="BO424" s="64">
        <f>IFERROR(1/J424*(X424/H424),"0")</f>
        <v>0.29340277777777779</v>
      </c>
      <c r="BP424" s="64">
        <f>IFERROR(1/J424*(Y424/H424),"0")</f>
        <v>0.296875</v>
      </c>
    </row>
    <row r="425" spans="1:68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18.777777777777779</v>
      </c>
      <c r="Y425" s="599">
        <f>IFERROR(Y424/H424,"0")</f>
        <v>19</v>
      </c>
      <c r="Z425" s="599">
        <f>IFERROR(IF(Z424="",0,Z424),"0")</f>
        <v>0.36062</v>
      </c>
      <c r="AA425" s="600"/>
      <c r="AB425" s="600"/>
      <c r="AC425" s="600"/>
    </row>
    <row r="426" spans="1:68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169</v>
      </c>
      <c r="Y426" s="599">
        <f>IFERROR(SUM(Y424:Y424),"0")</f>
        <v>171</v>
      </c>
      <c r="Z426" s="37"/>
      <c r="AA426" s="600"/>
      <c r="AB426" s="600"/>
      <c r="AC426" s="600"/>
    </row>
    <row r="427" spans="1:68" ht="16.5" hidden="1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hidden="1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hidden="1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idden="1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hidden="1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hidden="1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hidden="1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hidden="1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hidden="1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hidden="1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idden="1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hidden="1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hidden="1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hidden="1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hidden="1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hidden="1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hidden="1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hidden="1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hidden="1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31</v>
      </c>
      <c r="Y473" s="598">
        <f t="shared" ref="Y473:Y481" si="62">IFERROR(IF(X473="",0,CEILING((X473/$H473),1)*$H473),"")</f>
        <v>31.68</v>
      </c>
      <c r="Z473" s="36">
        <f t="shared" ref="Z473:Z478" si="63">IFERROR(IF(Y473=0,"",ROUNDUP(Y473/H473,0)*0.01196),"")</f>
        <v>7.1760000000000004E-2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33.054924242424242</v>
      </c>
      <c r="BN473" s="64">
        <f t="shared" ref="BN473:BN481" si="65">IFERROR(Y473*I473/H473,"0")</f>
        <v>33.779999999999994</v>
      </c>
      <c r="BO473" s="64">
        <f t="shared" ref="BO473:BO481" si="66">IFERROR(1/J473*(X473/H473),"0")</f>
        <v>5.6453962703962704E-2</v>
      </c>
      <c r="BP473" s="64">
        <f t="shared" ref="BP473:BP481" si="67">IFERROR(1/J473*(Y473/H473),"0")</f>
        <v>5.7692307692307696E-2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75</v>
      </c>
      <c r="Y475" s="598">
        <f t="shared" si="62"/>
        <v>79.2</v>
      </c>
      <c r="Z475" s="36">
        <f t="shared" si="63"/>
        <v>0.1794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79.971590909090907</v>
      </c>
      <c r="BN475" s="64">
        <f t="shared" si="65"/>
        <v>84.45</v>
      </c>
      <c r="BO475" s="64">
        <f t="shared" si="66"/>
        <v>0.13658216783216784</v>
      </c>
      <c r="BP475" s="64">
        <f t="shared" si="67"/>
        <v>0.14423076923076925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266</v>
      </c>
      <c r="Y476" s="598">
        <f t="shared" si="62"/>
        <v>269.28000000000003</v>
      </c>
      <c r="Z476" s="36">
        <f t="shared" si="63"/>
        <v>0.60996000000000006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283.63257575757575</v>
      </c>
      <c r="BN476" s="64">
        <f t="shared" si="65"/>
        <v>287.13</v>
      </c>
      <c r="BO476" s="64">
        <f t="shared" si="66"/>
        <v>0.48441142191142189</v>
      </c>
      <c r="BP476" s="64">
        <f t="shared" si="67"/>
        <v>0.49038461538461542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816</v>
      </c>
      <c r="Y478" s="598">
        <f t="shared" si="62"/>
        <v>818.40000000000009</v>
      </c>
      <c r="Z478" s="36">
        <f t="shared" si="63"/>
        <v>1.8538000000000001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870.09090909090901</v>
      </c>
      <c r="BN478" s="64">
        <f t="shared" si="65"/>
        <v>872.65000000000009</v>
      </c>
      <c r="BO478" s="64">
        <f t="shared" si="66"/>
        <v>1.486013986013986</v>
      </c>
      <c r="BP478" s="64">
        <f t="shared" si="67"/>
        <v>1.4903846153846154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48</v>
      </c>
      <c r="Y480" s="598">
        <f t="shared" si="62"/>
        <v>48</v>
      </c>
      <c r="Z480" s="36">
        <f>IFERROR(IF(Y480=0,"",ROUNDUP(Y480/H480,0)*0.00902),"")</f>
        <v>9.0200000000000002E-2</v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69.100000000000009</v>
      </c>
      <c r="BN480" s="64">
        <f t="shared" si="65"/>
        <v>69.100000000000009</v>
      </c>
      <c r="BO480" s="64">
        <f t="shared" si="66"/>
        <v>7.575757575757576E-2</v>
      </c>
      <c r="BP480" s="64">
        <f t="shared" si="67"/>
        <v>7.575757575757576E-2</v>
      </c>
    </row>
    <row r="481" spans="1:68" ht="27" hidden="1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235</v>
      </c>
      <c r="Y482" s="599">
        <f>IFERROR(Y473/H473,"0")+IFERROR(Y474/H474,"0")+IFERROR(Y475/H475,"0")+IFERROR(Y476/H476,"0")+IFERROR(Y477/H477,"0")+IFERROR(Y478/H478,"0")+IFERROR(Y479/H479,"0")+IFERROR(Y480/H480,"0")+IFERROR(Y481/H481,"0")</f>
        <v>237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2.8051200000000001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1236</v>
      </c>
      <c r="Y483" s="599">
        <f>IFERROR(SUM(Y473:Y481),"0")</f>
        <v>1246.5600000000002</v>
      </c>
      <c r="Z483" s="37"/>
      <c r="AA483" s="600"/>
      <c r="AB483" s="600"/>
      <c r="AC483" s="600"/>
    </row>
    <row r="484" spans="1:68" ht="14.25" hidden="1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296</v>
      </c>
      <c r="Y485" s="598">
        <f>IFERROR(IF(X485="",0,CEILING((X485/$H485),1)*$H485),"")</f>
        <v>300.96000000000004</v>
      </c>
      <c r="Z485" s="36">
        <f>IFERROR(IF(Y485=0,"",ROUNDUP(Y485/H485,0)*0.01196),"")</f>
        <v>0.68171999999999999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315.62121212121212</v>
      </c>
      <c r="BN485" s="64">
        <f>IFERROR(Y485*I485/H485,"0")</f>
        <v>320.91000000000003</v>
      </c>
      <c r="BO485" s="64">
        <f>IFERROR(1/J485*(X485/H485),"0")</f>
        <v>0.53904428904428903</v>
      </c>
      <c r="BP485" s="64">
        <f>IFERROR(1/J485*(Y485/H485),"0")</f>
        <v>0.54807692307692313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hidden="1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56.060606060606055</v>
      </c>
      <c r="Y488" s="599">
        <f>IFERROR(Y485/H485,"0")+IFERROR(Y486/H486,"0")+IFERROR(Y487/H487,"0")</f>
        <v>57.000000000000007</v>
      </c>
      <c r="Z488" s="599">
        <f>IFERROR(IF(Z485="",0,Z485),"0")+IFERROR(IF(Z486="",0,Z486),"0")+IFERROR(IF(Z487="",0,Z487),"0")</f>
        <v>0.68171999999999999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296</v>
      </c>
      <c r="Y489" s="599">
        <f>IFERROR(SUM(Y485:Y487),"0")</f>
        <v>300.96000000000004</v>
      </c>
      <c r="Z489" s="37"/>
      <c r="AA489" s="600"/>
      <c r="AB489" s="600"/>
      <c r="AC489" s="600"/>
    </row>
    <row r="490" spans="1:68" ht="14.25" hidden="1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99</v>
      </c>
      <c r="Y491" s="598">
        <f t="shared" ref="Y491:Y497" si="68">IFERROR(IF(X491="",0,CEILING((X491/$H491),1)*$H491),"")</f>
        <v>100.32000000000001</v>
      </c>
      <c r="Z491" s="36">
        <f>IFERROR(IF(Y491=0,"",ROUNDUP(Y491/H491,0)*0.01196),"")</f>
        <v>0.22724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105.5625</v>
      </c>
      <c r="BN491" s="64">
        <f t="shared" ref="BN491:BN497" si="70">IFERROR(Y491*I491/H491,"0")</f>
        <v>106.97</v>
      </c>
      <c r="BO491" s="64">
        <f t="shared" ref="BO491:BO497" si="71">IFERROR(1/J491*(X491/H491),"0")</f>
        <v>0.18028846153846154</v>
      </c>
      <c r="BP491" s="64">
        <f t="shared" ref="BP491:BP497" si="72">IFERROR(1/J491*(Y491/H491),"0")</f>
        <v>0.18269230769230771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147</v>
      </c>
      <c r="Y492" s="598">
        <f t="shared" si="68"/>
        <v>147.84</v>
      </c>
      <c r="Z492" s="36">
        <f>IFERROR(IF(Y492=0,"",ROUNDUP(Y492/H492,0)*0.01196),"")</f>
        <v>0.33488000000000001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156.74431818181819</v>
      </c>
      <c r="BN492" s="64">
        <f t="shared" si="70"/>
        <v>157.63999999999999</v>
      </c>
      <c r="BO492" s="64">
        <f t="shared" si="71"/>
        <v>0.26770104895104896</v>
      </c>
      <c r="BP492" s="64">
        <f t="shared" si="72"/>
        <v>0.26923076923076927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227</v>
      </c>
      <c r="Y493" s="598">
        <f t="shared" si="68"/>
        <v>227.04000000000002</v>
      </c>
      <c r="Z493" s="36">
        <f>IFERROR(IF(Y493=0,"",ROUNDUP(Y493/H493,0)*0.01196),"")</f>
        <v>0.51427999999999996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242.04734848484847</v>
      </c>
      <c r="BN493" s="64">
        <f t="shared" si="70"/>
        <v>242.09</v>
      </c>
      <c r="BO493" s="64">
        <f t="shared" si="71"/>
        <v>0.41338869463869465</v>
      </c>
      <c r="BP493" s="64">
        <f t="shared" si="72"/>
        <v>0.41346153846153849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89.583333333333343</v>
      </c>
      <c r="Y498" s="599">
        <f>IFERROR(Y491/H491,"0")+IFERROR(Y492/H492,"0")+IFERROR(Y493/H493,"0")+IFERROR(Y494/H494,"0")+IFERROR(Y495/H495,"0")+IFERROR(Y496/H496,"0")+IFERROR(Y497/H497,"0")</f>
        <v>90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1.0764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473</v>
      </c>
      <c r="Y499" s="599">
        <f>IFERROR(SUM(Y491:Y497),"0")</f>
        <v>475.20000000000005</v>
      </c>
      <c r="Z499" s="37"/>
      <c r="AA499" s="600"/>
      <c r="AB499" s="600"/>
      <c r="AC499" s="600"/>
    </row>
    <row r="500" spans="1:68" ht="27.75" hidden="1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hidden="1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hidden="1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4</v>
      </c>
      <c r="Y516" s="598">
        <f>IFERROR(IF(X516="",0,CEILING((X516/$H516),1)*$H516),"")</f>
        <v>9</v>
      </c>
      <c r="Z516" s="36">
        <f>IFERROR(IF(Y516=0,"",ROUNDUP(Y516/H516,0)*0.01898),"")</f>
        <v>1.898E-2</v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4.2195555555555551</v>
      </c>
      <c r="BN516" s="64">
        <f>IFERROR(Y516*I516/H516,"0")</f>
        <v>9.4939999999999998</v>
      </c>
      <c r="BO516" s="64">
        <f>IFERROR(1/J516*(X516/H516),"0")</f>
        <v>6.9444444444444441E-3</v>
      </c>
      <c r="BP516" s="64">
        <f>IFERROR(1/J516*(Y516/H516),"0")</f>
        <v>1.5625E-2</v>
      </c>
    </row>
    <row r="517" spans="1:68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0.44444444444444442</v>
      </c>
      <c r="Y517" s="599">
        <f>IFERROR(Y516/H516,"0")</f>
        <v>1</v>
      </c>
      <c r="Z517" s="599">
        <f>IFERROR(IF(Z516="",0,Z516),"0")</f>
        <v>1.898E-2</v>
      </c>
      <c r="AA517" s="600"/>
      <c r="AB517" s="600"/>
      <c r="AC517" s="600"/>
    </row>
    <row r="518" spans="1:68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4</v>
      </c>
      <c r="Y518" s="599">
        <f>IFERROR(SUM(Y516:Y516),"0")</f>
        <v>9</v>
      </c>
      <c r="Z518" s="37"/>
      <c r="AA518" s="600"/>
      <c r="AB518" s="600"/>
      <c r="AC518" s="600"/>
    </row>
    <row r="519" spans="1:68" ht="14.25" hidden="1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hidden="1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14981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15182.760000000002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15810.586747408786</v>
      </c>
      <c r="Y530" s="599">
        <f>IFERROR(SUM(BN22:BN526),"0")</f>
        <v>16022.798000000001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26</v>
      </c>
      <c r="Y531" s="38">
        <f>ROUNDUP(SUM(BP22:BP526),0)</f>
        <v>27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16460.586747408786</v>
      </c>
      <c r="Y532" s="599">
        <f>GrossWeightTotalR+PalletQtyTotalR*25</f>
        <v>16697.798000000003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2690.700519490716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2726</v>
      </c>
      <c r="Z533" s="37"/>
      <c r="AA533" s="600"/>
      <c r="AB533" s="600"/>
      <c r="AC533" s="600"/>
    </row>
    <row r="534" spans="1:32" ht="14.25" hidden="1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30.885360000000002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1122.5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1148</v>
      </c>
      <c r="F539" s="46">
        <f>IFERROR(Y87*1,"0")+IFERROR(Y88*1,"0")+IFERROR(Y89*1,"0")+IFERROR(Y90*1,"0")+IFERROR(Y94*1,"0")+IFERROR(Y95*1,"0")+IFERROR(Y96*1,"0")+IFERROR(Y97*1,"0")</f>
        <v>1305.9000000000001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1176.5999999999999</v>
      </c>
      <c r="H539" s="46">
        <f>IFERROR(Y134*1,"0")+IFERROR(Y135*1,"0")+IFERROR(Y139*1,"0")+IFERROR(Y140*1,"0")+IFERROR(Y144*1,"0")+IFERROR(Y145*1,"0")</f>
        <v>126.32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272.40000000000003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759.62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2416.1999999999998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161.49999999999997</v>
      </c>
      <c r="P539" s="46">
        <f>IFERROR(Y312*1,"0")+IFERROR(Y313*1,"0")+IFERROR(Y314*1,"0")+IFERROR(Y315*1,"0")+IFERROR(Y316*1,"0")</f>
        <v>21.6</v>
      </c>
      <c r="Q539" s="46">
        <f>IFERROR(Y321*1,"0")+IFERROR(Y322*1,"0")+IFERROR(Y323*1,"0")</f>
        <v>69.599999999999994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54.599999999999994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1102.2</v>
      </c>
      <c r="U539" s="46">
        <f>IFERROR(Y394*1,"0")+IFERROR(Y395*1,"0")+IFERROR(Y396*1,"0")</f>
        <v>63.000000000000007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3351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2022.72</v>
      </c>
      <c r="AA539" s="46">
        <f>IFERROR(Y503*1,"0")+IFERROR(Y507*1,"0")+IFERROR(Y511*1,"0")+IFERROR(Y512*1,"0")+IFERROR(Y516*1,"0")+IFERROR(Y520*1,"0")+IFERROR(Y521*1,"0")</f>
        <v>9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4"/>
        <filter val="1 005,00"/>
        <filter val="1 041,00"/>
        <filter val="1 110,00"/>
        <filter val="1 236,00"/>
        <filter val="1 438,00"/>
        <filter val="1,57"/>
        <filter val="1,67"/>
        <filter val="10,00"/>
        <filter val="10,94"/>
        <filter val="105,00"/>
        <filter val="106,00"/>
        <filter val="116,00"/>
        <filter val="12,00"/>
        <filter val="12,81"/>
        <filter val="12,88"/>
        <filter val="121,43"/>
        <filter val="122,00"/>
        <filter val="124,94"/>
        <filter val="126,00"/>
        <filter val="128,94"/>
        <filter val="13,00"/>
        <filter val="130,00"/>
        <filter val="14 981,00"/>
        <filter val="14,16"/>
        <filter val="140,00"/>
        <filter val="144,00"/>
        <filter val="147,00"/>
        <filter val="148,00"/>
        <filter val="148,15"/>
        <filter val="15 810,59"/>
        <filter val="15,69"/>
        <filter val="150,00"/>
        <filter val="151,00"/>
        <filter val="152,00"/>
        <filter val="157,00"/>
        <filter val="16 460,59"/>
        <filter val="164,00"/>
        <filter val="166,87"/>
        <filter val="169,00"/>
        <filter val="17,00"/>
        <filter val="17,86"/>
        <filter val="179,63"/>
        <filter val="18,78"/>
        <filter val="197,00"/>
        <filter val="2 503,00"/>
        <filter val="2 690,70"/>
        <filter val="2,00"/>
        <filter val="2,22"/>
        <filter val="220,00"/>
        <filter val="227,00"/>
        <filter val="235,00"/>
        <filter val="237,00"/>
        <filter val="24,00"/>
        <filter val="240,00"/>
        <filter val="26"/>
        <filter val="260,00"/>
        <filter val="261,00"/>
        <filter val="266,00"/>
        <filter val="277,00"/>
        <filter val="28,75"/>
        <filter val="29,00"/>
        <filter val="29,05"/>
        <filter val="296,00"/>
        <filter val="3,00"/>
        <filter val="3,97"/>
        <filter val="30,09"/>
        <filter val="31,00"/>
        <filter val="32,00"/>
        <filter val="325,00"/>
        <filter val="330,00"/>
        <filter val="336,00"/>
        <filter val="34,00"/>
        <filter val="346,63"/>
        <filter val="35,97"/>
        <filter val="36,00"/>
        <filter val="37,00"/>
        <filter val="37,08"/>
        <filter val="38,00"/>
        <filter val="39,00"/>
        <filter val="394,00"/>
        <filter val="399,00"/>
        <filter val="4,00"/>
        <filter val="40,00"/>
        <filter val="41,00"/>
        <filter val="43,00"/>
        <filter val="430,00"/>
        <filter val="46,00"/>
        <filter val="46,15"/>
        <filter val="47,05"/>
        <filter val="473,00"/>
        <filter val="48,00"/>
        <filter val="5,00"/>
        <filter val="50,00"/>
        <filter val="501,00"/>
        <filter val="51,00"/>
        <filter val="52,76"/>
        <filter val="526,75"/>
        <filter val="541,00"/>
        <filter val="547,00"/>
        <filter val="56,06"/>
        <filter val="6,54"/>
        <filter val="60,00"/>
        <filter val="61,00"/>
        <filter val="645,00"/>
        <filter val="647,00"/>
        <filter val="69,00"/>
        <filter val="698,00"/>
        <filter val="7,00"/>
        <filter val="7,14"/>
        <filter val="740,00"/>
        <filter val="744,00"/>
        <filter val="75,00"/>
        <filter val="76,00"/>
        <filter val="790,00"/>
        <filter val="816,00"/>
        <filter val="84,00"/>
        <filter val="847,00"/>
        <filter val="864,00"/>
        <filter val="89,00"/>
        <filter val="89,58"/>
        <filter val="896,00"/>
        <filter val="9,00"/>
        <filter val="90,15"/>
        <filter val="91,00"/>
        <filter val="92,00"/>
        <filter val="970,00"/>
        <filter val="98,00"/>
        <filter val="99,00"/>
      </filters>
    </filterColumn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