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060212E-08F5-40FB-8385-49B522544E41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заказа'!$X$515:$X$515</definedName>
    <definedName name="GrossWeightTotalR">'Бланк заказа'!$Y$515:$Y$515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заказа'!$X$516:$X$516</definedName>
    <definedName name="PalletQtyTotalR">'Бланк заказа'!$Y$516:$Y$516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заказа'!$B$205:$B$205</definedName>
    <definedName name="ProductId101">'Бланк заказа'!$B$206:$B$206</definedName>
    <definedName name="ProductId102">'Бланк заказа'!$B$207:$B$207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заказа'!$B$218:$B$218</definedName>
    <definedName name="ProductId108">'Бланк заказа'!$B$219:$B$219</definedName>
    <definedName name="ProductId109">'Бланк заказа'!$B$220:$B$220</definedName>
    <definedName name="ProductId11">'Бланк заказа'!$B$43:$B$43</definedName>
    <definedName name="ProductId110">'Бланк заказа'!$B$224:$B$224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заказа'!$B$239:$B$239</definedName>
    <definedName name="ProductId116">'Бланк заказа'!$B$240:$B$240</definedName>
    <definedName name="ProductId117">'Бланк заказа'!$B$241:$B$241</definedName>
    <definedName name="ProductId118">'Бланк заказа'!$B$242:$B$242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заказа'!$B$251:$B$251</definedName>
    <definedName name="ProductId125">'Бланк заказа'!$B$252:$B$252</definedName>
    <definedName name="ProductId126">'Бланк заказа'!$B$253:$B$253</definedName>
    <definedName name="ProductId127">'Бланк заказа'!$B$254:$B$254</definedName>
    <definedName name="ProductId128">'Бланк заказа'!$B$255:$B$255</definedName>
    <definedName name="ProductId129">'Бланк заказа'!$B$256:$B$256</definedName>
    <definedName name="ProductId13">'Бланк заказа'!$B$45:$B$45</definedName>
    <definedName name="ProductId130">'Бланк заказа'!$B$257:$B$257</definedName>
    <definedName name="ProductId131">'Бланк заказа'!$B$258:$B$258</definedName>
    <definedName name="ProductId132">'Бланк заказа'!$B$259:$B$259</definedName>
    <definedName name="ProductId133">'Бланк заказа'!$B$260:$B$260</definedName>
    <definedName name="ProductId134">'Бланк заказа'!$B$261:$B$261</definedName>
    <definedName name="ProductId135">'Бланк заказа'!$B$265:$B$265</definedName>
    <definedName name="ProductId136">'Бланк заказа'!$B$266:$B$266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заказа'!$B$51:$B$51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заказа'!$B$281:$B$281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заказа'!$B$291:$B$291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заказа'!$B$305:$B$305</definedName>
    <definedName name="ProductId155">'Бланк заказа'!$B$306:$B$306</definedName>
    <definedName name="ProductId156">'Бланк заказа'!$B$307:$B$307</definedName>
    <definedName name="ProductId157">'Бланк заказа'!$B$312:$B$312</definedName>
    <definedName name="ProductId158">'Бланк заказа'!$B$313:$B$313</definedName>
    <definedName name="ProductId159">'Бланк заказа'!$B$314:$B$314</definedName>
    <definedName name="ProductId16">'Бланк заказа'!$B$53:$B$53</definedName>
    <definedName name="ProductId160">'Бланк заказа'!$B$315:$B$315</definedName>
    <definedName name="ProductId161">'Бланк заказа'!$B$316:$B$316</definedName>
    <definedName name="ProductId162">'Бланк заказа'!$B$320:$B$320</definedName>
    <definedName name="ProductId163">'Бланк заказа'!$B$321:$B$321</definedName>
    <definedName name="ProductId164">'Бланк заказа'!$B$326:$B$326</definedName>
    <definedName name="ProductId165">'Бланк заказа'!$B$327:$B$327</definedName>
    <definedName name="ProductId166">'Бланк заказа'!$B$328:$B$328</definedName>
    <definedName name="ProductId167">'Бланк заказа'!$B$333:$B$333</definedName>
    <definedName name="ProductId168">'Бланк заказа'!$B$334:$B$334</definedName>
    <definedName name="ProductId169">'Бланк заказа'!$B$335:$B$335</definedName>
    <definedName name="ProductId17">'Бланк заказа'!$B$54:$B$54</definedName>
    <definedName name="ProductId170">'Бланк заказа'!$B$336:$B$336</definedName>
    <definedName name="ProductId171">'Бланк заказа'!$B$337:$B$337</definedName>
    <definedName name="ProductId172">'Бланк заказа'!$B$338:$B$338</definedName>
    <definedName name="ProductId173">'Бланк заказа'!$B$342:$B$342</definedName>
    <definedName name="ProductId174">'Бланк заказа'!$B$343:$B$343</definedName>
    <definedName name="ProductId175">'Бланк заказа'!$B$344:$B$344</definedName>
    <definedName name="ProductId176">'Бланк заказа'!$B$345:$B$345</definedName>
    <definedName name="ProductId177">'Бланк заказа'!$B$346:$B$346</definedName>
    <definedName name="ProductId178">'Бланк заказа'!$B$347:$B$347</definedName>
    <definedName name="ProductId179">'Бланк заказа'!$B$348:$B$348</definedName>
    <definedName name="ProductId18">'Бланк заказа'!$B$59:$B$59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заказа'!$B$355:$B$355</definedName>
    <definedName name="ProductId184">'Бланк заказа'!$B$359:$B$359</definedName>
    <definedName name="ProductId185">'Бланк заказа'!$B$360:$B$360</definedName>
    <definedName name="ProductId186">'Бланк заказа'!$B$361:$B$361</definedName>
    <definedName name="ProductId187">'Бланк заказа'!$B$365:$B$365</definedName>
    <definedName name="ProductId188">'Бланк заказа'!$B$366:$B$366</definedName>
    <definedName name="ProductId189">'Бланк заказа'!$B$367:$B$367</definedName>
    <definedName name="ProductId19">'Бланк заказа'!$B$60:$B$60</definedName>
    <definedName name="ProductId190">'Бланк заказа'!$B$368:$B$368</definedName>
    <definedName name="ProductId191">'Бланк заказа'!$B$372:$B$372</definedName>
    <definedName name="ProductId192">'Бланк заказа'!$B$373:$B$373</definedName>
    <definedName name="ProductId193">'Бланк заказа'!$B$374:$B$374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заказа'!$B$387:$B$387</definedName>
    <definedName name="ProductId198">'Бланк заказа'!$B$388:$B$388</definedName>
    <definedName name="ProductId199">'Бланк заказа'!$B$389:$B$389</definedName>
    <definedName name="ProductId2">'Бланк заказа'!$B$23:$B$23</definedName>
    <definedName name="ProductId20">'Бланк заказа'!$B$61:$B$61</definedName>
    <definedName name="ProductId200">'Бланк заказа'!$B$390:$B$390</definedName>
    <definedName name="ProductId201">'Бланк заказа'!$B$391:$B$391</definedName>
    <definedName name="ProductId202">'Бланк заказа'!$B$392:$B$392</definedName>
    <definedName name="ProductId203">'Бланк заказа'!$B$393:$B$393</definedName>
    <definedName name="ProductId204">'Бланк заказа'!$B$394:$B$394</definedName>
    <definedName name="ProductId205">'Бланк заказа'!$B$398:$B$398</definedName>
    <definedName name="ProductId206">'Бланк заказа'!$B$399:$B$399</definedName>
    <definedName name="ProductId207">'Бланк заказа'!$B$400:$B$400</definedName>
    <definedName name="ProductId208">'Бланк заказа'!$B$404:$B$404</definedName>
    <definedName name="ProductId209">'Бланк заказа'!$B$405:$B$405</definedName>
    <definedName name="ProductId21">'Бланк заказа'!$B$62:$B$62</definedName>
    <definedName name="ProductId210">'Бланк заказа'!$B$409:$B$409</definedName>
    <definedName name="ProductId211">'Бланк заказа'!$B$414:$B$414</definedName>
    <definedName name="ProductId212">'Бланк заказа'!$B$415:$B$415</definedName>
    <definedName name="ProductId213">'Бланк заказа'!$B$419:$B$419</definedName>
    <definedName name="ProductId214">'Бланк заказа'!$B$423:$B$423</definedName>
    <definedName name="ProductId215">'Бланк заказа'!$B$424:$B$424</definedName>
    <definedName name="ProductId216">'Бланк заказа'!$B$425:$B$425</definedName>
    <definedName name="ProductId217">'Бланк заказа'!$B$431:$B$431</definedName>
    <definedName name="ProductId218">'Бланк заказа'!$B$432:$B$432</definedName>
    <definedName name="ProductId219">'Бланк заказа'!$B$433:$B$433</definedName>
    <definedName name="ProductId22">'Бланк заказа'!$B$63:$B$63</definedName>
    <definedName name="ProductId220">'Бланк заказа'!$B$434:$B$434</definedName>
    <definedName name="ProductId221">'Бланк заказа'!$B$435:$B$435</definedName>
    <definedName name="ProductId222">'Бланк заказа'!$B$436:$B$436</definedName>
    <definedName name="ProductId223">'Бланк заказа'!$B$440:$B$440</definedName>
    <definedName name="ProductId224">'Бланк заказа'!$B$441:$B$441</definedName>
    <definedName name="ProductId225">'Бланк заказа'!$B$446:$B$446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заказа'!$B$458:$B$458</definedName>
    <definedName name="ProductId23">'Бланк заказа'!$B$64:$B$64</definedName>
    <definedName name="ProductId230">'Бланк заказа'!$B$459:$B$459</definedName>
    <definedName name="ProductId231">'Бланк заказа'!$B$460:$B$460</definedName>
    <definedName name="ProductId232">'Бланк заказа'!$B$461:$B$461</definedName>
    <definedName name="ProductId233">'Бланк заказа'!$B$462:$B$462</definedName>
    <definedName name="ProductId234">'Бланк заказа'!$B$463:$B$463</definedName>
    <definedName name="ProductId235">'Бланк заказа'!$B$464:$B$464</definedName>
    <definedName name="ProductId236">'Бланк заказа'!$B$465:$B$465</definedName>
    <definedName name="ProductId237">'Бланк заказа'!$B$466:$B$466</definedName>
    <definedName name="ProductId238">'Бланк заказа'!$B$470:$B$470</definedName>
    <definedName name="ProductId239">'Бланк заказа'!$B$471:$B$471</definedName>
    <definedName name="ProductId24">'Бланк заказа'!$B$65:$B$65</definedName>
    <definedName name="ProductId240">'Бланк заказа'!$B$472:$B$472</definedName>
    <definedName name="ProductId241">'Бланк заказа'!$B$476:$B$476</definedName>
    <definedName name="ProductId242">'Бланк заказа'!$B$477:$B$477</definedName>
    <definedName name="ProductId243">'Бланк заказа'!$B$478:$B$478</definedName>
    <definedName name="ProductId244">'Бланк заказа'!$B$479:$B$479</definedName>
    <definedName name="ProductId245">'Бланк заказа'!$B$480:$B$480</definedName>
    <definedName name="ProductId246">'Бланк заказа'!$B$481:$B$481</definedName>
    <definedName name="ProductId247">'Бланк заказа'!$B$482:$B$482</definedName>
    <definedName name="ProductId248">'Бланк заказа'!$B$488:$B$488</definedName>
    <definedName name="ProductId249">'Бланк заказа'!$B$492:$B$492</definedName>
    <definedName name="ProductId25">'Бланк заказа'!$B$69:$B$69</definedName>
    <definedName name="ProductId250">'Бланк заказа'!$B$496:$B$496</definedName>
    <definedName name="ProductId251">'Бланк заказа'!$B$497:$B$497</definedName>
    <definedName name="ProductId252">'Бланк заказа'!$B$501:$B$501</definedName>
    <definedName name="ProductId253">'Бланк заказа'!$B$505:$B$505</definedName>
    <definedName name="ProductId254">'Бланк заказа'!$B$506:$B$506</definedName>
    <definedName name="ProductId255">'Бланк заказа'!$B$511:$B$511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заказа'!$B$142:$B$142</definedName>
    <definedName name="ProductId65">'Бланк заказа'!$B$143:$B$143</definedName>
    <definedName name="ProductId66">'Бланк заказа'!$B$147:$B$147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заказа'!$B$158:$B$158</definedName>
    <definedName name="ProductId75">'Бланк заказа'!$B$159:$B$159</definedName>
    <definedName name="ProductId76">'Бланк заказа'!$B$160:$B$160</definedName>
    <definedName name="ProductId77">'Бланк заказа'!$B$161:$B$161</definedName>
    <definedName name="ProductId78">'Бланк заказа'!$B$165:$B$165</definedName>
    <definedName name="ProductId79">'Бланк заказа'!$B$166:$B$166</definedName>
    <definedName name="ProductId8">'Бланк заказа'!$B$32:$B$32</definedName>
    <definedName name="ProductId80">'Бланк заказа'!$B$167:$B$167</definedName>
    <definedName name="ProductId81">'Бланк заказа'!$B$171:$B$171</definedName>
    <definedName name="ProductId82">'Бланк заказа'!$B$172:$B$172</definedName>
    <definedName name="ProductId83">'Бланк заказа'!$B$176:$B$176</definedName>
    <definedName name="ProductId84">'Бланк заказа'!$B$182:$B$182</definedName>
    <definedName name="ProductId85">'Бланк заказа'!$B$183:$B$183</definedName>
    <definedName name="ProductId86">'Бланк заказа'!$B$184:$B$184</definedName>
    <definedName name="ProductId87">'Бланк заказа'!$B$185:$B$185</definedName>
    <definedName name="ProductId88">'Бланк заказа'!$B$190:$B$190</definedName>
    <definedName name="ProductId89">'Бланк заказа'!$B$194:$B$194</definedName>
    <definedName name="ProductId9">'Бланк заказа'!$B$36:$B$36</definedName>
    <definedName name="ProductId90">'Бланк заказа'!$B$195:$B$195</definedName>
    <definedName name="ProductId91">'Бланк заказа'!$B$196:$B$196</definedName>
    <definedName name="ProductId92">'Бланк заказа'!$B$197:$B$197</definedName>
    <definedName name="ProductId93">'Бланк заказа'!$B$198:$B$198</definedName>
    <definedName name="ProductId94">'Бланк заказа'!$B$199:$B$199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заказа'!$X$205:$X$205</definedName>
    <definedName name="SalesQty101">'Бланк заказа'!$X$206:$X$206</definedName>
    <definedName name="SalesQty102">'Бланк заказа'!$X$207:$X$207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заказа'!$X$218:$X$218</definedName>
    <definedName name="SalesQty108">'Бланк заказа'!$X$219:$X$219</definedName>
    <definedName name="SalesQty109">'Бланк заказа'!$X$220:$X$220</definedName>
    <definedName name="SalesQty11">'Бланк заказа'!$X$43:$X$43</definedName>
    <definedName name="SalesQty110">'Бланк заказа'!$X$224:$X$224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заказа'!$X$239:$X$239</definedName>
    <definedName name="SalesQty116">'Бланк заказа'!$X$240:$X$240</definedName>
    <definedName name="SalesQty117">'Бланк заказа'!$X$241:$X$241</definedName>
    <definedName name="SalesQty118">'Бланк заказа'!$X$242:$X$242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заказа'!$X$251:$X$251</definedName>
    <definedName name="SalesQty125">'Бланк заказа'!$X$252:$X$252</definedName>
    <definedName name="SalesQty126">'Бланк заказа'!$X$253:$X$253</definedName>
    <definedName name="SalesQty127">'Бланк заказа'!$X$254:$X$254</definedName>
    <definedName name="SalesQty128">'Бланк заказа'!$X$255:$X$255</definedName>
    <definedName name="SalesQty129">'Бланк заказа'!$X$256:$X$256</definedName>
    <definedName name="SalesQty13">'Бланк заказа'!$X$45:$X$45</definedName>
    <definedName name="SalesQty130">'Бланк заказа'!$X$257:$X$257</definedName>
    <definedName name="SalesQty131">'Бланк заказа'!$X$258:$X$258</definedName>
    <definedName name="SalesQty132">'Бланк заказа'!$X$259:$X$259</definedName>
    <definedName name="SalesQty133">'Бланк заказа'!$X$260:$X$260</definedName>
    <definedName name="SalesQty134">'Бланк заказа'!$X$261:$X$261</definedName>
    <definedName name="SalesQty135">'Бланк заказа'!$X$265:$X$265</definedName>
    <definedName name="SalesQty136">'Бланк заказа'!$X$266:$X$266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заказа'!$X$51:$X$51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заказа'!$X$281:$X$281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заказа'!$X$291:$X$291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заказа'!$X$305:$X$305</definedName>
    <definedName name="SalesQty155">'Бланк заказа'!$X$306:$X$306</definedName>
    <definedName name="SalesQty156">'Бланк заказа'!$X$307:$X$307</definedName>
    <definedName name="SalesQty157">'Бланк заказа'!$X$312:$X$312</definedName>
    <definedName name="SalesQty158">'Бланк заказа'!$X$313:$X$313</definedName>
    <definedName name="SalesQty159">'Бланк заказа'!$X$314:$X$314</definedName>
    <definedName name="SalesQty16">'Бланк заказа'!$X$53:$X$53</definedName>
    <definedName name="SalesQty160">'Бланк заказа'!$X$315:$X$315</definedName>
    <definedName name="SalesQty161">'Бланк заказа'!$X$316:$X$316</definedName>
    <definedName name="SalesQty162">'Бланк заказа'!$X$320:$X$320</definedName>
    <definedName name="SalesQty163">'Бланк заказа'!$X$321:$X$321</definedName>
    <definedName name="SalesQty164">'Бланк заказа'!$X$326:$X$326</definedName>
    <definedName name="SalesQty165">'Бланк заказа'!$X$327:$X$327</definedName>
    <definedName name="SalesQty166">'Бланк заказа'!$X$328:$X$328</definedName>
    <definedName name="SalesQty167">'Бланк заказа'!$X$333:$X$333</definedName>
    <definedName name="SalesQty168">'Бланк заказа'!$X$334:$X$334</definedName>
    <definedName name="SalesQty169">'Бланк заказа'!$X$335:$X$335</definedName>
    <definedName name="SalesQty17">'Бланк заказа'!$X$54:$X$54</definedName>
    <definedName name="SalesQty170">'Бланк заказа'!$X$336:$X$336</definedName>
    <definedName name="SalesQty171">'Бланк заказа'!$X$337:$X$337</definedName>
    <definedName name="SalesQty172">'Бланк заказа'!$X$338:$X$338</definedName>
    <definedName name="SalesQty173">'Бланк заказа'!$X$342:$X$342</definedName>
    <definedName name="SalesQty174">'Бланк заказа'!$X$343:$X$343</definedName>
    <definedName name="SalesQty175">'Бланк заказа'!$X$344:$X$344</definedName>
    <definedName name="SalesQty176">'Бланк заказа'!$X$345:$X$345</definedName>
    <definedName name="SalesQty177">'Бланк заказа'!$X$346:$X$346</definedName>
    <definedName name="SalesQty178">'Бланк заказа'!$X$347:$X$347</definedName>
    <definedName name="SalesQty179">'Бланк заказа'!$X$348:$X$348</definedName>
    <definedName name="SalesQty18">'Бланк заказа'!$X$59:$X$59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заказа'!$X$355:$X$355</definedName>
    <definedName name="SalesQty184">'Бланк заказа'!$X$359:$X$359</definedName>
    <definedName name="SalesQty185">'Бланк заказа'!$X$360:$X$360</definedName>
    <definedName name="SalesQty186">'Бланк заказа'!$X$361:$X$361</definedName>
    <definedName name="SalesQty187">'Бланк заказа'!$X$365:$X$365</definedName>
    <definedName name="SalesQty188">'Бланк заказа'!$X$366:$X$366</definedName>
    <definedName name="SalesQty189">'Бланк заказа'!$X$367:$X$367</definedName>
    <definedName name="SalesQty19">'Бланк заказа'!$X$60:$X$60</definedName>
    <definedName name="SalesQty190">'Бланк заказа'!$X$368:$X$368</definedName>
    <definedName name="SalesQty191">'Бланк заказа'!$X$372:$X$372</definedName>
    <definedName name="SalesQty192">'Бланк заказа'!$X$373:$X$373</definedName>
    <definedName name="SalesQty193">'Бланк заказа'!$X$374:$X$374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заказа'!$X$387:$X$387</definedName>
    <definedName name="SalesQty198">'Бланк заказа'!$X$388:$X$388</definedName>
    <definedName name="SalesQty199">'Бланк заказа'!$X$389:$X$389</definedName>
    <definedName name="SalesQty2">'Бланк заказа'!$X$23:$X$23</definedName>
    <definedName name="SalesQty20">'Бланк заказа'!$X$61:$X$61</definedName>
    <definedName name="SalesQty200">'Бланк заказа'!$X$390:$X$390</definedName>
    <definedName name="SalesQty201">'Бланк заказа'!$X$391:$X$391</definedName>
    <definedName name="SalesQty202">'Бланк заказа'!$X$392:$X$392</definedName>
    <definedName name="SalesQty203">'Бланк заказа'!$X$393:$X$393</definedName>
    <definedName name="SalesQty204">'Бланк заказа'!$X$394:$X$394</definedName>
    <definedName name="SalesQty205">'Бланк заказа'!$X$398:$X$398</definedName>
    <definedName name="SalesQty206">'Бланк заказа'!$X$399:$X$399</definedName>
    <definedName name="SalesQty207">'Бланк заказа'!$X$400:$X$400</definedName>
    <definedName name="SalesQty208">'Бланк заказа'!$X$404:$X$404</definedName>
    <definedName name="SalesQty209">'Бланк заказа'!$X$405:$X$405</definedName>
    <definedName name="SalesQty21">'Бланк заказа'!$X$62:$X$62</definedName>
    <definedName name="SalesQty210">'Бланк заказа'!$X$409:$X$409</definedName>
    <definedName name="SalesQty211">'Бланк заказа'!$X$414:$X$414</definedName>
    <definedName name="SalesQty212">'Бланк заказа'!$X$415:$X$415</definedName>
    <definedName name="SalesQty213">'Бланк заказа'!$X$419:$X$419</definedName>
    <definedName name="SalesQty214">'Бланк заказа'!$X$423:$X$423</definedName>
    <definedName name="SalesQty215">'Бланк заказа'!$X$424:$X$424</definedName>
    <definedName name="SalesQty216">'Бланк заказа'!$X$425:$X$425</definedName>
    <definedName name="SalesQty217">'Бланк заказа'!$X$431:$X$431</definedName>
    <definedName name="SalesQty218">'Бланк заказа'!$X$432:$X$432</definedName>
    <definedName name="SalesQty219">'Бланк заказа'!$X$433:$X$433</definedName>
    <definedName name="SalesQty22">'Бланк заказа'!$X$63:$X$63</definedName>
    <definedName name="SalesQty220">'Бланк заказа'!$X$434:$X$434</definedName>
    <definedName name="SalesQty221">'Бланк заказа'!$X$435:$X$435</definedName>
    <definedName name="SalesQty222">'Бланк заказа'!$X$436:$X$436</definedName>
    <definedName name="SalesQty223">'Бланк заказа'!$X$440:$X$440</definedName>
    <definedName name="SalesQty224">'Бланк заказа'!$X$441:$X$441</definedName>
    <definedName name="SalesQty225">'Бланк заказа'!$X$446:$X$446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заказа'!$X$458:$X$458</definedName>
    <definedName name="SalesQty23">'Бланк заказа'!$X$64:$X$64</definedName>
    <definedName name="SalesQty230">'Бланк заказа'!$X$459:$X$459</definedName>
    <definedName name="SalesQty231">'Бланк заказа'!$X$460:$X$460</definedName>
    <definedName name="SalesQty232">'Бланк заказа'!$X$461:$X$461</definedName>
    <definedName name="SalesQty233">'Бланк заказа'!$X$462:$X$462</definedName>
    <definedName name="SalesQty234">'Бланк заказа'!$X$463:$X$463</definedName>
    <definedName name="SalesQty235">'Бланк заказа'!$X$464:$X$464</definedName>
    <definedName name="SalesQty236">'Бланк заказа'!$X$465:$X$465</definedName>
    <definedName name="SalesQty237">'Бланк заказа'!$X$466:$X$466</definedName>
    <definedName name="SalesQty238">'Бланк заказа'!$X$470:$X$470</definedName>
    <definedName name="SalesQty239">'Бланк заказа'!$X$471:$X$471</definedName>
    <definedName name="SalesQty24">'Бланк заказа'!$X$65:$X$65</definedName>
    <definedName name="SalesQty240">'Бланк заказа'!$X$472:$X$472</definedName>
    <definedName name="SalesQty241">'Бланк заказа'!$X$476:$X$476</definedName>
    <definedName name="SalesQty242">'Бланк заказа'!$X$477:$X$477</definedName>
    <definedName name="SalesQty243">'Бланк заказа'!$X$478:$X$478</definedName>
    <definedName name="SalesQty244">'Бланк заказа'!$X$479:$X$479</definedName>
    <definedName name="SalesQty245">'Бланк заказа'!$X$480:$X$480</definedName>
    <definedName name="SalesQty246">'Бланк заказа'!$X$481:$X$481</definedName>
    <definedName name="SalesQty247">'Бланк заказа'!$X$482:$X$482</definedName>
    <definedName name="SalesQty248">'Бланк заказа'!$X$488:$X$488</definedName>
    <definedName name="SalesQty249">'Бланк заказа'!$X$492:$X$492</definedName>
    <definedName name="SalesQty25">'Бланк заказа'!$X$69:$X$69</definedName>
    <definedName name="SalesQty250">'Бланк заказа'!$X$496:$X$496</definedName>
    <definedName name="SalesQty251">'Бланк заказа'!$X$497:$X$497</definedName>
    <definedName name="SalesQty252">'Бланк заказа'!$X$501:$X$501</definedName>
    <definedName name="SalesQty253">'Бланк заказа'!$X$505:$X$505</definedName>
    <definedName name="SalesQty254">'Бланк заказа'!$X$506:$X$506</definedName>
    <definedName name="SalesQty255">'Бланк заказа'!$X$511:$X$511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заказа'!$X$142:$X$142</definedName>
    <definedName name="SalesQty65">'Бланк заказа'!$X$143:$X$143</definedName>
    <definedName name="SalesQty66">'Бланк заказа'!$X$147:$X$147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заказа'!$X$158:$X$158</definedName>
    <definedName name="SalesQty75">'Бланк заказа'!$X$159:$X$159</definedName>
    <definedName name="SalesQty76">'Бланк заказа'!$X$160:$X$160</definedName>
    <definedName name="SalesQty77">'Бланк заказа'!$X$161:$X$161</definedName>
    <definedName name="SalesQty78">'Бланк заказа'!$X$165:$X$165</definedName>
    <definedName name="SalesQty79">'Бланк заказа'!$X$166:$X$166</definedName>
    <definedName name="SalesQty8">'Бланк заказа'!$X$32:$X$32</definedName>
    <definedName name="SalesQty80">'Бланк заказа'!$X$167:$X$167</definedName>
    <definedName name="SalesQty81">'Бланк заказа'!$X$171:$X$171</definedName>
    <definedName name="SalesQty82">'Бланк заказа'!$X$172:$X$172</definedName>
    <definedName name="SalesQty83">'Бланк заказа'!$X$176:$X$176</definedName>
    <definedName name="SalesQty84">'Бланк заказа'!$X$182:$X$182</definedName>
    <definedName name="SalesQty85">'Бланк заказа'!$X$183:$X$183</definedName>
    <definedName name="SalesQty86">'Бланк заказа'!$X$184:$X$184</definedName>
    <definedName name="SalesQty87">'Бланк заказа'!$X$185:$X$185</definedName>
    <definedName name="SalesQty88">'Бланк заказа'!$X$190:$X$190</definedName>
    <definedName name="SalesQty89">'Бланк заказа'!$X$194:$X$194</definedName>
    <definedName name="SalesQty9">'Бланк заказа'!$X$36:$X$36</definedName>
    <definedName name="SalesQty90">'Бланк заказа'!$X$195:$X$195</definedName>
    <definedName name="SalesQty91">'Бланк заказа'!$X$196:$X$196</definedName>
    <definedName name="SalesQty92">'Бланк заказа'!$X$197:$X$197</definedName>
    <definedName name="SalesQty93">'Бланк заказа'!$X$198:$X$198</definedName>
    <definedName name="SalesQty94">'Бланк заказа'!$X$199:$X$199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заказа'!$Y$205:$Y$205</definedName>
    <definedName name="SalesRoundBox101">'Бланк заказа'!$Y$206:$Y$206</definedName>
    <definedName name="SalesRoundBox102">'Бланк заказа'!$Y$207:$Y$207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заказа'!$Y$218:$Y$218</definedName>
    <definedName name="SalesRoundBox108">'Бланк заказа'!$Y$219:$Y$219</definedName>
    <definedName name="SalesRoundBox109">'Бланк заказа'!$Y$220:$Y$220</definedName>
    <definedName name="SalesRoundBox11">'Бланк заказа'!$Y$43:$Y$43</definedName>
    <definedName name="SalesRoundBox110">'Бланк заказа'!$Y$224:$Y$224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заказа'!$Y$239:$Y$239</definedName>
    <definedName name="SalesRoundBox116">'Бланк заказа'!$Y$240:$Y$240</definedName>
    <definedName name="SalesRoundBox117">'Бланк заказа'!$Y$241:$Y$241</definedName>
    <definedName name="SalesRoundBox118">'Бланк заказа'!$Y$242:$Y$242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заказа'!$Y$251:$Y$251</definedName>
    <definedName name="SalesRoundBox125">'Бланк заказа'!$Y$252:$Y$252</definedName>
    <definedName name="SalesRoundBox126">'Бланк заказа'!$Y$253:$Y$253</definedName>
    <definedName name="SalesRoundBox127">'Бланк заказа'!$Y$254:$Y$254</definedName>
    <definedName name="SalesRoundBox128">'Бланк заказа'!$Y$255:$Y$255</definedName>
    <definedName name="SalesRoundBox129">'Бланк заказа'!$Y$256:$Y$256</definedName>
    <definedName name="SalesRoundBox13">'Бланк заказа'!$Y$45:$Y$45</definedName>
    <definedName name="SalesRoundBox130">'Бланк заказа'!$Y$257:$Y$257</definedName>
    <definedName name="SalesRoundBox131">'Бланк заказа'!$Y$258:$Y$258</definedName>
    <definedName name="SalesRoundBox132">'Бланк заказа'!$Y$259:$Y$259</definedName>
    <definedName name="SalesRoundBox133">'Бланк заказа'!$Y$260:$Y$260</definedName>
    <definedName name="SalesRoundBox134">'Бланк заказа'!$Y$261:$Y$261</definedName>
    <definedName name="SalesRoundBox135">'Бланк заказа'!$Y$265:$Y$265</definedName>
    <definedName name="SalesRoundBox136">'Бланк заказа'!$Y$266:$Y$266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заказа'!$Y$51:$Y$51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заказа'!$Y$281:$Y$281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заказа'!$Y$291:$Y$291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заказа'!$Y$305:$Y$305</definedName>
    <definedName name="SalesRoundBox155">'Бланк заказа'!$Y$306:$Y$306</definedName>
    <definedName name="SalesRoundBox156">'Бланк заказа'!$Y$307:$Y$307</definedName>
    <definedName name="SalesRoundBox157">'Бланк заказа'!$Y$312:$Y$312</definedName>
    <definedName name="SalesRoundBox158">'Бланк заказа'!$Y$313:$Y$313</definedName>
    <definedName name="SalesRoundBox159">'Бланк заказа'!$Y$314:$Y$314</definedName>
    <definedName name="SalesRoundBox16">'Бланк заказа'!$Y$53:$Y$53</definedName>
    <definedName name="SalesRoundBox160">'Бланк заказа'!$Y$315:$Y$315</definedName>
    <definedName name="SalesRoundBox161">'Бланк заказа'!$Y$316:$Y$316</definedName>
    <definedName name="SalesRoundBox162">'Бланк заказа'!$Y$320:$Y$320</definedName>
    <definedName name="SalesRoundBox163">'Бланк заказа'!$Y$321:$Y$321</definedName>
    <definedName name="SalesRoundBox164">'Бланк заказа'!$Y$326:$Y$326</definedName>
    <definedName name="SalesRoundBox165">'Бланк заказа'!$Y$327:$Y$327</definedName>
    <definedName name="SalesRoundBox166">'Бланк заказа'!$Y$328:$Y$328</definedName>
    <definedName name="SalesRoundBox167">'Бланк заказа'!$Y$333:$Y$333</definedName>
    <definedName name="SalesRoundBox168">'Бланк заказа'!$Y$334:$Y$334</definedName>
    <definedName name="SalesRoundBox169">'Бланк заказа'!$Y$335:$Y$335</definedName>
    <definedName name="SalesRoundBox17">'Бланк заказа'!$Y$54:$Y$54</definedName>
    <definedName name="SalesRoundBox170">'Бланк заказа'!$Y$336:$Y$336</definedName>
    <definedName name="SalesRoundBox171">'Бланк заказа'!$Y$337:$Y$337</definedName>
    <definedName name="SalesRoundBox172">'Бланк заказа'!$Y$338:$Y$338</definedName>
    <definedName name="SalesRoundBox173">'Бланк заказа'!$Y$342:$Y$342</definedName>
    <definedName name="SalesRoundBox174">'Бланк заказа'!$Y$343:$Y$343</definedName>
    <definedName name="SalesRoundBox175">'Бланк заказа'!$Y$344:$Y$344</definedName>
    <definedName name="SalesRoundBox176">'Бланк заказа'!$Y$345:$Y$345</definedName>
    <definedName name="SalesRoundBox177">'Бланк заказа'!$Y$346:$Y$346</definedName>
    <definedName name="SalesRoundBox178">'Бланк заказа'!$Y$347:$Y$347</definedName>
    <definedName name="SalesRoundBox179">'Бланк заказа'!$Y$348:$Y$348</definedName>
    <definedName name="SalesRoundBox18">'Бланк заказа'!$Y$59:$Y$59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заказа'!$Y$355:$Y$355</definedName>
    <definedName name="SalesRoundBox184">'Бланк заказа'!$Y$359:$Y$359</definedName>
    <definedName name="SalesRoundBox185">'Бланк заказа'!$Y$360:$Y$360</definedName>
    <definedName name="SalesRoundBox186">'Бланк заказа'!$Y$361:$Y$361</definedName>
    <definedName name="SalesRoundBox187">'Бланк заказа'!$Y$365:$Y$365</definedName>
    <definedName name="SalesRoundBox188">'Бланк заказа'!$Y$366:$Y$366</definedName>
    <definedName name="SalesRoundBox189">'Бланк заказа'!$Y$367:$Y$367</definedName>
    <definedName name="SalesRoundBox19">'Бланк заказа'!$Y$60:$Y$60</definedName>
    <definedName name="SalesRoundBox190">'Бланк заказа'!$Y$368:$Y$368</definedName>
    <definedName name="SalesRoundBox191">'Бланк заказа'!$Y$372:$Y$372</definedName>
    <definedName name="SalesRoundBox192">'Бланк заказа'!$Y$373:$Y$373</definedName>
    <definedName name="SalesRoundBox193">'Бланк заказа'!$Y$374:$Y$374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заказа'!$Y$387:$Y$387</definedName>
    <definedName name="SalesRoundBox198">'Бланк заказа'!$Y$388:$Y$388</definedName>
    <definedName name="SalesRoundBox199">'Бланк заказа'!$Y$389:$Y$389</definedName>
    <definedName name="SalesRoundBox2">'Бланк заказа'!$Y$23:$Y$23</definedName>
    <definedName name="SalesRoundBox20">'Бланк заказа'!$Y$61:$Y$61</definedName>
    <definedName name="SalesRoundBox200">'Бланк заказа'!$Y$390:$Y$390</definedName>
    <definedName name="SalesRoundBox201">'Бланк заказа'!$Y$391:$Y$391</definedName>
    <definedName name="SalesRoundBox202">'Бланк заказа'!$Y$392:$Y$392</definedName>
    <definedName name="SalesRoundBox203">'Бланк заказа'!$Y$393:$Y$393</definedName>
    <definedName name="SalesRoundBox204">'Бланк заказа'!$Y$394:$Y$394</definedName>
    <definedName name="SalesRoundBox205">'Бланк заказа'!$Y$398:$Y$398</definedName>
    <definedName name="SalesRoundBox206">'Бланк заказа'!$Y$399:$Y$399</definedName>
    <definedName name="SalesRoundBox207">'Бланк заказа'!$Y$400:$Y$400</definedName>
    <definedName name="SalesRoundBox208">'Бланк заказа'!$Y$404:$Y$404</definedName>
    <definedName name="SalesRoundBox209">'Бланк заказа'!$Y$405:$Y$405</definedName>
    <definedName name="SalesRoundBox21">'Бланк заказа'!$Y$62:$Y$62</definedName>
    <definedName name="SalesRoundBox210">'Бланк заказа'!$Y$409:$Y$409</definedName>
    <definedName name="SalesRoundBox211">'Бланк заказа'!$Y$414:$Y$414</definedName>
    <definedName name="SalesRoundBox212">'Бланк заказа'!$Y$415:$Y$415</definedName>
    <definedName name="SalesRoundBox213">'Бланк заказа'!$Y$419:$Y$419</definedName>
    <definedName name="SalesRoundBox214">'Бланк заказа'!$Y$423:$Y$423</definedName>
    <definedName name="SalesRoundBox215">'Бланк заказа'!$Y$424:$Y$424</definedName>
    <definedName name="SalesRoundBox216">'Бланк заказа'!$Y$425:$Y$425</definedName>
    <definedName name="SalesRoundBox217">'Бланк заказа'!$Y$431:$Y$431</definedName>
    <definedName name="SalesRoundBox218">'Бланк заказа'!$Y$432:$Y$432</definedName>
    <definedName name="SalesRoundBox219">'Бланк заказа'!$Y$433:$Y$433</definedName>
    <definedName name="SalesRoundBox22">'Бланк заказа'!$Y$63:$Y$63</definedName>
    <definedName name="SalesRoundBox220">'Бланк заказа'!$Y$434:$Y$434</definedName>
    <definedName name="SalesRoundBox221">'Бланк заказа'!$Y$435:$Y$435</definedName>
    <definedName name="SalesRoundBox222">'Бланк заказа'!$Y$436:$Y$436</definedName>
    <definedName name="SalesRoundBox223">'Бланк заказа'!$Y$440:$Y$440</definedName>
    <definedName name="SalesRoundBox224">'Бланк заказа'!$Y$441:$Y$441</definedName>
    <definedName name="SalesRoundBox225">'Бланк заказа'!$Y$446:$Y$446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заказа'!$Y$458:$Y$458</definedName>
    <definedName name="SalesRoundBox23">'Бланк заказа'!$Y$64:$Y$64</definedName>
    <definedName name="SalesRoundBox230">'Бланк заказа'!$Y$459:$Y$459</definedName>
    <definedName name="SalesRoundBox231">'Бланк заказа'!$Y$460:$Y$460</definedName>
    <definedName name="SalesRoundBox232">'Бланк заказа'!$Y$461:$Y$461</definedName>
    <definedName name="SalesRoundBox233">'Бланк заказа'!$Y$462:$Y$462</definedName>
    <definedName name="SalesRoundBox234">'Бланк заказа'!$Y$463:$Y$463</definedName>
    <definedName name="SalesRoundBox235">'Бланк заказа'!$Y$464:$Y$464</definedName>
    <definedName name="SalesRoundBox236">'Бланк заказа'!$Y$465:$Y$465</definedName>
    <definedName name="SalesRoundBox237">'Бланк заказа'!$Y$466:$Y$466</definedName>
    <definedName name="SalesRoundBox238">'Бланк заказа'!$Y$470:$Y$470</definedName>
    <definedName name="SalesRoundBox239">'Бланк заказа'!$Y$471:$Y$471</definedName>
    <definedName name="SalesRoundBox24">'Бланк заказа'!$Y$65:$Y$65</definedName>
    <definedName name="SalesRoundBox240">'Бланк заказа'!$Y$472:$Y$472</definedName>
    <definedName name="SalesRoundBox241">'Бланк заказа'!$Y$476:$Y$476</definedName>
    <definedName name="SalesRoundBox242">'Бланк заказа'!$Y$477:$Y$477</definedName>
    <definedName name="SalesRoundBox243">'Бланк заказа'!$Y$478:$Y$478</definedName>
    <definedName name="SalesRoundBox244">'Бланк заказа'!$Y$479:$Y$479</definedName>
    <definedName name="SalesRoundBox245">'Бланк заказа'!$Y$480:$Y$480</definedName>
    <definedName name="SalesRoundBox246">'Бланк заказа'!$Y$481:$Y$481</definedName>
    <definedName name="SalesRoundBox247">'Бланк заказа'!$Y$482:$Y$482</definedName>
    <definedName name="SalesRoundBox248">'Бланк заказа'!$Y$488:$Y$488</definedName>
    <definedName name="SalesRoundBox249">'Бланк заказа'!$Y$492:$Y$492</definedName>
    <definedName name="SalesRoundBox25">'Бланк заказа'!$Y$69:$Y$69</definedName>
    <definedName name="SalesRoundBox250">'Бланк заказа'!$Y$496:$Y$496</definedName>
    <definedName name="SalesRoundBox251">'Бланк заказа'!$Y$497:$Y$497</definedName>
    <definedName name="SalesRoundBox252">'Бланк заказа'!$Y$501:$Y$501</definedName>
    <definedName name="SalesRoundBox253">'Бланк заказа'!$Y$505:$Y$505</definedName>
    <definedName name="SalesRoundBox254">'Бланк заказа'!$Y$506:$Y$506</definedName>
    <definedName name="SalesRoundBox255">'Бланк заказа'!$Y$511:$Y$511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заказа'!$Y$142:$Y$142</definedName>
    <definedName name="SalesRoundBox65">'Бланк заказа'!$Y$143:$Y$143</definedName>
    <definedName name="SalesRoundBox66">'Бланк заказа'!$Y$147:$Y$147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заказа'!$Y$158:$Y$158</definedName>
    <definedName name="SalesRoundBox75">'Бланк заказа'!$Y$159:$Y$159</definedName>
    <definedName name="SalesRoundBox76">'Бланк заказа'!$Y$160:$Y$160</definedName>
    <definedName name="SalesRoundBox77">'Бланк заказа'!$Y$161:$Y$161</definedName>
    <definedName name="SalesRoundBox78">'Бланк заказа'!$Y$165:$Y$165</definedName>
    <definedName name="SalesRoundBox79">'Бланк заказа'!$Y$166:$Y$166</definedName>
    <definedName name="SalesRoundBox8">'Бланк заказа'!$Y$32:$Y$32</definedName>
    <definedName name="SalesRoundBox80">'Бланк заказа'!$Y$167:$Y$167</definedName>
    <definedName name="SalesRoundBox81">'Бланк заказа'!$Y$171:$Y$171</definedName>
    <definedName name="SalesRoundBox82">'Бланк заказа'!$Y$172:$Y$172</definedName>
    <definedName name="SalesRoundBox83">'Бланк заказа'!$Y$176:$Y$176</definedName>
    <definedName name="SalesRoundBox84">'Бланк заказа'!$Y$182:$Y$182</definedName>
    <definedName name="SalesRoundBox85">'Бланк заказа'!$Y$183:$Y$183</definedName>
    <definedName name="SalesRoundBox86">'Бланк заказа'!$Y$184:$Y$184</definedName>
    <definedName name="SalesRoundBox87">'Бланк заказа'!$Y$185:$Y$185</definedName>
    <definedName name="SalesRoundBox88">'Бланк заказа'!$Y$190:$Y$190</definedName>
    <definedName name="SalesRoundBox89">'Бланк заказа'!$Y$194:$Y$194</definedName>
    <definedName name="SalesRoundBox9">'Бланк заказа'!$Y$36:$Y$36</definedName>
    <definedName name="SalesRoundBox90">'Бланк заказа'!$Y$195:$Y$195</definedName>
    <definedName name="SalesRoundBox91">'Бланк заказа'!$Y$196:$Y$196</definedName>
    <definedName name="SalesRoundBox92">'Бланк заказа'!$Y$197:$Y$197</definedName>
    <definedName name="SalesRoundBox93">'Бланк заказа'!$Y$198:$Y$198</definedName>
    <definedName name="SalesRoundBox94">'Бланк заказа'!$Y$199:$Y$199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заказа'!$W$205:$W$205</definedName>
    <definedName name="UnitOfMeasure101">'Бланк заказа'!$W$206:$W$206</definedName>
    <definedName name="UnitOfMeasure102">'Бланк заказа'!$W$207:$W$207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заказа'!$W$218:$W$218</definedName>
    <definedName name="UnitOfMeasure108">'Бланк заказа'!$W$219:$W$219</definedName>
    <definedName name="UnitOfMeasure109">'Бланк заказа'!$W$220:$W$220</definedName>
    <definedName name="UnitOfMeasure11">'Бланк заказа'!$W$43:$W$43</definedName>
    <definedName name="UnitOfMeasure110">'Бланк заказа'!$W$224:$W$224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заказа'!$W$239:$W$239</definedName>
    <definedName name="UnitOfMeasure116">'Бланк заказа'!$W$240:$W$240</definedName>
    <definedName name="UnitOfMeasure117">'Бланк заказа'!$W$241:$W$241</definedName>
    <definedName name="UnitOfMeasure118">'Бланк заказа'!$W$242:$W$242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заказа'!$W$251:$W$251</definedName>
    <definedName name="UnitOfMeasure125">'Бланк заказа'!$W$252:$W$252</definedName>
    <definedName name="UnitOfMeasure126">'Бланк заказа'!$W$253:$W$253</definedName>
    <definedName name="UnitOfMeasure127">'Бланк заказа'!$W$254:$W$254</definedName>
    <definedName name="UnitOfMeasure128">'Бланк заказа'!$W$255:$W$255</definedName>
    <definedName name="UnitOfMeasure129">'Бланк заказа'!$W$256:$W$256</definedName>
    <definedName name="UnitOfMeasure13">'Бланк заказа'!$W$45:$W$45</definedName>
    <definedName name="UnitOfMeasure130">'Бланк заказа'!$W$257:$W$257</definedName>
    <definedName name="UnitOfMeasure131">'Бланк заказа'!$W$258:$W$258</definedName>
    <definedName name="UnitOfMeasure132">'Бланк заказа'!$W$259:$W$259</definedName>
    <definedName name="UnitOfMeasure133">'Бланк заказа'!$W$260:$W$260</definedName>
    <definedName name="UnitOfMeasure134">'Бланк заказа'!$W$261:$W$261</definedName>
    <definedName name="UnitOfMeasure135">'Бланк заказа'!$W$265:$W$265</definedName>
    <definedName name="UnitOfMeasure136">'Бланк заказа'!$W$266:$W$266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заказа'!$W$51:$W$51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заказа'!$W$281:$W$281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заказа'!$W$291:$W$291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заказа'!$W$305:$W$305</definedName>
    <definedName name="UnitOfMeasure155">'Бланк заказа'!$W$306:$W$306</definedName>
    <definedName name="UnitOfMeasure156">'Бланк заказа'!$W$307:$W$307</definedName>
    <definedName name="UnitOfMeasure157">'Бланк заказа'!$W$312:$W$312</definedName>
    <definedName name="UnitOfMeasure158">'Бланк заказа'!$W$313:$W$313</definedName>
    <definedName name="UnitOfMeasure159">'Бланк заказа'!$W$314:$W$314</definedName>
    <definedName name="UnitOfMeasure16">'Бланк заказа'!$W$53:$W$53</definedName>
    <definedName name="UnitOfMeasure160">'Бланк заказа'!$W$315:$W$315</definedName>
    <definedName name="UnitOfMeasure161">'Бланк заказа'!$W$316:$W$316</definedName>
    <definedName name="UnitOfMeasure162">'Бланк заказа'!$W$320:$W$320</definedName>
    <definedName name="UnitOfMeasure163">'Бланк заказа'!$W$321:$W$321</definedName>
    <definedName name="UnitOfMeasure164">'Бланк заказа'!$W$326:$W$326</definedName>
    <definedName name="UnitOfMeasure165">'Бланк заказа'!$W$327:$W$327</definedName>
    <definedName name="UnitOfMeasure166">'Бланк заказа'!$W$328:$W$328</definedName>
    <definedName name="UnitOfMeasure167">'Бланк заказа'!$W$333:$W$333</definedName>
    <definedName name="UnitOfMeasure168">'Бланк заказа'!$W$334:$W$334</definedName>
    <definedName name="UnitOfMeasure169">'Бланк заказа'!$W$335:$W$335</definedName>
    <definedName name="UnitOfMeasure17">'Бланк заказа'!$W$54:$W$54</definedName>
    <definedName name="UnitOfMeasure170">'Бланк заказа'!$W$336:$W$336</definedName>
    <definedName name="UnitOfMeasure171">'Бланк заказа'!$W$337:$W$337</definedName>
    <definedName name="UnitOfMeasure172">'Бланк заказа'!$W$338:$W$338</definedName>
    <definedName name="UnitOfMeasure173">'Бланк заказа'!$W$342:$W$342</definedName>
    <definedName name="UnitOfMeasure174">'Бланк заказа'!$W$343:$W$343</definedName>
    <definedName name="UnitOfMeasure175">'Бланк заказа'!$W$344:$W$344</definedName>
    <definedName name="UnitOfMeasure176">'Бланк заказа'!$W$345:$W$345</definedName>
    <definedName name="UnitOfMeasure177">'Бланк заказа'!$W$346:$W$346</definedName>
    <definedName name="UnitOfMeasure178">'Бланк заказа'!$W$347:$W$347</definedName>
    <definedName name="UnitOfMeasure179">'Бланк заказа'!$W$348:$W$348</definedName>
    <definedName name="UnitOfMeasure18">'Бланк заказа'!$W$59:$W$59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заказа'!$W$355:$W$355</definedName>
    <definedName name="UnitOfMeasure184">'Бланк заказа'!$W$359:$W$359</definedName>
    <definedName name="UnitOfMeasure185">'Бланк заказа'!$W$360:$W$360</definedName>
    <definedName name="UnitOfMeasure186">'Бланк заказа'!$W$361:$W$361</definedName>
    <definedName name="UnitOfMeasure187">'Бланк заказа'!$W$365:$W$365</definedName>
    <definedName name="UnitOfMeasure188">'Бланк заказа'!$W$366:$W$366</definedName>
    <definedName name="UnitOfMeasure189">'Бланк заказа'!$W$367:$W$367</definedName>
    <definedName name="UnitOfMeasure19">'Бланк заказа'!$W$60:$W$60</definedName>
    <definedName name="UnitOfMeasure190">'Бланк заказа'!$W$368:$W$368</definedName>
    <definedName name="UnitOfMeasure191">'Бланк заказа'!$W$372:$W$372</definedName>
    <definedName name="UnitOfMeasure192">'Бланк заказа'!$W$373:$W$373</definedName>
    <definedName name="UnitOfMeasure193">'Бланк заказа'!$W$374:$W$374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заказа'!$W$387:$W$387</definedName>
    <definedName name="UnitOfMeasure198">'Бланк заказа'!$W$388:$W$388</definedName>
    <definedName name="UnitOfMeasure199">'Бланк заказа'!$W$389:$W$389</definedName>
    <definedName name="UnitOfMeasure2">'Бланк заказа'!$W$23:$W$23</definedName>
    <definedName name="UnitOfMeasure20">'Бланк заказа'!$W$61:$W$61</definedName>
    <definedName name="UnitOfMeasure200">'Бланк заказа'!$W$390:$W$390</definedName>
    <definedName name="UnitOfMeasure201">'Бланк заказа'!$W$391:$W$391</definedName>
    <definedName name="UnitOfMeasure202">'Бланк заказа'!$W$392:$W$392</definedName>
    <definedName name="UnitOfMeasure203">'Бланк заказа'!$W$393:$W$393</definedName>
    <definedName name="UnitOfMeasure204">'Бланк заказа'!$W$394:$W$394</definedName>
    <definedName name="UnitOfMeasure205">'Бланк заказа'!$W$398:$W$398</definedName>
    <definedName name="UnitOfMeasure206">'Бланк заказа'!$W$399:$W$399</definedName>
    <definedName name="UnitOfMeasure207">'Бланк заказа'!$W$400:$W$400</definedName>
    <definedName name="UnitOfMeasure208">'Бланк заказа'!$W$404:$W$404</definedName>
    <definedName name="UnitOfMeasure209">'Бланк заказа'!$W$405:$W$405</definedName>
    <definedName name="UnitOfMeasure21">'Бланк заказа'!$W$62:$W$62</definedName>
    <definedName name="UnitOfMeasure210">'Бланк заказа'!$W$409:$W$409</definedName>
    <definedName name="UnitOfMeasure211">'Бланк заказа'!$W$414:$W$414</definedName>
    <definedName name="UnitOfMeasure212">'Бланк заказа'!$W$415:$W$415</definedName>
    <definedName name="UnitOfMeasure213">'Бланк заказа'!$W$419:$W$419</definedName>
    <definedName name="UnitOfMeasure214">'Бланк заказа'!$W$423:$W$423</definedName>
    <definedName name="UnitOfMeasure215">'Бланк заказа'!$W$424:$W$424</definedName>
    <definedName name="UnitOfMeasure216">'Бланк заказа'!$W$425:$W$425</definedName>
    <definedName name="UnitOfMeasure217">'Бланк заказа'!$W$431:$W$431</definedName>
    <definedName name="UnitOfMeasure218">'Бланк заказа'!$W$432:$W$432</definedName>
    <definedName name="UnitOfMeasure219">'Бланк заказа'!$W$433:$W$433</definedName>
    <definedName name="UnitOfMeasure22">'Бланк заказа'!$W$63:$W$63</definedName>
    <definedName name="UnitOfMeasure220">'Бланк заказа'!$W$434:$W$434</definedName>
    <definedName name="UnitOfMeasure221">'Бланк заказа'!$W$435:$W$435</definedName>
    <definedName name="UnitOfMeasure222">'Бланк заказа'!$W$436:$W$436</definedName>
    <definedName name="UnitOfMeasure223">'Бланк заказа'!$W$440:$W$440</definedName>
    <definedName name="UnitOfMeasure224">'Бланк заказа'!$W$441:$W$441</definedName>
    <definedName name="UnitOfMeasure225">'Бланк заказа'!$W$446:$W$446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заказа'!$W$458:$W$458</definedName>
    <definedName name="UnitOfMeasure23">'Бланк заказа'!$W$64:$W$64</definedName>
    <definedName name="UnitOfMeasure230">'Бланк заказа'!$W$459:$W$459</definedName>
    <definedName name="UnitOfMeasure231">'Бланк заказа'!$W$460:$W$460</definedName>
    <definedName name="UnitOfMeasure232">'Бланк заказа'!$W$461:$W$461</definedName>
    <definedName name="UnitOfMeasure233">'Бланк заказа'!$W$462:$W$462</definedName>
    <definedName name="UnitOfMeasure234">'Бланк заказа'!$W$463:$W$463</definedName>
    <definedName name="UnitOfMeasure235">'Бланк заказа'!$W$464:$W$464</definedName>
    <definedName name="UnitOfMeasure236">'Бланк заказа'!$W$465:$W$465</definedName>
    <definedName name="UnitOfMeasure237">'Бланк заказа'!$W$466:$W$466</definedName>
    <definedName name="UnitOfMeasure238">'Бланк заказа'!$W$470:$W$470</definedName>
    <definedName name="UnitOfMeasure239">'Бланк заказа'!$W$471:$W$471</definedName>
    <definedName name="UnitOfMeasure24">'Бланк заказа'!$W$65:$W$65</definedName>
    <definedName name="UnitOfMeasure240">'Бланк заказа'!$W$472:$W$472</definedName>
    <definedName name="UnitOfMeasure241">'Бланк заказа'!$W$476:$W$476</definedName>
    <definedName name="UnitOfMeasure242">'Бланк заказа'!$W$477:$W$477</definedName>
    <definedName name="UnitOfMeasure243">'Бланк заказа'!$W$478:$W$478</definedName>
    <definedName name="UnitOfMeasure244">'Бланк заказа'!$W$479:$W$479</definedName>
    <definedName name="UnitOfMeasure245">'Бланк заказа'!$W$480:$W$480</definedName>
    <definedName name="UnitOfMeasure246">'Бланк заказа'!$W$481:$W$481</definedName>
    <definedName name="UnitOfMeasure247">'Бланк заказа'!$W$482:$W$482</definedName>
    <definedName name="UnitOfMeasure248">'Бланк заказа'!$W$488:$W$488</definedName>
    <definedName name="UnitOfMeasure249">'Бланк заказа'!$W$492:$W$492</definedName>
    <definedName name="UnitOfMeasure25">'Бланк заказа'!$W$69:$W$69</definedName>
    <definedName name="UnitOfMeasure250">'Бланк заказа'!$W$496:$W$496</definedName>
    <definedName name="UnitOfMeasure251">'Бланк заказа'!$W$497:$W$497</definedName>
    <definedName name="UnitOfMeasure252">'Бланк заказа'!$W$501:$W$501</definedName>
    <definedName name="UnitOfMeasure253">'Бланк заказа'!$W$505:$W$505</definedName>
    <definedName name="UnitOfMeasure254">'Бланк заказа'!$W$506:$W$506</definedName>
    <definedName name="UnitOfMeasure255">'Бланк заказа'!$W$511:$W$511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заказа'!$W$142:$W$142</definedName>
    <definedName name="UnitOfMeasure65">'Бланк заказа'!$W$143:$W$143</definedName>
    <definedName name="UnitOfMeasure66">'Бланк заказа'!$W$147:$W$147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заказа'!$W$158:$W$158</definedName>
    <definedName name="UnitOfMeasure75">'Бланк заказа'!$W$159:$W$159</definedName>
    <definedName name="UnitOfMeasure76">'Бланк заказа'!$W$160:$W$160</definedName>
    <definedName name="UnitOfMeasure77">'Бланк заказа'!$W$161:$W$161</definedName>
    <definedName name="UnitOfMeasure78">'Бланк заказа'!$W$165:$W$165</definedName>
    <definedName name="UnitOfMeasure79">'Бланк заказа'!$W$166:$W$166</definedName>
    <definedName name="UnitOfMeasure8">'Бланк заказа'!$W$32:$W$32</definedName>
    <definedName name="UnitOfMeasure80">'Бланк заказа'!$W$167:$W$167</definedName>
    <definedName name="UnitOfMeasure81">'Бланк заказа'!$W$171:$W$171</definedName>
    <definedName name="UnitOfMeasure82">'Бланк заказа'!$W$172:$W$172</definedName>
    <definedName name="UnitOfMeasure83">'Бланк заказа'!$W$176:$W$176</definedName>
    <definedName name="UnitOfMeasure84">'Бланк заказа'!$W$182:$W$182</definedName>
    <definedName name="UnitOfMeasure85">'Бланк заказа'!$W$183:$W$183</definedName>
    <definedName name="UnitOfMeasure86">'Бланк заказа'!$W$184:$W$184</definedName>
    <definedName name="UnitOfMeasure87">'Бланк заказа'!$W$185:$W$185</definedName>
    <definedName name="UnitOfMeasure88">'Бланк заказа'!$W$190:$W$190</definedName>
    <definedName name="UnitOfMeasure89">'Бланк заказа'!$W$194:$W$194</definedName>
    <definedName name="UnitOfMeasure9">'Бланк заказа'!$W$36:$W$36</definedName>
    <definedName name="UnitOfMeasure90">'Бланк заказа'!$W$195:$W$195</definedName>
    <definedName name="UnitOfMeasure91">'Бланк заказа'!$W$196:$W$196</definedName>
    <definedName name="UnitOfMeasure92">'Бланк заказа'!$W$197:$W$197</definedName>
    <definedName name="UnitOfMeasure93">'Бланк заказа'!$W$198:$W$198</definedName>
    <definedName name="UnitOfMeasure94">'Бланк заказа'!$W$199:$W$199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13" i="2" l="1"/>
  <c r="X512" i="2"/>
  <c r="BO511" i="2"/>
  <c r="BM511" i="2"/>
  <c r="Y511" i="2"/>
  <c r="AA524" i="2" s="1"/>
  <c r="P511" i="2"/>
  <c r="X508" i="2"/>
  <c r="X507" i="2"/>
  <c r="BO506" i="2"/>
  <c r="BM506" i="2"/>
  <c r="Y506" i="2"/>
  <c r="BN506" i="2" s="1"/>
  <c r="P506" i="2"/>
  <c r="BO505" i="2"/>
  <c r="BM505" i="2"/>
  <c r="Y505" i="2"/>
  <c r="BP505" i="2" s="1"/>
  <c r="P505" i="2"/>
  <c r="X503" i="2"/>
  <c r="X502" i="2"/>
  <c r="BO501" i="2"/>
  <c r="BM501" i="2"/>
  <c r="Y501" i="2"/>
  <c r="BP501" i="2" s="1"/>
  <c r="P501" i="2"/>
  <c r="X499" i="2"/>
  <c r="X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Y494" i="2" s="1"/>
  <c r="P492" i="2"/>
  <c r="X490" i="2"/>
  <c r="X489" i="2"/>
  <c r="BO488" i="2"/>
  <c r="BM488" i="2"/>
  <c r="Y488" i="2"/>
  <c r="Y490" i="2" s="1"/>
  <c r="P488" i="2"/>
  <c r="X484" i="2"/>
  <c r="X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P476" i="2" s="1"/>
  <c r="P476" i="2"/>
  <c r="X474" i="2"/>
  <c r="X473" i="2"/>
  <c r="BO472" i="2"/>
  <c r="BM472" i="2"/>
  <c r="Y472" i="2"/>
  <c r="BN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X468" i="2"/>
  <c r="X467" i="2"/>
  <c r="BO466" i="2"/>
  <c r="BM466" i="2"/>
  <c r="Y466" i="2"/>
  <c r="BP466" i="2" s="1"/>
  <c r="P466" i="2"/>
  <c r="BO465" i="2"/>
  <c r="BM465" i="2"/>
  <c r="Y465" i="2"/>
  <c r="BN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BN462" i="2" s="1"/>
  <c r="P462" i="2"/>
  <c r="BO461" i="2"/>
  <c r="BM461" i="2"/>
  <c r="Y461" i="2"/>
  <c r="Z461" i="2" s="1"/>
  <c r="P461" i="2"/>
  <c r="BO460" i="2"/>
  <c r="BM460" i="2"/>
  <c r="Y460" i="2"/>
  <c r="P460" i="2"/>
  <c r="BO459" i="2"/>
  <c r="BM459" i="2"/>
  <c r="Y459" i="2"/>
  <c r="BP459" i="2" s="1"/>
  <c r="P459" i="2"/>
  <c r="BO458" i="2"/>
  <c r="BM458" i="2"/>
  <c r="Y458" i="2"/>
  <c r="BP458" i="2" s="1"/>
  <c r="P458" i="2"/>
  <c r="X454" i="2"/>
  <c r="X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X448" i="2"/>
  <c r="X447" i="2"/>
  <c r="BO446" i="2"/>
  <c r="BM446" i="2"/>
  <c r="Y446" i="2"/>
  <c r="Y448" i="2" s="1"/>
  <c r="P446" i="2"/>
  <c r="X443" i="2"/>
  <c r="X442" i="2"/>
  <c r="BO441" i="2"/>
  <c r="BM441" i="2"/>
  <c r="Y441" i="2"/>
  <c r="P441" i="2"/>
  <c r="BO440" i="2"/>
  <c r="BM440" i="2"/>
  <c r="Y440" i="2"/>
  <c r="Y443" i="2" s="1"/>
  <c r="P440" i="2"/>
  <c r="X438" i="2"/>
  <c r="X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BN431" i="2" s="1"/>
  <c r="P431" i="2"/>
  <c r="X427" i="2"/>
  <c r="X426" i="2"/>
  <c r="BO425" i="2"/>
  <c r="BM425" i="2"/>
  <c r="Y425" i="2"/>
  <c r="BN425" i="2" s="1"/>
  <c r="P425" i="2"/>
  <c r="BO424" i="2"/>
  <c r="BM424" i="2"/>
  <c r="Y424" i="2"/>
  <c r="Z424" i="2" s="1"/>
  <c r="P424" i="2"/>
  <c r="BO423" i="2"/>
  <c r="BM423" i="2"/>
  <c r="Y423" i="2"/>
  <c r="P423" i="2"/>
  <c r="X421" i="2"/>
  <c r="X420" i="2"/>
  <c r="BO419" i="2"/>
  <c r="BM419" i="2"/>
  <c r="Y419" i="2"/>
  <c r="P419" i="2"/>
  <c r="X417" i="2"/>
  <c r="X416" i="2"/>
  <c r="BO415" i="2"/>
  <c r="BM415" i="2"/>
  <c r="Y415" i="2"/>
  <c r="BP415" i="2" s="1"/>
  <c r="P415" i="2"/>
  <c r="BO414" i="2"/>
  <c r="BM414" i="2"/>
  <c r="Y414" i="2"/>
  <c r="P414" i="2"/>
  <c r="X411" i="2"/>
  <c r="X410" i="2"/>
  <c r="BO409" i="2"/>
  <c r="BM409" i="2"/>
  <c r="Y409" i="2"/>
  <c r="BP409" i="2" s="1"/>
  <c r="P409" i="2"/>
  <c r="X407" i="2"/>
  <c r="X406" i="2"/>
  <c r="BO405" i="2"/>
  <c r="BM405" i="2"/>
  <c r="Y405" i="2"/>
  <c r="BN405" i="2" s="1"/>
  <c r="P405" i="2"/>
  <c r="BO404" i="2"/>
  <c r="BM404" i="2"/>
  <c r="Y404" i="2"/>
  <c r="BP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P398" i="2"/>
  <c r="X396" i="2"/>
  <c r="X395" i="2"/>
  <c r="BO394" i="2"/>
  <c r="BM394" i="2"/>
  <c r="Y394" i="2"/>
  <c r="BN394" i="2" s="1"/>
  <c r="P394" i="2"/>
  <c r="BO393" i="2"/>
  <c r="BM393" i="2"/>
  <c r="Y393" i="2"/>
  <c r="Z393" i="2" s="1"/>
  <c r="P393" i="2"/>
  <c r="BO392" i="2"/>
  <c r="BM392" i="2"/>
  <c r="Y392" i="2"/>
  <c r="Z392" i="2" s="1"/>
  <c r="P392" i="2"/>
  <c r="BO391" i="2"/>
  <c r="BM391" i="2"/>
  <c r="Y391" i="2"/>
  <c r="P391" i="2"/>
  <c r="BO390" i="2"/>
  <c r="BM390" i="2"/>
  <c r="Y390" i="2"/>
  <c r="BP390" i="2" s="1"/>
  <c r="P390" i="2"/>
  <c r="BO389" i="2"/>
  <c r="BM389" i="2"/>
  <c r="Y389" i="2"/>
  <c r="P389" i="2"/>
  <c r="BO388" i="2"/>
  <c r="BM388" i="2"/>
  <c r="Y388" i="2"/>
  <c r="BP388" i="2" s="1"/>
  <c r="P388" i="2"/>
  <c r="BO387" i="2"/>
  <c r="BM387" i="2"/>
  <c r="Y387" i="2"/>
  <c r="P387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Z379" i="2" s="1"/>
  <c r="P379" i="2"/>
  <c r="X376" i="2"/>
  <c r="X375" i="2"/>
  <c r="BO374" i="2"/>
  <c r="BM374" i="2"/>
  <c r="Y374" i="2"/>
  <c r="BP374" i="2" s="1"/>
  <c r="P374" i="2"/>
  <c r="BO373" i="2"/>
  <c r="BM373" i="2"/>
  <c r="Y373" i="2"/>
  <c r="BN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Z366" i="2" s="1"/>
  <c r="P366" i="2"/>
  <c r="BO365" i="2"/>
  <c r="BM365" i="2"/>
  <c r="Y365" i="2"/>
  <c r="P365" i="2"/>
  <c r="X363" i="2"/>
  <c r="X362" i="2"/>
  <c r="BO361" i="2"/>
  <c r="BM361" i="2"/>
  <c r="Y361" i="2"/>
  <c r="BP361" i="2" s="1"/>
  <c r="P361" i="2"/>
  <c r="BO360" i="2"/>
  <c r="BM360" i="2"/>
  <c r="Y360" i="2"/>
  <c r="BN360" i="2" s="1"/>
  <c r="P360" i="2"/>
  <c r="BO359" i="2"/>
  <c r="BM359" i="2"/>
  <c r="Y359" i="2"/>
  <c r="Y363" i="2" s="1"/>
  <c r="P359" i="2"/>
  <c r="X357" i="2"/>
  <c r="X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BO352" i="2"/>
  <c r="BM352" i="2"/>
  <c r="Y352" i="2"/>
  <c r="P352" i="2"/>
  <c r="X350" i="2"/>
  <c r="X349" i="2"/>
  <c r="BO348" i="2"/>
  <c r="BM348" i="2"/>
  <c r="Y348" i="2"/>
  <c r="Z348" i="2" s="1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BN342" i="2" s="1"/>
  <c r="P342" i="2"/>
  <c r="X340" i="2"/>
  <c r="X339" i="2"/>
  <c r="BO338" i="2"/>
  <c r="BM338" i="2"/>
  <c r="Y338" i="2"/>
  <c r="Z338" i="2" s="1"/>
  <c r="P338" i="2"/>
  <c r="BO337" i="2"/>
  <c r="BM337" i="2"/>
  <c r="Y337" i="2"/>
  <c r="Z337" i="2" s="1"/>
  <c r="P337" i="2"/>
  <c r="BO336" i="2"/>
  <c r="BM336" i="2"/>
  <c r="Y336" i="2"/>
  <c r="BN336" i="2" s="1"/>
  <c r="P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Z327" i="2" s="1"/>
  <c r="P327" i="2"/>
  <c r="BO326" i="2"/>
  <c r="BM326" i="2"/>
  <c r="Y326" i="2"/>
  <c r="Z326" i="2" s="1"/>
  <c r="P326" i="2"/>
  <c r="X323" i="2"/>
  <c r="X322" i="2"/>
  <c r="BO321" i="2"/>
  <c r="BM321" i="2"/>
  <c r="Y321" i="2"/>
  <c r="BN321" i="2" s="1"/>
  <c r="P321" i="2"/>
  <c r="BO320" i="2"/>
  <c r="BM320" i="2"/>
  <c r="Y320" i="2"/>
  <c r="Z320" i="2" s="1"/>
  <c r="P320" i="2"/>
  <c r="X318" i="2"/>
  <c r="X317" i="2"/>
  <c r="BO316" i="2"/>
  <c r="BM316" i="2"/>
  <c r="Y316" i="2"/>
  <c r="P316" i="2"/>
  <c r="BO315" i="2"/>
  <c r="BM315" i="2"/>
  <c r="Y315" i="2"/>
  <c r="P315" i="2"/>
  <c r="BO314" i="2"/>
  <c r="BM314" i="2"/>
  <c r="Y314" i="2"/>
  <c r="P314" i="2"/>
  <c r="BO313" i="2"/>
  <c r="BM313" i="2"/>
  <c r="Y313" i="2"/>
  <c r="P313" i="2"/>
  <c r="BO312" i="2"/>
  <c r="BM312" i="2"/>
  <c r="Y312" i="2"/>
  <c r="BN312" i="2" s="1"/>
  <c r="P312" i="2"/>
  <c r="X309" i="2"/>
  <c r="X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Z305" i="2" s="1"/>
  <c r="P305" i="2"/>
  <c r="X302" i="2"/>
  <c r="X301" i="2"/>
  <c r="BO300" i="2"/>
  <c r="BM300" i="2"/>
  <c r="Y300" i="2"/>
  <c r="BN300" i="2" s="1"/>
  <c r="P300" i="2"/>
  <c r="BO299" i="2"/>
  <c r="BM299" i="2"/>
  <c r="Y299" i="2"/>
  <c r="BN299" i="2" s="1"/>
  <c r="P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Z296" i="2" s="1"/>
  <c r="P296" i="2"/>
  <c r="X293" i="2"/>
  <c r="X292" i="2"/>
  <c r="BO291" i="2"/>
  <c r="BM291" i="2"/>
  <c r="Y291" i="2"/>
  <c r="Z291" i="2" s="1"/>
  <c r="P291" i="2"/>
  <c r="BO290" i="2"/>
  <c r="BM290" i="2"/>
  <c r="Y290" i="2"/>
  <c r="P290" i="2"/>
  <c r="BO289" i="2"/>
  <c r="BM289" i="2"/>
  <c r="Y289" i="2"/>
  <c r="P289" i="2"/>
  <c r="X287" i="2"/>
  <c r="X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X279" i="2"/>
  <c r="X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BN271" i="2" s="1"/>
  <c r="P271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X263" i="2"/>
  <c r="X262" i="2"/>
  <c r="BO261" i="2"/>
  <c r="BM261" i="2"/>
  <c r="Y261" i="2"/>
  <c r="BN261" i="2" s="1"/>
  <c r="P261" i="2"/>
  <c r="BO260" i="2"/>
  <c r="BM260" i="2"/>
  <c r="Y260" i="2"/>
  <c r="BP260" i="2" s="1"/>
  <c r="P260" i="2"/>
  <c r="BO259" i="2"/>
  <c r="BM259" i="2"/>
  <c r="Y259" i="2"/>
  <c r="BP259" i="2" s="1"/>
  <c r="P259" i="2"/>
  <c r="BO258" i="2"/>
  <c r="BM258" i="2"/>
  <c r="Y258" i="2"/>
  <c r="Z258" i="2" s="1"/>
  <c r="P258" i="2"/>
  <c r="BO257" i="2"/>
  <c r="BM257" i="2"/>
  <c r="Y257" i="2"/>
  <c r="BP257" i="2" s="1"/>
  <c r="P257" i="2"/>
  <c r="BO256" i="2"/>
  <c r="BM256" i="2"/>
  <c r="Y256" i="2"/>
  <c r="BN256" i="2" s="1"/>
  <c r="P256" i="2"/>
  <c r="BO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BO250" i="2"/>
  <c r="BM250" i="2"/>
  <c r="Y250" i="2"/>
  <c r="P250" i="2"/>
  <c r="X248" i="2"/>
  <c r="X247" i="2"/>
  <c r="BO246" i="2"/>
  <c r="BM246" i="2"/>
  <c r="Y246" i="2"/>
  <c r="BN246" i="2" s="1"/>
  <c r="P246" i="2"/>
  <c r="BO245" i="2"/>
  <c r="BM245" i="2"/>
  <c r="Y245" i="2"/>
  <c r="BN245" i="2" s="1"/>
  <c r="P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P241" i="2"/>
  <c r="BO240" i="2"/>
  <c r="BM240" i="2"/>
  <c r="Y240" i="2"/>
  <c r="BN240" i="2" s="1"/>
  <c r="P240" i="2"/>
  <c r="BO239" i="2"/>
  <c r="BM239" i="2"/>
  <c r="Y239" i="2"/>
  <c r="BN239" i="2" s="1"/>
  <c r="P239" i="2"/>
  <c r="X237" i="2"/>
  <c r="X236" i="2"/>
  <c r="BO235" i="2"/>
  <c r="BM235" i="2"/>
  <c r="Y235" i="2"/>
  <c r="Z235" i="2" s="1"/>
  <c r="P235" i="2"/>
  <c r="BO234" i="2"/>
  <c r="BM234" i="2"/>
  <c r="Y234" i="2"/>
  <c r="BP234" i="2" s="1"/>
  <c r="P234" i="2"/>
  <c r="X232" i="2"/>
  <c r="X231" i="2"/>
  <c r="BO230" i="2"/>
  <c r="BM230" i="2"/>
  <c r="Y230" i="2"/>
  <c r="BP230" i="2" s="1"/>
  <c r="P230" i="2"/>
  <c r="BO229" i="2"/>
  <c r="BM229" i="2"/>
  <c r="Y229" i="2"/>
  <c r="P229" i="2"/>
  <c r="X226" i="2"/>
  <c r="X225" i="2"/>
  <c r="BO224" i="2"/>
  <c r="BM224" i="2"/>
  <c r="Y224" i="2"/>
  <c r="Y226" i="2" s="1"/>
  <c r="P224" i="2"/>
  <c r="X222" i="2"/>
  <c r="X221" i="2"/>
  <c r="BO220" i="2"/>
  <c r="BM220" i="2"/>
  <c r="Y220" i="2"/>
  <c r="P220" i="2"/>
  <c r="BO219" i="2"/>
  <c r="BM219" i="2"/>
  <c r="Y219" i="2"/>
  <c r="Z219" i="2" s="1"/>
  <c r="P219" i="2"/>
  <c r="BO218" i="2"/>
  <c r="BM218" i="2"/>
  <c r="Y218" i="2"/>
  <c r="P218" i="2"/>
  <c r="X216" i="2"/>
  <c r="X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Z212" i="2" s="1"/>
  <c r="BO211" i="2"/>
  <c r="BM211" i="2"/>
  <c r="Y211" i="2"/>
  <c r="Z211" i="2" s="1"/>
  <c r="X209" i="2"/>
  <c r="X208" i="2"/>
  <c r="BO207" i="2"/>
  <c r="BM207" i="2"/>
  <c r="Y207" i="2"/>
  <c r="BN207" i="2" s="1"/>
  <c r="P207" i="2"/>
  <c r="BO206" i="2"/>
  <c r="BM206" i="2"/>
  <c r="Y206" i="2"/>
  <c r="BN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Z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BO197" i="2"/>
  <c r="BM197" i="2"/>
  <c r="Y197" i="2"/>
  <c r="Z197" i="2" s="1"/>
  <c r="P197" i="2"/>
  <c r="BO196" i="2"/>
  <c r="BM196" i="2"/>
  <c r="Y196" i="2"/>
  <c r="BP196" i="2" s="1"/>
  <c r="P196" i="2"/>
  <c r="BO195" i="2"/>
  <c r="BM195" i="2"/>
  <c r="Y195" i="2"/>
  <c r="BN195" i="2" s="1"/>
  <c r="P195" i="2"/>
  <c r="BO194" i="2"/>
  <c r="BM194" i="2"/>
  <c r="Y194" i="2"/>
  <c r="BN194" i="2" s="1"/>
  <c r="P194" i="2"/>
  <c r="X192" i="2"/>
  <c r="X191" i="2"/>
  <c r="BO190" i="2"/>
  <c r="BM190" i="2"/>
  <c r="Y190" i="2"/>
  <c r="P190" i="2"/>
  <c r="X187" i="2"/>
  <c r="X186" i="2"/>
  <c r="BO185" i="2"/>
  <c r="BM185" i="2"/>
  <c r="Y185" i="2"/>
  <c r="BN185" i="2" s="1"/>
  <c r="P185" i="2"/>
  <c r="BO184" i="2"/>
  <c r="BM184" i="2"/>
  <c r="Y184" i="2"/>
  <c r="P184" i="2"/>
  <c r="BO183" i="2"/>
  <c r="BM183" i="2"/>
  <c r="Y183" i="2"/>
  <c r="P183" i="2"/>
  <c r="BO182" i="2"/>
  <c r="BM182" i="2"/>
  <c r="Y182" i="2"/>
  <c r="Z182" i="2" s="1"/>
  <c r="P182" i="2"/>
  <c r="X178" i="2"/>
  <c r="X177" i="2"/>
  <c r="BO176" i="2"/>
  <c r="BM176" i="2"/>
  <c r="Y176" i="2"/>
  <c r="Z176" i="2" s="1"/>
  <c r="Z177" i="2" s="1"/>
  <c r="P176" i="2"/>
  <c r="X174" i="2"/>
  <c r="X173" i="2"/>
  <c r="BO172" i="2"/>
  <c r="BM172" i="2"/>
  <c r="Y172" i="2"/>
  <c r="Z172" i="2" s="1"/>
  <c r="P172" i="2"/>
  <c r="BO171" i="2"/>
  <c r="BM171" i="2"/>
  <c r="Y171" i="2"/>
  <c r="BP171" i="2" s="1"/>
  <c r="P171" i="2"/>
  <c r="X169" i="2"/>
  <c r="X168" i="2"/>
  <c r="BO167" i="2"/>
  <c r="BM167" i="2"/>
  <c r="Y167" i="2"/>
  <c r="BN167" i="2" s="1"/>
  <c r="P167" i="2"/>
  <c r="BO166" i="2"/>
  <c r="BM166" i="2"/>
  <c r="Y166" i="2"/>
  <c r="BP166" i="2" s="1"/>
  <c r="P166" i="2"/>
  <c r="BO165" i="2"/>
  <c r="BM165" i="2"/>
  <c r="Y165" i="2"/>
  <c r="P165" i="2"/>
  <c r="X163" i="2"/>
  <c r="X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Z158" i="2" s="1"/>
  <c r="P158" i="2"/>
  <c r="BO157" i="2"/>
  <c r="BM157" i="2"/>
  <c r="Y157" i="2"/>
  <c r="Z157" i="2" s="1"/>
  <c r="P157" i="2"/>
  <c r="BO156" i="2"/>
  <c r="BM156" i="2"/>
  <c r="Y156" i="2"/>
  <c r="BP156" i="2" s="1"/>
  <c r="P156" i="2"/>
  <c r="BO155" i="2"/>
  <c r="BM155" i="2"/>
  <c r="Y155" i="2"/>
  <c r="BN155" i="2" s="1"/>
  <c r="P155" i="2"/>
  <c r="BO154" i="2"/>
  <c r="BM154" i="2"/>
  <c r="Y154" i="2"/>
  <c r="BP154" i="2" s="1"/>
  <c r="P154" i="2"/>
  <c r="BO153" i="2"/>
  <c r="BM153" i="2"/>
  <c r="Y153" i="2"/>
  <c r="BN153" i="2" s="1"/>
  <c r="P153" i="2"/>
  <c r="BO152" i="2"/>
  <c r="BM152" i="2"/>
  <c r="Y152" i="2"/>
  <c r="Z152" i="2" s="1"/>
  <c r="P152" i="2"/>
  <c r="BO151" i="2"/>
  <c r="BM151" i="2"/>
  <c r="Y151" i="2"/>
  <c r="BN151" i="2" s="1"/>
  <c r="P151" i="2"/>
  <c r="X149" i="2"/>
  <c r="X148" i="2"/>
  <c r="BO147" i="2"/>
  <c r="BM147" i="2"/>
  <c r="Y147" i="2"/>
  <c r="Z147" i="2" s="1"/>
  <c r="Z148" i="2" s="1"/>
  <c r="P147" i="2"/>
  <c r="X145" i="2"/>
  <c r="X144" i="2"/>
  <c r="BO143" i="2"/>
  <c r="BM143" i="2"/>
  <c r="Y143" i="2"/>
  <c r="Z143" i="2" s="1"/>
  <c r="P143" i="2"/>
  <c r="BO142" i="2"/>
  <c r="BM142" i="2"/>
  <c r="Y142" i="2"/>
  <c r="BN142" i="2" s="1"/>
  <c r="P142" i="2"/>
  <c r="X139" i="2"/>
  <c r="X138" i="2"/>
  <c r="BO137" i="2"/>
  <c r="BM137" i="2"/>
  <c r="Y137" i="2"/>
  <c r="BN137" i="2" s="1"/>
  <c r="P137" i="2"/>
  <c r="BO136" i="2"/>
  <c r="BM136" i="2"/>
  <c r="Y136" i="2"/>
  <c r="BP136" i="2" s="1"/>
  <c r="P136" i="2"/>
  <c r="BO135" i="2"/>
  <c r="BM135" i="2"/>
  <c r="Y135" i="2"/>
  <c r="BP135" i="2" s="1"/>
  <c r="P135" i="2"/>
  <c r="BO134" i="2"/>
  <c r="BM134" i="2"/>
  <c r="Y134" i="2"/>
  <c r="H524" i="2" s="1"/>
  <c r="P134" i="2"/>
  <c r="X131" i="2"/>
  <c r="X130" i="2"/>
  <c r="BO129" i="2"/>
  <c r="BM129" i="2"/>
  <c r="Y129" i="2"/>
  <c r="Y131" i="2" s="1"/>
  <c r="P129" i="2"/>
  <c r="X127" i="2"/>
  <c r="X126" i="2"/>
  <c r="BO125" i="2"/>
  <c r="BM125" i="2"/>
  <c r="Y125" i="2"/>
  <c r="BN125" i="2" s="1"/>
  <c r="P125" i="2"/>
  <c r="BO124" i="2"/>
  <c r="BM124" i="2"/>
  <c r="Y124" i="2"/>
  <c r="Z124" i="2" s="1"/>
  <c r="P124" i="2"/>
  <c r="BO123" i="2"/>
  <c r="BM123" i="2"/>
  <c r="Y123" i="2"/>
  <c r="BP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BN118" i="2" s="1"/>
  <c r="P118" i="2"/>
  <c r="BO117" i="2"/>
  <c r="BM117" i="2"/>
  <c r="Y117" i="2"/>
  <c r="BN117" i="2" s="1"/>
  <c r="P117" i="2"/>
  <c r="BO116" i="2"/>
  <c r="BM116" i="2"/>
  <c r="Y116" i="2"/>
  <c r="BP116" i="2" s="1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Z104" i="2" s="1"/>
  <c r="P104" i="2"/>
  <c r="BO103" i="2"/>
  <c r="BM103" i="2"/>
  <c r="Y103" i="2"/>
  <c r="P103" i="2"/>
  <c r="BO102" i="2"/>
  <c r="BM102" i="2"/>
  <c r="Y102" i="2"/>
  <c r="P102" i="2"/>
  <c r="X99" i="2"/>
  <c r="X98" i="2"/>
  <c r="BO97" i="2"/>
  <c r="BM97" i="2"/>
  <c r="Y97" i="2"/>
  <c r="BN97" i="2" s="1"/>
  <c r="P97" i="2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BP90" i="2" s="1"/>
  <c r="P90" i="2"/>
  <c r="BO89" i="2"/>
  <c r="BM89" i="2"/>
  <c r="Y89" i="2"/>
  <c r="Z89" i="2" s="1"/>
  <c r="P89" i="2"/>
  <c r="BO88" i="2"/>
  <c r="BM88" i="2"/>
  <c r="Y88" i="2"/>
  <c r="Z88" i="2" s="1"/>
  <c r="P88" i="2"/>
  <c r="BO87" i="2"/>
  <c r="BM87" i="2"/>
  <c r="Y87" i="2"/>
  <c r="BN87" i="2" s="1"/>
  <c r="P87" i="2"/>
  <c r="X84" i="2"/>
  <c r="X83" i="2"/>
  <c r="BO82" i="2"/>
  <c r="BM82" i="2"/>
  <c r="Y82" i="2"/>
  <c r="BN82" i="2" s="1"/>
  <c r="P82" i="2"/>
  <c r="BO81" i="2"/>
  <c r="BM81" i="2"/>
  <c r="Y81" i="2"/>
  <c r="BN81" i="2" s="1"/>
  <c r="P81" i="2"/>
  <c r="X79" i="2"/>
  <c r="X78" i="2"/>
  <c r="BO77" i="2"/>
  <c r="BM77" i="2"/>
  <c r="Y77" i="2"/>
  <c r="BN77" i="2" s="1"/>
  <c r="P77" i="2"/>
  <c r="BO76" i="2"/>
  <c r="BM76" i="2"/>
  <c r="Y76" i="2"/>
  <c r="Z76" i="2" s="1"/>
  <c r="P76" i="2"/>
  <c r="X74" i="2"/>
  <c r="X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Z69" i="2" s="1"/>
  <c r="P69" i="2"/>
  <c r="X67" i="2"/>
  <c r="X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P59" i="2"/>
  <c r="X56" i="2"/>
  <c r="X55" i="2"/>
  <c r="BO54" i="2"/>
  <c r="BM54" i="2"/>
  <c r="Y54" i="2"/>
  <c r="Z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D524" i="2" s="1"/>
  <c r="P51" i="2"/>
  <c r="X47" i="2"/>
  <c r="X46" i="2"/>
  <c r="BO45" i="2"/>
  <c r="BM45" i="2"/>
  <c r="Y45" i="2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N42" i="2" s="1"/>
  <c r="P42" i="2"/>
  <c r="X38" i="2"/>
  <c r="X37" i="2"/>
  <c r="BO36" i="2"/>
  <c r="BM36" i="2"/>
  <c r="Y36" i="2"/>
  <c r="Z36" i="2" s="1"/>
  <c r="Z37" i="2" s="1"/>
  <c r="P36" i="2"/>
  <c r="X34" i="2"/>
  <c r="X33" i="2"/>
  <c r="BO32" i="2"/>
  <c r="BM32" i="2"/>
  <c r="Y32" i="2"/>
  <c r="BP32" i="2" s="1"/>
  <c r="P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Z23" i="2" s="1"/>
  <c r="P23" i="2"/>
  <c r="BO22" i="2"/>
  <c r="BM22" i="2"/>
  <c r="Y22" i="2"/>
  <c r="P22" i="2"/>
  <c r="H10" i="2"/>
  <c r="A9" i="2"/>
  <c r="A10" i="2" s="1"/>
  <c r="D7" i="2"/>
  <c r="Q6" i="2"/>
  <c r="P2" i="2"/>
  <c r="Y25" i="2" l="1"/>
  <c r="BN459" i="2"/>
  <c r="BN361" i="2"/>
  <c r="BN479" i="2"/>
  <c r="BN252" i="2"/>
  <c r="BN470" i="2"/>
  <c r="BN461" i="2"/>
  <c r="BN471" i="2"/>
  <c r="BN182" i="2"/>
  <c r="BN255" i="2"/>
  <c r="BN176" i="2"/>
  <c r="BN366" i="2"/>
  <c r="Y447" i="2"/>
  <c r="BN61" i="2"/>
  <c r="BN70" i="2"/>
  <c r="BN88" i="2"/>
  <c r="BP155" i="2"/>
  <c r="BN159" i="2"/>
  <c r="BN224" i="2"/>
  <c r="Z297" i="2"/>
  <c r="Z321" i="2"/>
  <c r="BN326" i="2"/>
  <c r="Y37" i="2"/>
  <c r="Z353" i="2"/>
  <c r="Z446" i="2"/>
  <c r="Z447" i="2" s="1"/>
  <c r="BN54" i="2"/>
  <c r="BN65" i="2"/>
  <c r="BN71" i="2"/>
  <c r="BP261" i="2"/>
  <c r="BN374" i="2"/>
  <c r="BN36" i="2"/>
  <c r="BN171" i="2"/>
  <c r="BN198" i="2"/>
  <c r="Y286" i="2"/>
  <c r="BN392" i="2"/>
  <c r="BN400" i="2"/>
  <c r="Y411" i="2"/>
  <c r="BN94" i="2"/>
  <c r="BN285" i="2"/>
  <c r="BN345" i="2"/>
  <c r="BN28" i="2"/>
  <c r="Z185" i="2"/>
  <c r="BP200" i="2"/>
  <c r="Y225" i="2"/>
  <c r="Z322" i="2"/>
  <c r="BP373" i="2"/>
  <c r="BN424" i="2"/>
  <c r="Z425" i="2"/>
  <c r="BN466" i="2"/>
  <c r="Y473" i="2"/>
  <c r="Z476" i="2"/>
  <c r="BP478" i="2"/>
  <c r="Y130" i="2"/>
  <c r="Z300" i="2"/>
  <c r="BN129" i="2"/>
  <c r="BN136" i="2"/>
  <c r="Z137" i="2"/>
  <c r="Z213" i="2"/>
  <c r="BN219" i="2"/>
  <c r="Z240" i="2"/>
  <c r="Z255" i="2"/>
  <c r="Z266" i="2"/>
  <c r="BN273" i="2"/>
  <c r="Y287" i="2"/>
  <c r="BN307" i="2"/>
  <c r="Z345" i="2"/>
  <c r="Y410" i="2"/>
  <c r="BN481" i="2"/>
  <c r="BN496" i="2"/>
  <c r="Z207" i="2"/>
  <c r="Y283" i="2"/>
  <c r="Z334" i="2"/>
  <c r="BP31" i="2"/>
  <c r="BN60" i="2"/>
  <c r="BN104" i="2"/>
  <c r="Z107" i="2"/>
  <c r="BN115" i="2"/>
  <c r="Z118" i="2"/>
  <c r="BN124" i="2"/>
  <c r="Y177" i="2"/>
  <c r="Y187" i="2"/>
  <c r="BN196" i="2"/>
  <c r="Z198" i="2"/>
  <c r="Z202" i="2"/>
  <c r="BN235" i="2"/>
  <c r="BP239" i="2"/>
  <c r="BN251" i="2"/>
  <c r="Z252" i="2"/>
  <c r="BN259" i="2"/>
  <c r="BN276" i="2"/>
  <c r="BN337" i="2"/>
  <c r="BN390" i="2"/>
  <c r="Z400" i="2"/>
  <c r="BN409" i="2"/>
  <c r="BN476" i="2"/>
  <c r="BP63" i="2"/>
  <c r="BP96" i="2"/>
  <c r="BP158" i="2"/>
  <c r="BP246" i="2"/>
  <c r="BN277" i="2"/>
  <c r="Z277" i="2"/>
  <c r="BP335" i="2"/>
  <c r="Z335" i="2"/>
  <c r="Z365" i="2"/>
  <c r="BN365" i="2"/>
  <c r="BP434" i="2"/>
  <c r="Z434" i="2"/>
  <c r="BP441" i="2"/>
  <c r="Z441" i="2"/>
  <c r="BN482" i="2"/>
  <c r="BP482" i="2"/>
  <c r="Z482" i="2"/>
  <c r="Y498" i="2"/>
  <c r="BP30" i="2"/>
  <c r="BP43" i="2"/>
  <c r="Z63" i="2"/>
  <c r="BP117" i="2"/>
  <c r="BP125" i="2"/>
  <c r="Z153" i="2"/>
  <c r="Y168" i="2"/>
  <c r="BP165" i="2"/>
  <c r="BP183" i="2"/>
  <c r="BP195" i="2"/>
  <c r="BP203" i="2"/>
  <c r="Z206" i="2"/>
  <c r="BP212" i="2"/>
  <c r="L524" i="2"/>
  <c r="BP229" i="2"/>
  <c r="Z229" i="2"/>
  <c r="BP241" i="2"/>
  <c r="BN241" i="2"/>
  <c r="BP242" i="2"/>
  <c r="Z242" i="2"/>
  <c r="Z246" i="2"/>
  <c r="Z265" i="2"/>
  <c r="Y318" i="2"/>
  <c r="BN315" i="2"/>
  <c r="BP315" i="2"/>
  <c r="BN316" i="2"/>
  <c r="Z316" i="2"/>
  <c r="BP336" i="2"/>
  <c r="Y357" i="2"/>
  <c r="BN352" i="2"/>
  <c r="BP352" i="2"/>
  <c r="Z354" i="2"/>
  <c r="BN355" i="2"/>
  <c r="Z355" i="2"/>
  <c r="BP367" i="2"/>
  <c r="U524" i="2"/>
  <c r="BP387" i="2"/>
  <c r="Z387" i="2"/>
  <c r="Y402" i="2"/>
  <c r="Z398" i="2"/>
  <c r="Z415" i="2"/>
  <c r="BN415" i="2"/>
  <c r="Z435" i="2"/>
  <c r="BN435" i="2"/>
  <c r="Z436" i="2"/>
  <c r="BN436" i="2"/>
  <c r="Y454" i="2"/>
  <c r="BN450" i="2"/>
  <c r="BP450" i="2"/>
  <c r="Y524" i="2"/>
  <c r="Z462" i="2"/>
  <c r="BP82" i="2"/>
  <c r="BP89" i="2"/>
  <c r="Y99" i="2"/>
  <c r="BN211" i="2"/>
  <c r="Y215" i="2"/>
  <c r="BP218" i="2"/>
  <c r="Y221" i="2"/>
  <c r="BN250" i="2"/>
  <c r="Z250" i="2"/>
  <c r="BP306" i="2"/>
  <c r="BN306" i="2"/>
  <c r="BP313" i="2"/>
  <c r="Z313" i="2"/>
  <c r="BN391" i="2"/>
  <c r="Z391" i="2"/>
  <c r="B524" i="2"/>
  <c r="BP23" i="2"/>
  <c r="Z96" i="2"/>
  <c r="Z105" i="2"/>
  <c r="Z125" i="2"/>
  <c r="BP161" i="2"/>
  <c r="Z183" i="2"/>
  <c r="X515" i="2"/>
  <c r="X518" i="2"/>
  <c r="Y34" i="2"/>
  <c r="Z30" i="2"/>
  <c r="BP36" i="2"/>
  <c r="Z52" i="2"/>
  <c r="Z61" i="2"/>
  <c r="Z71" i="2"/>
  <c r="BP77" i="2"/>
  <c r="Y83" i="2"/>
  <c r="Z87" i="2"/>
  <c r="BP88" i="2"/>
  <c r="BN89" i="2"/>
  <c r="Y91" i="2"/>
  <c r="Z94" i="2"/>
  <c r="G524" i="2"/>
  <c r="Y110" i="2"/>
  <c r="BP104" i="2"/>
  <c r="Z108" i="2"/>
  <c r="BN114" i="2"/>
  <c r="Z117" i="2"/>
  <c r="BP124" i="2"/>
  <c r="Z129" i="2"/>
  <c r="Z130" i="2" s="1"/>
  <c r="BP129" i="2"/>
  <c r="Z136" i="2"/>
  <c r="Y139" i="2"/>
  <c r="BN158" i="2"/>
  <c r="Z161" i="2"/>
  <c r="BP176" i="2"/>
  <c r="Y208" i="2"/>
  <c r="Z195" i="2"/>
  <c r="BN218" i="2"/>
  <c r="BP220" i="2"/>
  <c r="Z220" i="2"/>
  <c r="Z271" i="2"/>
  <c r="BP272" i="2"/>
  <c r="BN272" i="2"/>
  <c r="Y279" i="2"/>
  <c r="BP299" i="2"/>
  <c r="BN313" i="2"/>
  <c r="BP328" i="2"/>
  <c r="Z328" i="2"/>
  <c r="Z329" i="2" s="1"/>
  <c r="BN335" i="2"/>
  <c r="Z336" i="2"/>
  <c r="Z347" i="2"/>
  <c r="BN347" i="2"/>
  <c r="Z352" i="2"/>
  <c r="Z367" i="2"/>
  <c r="Z380" i="2"/>
  <c r="Z382" i="2" s="1"/>
  <c r="BN380" i="2"/>
  <c r="BP394" i="2"/>
  <c r="Z394" i="2"/>
  <c r="Z423" i="2"/>
  <c r="Y426" i="2"/>
  <c r="BN423" i="2"/>
  <c r="BN434" i="2"/>
  <c r="BN441" i="2"/>
  <c r="Z450" i="2"/>
  <c r="BP114" i="2"/>
  <c r="BP206" i="2"/>
  <c r="BP211" i="2"/>
  <c r="Y267" i="2"/>
  <c r="BN265" i="2"/>
  <c r="Y268" i="2"/>
  <c r="Z290" i="2"/>
  <c r="BN290" i="2"/>
  <c r="Y420" i="2"/>
  <c r="Y421" i="2"/>
  <c r="BN419" i="2"/>
  <c r="BN433" i="2"/>
  <c r="BP433" i="2"/>
  <c r="Z440" i="2"/>
  <c r="Y442" i="2"/>
  <c r="BP462" i="2"/>
  <c r="BP52" i="2"/>
  <c r="Z82" i="2"/>
  <c r="BP105" i="2"/>
  <c r="Z134" i="2"/>
  <c r="Z142" i="2"/>
  <c r="Z144" i="2" s="1"/>
  <c r="BP143" i="2"/>
  <c r="BP153" i="2"/>
  <c r="X516" i="2"/>
  <c r="BN23" i="2"/>
  <c r="X514" i="2"/>
  <c r="Z28" i="2"/>
  <c r="C524" i="2"/>
  <c r="BP42" i="2"/>
  <c r="BN43" i="2"/>
  <c r="Y46" i="2"/>
  <c r="BP54" i="2"/>
  <c r="E524" i="2"/>
  <c r="BP60" i="2"/>
  <c r="Z64" i="2"/>
  <c r="BP65" i="2"/>
  <c r="BP70" i="2"/>
  <c r="Z77" i="2"/>
  <c r="Z78" i="2" s="1"/>
  <c r="Z81" i="2"/>
  <c r="Y84" i="2"/>
  <c r="Z97" i="2"/>
  <c r="BP107" i="2"/>
  <c r="Z115" i="2"/>
  <c r="BP137" i="2"/>
  <c r="BN143" i="2"/>
  <c r="Y163" i="2"/>
  <c r="Z159" i="2"/>
  <c r="BN183" i="2"/>
  <c r="Y186" i="2"/>
  <c r="BP185" i="2"/>
  <c r="BN190" i="2"/>
  <c r="Y192" i="2"/>
  <c r="BP190" i="2"/>
  <c r="Y191" i="2"/>
  <c r="Z194" i="2"/>
  <c r="BP194" i="2"/>
  <c r="BN203" i="2"/>
  <c r="BP204" i="2"/>
  <c r="Z204" i="2"/>
  <c r="BN212" i="2"/>
  <c r="BP213" i="2"/>
  <c r="BN214" i="2"/>
  <c r="Y222" i="2"/>
  <c r="BN229" i="2"/>
  <c r="BN242" i="2"/>
  <c r="Z243" i="2"/>
  <c r="BP245" i="2"/>
  <c r="Z245" i="2"/>
  <c r="Z257" i="2"/>
  <c r="BN257" i="2"/>
  <c r="BP274" i="2"/>
  <c r="Z274" i="2"/>
  <c r="BP277" i="2"/>
  <c r="BP290" i="2"/>
  <c r="O524" i="2"/>
  <c r="BN296" i="2"/>
  <c r="Y302" i="2"/>
  <c r="BP296" i="2"/>
  <c r="Z299" i="2"/>
  <c r="Y308" i="2"/>
  <c r="Y322" i="2"/>
  <c r="BN320" i="2"/>
  <c r="BP320" i="2"/>
  <c r="Y329" i="2"/>
  <c r="Y350" i="2"/>
  <c r="Z343" i="2"/>
  <c r="BP359" i="2"/>
  <c r="BN387" i="2"/>
  <c r="Z388" i="2"/>
  <c r="Y396" i="2"/>
  <c r="Z389" i="2"/>
  <c r="BP391" i="2"/>
  <c r="BP425" i="2"/>
  <c r="Z460" i="2"/>
  <c r="BN460" i="2"/>
  <c r="BP472" i="2"/>
  <c r="Z472" i="2"/>
  <c r="Z524" i="2"/>
  <c r="BP235" i="2"/>
  <c r="BP256" i="2"/>
  <c r="Y292" i="2"/>
  <c r="BP289" i="2"/>
  <c r="BP337" i="2"/>
  <c r="Y349" i="2"/>
  <c r="BP346" i="2"/>
  <c r="BP366" i="2"/>
  <c r="V524" i="2"/>
  <c r="BP414" i="2"/>
  <c r="Y416" i="2"/>
  <c r="BP424" i="2"/>
  <c r="W524" i="2"/>
  <c r="BP461" i="2"/>
  <c r="Z473" i="2"/>
  <c r="BP481" i="2"/>
  <c r="Z488" i="2"/>
  <c r="Z489" i="2" s="1"/>
  <c r="Y489" i="2"/>
  <c r="Z505" i="2"/>
  <c r="BP182" i="2"/>
  <c r="BP219" i="2"/>
  <c r="Z224" i="2"/>
  <c r="Z225" i="2" s="1"/>
  <c r="BP224" i="2"/>
  <c r="Y248" i="2"/>
  <c r="Z253" i="2"/>
  <c r="Z256" i="2"/>
  <c r="Z259" i="2"/>
  <c r="BP266" i="2"/>
  <c r="Z273" i="2"/>
  <c r="Z276" i="2"/>
  <c r="Z281" i="2"/>
  <c r="Z282" i="2" s="1"/>
  <c r="Z285" i="2"/>
  <c r="Z286" i="2" s="1"/>
  <c r="Z289" i="2"/>
  <c r="BP300" i="2"/>
  <c r="Z307" i="2"/>
  <c r="Q524" i="2"/>
  <c r="BP312" i="2"/>
  <c r="Y323" i="2"/>
  <c r="BP326" i="2"/>
  <c r="S524" i="2"/>
  <c r="Z342" i="2"/>
  <c r="BP342" i="2"/>
  <c r="Z344" i="2"/>
  <c r="Z346" i="2"/>
  <c r="Y369" i="2"/>
  <c r="Z374" i="2"/>
  <c r="T524" i="2"/>
  <c r="BP379" i="2"/>
  <c r="Z390" i="2"/>
  <c r="BP392" i="2"/>
  <c r="Z399" i="2"/>
  <c r="Z409" i="2"/>
  <c r="Z410" i="2" s="1"/>
  <c r="Z414" i="2"/>
  <c r="Z431" i="2"/>
  <c r="X524" i="2"/>
  <c r="Y453" i="2"/>
  <c r="Z459" i="2"/>
  <c r="BP471" i="2"/>
  <c r="Z479" i="2"/>
  <c r="BN480" i="2"/>
  <c r="Z492" i="2"/>
  <c r="Z493" i="2" s="1"/>
  <c r="Y493" i="2"/>
  <c r="Z496" i="2"/>
  <c r="F10" i="2"/>
  <c r="Z59" i="2"/>
  <c r="Z123" i="2"/>
  <c r="Z167" i="2"/>
  <c r="BN69" i="2"/>
  <c r="BP81" i="2"/>
  <c r="Y376" i="2"/>
  <c r="Y483" i="2"/>
  <c r="BP506" i="2"/>
  <c r="I524" i="2"/>
  <c r="BN64" i="2"/>
  <c r="BN32" i="2"/>
  <c r="BN27" i="2"/>
  <c r="Y38" i="2"/>
  <c r="Z51" i="2"/>
  <c r="BP53" i="2"/>
  <c r="Z62" i="2"/>
  <c r="Z72" i="2"/>
  <c r="BP87" i="2"/>
  <c r="Z95" i="2"/>
  <c r="BP97" i="2"/>
  <c r="Z106" i="2"/>
  <c r="BP108" i="2"/>
  <c r="Z116" i="2"/>
  <c r="BP118" i="2"/>
  <c r="BP142" i="2"/>
  <c r="BN152" i="2"/>
  <c r="Z160" i="2"/>
  <c r="BN172" i="2"/>
  <c r="Z184" i="2"/>
  <c r="BN197" i="2"/>
  <c r="Z205" i="2"/>
  <c r="BP207" i="2"/>
  <c r="Y216" i="2"/>
  <c r="Y231" i="2"/>
  <c r="BP240" i="2"/>
  <c r="BP250" i="2"/>
  <c r="BN258" i="2"/>
  <c r="BP271" i="2"/>
  <c r="BP281" i="2"/>
  <c r="BN291" i="2"/>
  <c r="BP305" i="2"/>
  <c r="Z314" i="2"/>
  <c r="BP316" i="2"/>
  <c r="BN327" i="2"/>
  <c r="BN338" i="2"/>
  <c r="BN348" i="2"/>
  <c r="BP360" i="2"/>
  <c r="Z368" i="2"/>
  <c r="BN381" i="2"/>
  <c r="BN393" i="2"/>
  <c r="BP405" i="2"/>
  <c r="Y417" i="2"/>
  <c r="BN440" i="2"/>
  <c r="Z451" i="2"/>
  <c r="Z463" i="2"/>
  <c r="BP465" i="2"/>
  <c r="Z497" i="2"/>
  <c r="Y502" i="2"/>
  <c r="J524" i="2"/>
  <c r="Z32" i="2"/>
  <c r="Z103" i="2"/>
  <c r="Z27" i="2"/>
  <c r="BN123" i="2"/>
  <c r="BN147" i="2"/>
  <c r="BN157" i="2"/>
  <c r="BP22" i="2"/>
  <c r="BP59" i="2"/>
  <c r="BP69" i="2"/>
  <c r="BN90" i="2"/>
  <c r="BP103" i="2"/>
  <c r="BP113" i="2"/>
  <c r="BN134" i="2"/>
  <c r="BP147" i="2"/>
  <c r="Z155" i="2"/>
  <c r="BP157" i="2"/>
  <c r="Z165" i="2"/>
  <c r="BP167" i="2"/>
  <c r="Y178" i="2"/>
  <c r="Z190" i="2"/>
  <c r="Z191" i="2" s="1"/>
  <c r="Z200" i="2"/>
  <c r="BP202" i="2"/>
  <c r="BN220" i="2"/>
  <c r="Y236" i="2"/>
  <c r="BN243" i="2"/>
  <c r="BN253" i="2"/>
  <c r="Z261" i="2"/>
  <c r="BN274" i="2"/>
  <c r="BN297" i="2"/>
  <c r="Y309" i="2"/>
  <c r="BP321" i="2"/>
  <c r="BN333" i="2"/>
  <c r="BN343" i="2"/>
  <c r="BN353" i="2"/>
  <c r="Y356" i="2"/>
  <c r="BP365" i="2"/>
  <c r="Z373" i="2"/>
  <c r="BN388" i="2"/>
  <c r="BN398" i="2"/>
  <c r="Y401" i="2"/>
  <c r="BP423" i="2"/>
  <c r="Z433" i="2"/>
  <c r="BP435" i="2"/>
  <c r="BN446" i="2"/>
  <c r="Z458" i="2"/>
  <c r="BP460" i="2"/>
  <c r="BP470" i="2"/>
  <c r="Z478" i="2"/>
  <c r="BP480" i="2"/>
  <c r="BN492" i="2"/>
  <c r="Y507" i="2"/>
  <c r="K524" i="2"/>
  <c r="BN76" i="2"/>
  <c r="Y47" i="2"/>
  <c r="BP76" i="2"/>
  <c r="Z90" i="2"/>
  <c r="Z91" i="2" s="1"/>
  <c r="BN103" i="2"/>
  <c r="BN113" i="2"/>
  <c r="Y126" i="2"/>
  <c r="BN72" i="2"/>
  <c r="Y98" i="2"/>
  <c r="BN116" i="2"/>
  <c r="Y119" i="2"/>
  <c r="Y127" i="2"/>
  <c r="BP172" i="2"/>
  <c r="BN184" i="2"/>
  <c r="BP197" i="2"/>
  <c r="BP258" i="2"/>
  <c r="Y282" i="2"/>
  <c r="BP291" i="2"/>
  <c r="BN314" i="2"/>
  <c r="Y317" i="2"/>
  <c r="BP327" i="2"/>
  <c r="BP338" i="2"/>
  <c r="BP348" i="2"/>
  <c r="BN368" i="2"/>
  <c r="BP381" i="2"/>
  <c r="BP393" i="2"/>
  <c r="Y406" i="2"/>
  <c r="Y427" i="2"/>
  <c r="BP440" i="2"/>
  <c r="BN451" i="2"/>
  <c r="BN463" i="2"/>
  <c r="Y474" i="2"/>
  <c r="Y484" i="2"/>
  <c r="BN497" i="2"/>
  <c r="BP29" i="2"/>
  <c r="Z44" i="2"/>
  <c r="BN59" i="2"/>
  <c r="BN44" i="2"/>
  <c r="BP27" i="2"/>
  <c r="BN51" i="2"/>
  <c r="BN62" i="2"/>
  <c r="BN95" i="2"/>
  <c r="BN106" i="2"/>
  <c r="Y109" i="2"/>
  <c r="BP152" i="2"/>
  <c r="BN160" i="2"/>
  <c r="BN205" i="2"/>
  <c r="Y33" i="2"/>
  <c r="Z42" i="2"/>
  <c r="BP134" i="2"/>
  <c r="Y148" i="2"/>
  <c r="BN165" i="2"/>
  <c r="Z218" i="2"/>
  <c r="Y232" i="2"/>
  <c r="Z241" i="2"/>
  <c r="Z251" i="2"/>
  <c r="Z272" i="2"/>
  <c r="Z306" i="2"/>
  <c r="BP333" i="2"/>
  <c r="BP343" i="2"/>
  <c r="Z361" i="2"/>
  <c r="BP398" i="2"/>
  <c r="Z419" i="2"/>
  <c r="Z420" i="2" s="1"/>
  <c r="BP446" i="2"/>
  <c r="BN458" i="2"/>
  <c r="Z466" i="2"/>
  <c r="BP492" i="2"/>
  <c r="Y503" i="2"/>
  <c r="M524" i="2"/>
  <c r="Z22" i="2"/>
  <c r="Z24" i="2" s="1"/>
  <c r="BN22" i="2"/>
  <c r="BP51" i="2"/>
  <c r="Y173" i="2"/>
  <c r="BP184" i="2"/>
  <c r="Y237" i="2"/>
  <c r="BN289" i="2"/>
  <c r="Z312" i="2"/>
  <c r="BP314" i="2"/>
  <c r="Y339" i="2"/>
  <c r="BP368" i="2"/>
  <c r="BN379" i="2"/>
  <c r="Y382" i="2"/>
  <c r="BN414" i="2"/>
  <c r="BP451" i="2"/>
  <c r="Y508" i="2"/>
  <c r="Y120" i="2"/>
  <c r="Y209" i="2"/>
  <c r="Y407" i="2"/>
  <c r="P524" i="2"/>
  <c r="Z45" i="2"/>
  <c r="Y73" i="2"/>
  <c r="Z135" i="2"/>
  <c r="Y149" i="2"/>
  <c r="Y169" i="2"/>
  <c r="Z234" i="2"/>
  <c r="Z236" i="2" s="1"/>
  <c r="Z244" i="2"/>
  <c r="Z254" i="2"/>
  <c r="Z275" i="2"/>
  <c r="Z298" i="2"/>
  <c r="Y78" i="2"/>
  <c r="Y174" i="2"/>
  <c r="Z239" i="2"/>
  <c r="Y262" i="2"/>
  <c r="Y293" i="2"/>
  <c r="Z315" i="2"/>
  <c r="Y340" i="2"/>
  <c r="Z359" i="2"/>
  <c r="Y383" i="2"/>
  <c r="Z404" i="2"/>
  <c r="BP419" i="2"/>
  <c r="Z452" i="2"/>
  <c r="Z464" i="2"/>
  <c r="BN488" i="2"/>
  <c r="Z511" i="2"/>
  <c r="Z512" i="2" s="1"/>
  <c r="R524" i="2"/>
  <c r="F9" i="2"/>
  <c r="Z31" i="2"/>
  <c r="Y92" i="2"/>
  <c r="Z112" i="2"/>
  <c r="Z122" i="2"/>
  <c r="BN135" i="2"/>
  <c r="Z156" i="2"/>
  <c r="Z166" i="2"/>
  <c r="Z201" i="2"/>
  <c r="BN234" i="2"/>
  <c r="BN244" i="2"/>
  <c r="Y247" i="2"/>
  <c r="BN254" i="2"/>
  <c r="BN275" i="2"/>
  <c r="Y278" i="2"/>
  <c r="BN298" i="2"/>
  <c r="Y301" i="2"/>
  <c r="BN334" i="2"/>
  <c r="BN344" i="2"/>
  <c r="BN354" i="2"/>
  <c r="BN389" i="2"/>
  <c r="BN399" i="2"/>
  <c r="BN505" i="2"/>
  <c r="H9" i="2"/>
  <c r="Z102" i="2"/>
  <c r="J9" i="2"/>
  <c r="Y55" i="2"/>
  <c r="Y66" i="2"/>
  <c r="Z151" i="2"/>
  <c r="Z196" i="2"/>
  <c r="Z214" i="2"/>
  <c r="BN359" i="2"/>
  <c r="Y362" i="2"/>
  <c r="Y370" i="2"/>
  <c r="BN404" i="2"/>
  <c r="BP431" i="2"/>
  <c r="BN452" i="2"/>
  <c r="BN464" i="2"/>
  <c r="Y467" i="2"/>
  <c r="BP488" i="2"/>
  <c r="Y499" i="2"/>
  <c r="BN511" i="2"/>
  <c r="BN45" i="2"/>
  <c r="Y138" i="2"/>
  <c r="Y74" i="2"/>
  <c r="Y144" i="2"/>
  <c r="Z171" i="2"/>
  <c r="Z173" i="2" s="1"/>
  <c r="Y24" i="2"/>
  <c r="BP45" i="2"/>
  <c r="Y79" i="2"/>
  <c r="BN102" i="2"/>
  <c r="BN112" i="2"/>
  <c r="BN122" i="2"/>
  <c r="BN156" i="2"/>
  <c r="BN166" i="2"/>
  <c r="BN201" i="2"/>
  <c r="Y263" i="2"/>
  <c r="BP389" i="2"/>
  <c r="Y437" i="2"/>
  <c r="Y395" i="2"/>
  <c r="BP511" i="2"/>
  <c r="Z29" i="2"/>
  <c r="Y56" i="2"/>
  <c r="Y67" i="2"/>
  <c r="BP102" i="2"/>
  <c r="Y145" i="2"/>
  <c r="Z154" i="2"/>
  <c r="Z199" i="2"/>
  <c r="Z230" i="2"/>
  <c r="Z231" i="2" s="1"/>
  <c r="Z260" i="2"/>
  <c r="Z372" i="2"/>
  <c r="Z432" i="2"/>
  <c r="Y468" i="2"/>
  <c r="Z477" i="2"/>
  <c r="Z501" i="2"/>
  <c r="Z502" i="2" s="1"/>
  <c r="BP151" i="2"/>
  <c r="Y162" i="2"/>
  <c r="Y438" i="2"/>
  <c r="Z506" i="2"/>
  <c r="Y512" i="2"/>
  <c r="Z53" i="2"/>
  <c r="BN154" i="2"/>
  <c r="BN199" i="2"/>
  <c r="BN230" i="2"/>
  <c r="BN260" i="2"/>
  <c r="Y330" i="2"/>
  <c r="Z360" i="2"/>
  <c r="BN372" i="2"/>
  <c r="Y375" i="2"/>
  <c r="Z405" i="2"/>
  <c r="BN432" i="2"/>
  <c r="Z465" i="2"/>
  <c r="BN477" i="2"/>
  <c r="BN501" i="2"/>
  <c r="F524" i="2"/>
  <c r="BN305" i="2"/>
  <c r="Y513" i="2"/>
  <c r="Z221" i="2" l="1"/>
  <c r="Z138" i="2"/>
  <c r="Z356" i="2"/>
  <c r="Z426" i="2"/>
  <c r="Z339" i="2"/>
  <c r="Z416" i="2"/>
  <c r="Z301" i="2"/>
  <c r="Z98" i="2"/>
  <c r="Z442" i="2"/>
  <c r="X517" i="2"/>
  <c r="Z308" i="2"/>
  <c r="Z498" i="2"/>
  <c r="Z186" i="2"/>
  <c r="Z73" i="2"/>
  <c r="Z395" i="2"/>
  <c r="Z349" i="2"/>
  <c r="Z507" i="2"/>
  <c r="Z375" i="2"/>
  <c r="Z215" i="2"/>
  <c r="Z483" i="2"/>
  <c r="Z369" i="2"/>
  <c r="Z83" i="2"/>
  <c r="Z267" i="2"/>
  <c r="Z262" i="2"/>
  <c r="Y514" i="2"/>
  <c r="Z66" i="2"/>
  <c r="Z401" i="2"/>
  <c r="Z453" i="2"/>
  <c r="Z208" i="2"/>
  <c r="Z317" i="2"/>
  <c r="Z278" i="2"/>
  <c r="Z168" i="2"/>
  <c r="Z292" i="2"/>
  <c r="Y516" i="2"/>
  <c r="Z33" i="2"/>
  <c r="Z437" i="2"/>
  <c r="Z406" i="2"/>
  <c r="Z109" i="2"/>
  <c r="Z46" i="2"/>
  <c r="Z126" i="2"/>
  <c r="Z247" i="2"/>
  <c r="Z362" i="2"/>
  <c r="Z467" i="2"/>
  <c r="Z55" i="2"/>
  <c r="Y518" i="2"/>
  <c r="Z162" i="2"/>
  <c r="Y515" i="2"/>
  <c r="Z119" i="2"/>
  <c r="Y517" i="2" l="1"/>
  <c r="Z519" i="2"/>
</calcChain>
</file>

<file path=xl/sharedStrings.xml><?xml version="1.0" encoding="utf-8"?>
<sst xmlns="http://schemas.openxmlformats.org/spreadsheetml/2006/main" count="3894" uniqueCount="836">
  <si>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</si>
  <si>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</si>
  <si>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</si>
  <si>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</si>
  <si>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</si>
  <si>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</si>
  <si>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</si>
  <si>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</si>
  <si>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</si>
  <si>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</si>
  <si>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</si>
  <si>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</si>
  <si>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</si>
  <si>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</si>
  <si>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</si>
  <si>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</si>
  <si>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</si>
  <si>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</si>
  <si>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</si>
  <si>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</si>
  <si>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</si>
  <si>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</si>
  <si>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</si>
  <si>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</si>
  <si>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</si>
  <si>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</si>
  <si>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</si>
  <si>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</si>
  <si>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</si>
  <si>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</si>
  <si>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</si>
  <si>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</si>
  <si>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</si>
  <si>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</si>
  <si>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</si>
  <si>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</si>
  <si>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</si>
  <si>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</si>
  <si>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</si>
  <si>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</si>
  <si>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</si>
  <si>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</si>
  <si>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</si>
  <si>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</si>
  <si>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</si>
  <si>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</si>
  <si>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</si>
  <si>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</si>
  <si>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</si>
  <si>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</si>
  <si>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</si>
  <si>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</si>
  <si>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</si>
  <si>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</si>
  <si>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</si>
  <si>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</si>
  <si>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</si>
  <si>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</si>
  <si>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</si>
  <si>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</si>
  <si>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</si>
  <si>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</si>
  <si>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</si>
  <si>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</si>
  <si>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</si>
  <si>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</si>
  <si>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</si>
  <si>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</si>
  <si>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06.07.2026</t>
  </si>
  <si>
    <t>01.07.2026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</si>
  <si>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</si>
  <si>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</si>
  <si>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</si>
  <si>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</si>
  <si>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</si>
  <si>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</si>
  <si>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</si>
  <si>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</si>
  <si>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</si>
  <si>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</si>
  <si>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</si>
  <si>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</si>
  <si>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</si>
  <si>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</si>
  <si>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</si>
  <si>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</si>
  <si>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</si>
  <si>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</si>
  <si>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</si>
  <si>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</si>
  <si>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</si>
  <si>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</si>
  <si>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</si>
  <si>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</si>
  <si>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</si>
  <si>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</si>
  <si>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</si>
  <si>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</si>
  <si>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</si>
  <si>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</si>
  <si>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</si>
  <si>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</si>
  <si>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</si>
  <si>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</si>
  <si>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</si>
  <si>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</si>
  <si>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</si>
  <si>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</si>
  <si>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</si>
  <si>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</si>
  <si>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</si>
  <si>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</si>
  <si>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</si>
  <si>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</si>
  <si>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</si>
  <si>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</si>
  <si>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</si>
  <si>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</si>
  <si>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</si>
  <si>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</si>
  <si>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</si>
  <si>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</si>
  <si>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</si>
  <si>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</si>
  <si>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</si>
  <si>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</si>
  <si>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</si>
  <si>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</si>
  <si>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</si>
  <si>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</si>
  <si>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</si>
  <si>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</si>
  <si>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</si>
  <si>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</si>
  <si>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</si>
  <si>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</si>
  <si>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</si>
  <si>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</si>
  <si>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</si>
  <si>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</si>
  <si>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</si>
  <si>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</si>
  <si>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</si>
  <si>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</si>
  <si>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</si>
  <si>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</si>
  <si>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</si>
  <si>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</si>
  <si>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</si>
  <si>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</si>
  <si>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</si>
  <si>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</si>
  <si>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</si>
  <si>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</si>
  <si>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</si>
  <si>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</si>
  <si>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</si>
  <si>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</si>
  <si>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</si>
  <si>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</si>
  <si>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</si>
  <si>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</si>
  <si>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</si>
  <si>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</si>
  <si>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</si>
  <si>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</si>
  <si>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</si>
  <si>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</si>
  <si>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</si>
  <si>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</si>
  <si>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</si>
  <si>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</si>
  <si>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</si>
  <si>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</si>
  <si>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</si>
  <si>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</si>
  <si>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</si>
  <si>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</si>
  <si>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</si>
  <si>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</si>
  <si>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</si>
  <si>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</si>
  <si>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</si>
  <si>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</si>
  <si>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</si>
  <si>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</si>
  <si>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</si>
  <si>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</si>
  <si>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</si>
  <si>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</si>
  <si>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</si>
  <si>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</si>
  <si>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</si>
  <si>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</si>
  <si>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</si>
  <si>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</si>
  <si>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</si>
  <si>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</si>
  <si>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</si>
  <si>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</si>
  <si>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</si>
  <si>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</si>
  <si>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</si>
  <si>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</si>
  <si>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</si>
  <si>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</si>
  <si>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</si>
  <si>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</si>
  <si>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</si>
  <si>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</si>
  <si>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</si>
  <si>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</si>
  <si>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</si>
  <si>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</si>
  <si>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</si>
  <si>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</si>
  <si>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</si>
  <si>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</si>
  <si>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</si>
  <si>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</si>
  <si>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</si>
  <si>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</si>
  <si>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</si>
  <si>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</si>
  <si>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</si>
  <si>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</si>
  <si>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</si>
  <si>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</si>
  <si>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</si>
  <si>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</si>
  <si>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</si>
  <si>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</si>
  <si>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</si>
  <si>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</si>
  <si>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</si>
  <si>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</si>
  <si>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</si>
  <si>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</si>
  <si>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</si>
  <si>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</si>
  <si>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</si>
  <si>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</si>
  <si>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</si>
  <si>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</si>
  <si>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</si>
  <si>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</si>
  <si>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</si>
  <si>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</si>
  <si>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</si>
  <si>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</si>
  <si>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</si>
  <si>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</si>
  <si>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</si>
  <si>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</si>
  <si>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</si>
  <si>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</si>
  <si>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</si>
  <si>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</si>
  <si>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</si>
  <si>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</si>
  <si>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</si>
  <si>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</si>
  <si>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</si>
  <si>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</si>
  <si>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</si>
  <si>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</si>
  <si>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</si>
  <si>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</si>
  <si>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</si>
  <si>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</si>
  <si>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</si>
  <si>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</si>
  <si>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</si>
  <si>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</si>
  <si>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</si>
  <si>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</si>
  <si>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</si>
  <si>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</si>
  <si>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</si>
  <si>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</si>
  <si>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</si>
  <si>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</si>
  <si>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</si>
  <si>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</si>
  <si>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</si>
  <si>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</si>
  <si>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</si>
  <si>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</si>
  <si>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</si>
  <si>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</si>
  <si>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</si>
  <si>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</si>
  <si>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</si>
  <si>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</si>
  <si>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</si>
  <si>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</si>
  <si>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</si>
  <si>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</si>
  <si>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</si>
  <si>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</si>
  <si>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</si>
  <si>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</si>
  <si>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</si>
  <si>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</si>
  <si>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</si>
  <si>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</si>
  <si>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</si>
  <si>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</si>
  <si>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</si>
  <si>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</si>
  <si>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</si>
  <si>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</si>
  <si>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</si>
  <si>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</si>
  <si>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</si>
  <si>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</si>
  <si>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</si>
  <si>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</si>
  <si>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</si>
  <si>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</si>
  <si>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</si>
  <si>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</si>
  <si>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</si>
  <si>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</si>
  <si>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</si>
  <si>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</si>
  <si>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</si>
  <si>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</si>
  <si>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</si>
  <si>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</si>
  <si>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</si>
  <si>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</si>
  <si>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</si>
  <si>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</si>
  <si>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</si>
  <si>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</si>
  <si>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</si>
  <si>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</si>
  <si>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</si>
  <si>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</si>
  <si>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</si>
  <si>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</si>
  <si>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</si>
  <si>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</si>
  <si>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</si>
  <si>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</si>
  <si>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</si>
  <si>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</si>
  <si>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</si>
  <si>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</si>
  <si>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</si>
  <si>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</si>
  <si>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</si>
  <si>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</si>
  <si>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</si>
  <si>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</si>
  <si>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</si>
  <si>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</si>
  <si>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</si>
  <si>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</si>
  <si>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</si>
  <si>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</si>
  <si>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</si>
  <si>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</si>
  <si>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</si>
  <si>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</si>
  <si>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</si>
  <si>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</si>
  <si>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</si>
  <si>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</si>
  <si>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</si>
  <si>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</si>
  <si>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</si>
  <si>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</si>
  <si>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</si>
  <si>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</si>
  <si>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</si>
  <si>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</si>
  <si>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</si>
  <si>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</si>
  <si>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</si>
  <si>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ЕАЭС N RU Д-RU.РА06.В.81432/23</t>
  </si>
  <si>
    <t>Новинка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</si>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</sst>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2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14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02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24"/>
  <sheetViews>
    <sheetView showGridLines="0" tabSelected="1" topLeftCell="A2" zoomScaleNormal="100" zoomScaleSheetLayoutView="100" workbookViewId="0">
      <selection activeCell="AA256" sqref="AA2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22" t="s">
        <v>26</v>
      </c>
      <c r="E1" s="922"/>
      <c r="F1" s="922"/>
      <c r="G1" s="14" t="s">
        <v>67</v>
      </c>
      <c r="H1" s="922" t="s">
        <v>47</v>
      </c>
      <c r="I1" s="922"/>
      <c r="J1" s="922"/>
      <c r="K1" s="922"/>
      <c r="L1" s="922"/>
      <c r="M1" s="922"/>
      <c r="N1" s="922"/>
      <c r="O1" s="922"/>
      <c r="P1" s="922"/>
      <c r="Q1" s="922"/>
      <c r="R1" s="923" t="s">
        <v>68</v>
      </c>
      <c r="S1" s="924"/>
      <c r="T1" s="92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25"/>
      <c r="R2" s="925"/>
      <c r="S2" s="925"/>
      <c r="T2" s="925"/>
      <c r="U2" s="925"/>
      <c r="V2" s="925"/>
      <c r="W2" s="92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25"/>
      <c r="Q3" s="925"/>
      <c r="R3" s="925"/>
      <c r="S3" s="925"/>
      <c r="T3" s="925"/>
      <c r="U3" s="925"/>
      <c r="V3" s="925"/>
      <c r="W3" s="92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04" t="s">
        <v>8</v>
      </c>
      <c r="B5" s="904"/>
      <c r="C5" s="904"/>
      <c r="D5" s="926"/>
      <c r="E5" s="926"/>
      <c r="F5" s="927" t="s">
        <v>14</v>
      </c>
      <c r="G5" s="927"/>
      <c r="H5" s="926" t="s">
        <v>835</v>
      </c>
      <c r="I5" s="926"/>
      <c r="J5" s="926"/>
      <c r="K5" s="926"/>
      <c r="L5" s="926"/>
      <c r="M5" s="926"/>
      <c r="N5" s="69"/>
      <c r="P5" s="26" t="s">
        <v>4</v>
      </c>
      <c r="Q5" s="928">
        <v>46209</v>
      </c>
      <c r="R5" s="928"/>
      <c r="T5" s="929" t="s">
        <v>3</v>
      </c>
      <c r="U5" s="930"/>
      <c r="V5" s="931" t="s">
        <v>815</v>
      </c>
      <c r="W5" s="932"/>
      <c r="AB5" s="57"/>
      <c r="AC5" s="57"/>
      <c r="AD5" s="57"/>
      <c r="AE5" s="57"/>
    </row>
    <row r="6" spans="1:32" s="17" customFormat="1" ht="24" customHeight="1" x14ac:dyDescent="0.2">
      <c r="A6" s="904" t="s">
        <v>1</v>
      </c>
      <c r="B6" s="904"/>
      <c r="C6" s="904"/>
      <c r="D6" s="905" t="s">
        <v>816</v>
      </c>
      <c r="E6" s="905"/>
      <c r="F6" s="905"/>
      <c r="G6" s="905"/>
      <c r="H6" s="905"/>
      <c r="I6" s="905"/>
      <c r="J6" s="905"/>
      <c r="K6" s="905"/>
      <c r="L6" s="905"/>
      <c r="M6" s="905"/>
      <c r="N6" s="70"/>
      <c r="P6" s="26" t="s">
        <v>27</v>
      </c>
      <c r="Q6" s="906" t="str">
        <f>IF(Q5=0," ",CHOOSE(WEEKDAY(Q5,2),"Понедельник","Вторник","Среда","Четверг","Пятница","Суббота","Воскресенье"))</f>
        <v>Понедельник</v>
      </c>
      <c r="R6" s="906"/>
      <c r="T6" s="907" t="s">
        <v>5</v>
      </c>
      <c r="U6" s="908"/>
      <c r="V6" s="909" t="s">
        <v>70</v>
      </c>
      <c r="W6" s="91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15" t="str">
        <f>IFERROR(VLOOKUP(DeliveryAddress,Table,3,0),1)</f>
        <v>1</v>
      </c>
      <c r="E7" s="916"/>
      <c r="F7" s="916"/>
      <c r="G7" s="916"/>
      <c r="H7" s="916"/>
      <c r="I7" s="916"/>
      <c r="J7" s="916"/>
      <c r="K7" s="916"/>
      <c r="L7" s="916"/>
      <c r="M7" s="917"/>
      <c r="N7" s="71"/>
      <c r="P7" s="26"/>
      <c r="Q7" s="46"/>
      <c r="R7" s="46"/>
      <c r="T7" s="907"/>
      <c r="U7" s="908"/>
      <c r="V7" s="911"/>
      <c r="W7" s="912"/>
      <c r="AB7" s="57"/>
      <c r="AC7" s="57"/>
      <c r="AD7" s="57"/>
      <c r="AE7" s="57"/>
    </row>
    <row r="8" spans="1:32" s="17" customFormat="1" ht="25.5" customHeight="1" x14ac:dyDescent="0.2">
      <c r="A8" s="918" t="s">
        <v>58</v>
      </c>
      <c r="B8" s="918"/>
      <c r="C8" s="918"/>
      <c r="D8" s="919"/>
      <c r="E8" s="919"/>
      <c r="F8" s="919"/>
      <c r="G8" s="919"/>
      <c r="H8" s="919"/>
      <c r="I8" s="919"/>
      <c r="J8" s="919"/>
      <c r="K8" s="919"/>
      <c r="L8" s="919"/>
      <c r="M8" s="919"/>
      <c r="N8" s="72"/>
      <c r="P8" s="26" t="s">
        <v>11</v>
      </c>
      <c r="Q8" s="902">
        <v>0.58333333333333337</v>
      </c>
      <c r="R8" s="902"/>
      <c r="T8" s="907"/>
      <c r="U8" s="908"/>
      <c r="V8" s="911"/>
      <c r="W8" s="912"/>
      <c r="AB8" s="57"/>
      <c r="AC8" s="57"/>
      <c r="AD8" s="57"/>
      <c r="AE8" s="57"/>
    </row>
    <row r="9" spans="1:32" s="17" customFormat="1" ht="39.950000000000003" customHeight="1" x14ac:dyDescent="0.2">
      <c r="A9" s="8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94"/>
      <c r="C9" s="894"/>
      <c r="D9" s="895" t="s">
        <v>46</v>
      </c>
      <c r="E9" s="896"/>
      <c r="F9" s="8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94"/>
      <c r="H9" s="920" t="str">
        <f>IF(AND($A$9="Тип доверенности/получателя при получении в адресе перегруза:",$D$9="Разовая доверенность"),"Введите ФИО","")</f>
        <v/>
      </c>
      <c r="I9" s="920"/>
      <c r="J9" s="9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20"/>
      <c r="L9" s="920"/>
      <c r="M9" s="920"/>
      <c r="N9" s="67"/>
      <c r="P9" s="29" t="s">
        <v>15</v>
      </c>
      <c r="Q9" s="921"/>
      <c r="R9" s="921"/>
      <c r="T9" s="907"/>
      <c r="U9" s="908"/>
      <c r="V9" s="913"/>
      <c r="W9" s="91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94"/>
      <c r="C10" s="894"/>
      <c r="D10" s="895"/>
      <c r="E10" s="896"/>
      <c r="F10" s="8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94"/>
      <c r="H10" s="897" t="str">
        <f>IFERROR(VLOOKUP($D$10,Proxy,2,FALSE),"")</f>
        <v/>
      </c>
      <c r="I10" s="897"/>
      <c r="J10" s="897"/>
      <c r="K10" s="897"/>
      <c r="L10" s="897"/>
      <c r="M10" s="897"/>
      <c r="N10" s="68"/>
      <c r="P10" s="29" t="s">
        <v>32</v>
      </c>
      <c r="Q10" s="898"/>
      <c r="R10" s="898"/>
      <c r="U10" s="26" t="s">
        <v>12</v>
      </c>
      <c r="V10" s="899" t="s">
        <v>71</v>
      </c>
      <c r="W10" s="90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01"/>
      <c r="R11" s="901"/>
      <c r="U11" s="26" t="s">
        <v>28</v>
      </c>
      <c r="V11" s="880" t="s">
        <v>55</v>
      </c>
      <c r="W11" s="88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79" t="s">
        <v>72</v>
      </c>
      <c r="B12" s="879"/>
      <c r="C12" s="879"/>
      <c r="D12" s="879"/>
      <c r="E12" s="879"/>
      <c r="F12" s="879"/>
      <c r="G12" s="879"/>
      <c r="H12" s="879"/>
      <c r="I12" s="879"/>
      <c r="J12" s="879"/>
      <c r="K12" s="879"/>
      <c r="L12" s="879"/>
      <c r="M12" s="879"/>
      <c r="N12" s="73"/>
      <c r="P12" s="26" t="s">
        <v>30</v>
      </c>
      <c r="Q12" s="902"/>
      <c r="R12" s="902"/>
      <c r="S12" s="27"/>
      <c r="T12"/>
      <c r="U12" s="26" t="s">
        <v>46</v>
      </c>
      <c r="V12" s="903"/>
      <c r="W12" s="903"/>
      <c r="X12"/>
      <c r="AB12" s="57"/>
      <c r="AC12" s="57"/>
      <c r="AD12" s="57"/>
      <c r="AE12" s="57"/>
    </row>
    <row r="13" spans="1:32" s="17" customFormat="1" ht="23.25" customHeight="1" x14ac:dyDescent="0.2">
      <c r="A13" s="879" t="s">
        <v>73</v>
      </c>
      <c r="B13" s="879"/>
      <c r="C13" s="879"/>
      <c r="D13" s="879"/>
      <c r="E13" s="879"/>
      <c r="F13" s="879"/>
      <c r="G13" s="879"/>
      <c r="H13" s="879"/>
      <c r="I13" s="879"/>
      <c r="J13" s="879"/>
      <c r="K13" s="879"/>
      <c r="L13" s="879"/>
      <c r="M13" s="879"/>
      <c r="N13" s="73"/>
      <c r="O13" s="29"/>
      <c r="P13" s="29" t="s">
        <v>31</v>
      </c>
      <c r="Q13" s="880"/>
      <c r="R13" s="880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79" t="s">
        <v>74</v>
      </c>
      <c r="B14" s="879"/>
      <c r="C14" s="879"/>
      <c r="D14" s="879"/>
      <c r="E14" s="879"/>
      <c r="F14" s="879"/>
      <c r="G14" s="879"/>
      <c r="H14" s="879"/>
      <c r="I14" s="879"/>
      <c r="J14" s="879"/>
      <c r="K14" s="879"/>
      <c r="L14" s="879"/>
      <c r="M14" s="87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81" t="s">
        <v>75</v>
      </c>
      <c r="B15" s="881"/>
      <c r="C15" s="881"/>
      <c r="D15" s="881"/>
      <c r="E15" s="881"/>
      <c r="F15" s="881"/>
      <c r="G15" s="881"/>
      <c r="H15" s="881"/>
      <c r="I15" s="881"/>
      <c r="J15" s="881"/>
      <c r="K15" s="881"/>
      <c r="L15" s="881"/>
      <c r="M15" s="881"/>
      <c r="N15" s="74"/>
      <c r="O15"/>
      <c r="P15" s="882" t="s">
        <v>61</v>
      </c>
      <c r="Q15" s="882"/>
      <c r="R15" s="882"/>
      <c r="S15" s="882"/>
      <c r="T15" s="88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83"/>
      <c r="Q16" s="883"/>
      <c r="R16" s="883"/>
      <c r="S16" s="883"/>
      <c r="T16" s="8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65" t="s">
        <v>59</v>
      </c>
      <c r="B17" s="865" t="s">
        <v>49</v>
      </c>
      <c r="C17" s="886" t="s">
        <v>48</v>
      </c>
      <c r="D17" s="888" t="s">
        <v>50</v>
      </c>
      <c r="E17" s="889"/>
      <c r="F17" s="865" t="s">
        <v>21</v>
      </c>
      <c r="G17" s="865" t="s">
        <v>24</v>
      </c>
      <c r="H17" s="865" t="s">
        <v>22</v>
      </c>
      <c r="I17" s="865" t="s">
        <v>23</v>
      </c>
      <c r="J17" s="865" t="s">
        <v>16</v>
      </c>
      <c r="K17" s="865" t="s">
        <v>66</v>
      </c>
      <c r="L17" s="865" t="s">
        <v>64</v>
      </c>
      <c r="M17" s="865" t="s">
        <v>2</v>
      </c>
      <c r="N17" s="865" t="s">
        <v>63</v>
      </c>
      <c r="O17" s="865" t="s">
        <v>25</v>
      </c>
      <c r="P17" s="888" t="s">
        <v>17</v>
      </c>
      <c r="Q17" s="892"/>
      <c r="R17" s="892"/>
      <c r="S17" s="892"/>
      <c r="T17" s="889"/>
      <c r="U17" s="884" t="s">
        <v>56</v>
      </c>
      <c r="V17" s="885"/>
      <c r="W17" s="865" t="s">
        <v>6</v>
      </c>
      <c r="X17" s="865" t="s">
        <v>41</v>
      </c>
      <c r="Y17" s="867" t="s">
        <v>54</v>
      </c>
      <c r="Z17" s="869" t="s">
        <v>18</v>
      </c>
      <c r="AA17" s="871" t="s">
        <v>60</v>
      </c>
      <c r="AB17" s="871" t="s">
        <v>19</v>
      </c>
      <c r="AC17" s="871" t="s">
        <v>65</v>
      </c>
      <c r="AD17" s="873" t="s">
        <v>57</v>
      </c>
      <c r="AE17" s="874"/>
      <c r="AF17" s="875"/>
      <c r="AG17" s="77"/>
      <c r="BD17" s="76" t="s">
        <v>62</v>
      </c>
    </row>
    <row r="18" spans="1:68" ht="14.25" customHeight="1" x14ac:dyDescent="0.2">
      <c r="A18" s="866"/>
      <c r="B18" s="866"/>
      <c r="C18" s="887"/>
      <c r="D18" s="890"/>
      <c r="E18" s="891"/>
      <c r="F18" s="866"/>
      <c r="G18" s="866"/>
      <c r="H18" s="866"/>
      <c r="I18" s="866"/>
      <c r="J18" s="866"/>
      <c r="K18" s="866"/>
      <c r="L18" s="866"/>
      <c r="M18" s="866"/>
      <c r="N18" s="866"/>
      <c r="O18" s="866"/>
      <c r="P18" s="890"/>
      <c r="Q18" s="893"/>
      <c r="R18" s="893"/>
      <c r="S18" s="893"/>
      <c r="T18" s="891"/>
      <c r="U18" s="78" t="s">
        <v>44</v>
      </c>
      <c r="V18" s="78" t="s">
        <v>43</v>
      </c>
      <c r="W18" s="866"/>
      <c r="X18" s="866"/>
      <c r="Y18" s="868"/>
      <c r="Z18" s="870"/>
      <c r="AA18" s="872"/>
      <c r="AB18" s="872"/>
      <c r="AC18" s="872"/>
      <c r="AD18" s="876"/>
      <c r="AE18" s="877"/>
      <c r="AF18" s="878"/>
      <c r="AG18" s="77"/>
      <c r="BD18" s="76"/>
    </row>
    <row r="19" spans="1:68" ht="27.75" hidden="1" customHeight="1" x14ac:dyDescent="0.2">
      <c r="A19" s="616" t="s">
        <v>76</v>
      </c>
      <c r="B19" s="616"/>
      <c r="C19" s="616"/>
      <c r="D19" s="616"/>
      <c r="E19" s="616"/>
      <c r="F19" s="616"/>
      <c r="G19" s="616"/>
      <c r="H19" s="616"/>
      <c r="I19" s="616"/>
      <c r="J19" s="616"/>
      <c r="K19" s="616"/>
      <c r="L19" s="616"/>
      <c r="M19" s="616"/>
      <c r="N19" s="616"/>
      <c r="O19" s="616"/>
      <c r="P19" s="616"/>
      <c r="Q19" s="616"/>
      <c r="R19" s="616"/>
      <c r="S19" s="616"/>
      <c r="T19" s="616"/>
      <c r="U19" s="616"/>
      <c r="V19" s="616"/>
      <c r="W19" s="616"/>
      <c r="X19" s="616"/>
      <c r="Y19" s="616"/>
      <c r="Z19" s="616"/>
      <c r="AA19" s="52"/>
      <c r="AB19" s="52"/>
      <c r="AC19" s="52"/>
    </row>
    <row r="20" spans="1:68" ht="16.5" hidden="1" customHeight="1" x14ac:dyDescent="0.25">
      <c r="A20" s="611" t="s">
        <v>76</v>
      </c>
      <c r="B20" s="611"/>
      <c r="C20" s="611"/>
      <c r="D20" s="611"/>
      <c r="E20" s="611"/>
      <c r="F20" s="611"/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1"/>
      <c r="R20" s="611"/>
      <c r="S20" s="611"/>
      <c r="T20" s="611"/>
      <c r="U20" s="611"/>
      <c r="V20" s="611"/>
      <c r="W20" s="611"/>
      <c r="X20" s="611"/>
      <c r="Y20" s="611"/>
      <c r="Z20" s="611"/>
      <c r="AA20" s="62"/>
      <c r="AB20" s="62"/>
      <c r="AC20" s="62"/>
    </row>
    <row r="21" spans="1:68" ht="14.25" hidden="1" customHeight="1" x14ac:dyDescent="0.25">
      <c r="A21" s="595" t="s">
        <v>77</v>
      </c>
      <c r="B21" s="595"/>
      <c r="C21" s="595"/>
      <c r="D21" s="595"/>
      <c r="E21" s="595"/>
      <c r="F21" s="595"/>
      <c r="G21" s="595"/>
      <c r="H21" s="595"/>
      <c r="I21" s="595"/>
      <c r="J21" s="595"/>
      <c r="K21" s="595"/>
      <c r="L21" s="595"/>
      <c r="M21" s="595"/>
      <c r="N21" s="595"/>
      <c r="O21" s="595"/>
      <c r="P21" s="595"/>
      <c r="Q21" s="595"/>
      <c r="R21" s="595"/>
      <c r="S21" s="595"/>
      <c r="T21" s="595"/>
      <c r="U21" s="595"/>
      <c r="V21" s="595"/>
      <c r="W21" s="595"/>
      <c r="X21" s="595"/>
      <c r="Y21" s="595"/>
      <c r="Z21" s="595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596">
        <v>4680115886643</v>
      </c>
      <c r="E22" s="59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8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98"/>
      <c r="R22" s="598"/>
      <c r="S22" s="598"/>
      <c r="T22" s="59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596">
        <v>4680115889071</v>
      </c>
      <c r="E23" s="59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8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598"/>
      <c r="R23" s="598"/>
      <c r="S23" s="598"/>
      <c r="T23" s="59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03"/>
      <c r="B24" s="603"/>
      <c r="C24" s="603"/>
      <c r="D24" s="603"/>
      <c r="E24" s="603"/>
      <c r="F24" s="603"/>
      <c r="G24" s="603"/>
      <c r="H24" s="603"/>
      <c r="I24" s="603"/>
      <c r="J24" s="603"/>
      <c r="K24" s="603"/>
      <c r="L24" s="603"/>
      <c r="M24" s="603"/>
      <c r="N24" s="603"/>
      <c r="O24" s="604"/>
      <c r="P24" s="600" t="s">
        <v>40</v>
      </c>
      <c r="Q24" s="601"/>
      <c r="R24" s="601"/>
      <c r="S24" s="601"/>
      <c r="T24" s="601"/>
      <c r="U24" s="601"/>
      <c r="V24" s="602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03"/>
      <c r="B25" s="603"/>
      <c r="C25" s="603"/>
      <c r="D25" s="603"/>
      <c r="E25" s="603"/>
      <c r="F25" s="603"/>
      <c r="G25" s="603"/>
      <c r="H25" s="603"/>
      <c r="I25" s="603"/>
      <c r="J25" s="603"/>
      <c r="K25" s="603"/>
      <c r="L25" s="603"/>
      <c r="M25" s="603"/>
      <c r="N25" s="603"/>
      <c r="O25" s="604"/>
      <c r="P25" s="600" t="s">
        <v>40</v>
      </c>
      <c r="Q25" s="601"/>
      <c r="R25" s="601"/>
      <c r="S25" s="601"/>
      <c r="T25" s="601"/>
      <c r="U25" s="601"/>
      <c r="V25" s="602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595" t="s">
        <v>86</v>
      </c>
      <c r="B26" s="595"/>
      <c r="C26" s="595"/>
      <c r="D26" s="595"/>
      <c r="E26" s="595"/>
      <c r="F26" s="595"/>
      <c r="G26" s="595"/>
      <c r="H26" s="595"/>
      <c r="I26" s="595"/>
      <c r="J26" s="595"/>
      <c r="K26" s="595"/>
      <c r="L26" s="595"/>
      <c r="M26" s="595"/>
      <c r="N26" s="595"/>
      <c r="O26" s="595"/>
      <c r="P26" s="595"/>
      <c r="Q26" s="595"/>
      <c r="R26" s="595"/>
      <c r="S26" s="595"/>
      <c r="T26" s="595"/>
      <c r="U26" s="595"/>
      <c r="V26" s="595"/>
      <c r="W26" s="595"/>
      <c r="X26" s="595"/>
      <c r="Y26" s="595"/>
      <c r="Z26" s="595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596">
        <v>4680115885912</v>
      </c>
      <c r="E27" s="59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8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98"/>
      <c r="R27" s="598"/>
      <c r="S27" s="598"/>
      <c r="T27" s="599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596">
        <v>4607091388237</v>
      </c>
      <c r="E28" s="59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86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98"/>
      <c r="R28" s="598"/>
      <c r="S28" s="598"/>
      <c r="T28" s="599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596">
        <v>4680115887350</v>
      </c>
      <c r="E29" s="59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86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98"/>
      <c r="R29" s="598"/>
      <c r="S29" s="598"/>
      <c r="T29" s="599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596">
        <v>4680115885905</v>
      </c>
      <c r="E30" s="59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8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98"/>
      <c r="R30" s="598"/>
      <c r="S30" s="598"/>
      <c r="T30" s="599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596">
        <v>4680115887657</v>
      </c>
      <c r="E31" s="59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856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98"/>
      <c r="R31" s="598"/>
      <c r="S31" s="598"/>
      <c r="T31" s="599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596">
        <v>4680115887619</v>
      </c>
      <c r="E32" s="596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8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98"/>
      <c r="R32" s="598"/>
      <c r="S32" s="598"/>
      <c r="T32" s="599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03"/>
      <c r="B33" s="603"/>
      <c r="C33" s="603"/>
      <c r="D33" s="603"/>
      <c r="E33" s="603"/>
      <c r="F33" s="603"/>
      <c r="G33" s="603"/>
      <c r="H33" s="603"/>
      <c r="I33" s="603"/>
      <c r="J33" s="603"/>
      <c r="K33" s="603"/>
      <c r="L33" s="603"/>
      <c r="M33" s="603"/>
      <c r="N33" s="603"/>
      <c r="O33" s="604"/>
      <c r="P33" s="600" t="s">
        <v>40</v>
      </c>
      <c r="Q33" s="601"/>
      <c r="R33" s="601"/>
      <c r="S33" s="601"/>
      <c r="T33" s="601"/>
      <c r="U33" s="601"/>
      <c r="V33" s="602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03"/>
      <c r="B34" s="603"/>
      <c r="C34" s="603"/>
      <c r="D34" s="603"/>
      <c r="E34" s="603"/>
      <c r="F34" s="603"/>
      <c r="G34" s="603"/>
      <c r="H34" s="603"/>
      <c r="I34" s="603"/>
      <c r="J34" s="603"/>
      <c r="K34" s="603"/>
      <c r="L34" s="603"/>
      <c r="M34" s="603"/>
      <c r="N34" s="603"/>
      <c r="O34" s="604"/>
      <c r="P34" s="600" t="s">
        <v>40</v>
      </c>
      <c r="Q34" s="601"/>
      <c r="R34" s="601"/>
      <c r="S34" s="601"/>
      <c r="T34" s="601"/>
      <c r="U34" s="601"/>
      <c r="V34" s="602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595" t="s">
        <v>107</v>
      </c>
      <c r="B35" s="595"/>
      <c r="C35" s="595"/>
      <c r="D35" s="595"/>
      <c r="E35" s="595"/>
      <c r="F35" s="595"/>
      <c r="G35" s="595"/>
      <c r="H35" s="595"/>
      <c r="I35" s="595"/>
      <c r="J35" s="595"/>
      <c r="K35" s="595"/>
      <c r="L35" s="595"/>
      <c r="M35" s="595"/>
      <c r="N35" s="595"/>
      <c r="O35" s="595"/>
      <c r="P35" s="595"/>
      <c r="Q35" s="595"/>
      <c r="R35" s="595"/>
      <c r="S35" s="595"/>
      <c r="T35" s="595"/>
      <c r="U35" s="595"/>
      <c r="V35" s="595"/>
      <c r="W35" s="595"/>
      <c r="X35" s="595"/>
      <c r="Y35" s="595"/>
      <c r="Z35" s="595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596">
        <v>4607091388503</v>
      </c>
      <c r="E36" s="596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85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98"/>
      <c r="R36" s="598"/>
      <c r="S36" s="598"/>
      <c r="T36" s="599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03"/>
      <c r="B37" s="603"/>
      <c r="C37" s="603"/>
      <c r="D37" s="603"/>
      <c r="E37" s="603"/>
      <c r="F37" s="603"/>
      <c r="G37" s="603"/>
      <c r="H37" s="603"/>
      <c r="I37" s="603"/>
      <c r="J37" s="603"/>
      <c r="K37" s="603"/>
      <c r="L37" s="603"/>
      <c r="M37" s="603"/>
      <c r="N37" s="603"/>
      <c r="O37" s="604"/>
      <c r="P37" s="600" t="s">
        <v>40</v>
      </c>
      <c r="Q37" s="601"/>
      <c r="R37" s="601"/>
      <c r="S37" s="601"/>
      <c r="T37" s="601"/>
      <c r="U37" s="601"/>
      <c r="V37" s="602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03"/>
      <c r="B38" s="603"/>
      <c r="C38" s="603"/>
      <c r="D38" s="603"/>
      <c r="E38" s="603"/>
      <c r="F38" s="603"/>
      <c r="G38" s="603"/>
      <c r="H38" s="603"/>
      <c r="I38" s="603"/>
      <c r="J38" s="603"/>
      <c r="K38" s="603"/>
      <c r="L38" s="603"/>
      <c r="M38" s="603"/>
      <c r="N38" s="603"/>
      <c r="O38" s="604"/>
      <c r="P38" s="600" t="s">
        <v>40</v>
      </c>
      <c r="Q38" s="601"/>
      <c r="R38" s="601"/>
      <c r="S38" s="601"/>
      <c r="T38" s="601"/>
      <c r="U38" s="601"/>
      <c r="V38" s="602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16" t="s">
        <v>45</v>
      </c>
      <c r="B39" s="616"/>
      <c r="C39" s="616"/>
      <c r="D39" s="616"/>
      <c r="E39" s="616"/>
      <c r="F39" s="616"/>
      <c r="G39" s="616"/>
      <c r="H39" s="616"/>
      <c r="I39" s="616"/>
      <c r="J39" s="616"/>
      <c r="K39" s="616"/>
      <c r="L39" s="616"/>
      <c r="M39" s="616"/>
      <c r="N39" s="616"/>
      <c r="O39" s="616"/>
      <c r="P39" s="616"/>
      <c r="Q39" s="616"/>
      <c r="R39" s="616"/>
      <c r="S39" s="616"/>
      <c r="T39" s="616"/>
      <c r="U39" s="616"/>
      <c r="V39" s="616"/>
      <c r="W39" s="616"/>
      <c r="X39" s="616"/>
      <c r="Y39" s="616"/>
      <c r="Z39" s="616"/>
      <c r="AA39" s="52"/>
      <c r="AB39" s="52"/>
      <c r="AC39" s="52"/>
    </row>
    <row r="40" spans="1:68" ht="16.5" hidden="1" customHeight="1" x14ac:dyDescent="0.25">
      <c r="A40" s="611" t="s">
        <v>113</v>
      </c>
      <c r="B40" s="611"/>
      <c r="C40" s="611"/>
      <c r="D40" s="611"/>
      <c r="E40" s="611"/>
      <c r="F40" s="611"/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1"/>
      <c r="R40" s="611"/>
      <c r="S40" s="611"/>
      <c r="T40" s="611"/>
      <c r="U40" s="611"/>
      <c r="V40" s="611"/>
      <c r="W40" s="611"/>
      <c r="X40" s="611"/>
      <c r="Y40" s="611"/>
      <c r="Z40" s="611"/>
      <c r="AA40" s="62"/>
      <c r="AB40" s="62"/>
      <c r="AC40" s="62"/>
    </row>
    <row r="41" spans="1:68" ht="14.25" hidden="1" customHeight="1" x14ac:dyDescent="0.25">
      <c r="A41" s="595" t="s">
        <v>86</v>
      </c>
      <c r="B41" s="595"/>
      <c r="C41" s="595"/>
      <c r="D41" s="595"/>
      <c r="E41" s="595"/>
      <c r="F41" s="595"/>
      <c r="G41" s="595"/>
      <c r="H41" s="595"/>
      <c r="I41" s="595"/>
      <c r="J41" s="595"/>
      <c r="K41" s="595"/>
      <c r="L41" s="595"/>
      <c r="M41" s="595"/>
      <c r="N41" s="595"/>
      <c r="O41" s="595"/>
      <c r="P41" s="595"/>
      <c r="Q41" s="595"/>
      <c r="R41" s="595"/>
      <c r="S41" s="595"/>
      <c r="T41" s="595"/>
      <c r="U41" s="595"/>
      <c r="V41" s="595"/>
      <c r="W41" s="595"/>
      <c r="X41" s="595"/>
      <c r="Y41" s="595"/>
      <c r="Z41" s="595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596">
        <v>4680115888463</v>
      </c>
      <c r="E42" s="59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85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598"/>
      <c r="R42" s="598"/>
      <c r="S42" s="598"/>
      <c r="T42" s="59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596">
        <v>4680115888494</v>
      </c>
      <c r="E43" s="59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85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598"/>
      <c r="R43" s="598"/>
      <c r="S43" s="598"/>
      <c r="T43" s="59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596">
        <v>4680115888272</v>
      </c>
      <c r="E44" s="59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85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598"/>
      <c r="R44" s="598"/>
      <c r="S44" s="598"/>
      <c r="T44" s="599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596">
        <v>4680115888364</v>
      </c>
      <c r="E45" s="59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8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598"/>
      <c r="R45" s="598"/>
      <c r="S45" s="598"/>
      <c r="T45" s="599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03"/>
      <c r="B46" s="603"/>
      <c r="C46" s="603"/>
      <c r="D46" s="603"/>
      <c r="E46" s="603"/>
      <c r="F46" s="603"/>
      <c r="G46" s="603"/>
      <c r="H46" s="603"/>
      <c r="I46" s="603"/>
      <c r="J46" s="603"/>
      <c r="K46" s="603"/>
      <c r="L46" s="603"/>
      <c r="M46" s="603"/>
      <c r="N46" s="603"/>
      <c r="O46" s="604"/>
      <c r="P46" s="600" t="s">
        <v>40</v>
      </c>
      <c r="Q46" s="601"/>
      <c r="R46" s="601"/>
      <c r="S46" s="601"/>
      <c r="T46" s="601"/>
      <c r="U46" s="601"/>
      <c r="V46" s="602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03"/>
      <c r="B47" s="603"/>
      <c r="C47" s="603"/>
      <c r="D47" s="603"/>
      <c r="E47" s="603"/>
      <c r="F47" s="603"/>
      <c r="G47" s="603"/>
      <c r="H47" s="603"/>
      <c r="I47" s="603"/>
      <c r="J47" s="603"/>
      <c r="K47" s="603"/>
      <c r="L47" s="603"/>
      <c r="M47" s="603"/>
      <c r="N47" s="603"/>
      <c r="O47" s="604"/>
      <c r="P47" s="600" t="s">
        <v>40</v>
      </c>
      <c r="Q47" s="601"/>
      <c r="R47" s="601"/>
      <c r="S47" s="601"/>
      <c r="T47" s="601"/>
      <c r="U47" s="601"/>
      <c r="V47" s="602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16" t="s">
        <v>126</v>
      </c>
      <c r="B48" s="616"/>
      <c r="C48" s="616"/>
      <c r="D48" s="616"/>
      <c r="E48" s="616"/>
      <c r="F48" s="616"/>
      <c r="G48" s="616"/>
      <c r="H48" s="616"/>
      <c r="I48" s="616"/>
      <c r="J48" s="616"/>
      <c r="K48" s="616"/>
      <c r="L48" s="616"/>
      <c r="M48" s="616"/>
      <c r="N48" s="616"/>
      <c r="O48" s="616"/>
      <c r="P48" s="616"/>
      <c r="Q48" s="616"/>
      <c r="R48" s="616"/>
      <c r="S48" s="616"/>
      <c r="T48" s="616"/>
      <c r="U48" s="616"/>
      <c r="V48" s="616"/>
      <c r="W48" s="616"/>
      <c r="X48" s="616"/>
      <c r="Y48" s="616"/>
      <c r="Z48" s="616"/>
      <c r="AA48" s="52"/>
      <c r="AB48" s="52"/>
      <c r="AC48" s="52"/>
    </row>
    <row r="49" spans="1:68" ht="16.5" hidden="1" customHeight="1" x14ac:dyDescent="0.25">
      <c r="A49" s="611" t="s">
        <v>127</v>
      </c>
      <c r="B49" s="611"/>
      <c r="C49" s="611"/>
      <c r="D49" s="611"/>
      <c r="E49" s="611"/>
      <c r="F49" s="611"/>
      <c r="G49" s="611"/>
      <c r="H49" s="611"/>
      <c r="I49" s="611"/>
      <c r="J49" s="611"/>
      <c r="K49" s="611"/>
      <c r="L49" s="611"/>
      <c r="M49" s="611"/>
      <c r="N49" s="611"/>
      <c r="O49" s="611"/>
      <c r="P49" s="611"/>
      <c r="Q49" s="611"/>
      <c r="R49" s="611"/>
      <c r="S49" s="611"/>
      <c r="T49" s="611"/>
      <c r="U49" s="611"/>
      <c r="V49" s="611"/>
      <c r="W49" s="611"/>
      <c r="X49" s="611"/>
      <c r="Y49" s="611"/>
      <c r="Z49" s="611"/>
      <c r="AA49" s="62"/>
      <c r="AB49" s="62"/>
      <c r="AC49" s="62"/>
    </row>
    <row r="50" spans="1:68" ht="14.25" hidden="1" customHeight="1" x14ac:dyDescent="0.25">
      <c r="A50" s="595" t="s">
        <v>128</v>
      </c>
      <c r="B50" s="595"/>
      <c r="C50" s="595"/>
      <c r="D50" s="595"/>
      <c r="E50" s="595"/>
      <c r="F50" s="595"/>
      <c r="G50" s="595"/>
      <c r="H50" s="595"/>
      <c r="I50" s="595"/>
      <c r="J50" s="595"/>
      <c r="K50" s="595"/>
      <c r="L50" s="595"/>
      <c r="M50" s="595"/>
      <c r="N50" s="595"/>
      <c r="O50" s="595"/>
      <c r="P50" s="595"/>
      <c r="Q50" s="595"/>
      <c r="R50" s="595"/>
      <c r="S50" s="595"/>
      <c r="T50" s="595"/>
      <c r="U50" s="595"/>
      <c r="V50" s="595"/>
      <c r="W50" s="595"/>
      <c r="X50" s="595"/>
      <c r="Y50" s="595"/>
      <c r="Z50" s="595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596">
        <v>4607091385670</v>
      </c>
      <c r="E51" s="59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84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598"/>
      <c r="R51" s="598"/>
      <c r="S51" s="598"/>
      <c r="T51" s="599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596">
        <v>4680115887725</v>
      </c>
      <c r="E52" s="59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8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598"/>
      <c r="R52" s="598"/>
      <c r="S52" s="598"/>
      <c r="T52" s="59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138</v>
      </c>
      <c r="B53" s="60" t="s">
        <v>139</v>
      </c>
      <c r="C53" s="34">
        <v>4301011382</v>
      </c>
      <c r="D53" s="596">
        <v>4607091385687</v>
      </c>
      <c r="E53" s="59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85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598"/>
      <c r="R53" s="598"/>
      <c r="S53" s="598"/>
      <c r="T53" s="599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596">
        <v>4680115882539</v>
      </c>
      <c r="E54" s="59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85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598"/>
      <c r="R54" s="598"/>
      <c r="S54" s="598"/>
      <c r="T54" s="59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03"/>
      <c r="B55" s="603"/>
      <c r="C55" s="603"/>
      <c r="D55" s="603"/>
      <c r="E55" s="603"/>
      <c r="F55" s="603"/>
      <c r="G55" s="603"/>
      <c r="H55" s="603"/>
      <c r="I55" s="603"/>
      <c r="J55" s="603"/>
      <c r="K55" s="603"/>
      <c r="L55" s="603"/>
      <c r="M55" s="603"/>
      <c r="N55" s="603"/>
      <c r="O55" s="604"/>
      <c r="P55" s="600" t="s">
        <v>40</v>
      </c>
      <c r="Q55" s="601"/>
      <c r="R55" s="601"/>
      <c r="S55" s="601"/>
      <c r="T55" s="601"/>
      <c r="U55" s="601"/>
      <c r="V55" s="602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03"/>
      <c r="B56" s="603"/>
      <c r="C56" s="603"/>
      <c r="D56" s="603"/>
      <c r="E56" s="603"/>
      <c r="F56" s="603"/>
      <c r="G56" s="603"/>
      <c r="H56" s="603"/>
      <c r="I56" s="603"/>
      <c r="J56" s="603"/>
      <c r="K56" s="603"/>
      <c r="L56" s="603"/>
      <c r="M56" s="603"/>
      <c r="N56" s="603"/>
      <c r="O56" s="604"/>
      <c r="P56" s="600" t="s">
        <v>40</v>
      </c>
      <c r="Q56" s="601"/>
      <c r="R56" s="601"/>
      <c r="S56" s="601"/>
      <c r="T56" s="601"/>
      <c r="U56" s="601"/>
      <c r="V56" s="602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11" t="s">
        <v>143</v>
      </c>
      <c r="B57" s="611"/>
      <c r="C57" s="611"/>
      <c r="D57" s="611"/>
      <c r="E57" s="611"/>
      <c r="F57" s="611"/>
      <c r="G57" s="611"/>
      <c r="H57" s="611"/>
      <c r="I57" s="611"/>
      <c r="J57" s="611"/>
      <c r="K57" s="611"/>
      <c r="L57" s="611"/>
      <c r="M57" s="611"/>
      <c r="N57" s="611"/>
      <c r="O57" s="611"/>
      <c r="P57" s="611"/>
      <c r="Q57" s="611"/>
      <c r="R57" s="611"/>
      <c r="S57" s="611"/>
      <c r="T57" s="611"/>
      <c r="U57" s="611"/>
      <c r="V57" s="611"/>
      <c r="W57" s="611"/>
      <c r="X57" s="611"/>
      <c r="Y57" s="611"/>
      <c r="Z57" s="611"/>
      <c r="AA57" s="62"/>
      <c r="AB57" s="62"/>
      <c r="AC57" s="62"/>
    </row>
    <row r="58" spans="1:68" ht="14.25" hidden="1" customHeight="1" x14ac:dyDescent="0.25">
      <c r="A58" s="595" t="s">
        <v>128</v>
      </c>
      <c r="B58" s="595"/>
      <c r="C58" s="595"/>
      <c r="D58" s="595"/>
      <c r="E58" s="595"/>
      <c r="F58" s="595"/>
      <c r="G58" s="595"/>
      <c r="H58" s="595"/>
      <c r="I58" s="595"/>
      <c r="J58" s="595"/>
      <c r="K58" s="595"/>
      <c r="L58" s="595"/>
      <c r="M58" s="595"/>
      <c r="N58" s="595"/>
      <c r="O58" s="595"/>
      <c r="P58" s="595"/>
      <c r="Q58" s="595"/>
      <c r="R58" s="595"/>
      <c r="S58" s="595"/>
      <c r="T58" s="595"/>
      <c r="U58" s="595"/>
      <c r="V58" s="595"/>
      <c r="W58" s="595"/>
      <c r="X58" s="595"/>
      <c r="Y58" s="595"/>
      <c r="Z58" s="595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596">
        <v>4680115885882</v>
      </c>
      <c r="E59" s="59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84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598"/>
      <c r="R59" s="598"/>
      <c r="S59" s="598"/>
      <c r="T59" s="59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596">
        <v>4680115885882</v>
      </c>
      <c r="E60" s="59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8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598"/>
      <c r="R60" s="598"/>
      <c r="S60" s="598"/>
      <c r="T60" s="59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hidden="1" customHeight="1" x14ac:dyDescent="0.25">
      <c r="A61" s="60" t="s">
        <v>149</v>
      </c>
      <c r="B61" s="60" t="s">
        <v>150</v>
      </c>
      <c r="C61" s="34">
        <v>4301011816</v>
      </c>
      <c r="D61" s="596">
        <v>4680115881426</v>
      </c>
      <c r="E61" s="59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8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598"/>
      <c r="R61" s="598"/>
      <c r="S61" s="598"/>
      <c r="T61" s="59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596">
        <v>4680115880283</v>
      </c>
      <c r="E62" s="59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8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598"/>
      <c r="R62" s="598"/>
      <c r="S62" s="598"/>
      <c r="T62" s="59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596">
        <v>4680115881525</v>
      </c>
      <c r="E63" s="596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8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598"/>
      <c r="R63" s="598"/>
      <c r="S63" s="598"/>
      <c r="T63" s="59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596">
        <v>4680115885899</v>
      </c>
      <c r="E64" s="596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8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598"/>
      <c r="R64" s="598"/>
      <c r="S64" s="598"/>
      <c r="T64" s="59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hidden="1" customHeight="1" x14ac:dyDescent="0.25">
      <c r="A65" s="60" t="s">
        <v>160</v>
      </c>
      <c r="B65" s="60" t="s">
        <v>161</v>
      </c>
      <c r="C65" s="34">
        <v>4301011801</v>
      </c>
      <c r="D65" s="596">
        <v>4680115881419</v>
      </c>
      <c r="E65" s="596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598"/>
      <c r="R65" s="598"/>
      <c r="S65" s="598"/>
      <c r="T65" s="59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hidden="1" x14ac:dyDescent="0.2">
      <c r="A66" s="603"/>
      <c r="B66" s="603"/>
      <c r="C66" s="603"/>
      <c r="D66" s="603"/>
      <c r="E66" s="603"/>
      <c r="F66" s="603"/>
      <c r="G66" s="603"/>
      <c r="H66" s="603"/>
      <c r="I66" s="603"/>
      <c r="J66" s="603"/>
      <c r="K66" s="603"/>
      <c r="L66" s="603"/>
      <c r="M66" s="603"/>
      <c r="N66" s="603"/>
      <c r="O66" s="604"/>
      <c r="P66" s="600" t="s">
        <v>40</v>
      </c>
      <c r="Q66" s="601"/>
      <c r="R66" s="601"/>
      <c r="S66" s="601"/>
      <c r="T66" s="601"/>
      <c r="U66" s="601"/>
      <c r="V66" s="602"/>
      <c r="W66" s="40" t="s">
        <v>39</v>
      </c>
      <c r="X66" s="41">
        <f>IFERROR(X59/H59,"0")+IFERROR(X60/H60,"0")+IFERROR(X61/H61,"0")+IFERROR(X62/H62,"0")+IFERROR(X63/H63,"0")+IFERROR(X64/H64,"0")+IFERROR(X65/H65,"0")</f>
        <v>0</v>
      </c>
      <c r="Y66" s="41">
        <f>IFERROR(Y59/H59,"0")+IFERROR(Y60/H60,"0")+IFERROR(Y61/H61,"0")+IFERROR(Y62/H62,"0")+IFERROR(Y63/H63,"0")+IFERROR(Y64/H64,"0")+IFERROR(Y65/H65,"0")</f>
        <v>0</v>
      </c>
      <c r="Z66" s="41">
        <f>IFERROR(IF(Z59="",0,Z59),"0")+IFERROR(IF(Z60="",0,Z60),"0")+IFERROR(IF(Z61="",0,Z61),"0")+IFERROR(IF(Z62="",0,Z62),"0")+IFERROR(IF(Z63="",0,Z63),"0")+IFERROR(IF(Z64="",0,Z64),"0")+IFERROR(IF(Z65="",0,Z65),"0")</f>
        <v>0</v>
      </c>
      <c r="AA66" s="64"/>
      <c r="AB66" s="64"/>
      <c r="AC66" s="64"/>
    </row>
    <row r="67" spans="1:68" hidden="1" x14ac:dyDescent="0.2">
      <c r="A67" s="603"/>
      <c r="B67" s="603"/>
      <c r="C67" s="603"/>
      <c r="D67" s="603"/>
      <c r="E67" s="603"/>
      <c r="F67" s="603"/>
      <c r="G67" s="603"/>
      <c r="H67" s="603"/>
      <c r="I67" s="603"/>
      <c r="J67" s="603"/>
      <c r="K67" s="603"/>
      <c r="L67" s="603"/>
      <c r="M67" s="603"/>
      <c r="N67" s="603"/>
      <c r="O67" s="604"/>
      <c r="P67" s="600" t="s">
        <v>40</v>
      </c>
      <c r="Q67" s="601"/>
      <c r="R67" s="601"/>
      <c r="S67" s="601"/>
      <c r="T67" s="601"/>
      <c r="U67" s="601"/>
      <c r="V67" s="602"/>
      <c r="W67" s="40" t="s">
        <v>0</v>
      </c>
      <c r="X67" s="41">
        <f>IFERROR(SUM(X59:X65),"0")</f>
        <v>0</v>
      </c>
      <c r="Y67" s="41">
        <f>IFERROR(SUM(Y59:Y65),"0")</f>
        <v>0</v>
      </c>
      <c r="Z67" s="40"/>
      <c r="AA67" s="64"/>
      <c r="AB67" s="64"/>
      <c r="AC67" s="64"/>
    </row>
    <row r="68" spans="1:68" ht="14.25" hidden="1" customHeight="1" x14ac:dyDescent="0.25">
      <c r="A68" s="595" t="s">
        <v>163</v>
      </c>
      <c r="B68" s="595"/>
      <c r="C68" s="595"/>
      <c r="D68" s="595"/>
      <c r="E68" s="595"/>
      <c r="F68" s="595"/>
      <c r="G68" s="595"/>
      <c r="H68" s="595"/>
      <c r="I68" s="595"/>
      <c r="J68" s="595"/>
      <c r="K68" s="595"/>
      <c r="L68" s="595"/>
      <c r="M68" s="595"/>
      <c r="N68" s="595"/>
      <c r="O68" s="595"/>
      <c r="P68" s="595"/>
      <c r="Q68" s="595"/>
      <c r="R68" s="595"/>
      <c r="S68" s="595"/>
      <c r="T68" s="595"/>
      <c r="U68" s="595"/>
      <c r="V68" s="595"/>
      <c r="W68" s="595"/>
      <c r="X68" s="595"/>
      <c r="Y68" s="595"/>
      <c r="Z68" s="595"/>
      <c r="AA68" s="63"/>
      <c r="AB68" s="63"/>
      <c r="AC68" s="63"/>
    </row>
    <row r="69" spans="1:68" ht="16.5" hidden="1" customHeight="1" x14ac:dyDescent="0.25">
      <c r="A69" s="60" t="s">
        <v>164</v>
      </c>
      <c r="B69" s="60" t="s">
        <v>165</v>
      </c>
      <c r="C69" s="34">
        <v>4301020298</v>
      </c>
      <c r="D69" s="596">
        <v>4680115881440</v>
      </c>
      <c r="E69" s="596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83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598"/>
      <c r="R69" s="598"/>
      <c r="S69" s="598"/>
      <c r="T69" s="599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596">
        <v>4680115885950</v>
      </c>
      <c r="E70" s="596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83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598"/>
      <c r="R70" s="598"/>
      <c r="S70" s="598"/>
      <c r="T70" s="599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596">
        <v>4680115887688</v>
      </c>
      <c r="E71" s="596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84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598"/>
      <c r="R71" s="598"/>
      <c r="S71" s="598"/>
      <c r="T71" s="59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172</v>
      </c>
      <c r="B72" s="60" t="s">
        <v>173</v>
      </c>
      <c r="C72" s="34">
        <v>4301020296</v>
      </c>
      <c r="D72" s="596">
        <v>4680115881433</v>
      </c>
      <c r="E72" s="596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83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598"/>
      <c r="R72" s="598"/>
      <c r="S72" s="598"/>
      <c r="T72" s="59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idden="1" x14ac:dyDescent="0.2">
      <c r="A73" s="603"/>
      <c r="B73" s="603"/>
      <c r="C73" s="603"/>
      <c r="D73" s="603"/>
      <c r="E73" s="603"/>
      <c r="F73" s="603"/>
      <c r="G73" s="603"/>
      <c r="H73" s="603"/>
      <c r="I73" s="603"/>
      <c r="J73" s="603"/>
      <c r="K73" s="603"/>
      <c r="L73" s="603"/>
      <c r="M73" s="603"/>
      <c r="N73" s="603"/>
      <c r="O73" s="604"/>
      <c r="P73" s="600" t="s">
        <v>40</v>
      </c>
      <c r="Q73" s="601"/>
      <c r="R73" s="601"/>
      <c r="S73" s="601"/>
      <c r="T73" s="601"/>
      <c r="U73" s="601"/>
      <c r="V73" s="602"/>
      <c r="W73" s="40" t="s">
        <v>39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603"/>
      <c r="B74" s="603"/>
      <c r="C74" s="603"/>
      <c r="D74" s="603"/>
      <c r="E74" s="603"/>
      <c r="F74" s="603"/>
      <c r="G74" s="603"/>
      <c r="H74" s="603"/>
      <c r="I74" s="603"/>
      <c r="J74" s="603"/>
      <c r="K74" s="603"/>
      <c r="L74" s="603"/>
      <c r="M74" s="603"/>
      <c r="N74" s="603"/>
      <c r="O74" s="604"/>
      <c r="P74" s="600" t="s">
        <v>40</v>
      </c>
      <c r="Q74" s="601"/>
      <c r="R74" s="601"/>
      <c r="S74" s="601"/>
      <c r="T74" s="601"/>
      <c r="U74" s="601"/>
      <c r="V74" s="602"/>
      <c r="W74" s="40" t="s">
        <v>0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hidden="1" customHeight="1" x14ac:dyDescent="0.25">
      <c r="A75" s="595" t="s">
        <v>86</v>
      </c>
      <c r="B75" s="595"/>
      <c r="C75" s="595"/>
      <c r="D75" s="595"/>
      <c r="E75" s="595"/>
      <c r="F75" s="595"/>
      <c r="G75" s="595"/>
      <c r="H75" s="595"/>
      <c r="I75" s="595"/>
      <c r="J75" s="595"/>
      <c r="K75" s="595"/>
      <c r="L75" s="595"/>
      <c r="M75" s="595"/>
      <c r="N75" s="595"/>
      <c r="O75" s="595"/>
      <c r="P75" s="595"/>
      <c r="Q75" s="595"/>
      <c r="R75" s="595"/>
      <c r="S75" s="595"/>
      <c r="T75" s="595"/>
      <c r="U75" s="595"/>
      <c r="V75" s="595"/>
      <c r="W75" s="595"/>
      <c r="X75" s="595"/>
      <c r="Y75" s="595"/>
      <c r="Z75" s="595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596">
        <v>4680115884311</v>
      </c>
      <c r="E76" s="596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83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598"/>
      <c r="R76" s="598"/>
      <c r="S76" s="598"/>
      <c r="T76" s="599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596">
        <v>4680115884403</v>
      </c>
      <c r="E77" s="596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3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598"/>
      <c r="R77" s="598"/>
      <c r="S77" s="598"/>
      <c r="T77" s="59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03"/>
      <c r="B78" s="603"/>
      <c r="C78" s="603"/>
      <c r="D78" s="603"/>
      <c r="E78" s="603"/>
      <c r="F78" s="603"/>
      <c r="G78" s="603"/>
      <c r="H78" s="603"/>
      <c r="I78" s="603"/>
      <c r="J78" s="603"/>
      <c r="K78" s="603"/>
      <c r="L78" s="603"/>
      <c r="M78" s="603"/>
      <c r="N78" s="603"/>
      <c r="O78" s="604"/>
      <c r="P78" s="600" t="s">
        <v>40</v>
      </c>
      <c r="Q78" s="601"/>
      <c r="R78" s="601"/>
      <c r="S78" s="601"/>
      <c r="T78" s="601"/>
      <c r="U78" s="601"/>
      <c r="V78" s="602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03"/>
      <c r="B79" s="603"/>
      <c r="C79" s="603"/>
      <c r="D79" s="603"/>
      <c r="E79" s="603"/>
      <c r="F79" s="603"/>
      <c r="G79" s="603"/>
      <c r="H79" s="603"/>
      <c r="I79" s="603"/>
      <c r="J79" s="603"/>
      <c r="K79" s="603"/>
      <c r="L79" s="603"/>
      <c r="M79" s="603"/>
      <c r="N79" s="603"/>
      <c r="O79" s="604"/>
      <c r="P79" s="600" t="s">
        <v>40</v>
      </c>
      <c r="Q79" s="601"/>
      <c r="R79" s="601"/>
      <c r="S79" s="601"/>
      <c r="T79" s="601"/>
      <c r="U79" s="601"/>
      <c r="V79" s="602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595" t="s">
        <v>180</v>
      </c>
      <c r="B80" s="595"/>
      <c r="C80" s="595"/>
      <c r="D80" s="595"/>
      <c r="E80" s="595"/>
      <c r="F80" s="595"/>
      <c r="G80" s="595"/>
      <c r="H80" s="595"/>
      <c r="I80" s="595"/>
      <c r="J80" s="595"/>
      <c r="K80" s="595"/>
      <c r="L80" s="595"/>
      <c r="M80" s="595"/>
      <c r="N80" s="595"/>
      <c r="O80" s="595"/>
      <c r="P80" s="595"/>
      <c r="Q80" s="595"/>
      <c r="R80" s="595"/>
      <c r="S80" s="595"/>
      <c r="T80" s="595"/>
      <c r="U80" s="595"/>
      <c r="V80" s="595"/>
      <c r="W80" s="595"/>
      <c r="X80" s="595"/>
      <c r="Y80" s="595"/>
      <c r="Z80" s="595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596">
        <v>4680115881532</v>
      </c>
      <c r="E81" s="596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8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598"/>
      <c r="R81" s="598"/>
      <c r="S81" s="598"/>
      <c r="T81" s="599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596">
        <v>4680115881464</v>
      </c>
      <c r="E82" s="596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83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598"/>
      <c r="R82" s="598"/>
      <c r="S82" s="598"/>
      <c r="T82" s="59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03"/>
      <c r="B83" s="603"/>
      <c r="C83" s="603"/>
      <c r="D83" s="603"/>
      <c r="E83" s="603"/>
      <c r="F83" s="603"/>
      <c r="G83" s="603"/>
      <c r="H83" s="603"/>
      <c r="I83" s="603"/>
      <c r="J83" s="603"/>
      <c r="K83" s="603"/>
      <c r="L83" s="603"/>
      <c r="M83" s="603"/>
      <c r="N83" s="603"/>
      <c r="O83" s="604"/>
      <c r="P83" s="600" t="s">
        <v>40</v>
      </c>
      <c r="Q83" s="601"/>
      <c r="R83" s="601"/>
      <c r="S83" s="601"/>
      <c r="T83" s="601"/>
      <c r="U83" s="601"/>
      <c r="V83" s="602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03"/>
      <c r="B84" s="603"/>
      <c r="C84" s="603"/>
      <c r="D84" s="603"/>
      <c r="E84" s="603"/>
      <c r="F84" s="603"/>
      <c r="G84" s="603"/>
      <c r="H84" s="603"/>
      <c r="I84" s="603"/>
      <c r="J84" s="603"/>
      <c r="K84" s="603"/>
      <c r="L84" s="603"/>
      <c r="M84" s="603"/>
      <c r="N84" s="603"/>
      <c r="O84" s="604"/>
      <c r="P84" s="600" t="s">
        <v>40</v>
      </c>
      <c r="Q84" s="601"/>
      <c r="R84" s="601"/>
      <c r="S84" s="601"/>
      <c r="T84" s="601"/>
      <c r="U84" s="601"/>
      <c r="V84" s="602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11" t="s">
        <v>187</v>
      </c>
      <c r="B85" s="611"/>
      <c r="C85" s="611"/>
      <c r="D85" s="611"/>
      <c r="E85" s="611"/>
      <c r="F85" s="611"/>
      <c r="G85" s="611"/>
      <c r="H85" s="611"/>
      <c r="I85" s="611"/>
      <c r="J85" s="611"/>
      <c r="K85" s="611"/>
      <c r="L85" s="611"/>
      <c r="M85" s="611"/>
      <c r="N85" s="611"/>
      <c r="O85" s="611"/>
      <c r="P85" s="611"/>
      <c r="Q85" s="611"/>
      <c r="R85" s="611"/>
      <c r="S85" s="611"/>
      <c r="T85" s="611"/>
      <c r="U85" s="611"/>
      <c r="V85" s="611"/>
      <c r="W85" s="611"/>
      <c r="X85" s="611"/>
      <c r="Y85" s="611"/>
      <c r="Z85" s="611"/>
      <c r="AA85" s="62"/>
      <c r="AB85" s="62"/>
      <c r="AC85" s="62"/>
    </row>
    <row r="86" spans="1:68" ht="14.25" hidden="1" customHeight="1" x14ac:dyDescent="0.25">
      <c r="A86" s="595" t="s">
        <v>128</v>
      </c>
      <c r="B86" s="595"/>
      <c r="C86" s="595"/>
      <c r="D86" s="595"/>
      <c r="E86" s="595"/>
      <c r="F86" s="595"/>
      <c r="G86" s="595"/>
      <c r="H86" s="595"/>
      <c r="I86" s="595"/>
      <c r="J86" s="595"/>
      <c r="K86" s="595"/>
      <c r="L86" s="595"/>
      <c r="M86" s="595"/>
      <c r="N86" s="595"/>
      <c r="O86" s="595"/>
      <c r="P86" s="595"/>
      <c r="Q86" s="595"/>
      <c r="R86" s="595"/>
      <c r="S86" s="595"/>
      <c r="T86" s="595"/>
      <c r="U86" s="595"/>
      <c r="V86" s="595"/>
      <c r="W86" s="595"/>
      <c r="X86" s="595"/>
      <c r="Y86" s="595"/>
      <c r="Z86" s="595"/>
      <c r="AA86" s="63"/>
      <c r="AB86" s="63"/>
      <c r="AC86" s="63"/>
    </row>
    <row r="87" spans="1:68" ht="27" hidden="1" customHeight="1" x14ac:dyDescent="0.25">
      <c r="A87" s="60" t="s">
        <v>188</v>
      </c>
      <c r="B87" s="60" t="s">
        <v>189</v>
      </c>
      <c r="C87" s="34">
        <v>4301011468</v>
      </c>
      <c r="D87" s="596">
        <v>4680115881327</v>
      </c>
      <c r="E87" s="596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8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598"/>
      <c r="R87" s="598"/>
      <c r="S87" s="598"/>
      <c r="T87" s="599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596">
        <v>4680115887732</v>
      </c>
      <c r="E88" s="596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83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598"/>
      <c r="R88" s="598"/>
      <c r="S88" s="598"/>
      <c r="T88" s="599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596">
        <v>4680115881518</v>
      </c>
      <c r="E89" s="596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8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598"/>
      <c r="R89" s="598"/>
      <c r="S89" s="598"/>
      <c r="T89" s="59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196</v>
      </c>
      <c r="B90" s="60" t="s">
        <v>197</v>
      </c>
      <c r="C90" s="34">
        <v>4301011443</v>
      </c>
      <c r="D90" s="596">
        <v>4680115881303</v>
      </c>
      <c r="E90" s="596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8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598"/>
      <c r="R90" s="598"/>
      <c r="S90" s="598"/>
      <c r="T90" s="59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idden="1" x14ac:dyDescent="0.2">
      <c r="A91" s="603"/>
      <c r="B91" s="603"/>
      <c r="C91" s="603"/>
      <c r="D91" s="603"/>
      <c r="E91" s="603"/>
      <c r="F91" s="603"/>
      <c r="G91" s="603"/>
      <c r="H91" s="603"/>
      <c r="I91" s="603"/>
      <c r="J91" s="603"/>
      <c r="K91" s="603"/>
      <c r="L91" s="603"/>
      <c r="M91" s="603"/>
      <c r="N91" s="603"/>
      <c r="O91" s="604"/>
      <c r="P91" s="600" t="s">
        <v>40</v>
      </c>
      <c r="Q91" s="601"/>
      <c r="R91" s="601"/>
      <c r="S91" s="601"/>
      <c r="T91" s="601"/>
      <c r="U91" s="601"/>
      <c r="V91" s="602"/>
      <c r="W91" s="40" t="s">
        <v>39</v>
      </c>
      <c r="X91" s="41">
        <f>IFERROR(X87/H87,"0")+IFERROR(X88/H88,"0")+IFERROR(X89/H89,"0")+IFERROR(X90/H90,"0")</f>
        <v>0</v>
      </c>
      <c r="Y91" s="41">
        <f>IFERROR(Y87/H87,"0")+IFERROR(Y88/H88,"0")+IFERROR(Y89/H89,"0")+IFERROR(Y90/H90,"0")</f>
        <v>0</v>
      </c>
      <c r="Z91" s="41">
        <f>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603"/>
      <c r="B92" s="603"/>
      <c r="C92" s="603"/>
      <c r="D92" s="603"/>
      <c r="E92" s="603"/>
      <c r="F92" s="603"/>
      <c r="G92" s="603"/>
      <c r="H92" s="603"/>
      <c r="I92" s="603"/>
      <c r="J92" s="603"/>
      <c r="K92" s="603"/>
      <c r="L92" s="603"/>
      <c r="M92" s="603"/>
      <c r="N92" s="603"/>
      <c r="O92" s="604"/>
      <c r="P92" s="600" t="s">
        <v>40</v>
      </c>
      <c r="Q92" s="601"/>
      <c r="R92" s="601"/>
      <c r="S92" s="601"/>
      <c r="T92" s="601"/>
      <c r="U92" s="601"/>
      <c r="V92" s="602"/>
      <c r="W92" s="40" t="s">
        <v>0</v>
      </c>
      <c r="X92" s="41">
        <f>IFERROR(SUM(X87:X90),"0")</f>
        <v>0</v>
      </c>
      <c r="Y92" s="41">
        <f>IFERROR(SUM(Y87:Y90),"0")</f>
        <v>0</v>
      </c>
      <c r="Z92" s="40"/>
      <c r="AA92" s="64"/>
      <c r="AB92" s="64"/>
      <c r="AC92" s="64"/>
    </row>
    <row r="93" spans="1:68" ht="14.25" hidden="1" customHeight="1" x14ac:dyDescent="0.25">
      <c r="A93" s="595" t="s">
        <v>86</v>
      </c>
      <c r="B93" s="595"/>
      <c r="C93" s="595"/>
      <c r="D93" s="595"/>
      <c r="E93" s="595"/>
      <c r="F93" s="595"/>
      <c r="G93" s="595"/>
      <c r="H93" s="595"/>
      <c r="I93" s="595"/>
      <c r="J93" s="595"/>
      <c r="K93" s="595"/>
      <c r="L93" s="595"/>
      <c r="M93" s="595"/>
      <c r="N93" s="595"/>
      <c r="O93" s="595"/>
      <c r="P93" s="595"/>
      <c r="Q93" s="595"/>
      <c r="R93" s="595"/>
      <c r="S93" s="595"/>
      <c r="T93" s="595"/>
      <c r="U93" s="595"/>
      <c r="V93" s="595"/>
      <c r="W93" s="595"/>
      <c r="X93" s="595"/>
      <c r="Y93" s="595"/>
      <c r="Z93" s="595"/>
      <c r="AA93" s="63"/>
      <c r="AB93" s="63"/>
      <c r="AC93" s="63"/>
    </row>
    <row r="94" spans="1:68" ht="27" hidden="1" customHeight="1" x14ac:dyDescent="0.25">
      <c r="A94" s="60" t="s">
        <v>198</v>
      </c>
      <c r="B94" s="60" t="s">
        <v>199</v>
      </c>
      <c r="C94" s="34">
        <v>4301051712</v>
      </c>
      <c r="D94" s="596">
        <v>4607091386967</v>
      </c>
      <c r="E94" s="596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8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598"/>
      <c r="R94" s="598"/>
      <c r="S94" s="598"/>
      <c r="T94" s="599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596">
        <v>4680115884953</v>
      </c>
      <c r="E95" s="596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82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598"/>
      <c r="R95" s="598"/>
      <c r="S95" s="598"/>
      <c r="T95" s="59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203</v>
      </c>
      <c r="B96" s="60" t="s">
        <v>204</v>
      </c>
      <c r="C96" s="34">
        <v>4301051718</v>
      </c>
      <c r="D96" s="596">
        <v>4607091385731</v>
      </c>
      <c r="E96" s="596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82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598"/>
      <c r="R96" s="598"/>
      <c r="S96" s="598"/>
      <c r="T96" s="59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596">
        <v>4680115880894</v>
      </c>
      <c r="E97" s="596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82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598"/>
      <c r="R97" s="598"/>
      <c r="S97" s="598"/>
      <c r="T97" s="59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603"/>
      <c r="B98" s="603"/>
      <c r="C98" s="603"/>
      <c r="D98" s="603"/>
      <c r="E98" s="603"/>
      <c r="F98" s="603"/>
      <c r="G98" s="603"/>
      <c r="H98" s="603"/>
      <c r="I98" s="603"/>
      <c r="J98" s="603"/>
      <c r="K98" s="603"/>
      <c r="L98" s="603"/>
      <c r="M98" s="603"/>
      <c r="N98" s="603"/>
      <c r="O98" s="604"/>
      <c r="P98" s="600" t="s">
        <v>40</v>
      </c>
      <c r="Q98" s="601"/>
      <c r="R98" s="601"/>
      <c r="S98" s="601"/>
      <c r="T98" s="601"/>
      <c r="U98" s="601"/>
      <c r="V98" s="602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603"/>
      <c r="B99" s="603"/>
      <c r="C99" s="603"/>
      <c r="D99" s="603"/>
      <c r="E99" s="603"/>
      <c r="F99" s="603"/>
      <c r="G99" s="603"/>
      <c r="H99" s="603"/>
      <c r="I99" s="603"/>
      <c r="J99" s="603"/>
      <c r="K99" s="603"/>
      <c r="L99" s="603"/>
      <c r="M99" s="603"/>
      <c r="N99" s="603"/>
      <c r="O99" s="604"/>
      <c r="P99" s="600" t="s">
        <v>40</v>
      </c>
      <c r="Q99" s="601"/>
      <c r="R99" s="601"/>
      <c r="S99" s="601"/>
      <c r="T99" s="601"/>
      <c r="U99" s="601"/>
      <c r="V99" s="602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611" t="s">
        <v>208</v>
      </c>
      <c r="B100" s="611"/>
      <c r="C100" s="611"/>
      <c r="D100" s="611"/>
      <c r="E100" s="611"/>
      <c r="F100" s="611"/>
      <c r="G100" s="611"/>
      <c r="H100" s="611"/>
      <c r="I100" s="611"/>
      <c r="J100" s="611"/>
      <c r="K100" s="611"/>
      <c r="L100" s="611"/>
      <c r="M100" s="611"/>
      <c r="N100" s="611"/>
      <c r="O100" s="611"/>
      <c r="P100" s="611"/>
      <c r="Q100" s="611"/>
      <c r="R100" s="611"/>
      <c r="S100" s="611"/>
      <c r="T100" s="611"/>
      <c r="U100" s="611"/>
      <c r="V100" s="611"/>
      <c r="W100" s="611"/>
      <c r="X100" s="611"/>
      <c r="Y100" s="611"/>
      <c r="Z100" s="611"/>
      <c r="AA100" s="62"/>
      <c r="AB100" s="62"/>
      <c r="AC100" s="62"/>
    </row>
    <row r="101" spans="1:68" ht="14.25" hidden="1" customHeight="1" x14ac:dyDescent="0.25">
      <c r="A101" s="595" t="s">
        <v>128</v>
      </c>
      <c r="B101" s="595"/>
      <c r="C101" s="595"/>
      <c r="D101" s="595"/>
      <c r="E101" s="595"/>
      <c r="F101" s="595"/>
      <c r="G101" s="595"/>
      <c r="H101" s="595"/>
      <c r="I101" s="595"/>
      <c r="J101" s="595"/>
      <c r="K101" s="595"/>
      <c r="L101" s="595"/>
      <c r="M101" s="595"/>
      <c r="N101" s="595"/>
      <c r="O101" s="595"/>
      <c r="P101" s="595"/>
      <c r="Q101" s="595"/>
      <c r="R101" s="595"/>
      <c r="S101" s="595"/>
      <c r="T101" s="595"/>
      <c r="U101" s="595"/>
      <c r="V101" s="595"/>
      <c r="W101" s="595"/>
      <c r="X101" s="595"/>
      <c r="Y101" s="595"/>
      <c r="Z101" s="595"/>
      <c r="AA101" s="63"/>
      <c r="AB101" s="63"/>
      <c r="AC101" s="63"/>
    </row>
    <row r="102" spans="1:68" ht="37.5" hidden="1" customHeight="1" x14ac:dyDescent="0.25">
      <c r="A102" s="60" t="s">
        <v>209</v>
      </c>
      <c r="B102" s="60" t="s">
        <v>210</v>
      </c>
      <c r="C102" s="34">
        <v>4301011514</v>
      </c>
      <c r="D102" s="596">
        <v>4680115882133</v>
      </c>
      <c r="E102" s="596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8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598"/>
      <c r="R102" s="598"/>
      <c r="S102" s="598"/>
      <c r="T102" s="599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596">
        <v>4680115887718</v>
      </c>
      <c r="E103" s="596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8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598"/>
      <c r="R103" s="598"/>
      <c r="S103" s="598"/>
      <c r="T103" s="59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596">
        <v>4680115887718</v>
      </c>
      <c r="E104" s="596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2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598"/>
      <c r="R104" s="598"/>
      <c r="S104" s="598"/>
      <c r="T104" s="59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596">
        <v>4680115887749</v>
      </c>
      <c r="E105" s="596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21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598"/>
      <c r="R105" s="598"/>
      <c r="S105" s="598"/>
      <c r="T105" s="59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596">
        <v>4680115880269</v>
      </c>
      <c r="E106" s="59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2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598"/>
      <c r="R106" s="598"/>
      <c r="S106" s="598"/>
      <c r="T106" s="59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220</v>
      </c>
      <c r="B107" s="60" t="s">
        <v>221</v>
      </c>
      <c r="C107" s="34">
        <v>4301011415</v>
      </c>
      <c r="D107" s="596">
        <v>4680115880429</v>
      </c>
      <c r="E107" s="59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598"/>
      <c r="R107" s="598"/>
      <c r="S107" s="598"/>
      <c r="T107" s="59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596">
        <v>4680115881457</v>
      </c>
      <c r="E108" s="59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598"/>
      <c r="R108" s="598"/>
      <c r="S108" s="598"/>
      <c r="T108" s="59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idden="1" x14ac:dyDescent="0.2">
      <c r="A109" s="603"/>
      <c r="B109" s="603"/>
      <c r="C109" s="603"/>
      <c r="D109" s="603"/>
      <c r="E109" s="603"/>
      <c r="F109" s="603"/>
      <c r="G109" s="603"/>
      <c r="H109" s="603"/>
      <c r="I109" s="603"/>
      <c r="J109" s="603"/>
      <c r="K109" s="603"/>
      <c r="L109" s="603"/>
      <c r="M109" s="603"/>
      <c r="N109" s="603"/>
      <c r="O109" s="604"/>
      <c r="P109" s="600" t="s">
        <v>40</v>
      </c>
      <c r="Q109" s="601"/>
      <c r="R109" s="601"/>
      <c r="S109" s="601"/>
      <c r="T109" s="601"/>
      <c r="U109" s="601"/>
      <c r="V109" s="602"/>
      <c r="W109" s="40" t="s">
        <v>39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03"/>
      <c r="B110" s="603"/>
      <c r="C110" s="603"/>
      <c r="D110" s="603"/>
      <c r="E110" s="603"/>
      <c r="F110" s="603"/>
      <c r="G110" s="603"/>
      <c r="H110" s="603"/>
      <c r="I110" s="603"/>
      <c r="J110" s="603"/>
      <c r="K110" s="603"/>
      <c r="L110" s="603"/>
      <c r="M110" s="603"/>
      <c r="N110" s="603"/>
      <c r="O110" s="604"/>
      <c r="P110" s="600" t="s">
        <v>40</v>
      </c>
      <c r="Q110" s="601"/>
      <c r="R110" s="601"/>
      <c r="S110" s="601"/>
      <c r="T110" s="601"/>
      <c r="U110" s="601"/>
      <c r="V110" s="602"/>
      <c r="W110" s="40" t="s">
        <v>0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595" t="s">
        <v>163</v>
      </c>
      <c r="B111" s="595"/>
      <c r="C111" s="595"/>
      <c r="D111" s="595"/>
      <c r="E111" s="595"/>
      <c r="F111" s="595"/>
      <c r="G111" s="595"/>
      <c r="H111" s="595"/>
      <c r="I111" s="595"/>
      <c r="J111" s="595"/>
      <c r="K111" s="595"/>
      <c r="L111" s="595"/>
      <c r="M111" s="595"/>
      <c r="N111" s="595"/>
      <c r="O111" s="595"/>
      <c r="P111" s="595"/>
      <c r="Q111" s="595"/>
      <c r="R111" s="595"/>
      <c r="S111" s="595"/>
      <c r="T111" s="595"/>
      <c r="U111" s="595"/>
      <c r="V111" s="595"/>
      <c r="W111" s="595"/>
      <c r="X111" s="595"/>
      <c r="Y111" s="595"/>
      <c r="Z111" s="595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596">
        <v>4680115881488</v>
      </c>
      <c r="E112" s="59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1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598"/>
      <c r="R112" s="598"/>
      <c r="S112" s="598"/>
      <c r="T112" s="599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8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8" si="17">IFERROR(X112*I112/H112,"0")</f>
        <v>0</v>
      </c>
      <c r="BN112" s="75">
        <f t="shared" ref="BN112:BN118" si="18">IFERROR(Y112*I112/H112,"0")</f>
        <v>0</v>
      </c>
      <c r="BO112" s="75">
        <f t="shared" ref="BO112:BO118" si="19">IFERROR(1/J112*(X112/H112),"0")</f>
        <v>0</v>
      </c>
      <c r="BP112" s="75">
        <f t="shared" ref="BP112:BP118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596">
        <v>4680115881488</v>
      </c>
      <c r="E113" s="596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81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598"/>
      <c r="R113" s="598"/>
      <c r="S113" s="598"/>
      <c r="T113" s="599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596">
        <v>4680115887664</v>
      </c>
      <c r="E114" s="596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81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598"/>
      <c r="R114" s="598"/>
      <c r="S114" s="598"/>
      <c r="T114" s="599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596">
        <v>4680115887664</v>
      </c>
      <c r="E115" s="596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81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598"/>
      <c r="R115" s="598"/>
      <c r="S115" s="598"/>
      <c r="T115" s="599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596">
        <v>4680115882775</v>
      </c>
      <c r="E116" s="596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81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598"/>
      <c r="R116" s="598"/>
      <c r="S116" s="598"/>
      <c r="T116" s="599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596">
        <v>4680115880658</v>
      </c>
      <c r="E117" s="596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81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598"/>
      <c r="R117" s="598"/>
      <c r="S117" s="598"/>
      <c r="T117" s="599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t="27" hidden="1" customHeight="1" x14ac:dyDescent="0.25">
      <c r="A118" s="60" t="s">
        <v>236</v>
      </c>
      <c r="B118" s="60" t="s">
        <v>238</v>
      </c>
      <c r="C118" s="34">
        <v>4301020392</v>
      </c>
      <c r="D118" s="596">
        <v>4680115880658</v>
      </c>
      <c r="E118" s="596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132</v>
      </c>
      <c r="N118" s="36"/>
      <c r="O118" s="35">
        <v>55</v>
      </c>
      <c r="P118" s="81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598"/>
      <c r="R118" s="598"/>
      <c r="S118" s="598"/>
      <c r="T118" s="599"/>
      <c r="U118" s="37" t="s">
        <v>46</v>
      </c>
      <c r="V118" s="37" t="s">
        <v>46</v>
      </c>
      <c r="W118" s="38" t="s">
        <v>0</v>
      </c>
      <c r="X118" s="56">
        <v>0</v>
      </c>
      <c r="Y118" s="53">
        <f t="shared" si="16"/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228</v>
      </c>
      <c r="AG118" s="75"/>
      <c r="AJ118" s="79" t="s">
        <v>46</v>
      </c>
      <c r="AK118" s="79">
        <v>0</v>
      </c>
      <c r="BB118" s="188" t="s">
        <v>67</v>
      </c>
      <c r="BM118" s="75">
        <f t="shared" si="17"/>
        <v>0</v>
      </c>
      <c r="BN118" s="75">
        <f t="shared" si="18"/>
        <v>0</v>
      </c>
      <c r="BO118" s="75">
        <f t="shared" si="19"/>
        <v>0</v>
      </c>
      <c r="BP118" s="75">
        <f t="shared" si="20"/>
        <v>0</v>
      </c>
    </row>
    <row r="119" spans="1:68" hidden="1" x14ac:dyDescent="0.2">
      <c r="A119" s="603"/>
      <c r="B119" s="603"/>
      <c r="C119" s="603"/>
      <c r="D119" s="603"/>
      <c r="E119" s="603"/>
      <c r="F119" s="603"/>
      <c r="G119" s="603"/>
      <c r="H119" s="603"/>
      <c r="I119" s="603"/>
      <c r="J119" s="603"/>
      <c r="K119" s="603"/>
      <c r="L119" s="603"/>
      <c r="M119" s="603"/>
      <c r="N119" s="603"/>
      <c r="O119" s="604"/>
      <c r="P119" s="600" t="s">
        <v>40</v>
      </c>
      <c r="Q119" s="601"/>
      <c r="R119" s="601"/>
      <c r="S119" s="601"/>
      <c r="T119" s="601"/>
      <c r="U119" s="601"/>
      <c r="V119" s="602"/>
      <c r="W119" s="40" t="s">
        <v>39</v>
      </c>
      <c r="X119" s="41">
        <f>IFERROR(X112/H112,"0")+IFERROR(X113/H113,"0")+IFERROR(X114/H114,"0")+IFERROR(X115/H115,"0")+IFERROR(X116/H116,"0")+IFERROR(X117/H117,"0")+IFERROR(X118/H118,"0")</f>
        <v>0</v>
      </c>
      <c r="Y119" s="41">
        <f>IFERROR(Y112/H112,"0")+IFERROR(Y113/H113,"0")+IFERROR(Y114/H114,"0")+IFERROR(Y115/H115,"0")+IFERROR(Y116/H116,"0")+IFERROR(Y117/H117,"0")+IFERROR(Y118/H118,"0")</f>
        <v>0</v>
      </c>
      <c r="Z119" s="41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03"/>
      <c r="B120" s="603"/>
      <c r="C120" s="603"/>
      <c r="D120" s="603"/>
      <c r="E120" s="603"/>
      <c r="F120" s="603"/>
      <c r="G120" s="603"/>
      <c r="H120" s="603"/>
      <c r="I120" s="603"/>
      <c r="J120" s="603"/>
      <c r="K120" s="603"/>
      <c r="L120" s="603"/>
      <c r="M120" s="603"/>
      <c r="N120" s="603"/>
      <c r="O120" s="604"/>
      <c r="P120" s="600" t="s">
        <v>40</v>
      </c>
      <c r="Q120" s="601"/>
      <c r="R120" s="601"/>
      <c r="S120" s="601"/>
      <c r="T120" s="601"/>
      <c r="U120" s="601"/>
      <c r="V120" s="602"/>
      <c r="W120" s="40" t="s">
        <v>0</v>
      </c>
      <c r="X120" s="41">
        <f>IFERROR(SUM(X112:X118),"0")</f>
        <v>0</v>
      </c>
      <c r="Y120" s="41">
        <f>IFERROR(SUM(Y112:Y118),"0")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595" t="s">
        <v>86</v>
      </c>
      <c r="B121" s="595"/>
      <c r="C121" s="595"/>
      <c r="D121" s="595"/>
      <c r="E121" s="595"/>
      <c r="F121" s="595"/>
      <c r="G121" s="595"/>
      <c r="H121" s="595"/>
      <c r="I121" s="595"/>
      <c r="J121" s="595"/>
      <c r="K121" s="595"/>
      <c r="L121" s="595"/>
      <c r="M121" s="595"/>
      <c r="N121" s="595"/>
      <c r="O121" s="595"/>
      <c r="P121" s="595"/>
      <c r="Q121" s="595"/>
      <c r="R121" s="595"/>
      <c r="S121" s="595"/>
      <c r="T121" s="595"/>
      <c r="U121" s="595"/>
      <c r="V121" s="595"/>
      <c r="W121" s="595"/>
      <c r="X121" s="595"/>
      <c r="Y121" s="595"/>
      <c r="Z121" s="595"/>
      <c r="AA121" s="63"/>
      <c r="AB121" s="63"/>
      <c r="AC121" s="63"/>
    </row>
    <row r="122" spans="1:68" ht="27" hidden="1" customHeight="1" x14ac:dyDescent="0.25">
      <c r="A122" s="60" t="s">
        <v>239</v>
      </c>
      <c r="B122" s="60" t="s">
        <v>240</v>
      </c>
      <c r="C122" s="34">
        <v>4301051724</v>
      </c>
      <c r="D122" s="596">
        <v>4607091385168</v>
      </c>
      <c r="E122" s="596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133</v>
      </c>
      <c r="L122" s="35" t="s">
        <v>46</v>
      </c>
      <c r="M122" s="36" t="s">
        <v>97</v>
      </c>
      <c r="N122" s="36"/>
      <c r="O122" s="35">
        <v>45</v>
      </c>
      <c r="P122" s="80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598"/>
      <c r="R122" s="598"/>
      <c r="S122" s="598"/>
      <c r="T122" s="59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89" t="s">
        <v>241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242</v>
      </c>
      <c r="B123" s="60" t="s">
        <v>243</v>
      </c>
      <c r="C123" s="34">
        <v>4301051730</v>
      </c>
      <c r="D123" s="596">
        <v>4607091383256</v>
      </c>
      <c r="E123" s="596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598"/>
      <c r="R123" s="598"/>
      <c r="S123" s="598"/>
      <c r="T123" s="59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241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27" hidden="1" customHeight="1" x14ac:dyDescent="0.25">
      <c r="A124" s="60" t="s">
        <v>244</v>
      </c>
      <c r="B124" s="60" t="s">
        <v>245</v>
      </c>
      <c r="C124" s="34">
        <v>4301051721</v>
      </c>
      <c r="D124" s="596">
        <v>4607091385748</v>
      </c>
      <c r="E124" s="596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8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598"/>
      <c r="R124" s="598"/>
      <c r="S124" s="598"/>
      <c r="T124" s="599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241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t="16.5" hidden="1" customHeight="1" x14ac:dyDescent="0.25">
      <c r="A125" s="60" t="s">
        <v>246</v>
      </c>
      <c r="B125" s="60" t="s">
        <v>247</v>
      </c>
      <c r="C125" s="34">
        <v>4301051740</v>
      </c>
      <c r="D125" s="596">
        <v>4680115884533</v>
      </c>
      <c r="E125" s="596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91</v>
      </c>
      <c r="L125" s="35" t="s">
        <v>46</v>
      </c>
      <c r="M125" s="36" t="s">
        <v>90</v>
      </c>
      <c r="N125" s="36"/>
      <c r="O125" s="35">
        <v>45</v>
      </c>
      <c r="P125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598"/>
      <c r="R125" s="598"/>
      <c r="S125" s="598"/>
      <c r="T125" s="599"/>
      <c r="U125" s="37" t="s">
        <v>46</v>
      </c>
      <c r="V125" s="37" t="s">
        <v>46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248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idden="1" x14ac:dyDescent="0.2">
      <c r="A126" s="603"/>
      <c r="B126" s="603"/>
      <c r="C126" s="603"/>
      <c r="D126" s="603"/>
      <c r="E126" s="603"/>
      <c r="F126" s="603"/>
      <c r="G126" s="603"/>
      <c r="H126" s="603"/>
      <c r="I126" s="603"/>
      <c r="J126" s="603"/>
      <c r="K126" s="603"/>
      <c r="L126" s="603"/>
      <c r="M126" s="603"/>
      <c r="N126" s="603"/>
      <c r="O126" s="604"/>
      <c r="P126" s="600" t="s">
        <v>40</v>
      </c>
      <c r="Q126" s="601"/>
      <c r="R126" s="601"/>
      <c r="S126" s="601"/>
      <c r="T126" s="601"/>
      <c r="U126" s="601"/>
      <c r="V126" s="602"/>
      <c r="W126" s="40" t="s">
        <v>39</v>
      </c>
      <c r="X126" s="41">
        <f>IFERROR(X122/H122,"0")+IFERROR(X123/H123,"0")+IFERROR(X124/H124,"0")+IFERROR(X125/H125,"0")</f>
        <v>0</v>
      </c>
      <c r="Y126" s="41">
        <f>IFERROR(Y122/H122,"0")+IFERROR(Y123/H123,"0")+IFERROR(Y124/H124,"0")+IFERROR(Y125/H125,"0")</f>
        <v>0</v>
      </c>
      <c r="Z126" s="41">
        <f>IFERROR(IF(Z122="",0,Z122),"0")+IFERROR(IF(Z123="",0,Z123),"0")+IFERROR(IF(Z124="",0,Z124),"0")+IFERROR(IF(Z125="",0,Z125),"0")</f>
        <v>0</v>
      </c>
      <c r="AA126" s="64"/>
      <c r="AB126" s="64"/>
      <c r="AC126" s="64"/>
    </row>
    <row r="127" spans="1:68" hidden="1" x14ac:dyDescent="0.2">
      <c r="A127" s="603"/>
      <c r="B127" s="603"/>
      <c r="C127" s="603"/>
      <c r="D127" s="603"/>
      <c r="E127" s="603"/>
      <c r="F127" s="603"/>
      <c r="G127" s="603"/>
      <c r="H127" s="603"/>
      <c r="I127" s="603"/>
      <c r="J127" s="603"/>
      <c r="K127" s="603"/>
      <c r="L127" s="603"/>
      <c r="M127" s="603"/>
      <c r="N127" s="603"/>
      <c r="O127" s="604"/>
      <c r="P127" s="600" t="s">
        <v>40</v>
      </c>
      <c r="Q127" s="601"/>
      <c r="R127" s="601"/>
      <c r="S127" s="601"/>
      <c r="T127" s="601"/>
      <c r="U127" s="601"/>
      <c r="V127" s="602"/>
      <c r="W127" s="40" t="s">
        <v>0</v>
      </c>
      <c r="X127" s="41">
        <f>IFERROR(SUM(X122:X125),"0")</f>
        <v>0</v>
      </c>
      <c r="Y127" s="41">
        <f>IFERROR(SUM(Y122:Y125),"0")</f>
        <v>0</v>
      </c>
      <c r="Z127" s="40"/>
      <c r="AA127" s="64"/>
      <c r="AB127" s="64"/>
      <c r="AC127" s="64"/>
    </row>
    <row r="128" spans="1:68" ht="14.25" hidden="1" customHeight="1" x14ac:dyDescent="0.25">
      <c r="A128" s="595" t="s">
        <v>180</v>
      </c>
      <c r="B128" s="595"/>
      <c r="C128" s="595"/>
      <c r="D128" s="595"/>
      <c r="E128" s="595"/>
      <c r="F128" s="595"/>
      <c r="G128" s="595"/>
      <c r="H128" s="595"/>
      <c r="I128" s="595"/>
      <c r="J128" s="595"/>
      <c r="K128" s="595"/>
      <c r="L128" s="595"/>
      <c r="M128" s="595"/>
      <c r="N128" s="595"/>
      <c r="O128" s="595"/>
      <c r="P128" s="595"/>
      <c r="Q128" s="595"/>
      <c r="R128" s="595"/>
      <c r="S128" s="595"/>
      <c r="T128" s="595"/>
      <c r="U128" s="595"/>
      <c r="V128" s="595"/>
      <c r="W128" s="595"/>
      <c r="X128" s="595"/>
      <c r="Y128" s="595"/>
      <c r="Z128" s="595"/>
      <c r="AA128" s="63"/>
      <c r="AB128" s="63"/>
      <c r="AC128" s="63"/>
    </row>
    <row r="129" spans="1:68" ht="16.5" hidden="1" customHeight="1" x14ac:dyDescent="0.25">
      <c r="A129" s="60" t="s">
        <v>249</v>
      </c>
      <c r="B129" s="60" t="s">
        <v>250</v>
      </c>
      <c r="C129" s="34">
        <v>4301060317</v>
      </c>
      <c r="D129" s="596">
        <v>4680115880238</v>
      </c>
      <c r="E129" s="596"/>
      <c r="F129" s="59">
        <v>0.33</v>
      </c>
      <c r="G129" s="35">
        <v>6</v>
      </c>
      <c r="H129" s="59">
        <v>1.98</v>
      </c>
      <c r="I129" s="59">
        <v>2.238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40</v>
      </c>
      <c r="P129" s="80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598"/>
      <c r="R129" s="598"/>
      <c r="S129" s="598"/>
      <c r="T129" s="599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197" t="s">
        <v>251</v>
      </c>
      <c r="AG129" s="75"/>
      <c r="AJ129" s="79" t="s">
        <v>46</v>
      </c>
      <c r="AK129" s="79">
        <v>0</v>
      </c>
      <c r="BB129" s="198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03"/>
      <c r="B130" s="603"/>
      <c r="C130" s="603"/>
      <c r="D130" s="603"/>
      <c r="E130" s="603"/>
      <c r="F130" s="603"/>
      <c r="G130" s="603"/>
      <c r="H130" s="603"/>
      <c r="I130" s="603"/>
      <c r="J130" s="603"/>
      <c r="K130" s="603"/>
      <c r="L130" s="603"/>
      <c r="M130" s="603"/>
      <c r="N130" s="603"/>
      <c r="O130" s="604"/>
      <c r="P130" s="600" t="s">
        <v>40</v>
      </c>
      <c r="Q130" s="601"/>
      <c r="R130" s="601"/>
      <c r="S130" s="601"/>
      <c r="T130" s="601"/>
      <c r="U130" s="601"/>
      <c r="V130" s="602"/>
      <c r="W130" s="40" t="s">
        <v>39</v>
      </c>
      <c r="X130" s="41">
        <f>IFERROR(X129/H129,"0")</f>
        <v>0</v>
      </c>
      <c r="Y130" s="41">
        <f>IFERROR(Y129/H129,"0")</f>
        <v>0</v>
      </c>
      <c r="Z130" s="41">
        <f>IFERROR(IF(Z129="",0,Z129),"0")</f>
        <v>0</v>
      </c>
      <c r="AA130" s="64"/>
      <c r="AB130" s="64"/>
      <c r="AC130" s="64"/>
    </row>
    <row r="131" spans="1:68" hidden="1" x14ac:dyDescent="0.2">
      <c r="A131" s="603"/>
      <c r="B131" s="603"/>
      <c r="C131" s="603"/>
      <c r="D131" s="603"/>
      <c r="E131" s="603"/>
      <c r="F131" s="603"/>
      <c r="G131" s="603"/>
      <c r="H131" s="603"/>
      <c r="I131" s="603"/>
      <c r="J131" s="603"/>
      <c r="K131" s="603"/>
      <c r="L131" s="603"/>
      <c r="M131" s="603"/>
      <c r="N131" s="603"/>
      <c r="O131" s="604"/>
      <c r="P131" s="600" t="s">
        <v>40</v>
      </c>
      <c r="Q131" s="601"/>
      <c r="R131" s="601"/>
      <c r="S131" s="601"/>
      <c r="T131" s="601"/>
      <c r="U131" s="601"/>
      <c r="V131" s="602"/>
      <c r="W131" s="40" t="s">
        <v>0</v>
      </c>
      <c r="X131" s="41">
        <f>IFERROR(SUM(X129:X129),"0")</f>
        <v>0</v>
      </c>
      <c r="Y131" s="41">
        <f>IFERROR(SUM(Y129:Y129),"0")</f>
        <v>0</v>
      </c>
      <c r="Z131" s="40"/>
      <c r="AA131" s="64"/>
      <c r="AB131" s="64"/>
      <c r="AC131" s="64"/>
    </row>
    <row r="132" spans="1:68" ht="16.5" hidden="1" customHeight="1" x14ac:dyDescent="0.25">
      <c r="A132" s="611" t="s">
        <v>252</v>
      </c>
      <c r="B132" s="611"/>
      <c r="C132" s="611"/>
      <c r="D132" s="611"/>
      <c r="E132" s="611"/>
      <c r="F132" s="611"/>
      <c r="G132" s="611"/>
      <c r="H132" s="611"/>
      <c r="I132" s="611"/>
      <c r="J132" s="611"/>
      <c r="K132" s="611"/>
      <c r="L132" s="611"/>
      <c r="M132" s="611"/>
      <c r="N132" s="611"/>
      <c r="O132" s="611"/>
      <c r="P132" s="611"/>
      <c r="Q132" s="611"/>
      <c r="R132" s="611"/>
      <c r="S132" s="611"/>
      <c r="T132" s="611"/>
      <c r="U132" s="611"/>
      <c r="V132" s="611"/>
      <c r="W132" s="611"/>
      <c r="X132" s="611"/>
      <c r="Y132" s="611"/>
      <c r="Z132" s="611"/>
      <c r="AA132" s="62"/>
      <c r="AB132" s="62"/>
      <c r="AC132" s="62"/>
    </row>
    <row r="133" spans="1:68" ht="14.25" hidden="1" customHeight="1" x14ac:dyDescent="0.25">
      <c r="A133" s="595" t="s">
        <v>86</v>
      </c>
      <c r="B133" s="595"/>
      <c r="C133" s="595"/>
      <c r="D133" s="595"/>
      <c r="E133" s="595"/>
      <c r="F133" s="595"/>
      <c r="G133" s="595"/>
      <c r="H133" s="595"/>
      <c r="I133" s="595"/>
      <c r="J133" s="595"/>
      <c r="K133" s="595"/>
      <c r="L133" s="595"/>
      <c r="M133" s="595"/>
      <c r="N133" s="595"/>
      <c r="O133" s="595"/>
      <c r="P133" s="595"/>
      <c r="Q133" s="595"/>
      <c r="R133" s="595"/>
      <c r="S133" s="595"/>
      <c r="T133" s="595"/>
      <c r="U133" s="595"/>
      <c r="V133" s="595"/>
      <c r="W133" s="595"/>
      <c r="X133" s="595"/>
      <c r="Y133" s="595"/>
      <c r="Z133" s="595"/>
      <c r="AA133" s="63"/>
      <c r="AB133" s="63"/>
      <c r="AC133" s="63"/>
    </row>
    <row r="134" spans="1:68" ht="27" hidden="1" customHeight="1" x14ac:dyDescent="0.25">
      <c r="A134" s="60" t="s">
        <v>253</v>
      </c>
      <c r="B134" s="60" t="s">
        <v>254</v>
      </c>
      <c r="C134" s="34">
        <v>4301052174</v>
      </c>
      <c r="D134" s="596">
        <v>4680115888203</v>
      </c>
      <c r="E134" s="596"/>
      <c r="F134" s="59">
        <v>0.22</v>
      </c>
      <c r="G134" s="35">
        <v>9</v>
      </c>
      <c r="H134" s="59">
        <v>1.98</v>
      </c>
      <c r="I134" s="59">
        <v>2.2589999999999999</v>
      </c>
      <c r="J134" s="35">
        <v>182</v>
      </c>
      <c r="K134" s="35" t="s">
        <v>91</v>
      </c>
      <c r="L134" s="35" t="s">
        <v>46</v>
      </c>
      <c r="M134" s="36" t="s">
        <v>97</v>
      </c>
      <c r="N134" s="36"/>
      <c r="O134" s="35">
        <v>40</v>
      </c>
      <c r="P134" s="80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34" s="598"/>
      <c r="R134" s="598"/>
      <c r="S134" s="598"/>
      <c r="T134" s="59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255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256</v>
      </c>
      <c r="B135" s="60" t="s">
        <v>257</v>
      </c>
      <c r="C135" s="34">
        <v>4301052172</v>
      </c>
      <c r="D135" s="596">
        <v>4680115888180</v>
      </c>
      <c r="E135" s="596"/>
      <c r="F135" s="59">
        <v>0.22</v>
      </c>
      <c r="G135" s="35">
        <v>9</v>
      </c>
      <c r="H135" s="59">
        <v>1.98</v>
      </c>
      <c r="I135" s="59">
        <v>2.2589999999999999</v>
      </c>
      <c r="J135" s="35">
        <v>182</v>
      </c>
      <c r="K135" s="35" t="s">
        <v>91</v>
      </c>
      <c r="L135" s="35" t="s">
        <v>46</v>
      </c>
      <c r="M135" s="36" t="s">
        <v>97</v>
      </c>
      <c r="N135" s="36"/>
      <c r="O135" s="35">
        <v>40</v>
      </c>
      <c r="P135" s="80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35" s="598"/>
      <c r="R135" s="598"/>
      <c r="S135" s="598"/>
      <c r="T135" s="59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258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259</v>
      </c>
      <c r="B136" s="60" t="s">
        <v>260</v>
      </c>
      <c r="C136" s="34">
        <v>4301052173</v>
      </c>
      <c r="D136" s="596">
        <v>4680115888197</v>
      </c>
      <c r="E136" s="596"/>
      <c r="F136" s="59">
        <v>0.22</v>
      </c>
      <c r="G136" s="35">
        <v>9</v>
      </c>
      <c r="H136" s="59">
        <v>1.98</v>
      </c>
      <c r="I136" s="59">
        <v>2.2589999999999999</v>
      </c>
      <c r="J136" s="35">
        <v>182</v>
      </c>
      <c r="K136" s="35" t="s">
        <v>91</v>
      </c>
      <c r="L136" s="35" t="s">
        <v>46</v>
      </c>
      <c r="M136" s="36" t="s">
        <v>97</v>
      </c>
      <c r="N136" s="36"/>
      <c r="O136" s="35">
        <v>40</v>
      </c>
      <c r="P136" s="80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36" s="598"/>
      <c r="R136" s="598"/>
      <c r="S136" s="598"/>
      <c r="T136" s="599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261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262</v>
      </c>
      <c r="B137" s="60" t="s">
        <v>263</v>
      </c>
      <c r="C137" s="34">
        <v>4301052175</v>
      </c>
      <c r="D137" s="596">
        <v>4680115888210</v>
      </c>
      <c r="E137" s="596"/>
      <c r="F137" s="59">
        <v>0.22</v>
      </c>
      <c r="G137" s="35">
        <v>9</v>
      </c>
      <c r="H137" s="59">
        <v>1.98</v>
      </c>
      <c r="I137" s="59">
        <v>2.2589999999999999</v>
      </c>
      <c r="J137" s="35">
        <v>182</v>
      </c>
      <c r="K137" s="35" t="s">
        <v>91</v>
      </c>
      <c r="L137" s="35" t="s">
        <v>46</v>
      </c>
      <c r="M137" s="36" t="s">
        <v>97</v>
      </c>
      <c r="N137" s="36"/>
      <c r="O137" s="35">
        <v>40</v>
      </c>
      <c r="P137" s="80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37" s="598"/>
      <c r="R137" s="598"/>
      <c r="S137" s="598"/>
      <c r="T137" s="599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264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03"/>
      <c r="B138" s="603"/>
      <c r="C138" s="603"/>
      <c r="D138" s="603"/>
      <c r="E138" s="603"/>
      <c r="F138" s="603"/>
      <c r="G138" s="603"/>
      <c r="H138" s="603"/>
      <c r="I138" s="603"/>
      <c r="J138" s="603"/>
      <c r="K138" s="603"/>
      <c r="L138" s="603"/>
      <c r="M138" s="603"/>
      <c r="N138" s="603"/>
      <c r="O138" s="604"/>
      <c r="P138" s="600" t="s">
        <v>40</v>
      </c>
      <c r="Q138" s="601"/>
      <c r="R138" s="601"/>
      <c r="S138" s="601"/>
      <c r="T138" s="601"/>
      <c r="U138" s="601"/>
      <c r="V138" s="602"/>
      <c r="W138" s="40" t="s">
        <v>39</v>
      </c>
      <c r="X138" s="41">
        <f>IFERROR(X134/H134,"0")+IFERROR(X135/H135,"0")+IFERROR(X136/H136,"0")+IFERROR(X137/H137,"0")</f>
        <v>0</v>
      </c>
      <c r="Y138" s="41">
        <f>IFERROR(Y134/H134,"0")+IFERROR(Y135/H135,"0")+IFERROR(Y136/H136,"0")+IFERROR(Y137/H137,"0")</f>
        <v>0</v>
      </c>
      <c r="Z138" s="41">
        <f>IFERROR(IF(Z134="",0,Z134),"0")+IFERROR(IF(Z135="",0,Z135),"0")+IFERROR(IF(Z136="",0,Z136),"0")+IFERROR(IF(Z137="",0,Z137),"0")</f>
        <v>0</v>
      </c>
      <c r="AA138" s="64"/>
      <c r="AB138" s="64"/>
      <c r="AC138" s="64"/>
    </row>
    <row r="139" spans="1:68" hidden="1" x14ac:dyDescent="0.2">
      <c r="A139" s="603"/>
      <c r="B139" s="603"/>
      <c r="C139" s="603"/>
      <c r="D139" s="603"/>
      <c r="E139" s="603"/>
      <c r="F139" s="603"/>
      <c r="G139" s="603"/>
      <c r="H139" s="603"/>
      <c r="I139" s="603"/>
      <c r="J139" s="603"/>
      <c r="K139" s="603"/>
      <c r="L139" s="603"/>
      <c r="M139" s="603"/>
      <c r="N139" s="603"/>
      <c r="O139" s="604"/>
      <c r="P139" s="600" t="s">
        <v>40</v>
      </c>
      <c r="Q139" s="601"/>
      <c r="R139" s="601"/>
      <c r="S139" s="601"/>
      <c r="T139" s="601"/>
      <c r="U139" s="601"/>
      <c r="V139" s="602"/>
      <c r="W139" s="40" t="s">
        <v>0</v>
      </c>
      <c r="X139" s="41">
        <f>IFERROR(SUM(X134:X137),"0")</f>
        <v>0</v>
      </c>
      <c r="Y139" s="41">
        <f>IFERROR(SUM(Y134:Y137),"0")</f>
        <v>0</v>
      </c>
      <c r="Z139" s="40"/>
      <c r="AA139" s="64"/>
      <c r="AB139" s="64"/>
      <c r="AC139" s="64"/>
    </row>
    <row r="140" spans="1:68" ht="16.5" hidden="1" customHeight="1" x14ac:dyDescent="0.25">
      <c r="A140" s="611" t="s">
        <v>126</v>
      </c>
      <c r="B140" s="611"/>
      <c r="C140" s="611"/>
      <c r="D140" s="611"/>
      <c r="E140" s="611"/>
      <c r="F140" s="611"/>
      <c r="G140" s="611"/>
      <c r="H140" s="611"/>
      <c r="I140" s="611"/>
      <c r="J140" s="611"/>
      <c r="K140" s="611"/>
      <c r="L140" s="611"/>
      <c r="M140" s="611"/>
      <c r="N140" s="611"/>
      <c r="O140" s="611"/>
      <c r="P140" s="611"/>
      <c r="Q140" s="611"/>
      <c r="R140" s="611"/>
      <c r="S140" s="611"/>
      <c r="T140" s="611"/>
      <c r="U140" s="611"/>
      <c r="V140" s="611"/>
      <c r="W140" s="611"/>
      <c r="X140" s="611"/>
      <c r="Y140" s="611"/>
      <c r="Z140" s="611"/>
      <c r="AA140" s="62"/>
      <c r="AB140" s="62"/>
      <c r="AC140" s="62"/>
    </row>
    <row r="141" spans="1:68" ht="14.25" hidden="1" customHeight="1" x14ac:dyDescent="0.25">
      <c r="A141" s="595" t="s">
        <v>128</v>
      </c>
      <c r="B141" s="595"/>
      <c r="C141" s="595"/>
      <c r="D141" s="595"/>
      <c r="E141" s="595"/>
      <c r="F141" s="595"/>
      <c r="G141" s="595"/>
      <c r="H141" s="595"/>
      <c r="I141" s="595"/>
      <c r="J141" s="595"/>
      <c r="K141" s="595"/>
      <c r="L141" s="595"/>
      <c r="M141" s="595"/>
      <c r="N141" s="595"/>
      <c r="O141" s="595"/>
      <c r="P141" s="595"/>
      <c r="Q141" s="595"/>
      <c r="R141" s="595"/>
      <c r="S141" s="595"/>
      <c r="T141" s="595"/>
      <c r="U141" s="595"/>
      <c r="V141" s="595"/>
      <c r="W141" s="595"/>
      <c r="X141" s="595"/>
      <c r="Y141" s="595"/>
      <c r="Z141" s="595"/>
      <c r="AA141" s="63"/>
      <c r="AB141" s="63"/>
      <c r="AC141" s="63"/>
    </row>
    <row r="142" spans="1:68" ht="27" hidden="1" customHeight="1" x14ac:dyDescent="0.25">
      <c r="A142" s="60" t="s">
        <v>265</v>
      </c>
      <c r="B142" s="60" t="s">
        <v>266</v>
      </c>
      <c r="C142" s="34">
        <v>4301012244</v>
      </c>
      <c r="D142" s="596">
        <v>4680115887374</v>
      </c>
      <c r="E142" s="596"/>
      <c r="F142" s="59">
        <v>1.6</v>
      </c>
      <c r="G142" s="35">
        <v>8</v>
      </c>
      <c r="H142" s="59">
        <v>12.8</v>
      </c>
      <c r="I142" s="59">
        <v>13.21</v>
      </c>
      <c r="J142" s="35">
        <v>64</v>
      </c>
      <c r="K142" s="35" t="s">
        <v>133</v>
      </c>
      <c r="L142" s="35" t="s">
        <v>46</v>
      </c>
      <c r="M142" s="36" t="s">
        <v>132</v>
      </c>
      <c r="N142" s="36"/>
      <c r="O142" s="35">
        <v>55</v>
      </c>
      <c r="P142" s="80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98"/>
      <c r="R142" s="598"/>
      <c r="S142" s="598"/>
      <c r="T142" s="59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IFERROR(IF(Y142=0,"",ROUNDUP(Y142/H142,0)*0.01898),"")</f>
        <v/>
      </c>
      <c r="AA142" s="65" t="s">
        <v>46</v>
      </c>
      <c r="AB142" s="66" t="s">
        <v>46</v>
      </c>
      <c r="AC142" s="207" t="s">
        <v>267</v>
      </c>
      <c r="AG142" s="75"/>
      <c r="AJ142" s="79" t="s">
        <v>46</v>
      </c>
      <c r="AK142" s="79">
        <v>0</v>
      </c>
      <c r="BB142" s="208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hidden="1" customHeight="1" x14ac:dyDescent="0.25">
      <c r="A143" s="60" t="s">
        <v>268</v>
      </c>
      <c r="B143" s="60" t="s">
        <v>269</v>
      </c>
      <c r="C143" s="34">
        <v>4301011705</v>
      </c>
      <c r="D143" s="596">
        <v>4607091384604</v>
      </c>
      <c r="E143" s="596"/>
      <c r="F143" s="59">
        <v>0.4</v>
      </c>
      <c r="G143" s="35">
        <v>10</v>
      </c>
      <c r="H143" s="59">
        <v>4</v>
      </c>
      <c r="I143" s="59">
        <v>4.1900000000000004</v>
      </c>
      <c r="J143" s="35">
        <v>132</v>
      </c>
      <c r="K143" s="35" t="s">
        <v>140</v>
      </c>
      <c r="L143" s="35" t="s">
        <v>46</v>
      </c>
      <c r="M143" s="36" t="s">
        <v>132</v>
      </c>
      <c r="N143" s="36"/>
      <c r="O143" s="35">
        <v>50</v>
      </c>
      <c r="P143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98"/>
      <c r="R143" s="598"/>
      <c r="S143" s="598"/>
      <c r="T143" s="599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IFERROR(IF(Y143=0,"",ROUNDUP(Y143/H143,0)*0.00902),"")</f>
        <v/>
      </c>
      <c r="AA143" s="65" t="s">
        <v>46</v>
      </c>
      <c r="AB143" s="66" t="s">
        <v>46</v>
      </c>
      <c r="AC143" s="209" t="s">
        <v>270</v>
      </c>
      <c r="AG143" s="75"/>
      <c r="AJ143" s="79" t="s">
        <v>46</v>
      </c>
      <c r="AK143" s="79">
        <v>0</v>
      </c>
      <c r="BB143" s="210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03"/>
      <c r="B144" s="603"/>
      <c r="C144" s="603"/>
      <c r="D144" s="603"/>
      <c r="E144" s="603"/>
      <c r="F144" s="603"/>
      <c r="G144" s="603"/>
      <c r="H144" s="603"/>
      <c r="I144" s="603"/>
      <c r="J144" s="603"/>
      <c r="K144" s="603"/>
      <c r="L144" s="603"/>
      <c r="M144" s="603"/>
      <c r="N144" s="603"/>
      <c r="O144" s="604"/>
      <c r="P144" s="600" t="s">
        <v>40</v>
      </c>
      <c r="Q144" s="601"/>
      <c r="R144" s="601"/>
      <c r="S144" s="601"/>
      <c r="T144" s="601"/>
      <c r="U144" s="601"/>
      <c r="V144" s="602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03"/>
      <c r="B145" s="603"/>
      <c r="C145" s="603"/>
      <c r="D145" s="603"/>
      <c r="E145" s="603"/>
      <c r="F145" s="603"/>
      <c r="G145" s="603"/>
      <c r="H145" s="603"/>
      <c r="I145" s="603"/>
      <c r="J145" s="603"/>
      <c r="K145" s="603"/>
      <c r="L145" s="603"/>
      <c r="M145" s="603"/>
      <c r="N145" s="603"/>
      <c r="O145" s="604"/>
      <c r="P145" s="600" t="s">
        <v>40</v>
      </c>
      <c r="Q145" s="601"/>
      <c r="R145" s="601"/>
      <c r="S145" s="601"/>
      <c r="T145" s="601"/>
      <c r="U145" s="601"/>
      <c r="V145" s="602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hidden="1" customHeight="1" x14ac:dyDescent="0.25">
      <c r="A146" s="595" t="s">
        <v>163</v>
      </c>
      <c r="B146" s="595"/>
      <c r="C146" s="595"/>
      <c r="D146" s="595"/>
      <c r="E146" s="595"/>
      <c r="F146" s="595"/>
      <c r="G146" s="595"/>
      <c r="H146" s="595"/>
      <c r="I146" s="595"/>
      <c r="J146" s="595"/>
      <c r="K146" s="595"/>
      <c r="L146" s="595"/>
      <c r="M146" s="595"/>
      <c r="N146" s="595"/>
      <c r="O146" s="595"/>
      <c r="P146" s="595"/>
      <c r="Q146" s="595"/>
      <c r="R146" s="595"/>
      <c r="S146" s="595"/>
      <c r="T146" s="595"/>
      <c r="U146" s="595"/>
      <c r="V146" s="595"/>
      <c r="W146" s="595"/>
      <c r="X146" s="595"/>
      <c r="Y146" s="595"/>
      <c r="Z146" s="595"/>
      <c r="AA146" s="63"/>
      <c r="AB146" s="63"/>
      <c r="AC146" s="63"/>
    </row>
    <row r="147" spans="1:68" ht="16.5" hidden="1" customHeight="1" x14ac:dyDescent="0.25">
      <c r="A147" s="60" t="s">
        <v>271</v>
      </c>
      <c r="B147" s="60" t="s">
        <v>272</v>
      </c>
      <c r="C147" s="34">
        <v>4301020410</v>
      </c>
      <c r="D147" s="596">
        <v>4680115887695</v>
      </c>
      <c r="E147" s="596"/>
      <c r="F147" s="59">
        <v>0.12</v>
      </c>
      <c r="G147" s="35">
        <v>6</v>
      </c>
      <c r="H147" s="59">
        <v>0.72</v>
      </c>
      <c r="I147" s="59">
        <v>0.85</v>
      </c>
      <c r="J147" s="35">
        <v>252</v>
      </c>
      <c r="K147" s="35" t="s">
        <v>82</v>
      </c>
      <c r="L147" s="35" t="s">
        <v>46</v>
      </c>
      <c r="M147" s="36" t="s">
        <v>81</v>
      </c>
      <c r="N147" s="36"/>
      <c r="O147" s="35">
        <v>30</v>
      </c>
      <c r="P147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47" s="598"/>
      <c r="R147" s="598"/>
      <c r="S147" s="598"/>
      <c r="T147" s="59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IFERROR(IF(Y147=0,"",ROUNDUP(Y147/H147,0)*0.00556),"")</f>
        <v/>
      </c>
      <c r="AA147" s="65" t="s">
        <v>46</v>
      </c>
      <c r="AB147" s="66" t="s">
        <v>46</v>
      </c>
      <c r="AC147" s="211" t="s">
        <v>273</v>
      </c>
      <c r="AG147" s="75"/>
      <c r="AJ147" s="79" t="s">
        <v>46</v>
      </c>
      <c r="AK147" s="79">
        <v>0</v>
      </c>
      <c r="BB147" s="212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03"/>
      <c r="B148" s="603"/>
      <c r="C148" s="603"/>
      <c r="D148" s="603"/>
      <c r="E148" s="603"/>
      <c r="F148" s="603"/>
      <c r="G148" s="603"/>
      <c r="H148" s="603"/>
      <c r="I148" s="603"/>
      <c r="J148" s="603"/>
      <c r="K148" s="603"/>
      <c r="L148" s="603"/>
      <c r="M148" s="603"/>
      <c r="N148" s="603"/>
      <c r="O148" s="604"/>
      <c r="P148" s="600" t="s">
        <v>40</v>
      </c>
      <c r="Q148" s="601"/>
      <c r="R148" s="601"/>
      <c r="S148" s="601"/>
      <c r="T148" s="601"/>
      <c r="U148" s="601"/>
      <c r="V148" s="602"/>
      <c r="W148" s="40" t="s">
        <v>39</v>
      </c>
      <c r="X148" s="41">
        <f>IFERROR(X147/H147,"0")</f>
        <v>0</v>
      </c>
      <c r="Y148" s="41">
        <f>IFERROR(Y147/H147,"0")</f>
        <v>0</v>
      </c>
      <c r="Z148" s="41">
        <f>IFERROR(IF(Z147="",0,Z147),"0")</f>
        <v>0</v>
      </c>
      <c r="AA148" s="64"/>
      <c r="AB148" s="64"/>
      <c r="AC148" s="64"/>
    </row>
    <row r="149" spans="1:68" hidden="1" x14ac:dyDescent="0.2">
      <c r="A149" s="603"/>
      <c r="B149" s="603"/>
      <c r="C149" s="603"/>
      <c r="D149" s="603"/>
      <c r="E149" s="603"/>
      <c r="F149" s="603"/>
      <c r="G149" s="603"/>
      <c r="H149" s="603"/>
      <c r="I149" s="603"/>
      <c r="J149" s="603"/>
      <c r="K149" s="603"/>
      <c r="L149" s="603"/>
      <c r="M149" s="603"/>
      <c r="N149" s="603"/>
      <c r="O149" s="604"/>
      <c r="P149" s="600" t="s">
        <v>40</v>
      </c>
      <c r="Q149" s="601"/>
      <c r="R149" s="601"/>
      <c r="S149" s="601"/>
      <c r="T149" s="601"/>
      <c r="U149" s="601"/>
      <c r="V149" s="602"/>
      <c r="W149" s="40" t="s">
        <v>0</v>
      </c>
      <c r="X149" s="41">
        <f>IFERROR(SUM(X147:X147),"0")</f>
        <v>0</v>
      </c>
      <c r="Y149" s="41">
        <f>IFERROR(SUM(Y147:Y147),"0")</f>
        <v>0</v>
      </c>
      <c r="Z149" s="40"/>
      <c r="AA149" s="64"/>
      <c r="AB149" s="64"/>
      <c r="AC149" s="64"/>
    </row>
    <row r="150" spans="1:68" ht="14.25" hidden="1" customHeight="1" x14ac:dyDescent="0.25">
      <c r="A150" s="595" t="s">
        <v>77</v>
      </c>
      <c r="B150" s="595"/>
      <c r="C150" s="595"/>
      <c r="D150" s="595"/>
      <c r="E150" s="595"/>
      <c r="F150" s="595"/>
      <c r="G150" s="595"/>
      <c r="H150" s="595"/>
      <c r="I150" s="595"/>
      <c r="J150" s="595"/>
      <c r="K150" s="595"/>
      <c r="L150" s="595"/>
      <c r="M150" s="595"/>
      <c r="N150" s="595"/>
      <c r="O150" s="595"/>
      <c r="P150" s="595"/>
      <c r="Q150" s="595"/>
      <c r="R150" s="595"/>
      <c r="S150" s="595"/>
      <c r="T150" s="595"/>
      <c r="U150" s="595"/>
      <c r="V150" s="595"/>
      <c r="W150" s="595"/>
      <c r="X150" s="595"/>
      <c r="Y150" s="595"/>
      <c r="Z150" s="595"/>
      <c r="AA150" s="63"/>
      <c r="AB150" s="63"/>
      <c r="AC150" s="63"/>
    </row>
    <row r="151" spans="1:68" ht="27" hidden="1" customHeight="1" x14ac:dyDescent="0.25">
      <c r="A151" s="60" t="s">
        <v>274</v>
      </c>
      <c r="B151" s="60" t="s">
        <v>275</v>
      </c>
      <c r="C151" s="34">
        <v>4301031496</v>
      </c>
      <c r="D151" s="596">
        <v>4680115887428</v>
      </c>
      <c r="E151" s="596"/>
      <c r="F151" s="59">
        <v>0.7</v>
      </c>
      <c r="G151" s="35">
        <v>5</v>
      </c>
      <c r="H151" s="59">
        <v>3.5</v>
      </c>
      <c r="I151" s="59">
        <v>3.69</v>
      </c>
      <c r="J151" s="35">
        <v>132</v>
      </c>
      <c r="K151" s="35" t="s">
        <v>140</v>
      </c>
      <c r="L151" s="35" t="s">
        <v>46</v>
      </c>
      <c r="M151" s="36" t="s">
        <v>81</v>
      </c>
      <c r="N151" s="36"/>
      <c r="O151" s="35">
        <v>40</v>
      </c>
      <c r="P151" s="79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51" s="598"/>
      <c r="R151" s="598"/>
      <c r="S151" s="598"/>
      <c r="T151" s="599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ref="Y151:Y161" si="21">IFERROR(IF(X151="",0,CEILING((X151/$H151),1)*$H151),"")</f>
        <v>0</v>
      </c>
      <c r="Z151" s="39" t="str">
        <f>IFERROR(IF(Y151=0,"",ROUNDUP(Y151/H151,0)*0.00902),"")</f>
        <v/>
      </c>
      <c r="AA151" s="65" t="s">
        <v>46</v>
      </c>
      <c r="AB151" s="66" t="s">
        <v>46</v>
      </c>
      <c r="AC151" s="213" t="s">
        <v>276</v>
      </c>
      <c r="AG151" s="75"/>
      <c r="AJ151" s="79" t="s">
        <v>46</v>
      </c>
      <c r="AK151" s="79">
        <v>0</v>
      </c>
      <c r="BB151" s="214" t="s">
        <v>67</v>
      </c>
      <c r="BM151" s="75">
        <f t="shared" ref="BM151:BM161" si="22">IFERROR(X151*I151/H151,"0")</f>
        <v>0</v>
      </c>
      <c r="BN151" s="75">
        <f t="shared" ref="BN151:BN161" si="23">IFERROR(Y151*I151/H151,"0")</f>
        <v>0</v>
      </c>
      <c r="BO151" s="75">
        <f t="shared" ref="BO151:BO161" si="24">IFERROR(1/J151*(X151/H151),"0")</f>
        <v>0</v>
      </c>
      <c r="BP151" s="75">
        <f t="shared" ref="BP151:BP161" si="25">IFERROR(1/J151*(Y151/H151),"0")</f>
        <v>0</v>
      </c>
    </row>
    <row r="152" spans="1:68" ht="27" hidden="1" customHeight="1" x14ac:dyDescent="0.25">
      <c r="A152" s="60" t="s">
        <v>277</v>
      </c>
      <c r="B152" s="60" t="s">
        <v>278</v>
      </c>
      <c r="C152" s="34">
        <v>4301030963</v>
      </c>
      <c r="D152" s="596">
        <v>4607091382426</v>
      </c>
      <c r="E152" s="596"/>
      <c r="F152" s="59">
        <v>0.9</v>
      </c>
      <c r="G152" s="35">
        <v>10</v>
      </c>
      <c r="H152" s="59">
        <v>9</v>
      </c>
      <c r="I152" s="59">
        <v>9.56</v>
      </c>
      <c r="J152" s="35">
        <v>64</v>
      </c>
      <c r="K152" s="35" t="s">
        <v>133</v>
      </c>
      <c r="L152" s="35" t="s">
        <v>46</v>
      </c>
      <c r="M152" s="36" t="s">
        <v>81</v>
      </c>
      <c r="N152" s="36"/>
      <c r="O152" s="35">
        <v>40</v>
      </c>
      <c r="P152" s="79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98"/>
      <c r="R152" s="598"/>
      <c r="S152" s="598"/>
      <c r="T152" s="599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21"/>
        <v>0</v>
      </c>
      <c r="Z152" s="39" t="str">
        <f>IFERROR(IF(Y152=0,"",ROUNDUP(Y152/H152,0)*0.01898),"")</f>
        <v/>
      </c>
      <c r="AA152" s="65" t="s">
        <v>46</v>
      </c>
      <c r="AB152" s="66" t="s">
        <v>46</v>
      </c>
      <c r="AC152" s="215" t="s">
        <v>279</v>
      </c>
      <c r="AG152" s="75"/>
      <c r="AJ152" s="79" t="s">
        <v>46</v>
      </c>
      <c r="AK152" s="79">
        <v>0</v>
      </c>
      <c r="BB152" s="216" t="s">
        <v>67</v>
      </c>
      <c r="BM152" s="75">
        <f t="shared" si="22"/>
        <v>0</v>
      </c>
      <c r="BN152" s="75">
        <f t="shared" si="23"/>
        <v>0</v>
      </c>
      <c r="BO152" s="75">
        <f t="shared" si="24"/>
        <v>0</v>
      </c>
      <c r="BP152" s="75">
        <f t="shared" si="25"/>
        <v>0</v>
      </c>
    </row>
    <row r="153" spans="1:68" ht="27" hidden="1" customHeight="1" x14ac:dyDescent="0.25">
      <c r="A153" s="60" t="s">
        <v>280</v>
      </c>
      <c r="B153" s="60" t="s">
        <v>281</v>
      </c>
      <c r="C153" s="34">
        <v>4301031498</v>
      </c>
      <c r="D153" s="596">
        <v>4680115887398</v>
      </c>
      <c r="E153" s="596"/>
      <c r="F153" s="59">
        <v>0.7</v>
      </c>
      <c r="G153" s="35">
        <v>5</v>
      </c>
      <c r="H153" s="59">
        <v>3.5</v>
      </c>
      <c r="I153" s="59">
        <v>3.69</v>
      </c>
      <c r="J153" s="35">
        <v>132</v>
      </c>
      <c r="K153" s="35" t="s">
        <v>140</v>
      </c>
      <c r="L153" s="35" t="s">
        <v>46</v>
      </c>
      <c r="M153" s="36" t="s">
        <v>81</v>
      </c>
      <c r="N153" s="36"/>
      <c r="O153" s="35">
        <v>40</v>
      </c>
      <c r="P153" s="79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98"/>
      <c r="R153" s="598"/>
      <c r="S153" s="598"/>
      <c r="T153" s="599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21"/>
        <v>0</v>
      </c>
      <c r="Z153" s="39" t="str">
        <f>IFERROR(IF(Y153=0,"",ROUNDUP(Y153/H153,0)*0.00902),"")</f>
        <v/>
      </c>
      <c r="AA153" s="65" t="s">
        <v>46</v>
      </c>
      <c r="AB153" s="66" t="s">
        <v>46</v>
      </c>
      <c r="AC153" s="217" t="s">
        <v>282</v>
      </c>
      <c r="AG153" s="75"/>
      <c r="AJ153" s="79" t="s">
        <v>46</v>
      </c>
      <c r="AK153" s="79">
        <v>0</v>
      </c>
      <c r="BB153" s="218" t="s">
        <v>67</v>
      </c>
      <c r="BM153" s="75">
        <f t="shared" si="22"/>
        <v>0</v>
      </c>
      <c r="BN153" s="75">
        <f t="shared" si="23"/>
        <v>0</v>
      </c>
      <c r="BO153" s="75">
        <f t="shared" si="24"/>
        <v>0</v>
      </c>
      <c r="BP153" s="75">
        <f t="shared" si="25"/>
        <v>0</v>
      </c>
    </row>
    <row r="154" spans="1:68" ht="27" hidden="1" customHeight="1" x14ac:dyDescent="0.25">
      <c r="A154" s="60" t="s">
        <v>283</v>
      </c>
      <c r="B154" s="60" t="s">
        <v>284</v>
      </c>
      <c r="C154" s="34">
        <v>4301031497</v>
      </c>
      <c r="D154" s="596">
        <v>4680115887336</v>
      </c>
      <c r="E154" s="596"/>
      <c r="F154" s="59">
        <v>0.7</v>
      </c>
      <c r="G154" s="35">
        <v>5</v>
      </c>
      <c r="H154" s="59">
        <v>3.5</v>
      </c>
      <c r="I154" s="59">
        <v>3.69</v>
      </c>
      <c r="J154" s="35">
        <v>132</v>
      </c>
      <c r="K154" s="35" t="s">
        <v>140</v>
      </c>
      <c r="L154" s="35" t="s">
        <v>46</v>
      </c>
      <c r="M154" s="36" t="s">
        <v>81</v>
      </c>
      <c r="N154" s="36"/>
      <c r="O154" s="35">
        <v>40</v>
      </c>
      <c r="P154" s="79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4" s="598"/>
      <c r="R154" s="598"/>
      <c r="S154" s="598"/>
      <c r="T154" s="599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21"/>
        <v>0</v>
      </c>
      <c r="Z154" s="39" t="str">
        <f>IFERROR(IF(Y154=0,"",ROUNDUP(Y154/H154,0)*0.00902),"")</f>
        <v/>
      </c>
      <c r="AA154" s="65" t="s">
        <v>46</v>
      </c>
      <c r="AB154" s="66" t="s">
        <v>46</v>
      </c>
      <c r="AC154" s="219" t="s">
        <v>285</v>
      </c>
      <c r="AG154" s="75"/>
      <c r="AJ154" s="79" t="s">
        <v>46</v>
      </c>
      <c r="AK154" s="79">
        <v>0</v>
      </c>
      <c r="BB154" s="220" t="s">
        <v>67</v>
      </c>
      <c r="BM154" s="75">
        <f t="shared" si="22"/>
        <v>0</v>
      </c>
      <c r="BN154" s="75">
        <f t="shared" si="23"/>
        <v>0</v>
      </c>
      <c r="BO154" s="75">
        <f t="shared" si="24"/>
        <v>0</v>
      </c>
      <c r="BP154" s="75">
        <f t="shared" si="25"/>
        <v>0</v>
      </c>
    </row>
    <row r="155" spans="1:68" ht="16.5" hidden="1" customHeight="1" x14ac:dyDescent="0.25">
      <c r="A155" s="60" t="s">
        <v>286</v>
      </c>
      <c r="B155" s="60" t="s">
        <v>287</v>
      </c>
      <c r="C155" s="34">
        <v>4301032049</v>
      </c>
      <c r="D155" s="596">
        <v>4680115887787</v>
      </c>
      <c r="E155" s="596"/>
      <c r="F155" s="59">
        <v>0.09</v>
      </c>
      <c r="G155" s="35">
        <v>10</v>
      </c>
      <c r="H155" s="59">
        <v>0.9</v>
      </c>
      <c r="I155" s="59">
        <v>1.1100000000000001</v>
      </c>
      <c r="J155" s="35">
        <v>336</v>
      </c>
      <c r="K155" s="35" t="s">
        <v>137</v>
      </c>
      <c r="L155" s="35" t="s">
        <v>46</v>
      </c>
      <c r="M155" s="36" t="s">
        <v>81</v>
      </c>
      <c r="N155" s="36"/>
      <c r="O155" s="35">
        <v>45</v>
      </c>
      <c r="P155" s="79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5" s="598"/>
      <c r="R155" s="598"/>
      <c r="S155" s="598"/>
      <c r="T155" s="599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1"/>
        <v>0</v>
      </c>
      <c r="Z155" s="39" t="str">
        <f>IFERROR(IF(Y155=0,"",ROUNDUP(Y155/H155,0)*0.00417),"")</f>
        <v/>
      </c>
      <c r="AA155" s="65" t="s">
        <v>46</v>
      </c>
      <c r="AB155" s="66" t="s">
        <v>46</v>
      </c>
      <c r="AC155" s="221" t="s">
        <v>288</v>
      </c>
      <c r="AG155" s="75"/>
      <c r="AJ155" s="79" t="s">
        <v>46</v>
      </c>
      <c r="AK155" s="79">
        <v>0</v>
      </c>
      <c r="BB155" s="222" t="s">
        <v>67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289</v>
      </c>
      <c r="B156" s="60" t="s">
        <v>290</v>
      </c>
      <c r="C156" s="34">
        <v>4301031448</v>
      </c>
      <c r="D156" s="596">
        <v>4680115887503</v>
      </c>
      <c r="E156" s="596"/>
      <c r="F156" s="59">
        <v>0.28000000000000003</v>
      </c>
      <c r="G156" s="35">
        <v>6</v>
      </c>
      <c r="H156" s="59">
        <v>1.68</v>
      </c>
      <c r="I156" s="59">
        <v>1.78</v>
      </c>
      <c r="J156" s="35">
        <v>234</v>
      </c>
      <c r="K156" s="35" t="s">
        <v>82</v>
      </c>
      <c r="L156" s="35" t="s">
        <v>46</v>
      </c>
      <c r="M156" s="36" t="s">
        <v>81</v>
      </c>
      <c r="N156" s="36"/>
      <c r="O156" s="35">
        <v>40</v>
      </c>
      <c r="P156" s="79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56" s="598"/>
      <c r="R156" s="598"/>
      <c r="S156" s="598"/>
      <c r="T156" s="599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1"/>
        <v>0</v>
      </c>
      <c r="Z156" s="39" t="str">
        <f>IFERROR(IF(Y156=0,"",ROUNDUP(Y156/H156,0)*0.00502),"")</f>
        <v/>
      </c>
      <c r="AA156" s="65" t="s">
        <v>46</v>
      </c>
      <c r="AB156" s="66" t="s">
        <v>46</v>
      </c>
      <c r="AC156" s="223" t="s">
        <v>276</v>
      </c>
      <c r="AG156" s="75"/>
      <c r="AJ156" s="79" t="s">
        <v>46</v>
      </c>
      <c r="AK156" s="79">
        <v>0</v>
      </c>
      <c r="BB156" s="224" t="s">
        <v>67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291</v>
      </c>
      <c r="B157" s="60" t="s">
        <v>292</v>
      </c>
      <c r="C157" s="34">
        <v>4301031389</v>
      </c>
      <c r="D157" s="596">
        <v>4680115887763</v>
      </c>
      <c r="E157" s="596"/>
      <c r="F157" s="59">
        <v>0.09</v>
      </c>
      <c r="G157" s="35">
        <v>10</v>
      </c>
      <c r="H157" s="59">
        <v>0.9</v>
      </c>
      <c r="I157" s="59">
        <v>1.1100000000000001</v>
      </c>
      <c r="J157" s="35">
        <v>336</v>
      </c>
      <c r="K157" s="35" t="s">
        <v>137</v>
      </c>
      <c r="L157" s="35" t="s">
        <v>46</v>
      </c>
      <c r="M157" s="36" t="s">
        <v>81</v>
      </c>
      <c r="N157" s="36"/>
      <c r="O157" s="35">
        <v>45</v>
      </c>
      <c r="P157" s="79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57" s="598"/>
      <c r="R157" s="598"/>
      <c r="S157" s="598"/>
      <c r="T157" s="599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1"/>
        <v>0</v>
      </c>
      <c r="Z157" s="39" t="str">
        <f>IFERROR(IF(Y157=0,"",ROUNDUP(Y157/H157,0)*0.00417),"")</f>
        <v/>
      </c>
      <c r="AA157" s="65" t="s">
        <v>46</v>
      </c>
      <c r="AB157" s="66" t="s">
        <v>46</v>
      </c>
      <c r="AC157" s="225" t="s">
        <v>293</v>
      </c>
      <c r="AG157" s="75"/>
      <c r="AJ157" s="79" t="s">
        <v>46</v>
      </c>
      <c r="AK157" s="79">
        <v>0</v>
      </c>
      <c r="BB157" s="226" t="s">
        <v>67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291</v>
      </c>
      <c r="B158" s="60" t="s">
        <v>294</v>
      </c>
      <c r="C158" s="34">
        <v>4301031510</v>
      </c>
      <c r="D158" s="596">
        <v>4680115887763</v>
      </c>
      <c r="E158" s="596"/>
      <c r="F158" s="59">
        <v>0.09</v>
      </c>
      <c r="G158" s="35">
        <v>8</v>
      </c>
      <c r="H158" s="59">
        <v>0.72</v>
      </c>
      <c r="I158" s="59">
        <v>0.90800000000000003</v>
      </c>
      <c r="J158" s="35">
        <v>336</v>
      </c>
      <c r="K158" s="35" t="s">
        <v>137</v>
      </c>
      <c r="L158" s="35" t="s">
        <v>46</v>
      </c>
      <c r="M158" s="36" t="s">
        <v>81</v>
      </c>
      <c r="N158" s="36"/>
      <c r="O158" s="35">
        <v>45</v>
      </c>
      <c r="P158" s="79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58" s="598"/>
      <c r="R158" s="598"/>
      <c r="S158" s="598"/>
      <c r="T158" s="599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1"/>
        <v>0</v>
      </c>
      <c r="Z158" s="39" t="str">
        <f>IFERROR(IF(Y158=0,"",ROUNDUP(Y158/H158,0)*0.00417),"")</f>
        <v/>
      </c>
      <c r="AA158" s="65" t="s">
        <v>46</v>
      </c>
      <c r="AB158" s="66" t="s">
        <v>46</v>
      </c>
      <c r="AC158" s="227" t="s">
        <v>293</v>
      </c>
      <c r="AG158" s="75"/>
      <c r="AJ158" s="79" t="s">
        <v>46</v>
      </c>
      <c r="AK158" s="79">
        <v>0</v>
      </c>
      <c r="BB158" s="228" t="s">
        <v>67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295</v>
      </c>
      <c r="B159" s="60" t="s">
        <v>296</v>
      </c>
      <c r="C159" s="34">
        <v>4301031454</v>
      </c>
      <c r="D159" s="596">
        <v>4680115887480</v>
      </c>
      <c r="E159" s="596"/>
      <c r="F159" s="59">
        <v>0.28000000000000003</v>
      </c>
      <c r="G159" s="35">
        <v>6</v>
      </c>
      <c r="H159" s="59">
        <v>1.68</v>
      </c>
      <c r="I159" s="59">
        <v>1.78</v>
      </c>
      <c r="J159" s="35">
        <v>234</v>
      </c>
      <c r="K159" s="35" t="s">
        <v>82</v>
      </c>
      <c r="L159" s="35" t="s">
        <v>46</v>
      </c>
      <c r="M159" s="36" t="s">
        <v>81</v>
      </c>
      <c r="N159" s="36"/>
      <c r="O159" s="35">
        <v>40</v>
      </c>
      <c r="P159" s="79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59" s="598"/>
      <c r="R159" s="598"/>
      <c r="S159" s="598"/>
      <c r="T159" s="599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1"/>
        <v>0</v>
      </c>
      <c r="Z159" s="39" t="str">
        <f>IFERROR(IF(Y159=0,"",ROUNDUP(Y159/H159,0)*0.00502),"")</f>
        <v/>
      </c>
      <c r="AA159" s="65" t="s">
        <v>46</v>
      </c>
      <c r="AB159" s="66" t="s">
        <v>46</v>
      </c>
      <c r="AC159" s="229" t="s">
        <v>282</v>
      </c>
      <c r="AG159" s="75"/>
      <c r="AJ159" s="79" t="s">
        <v>46</v>
      </c>
      <c r="AK159" s="79">
        <v>0</v>
      </c>
      <c r="BB159" s="230" t="s">
        <v>67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297</v>
      </c>
      <c r="B160" s="60" t="s">
        <v>298</v>
      </c>
      <c r="C160" s="34">
        <v>4301031434</v>
      </c>
      <c r="D160" s="596">
        <v>4680115888067</v>
      </c>
      <c r="E160" s="596"/>
      <c r="F160" s="59">
        <v>0.09</v>
      </c>
      <c r="G160" s="35">
        <v>10</v>
      </c>
      <c r="H160" s="59">
        <v>0.9</v>
      </c>
      <c r="I160" s="59">
        <v>1</v>
      </c>
      <c r="J160" s="35">
        <v>336</v>
      </c>
      <c r="K160" s="35" t="s">
        <v>137</v>
      </c>
      <c r="L160" s="35" t="s">
        <v>46</v>
      </c>
      <c r="M160" s="36" t="s">
        <v>81</v>
      </c>
      <c r="N160" s="36"/>
      <c r="O160" s="35">
        <v>45</v>
      </c>
      <c r="P160" s="78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0" s="598"/>
      <c r="R160" s="598"/>
      <c r="S160" s="598"/>
      <c r="T160" s="599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1"/>
        <v>0</v>
      </c>
      <c r="Z160" s="39" t="str">
        <f>IFERROR(IF(Y160=0,"",ROUNDUP(Y160/H160,0)*0.00417),"")</f>
        <v/>
      </c>
      <c r="AA160" s="65" t="s">
        <v>46</v>
      </c>
      <c r="AB160" s="66" t="s">
        <v>46</v>
      </c>
      <c r="AC160" s="231" t="s">
        <v>299</v>
      </c>
      <c r="AG160" s="75"/>
      <c r="AJ160" s="79" t="s">
        <v>46</v>
      </c>
      <c r="AK160" s="79">
        <v>0</v>
      </c>
      <c r="BB160" s="232" t="s">
        <v>67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t="27" hidden="1" customHeight="1" x14ac:dyDescent="0.25">
      <c r="A161" s="60" t="s">
        <v>300</v>
      </c>
      <c r="B161" s="60" t="s">
        <v>301</v>
      </c>
      <c r="C161" s="34">
        <v>4301031451</v>
      </c>
      <c r="D161" s="596">
        <v>4680115887435</v>
      </c>
      <c r="E161" s="596"/>
      <c r="F161" s="59">
        <v>0.28000000000000003</v>
      </c>
      <c r="G161" s="35">
        <v>6</v>
      </c>
      <c r="H161" s="59">
        <v>1.68</v>
      </c>
      <c r="I161" s="59">
        <v>1.78</v>
      </c>
      <c r="J161" s="35">
        <v>234</v>
      </c>
      <c r="K161" s="35" t="s">
        <v>82</v>
      </c>
      <c r="L161" s="35" t="s">
        <v>46</v>
      </c>
      <c r="M161" s="36" t="s">
        <v>81</v>
      </c>
      <c r="N161" s="36"/>
      <c r="O161" s="35">
        <v>40</v>
      </c>
      <c r="P161" s="78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1" s="598"/>
      <c r="R161" s="598"/>
      <c r="S161" s="598"/>
      <c r="T161" s="599"/>
      <c r="U161" s="37" t="s">
        <v>46</v>
      </c>
      <c r="V161" s="37" t="s">
        <v>46</v>
      </c>
      <c r="W161" s="38" t="s">
        <v>0</v>
      </c>
      <c r="X161" s="56">
        <v>0</v>
      </c>
      <c r="Y161" s="53">
        <f t="shared" si="21"/>
        <v>0</v>
      </c>
      <c r="Z161" s="39" t="str">
        <f>IFERROR(IF(Y161=0,"",ROUNDUP(Y161/H161,0)*0.00502),"")</f>
        <v/>
      </c>
      <c r="AA161" s="65" t="s">
        <v>46</v>
      </c>
      <c r="AB161" s="66" t="s">
        <v>46</v>
      </c>
      <c r="AC161" s="233" t="s">
        <v>285</v>
      </c>
      <c r="AG161" s="75"/>
      <c r="AJ161" s="79" t="s">
        <v>46</v>
      </c>
      <c r="AK161" s="79">
        <v>0</v>
      </c>
      <c r="BB161" s="234" t="s">
        <v>67</v>
      </c>
      <c r="BM161" s="75">
        <f t="shared" si="22"/>
        <v>0</v>
      </c>
      <c r="BN161" s="75">
        <f t="shared" si="23"/>
        <v>0</v>
      </c>
      <c r="BO161" s="75">
        <f t="shared" si="24"/>
        <v>0</v>
      </c>
      <c r="BP161" s="75">
        <f t="shared" si="25"/>
        <v>0</v>
      </c>
    </row>
    <row r="162" spans="1:68" hidden="1" x14ac:dyDescent="0.2">
      <c r="A162" s="603"/>
      <c r="B162" s="603"/>
      <c r="C162" s="603"/>
      <c r="D162" s="603"/>
      <c r="E162" s="603"/>
      <c r="F162" s="603"/>
      <c r="G162" s="603"/>
      <c r="H162" s="603"/>
      <c r="I162" s="603"/>
      <c r="J162" s="603"/>
      <c r="K162" s="603"/>
      <c r="L162" s="603"/>
      <c r="M162" s="603"/>
      <c r="N162" s="603"/>
      <c r="O162" s="604"/>
      <c r="P162" s="600" t="s">
        <v>40</v>
      </c>
      <c r="Q162" s="601"/>
      <c r="R162" s="601"/>
      <c r="S162" s="601"/>
      <c r="T162" s="601"/>
      <c r="U162" s="601"/>
      <c r="V162" s="602"/>
      <c r="W162" s="40" t="s">
        <v>39</v>
      </c>
      <c r="X162" s="41">
        <f>IFERROR(X151/H151,"0")+IFERROR(X152/H152,"0")+IFERROR(X153/H153,"0")+IFERROR(X154/H154,"0")+IFERROR(X155/H155,"0")+IFERROR(X156/H156,"0")+IFERROR(X157/H157,"0")+IFERROR(X158/H158,"0")+IFERROR(X159/H159,"0")+IFERROR(X160/H160,"0")+IFERROR(X161/H161,"0")</f>
        <v>0</v>
      </c>
      <c r="Y162" s="41">
        <f>IFERROR(Y151/H151,"0")+IFERROR(Y152/H152,"0")+IFERROR(Y153/H153,"0")+IFERROR(Y154/H154,"0")+IFERROR(Y155/H155,"0")+IFERROR(Y156/H156,"0")+IFERROR(Y157/H157,"0")+IFERROR(Y158/H158,"0")+IFERROR(Y159/H159,"0")+IFERROR(Y160/H160,"0")+IFERROR(Y161/H161,"0")</f>
        <v>0</v>
      </c>
      <c r="Z162" s="41">
        <f>IFERROR(IF(Z151="",0,Z151),"0")+IFERROR(IF(Z152="",0,Z152),"0")+IFERROR(IF(Z153="",0,Z153),"0")+IFERROR(IF(Z154="",0,Z154),"0")+IFERROR(IF(Z155="",0,Z155),"0")+IFERROR(IF(Z156="",0,Z156),"0")+IFERROR(IF(Z157="",0,Z157),"0")+IFERROR(IF(Z158="",0,Z158),"0")+IFERROR(IF(Z159="",0,Z159),"0")+IFERROR(IF(Z160="",0,Z160),"0")+IFERROR(IF(Z161="",0,Z161),"0")</f>
        <v>0</v>
      </c>
      <c r="AA162" s="64"/>
      <c r="AB162" s="64"/>
      <c r="AC162" s="64"/>
    </row>
    <row r="163" spans="1:68" hidden="1" x14ac:dyDescent="0.2">
      <c r="A163" s="603"/>
      <c r="B163" s="603"/>
      <c r="C163" s="603"/>
      <c r="D163" s="603"/>
      <c r="E163" s="603"/>
      <c r="F163" s="603"/>
      <c r="G163" s="603"/>
      <c r="H163" s="603"/>
      <c r="I163" s="603"/>
      <c r="J163" s="603"/>
      <c r="K163" s="603"/>
      <c r="L163" s="603"/>
      <c r="M163" s="603"/>
      <c r="N163" s="603"/>
      <c r="O163" s="604"/>
      <c r="P163" s="600" t="s">
        <v>40</v>
      </c>
      <c r="Q163" s="601"/>
      <c r="R163" s="601"/>
      <c r="S163" s="601"/>
      <c r="T163" s="601"/>
      <c r="U163" s="601"/>
      <c r="V163" s="602"/>
      <c r="W163" s="40" t="s">
        <v>0</v>
      </c>
      <c r="X163" s="41">
        <f>IFERROR(SUM(X151:X161),"0")</f>
        <v>0</v>
      </c>
      <c r="Y163" s="41">
        <f>IFERROR(SUM(Y151:Y161),"0")</f>
        <v>0</v>
      </c>
      <c r="Z163" s="40"/>
      <c r="AA163" s="64"/>
      <c r="AB163" s="64"/>
      <c r="AC163" s="64"/>
    </row>
    <row r="164" spans="1:68" ht="14.25" hidden="1" customHeight="1" x14ac:dyDescent="0.25">
      <c r="A164" s="595" t="s">
        <v>86</v>
      </c>
      <c r="B164" s="595"/>
      <c r="C164" s="595"/>
      <c r="D164" s="595"/>
      <c r="E164" s="595"/>
      <c r="F164" s="595"/>
      <c r="G164" s="595"/>
      <c r="H164" s="595"/>
      <c r="I164" s="595"/>
      <c r="J164" s="595"/>
      <c r="K164" s="595"/>
      <c r="L164" s="595"/>
      <c r="M164" s="595"/>
      <c r="N164" s="595"/>
      <c r="O164" s="595"/>
      <c r="P164" s="595"/>
      <c r="Q164" s="595"/>
      <c r="R164" s="595"/>
      <c r="S164" s="595"/>
      <c r="T164" s="595"/>
      <c r="U164" s="595"/>
      <c r="V164" s="595"/>
      <c r="W164" s="595"/>
      <c r="X164" s="595"/>
      <c r="Y164" s="595"/>
      <c r="Z164" s="595"/>
      <c r="AA164" s="63"/>
      <c r="AB164" s="63"/>
      <c r="AC164" s="63"/>
    </row>
    <row r="165" spans="1:68" ht="16.5" hidden="1" customHeight="1" x14ac:dyDescent="0.25">
      <c r="A165" s="60" t="s">
        <v>302</v>
      </c>
      <c r="B165" s="60" t="s">
        <v>303</v>
      </c>
      <c r="C165" s="34">
        <v>4301052193</v>
      </c>
      <c r="D165" s="596">
        <v>4680115888395</v>
      </c>
      <c r="E165" s="596"/>
      <c r="F165" s="59">
        <v>0.42</v>
      </c>
      <c r="G165" s="35">
        <v>6</v>
      </c>
      <c r="H165" s="59">
        <v>2.52</v>
      </c>
      <c r="I165" s="59">
        <v>2.766</v>
      </c>
      <c r="J165" s="35">
        <v>182</v>
      </c>
      <c r="K165" s="35" t="s">
        <v>91</v>
      </c>
      <c r="L165" s="35" t="s">
        <v>46</v>
      </c>
      <c r="M165" s="36" t="s">
        <v>97</v>
      </c>
      <c r="N165" s="36"/>
      <c r="O165" s="35">
        <v>40</v>
      </c>
      <c r="P165" s="78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65" s="598"/>
      <c r="R165" s="598"/>
      <c r="S165" s="598"/>
      <c r="T165" s="599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IFERROR(IF(Y165=0,"",ROUNDUP(Y165/H165,0)*0.00651),"")</f>
        <v/>
      </c>
      <c r="AA165" s="65" t="s">
        <v>46</v>
      </c>
      <c r="AB165" s="66" t="s">
        <v>46</v>
      </c>
      <c r="AC165" s="235" t="s">
        <v>304</v>
      </c>
      <c r="AG165" s="75"/>
      <c r="AJ165" s="79" t="s">
        <v>46</v>
      </c>
      <c r="AK165" s="79">
        <v>0</v>
      </c>
      <c r="BB165" s="236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305</v>
      </c>
      <c r="B166" s="60" t="s">
        <v>306</v>
      </c>
      <c r="C166" s="34">
        <v>4301052191</v>
      </c>
      <c r="D166" s="596">
        <v>4680115888371</v>
      </c>
      <c r="E166" s="596"/>
      <c r="F166" s="59">
        <v>0.42</v>
      </c>
      <c r="G166" s="35">
        <v>6</v>
      </c>
      <c r="H166" s="59">
        <v>2.52</v>
      </c>
      <c r="I166" s="59">
        <v>2.766</v>
      </c>
      <c r="J166" s="35">
        <v>182</v>
      </c>
      <c r="K166" s="35" t="s">
        <v>91</v>
      </c>
      <c r="L166" s="35" t="s">
        <v>46</v>
      </c>
      <c r="M166" s="36" t="s">
        <v>97</v>
      </c>
      <c r="N166" s="36"/>
      <c r="O166" s="35">
        <v>40</v>
      </c>
      <c r="P166" s="78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66" s="598"/>
      <c r="R166" s="598"/>
      <c r="S166" s="598"/>
      <c r="T166" s="599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7" t="s">
        <v>307</v>
      </c>
      <c r="AG166" s="75"/>
      <c r="AJ166" s="79" t="s">
        <v>46</v>
      </c>
      <c r="AK166" s="79">
        <v>0</v>
      </c>
      <c r="BB166" s="238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308</v>
      </c>
      <c r="B167" s="60" t="s">
        <v>309</v>
      </c>
      <c r="C167" s="34">
        <v>4301052064</v>
      </c>
      <c r="D167" s="596">
        <v>4680115887459</v>
      </c>
      <c r="E167" s="596"/>
      <c r="F167" s="59">
        <v>0.3</v>
      </c>
      <c r="G167" s="35">
        <v>6</v>
      </c>
      <c r="H167" s="59">
        <v>1.8</v>
      </c>
      <c r="I167" s="59">
        <v>2.0579999999999998</v>
      </c>
      <c r="J167" s="35">
        <v>182</v>
      </c>
      <c r="K167" s="35" t="s">
        <v>91</v>
      </c>
      <c r="L167" s="35" t="s">
        <v>46</v>
      </c>
      <c r="M167" s="36" t="s">
        <v>90</v>
      </c>
      <c r="N167" s="36"/>
      <c r="O167" s="35">
        <v>45</v>
      </c>
      <c r="P167" s="78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7" s="598"/>
      <c r="R167" s="598"/>
      <c r="S167" s="598"/>
      <c r="T167" s="59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IFERROR(IF(Y167=0,"",ROUNDUP(Y167/H167,0)*0.00651),"")</f>
        <v/>
      </c>
      <c r="AA167" s="65" t="s">
        <v>46</v>
      </c>
      <c r="AB167" s="66" t="s">
        <v>46</v>
      </c>
      <c r="AC167" s="239" t="s">
        <v>310</v>
      </c>
      <c r="AG167" s="75"/>
      <c r="AJ167" s="79" t="s">
        <v>46</v>
      </c>
      <c r="AK167" s="79">
        <v>0</v>
      </c>
      <c r="BB167" s="240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03"/>
      <c r="B168" s="603"/>
      <c r="C168" s="603"/>
      <c r="D168" s="603"/>
      <c r="E168" s="603"/>
      <c r="F168" s="603"/>
      <c r="G168" s="603"/>
      <c r="H168" s="603"/>
      <c r="I168" s="603"/>
      <c r="J168" s="603"/>
      <c r="K168" s="603"/>
      <c r="L168" s="603"/>
      <c r="M168" s="603"/>
      <c r="N168" s="603"/>
      <c r="O168" s="604"/>
      <c r="P168" s="600" t="s">
        <v>40</v>
      </c>
      <c r="Q168" s="601"/>
      <c r="R168" s="601"/>
      <c r="S168" s="601"/>
      <c r="T168" s="601"/>
      <c r="U168" s="601"/>
      <c r="V168" s="602"/>
      <c r="W168" s="40" t="s">
        <v>39</v>
      </c>
      <c r="X168" s="41">
        <f>IFERROR(X165/H165,"0")+IFERROR(X166/H166,"0")+IFERROR(X167/H167,"0")</f>
        <v>0</v>
      </c>
      <c r="Y168" s="41">
        <f>IFERROR(Y165/H165,"0")+IFERROR(Y166/H166,"0")+IFERROR(Y167/H167,"0")</f>
        <v>0</v>
      </c>
      <c r="Z168" s="41">
        <f>IFERROR(IF(Z165="",0,Z165),"0")+IFERROR(IF(Z166="",0,Z166),"0")+IFERROR(IF(Z167="",0,Z167),"0")</f>
        <v>0</v>
      </c>
      <c r="AA168" s="64"/>
      <c r="AB168" s="64"/>
      <c r="AC168" s="64"/>
    </row>
    <row r="169" spans="1:68" hidden="1" x14ac:dyDescent="0.2">
      <c r="A169" s="603"/>
      <c r="B169" s="603"/>
      <c r="C169" s="603"/>
      <c r="D169" s="603"/>
      <c r="E169" s="603"/>
      <c r="F169" s="603"/>
      <c r="G169" s="603"/>
      <c r="H169" s="603"/>
      <c r="I169" s="603"/>
      <c r="J169" s="603"/>
      <c r="K169" s="603"/>
      <c r="L169" s="603"/>
      <c r="M169" s="603"/>
      <c r="N169" s="603"/>
      <c r="O169" s="604"/>
      <c r="P169" s="600" t="s">
        <v>40</v>
      </c>
      <c r="Q169" s="601"/>
      <c r="R169" s="601"/>
      <c r="S169" s="601"/>
      <c r="T169" s="601"/>
      <c r="U169" s="601"/>
      <c r="V169" s="602"/>
      <c r="W169" s="40" t="s">
        <v>0</v>
      </c>
      <c r="X169" s="41">
        <f>IFERROR(SUM(X165:X167),"0")</f>
        <v>0</v>
      </c>
      <c r="Y169" s="41">
        <f>IFERROR(SUM(Y165:Y167),"0")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595" t="s">
        <v>107</v>
      </c>
      <c r="B170" s="595"/>
      <c r="C170" s="595"/>
      <c r="D170" s="595"/>
      <c r="E170" s="595"/>
      <c r="F170" s="595"/>
      <c r="G170" s="595"/>
      <c r="H170" s="595"/>
      <c r="I170" s="595"/>
      <c r="J170" s="595"/>
      <c r="K170" s="595"/>
      <c r="L170" s="595"/>
      <c r="M170" s="595"/>
      <c r="N170" s="595"/>
      <c r="O170" s="595"/>
      <c r="P170" s="595"/>
      <c r="Q170" s="595"/>
      <c r="R170" s="595"/>
      <c r="S170" s="595"/>
      <c r="T170" s="595"/>
      <c r="U170" s="595"/>
      <c r="V170" s="595"/>
      <c r="W170" s="595"/>
      <c r="X170" s="595"/>
      <c r="Y170" s="595"/>
      <c r="Z170" s="595"/>
      <c r="AA170" s="63"/>
      <c r="AB170" s="63"/>
      <c r="AC170" s="63"/>
    </row>
    <row r="171" spans="1:68" ht="16.5" hidden="1" customHeight="1" x14ac:dyDescent="0.25">
      <c r="A171" s="60" t="s">
        <v>311</v>
      </c>
      <c r="B171" s="60" t="s">
        <v>312</v>
      </c>
      <c r="C171" s="34">
        <v>4301032058</v>
      </c>
      <c r="D171" s="596">
        <v>4680115889026</v>
      </c>
      <c r="E171" s="596"/>
      <c r="F171" s="59">
        <v>0.06</v>
      </c>
      <c r="G171" s="35">
        <v>18</v>
      </c>
      <c r="H171" s="59">
        <v>1.08</v>
      </c>
      <c r="I171" s="59">
        <v>1.36</v>
      </c>
      <c r="J171" s="35">
        <v>216</v>
      </c>
      <c r="K171" s="35" t="s">
        <v>315</v>
      </c>
      <c r="L171" s="35" t="s">
        <v>46</v>
      </c>
      <c r="M171" s="36" t="s">
        <v>314</v>
      </c>
      <c r="N171" s="36"/>
      <c r="O171" s="35">
        <v>60</v>
      </c>
      <c r="P171" s="78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71" s="598"/>
      <c r="R171" s="598"/>
      <c r="S171" s="598"/>
      <c r="T171" s="599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IFERROR(IF(Y171=0,"",ROUNDUP(Y171/H171,0)*0.0059),"")</f>
        <v/>
      </c>
      <c r="AA171" s="65" t="s">
        <v>46</v>
      </c>
      <c r="AB171" s="66" t="s">
        <v>46</v>
      </c>
      <c r="AC171" s="241" t="s">
        <v>313</v>
      </c>
      <c r="AG171" s="75"/>
      <c r="AJ171" s="79" t="s">
        <v>46</v>
      </c>
      <c r="AK171" s="79">
        <v>0</v>
      </c>
      <c r="BB171" s="242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t="27" hidden="1" customHeight="1" x14ac:dyDescent="0.25">
      <c r="A172" s="60" t="s">
        <v>316</v>
      </c>
      <c r="B172" s="60" t="s">
        <v>317</v>
      </c>
      <c r="C172" s="34">
        <v>4301032057</v>
      </c>
      <c r="D172" s="596">
        <v>4680115889088</v>
      </c>
      <c r="E172" s="596"/>
      <c r="F172" s="59">
        <v>0.06</v>
      </c>
      <c r="G172" s="35">
        <v>18</v>
      </c>
      <c r="H172" s="59">
        <v>1.08</v>
      </c>
      <c r="I172" s="59">
        <v>1.36</v>
      </c>
      <c r="J172" s="35">
        <v>216</v>
      </c>
      <c r="K172" s="35" t="s">
        <v>315</v>
      </c>
      <c r="L172" s="35" t="s">
        <v>46</v>
      </c>
      <c r="M172" s="36" t="s">
        <v>314</v>
      </c>
      <c r="N172" s="36"/>
      <c r="O172" s="35">
        <v>45</v>
      </c>
      <c r="P172" s="7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72" s="598"/>
      <c r="R172" s="598"/>
      <c r="S172" s="598"/>
      <c r="T172" s="599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IFERROR(IF(Y172=0,"",ROUNDUP(Y172/H172,0)*0.0059),"")</f>
        <v/>
      </c>
      <c r="AA172" s="65" t="s">
        <v>46</v>
      </c>
      <c r="AB172" s="66" t="s">
        <v>46</v>
      </c>
      <c r="AC172" s="243" t="s">
        <v>318</v>
      </c>
      <c r="AG172" s="75"/>
      <c r="AJ172" s="79" t="s">
        <v>46</v>
      </c>
      <c r="AK172" s="79">
        <v>0</v>
      </c>
      <c r="BB172" s="244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idden="1" x14ac:dyDescent="0.2">
      <c r="A173" s="603"/>
      <c r="B173" s="603"/>
      <c r="C173" s="603"/>
      <c r="D173" s="603"/>
      <c r="E173" s="603"/>
      <c r="F173" s="603"/>
      <c r="G173" s="603"/>
      <c r="H173" s="603"/>
      <c r="I173" s="603"/>
      <c r="J173" s="603"/>
      <c r="K173" s="603"/>
      <c r="L173" s="603"/>
      <c r="M173" s="603"/>
      <c r="N173" s="603"/>
      <c r="O173" s="604"/>
      <c r="P173" s="600" t="s">
        <v>40</v>
      </c>
      <c r="Q173" s="601"/>
      <c r="R173" s="601"/>
      <c r="S173" s="601"/>
      <c r="T173" s="601"/>
      <c r="U173" s="601"/>
      <c r="V173" s="602"/>
      <c r="W173" s="40" t="s">
        <v>39</v>
      </c>
      <c r="X173" s="41">
        <f>IFERROR(X171/H171,"0")+IFERROR(X172/H172,"0")</f>
        <v>0</v>
      </c>
      <c r="Y173" s="41">
        <f>IFERROR(Y171/H171,"0")+IFERROR(Y172/H172,"0")</f>
        <v>0</v>
      </c>
      <c r="Z173" s="41">
        <f>IFERROR(IF(Z171="",0,Z171),"0")+IFERROR(IF(Z172="",0,Z172),"0")</f>
        <v>0</v>
      </c>
      <c r="AA173" s="64"/>
      <c r="AB173" s="64"/>
      <c r="AC173" s="64"/>
    </row>
    <row r="174" spans="1:68" hidden="1" x14ac:dyDescent="0.2">
      <c r="A174" s="603"/>
      <c r="B174" s="603"/>
      <c r="C174" s="603"/>
      <c r="D174" s="603"/>
      <c r="E174" s="603"/>
      <c r="F174" s="603"/>
      <c r="G174" s="603"/>
      <c r="H174" s="603"/>
      <c r="I174" s="603"/>
      <c r="J174" s="603"/>
      <c r="K174" s="603"/>
      <c r="L174" s="603"/>
      <c r="M174" s="603"/>
      <c r="N174" s="603"/>
      <c r="O174" s="604"/>
      <c r="P174" s="600" t="s">
        <v>40</v>
      </c>
      <c r="Q174" s="601"/>
      <c r="R174" s="601"/>
      <c r="S174" s="601"/>
      <c r="T174" s="601"/>
      <c r="U174" s="601"/>
      <c r="V174" s="602"/>
      <c r="W174" s="40" t="s">
        <v>0</v>
      </c>
      <c r="X174" s="41">
        <f>IFERROR(SUM(X171:X172),"0")</f>
        <v>0</v>
      </c>
      <c r="Y174" s="41">
        <f>IFERROR(SUM(Y171:Y172),"0")</f>
        <v>0</v>
      </c>
      <c r="Z174" s="40"/>
      <c r="AA174" s="64"/>
      <c r="AB174" s="64"/>
      <c r="AC174" s="64"/>
    </row>
    <row r="175" spans="1:68" ht="14.25" hidden="1" customHeight="1" x14ac:dyDescent="0.25">
      <c r="A175" s="595" t="s">
        <v>319</v>
      </c>
      <c r="B175" s="595"/>
      <c r="C175" s="595"/>
      <c r="D175" s="595"/>
      <c r="E175" s="595"/>
      <c r="F175" s="595"/>
      <c r="G175" s="595"/>
      <c r="H175" s="595"/>
      <c r="I175" s="595"/>
      <c r="J175" s="595"/>
      <c r="K175" s="595"/>
      <c r="L175" s="595"/>
      <c r="M175" s="595"/>
      <c r="N175" s="595"/>
      <c r="O175" s="595"/>
      <c r="P175" s="595"/>
      <c r="Q175" s="595"/>
      <c r="R175" s="595"/>
      <c r="S175" s="595"/>
      <c r="T175" s="595"/>
      <c r="U175" s="595"/>
      <c r="V175" s="595"/>
      <c r="W175" s="595"/>
      <c r="X175" s="595"/>
      <c r="Y175" s="595"/>
      <c r="Z175" s="595"/>
      <c r="AA175" s="63"/>
      <c r="AB175" s="63"/>
      <c r="AC175" s="63"/>
    </row>
    <row r="176" spans="1:68" ht="27" hidden="1" customHeight="1" x14ac:dyDescent="0.25">
      <c r="A176" s="60" t="s">
        <v>320</v>
      </c>
      <c r="B176" s="60" t="s">
        <v>321</v>
      </c>
      <c r="C176" s="34">
        <v>4301041009</v>
      </c>
      <c r="D176" s="596">
        <v>4680115889033</v>
      </c>
      <c r="E176" s="596"/>
      <c r="F176" s="59">
        <v>0.11</v>
      </c>
      <c r="G176" s="35">
        <v>15</v>
      </c>
      <c r="H176" s="59">
        <v>1.65</v>
      </c>
      <c r="I176" s="59">
        <v>1.9</v>
      </c>
      <c r="J176" s="35">
        <v>216</v>
      </c>
      <c r="K176" s="35" t="s">
        <v>315</v>
      </c>
      <c r="L176" s="35" t="s">
        <v>46</v>
      </c>
      <c r="M176" s="36" t="s">
        <v>314</v>
      </c>
      <c r="N176" s="36"/>
      <c r="O176" s="35">
        <v>60</v>
      </c>
      <c r="P176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76" s="598"/>
      <c r="R176" s="598"/>
      <c r="S176" s="598"/>
      <c r="T176" s="599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IFERROR(IF(Y176=0,"",ROUNDUP(Y176/H176,0)*0.0059),"")</f>
        <v/>
      </c>
      <c r="AA176" s="65" t="s">
        <v>46</v>
      </c>
      <c r="AB176" s="66" t="s">
        <v>46</v>
      </c>
      <c r="AC176" s="245" t="s">
        <v>322</v>
      </c>
      <c r="AG176" s="75"/>
      <c r="AJ176" s="79" t="s">
        <v>46</v>
      </c>
      <c r="AK176" s="79">
        <v>0</v>
      </c>
      <c r="BB176" s="246" t="s">
        <v>67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603"/>
      <c r="B177" s="603"/>
      <c r="C177" s="603"/>
      <c r="D177" s="603"/>
      <c r="E177" s="603"/>
      <c r="F177" s="603"/>
      <c r="G177" s="603"/>
      <c r="H177" s="603"/>
      <c r="I177" s="603"/>
      <c r="J177" s="603"/>
      <c r="K177" s="603"/>
      <c r="L177" s="603"/>
      <c r="M177" s="603"/>
      <c r="N177" s="603"/>
      <c r="O177" s="604"/>
      <c r="P177" s="600" t="s">
        <v>40</v>
      </c>
      <c r="Q177" s="601"/>
      <c r="R177" s="601"/>
      <c r="S177" s="601"/>
      <c r="T177" s="601"/>
      <c r="U177" s="601"/>
      <c r="V177" s="602"/>
      <c r="W177" s="40" t="s">
        <v>39</v>
      </c>
      <c r="X177" s="41">
        <f>IFERROR(X176/H176,"0")</f>
        <v>0</v>
      </c>
      <c r="Y177" s="41">
        <f>IFERROR(Y176/H176,"0")</f>
        <v>0</v>
      </c>
      <c r="Z177" s="41">
        <f>IFERROR(IF(Z176="",0,Z176),"0")</f>
        <v>0</v>
      </c>
      <c r="AA177" s="64"/>
      <c r="AB177" s="64"/>
      <c r="AC177" s="64"/>
    </row>
    <row r="178" spans="1:68" hidden="1" x14ac:dyDescent="0.2">
      <c r="A178" s="603"/>
      <c r="B178" s="603"/>
      <c r="C178" s="603"/>
      <c r="D178" s="603"/>
      <c r="E178" s="603"/>
      <c r="F178" s="603"/>
      <c r="G178" s="603"/>
      <c r="H178" s="603"/>
      <c r="I178" s="603"/>
      <c r="J178" s="603"/>
      <c r="K178" s="603"/>
      <c r="L178" s="603"/>
      <c r="M178" s="603"/>
      <c r="N178" s="603"/>
      <c r="O178" s="604"/>
      <c r="P178" s="600" t="s">
        <v>40</v>
      </c>
      <c r="Q178" s="601"/>
      <c r="R178" s="601"/>
      <c r="S178" s="601"/>
      <c r="T178" s="601"/>
      <c r="U178" s="601"/>
      <c r="V178" s="602"/>
      <c r="W178" s="40" t="s">
        <v>0</v>
      </c>
      <c r="X178" s="41">
        <f>IFERROR(SUM(X176:X176),"0")</f>
        <v>0</v>
      </c>
      <c r="Y178" s="41">
        <f>IFERROR(SUM(Y176:Y176),"0")</f>
        <v>0</v>
      </c>
      <c r="Z178" s="40"/>
      <c r="AA178" s="64"/>
      <c r="AB178" s="64"/>
      <c r="AC178" s="64"/>
    </row>
    <row r="179" spans="1:68" ht="27.75" hidden="1" customHeight="1" x14ac:dyDescent="0.2">
      <c r="A179" s="616" t="s">
        <v>323</v>
      </c>
      <c r="B179" s="616"/>
      <c r="C179" s="616"/>
      <c r="D179" s="616"/>
      <c r="E179" s="616"/>
      <c r="F179" s="616"/>
      <c r="G179" s="616"/>
      <c r="H179" s="616"/>
      <c r="I179" s="616"/>
      <c r="J179" s="616"/>
      <c r="K179" s="616"/>
      <c r="L179" s="616"/>
      <c r="M179" s="616"/>
      <c r="N179" s="616"/>
      <c r="O179" s="616"/>
      <c r="P179" s="616"/>
      <c r="Q179" s="616"/>
      <c r="R179" s="616"/>
      <c r="S179" s="616"/>
      <c r="T179" s="616"/>
      <c r="U179" s="616"/>
      <c r="V179" s="616"/>
      <c r="W179" s="616"/>
      <c r="X179" s="616"/>
      <c r="Y179" s="616"/>
      <c r="Z179" s="616"/>
      <c r="AA179" s="52"/>
      <c r="AB179" s="52"/>
      <c r="AC179" s="52"/>
    </row>
    <row r="180" spans="1:68" ht="16.5" hidden="1" customHeight="1" x14ac:dyDescent="0.25">
      <c r="A180" s="611" t="s">
        <v>324</v>
      </c>
      <c r="B180" s="611"/>
      <c r="C180" s="611"/>
      <c r="D180" s="611"/>
      <c r="E180" s="611"/>
      <c r="F180" s="611"/>
      <c r="G180" s="611"/>
      <c r="H180" s="611"/>
      <c r="I180" s="611"/>
      <c r="J180" s="611"/>
      <c r="K180" s="611"/>
      <c r="L180" s="611"/>
      <c r="M180" s="611"/>
      <c r="N180" s="611"/>
      <c r="O180" s="611"/>
      <c r="P180" s="611"/>
      <c r="Q180" s="611"/>
      <c r="R180" s="611"/>
      <c r="S180" s="611"/>
      <c r="T180" s="611"/>
      <c r="U180" s="611"/>
      <c r="V180" s="611"/>
      <c r="W180" s="611"/>
      <c r="X180" s="611"/>
      <c r="Y180" s="611"/>
      <c r="Z180" s="611"/>
      <c r="AA180" s="62"/>
      <c r="AB180" s="62"/>
      <c r="AC180" s="62"/>
    </row>
    <row r="181" spans="1:68" ht="14.25" hidden="1" customHeight="1" x14ac:dyDescent="0.25">
      <c r="A181" s="595" t="s">
        <v>128</v>
      </c>
      <c r="B181" s="595"/>
      <c r="C181" s="595"/>
      <c r="D181" s="595"/>
      <c r="E181" s="595"/>
      <c r="F181" s="595"/>
      <c r="G181" s="595"/>
      <c r="H181" s="595"/>
      <c r="I181" s="595"/>
      <c r="J181" s="595"/>
      <c r="K181" s="595"/>
      <c r="L181" s="595"/>
      <c r="M181" s="595"/>
      <c r="N181" s="595"/>
      <c r="O181" s="595"/>
      <c r="P181" s="595"/>
      <c r="Q181" s="595"/>
      <c r="R181" s="595"/>
      <c r="S181" s="595"/>
      <c r="T181" s="595"/>
      <c r="U181" s="595"/>
      <c r="V181" s="595"/>
      <c r="W181" s="595"/>
      <c r="X181" s="595"/>
      <c r="Y181" s="595"/>
      <c r="Z181" s="595"/>
      <c r="AA181" s="63"/>
      <c r="AB181" s="63"/>
      <c r="AC181" s="63"/>
    </row>
    <row r="182" spans="1:68" ht="27" hidden="1" customHeight="1" x14ac:dyDescent="0.25">
      <c r="A182" s="60" t="s">
        <v>325</v>
      </c>
      <c r="B182" s="60" t="s">
        <v>326</v>
      </c>
      <c r="C182" s="34">
        <v>4301011223</v>
      </c>
      <c r="D182" s="596">
        <v>4607091383423</v>
      </c>
      <c r="E182" s="596"/>
      <c r="F182" s="59">
        <v>1.35</v>
      </c>
      <c r="G182" s="35">
        <v>8</v>
      </c>
      <c r="H182" s="59">
        <v>10.8</v>
      </c>
      <c r="I182" s="59">
        <v>11.305999999999999</v>
      </c>
      <c r="J182" s="35">
        <v>64</v>
      </c>
      <c r="K182" s="35" t="s">
        <v>133</v>
      </c>
      <c r="L182" s="35" t="s">
        <v>46</v>
      </c>
      <c r="M182" s="36" t="s">
        <v>90</v>
      </c>
      <c r="N182" s="36"/>
      <c r="O182" s="35">
        <v>35</v>
      </c>
      <c r="P182" s="77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82" s="598"/>
      <c r="R182" s="598"/>
      <c r="S182" s="598"/>
      <c r="T182" s="599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IFERROR(IF(Y182=0,"",ROUNDUP(Y182/H182,0)*0.01898),"")</f>
        <v/>
      </c>
      <c r="AA182" s="65" t="s">
        <v>46</v>
      </c>
      <c r="AB182" s="66" t="s">
        <v>46</v>
      </c>
      <c r="AC182" s="247" t="s">
        <v>131</v>
      </c>
      <c r="AG182" s="75"/>
      <c r="AJ182" s="79" t="s">
        <v>46</v>
      </c>
      <c r="AK182" s="79">
        <v>0</v>
      </c>
      <c r="BB182" s="248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37.5" hidden="1" customHeight="1" x14ac:dyDescent="0.25">
      <c r="A183" s="60" t="s">
        <v>327</v>
      </c>
      <c r="B183" s="60" t="s">
        <v>328</v>
      </c>
      <c r="C183" s="34">
        <v>4301012199</v>
      </c>
      <c r="D183" s="596">
        <v>4680115886957</v>
      </c>
      <c r="E183" s="596"/>
      <c r="F183" s="59">
        <v>1.35</v>
      </c>
      <c r="G183" s="35">
        <v>8</v>
      </c>
      <c r="H183" s="59">
        <v>10.8</v>
      </c>
      <c r="I183" s="59">
        <v>11.21</v>
      </c>
      <c r="J183" s="35">
        <v>64</v>
      </c>
      <c r="K183" s="35" t="s">
        <v>133</v>
      </c>
      <c r="L183" s="35" t="s">
        <v>46</v>
      </c>
      <c r="M183" s="36" t="s">
        <v>90</v>
      </c>
      <c r="N183" s="36"/>
      <c r="O183" s="35">
        <v>30</v>
      </c>
      <c r="P183" s="780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83" s="598"/>
      <c r="R183" s="598"/>
      <c r="S183" s="598"/>
      <c r="T183" s="599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IFERROR(IF(Y183=0,"",ROUNDUP(Y183/H183,0)*0.01898),"")</f>
        <v/>
      </c>
      <c r="AA183" s="65" t="s">
        <v>46</v>
      </c>
      <c r="AB183" s="66" t="s">
        <v>46</v>
      </c>
      <c r="AC183" s="249" t="s">
        <v>329</v>
      </c>
      <c r="AG183" s="75"/>
      <c r="AJ183" s="79" t="s">
        <v>46</v>
      </c>
      <c r="AK183" s="79">
        <v>0</v>
      </c>
      <c r="BB183" s="250" t="s">
        <v>67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t="27" hidden="1" customHeight="1" x14ac:dyDescent="0.25">
      <c r="A184" s="60" t="s">
        <v>330</v>
      </c>
      <c r="B184" s="60" t="s">
        <v>331</v>
      </c>
      <c r="C184" s="34">
        <v>4301012098</v>
      </c>
      <c r="D184" s="596">
        <v>4680115885660</v>
      </c>
      <c r="E184" s="596"/>
      <c r="F184" s="59">
        <v>1.35</v>
      </c>
      <c r="G184" s="35">
        <v>8</v>
      </c>
      <c r="H184" s="59">
        <v>10.8</v>
      </c>
      <c r="I184" s="59">
        <v>11.21</v>
      </c>
      <c r="J184" s="35">
        <v>64</v>
      </c>
      <c r="K184" s="35" t="s">
        <v>133</v>
      </c>
      <c r="L184" s="35" t="s">
        <v>46</v>
      </c>
      <c r="M184" s="36" t="s">
        <v>90</v>
      </c>
      <c r="N184" s="36"/>
      <c r="O184" s="35">
        <v>35</v>
      </c>
      <c r="P184" s="78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84" s="598"/>
      <c r="R184" s="598"/>
      <c r="S184" s="598"/>
      <c r="T184" s="599"/>
      <c r="U184" s="37" t="s">
        <v>46</v>
      </c>
      <c r="V184" s="37" t="s">
        <v>46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IFERROR(IF(Y184=0,"",ROUNDUP(Y184/H184,0)*0.01898),"")</f>
        <v/>
      </c>
      <c r="AA184" s="65" t="s">
        <v>46</v>
      </c>
      <c r="AB184" s="66" t="s">
        <v>46</v>
      </c>
      <c r="AC184" s="251" t="s">
        <v>332</v>
      </c>
      <c r="AG184" s="75"/>
      <c r="AJ184" s="79" t="s">
        <v>46</v>
      </c>
      <c r="AK184" s="79">
        <v>0</v>
      </c>
      <c r="BB184" s="252" t="s">
        <v>67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27" hidden="1" customHeight="1" x14ac:dyDescent="0.25">
      <c r="A185" s="60" t="s">
        <v>333</v>
      </c>
      <c r="B185" s="60" t="s">
        <v>334</v>
      </c>
      <c r="C185" s="34">
        <v>4301012369</v>
      </c>
      <c r="D185" s="596">
        <v>4680115886773</v>
      </c>
      <c r="E185" s="596"/>
      <c r="F185" s="59">
        <v>0.9</v>
      </c>
      <c r="G185" s="35">
        <v>10</v>
      </c>
      <c r="H185" s="59">
        <v>9</v>
      </c>
      <c r="I185" s="59">
        <v>9.51</v>
      </c>
      <c r="J185" s="35">
        <v>64</v>
      </c>
      <c r="K185" s="35" t="s">
        <v>133</v>
      </c>
      <c r="L185" s="35" t="s">
        <v>46</v>
      </c>
      <c r="M185" s="36" t="s">
        <v>90</v>
      </c>
      <c r="N185" s="36"/>
      <c r="O185" s="35">
        <v>35</v>
      </c>
      <c r="P185" s="7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185" s="598"/>
      <c r="R185" s="598"/>
      <c r="S185" s="598"/>
      <c r="T185" s="599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IFERROR(IF(Y185=0,"",ROUNDUP(Y185/H185,0)*0.01898),"")</f>
        <v/>
      </c>
      <c r="AA185" s="65" t="s">
        <v>46</v>
      </c>
      <c r="AB185" s="66" t="s">
        <v>46</v>
      </c>
      <c r="AC185" s="253" t="s">
        <v>335</v>
      </c>
      <c r="AG185" s="75"/>
      <c r="AJ185" s="79" t="s">
        <v>46</v>
      </c>
      <c r="AK185" s="79">
        <v>0</v>
      </c>
      <c r="BB185" s="254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idden="1" x14ac:dyDescent="0.2">
      <c r="A186" s="603"/>
      <c r="B186" s="603"/>
      <c r="C186" s="603"/>
      <c r="D186" s="603"/>
      <c r="E186" s="603"/>
      <c r="F186" s="603"/>
      <c r="G186" s="603"/>
      <c r="H186" s="603"/>
      <c r="I186" s="603"/>
      <c r="J186" s="603"/>
      <c r="K186" s="603"/>
      <c r="L186" s="603"/>
      <c r="M186" s="603"/>
      <c r="N186" s="603"/>
      <c r="O186" s="604"/>
      <c r="P186" s="600" t="s">
        <v>40</v>
      </c>
      <c r="Q186" s="601"/>
      <c r="R186" s="601"/>
      <c r="S186" s="601"/>
      <c r="T186" s="601"/>
      <c r="U186" s="601"/>
      <c r="V186" s="602"/>
      <c r="W186" s="40" t="s">
        <v>39</v>
      </c>
      <c r="X186" s="41">
        <f>IFERROR(X182/H182,"0")+IFERROR(X183/H183,"0")+IFERROR(X184/H184,"0")+IFERROR(X185/H185,"0")</f>
        <v>0</v>
      </c>
      <c r="Y186" s="41">
        <f>IFERROR(Y182/H182,"0")+IFERROR(Y183/H183,"0")+IFERROR(Y184/H184,"0")+IFERROR(Y185/H185,"0")</f>
        <v>0</v>
      </c>
      <c r="Z186" s="41">
        <f>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">
      <c r="A187" s="603"/>
      <c r="B187" s="603"/>
      <c r="C187" s="603"/>
      <c r="D187" s="603"/>
      <c r="E187" s="603"/>
      <c r="F187" s="603"/>
      <c r="G187" s="603"/>
      <c r="H187" s="603"/>
      <c r="I187" s="603"/>
      <c r="J187" s="603"/>
      <c r="K187" s="603"/>
      <c r="L187" s="603"/>
      <c r="M187" s="603"/>
      <c r="N187" s="603"/>
      <c r="O187" s="604"/>
      <c r="P187" s="600" t="s">
        <v>40</v>
      </c>
      <c r="Q187" s="601"/>
      <c r="R187" s="601"/>
      <c r="S187" s="601"/>
      <c r="T187" s="601"/>
      <c r="U187" s="601"/>
      <c r="V187" s="602"/>
      <c r="W187" s="40" t="s">
        <v>0</v>
      </c>
      <c r="X187" s="41">
        <f>IFERROR(SUM(X182:X185),"0")</f>
        <v>0</v>
      </c>
      <c r="Y187" s="41">
        <f>IFERROR(SUM(Y182:Y185),"0")</f>
        <v>0</v>
      </c>
      <c r="Z187" s="40"/>
      <c r="AA187" s="64"/>
      <c r="AB187" s="64"/>
      <c r="AC187" s="64"/>
    </row>
    <row r="188" spans="1:68" ht="16.5" hidden="1" customHeight="1" x14ac:dyDescent="0.25">
      <c r="A188" s="611" t="s">
        <v>336</v>
      </c>
      <c r="B188" s="611"/>
      <c r="C188" s="611"/>
      <c r="D188" s="611"/>
      <c r="E188" s="611"/>
      <c r="F188" s="611"/>
      <c r="G188" s="611"/>
      <c r="H188" s="611"/>
      <c r="I188" s="611"/>
      <c r="J188" s="611"/>
      <c r="K188" s="611"/>
      <c r="L188" s="611"/>
      <c r="M188" s="611"/>
      <c r="N188" s="611"/>
      <c r="O188" s="611"/>
      <c r="P188" s="611"/>
      <c r="Q188" s="611"/>
      <c r="R188" s="611"/>
      <c r="S188" s="611"/>
      <c r="T188" s="611"/>
      <c r="U188" s="611"/>
      <c r="V188" s="611"/>
      <c r="W188" s="611"/>
      <c r="X188" s="611"/>
      <c r="Y188" s="611"/>
      <c r="Z188" s="611"/>
      <c r="AA188" s="62"/>
      <c r="AB188" s="62"/>
      <c r="AC188" s="62"/>
    </row>
    <row r="189" spans="1:68" ht="14.25" hidden="1" customHeight="1" x14ac:dyDescent="0.25">
      <c r="A189" s="595" t="s">
        <v>163</v>
      </c>
      <c r="B189" s="595"/>
      <c r="C189" s="595"/>
      <c r="D189" s="595"/>
      <c r="E189" s="595"/>
      <c r="F189" s="595"/>
      <c r="G189" s="595"/>
      <c r="H189" s="595"/>
      <c r="I189" s="595"/>
      <c r="J189" s="595"/>
      <c r="K189" s="595"/>
      <c r="L189" s="595"/>
      <c r="M189" s="595"/>
      <c r="N189" s="595"/>
      <c r="O189" s="595"/>
      <c r="P189" s="595"/>
      <c r="Q189" s="595"/>
      <c r="R189" s="595"/>
      <c r="S189" s="595"/>
      <c r="T189" s="595"/>
      <c r="U189" s="595"/>
      <c r="V189" s="595"/>
      <c r="W189" s="595"/>
      <c r="X189" s="595"/>
      <c r="Y189" s="595"/>
      <c r="Z189" s="595"/>
      <c r="AA189" s="63"/>
      <c r="AB189" s="63"/>
      <c r="AC189" s="63"/>
    </row>
    <row r="190" spans="1:68" ht="27" hidden="1" customHeight="1" x14ac:dyDescent="0.25">
      <c r="A190" s="60" t="s">
        <v>337</v>
      </c>
      <c r="B190" s="60" t="s">
        <v>338</v>
      </c>
      <c r="C190" s="34">
        <v>4301020323</v>
      </c>
      <c r="D190" s="596">
        <v>4680115886223</v>
      </c>
      <c r="E190" s="596"/>
      <c r="F190" s="59">
        <v>0.33</v>
      </c>
      <c r="G190" s="35">
        <v>6</v>
      </c>
      <c r="H190" s="59">
        <v>1.98</v>
      </c>
      <c r="I190" s="59">
        <v>2.08</v>
      </c>
      <c r="J190" s="35">
        <v>234</v>
      </c>
      <c r="K190" s="35" t="s">
        <v>82</v>
      </c>
      <c r="L190" s="35" t="s">
        <v>46</v>
      </c>
      <c r="M190" s="36" t="s">
        <v>81</v>
      </c>
      <c r="N190" s="36"/>
      <c r="O190" s="35">
        <v>40</v>
      </c>
      <c r="P190" s="77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90" s="598"/>
      <c r="R190" s="598"/>
      <c r="S190" s="598"/>
      <c r="T190" s="599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IFERROR(IF(Y190=0,"",ROUNDUP(Y190/H190,0)*0.00502),"")</f>
        <v/>
      </c>
      <c r="AA190" s="65" t="s">
        <v>46</v>
      </c>
      <c r="AB190" s="66" t="s">
        <v>46</v>
      </c>
      <c r="AC190" s="255" t="s">
        <v>339</v>
      </c>
      <c r="AG190" s="75"/>
      <c r="AJ190" s="79" t="s">
        <v>46</v>
      </c>
      <c r="AK190" s="79">
        <v>0</v>
      </c>
      <c r="BB190" s="25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03"/>
      <c r="B191" s="603"/>
      <c r="C191" s="603"/>
      <c r="D191" s="603"/>
      <c r="E191" s="603"/>
      <c r="F191" s="603"/>
      <c r="G191" s="603"/>
      <c r="H191" s="603"/>
      <c r="I191" s="603"/>
      <c r="J191" s="603"/>
      <c r="K191" s="603"/>
      <c r="L191" s="603"/>
      <c r="M191" s="603"/>
      <c r="N191" s="603"/>
      <c r="O191" s="604"/>
      <c r="P191" s="600" t="s">
        <v>40</v>
      </c>
      <c r="Q191" s="601"/>
      <c r="R191" s="601"/>
      <c r="S191" s="601"/>
      <c r="T191" s="601"/>
      <c r="U191" s="601"/>
      <c r="V191" s="602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03"/>
      <c r="B192" s="603"/>
      <c r="C192" s="603"/>
      <c r="D192" s="603"/>
      <c r="E192" s="603"/>
      <c r="F192" s="603"/>
      <c r="G192" s="603"/>
      <c r="H192" s="603"/>
      <c r="I192" s="603"/>
      <c r="J192" s="603"/>
      <c r="K192" s="603"/>
      <c r="L192" s="603"/>
      <c r="M192" s="603"/>
      <c r="N192" s="603"/>
      <c r="O192" s="604"/>
      <c r="P192" s="600" t="s">
        <v>40</v>
      </c>
      <c r="Q192" s="601"/>
      <c r="R192" s="601"/>
      <c r="S192" s="601"/>
      <c r="T192" s="601"/>
      <c r="U192" s="601"/>
      <c r="V192" s="602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595" t="s">
        <v>77</v>
      </c>
      <c r="B193" s="595"/>
      <c r="C193" s="595"/>
      <c r="D193" s="595"/>
      <c r="E193" s="595"/>
      <c r="F193" s="595"/>
      <c r="G193" s="595"/>
      <c r="H193" s="595"/>
      <c r="I193" s="595"/>
      <c r="J193" s="595"/>
      <c r="K193" s="595"/>
      <c r="L193" s="595"/>
      <c r="M193" s="595"/>
      <c r="N193" s="595"/>
      <c r="O193" s="595"/>
      <c r="P193" s="595"/>
      <c r="Q193" s="595"/>
      <c r="R193" s="595"/>
      <c r="S193" s="595"/>
      <c r="T193" s="595"/>
      <c r="U193" s="595"/>
      <c r="V193" s="595"/>
      <c r="W193" s="595"/>
      <c r="X193" s="595"/>
      <c r="Y193" s="595"/>
      <c r="Z193" s="595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4301031191</v>
      </c>
      <c r="D194" s="596">
        <v>4680115880993</v>
      </c>
      <c r="E194" s="596"/>
      <c r="F194" s="59">
        <v>0.7</v>
      </c>
      <c r="G194" s="35">
        <v>6</v>
      </c>
      <c r="H194" s="59">
        <v>4.2</v>
      </c>
      <c r="I194" s="59">
        <v>4.45</v>
      </c>
      <c r="J194" s="35">
        <v>132</v>
      </c>
      <c r="K194" s="35" t="s">
        <v>140</v>
      </c>
      <c r="L194" s="35" t="s">
        <v>46</v>
      </c>
      <c r="M194" s="36" t="s">
        <v>81</v>
      </c>
      <c r="N194" s="36"/>
      <c r="O194" s="35">
        <v>40</v>
      </c>
      <c r="P194" s="7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94" s="598"/>
      <c r="R194" s="598"/>
      <c r="S194" s="598"/>
      <c r="T194" s="599"/>
      <c r="U194" s="37" t="s">
        <v>46</v>
      </c>
      <c r="V194" s="37" t="s">
        <v>46</v>
      </c>
      <c r="W194" s="38" t="s">
        <v>0</v>
      </c>
      <c r="X194" s="56">
        <v>0</v>
      </c>
      <c r="Y194" s="53">
        <f t="shared" ref="Y194:Y207" si="26">IFERROR(IF(X194="",0,CEILING((X194/$H194),1)*$H194),"")</f>
        <v>0</v>
      </c>
      <c r="Z194" s="39" t="str">
        <f>IFERROR(IF(Y194=0,"",ROUNDUP(Y194/H194,0)*0.00902),"")</f>
        <v/>
      </c>
      <c r="AA194" s="65" t="s">
        <v>46</v>
      </c>
      <c r="AB194" s="66" t="s">
        <v>46</v>
      </c>
      <c r="AC194" s="257" t="s">
        <v>342</v>
      </c>
      <c r="AG194" s="75"/>
      <c r="AJ194" s="79" t="s">
        <v>46</v>
      </c>
      <c r="AK194" s="79">
        <v>0</v>
      </c>
      <c r="BB194" s="258" t="s">
        <v>67</v>
      </c>
      <c r="BM194" s="75">
        <f t="shared" ref="BM194:BM207" si="27">IFERROR(X194*I194/H194,"0")</f>
        <v>0</v>
      </c>
      <c r="BN194" s="75">
        <f t="shared" ref="BN194:BN207" si="28">IFERROR(Y194*I194/H194,"0")</f>
        <v>0</v>
      </c>
      <c r="BO194" s="75">
        <f t="shared" ref="BO194:BO207" si="29">IFERROR(1/J194*(X194/H194),"0")</f>
        <v>0</v>
      </c>
      <c r="BP194" s="75">
        <f t="shared" ref="BP194:BP207" si="30">IFERROR(1/J194*(Y194/H194),"0")</f>
        <v>0</v>
      </c>
    </row>
    <row r="195" spans="1:68" ht="27" hidden="1" customHeight="1" x14ac:dyDescent="0.25">
      <c r="A195" s="60" t="s">
        <v>343</v>
      </c>
      <c r="B195" s="60" t="s">
        <v>344</v>
      </c>
      <c r="C195" s="34">
        <v>4301031204</v>
      </c>
      <c r="D195" s="596">
        <v>4680115881761</v>
      </c>
      <c r="E195" s="596"/>
      <c r="F195" s="59">
        <v>0.7</v>
      </c>
      <c r="G195" s="35">
        <v>6</v>
      </c>
      <c r="H195" s="59">
        <v>4.2</v>
      </c>
      <c r="I195" s="59">
        <v>4.45</v>
      </c>
      <c r="J195" s="35">
        <v>132</v>
      </c>
      <c r="K195" s="35" t="s">
        <v>140</v>
      </c>
      <c r="L195" s="35" t="s">
        <v>46</v>
      </c>
      <c r="M195" s="36" t="s">
        <v>81</v>
      </c>
      <c r="N195" s="36"/>
      <c r="O195" s="35">
        <v>40</v>
      </c>
      <c r="P195" s="77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95" s="598"/>
      <c r="R195" s="598"/>
      <c r="S195" s="598"/>
      <c r="T195" s="599"/>
      <c r="U195" s="37" t="s">
        <v>46</v>
      </c>
      <c r="V195" s="37" t="s">
        <v>46</v>
      </c>
      <c r="W195" s="38" t="s">
        <v>0</v>
      </c>
      <c r="X195" s="56">
        <v>0</v>
      </c>
      <c r="Y195" s="53">
        <f t="shared" si="26"/>
        <v>0</v>
      </c>
      <c r="Z195" s="39" t="str">
        <f>IFERROR(IF(Y195=0,"",ROUNDUP(Y195/H195,0)*0.00902),"")</f>
        <v/>
      </c>
      <c r="AA195" s="65" t="s">
        <v>46</v>
      </c>
      <c r="AB195" s="66" t="s">
        <v>46</v>
      </c>
      <c r="AC195" s="259" t="s">
        <v>345</v>
      </c>
      <c r="AG195" s="75"/>
      <c r="AJ195" s="79" t="s">
        <v>46</v>
      </c>
      <c r="AK195" s="79">
        <v>0</v>
      </c>
      <c r="BB195" s="260" t="s">
        <v>67</v>
      </c>
      <c r="BM195" s="75">
        <f t="shared" si="27"/>
        <v>0</v>
      </c>
      <c r="BN195" s="75">
        <f t="shared" si="28"/>
        <v>0</v>
      </c>
      <c r="BO195" s="75">
        <f t="shared" si="29"/>
        <v>0</v>
      </c>
      <c r="BP195" s="75">
        <f t="shared" si="30"/>
        <v>0</v>
      </c>
    </row>
    <row r="196" spans="1:68" ht="27" hidden="1" customHeight="1" x14ac:dyDescent="0.25">
      <c r="A196" s="60" t="s">
        <v>346</v>
      </c>
      <c r="B196" s="60" t="s">
        <v>347</v>
      </c>
      <c r="C196" s="34">
        <v>4301031201</v>
      </c>
      <c r="D196" s="596">
        <v>4680115881563</v>
      </c>
      <c r="E196" s="596"/>
      <c r="F196" s="59">
        <v>0.7</v>
      </c>
      <c r="G196" s="35">
        <v>6</v>
      </c>
      <c r="H196" s="59">
        <v>4.2</v>
      </c>
      <c r="I196" s="59">
        <v>4.3899999999999997</v>
      </c>
      <c r="J196" s="35">
        <v>132</v>
      </c>
      <c r="K196" s="35" t="s">
        <v>140</v>
      </c>
      <c r="L196" s="35" t="s">
        <v>46</v>
      </c>
      <c r="M196" s="36" t="s">
        <v>81</v>
      </c>
      <c r="N196" s="36"/>
      <c r="O196" s="35">
        <v>40</v>
      </c>
      <c r="P196" s="7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96" s="598"/>
      <c r="R196" s="598"/>
      <c r="S196" s="598"/>
      <c r="T196" s="599"/>
      <c r="U196" s="37" t="s">
        <v>46</v>
      </c>
      <c r="V196" s="37" t="s">
        <v>46</v>
      </c>
      <c r="W196" s="38" t="s">
        <v>0</v>
      </c>
      <c r="X196" s="56">
        <v>0</v>
      </c>
      <c r="Y196" s="53">
        <f t="shared" si="26"/>
        <v>0</v>
      </c>
      <c r="Z196" s="39" t="str">
        <f>IFERROR(IF(Y196=0,"",ROUNDUP(Y196/H196,0)*0.00902),"")</f>
        <v/>
      </c>
      <c r="AA196" s="65" t="s">
        <v>46</v>
      </c>
      <c r="AB196" s="66" t="s">
        <v>46</v>
      </c>
      <c r="AC196" s="261" t="s">
        <v>348</v>
      </c>
      <c r="AG196" s="75"/>
      <c r="AJ196" s="79" t="s">
        <v>46</v>
      </c>
      <c r="AK196" s="79">
        <v>0</v>
      </c>
      <c r="BB196" s="262" t="s">
        <v>67</v>
      </c>
      <c r="BM196" s="75">
        <f t="shared" si="27"/>
        <v>0</v>
      </c>
      <c r="BN196" s="75">
        <f t="shared" si="28"/>
        <v>0</v>
      </c>
      <c r="BO196" s="75">
        <f t="shared" si="29"/>
        <v>0</v>
      </c>
      <c r="BP196" s="75">
        <f t="shared" si="30"/>
        <v>0</v>
      </c>
    </row>
    <row r="197" spans="1:68" ht="37.5" hidden="1" customHeight="1" x14ac:dyDescent="0.25">
      <c r="A197" s="60" t="s">
        <v>349</v>
      </c>
      <c r="B197" s="60" t="s">
        <v>350</v>
      </c>
      <c r="C197" s="34">
        <v>4301031447</v>
      </c>
      <c r="D197" s="596">
        <v>4680115887565</v>
      </c>
      <c r="E197" s="596"/>
      <c r="F197" s="59">
        <v>0.08</v>
      </c>
      <c r="G197" s="35">
        <v>10</v>
      </c>
      <c r="H197" s="59">
        <v>0.8</v>
      </c>
      <c r="I197" s="59">
        <v>0.93</v>
      </c>
      <c r="J197" s="35">
        <v>252</v>
      </c>
      <c r="K197" s="35" t="s">
        <v>82</v>
      </c>
      <c r="L197" s="35" t="s">
        <v>46</v>
      </c>
      <c r="M197" s="36" t="s">
        <v>81</v>
      </c>
      <c r="N197" s="36"/>
      <c r="O197" s="35">
        <v>45</v>
      </c>
      <c r="P197" s="76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97" s="598"/>
      <c r="R197" s="598"/>
      <c r="S197" s="598"/>
      <c r="T197" s="599"/>
      <c r="U197" s="37" t="s">
        <v>46</v>
      </c>
      <c r="V197" s="37" t="s">
        <v>46</v>
      </c>
      <c r="W197" s="38" t="s">
        <v>0</v>
      </c>
      <c r="X197" s="56">
        <v>0</v>
      </c>
      <c r="Y197" s="53">
        <f t="shared" si="26"/>
        <v>0</v>
      </c>
      <c r="Z197" s="39" t="str">
        <f>IFERROR(IF(Y197=0,"",ROUNDUP(Y197/H197,0)*0.00556),"")</f>
        <v/>
      </c>
      <c r="AA197" s="65" t="s">
        <v>46</v>
      </c>
      <c r="AB197" s="66" t="s">
        <v>46</v>
      </c>
      <c r="AC197" s="263" t="s">
        <v>351</v>
      </c>
      <c r="AG197" s="75"/>
      <c r="AJ197" s="79" t="s">
        <v>46</v>
      </c>
      <c r="AK197" s="79">
        <v>0</v>
      </c>
      <c r="BB197" s="264" t="s">
        <v>67</v>
      </c>
      <c r="BM197" s="75">
        <f t="shared" si="27"/>
        <v>0</v>
      </c>
      <c r="BN197" s="75">
        <f t="shared" si="28"/>
        <v>0</v>
      </c>
      <c r="BO197" s="75">
        <f t="shared" si="29"/>
        <v>0</v>
      </c>
      <c r="BP197" s="75">
        <f t="shared" si="30"/>
        <v>0</v>
      </c>
    </row>
    <row r="198" spans="1:68" ht="27" hidden="1" customHeight="1" x14ac:dyDescent="0.25">
      <c r="A198" s="60" t="s">
        <v>352</v>
      </c>
      <c r="B198" s="60" t="s">
        <v>353</v>
      </c>
      <c r="C198" s="34">
        <v>4301031199</v>
      </c>
      <c r="D198" s="596">
        <v>4680115880986</v>
      </c>
      <c r="E198" s="596"/>
      <c r="F198" s="59">
        <v>0.35</v>
      </c>
      <c r="G198" s="35">
        <v>6</v>
      </c>
      <c r="H198" s="59">
        <v>2.1</v>
      </c>
      <c r="I198" s="59">
        <v>2.23</v>
      </c>
      <c r="J198" s="35">
        <v>234</v>
      </c>
      <c r="K198" s="35" t="s">
        <v>82</v>
      </c>
      <c r="L198" s="35" t="s">
        <v>46</v>
      </c>
      <c r="M198" s="36" t="s">
        <v>81</v>
      </c>
      <c r="N198" s="36"/>
      <c r="O198" s="35">
        <v>40</v>
      </c>
      <c r="P198" s="77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98" s="598"/>
      <c r="R198" s="598"/>
      <c r="S198" s="598"/>
      <c r="T198" s="599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si="26"/>
        <v>0</v>
      </c>
      <c r="Z198" s="39" t="str">
        <f t="shared" ref="Z198:Z203" si="31">IFERROR(IF(Y198=0,"",ROUNDUP(Y198/H198,0)*0.00502),"")</f>
        <v/>
      </c>
      <c r="AA198" s="65" t="s">
        <v>46</v>
      </c>
      <c r="AB198" s="66" t="s">
        <v>46</v>
      </c>
      <c r="AC198" s="265" t="s">
        <v>342</v>
      </c>
      <c r="AG198" s="75"/>
      <c r="AJ198" s="79" t="s">
        <v>46</v>
      </c>
      <c r="AK198" s="79">
        <v>0</v>
      </c>
      <c r="BB198" s="266" t="s">
        <v>67</v>
      </c>
      <c r="BM198" s="75">
        <f t="shared" si="27"/>
        <v>0</v>
      </c>
      <c r="BN198" s="75">
        <f t="shared" si="28"/>
        <v>0</v>
      </c>
      <c r="BO198" s="75">
        <f t="shared" si="29"/>
        <v>0</v>
      </c>
      <c r="BP198" s="75">
        <f t="shared" si="30"/>
        <v>0</v>
      </c>
    </row>
    <row r="199" spans="1:68" ht="27" hidden="1" customHeight="1" x14ac:dyDescent="0.25">
      <c r="A199" s="60" t="s">
        <v>354</v>
      </c>
      <c r="B199" s="60" t="s">
        <v>355</v>
      </c>
      <c r="C199" s="34">
        <v>4301031443</v>
      </c>
      <c r="D199" s="596">
        <v>4680115887213</v>
      </c>
      <c r="E199" s="596"/>
      <c r="F199" s="59">
        <v>0.3</v>
      </c>
      <c r="G199" s="35">
        <v>6</v>
      </c>
      <c r="H199" s="59">
        <v>1.8</v>
      </c>
      <c r="I199" s="59">
        <v>1.9</v>
      </c>
      <c r="J199" s="35">
        <v>234</v>
      </c>
      <c r="K199" s="35" t="s">
        <v>82</v>
      </c>
      <c r="L199" s="35" t="s">
        <v>46</v>
      </c>
      <c r="M199" s="36" t="s">
        <v>81</v>
      </c>
      <c r="N199" s="36"/>
      <c r="O199" s="35">
        <v>45</v>
      </c>
      <c r="P199" s="77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99" s="598"/>
      <c r="R199" s="598"/>
      <c r="S199" s="598"/>
      <c r="T199" s="599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26"/>
        <v>0</v>
      </c>
      <c r="Z199" s="39" t="str">
        <f t="shared" si="31"/>
        <v/>
      </c>
      <c r="AA199" s="65" t="s">
        <v>46</v>
      </c>
      <c r="AB199" s="66" t="s">
        <v>46</v>
      </c>
      <c r="AC199" s="267" t="s">
        <v>356</v>
      </c>
      <c r="AG199" s="75"/>
      <c r="AJ199" s="79" t="s">
        <v>46</v>
      </c>
      <c r="AK199" s="79">
        <v>0</v>
      </c>
      <c r="BB199" s="268" t="s">
        <v>67</v>
      </c>
      <c r="BM199" s="75">
        <f t="shared" si="27"/>
        <v>0</v>
      </c>
      <c r="BN199" s="75">
        <f t="shared" si="28"/>
        <v>0</v>
      </c>
      <c r="BO199" s="75">
        <f t="shared" si="29"/>
        <v>0</v>
      </c>
      <c r="BP199" s="75">
        <f t="shared" si="30"/>
        <v>0</v>
      </c>
    </row>
    <row r="200" spans="1:68" ht="27" hidden="1" customHeight="1" x14ac:dyDescent="0.25">
      <c r="A200" s="60" t="s">
        <v>357</v>
      </c>
      <c r="B200" s="60" t="s">
        <v>358</v>
      </c>
      <c r="C200" s="34">
        <v>4301031205</v>
      </c>
      <c r="D200" s="596">
        <v>4680115881785</v>
      </c>
      <c r="E200" s="596"/>
      <c r="F200" s="59">
        <v>0.35</v>
      </c>
      <c r="G200" s="35">
        <v>6</v>
      </c>
      <c r="H200" s="59">
        <v>2.1</v>
      </c>
      <c r="I200" s="59">
        <v>2.23</v>
      </c>
      <c r="J200" s="35">
        <v>234</v>
      </c>
      <c r="K200" s="35" t="s">
        <v>82</v>
      </c>
      <c r="L200" s="35" t="s">
        <v>46</v>
      </c>
      <c r="M200" s="36" t="s">
        <v>81</v>
      </c>
      <c r="N200" s="36"/>
      <c r="O200" s="35">
        <v>40</v>
      </c>
      <c r="P200" s="77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00" s="598"/>
      <c r="R200" s="598"/>
      <c r="S200" s="598"/>
      <c r="T200" s="599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6"/>
        <v>0</v>
      </c>
      <c r="Z200" s="39" t="str">
        <f t="shared" si="31"/>
        <v/>
      </c>
      <c r="AA200" s="65" t="s">
        <v>46</v>
      </c>
      <c r="AB200" s="66" t="s">
        <v>46</v>
      </c>
      <c r="AC200" s="269" t="s">
        <v>345</v>
      </c>
      <c r="AG200" s="75"/>
      <c r="AJ200" s="79" t="s">
        <v>46</v>
      </c>
      <c r="AK200" s="79">
        <v>0</v>
      </c>
      <c r="BB200" s="270" t="s">
        <v>67</v>
      </c>
      <c r="BM200" s="75">
        <f t="shared" si="27"/>
        <v>0</v>
      </c>
      <c r="BN200" s="75">
        <f t="shared" si="28"/>
        <v>0</v>
      </c>
      <c r="BO200" s="75">
        <f t="shared" si="29"/>
        <v>0</v>
      </c>
      <c r="BP200" s="75">
        <f t="shared" si="30"/>
        <v>0</v>
      </c>
    </row>
    <row r="201" spans="1:68" ht="27" hidden="1" customHeight="1" x14ac:dyDescent="0.25">
      <c r="A201" s="60" t="s">
        <v>359</v>
      </c>
      <c r="B201" s="60" t="s">
        <v>360</v>
      </c>
      <c r="C201" s="34">
        <v>4301031499</v>
      </c>
      <c r="D201" s="596">
        <v>4680115888432</v>
      </c>
      <c r="E201" s="596"/>
      <c r="F201" s="59">
        <v>0.3</v>
      </c>
      <c r="G201" s="35">
        <v>6</v>
      </c>
      <c r="H201" s="59">
        <v>1.8</v>
      </c>
      <c r="I201" s="59">
        <v>1.93</v>
      </c>
      <c r="J201" s="35">
        <v>234</v>
      </c>
      <c r="K201" s="35" t="s">
        <v>82</v>
      </c>
      <c r="L201" s="35" t="s">
        <v>46</v>
      </c>
      <c r="M201" s="36" t="s">
        <v>81</v>
      </c>
      <c r="N201" s="36"/>
      <c r="O201" s="35">
        <v>45</v>
      </c>
      <c r="P201" s="77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01" s="598"/>
      <c r="R201" s="598"/>
      <c r="S201" s="598"/>
      <c r="T201" s="599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6"/>
        <v>0</v>
      </c>
      <c r="Z201" s="39" t="str">
        <f t="shared" si="31"/>
        <v/>
      </c>
      <c r="AA201" s="65" t="s">
        <v>46</v>
      </c>
      <c r="AB201" s="66" t="s">
        <v>46</v>
      </c>
      <c r="AC201" s="271" t="s">
        <v>361</v>
      </c>
      <c r="AG201" s="75"/>
      <c r="AJ201" s="79" t="s">
        <v>46</v>
      </c>
      <c r="AK201" s="79">
        <v>0</v>
      </c>
      <c r="BB201" s="272" t="s">
        <v>67</v>
      </c>
      <c r="BM201" s="75">
        <f t="shared" si="27"/>
        <v>0</v>
      </c>
      <c r="BN201" s="75">
        <f t="shared" si="28"/>
        <v>0</v>
      </c>
      <c r="BO201" s="75">
        <f t="shared" si="29"/>
        <v>0</v>
      </c>
      <c r="BP201" s="75">
        <f t="shared" si="30"/>
        <v>0</v>
      </c>
    </row>
    <row r="202" spans="1:68" ht="27" hidden="1" customHeight="1" x14ac:dyDescent="0.25">
      <c r="A202" s="60" t="s">
        <v>362</v>
      </c>
      <c r="B202" s="60" t="s">
        <v>363</v>
      </c>
      <c r="C202" s="34">
        <v>4301031427</v>
      </c>
      <c r="D202" s="596">
        <v>4680115888104</v>
      </c>
      <c r="E202" s="596"/>
      <c r="F202" s="59">
        <v>0.35</v>
      </c>
      <c r="G202" s="35">
        <v>6</v>
      </c>
      <c r="H202" s="59">
        <v>2.1</v>
      </c>
      <c r="I202" s="59">
        <v>2.2000000000000002</v>
      </c>
      <c r="J202" s="35">
        <v>234</v>
      </c>
      <c r="K202" s="35" t="s">
        <v>82</v>
      </c>
      <c r="L202" s="35" t="s">
        <v>46</v>
      </c>
      <c r="M202" s="36" t="s">
        <v>81</v>
      </c>
      <c r="N202" s="36"/>
      <c r="O202" s="35">
        <v>45</v>
      </c>
      <c r="P202" s="76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02" s="598"/>
      <c r="R202" s="598"/>
      <c r="S202" s="598"/>
      <c r="T202" s="599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6"/>
        <v>0</v>
      </c>
      <c r="Z202" s="39" t="str">
        <f t="shared" si="31"/>
        <v/>
      </c>
      <c r="AA202" s="65" t="s">
        <v>46</v>
      </c>
      <c r="AB202" s="66" t="s">
        <v>46</v>
      </c>
      <c r="AC202" s="273" t="s">
        <v>364</v>
      </c>
      <c r="AG202" s="75"/>
      <c r="AJ202" s="79" t="s">
        <v>46</v>
      </c>
      <c r="AK202" s="79">
        <v>0</v>
      </c>
      <c r="BB202" s="274" t="s">
        <v>67</v>
      </c>
      <c r="BM202" s="75">
        <f t="shared" si="27"/>
        <v>0</v>
      </c>
      <c r="BN202" s="75">
        <f t="shared" si="28"/>
        <v>0</v>
      </c>
      <c r="BO202" s="75">
        <f t="shared" si="29"/>
        <v>0</v>
      </c>
      <c r="BP202" s="75">
        <f t="shared" si="30"/>
        <v>0</v>
      </c>
    </row>
    <row r="203" spans="1:68" ht="27" hidden="1" customHeight="1" x14ac:dyDescent="0.25">
      <c r="A203" s="60" t="s">
        <v>365</v>
      </c>
      <c r="B203" s="60" t="s">
        <v>366</v>
      </c>
      <c r="C203" s="34">
        <v>4301031399</v>
      </c>
      <c r="D203" s="596">
        <v>4680115886537</v>
      </c>
      <c r="E203" s="596"/>
      <c r="F203" s="59">
        <v>0.3</v>
      </c>
      <c r="G203" s="35">
        <v>6</v>
      </c>
      <c r="H203" s="59">
        <v>1.8</v>
      </c>
      <c r="I203" s="59">
        <v>1.93</v>
      </c>
      <c r="J203" s="35">
        <v>234</v>
      </c>
      <c r="K203" s="35" t="s">
        <v>82</v>
      </c>
      <c r="L203" s="35" t="s">
        <v>46</v>
      </c>
      <c r="M203" s="36" t="s">
        <v>81</v>
      </c>
      <c r="N203" s="36"/>
      <c r="O203" s="35">
        <v>40</v>
      </c>
      <c r="P203" s="7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03" s="598"/>
      <c r="R203" s="598"/>
      <c r="S203" s="598"/>
      <c r="T203" s="599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6"/>
        <v>0</v>
      </c>
      <c r="Z203" s="39" t="str">
        <f t="shared" si="31"/>
        <v/>
      </c>
      <c r="AA203" s="65" t="s">
        <v>46</v>
      </c>
      <c r="AB203" s="66" t="s">
        <v>46</v>
      </c>
      <c r="AC203" s="275" t="s">
        <v>367</v>
      </c>
      <c r="AG203" s="75"/>
      <c r="AJ203" s="79" t="s">
        <v>46</v>
      </c>
      <c r="AK203" s="79">
        <v>0</v>
      </c>
      <c r="BB203" s="276" t="s">
        <v>67</v>
      </c>
      <c r="BM203" s="75">
        <f t="shared" si="27"/>
        <v>0</v>
      </c>
      <c r="BN203" s="75">
        <f t="shared" si="28"/>
        <v>0</v>
      </c>
      <c r="BO203" s="75">
        <f t="shared" si="29"/>
        <v>0</v>
      </c>
      <c r="BP203" s="75">
        <f t="shared" si="30"/>
        <v>0</v>
      </c>
    </row>
    <row r="204" spans="1:68" ht="27" hidden="1" customHeight="1" x14ac:dyDescent="0.25">
      <c r="A204" s="60" t="s">
        <v>368</v>
      </c>
      <c r="B204" s="60" t="s">
        <v>369</v>
      </c>
      <c r="C204" s="34">
        <v>4301031279</v>
      </c>
      <c r="D204" s="596">
        <v>4680115887596</v>
      </c>
      <c r="E204" s="596"/>
      <c r="F204" s="59">
        <v>0.08</v>
      </c>
      <c r="G204" s="35">
        <v>10</v>
      </c>
      <c r="H204" s="59">
        <v>0.8</v>
      </c>
      <c r="I204" s="59">
        <v>1.01</v>
      </c>
      <c r="J204" s="35">
        <v>336</v>
      </c>
      <c r="K204" s="35" t="s">
        <v>137</v>
      </c>
      <c r="L204" s="35" t="s">
        <v>46</v>
      </c>
      <c r="M204" s="36" t="s">
        <v>81</v>
      </c>
      <c r="N204" s="36"/>
      <c r="O204" s="35">
        <v>45</v>
      </c>
      <c r="P204" s="76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04" s="598"/>
      <c r="R204" s="598"/>
      <c r="S204" s="598"/>
      <c r="T204" s="599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>IFERROR(IF(Y204=0,"",ROUNDUP(Y204/H204,0)*0.00417),"")</f>
        <v/>
      </c>
      <c r="AA204" s="65" t="s">
        <v>46</v>
      </c>
      <c r="AB204" s="66" t="s">
        <v>46</v>
      </c>
      <c r="AC204" s="277" t="s">
        <v>370</v>
      </c>
      <c r="AG204" s="75"/>
      <c r="AJ204" s="79" t="s">
        <v>46</v>
      </c>
      <c r="AK204" s="79">
        <v>0</v>
      </c>
      <c r="BB204" s="278" t="s">
        <v>67</v>
      </c>
      <c r="BM204" s="75">
        <f t="shared" si="27"/>
        <v>0</v>
      </c>
      <c r="BN204" s="75">
        <f t="shared" si="28"/>
        <v>0</v>
      </c>
      <c r="BO204" s="75">
        <f t="shared" si="29"/>
        <v>0</v>
      </c>
      <c r="BP204" s="75">
        <f t="shared" si="30"/>
        <v>0</v>
      </c>
    </row>
    <row r="205" spans="1:68" ht="37.5" hidden="1" customHeight="1" x14ac:dyDescent="0.25">
      <c r="A205" s="60" t="s">
        <v>371</v>
      </c>
      <c r="B205" s="60" t="s">
        <v>372</v>
      </c>
      <c r="C205" s="34">
        <v>4301031202</v>
      </c>
      <c r="D205" s="596">
        <v>4680115881679</v>
      </c>
      <c r="E205" s="596"/>
      <c r="F205" s="59">
        <v>0.35</v>
      </c>
      <c r="G205" s="35">
        <v>6</v>
      </c>
      <c r="H205" s="59">
        <v>2.1</v>
      </c>
      <c r="I205" s="59">
        <v>2.2000000000000002</v>
      </c>
      <c r="J205" s="35">
        <v>234</v>
      </c>
      <c r="K205" s="35" t="s">
        <v>82</v>
      </c>
      <c r="L205" s="35" t="s">
        <v>46</v>
      </c>
      <c r="M205" s="36" t="s">
        <v>81</v>
      </c>
      <c r="N205" s="36"/>
      <c r="O205" s="35">
        <v>40</v>
      </c>
      <c r="P205" s="7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05" s="598"/>
      <c r="R205" s="598"/>
      <c r="S205" s="598"/>
      <c r="T205" s="599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79" t="s">
        <v>348</v>
      </c>
      <c r="AG205" s="75"/>
      <c r="AJ205" s="79" t="s">
        <v>46</v>
      </c>
      <c r="AK205" s="79">
        <v>0</v>
      </c>
      <c r="BB205" s="280" t="s">
        <v>67</v>
      </c>
      <c r="BM205" s="75">
        <f t="shared" si="27"/>
        <v>0</v>
      </c>
      <c r="BN205" s="75">
        <f t="shared" si="28"/>
        <v>0</v>
      </c>
      <c r="BO205" s="75">
        <f t="shared" si="29"/>
        <v>0</v>
      </c>
      <c r="BP205" s="75">
        <f t="shared" si="30"/>
        <v>0</v>
      </c>
    </row>
    <row r="206" spans="1:68" ht="27" hidden="1" customHeight="1" x14ac:dyDescent="0.25">
      <c r="A206" s="60" t="s">
        <v>373</v>
      </c>
      <c r="B206" s="60" t="s">
        <v>374</v>
      </c>
      <c r="C206" s="34">
        <v>4301031158</v>
      </c>
      <c r="D206" s="596">
        <v>4680115880191</v>
      </c>
      <c r="E206" s="596"/>
      <c r="F206" s="59">
        <v>0.4</v>
      </c>
      <c r="G206" s="35">
        <v>6</v>
      </c>
      <c r="H206" s="59">
        <v>2.4</v>
      </c>
      <c r="I206" s="59">
        <v>2.58</v>
      </c>
      <c r="J206" s="35">
        <v>182</v>
      </c>
      <c r="K206" s="35" t="s">
        <v>91</v>
      </c>
      <c r="L206" s="35" t="s">
        <v>46</v>
      </c>
      <c r="M206" s="36" t="s">
        <v>81</v>
      </c>
      <c r="N206" s="36"/>
      <c r="O206" s="35">
        <v>40</v>
      </c>
      <c r="P206" s="76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06" s="598"/>
      <c r="R206" s="598"/>
      <c r="S206" s="598"/>
      <c r="T206" s="599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>IFERROR(IF(Y206=0,"",ROUNDUP(Y206/H206,0)*0.00651),"")</f>
        <v/>
      </c>
      <c r="AA206" s="65" t="s">
        <v>46</v>
      </c>
      <c r="AB206" s="66" t="s">
        <v>46</v>
      </c>
      <c r="AC206" s="281" t="s">
        <v>348</v>
      </c>
      <c r="AG206" s="75"/>
      <c r="AJ206" s="79" t="s">
        <v>46</v>
      </c>
      <c r="AK206" s="79">
        <v>0</v>
      </c>
      <c r="BB206" s="282" t="s">
        <v>67</v>
      </c>
      <c r="BM206" s="75">
        <f t="shared" si="27"/>
        <v>0</v>
      </c>
      <c r="BN206" s="75">
        <f t="shared" si="28"/>
        <v>0</v>
      </c>
      <c r="BO206" s="75">
        <f t="shared" si="29"/>
        <v>0</v>
      </c>
      <c r="BP206" s="75">
        <f t="shared" si="30"/>
        <v>0</v>
      </c>
    </row>
    <row r="207" spans="1:68" ht="27" hidden="1" customHeight="1" x14ac:dyDescent="0.25">
      <c r="A207" s="60" t="s">
        <v>375</v>
      </c>
      <c r="B207" s="60" t="s">
        <v>376</v>
      </c>
      <c r="C207" s="34">
        <v>4301031245</v>
      </c>
      <c r="D207" s="596">
        <v>4680115883963</v>
      </c>
      <c r="E207" s="596"/>
      <c r="F207" s="59">
        <v>0.28000000000000003</v>
      </c>
      <c r="G207" s="35">
        <v>6</v>
      </c>
      <c r="H207" s="59">
        <v>1.68</v>
      </c>
      <c r="I207" s="59">
        <v>1.78</v>
      </c>
      <c r="J207" s="35">
        <v>234</v>
      </c>
      <c r="K207" s="35" t="s">
        <v>82</v>
      </c>
      <c r="L207" s="35" t="s">
        <v>46</v>
      </c>
      <c r="M207" s="36" t="s">
        <v>81</v>
      </c>
      <c r="N207" s="36"/>
      <c r="O207" s="35">
        <v>40</v>
      </c>
      <c r="P207" s="76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07" s="598"/>
      <c r="R207" s="598"/>
      <c r="S207" s="598"/>
      <c r="T207" s="599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>IFERROR(IF(Y207=0,"",ROUNDUP(Y207/H207,0)*0.00502),"")</f>
        <v/>
      </c>
      <c r="AA207" s="65" t="s">
        <v>46</v>
      </c>
      <c r="AB207" s="66" t="s">
        <v>46</v>
      </c>
      <c r="AC207" s="283" t="s">
        <v>377</v>
      </c>
      <c r="AG207" s="75"/>
      <c r="AJ207" s="79" t="s">
        <v>46</v>
      </c>
      <c r="AK207" s="79">
        <v>0</v>
      </c>
      <c r="BB207" s="284" t="s">
        <v>67</v>
      </c>
      <c r="BM207" s="75">
        <f t="shared" si="27"/>
        <v>0</v>
      </c>
      <c r="BN207" s="75">
        <f t="shared" si="28"/>
        <v>0</v>
      </c>
      <c r="BO207" s="75">
        <f t="shared" si="29"/>
        <v>0</v>
      </c>
      <c r="BP207" s="75">
        <f t="shared" si="30"/>
        <v>0</v>
      </c>
    </row>
    <row r="208" spans="1:68" hidden="1" x14ac:dyDescent="0.2">
      <c r="A208" s="603"/>
      <c r="B208" s="603"/>
      <c r="C208" s="603"/>
      <c r="D208" s="603"/>
      <c r="E208" s="603"/>
      <c r="F208" s="603"/>
      <c r="G208" s="603"/>
      <c r="H208" s="603"/>
      <c r="I208" s="603"/>
      <c r="J208" s="603"/>
      <c r="K208" s="603"/>
      <c r="L208" s="603"/>
      <c r="M208" s="603"/>
      <c r="N208" s="603"/>
      <c r="O208" s="604"/>
      <c r="P208" s="600" t="s">
        <v>40</v>
      </c>
      <c r="Q208" s="601"/>
      <c r="R208" s="601"/>
      <c r="S208" s="601"/>
      <c r="T208" s="601"/>
      <c r="U208" s="601"/>
      <c r="V208" s="602"/>
      <c r="W208" s="40" t="s">
        <v>39</v>
      </c>
      <c r="X208" s="41">
        <f>IFERROR(X194/H194,"0")+IFERROR(X195/H195,"0")+IFERROR(X196/H196,"0")+IFERROR(X197/H197,"0")+IFERROR(X198/H198,"0")+IFERROR(X199/H199,"0")+IFERROR(X200/H200,"0")+IFERROR(X201/H201,"0")+IFERROR(X202/H202,"0")+IFERROR(X203/H203,"0")+IFERROR(X204/H204,"0")+IFERROR(X205/H205,"0")+IFERROR(X206/H206,"0")+IFERROR(X207/H207,"0")</f>
        <v>0</v>
      </c>
      <c r="Y208" s="41">
        <f>IFERROR(Y194/H194,"0")+IFERROR(Y195/H195,"0")+IFERROR(Y196/H196,"0")+IFERROR(Y197/H197,"0")+IFERROR(Y198/H198,"0")+IFERROR(Y199/H199,"0")+IFERROR(Y200/H200,"0")+IFERROR(Y201/H201,"0")+IFERROR(Y202/H202,"0")+IFERROR(Y203/H203,"0")+IFERROR(Y204/H204,"0")+IFERROR(Y205/H205,"0")+IFERROR(Y206/H206,"0")+IFERROR(Y207/H207,"0")</f>
        <v>0</v>
      </c>
      <c r="Z208" s="41">
        <f>IFERROR(IF(Z194="",0,Z194),"0")+IFERROR(IF(Z195="",0,Z195),"0")+IFERROR(IF(Z196="",0,Z196),"0")+IFERROR(IF(Z197="",0,Z197),"0")+IFERROR(IF(Z198="",0,Z198),"0")+IFERROR(IF(Z199="",0,Z199),"0")+IFERROR(IF(Z200="",0,Z200),"0")+IFERROR(IF(Z201="",0,Z201),"0")+IFERROR(IF(Z202="",0,Z202),"0")+IFERROR(IF(Z203="",0,Z203),"0")+IFERROR(IF(Z204="",0,Z204),"0")+IFERROR(IF(Z205="",0,Z205),"0")+IFERROR(IF(Z206="",0,Z206),"0")+IFERROR(IF(Z207="",0,Z207),"0")</f>
        <v>0</v>
      </c>
      <c r="AA208" s="64"/>
      <c r="AB208" s="64"/>
      <c r="AC208" s="64"/>
    </row>
    <row r="209" spans="1:68" hidden="1" x14ac:dyDescent="0.2">
      <c r="A209" s="603"/>
      <c r="B209" s="603"/>
      <c r="C209" s="603"/>
      <c r="D209" s="603"/>
      <c r="E209" s="603"/>
      <c r="F209" s="603"/>
      <c r="G209" s="603"/>
      <c r="H209" s="603"/>
      <c r="I209" s="603"/>
      <c r="J209" s="603"/>
      <c r="K209" s="603"/>
      <c r="L209" s="603"/>
      <c r="M209" s="603"/>
      <c r="N209" s="603"/>
      <c r="O209" s="604"/>
      <c r="P209" s="600" t="s">
        <v>40</v>
      </c>
      <c r="Q209" s="601"/>
      <c r="R209" s="601"/>
      <c r="S209" s="601"/>
      <c r="T209" s="601"/>
      <c r="U209" s="601"/>
      <c r="V209" s="602"/>
      <c r="W209" s="40" t="s">
        <v>0</v>
      </c>
      <c r="X209" s="41">
        <f>IFERROR(SUM(X194:X207),"0")</f>
        <v>0</v>
      </c>
      <c r="Y209" s="41">
        <f>IFERROR(SUM(Y194:Y207),"0")</f>
        <v>0</v>
      </c>
      <c r="Z209" s="40"/>
      <c r="AA209" s="64"/>
      <c r="AB209" s="64"/>
      <c r="AC209" s="64"/>
    </row>
    <row r="210" spans="1:68" ht="14.25" hidden="1" customHeight="1" x14ac:dyDescent="0.25">
      <c r="A210" s="595" t="s">
        <v>86</v>
      </c>
      <c r="B210" s="595"/>
      <c r="C210" s="595"/>
      <c r="D210" s="595"/>
      <c r="E210" s="595"/>
      <c r="F210" s="595"/>
      <c r="G210" s="595"/>
      <c r="H210" s="595"/>
      <c r="I210" s="595"/>
      <c r="J210" s="595"/>
      <c r="K210" s="595"/>
      <c r="L210" s="595"/>
      <c r="M210" s="595"/>
      <c r="N210" s="595"/>
      <c r="O210" s="595"/>
      <c r="P210" s="595"/>
      <c r="Q210" s="595"/>
      <c r="R210" s="595"/>
      <c r="S210" s="595"/>
      <c r="T210" s="595"/>
      <c r="U210" s="595"/>
      <c r="V210" s="595"/>
      <c r="W210" s="595"/>
      <c r="X210" s="595"/>
      <c r="Y210" s="595"/>
      <c r="Z210" s="595"/>
      <c r="AA210" s="63"/>
      <c r="AB210" s="63"/>
      <c r="AC210" s="63"/>
    </row>
    <row r="211" spans="1:68" ht="16.5" hidden="1" customHeight="1" x14ac:dyDescent="0.25">
      <c r="A211" s="60" t="s">
        <v>378</v>
      </c>
      <c r="B211" s="60" t="s">
        <v>379</v>
      </c>
      <c r="C211" s="34">
        <v>4301052209</v>
      </c>
      <c r="D211" s="596">
        <v>4680115888692</v>
      </c>
      <c r="E211" s="596"/>
      <c r="F211" s="59">
        <v>0.8</v>
      </c>
      <c r="G211" s="35">
        <v>6</v>
      </c>
      <c r="H211" s="59">
        <v>4.8</v>
      </c>
      <c r="I211" s="59">
        <v>5.2220000000000004</v>
      </c>
      <c r="J211" s="35">
        <v>104</v>
      </c>
      <c r="K211" s="35" t="s">
        <v>133</v>
      </c>
      <c r="L211" s="35" t="s">
        <v>46</v>
      </c>
      <c r="M211" s="36" t="s">
        <v>97</v>
      </c>
      <c r="N211" s="36"/>
      <c r="O211" s="35">
        <v>35</v>
      </c>
      <c r="P211" s="762" t="s">
        <v>380</v>
      </c>
      <c r="Q211" s="598"/>
      <c r="R211" s="598"/>
      <c r="S211" s="598"/>
      <c r="T211" s="599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IFERROR(IF(Y211=0,"",ROUNDUP(Y211/H211,0)*0.01196),"")</f>
        <v/>
      </c>
      <c r="AA211" s="65" t="s">
        <v>46</v>
      </c>
      <c r="AB211" s="66" t="s">
        <v>382</v>
      </c>
      <c r="AC211" s="285" t="s">
        <v>381</v>
      </c>
      <c r="AG211" s="75"/>
      <c r="AJ211" s="79" t="s">
        <v>46</v>
      </c>
      <c r="AK211" s="79">
        <v>0</v>
      </c>
      <c r="BB211" s="286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t="27" hidden="1" customHeight="1" x14ac:dyDescent="0.25">
      <c r="A212" s="60" t="s">
        <v>383</v>
      </c>
      <c r="B212" s="60" t="s">
        <v>384</v>
      </c>
      <c r="C212" s="34">
        <v>4301052213</v>
      </c>
      <c r="D212" s="596">
        <v>4680115888722</v>
      </c>
      <c r="E212" s="596"/>
      <c r="F212" s="59">
        <v>0.8</v>
      </c>
      <c r="G212" s="35">
        <v>6</v>
      </c>
      <c r="H212" s="59">
        <v>4.8</v>
      </c>
      <c r="I212" s="59">
        <v>5.2220000000000004</v>
      </c>
      <c r="J212" s="35">
        <v>104</v>
      </c>
      <c r="K212" s="35" t="s">
        <v>133</v>
      </c>
      <c r="L212" s="35" t="s">
        <v>46</v>
      </c>
      <c r="M212" s="36" t="s">
        <v>97</v>
      </c>
      <c r="N212" s="36"/>
      <c r="O212" s="35">
        <v>35</v>
      </c>
      <c r="P212" s="763" t="s">
        <v>385</v>
      </c>
      <c r="Q212" s="598"/>
      <c r="R212" s="598"/>
      <c r="S212" s="598"/>
      <c r="T212" s="599"/>
      <c r="U212" s="37" t="s">
        <v>46</v>
      </c>
      <c r="V212" s="37" t="s">
        <v>46</v>
      </c>
      <c r="W212" s="38" t="s">
        <v>0</v>
      </c>
      <c r="X212" s="56">
        <v>0</v>
      </c>
      <c r="Y212" s="53">
        <f>IFERROR(IF(X212="",0,CEILING((X212/$H212),1)*$H212),"")</f>
        <v>0</v>
      </c>
      <c r="Z212" s="39" t="str">
        <f>IFERROR(IF(Y212=0,"",ROUNDUP(Y212/H212,0)*0.01196),"")</f>
        <v/>
      </c>
      <c r="AA212" s="65" t="s">
        <v>46</v>
      </c>
      <c r="AB212" s="66" t="s">
        <v>382</v>
      </c>
      <c r="AC212" s="287" t="s">
        <v>386</v>
      </c>
      <c r="AG212" s="75"/>
      <c r="AJ212" s="79" t="s">
        <v>46</v>
      </c>
      <c r="AK212" s="79">
        <v>0</v>
      </c>
      <c r="BB212" s="288" t="s">
        <v>67</v>
      </c>
      <c r="BM212" s="75">
        <f>IFERROR(X212*I212/H212,"0")</f>
        <v>0</v>
      </c>
      <c r="BN212" s="75">
        <f>IFERROR(Y212*I212/H212,"0")</f>
        <v>0</v>
      </c>
      <c r="BO212" s="75">
        <f>IFERROR(1/J212*(X212/H212),"0")</f>
        <v>0</v>
      </c>
      <c r="BP212" s="75">
        <f>IFERROR(1/J212*(Y212/H212),"0")</f>
        <v>0</v>
      </c>
    </row>
    <row r="213" spans="1:68" ht="27" hidden="1" customHeight="1" x14ac:dyDescent="0.25">
      <c r="A213" s="60" t="s">
        <v>387</v>
      </c>
      <c r="B213" s="60" t="s">
        <v>388</v>
      </c>
      <c r="C213" s="34">
        <v>4301052177</v>
      </c>
      <c r="D213" s="596">
        <v>4680115888951</v>
      </c>
      <c r="E213" s="596"/>
      <c r="F213" s="59">
        <v>0.36</v>
      </c>
      <c r="G213" s="35">
        <v>6</v>
      </c>
      <c r="H213" s="59">
        <v>2.16</v>
      </c>
      <c r="I213" s="59">
        <v>2.4220000000000002</v>
      </c>
      <c r="J213" s="35">
        <v>132</v>
      </c>
      <c r="K213" s="35" t="s">
        <v>140</v>
      </c>
      <c r="L213" s="35" t="s">
        <v>46</v>
      </c>
      <c r="M213" s="36" t="s">
        <v>97</v>
      </c>
      <c r="N213" s="36"/>
      <c r="O213" s="35">
        <v>35</v>
      </c>
      <c r="P213" s="75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13" s="598"/>
      <c r="R213" s="598"/>
      <c r="S213" s="598"/>
      <c r="T213" s="599"/>
      <c r="U213" s="37" t="s">
        <v>46</v>
      </c>
      <c r="V213" s="37" t="s">
        <v>46</v>
      </c>
      <c r="W213" s="38" t="s">
        <v>0</v>
      </c>
      <c r="X213" s="56">
        <v>0</v>
      </c>
      <c r="Y213" s="53">
        <f>IFERROR(IF(X213="",0,CEILING((X213/$H213),1)*$H213),"")</f>
        <v>0</v>
      </c>
      <c r="Z213" s="39" t="str">
        <f>IFERROR(IF(Y213=0,"",ROUNDUP(Y213/H213,0)*0.00902),"")</f>
        <v/>
      </c>
      <c r="AA213" s="65" t="s">
        <v>46</v>
      </c>
      <c r="AB213" s="66" t="s">
        <v>46</v>
      </c>
      <c r="AC213" s="289" t="s">
        <v>389</v>
      </c>
      <c r="AG213" s="75"/>
      <c r="AJ213" s="79" t="s">
        <v>46</v>
      </c>
      <c r="AK213" s="79">
        <v>0</v>
      </c>
      <c r="BB213" s="290" t="s">
        <v>67</v>
      </c>
      <c r="BM213" s="75">
        <f>IFERROR(X213*I213/H213,"0")</f>
        <v>0</v>
      </c>
      <c r="BN213" s="75">
        <f>IFERROR(Y213*I213/H213,"0")</f>
        <v>0</v>
      </c>
      <c r="BO213" s="75">
        <f>IFERROR(1/J213*(X213/H213),"0")</f>
        <v>0</v>
      </c>
      <c r="BP213" s="75">
        <f>IFERROR(1/J213*(Y213/H213),"0")</f>
        <v>0</v>
      </c>
    </row>
    <row r="214" spans="1:68" ht="27" hidden="1" customHeight="1" x14ac:dyDescent="0.25">
      <c r="A214" s="60" t="s">
        <v>390</v>
      </c>
      <c r="B214" s="60" t="s">
        <v>391</v>
      </c>
      <c r="C214" s="34">
        <v>4301052176</v>
      </c>
      <c r="D214" s="596">
        <v>4680115888982</v>
      </c>
      <c r="E214" s="596"/>
      <c r="F214" s="59">
        <v>0.36</v>
      </c>
      <c r="G214" s="35">
        <v>6</v>
      </c>
      <c r="H214" s="59">
        <v>2.16</v>
      </c>
      <c r="I214" s="59">
        <v>2.4220000000000002</v>
      </c>
      <c r="J214" s="35">
        <v>132</v>
      </c>
      <c r="K214" s="35" t="s">
        <v>140</v>
      </c>
      <c r="L214" s="35" t="s">
        <v>46</v>
      </c>
      <c r="M214" s="36" t="s">
        <v>97</v>
      </c>
      <c r="N214" s="36"/>
      <c r="O214" s="35">
        <v>35</v>
      </c>
      <c r="P214" s="7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14" s="598"/>
      <c r="R214" s="598"/>
      <c r="S214" s="598"/>
      <c r="T214" s="599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91" t="s">
        <v>386</v>
      </c>
      <c r="AG214" s="75"/>
      <c r="AJ214" s="79" t="s">
        <v>46</v>
      </c>
      <c r="AK214" s="79">
        <v>0</v>
      </c>
      <c r="BB214" s="292" t="s">
        <v>67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603"/>
      <c r="B215" s="603"/>
      <c r="C215" s="603"/>
      <c r="D215" s="603"/>
      <c r="E215" s="603"/>
      <c r="F215" s="603"/>
      <c r="G215" s="603"/>
      <c r="H215" s="603"/>
      <c r="I215" s="603"/>
      <c r="J215" s="603"/>
      <c r="K215" s="603"/>
      <c r="L215" s="603"/>
      <c r="M215" s="603"/>
      <c r="N215" s="603"/>
      <c r="O215" s="604"/>
      <c r="P215" s="600" t="s">
        <v>40</v>
      </c>
      <c r="Q215" s="601"/>
      <c r="R215" s="601"/>
      <c r="S215" s="601"/>
      <c r="T215" s="601"/>
      <c r="U215" s="601"/>
      <c r="V215" s="602"/>
      <c r="W215" s="40" t="s">
        <v>39</v>
      </c>
      <c r="X215" s="41">
        <f>IFERROR(X211/H211,"0")+IFERROR(X212/H212,"0")+IFERROR(X213/H213,"0")+IFERROR(X214/H214,"0")</f>
        <v>0</v>
      </c>
      <c r="Y215" s="41">
        <f>IFERROR(Y211/H211,"0")+IFERROR(Y212/H212,"0")+IFERROR(Y213/H213,"0")+IFERROR(Y214/H214,"0")</f>
        <v>0</v>
      </c>
      <c r="Z215" s="41">
        <f>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03"/>
      <c r="B216" s="603"/>
      <c r="C216" s="603"/>
      <c r="D216" s="603"/>
      <c r="E216" s="603"/>
      <c r="F216" s="603"/>
      <c r="G216" s="603"/>
      <c r="H216" s="603"/>
      <c r="I216" s="603"/>
      <c r="J216" s="603"/>
      <c r="K216" s="603"/>
      <c r="L216" s="603"/>
      <c r="M216" s="603"/>
      <c r="N216" s="603"/>
      <c r="O216" s="604"/>
      <c r="P216" s="600" t="s">
        <v>40</v>
      </c>
      <c r="Q216" s="601"/>
      <c r="R216" s="601"/>
      <c r="S216" s="601"/>
      <c r="T216" s="601"/>
      <c r="U216" s="601"/>
      <c r="V216" s="602"/>
      <c r="W216" s="40" t="s">
        <v>0</v>
      </c>
      <c r="X216" s="41">
        <f>IFERROR(SUM(X211:X214),"0")</f>
        <v>0</v>
      </c>
      <c r="Y216" s="41">
        <f>IFERROR(SUM(Y211:Y214),"0")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595" t="s">
        <v>107</v>
      </c>
      <c r="B217" s="595"/>
      <c r="C217" s="595"/>
      <c r="D217" s="595"/>
      <c r="E217" s="595"/>
      <c r="F217" s="595"/>
      <c r="G217" s="595"/>
      <c r="H217" s="595"/>
      <c r="I217" s="595"/>
      <c r="J217" s="595"/>
      <c r="K217" s="595"/>
      <c r="L217" s="595"/>
      <c r="M217" s="595"/>
      <c r="N217" s="595"/>
      <c r="O217" s="595"/>
      <c r="P217" s="595"/>
      <c r="Q217" s="595"/>
      <c r="R217" s="595"/>
      <c r="S217" s="595"/>
      <c r="T217" s="595"/>
      <c r="U217" s="595"/>
      <c r="V217" s="595"/>
      <c r="W217" s="595"/>
      <c r="X217" s="595"/>
      <c r="Y217" s="595"/>
      <c r="Z217" s="595"/>
      <c r="AA217" s="63"/>
      <c r="AB217" s="63"/>
      <c r="AC217" s="63"/>
    </row>
    <row r="218" spans="1:68" ht="27" hidden="1" customHeight="1" x14ac:dyDescent="0.25">
      <c r="A218" s="60" t="s">
        <v>392</v>
      </c>
      <c r="B218" s="60" t="s">
        <v>393</v>
      </c>
      <c r="C218" s="34">
        <v>4301032053</v>
      </c>
      <c r="D218" s="596">
        <v>4680115886780</v>
      </c>
      <c r="E218" s="596"/>
      <c r="F218" s="59">
        <v>7.0000000000000007E-2</v>
      </c>
      <c r="G218" s="35">
        <v>18</v>
      </c>
      <c r="H218" s="59">
        <v>1.26</v>
      </c>
      <c r="I218" s="59">
        <v>1.45</v>
      </c>
      <c r="J218" s="35">
        <v>216</v>
      </c>
      <c r="K218" s="35" t="s">
        <v>315</v>
      </c>
      <c r="L218" s="35" t="s">
        <v>46</v>
      </c>
      <c r="M218" s="36" t="s">
        <v>314</v>
      </c>
      <c r="N218" s="36"/>
      <c r="O218" s="35">
        <v>60</v>
      </c>
      <c r="P218" s="7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18" s="598"/>
      <c r="R218" s="598"/>
      <c r="S218" s="598"/>
      <c r="T218" s="599"/>
      <c r="U218" s="37" t="s">
        <v>46</v>
      </c>
      <c r="V218" s="37" t="s">
        <v>46</v>
      </c>
      <c r="W218" s="38" t="s">
        <v>0</v>
      </c>
      <c r="X218" s="56">
        <v>0</v>
      </c>
      <c r="Y218" s="53">
        <f>IFERROR(IF(X218="",0,CEILING((X218/$H218),1)*$H218),"")</f>
        <v>0</v>
      </c>
      <c r="Z218" s="39" t="str">
        <f>IFERROR(IF(Y218=0,"",ROUNDUP(Y218/H218,0)*0.0059),"")</f>
        <v/>
      </c>
      <c r="AA218" s="65" t="s">
        <v>46</v>
      </c>
      <c r="AB218" s="66" t="s">
        <v>46</v>
      </c>
      <c r="AC218" s="293" t="s">
        <v>394</v>
      </c>
      <c r="AG218" s="75"/>
      <c r="AJ218" s="79" t="s">
        <v>46</v>
      </c>
      <c r="AK218" s="79">
        <v>0</v>
      </c>
      <c r="BB218" s="294" t="s">
        <v>67</v>
      </c>
      <c r="BM218" s="75">
        <f>IFERROR(X218*I218/H218,"0")</f>
        <v>0</v>
      </c>
      <c r="BN218" s="75">
        <f>IFERROR(Y218*I218/H218,"0")</f>
        <v>0</v>
      </c>
      <c r="BO218" s="75">
        <f>IFERROR(1/J218*(X218/H218),"0")</f>
        <v>0</v>
      </c>
      <c r="BP218" s="75">
        <f>IFERROR(1/J218*(Y218/H218),"0")</f>
        <v>0</v>
      </c>
    </row>
    <row r="219" spans="1:68" ht="27" hidden="1" customHeight="1" x14ac:dyDescent="0.25">
      <c r="A219" s="60" t="s">
        <v>395</v>
      </c>
      <c r="B219" s="60" t="s">
        <v>396</v>
      </c>
      <c r="C219" s="34">
        <v>4301032051</v>
      </c>
      <c r="D219" s="596">
        <v>4680115886742</v>
      </c>
      <c r="E219" s="596"/>
      <c r="F219" s="59">
        <v>7.0000000000000007E-2</v>
      </c>
      <c r="G219" s="35">
        <v>18</v>
      </c>
      <c r="H219" s="59">
        <v>1.26</v>
      </c>
      <c r="I219" s="59">
        <v>1.45</v>
      </c>
      <c r="J219" s="35">
        <v>216</v>
      </c>
      <c r="K219" s="35" t="s">
        <v>315</v>
      </c>
      <c r="L219" s="35" t="s">
        <v>46</v>
      </c>
      <c r="M219" s="36" t="s">
        <v>314</v>
      </c>
      <c r="N219" s="36"/>
      <c r="O219" s="35">
        <v>90</v>
      </c>
      <c r="P219" s="75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19" s="598"/>
      <c r="R219" s="598"/>
      <c r="S219" s="598"/>
      <c r="T219" s="599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IFERROR(IF(Y219=0,"",ROUNDUP(Y219/H219,0)*0.0059),"")</f>
        <v/>
      </c>
      <c r="AA219" s="65" t="s">
        <v>46</v>
      </c>
      <c r="AB219" s="66" t="s">
        <v>46</v>
      </c>
      <c r="AC219" s="295" t="s">
        <v>397</v>
      </c>
      <c r="AG219" s="75"/>
      <c r="AJ219" s="79" t="s">
        <v>46</v>
      </c>
      <c r="AK219" s="79">
        <v>0</v>
      </c>
      <c r="BB219" s="296" t="s">
        <v>67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t="27" hidden="1" customHeight="1" x14ac:dyDescent="0.25">
      <c r="A220" s="60" t="s">
        <v>398</v>
      </c>
      <c r="B220" s="60" t="s">
        <v>399</v>
      </c>
      <c r="C220" s="34">
        <v>4301032052</v>
      </c>
      <c r="D220" s="596">
        <v>4680115886766</v>
      </c>
      <c r="E220" s="596"/>
      <c r="F220" s="59">
        <v>7.0000000000000007E-2</v>
      </c>
      <c r="G220" s="35">
        <v>18</v>
      </c>
      <c r="H220" s="59">
        <v>1.26</v>
      </c>
      <c r="I220" s="59">
        <v>1.45</v>
      </c>
      <c r="J220" s="35">
        <v>216</v>
      </c>
      <c r="K220" s="35" t="s">
        <v>315</v>
      </c>
      <c r="L220" s="35" t="s">
        <v>46</v>
      </c>
      <c r="M220" s="36" t="s">
        <v>314</v>
      </c>
      <c r="N220" s="36"/>
      <c r="O220" s="35">
        <v>90</v>
      </c>
      <c r="P220" s="75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20" s="598"/>
      <c r="R220" s="598"/>
      <c r="S220" s="598"/>
      <c r="T220" s="599"/>
      <c r="U220" s="37" t="s">
        <v>46</v>
      </c>
      <c r="V220" s="37" t="s">
        <v>46</v>
      </c>
      <c r="W220" s="38" t="s">
        <v>0</v>
      </c>
      <c r="X220" s="56">
        <v>0</v>
      </c>
      <c r="Y220" s="53">
        <f>IFERROR(IF(X220="",0,CEILING((X220/$H220),1)*$H220),"")</f>
        <v>0</v>
      </c>
      <c r="Z220" s="39" t="str">
        <f>IFERROR(IF(Y220=0,"",ROUNDUP(Y220/H220,0)*0.0059),"")</f>
        <v/>
      </c>
      <c r="AA220" s="65" t="s">
        <v>46</v>
      </c>
      <c r="AB220" s="66" t="s">
        <v>46</v>
      </c>
      <c r="AC220" s="297" t="s">
        <v>397</v>
      </c>
      <c r="AG220" s="75"/>
      <c r="AJ220" s="79" t="s">
        <v>46</v>
      </c>
      <c r="AK220" s="79">
        <v>0</v>
      </c>
      <c r="BB220" s="298" t="s">
        <v>67</v>
      </c>
      <c r="BM220" s="75">
        <f>IFERROR(X220*I220/H220,"0")</f>
        <v>0</v>
      </c>
      <c r="BN220" s="75">
        <f>IFERROR(Y220*I220/H220,"0")</f>
        <v>0</v>
      </c>
      <c r="BO220" s="75">
        <f>IFERROR(1/J220*(X220/H220),"0")</f>
        <v>0</v>
      </c>
      <c r="BP220" s="75">
        <f>IFERROR(1/J220*(Y220/H220),"0")</f>
        <v>0</v>
      </c>
    </row>
    <row r="221" spans="1:68" hidden="1" x14ac:dyDescent="0.2">
      <c r="A221" s="603"/>
      <c r="B221" s="603"/>
      <c r="C221" s="603"/>
      <c r="D221" s="603"/>
      <c r="E221" s="603"/>
      <c r="F221" s="603"/>
      <c r="G221" s="603"/>
      <c r="H221" s="603"/>
      <c r="I221" s="603"/>
      <c r="J221" s="603"/>
      <c r="K221" s="603"/>
      <c r="L221" s="603"/>
      <c r="M221" s="603"/>
      <c r="N221" s="603"/>
      <c r="O221" s="604"/>
      <c r="P221" s="600" t="s">
        <v>40</v>
      </c>
      <c r="Q221" s="601"/>
      <c r="R221" s="601"/>
      <c r="S221" s="601"/>
      <c r="T221" s="601"/>
      <c r="U221" s="601"/>
      <c r="V221" s="602"/>
      <c r="W221" s="40" t="s">
        <v>39</v>
      </c>
      <c r="X221" s="41">
        <f>IFERROR(X218/H218,"0")+IFERROR(X219/H219,"0")+IFERROR(X220/H220,"0")</f>
        <v>0</v>
      </c>
      <c r="Y221" s="41">
        <f>IFERROR(Y218/H218,"0")+IFERROR(Y219/H219,"0")+IFERROR(Y220/H220,"0")</f>
        <v>0</v>
      </c>
      <c r="Z221" s="41">
        <f>IFERROR(IF(Z218="",0,Z218),"0")+IFERROR(IF(Z219="",0,Z219),"0")+IFERROR(IF(Z220="",0,Z220),"0")</f>
        <v>0</v>
      </c>
      <c r="AA221" s="64"/>
      <c r="AB221" s="64"/>
      <c r="AC221" s="64"/>
    </row>
    <row r="222" spans="1:68" hidden="1" x14ac:dyDescent="0.2">
      <c r="A222" s="603"/>
      <c r="B222" s="603"/>
      <c r="C222" s="603"/>
      <c r="D222" s="603"/>
      <c r="E222" s="603"/>
      <c r="F222" s="603"/>
      <c r="G222" s="603"/>
      <c r="H222" s="603"/>
      <c r="I222" s="603"/>
      <c r="J222" s="603"/>
      <c r="K222" s="603"/>
      <c r="L222" s="603"/>
      <c r="M222" s="603"/>
      <c r="N222" s="603"/>
      <c r="O222" s="604"/>
      <c r="P222" s="600" t="s">
        <v>40</v>
      </c>
      <c r="Q222" s="601"/>
      <c r="R222" s="601"/>
      <c r="S222" s="601"/>
      <c r="T222" s="601"/>
      <c r="U222" s="601"/>
      <c r="V222" s="602"/>
      <c r="W222" s="40" t="s">
        <v>0</v>
      </c>
      <c r="X222" s="41">
        <f>IFERROR(SUM(X218:X220),"0")</f>
        <v>0</v>
      </c>
      <c r="Y222" s="41">
        <f>IFERROR(SUM(Y218:Y220),"0")</f>
        <v>0</v>
      </c>
      <c r="Z222" s="40"/>
      <c r="AA222" s="64"/>
      <c r="AB222" s="64"/>
      <c r="AC222" s="64"/>
    </row>
    <row r="223" spans="1:68" ht="14.25" hidden="1" customHeight="1" x14ac:dyDescent="0.25">
      <c r="A223" s="595" t="s">
        <v>400</v>
      </c>
      <c r="B223" s="595"/>
      <c r="C223" s="595"/>
      <c r="D223" s="595"/>
      <c r="E223" s="595"/>
      <c r="F223" s="595"/>
      <c r="G223" s="595"/>
      <c r="H223" s="595"/>
      <c r="I223" s="595"/>
      <c r="J223" s="595"/>
      <c r="K223" s="595"/>
      <c r="L223" s="595"/>
      <c r="M223" s="595"/>
      <c r="N223" s="595"/>
      <c r="O223" s="595"/>
      <c r="P223" s="595"/>
      <c r="Q223" s="595"/>
      <c r="R223" s="595"/>
      <c r="S223" s="595"/>
      <c r="T223" s="595"/>
      <c r="U223" s="595"/>
      <c r="V223" s="595"/>
      <c r="W223" s="595"/>
      <c r="X223" s="595"/>
      <c r="Y223" s="595"/>
      <c r="Z223" s="595"/>
      <c r="AA223" s="63"/>
      <c r="AB223" s="63"/>
      <c r="AC223" s="63"/>
    </row>
    <row r="224" spans="1:68" ht="27" hidden="1" customHeight="1" x14ac:dyDescent="0.25">
      <c r="A224" s="60" t="s">
        <v>401</v>
      </c>
      <c r="B224" s="60" t="s">
        <v>402</v>
      </c>
      <c r="C224" s="34">
        <v>4301170013</v>
      </c>
      <c r="D224" s="596">
        <v>4680115886797</v>
      </c>
      <c r="E224" s="596"/>
      <c r="F224" s="59">
        <v>7.0000000000000007E-2</v>
      </c>
      <c r="G224" s="35">
        <v>18</v>
      </c>
      <c r="H224" s="59">
        <v>1.26</v>
      </c>
      <c r="I224" s="59">
        <v>1.45</v>
      </c>
      <c r="J224" s="35">
        <v>216</v>
      </c>
      <c r="K224" s="35" t="s">
        <v>315</v>
      </c>
      <c r="L224" s="35" t="s">
        <v>46</v>
      </c>
      <c r="M224" s="36" t="s">
        <v>314</v>
      </c>
      <c r="N224" s="36"/>
      <c r="O224" s="35">
        <v>90</v>
      </c>
      <c r="P224" s="7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24" s="598"/>
      <c r="R224" s="598"/>
      <c r="S224" s="598"/>
      <c r="T224" s="599"/>
      <c r="U224" s="37" t="s">
        <v>46</v>
      </c>
      <c r="V224" s="37" t="s">
        <v>46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IFERROR(IF(Y224=0,"",ROUNDUP(Y224/H224,0)*0.0059),"")</f>
        <v/>
      </c>
      <c r="AA224" s="65" t="s">
        <v>46</v>
      </c>
      <c r="AB224" s="66" t="s">
        <v>46</v>
      </c>
      <c r="AC224" s="299" t="s">
        <v>397</v>
      </c>
      <c r="AG224" s="75"/>
      <c r="AJ224" s="79" t="s">
        <v>46</v>
      </c>
      <c r="AK224" s="79">
        <v>0</v>
      </c>
      <c r="BB224" s="300" t="s">
        <v>67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idden="1" x14ac:dyDescent="0.2">
      <c r="A225" s="603"/>
      <c r="B225" s="603"/>
      <c r="C225" s="603"/>
      <c r="D225" s="603"/>
      <c r="E225" s="603"/>
      <c r="F225" s="603"/>
      <c r="G225" s="603"/>
      <c r="H225" s="603"/>
      <c r="I225" s="603"/>
      <c r="J225" s="603"/>
      <c r="K225" s="603"/>
      <c r="L225" s="603"/>
      <c r="M225" s="603"/>
      <c r="N225" s="603"/>
      <c r="O225" s="604"/>
      <c r="P225" s="600" t="s">
        <v>40</v>
      </c>
      <c r="Q225" s="601"/>
      <c r="R225" s="601"/>
      <c r="S225" s="601"/>
      <c r="T225" s="601"/>
      <c r="U225" s="601"/>
      <c r="V225" s="602"/>
      <c r="W225" s="40" t="s">
        <v>39</v>
      </c>
      <c r="X225" s="41">
        <f>IFERROR(X224/H224,"0")</f>
        <v>0</v>
      </c>
      <c r="Y225" s="41">
        <f>IFERROR(Y224/H224,"0")</f>
        <v>0</v>
      </c>
      <c r="Z225" s="41">
        <f>IFERROR(IF(Z224="",0,Z224),"0")</f>
        <v>0</v>
      </c>
      <c r="AA225" s="64"/>
      <c r="AB225" s="64"/>
      <c r="AC225" s="64"/>
    </row>
    <row r="226" spans="1:68" hidden="1" x14ac:dyDescent="0.2">
      <c r="A226" s="603"/>
      <c r="B226" s="603"/>
      <c r="C226" s="603"/>
      <c r="D226" s="603"/>
      <c r="E226" s="603"/>
      <c r="F226" s="603"/>
      <c r="G226" s="603"/>
      <c r="H226" s="603"/>
      <c r="I226" s="603"/>
      <c r="J226" s="603"/>
      <c r="K226" s="603"/>
      <c r="L226" s="603"/>
      <c r="M226" s="603"/>
      <c r="N226" s="603"/>
      <c r="O226" s="604"/>
      <c r="P226" s="600" t="s">
        <v>40</v>
      </c>
      <c r="Q226" s="601"/>
      <c r="R226" s="601"/>
      <c r="S226" s="601"/>
      <c r="T226" s="601"/>
      <c r="U226" s="601"/>
      <c r="V226" s="602"/>
      <c r="W226" s="40" t="s">
        <v>0</v>
      </c>
      <c r="X226" s="41">
        <f>IFERROR(SUM(X224:X224),"0")</f>
        <v>0</v>
      </c>
      <c r="Y226" s="41">
        <f>IFERROR(SUM(Y224:Y224),"0")</f>
        <v>0</v>
      </c>
      <c r="Z226" s="40"/>
      <c r="AA226" s="64"/>
      <c r="AB226" s="64"/>
      <c r="AC226" s="64"/>
    </row>
    <row r="227" spans="1:68" ht="16.5" hidden="1" customHeight="1" x14ac:dyDescent="0.25">
      <c r="A227" s="611" t="s">
        <v>403</v>
      </c>
      <c r="B227" s="611"/>
      <c r="C227" s="611"/>
      <c r="D227" s="611"/>
      <c r="E227" s="611"/>
      <c r="F227" s="611"/>
      <c r="G227" s="611"/>
      <c r="H227" s="611"/>
      <c r="I227" s="611"/>
      <c r="J227" s="611"/>
      <c r="K227" s="611"/>
      <c r="L227" s="611"/>
      <c r="M227" s="611"/>
      <c r="N227" s="611"/>
      <c r="O227" s="611"/>
      <c r="P227" s="611"/>
      <c r="Q227" s="611"/>
      <c r="R227" s="611"/>
      <c r="S227" s="611"/>
      <c r="T227" s="611"/>
      <c r="U227" s="611"/>
      <c r="V227" s="611"/>
      <c r="W227" s="611"/>
      <c r="X227" s="611"/>
      <c r="Y227" s="611"/>
      <c r="Z227" s="611"/>
      <c r="AA227" s="62"/>
      <c r="AB227" s="62"/>
      <c r="AC227" s="62"/>
    </row>
    <row r="228" spans="1:68" ht="14.25" hidden="1" customHeight="1" x14ac:dyDescent="0.25">
      <c r="A228" s="595" t="s">
        <v>128</v>
      </c>
      <c r="B228" s="595"/>
      <c r="C228" s="595"/>
      <c r="D228" s="595"/>
      <c r="E228" s="595"/>
      <c r="F228" s="595"/>
      <c r="G228" s="595"/>
      <c r="H228" s="595"/>
      <c r="I228" s="595"/>
      <c r="J228" s="595"/>
      <c r="K228" s="595"/>
      <c r="L228" s="595"/>
      <c r="M228" s="595"/>
      <c r="N228" s="595"/>
      <c r="O228" s="595"/>
      <c r="P228" s="595"/>
      <c r="Q228" s="595"/>
      <c r="R228" s="595"/>
      <c r="S228" s="595"/>
      <c r="T228" s="595"/>
      <c r="U228" s="595"/>
      <c r="V228" s="595"/>
      <c r="W228" s="595"/>
      <c r="X228" s="595"/>
      <c r="Y228" s="595"/>
      <c r="Z228" s="595"/>
      <c r="AA228" s="63"/>
      <c r="AB228" s="63"/>
      <c r="AC228" s="63"/>
    </row>
    <row r="229" spans="1:68" ht="27" hidden="1" customHeight="1" x14ac:dyDescent="0.25">
      <c r="A229" s="60" t="s">
        <v>404</v>
      </c>
      <c r="B229" s="60" t="s">
        <v>405</v>
      </c>
      <c r="C229" s="34">
        <v>4301011450</v>
      </c>
      <c r="D229" s="596">
        <v>4680115881402</v>
      </c>
      <c r="E229" s="596"/>
      <c r="F229" s="59">
        <v>1.35</v>
      </c>
      <c r="G229" s="35">
        <v>8</v>
      </c>
      <c r="H229" s="59">
        <v>10.8</v>
      </c>
      <c r="I229" s="59">
        <v>11.21</v>
      </c>
      <c r="J229" s="35">
        <v>64</v>
      </c>
      <c r="K229" s="35" t="s">
        <v>133</v>
      </c>
      <c r="L229" s="35" t="s">
        <v>46</v>
      </c>
      <c r="M229" s="36" t="s">
        <v>132</v>
      </c>
      <c r="N229" s="36"/>
      <c r="O229" s="35">
        <v>55</v>
      </c>
      <c r="P229" s="75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29" s="598"/>
      <c r="R229" s="598"/>
      <c r="S229" s="598"/>
      <c r="T229" s="599"/>
      <c r="U229" s="37" t="s">
        <v>46</v>
      </c>
      <c r="V229" s="37" t="s">
        <v>46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IFERROR(IF(Y229=0,"",ROUNDUP(Y229/H229,0)*0.01898),"")</f>
        <v/>
      </c>
      <c r="AA229" s="65" t="s">
        <v>46</v>
      </c>
      <c r="AB229" s="66" t="s">
        <v>46</v>
      </c>
      <c r="AC229" s="301" t="s">
        <v>406</v>
      </c>
      <c r="AG229" s="75"/>
      <c r="AJ229" s="79" t="s">
        <v>46</v>
      </c>
      <c r="AK229" s="79">
        <v>0</v>
      </c>
      <c r="BB229" s="302" t="s">
        <v>67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27" hidden="1" customHeight="1" x14ac:dyDescent="0.25">
      <c r="A230" s="60" t="s">
        <v>407</v>
      </c>
      <c r="B230" s="60" t="s">
        <v>408</v>
      </c>
      <c r="C230" s="34">
        <v>4301011768</v>
      </c>
      <c r="D230" s="596">
        <v>4680115881396</v>
      </c>
      <c r="E230" s="596"/>
      <c r="F230" s="59">
        <v>0.45</v>
      </c>
      <c r="G230" s="35">
        <v>6</v>
      </c>
      <c r="H230" s="59">
        <v>2.7</v>
      </c>
      <c r="I230" s="59">
        <v>2.88</v>
      </c>
      <c r="J230" s="35">
        <v>182</v>
      </c>
      <c r="K230" s="35" t="s">
        <v>91</v>
      </c>
      <c r="L230" s="35" t="s">
        <v>46</v>
      </c>
      <c r="M230" s="36" t="s">
        <v>132</v>
      </c>
      <c r="N230" s="36"/>
      <c r="O230" s="35">
        <v>55</v>
      </c>
      <c r="P230" s="75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30" s="598"/>
      <c r="R230" s="598"/>
      <c r="S230" s="598"/>
      <c r="T230" s="599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3" t="s">
        <v>406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603"/>
      <c r="B231" s="603"/>
      <c r="C231" s="603"/>
      <c r="D231" s="603"/>
      <c r="E231" s="603"/>
      <c r="F231" s="603"/>
      <c r="G231" s="603"/>
      <c r="H231" s="603"/>
      <c r="I231" s="603"/>
      <c r="J231" s="603"/>
      <c r="K231" s="603"/>
      <c r="L231" s="603"/>
      <c r="M231" s="603"/>
      <c r="N231" s="603"/>
      <c r="O231" s="604"/>
      <c r="P231" s="600" t="s">
        <v>40</v>
      </c>
      <c r="Q231" s="601"/>
      <c r="R231" s="601"/>
      <c r="S231" s="601"/>
      <c r="T231" s="601"/>
      <c r="U231" s="601"/>
      <c r="V231" s="602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hidden="1" x14ac:dyDescent="0.2">
      <c r="A232" s="603"/>
      <c r="B232" s="603"/>
      <c r="C232" s="603"/>
      <c r="D232" s="603"/>
      <c r="E232" s="603"/>
      <c r="F232" s="603"/>
      <c r="G232" s="603"/>
      <c r="H232" s="603"/>
      <c r="I232" s="603"/>
      <c r="J232" s="603"/>
      <c r="K232" s="603"/>
      <c r="L232" s="603"/>
      <c r="M232" s="603"/>
      <c r="N232" s="603"/>
      <c r="O232" s="604"/>
      <c r="P232" s="600" t="s">
        <v>40</v>
      </c>
      <c r="Q232" s="601"/>
      <c r="R232" s="601"/>
      <c r="S232" s="601"/>
      <c r="T232" s="601"/>
      <c r="U232" s="601"/>
      <c r="V232" s="602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4.25" hidden="1" customHeight="1" x14ac:dyDescent="0.25">
      <c r="A233" s="595" t="s">
        <v>163</v>
      </c>
      <c r="B233" s="595"/>
      <c r="C233" s="595"/>
      <c r="D233" s="595"/>
      <c r="E233" s="595"/>
      <c r="F233" s="595"/>
      <c r="G233" s="595"/>
      <c r="H233" s="595"/>
      <c r="I233" s="595"/>
      <c r="J233" s="595"/>
      <c r="K233" s="595"/>
      <c r="L233" s="595"/>
      <c r="M233" s="595"/>
      <c r="N233" s="595"/>
      <c r="O233" s="595"/>
      <c r="P233" s="595"/>
      <c r="Q233" s="595"/>
      <c r="R233" s="595"/>
      <c r="S233" s="595"/>
      <c r="T233" s="595"/>
      <c r="U233" s="595"/>
      <c r="V233" s="595"/>
      <c r="W233" s="595"/>
      <c r="X233" s="595"/>
      <c r="Y233" s="595"/>
      <c r="Z233" s="595"/>
      <c r="AA233" s="63"/>
      <c r="AB233" s="63"/>
      <c r="AC233" s="63"/>
    </row>
    <row r="234" spans="1:68" ht="16.5" hidden="1" customHeight="1" x14ac:dyDescent="0.25">
      <c r="A234" s="60" t="s">
        <v>409</v>
      </c>
      <c r="B234" s="60" t="s">
        <v>410</v>
      </c>
      <c r="C234" s="34">
        <v>4301020261</v>
      </c>
      <c r="D234" s="596">
        <v>4680115882935</v>
      </c>
      <c r="E234" s="596"/>
      <c r="F234" s="59">
        <v>1.35</v>
      </c>
      <c r="G234" s="35">
        <v>8</v>
      </c>
      <c r="H234" s="59">
        <v>10.8</v>
      </c>
      <c r="I234" s="59">
        <v>11.21</v>
      </c>
      <c r="J234" s="35">
        <v>64</v>
      </c>
      <c r="K234" s="35" t="s">
        <v>133</v>
      </c>
      <c r="L234" s="35" t="s">
        <v>46</v>
      </c>
      <c r="M234" s="36" t="s">
        <v>132</v>
      </c>
      <c r="N234" s="36"/>
      <c r="O234" s="35">
        <v>50</v>
      </c>
      <c r="P234" s="7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34" s="598"/>
      <c r="R234" s="598"/>
      <c r="S234" s="598"/>
      <c r="T234" s="599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IFERROR(IF(Y234=0,"",ROUNDUP(Y234/H234,0)*0.01898),"")</f>
        <v/>
      </c>
      <c r="AA234" s="65" t="s">
        <v>46</v>
      </c>
      <c r="AB234" s="66" t="s">
        <v>46</v>
      </c>
      <c r="AC234" s="305" t="s">
        <v>411</v>
      </c>
      <c r="AG234" s="75"/>
      <c r="AJ234" s="79" t="s">
        <v>46</v>
      </c>
      <c r="AK234" s="79">
        <v>0</v>
      </c>
      <c r="BB234" s="306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t="16.5" hidden="1" customHeight="1" x14ac:dyDescent="0.25">
      <c r="A235" s="60" t="s">
        <v>412</v>
      </c>
      <c r="B235" s="60" t="s">
        <v>413</v>
      </c>
      <c r="C235" s="34">
        <v>4301020220</v>
      </c>
      <c r="D235" s="596">
        <v>4680115880764</v>
      </c>
      <c r="E235" s="596"/>
      <c r="F235" s="59">
        <v>0.35</v>
      </c>
      <c r="G235" s="35">
        <v>6</v>
      </c>
      <c r="H235" s="59">
        <v>2.1</v>
      </c>
      <c r="I235" s="59">
        <v>2.2799999999999998</v>
      </c>
      <c r="J235" s="35">
        <v>182</v>
      </c>
      <c r="K235" s="35" t="s">
        <v>91</v>
      </c>
      <c r="L235" s="35" t="s">
        <v>46</v>
      </c>
      <c r="M235" s="36" t="s">
        <v>132</v>
      </c>
      <c r="N235" s="36"/>
      <c r="O235" s="35">
        <v>50</v>
      </c>
      <c r="P235" s="75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35" s="598"/>
      <c r="R235" s="598"/>
      <c r="S235" s="598"/>
      <c r="T235" s="599"/>
      <c r="U235" s="37" t="s">
        <v>46</v>
      </c>
      <c r="V235" s="37" t="s">
        <v>46</v>
      </c>
      <c r="W235" s="38" t="s">
        <v>0</v>
      </c>
      <c r="X235" s="56">
        <v>0</v>
      </c>
      <c r="Y235" s="53">
        <f>IFERROR(IF(X235="",0,CEILING((X235/$H235),1)*$H235),"")</f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07" t="s">
        <v>411</v>
      </c>
      <c r="AG235" s="75"/>
      <c r="AJ235" s="79" t="s">
        <v>46</v>
      </c>
      <c r="AK235" s="79">
        <v>0</v>
      </c>
      <c r="BB235" s="308" t="s">
        <v>67</v>
      </c>
      <c r="BM235" s="75">
        <f>IFERROR(X235*I235/H235,"0")</f>
        <v>0</v>
      </c>
      <c r="BN235" s="75">
        <f>IFERROR(Y235*I235/H235,"0")</f>
        <v>0</v>
      </c>
      <c r="BO235" s="75">
        <f>IFERROR(1/J235*(X235/H235),"0")</f>
        <v>0</v>
      </c>
      <c r="BP235" s="75">
        <f>IFERROR(1/J235*(Y235/H235),"0")</f>
        <v>0</v>
      </c>
    </row>
    <row r="236" spans="1:68" hidden="1" x14ac:dyDescent="0.2">
      <c r="A236" s="603"/>
      <c r="B236" s="603"/>
      <c r="C236" s="603"/>
      <c r="D236" s="603"/>
      <c r="E236" s="603"/>
      <c r="F236" s="603"/>
      <c r="G236" s="603"/>
      <c r="H236" s="603"/>
      <c r="I236" s="603"/>
      <c r="J236" s="603"/>
      <c r="K236" s="603"/>
      <c r="L236" s="603"/>
      <c r="M236" s="603"/>
      <c r="N236" s="603"/>
      <c r="O236" s="604"/>
      <c r="P236" s="600" t="s">
        <v>40</v>
      </c>
      <c r="Q236" s="601"/>
      <c r="R236" s="601"/>
      <c r="S236" s="601"/>
      <c r="T236" s="601"/>
      <c r="U236" s="601"/>
      <c r="V236" s="602"/>
      <c r="W236" s="40" t="s">
        <v>39</v>
      </c>
      <c r="X236" s="41">
        <f>IFERROR(X234/H234,"0")+IFERROR(X235/H235,"0")</f>
        <v>0</v>
      </c>
      <c r="Y236" s="41">
        <f>IFERROR(Y234/H234,"0")+IFERROR(Y235/H235,"0")</f>
        <v>0</v>
      </c>
      <c r="Z236" s="41">
        <f>IFERROR(IF(Z234="",0,Z234),"0")+IFERROR(IF(Z235="",0,Z235),"0")</f>
        <v>0</v>
      </c>
      <c r="AA236" s="64"/>
      <c r="AB236" s="64"/>
      <c r="AC236" s="64"/>
    </row>
    <row r="237" spans="1:68" hidden="1" x14ac:dyDescent="0.2">
      <c r="A237" s="603"/>
      <c r="B237" s="603"/>
      <c r="C237" s="603"/>
      <c r="D237" s="603"/>
      <c r="E237" s="603"/>
      <c r="F237" s="603"/>
      <c r="G237" s="603"/>
      <c r="H237" s="603"/>
      <c r="I237" s="603"/>
      <c r="J237" s="603"/>
      <c r="K237" s="603"/>
      <c r="L237" s="603"/>
      <c r="M237" s="603"/>
      <c r="N237" s="603"/>
      <c r="O237" s="604"/>
      <c r="P237" s="600" t="s">
        <v>40</v>
      </c>
      <c r="Q237" s="601"/>
      <c r="R237" s="601"/>
      <c r="S237" s="601"/>
      <c r="T237" s="601"/>
      <c r="U237" s="601"/>
      <c r="V237" s="602"/>
      <c r="W237" s="40" t="s">
        <v>0</v>
      </c>
      <c r="X237" s="41">
        <f>IFERROR(SUM(X234:X235),"0")</f>
        <v>0</v>
      </c>
      <c r="Y237" s="41">
        <f>IFERROR(SUM(Y234:Y235),"0")</f>
        <v>0</v>
      </c>
      <c r="Z237" s="40"/>
      <c r="AA237" s="64"/>
      <c r="AB237" s="64"/>
      <c r="AC237" s="64"/>
    </row>
    <row r="238" spans="1:68" ht="14.25" hidden="1" customHeight="1" x14ac:dyDescent="0.25">
      <c r="A238" s="595" t="s">
        <v>77</v>
      </c>
      <c r="B238" s="595"/>
      <c r="C238" s="595"/>
      <c r="D238" s="595"/>
      <c r="E238" s="595"/>
      <c r="F238" s="595"/>
      <c r="G238" s="595"/>
      <c r="H238" s="595"/>
      <c r="I238" s="595"/>
      <c r="J238" s="595"/>
      <c r="K238" s="595"/>
      <c r="L238" s="595"/>
      <c r="M238" s="595"/>
      <c r="N238" s="595"/>
      <c r="O238" s="595"/>
      <c r="P238" s="595"/>
      <c r="Q238" s="595"/>
      <c r="R238" s="595"/>
      <c r="S238" s="595"/>
      <c r="T238" s="595"/>
      <c r="U238" s="595"/>
      <c r="V238" s="595"/>
      <c r="W238" s="595"/>
      <c r="X238" s="595"/>
      <c r="Y238" s="595"/>
      <c r="Z238" s="595"/>
      <c r="AA238" s="63"/>
      <c r="AB238" s="63"/>
      <c r="AC238" s="63"/>
    </row>
    <row r="239" spans="1:68" ht="27" hidden="1" customHeight="1" x14ac:dyDescent="0.25">
      <c r="A239" s="60" t="s">
        <v>414</v>
      </c>
      <c r="B239" s="60" t="s">
        <v>415</v>
      </c>
      <c r="C239" s="34">
        <v>4301031224</v>
      </c>
      <c r="D239" s="596">
        <v>4680115882683</v>
      </c>
      <c r="E239" s="596"/>
      <c r="F239" s="59">
        <v>0.9</v>
      </c>
      <c r="G239" s="35">
        <v>6</v>
      </c>
      <c r="H239" s="59">
        <v>5.4</v>
      </c>
      <c r="I239" s="59">
        <v>5.59</v>
      </c>
      <c r="J239" s="35">
        <v>132</v>
      </c>
      <c r="K239" s="35" t="s">
        <v>140</v>
      </c>
      <c r="L239" s="35" t="s">
        <v>46</v>
      </c>
      <c r="M239" s="36" t="s">
        <v>81</v>
      </c>
      <c r="N239" s="36"/>
      <c r="O239" s="35">
        <v>40</v>
      </c>
      <c r="P239" s="74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39" s="598"/>
      <c r="R239" s="598"/>
      <c r="S239" s="598"/>
      <c r="T239" s="599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ref="Y239:Y246" si="32">IFERROR(IF(X239="",0,CEILING((X239/$H239),1)*$H239),"")</f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09" t="s">
        <v>416</v>
      </c>
      <c r="AG239" s="75"/>
      <c r="AJ239" s="79" t="s">
        <v>46</v>
      </c>
      <c r="AK239" s="79">
        <v>0</v>
      </c>
      <c r="BB239" s="310" t="s">
        <v>67</v>
      </c>
      <c r="BM239" s="75">
        <f t="shared" ref="BM239:BM246" si="33">IFERROR(X239*I239/H239,"0")</f>
        <v>0</v>
      </c>
      <c r="BN239" s="75">
        <f t="shared" ref="BN239:BN246" si="34">IFERROR(Y239*I239/H239,"0")</f>
        <v>0</v>
      </c>
      <c r="BO239" s="75">
        <f t="shared" ref="BO239:BO246" si="35">IFERROR(1/J239*(X239/H239),"0")</f>
        <v>0</v>
      </c>
      <c r="BP239" s="75">
        <f t="shared" ref="BP239:BP246" si="36">IFERROR(1/J239*(Y239/H239),"0")</f>
        <v>0</v>
      </c>
    </row>
    <row r="240" spans="1:68" ht="27" hidden="1" customHeight="1" x14ac:dyDescent="0.25">
      <c r="A240" s="60" t="s">
        <v>417</v>
      </c>
      <c r="B240" s="60" t="s">
        <v>418</v>
      </c>
      <c r="C240" s="34">
        <v>4301031230</v>
      </c>
      <c r="D240" s="596">
        <v>4680115882690</v>
      </c>
      <c r="E240" s="596"/>
      <c r="F240" s="59">
        <v>0.9</v>
      </c>
      <c r="G240" s="35">
        <v>6</v>
      </c>
      <c r="H240" s="59">
        <v>5.4</v>
      </c>
      <c r="I240" s="59">
        <v>5.59</v>
      </c>
      <c r="J240" s="35">
        <v>132</v>
      </c>
      <c r="K240" s="35" t="s">
        <v>140</v>
      </c>
      <c r="L240" s="35" t="s">
        <v>46</v>
      </c>
      <c r="M240" s="36" t="s">
        <v>81</v>
      </c>
      <c r="N240" s="36"/>
      <c r="O240" s="35">
        <v>40</v>
      </c>
      <c r="P240" s="7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40" s="598"/>
      <c r="R240" s="598"/>
      <c r="S240" s="598"/>
      <c r="T240" s="599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2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11" t="s">
        <v>419</v>
      </c>
      <c r="AG240" s="75"/>
      <c r="AJ240" s="79" t="s">
        <v>46</v>
      </c>
      <c r="AK240" s="79">
        <v>0</v>
      </c>
      <c r="BB240" s="312" t="s">
        <v>67</v>
      </c>
      <c r="BM240" s="75">
        <f t="shared" si="33"/>
        <v>0</v>
      </c>
      <c r="BN240" s="75">
        <f t="shared" si="34"/>
        <v>0</v>
      </c>
      <c r="BO240" s="75">
        <f t="shared" si="35"/>
        <v>0</v>
      </c>
      <c r="BP240" s="75">
        <f t="shared" si="36"/>
        <v>0</v>
      </c>
    </row>
    <row r="241" spans="1:68" ht="27" hidden="1" customHeight="1" x14ac:dyDescent="0.25">
      <c r="A241" s="60" t="s">
        <v>420</v>
      </c>
      <c r="B241" s="60" t="s">
        <v>421</v>
      </c>
      <c r="C241" s="34">
        <v>4301031220</v>
      </c>
      <c r="D241" s="596">
        <v>4680115882669</v>
      </c>
      <c r="E241" s="596"/>
      <c r="F241" s="59">
        <v>0.9</v>
      </c>
      <c r="G241" s="35">
        <v>6</v>
      </c>
      <c r="H241" s="59">
        <v>5.4</v>
      </c>
      <c r="I241" s="59">
        <v>5.59</v>
      </c>
      <c r="J241" s="35">
        <v>132</v>
      </c>
      <c r="K241" s="35" t="s">
        <v>140</v>
      </c>
      <c r="L241" s="35" t="s">
        <v>46</v>
      </c>
      <c r="M241" s="36" t="s">
        <v>81</v>
      </c>
      <c r="N241" s="36"/>
      <c r="O241" s="35">
        <v>40</v>
      </c>
      <c r="P241" s="74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41" s="598"/>
      <c r="R241" s="598"/>
      <c r="S241" s="598"/>
      <c r="T241" s="599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2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13" t="s">
        <v>422</v>
      </c>
      <c r="AG241" s="75"/>
      <c r="AJ241" s="79" t="s">
        <v>46</v>
      </c>
      <c r="AK241" s="79">
        <v>0</v>
      </c>
      <c r="BB241" s="314" t="s">
        <v>67</v>
      </c>
      <c r="BM241" s="75">
        <f t="shared" si="33"/>
        <v>0</v>
      </c>
      <c r="BN241" s="75">
        <f t="shared" si="34"/>
        <v>0</v>
      </c>
      <c r="BO241" s="75">
        <f t="shared" si="35"/>
        <v>0</v>
      </c>
      <c r="BP241" s="75">
        <f t="shared" si="36"/>
        <v>0</v>
      </c>
    </row>
    <row r="242" spans="1:68" ht="27" hidden="1" customHeight="1" x14ac:dyDescent="0.25">
      <c r="A242" s="60" t="s">
        <v>423</v>
      </c>
      <c r="B242" s="60" t="s">
        <v>424</v>
      </c>
      <c r="C242" s="34">
        <v>4301031221</v>
      </c>
      <c r="D242" s="596">
        <v>4680115882676</v>
      </c>
      <c r="E242" s="596"/>
      <c r="F242" s="59">
        <v>0.9</v>
      </c>
      <c r="G242" s="35">
        <v>6</v>
      </c>
      <c r="H242" s="59">
        <v>5.4</v>
      </c>
      <c r="I242" s="59">
        <v>5.59</v>
      </c>
      <c r="J242" s="35">
        <v>132</v>
      </c>
      <c r="K242" s="35" t="s">
        <v>140</v>
      </c>
      <c r="L242" s="35" t="s">
        <v>46</v>
      </c>
      <c r="M242" s="36" t="s">
        <v>81</v>
      </c>
      <c r="N242" s="36"/>
      <c r="O242" s="35">
        <v>40</v>
      </c>
      <c r="P242" s="7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42" s="598"/>
      <c r="R242" s="598"/>
      <c r="S242" s="598"/>
      <c r="T242" s="599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2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15" t="s">
        <v>425</v>
      </c>
      <c r="AG242" s="75"/>
      <c r="AJ242" s="79" t="s">
        <v>46</v>
      </c>
      <c r="AK242" s="79">
        <v>0</v>
      </c>
      <c r="BB242" s="316" t="s">
        <v>67</v>
      </c>
      <c r="BM242" s="75">
        <f t="shared" si="33"/>
        <v>0</v>
      </c>
      <c r="BN242" s="75">
        <f t="shared" si="34"/>
        <v>0</v>
      </c>
      <c r="BO242" s="75">
        <f t="shared" si="35"/>
        <v>0</v>
      </c>
      <c r="BP242" s="75">
        <f t="shared" si="36"/>
        <v>0</v>
      </c>
    </row>
    <row r="243" spans="1:68" ht="27" hidden="1" customHeight="1" x14ac:dyDescent="0.25">
      <c r="A243" s="60" t="s">
        <v>426</v>
      </c>
      <c r="B243" s="60" t="s">
        <v>427</v>
      </c>
      <c r="C243" s="34">
        <v>4301031223</v>
      </c>
      <c r="D243" s="596">
        <v>4680115884014</v>
      </c>
      <c r="E243" s="596"/>
      <c r="F243" s="59">
        <v>0.3</v>
      </c>
      <c r="G243" s="35">
        <v>6</v>
      </c>
      <c r="H243" s="59">
        <v>1.8</v>
      </c>
      <c r="I243" s="59">
        <v>1.93</v>
      </c>
      <c r="J243" s="35">
        <v>234</v>
      </c>
      <c r="K243" s="35" t="s">
        <v>82</v>
      </c>
      <c r="L243" s="35" t="s">
        <v>46</v>
      </c>
      <c r="M243" s="36" t="s">
        <v>81</v>
      </c>
      <c r="N243" s="36"/>
      <c r="O243" s="35">
        <v>40</v>
      </c>
      <c r="P243" s="7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43" s="598"/>
      <c r="R243" s="598"/>
      <c r="S243" s="598"/>
      <c r="T243" s="599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2"/>
        <v>0</v>
      </c>
      <c r="Z243" s="39" t="str">
        <f>IFERROR(IF(Y243=0,"",ROUNDUP(Y243/H243,0)*0.00502),"")</f>
        <v/>
      </c>
      <c r="AA243" s="65" t="s">
        <v>46</v>
      </c>
      <c r="AB243" s="66" t="s">
        <v>46</v>
      </c>
      <c r="AC243" s="317" t="s">
        <v>416</v>
      </c>
      <c r="AG243" s="75"/>
      <c r="AJ243" s="79" t="s">
        <v>46</v>
      </c>
      <c r="AK243" s="79">
        <v>0</v>
      </c>
      <c r="BB243" s="318" t="s">
        <v>67</v>
      </c>
      <c r="BM243" s="75">
        <f t="shared" si="33"/>
        <v>0</v>
      </c>
      <c r="BN243" s="75">
        <f t="shared" si="34"/>
        <v>0</v>
      </c>
      <c r="BO243" s="75">
        <f t="shared" si="35"/>
        <v>0</v>
      </c>
      <c r="BP243" s="75">
        <f t="shared" si="36"/>
        <v>0</v>
      </c>
    </row>
    <row r="244" spans="1:68" ht="27" hidden="1" customHeight="1" x14ac:dyDescent="0.25">
      <c r="A244" s="60" t="s">
        <v>428</v>
      </c>
      <c r="B244" s="60" t="s">
        <v>429</v>
      </c>
      <c r="C244" s="34">
        <v>4301031222</v>
      </c>
      <c r="D244" s="596">
        <v>4680115884007</v>
      </c>
      <c r="E244" s="596"/>
      <c r="F244" s="59">
        <v>0.3</v>
      </c>
      <c r="G244" s="35">
        <v>6</v>
      </c>
      <c r="H244" s="59">
        <v>1.8</v>
      </c>
      <c r="I244" s="59">
        <v>1.9</v>
      </c>
      <c r="J244" s="35">
        <v>234</v>
      </c>
      <c r="K244" s="35" t="s">
        <v>82</v>
      </c>
      <c r="L244" s="35" t="s">
        <v>46</v>
      </c>
      <c r="M244" s="36" t="s">
        <v>81</v>
      </c>
      <c r="N244" s="36"/>
      <c r="O244" s="35">
        <v>40</v>
      </c>
      <c r="P244" s="7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44" s="598"/>
      <c r="R244" s="598"/>
      <c r="S244" s="598"/>
      <c r="T244" s="599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2"/>
        <v>0</v>
      </c>
      <c r="Z244" s="39" t="str">
        <f>IFERROR(IF(Y244=0,"",ROUNDUP(Y244/H244,0)*0.00502),"")</f>
        <v/>
      </c>
      <c r="AA244" s="65" t="s">
        <v>46</v>
      </c>
      <c r="AB244" s="66" t="s">
        <v>46</v>
      </c>
      <c r="AC244" s="319" t="s">
        <v>419</v>
      </c>
      <c r="AG244" s="75"/>
      <c r="AJ244" s="79" t="s">
        <v>46</v>
      </c>
      <c r="AK244" s="79">
        <v>0</v>
      </c>
      <c r="BB244" s="320" t="s">
        <v>67</v>
      </c>
      <c r="BM244" s="75">
        <f t="shared" si="33"/>
        <v>0</v>
      </c>
      <c r="BN244" s="75">
        <f t="shared" si="34"/>
        <v>0</v>
      </c>
      <c r="BO244" s="75">
        <f t="shared" si="35"/>
        <v>0</v>
      </c>
      <c r="BP244" s="75">
        <f t="shared" si="36"/>
        <v>0</v>
      </c>
    </row>
    <row r="245" spans="1:68" ht="27" hidden="1" customHeight="1" x14ac:dyDescent="0.25">
      <c r="A245" s="60" t="s">
        <v>430</v>
      </c>
      <c r="B245" s="60" t="s">
        <v>431</v>
      </c>
      <c r="C245" s="34">
        <v>4301031229</v>
      </c>
      <c r="D245" s="596">
        <v>4680115884038</v>
      </c>
      <c r="E245" s="596"/>
      <c r="F245" s="59">
        <v>0.3</v>
      </c>
      <c r="G245" s="35">
        <v>6</v>
      </c>
      <c r="H245" s="59">
        <v>1.8</v>
      </c>
      <c r="I245" s="59">
        <v>1.9</v>
      </c>
      <c r="J245" s="35">
        <v>234</v>
      </c>
      <c r="K245" s="35" t="s">
        <v>82</v>
      </c>
      <c r="L245" s="35" t="s">
        <v>46</v>
      </c>
      <c r="M245" s="36" t="s">
        <v>81</v>
      </c>
      <c r="N245" s="36"/>
      <c r="O245" s="35">
        <v>40</v>
      </c>
      <c r="P245" s="7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45" s="598"/>
      <c r="R245" s="598"/>
      <c r="S245" s="598"/>
      <c r="T245" s="599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2"/>
        <v>0</v>
      </c>
      <c r="Z245" s="39" t="str">
        <f>IFERROR(IF(Y245=0,"",ROUNDUP(Y245/H245,0)*0.00502),"")</f>
        <v/>
      </c>
      <c r="AA245" s="65" t="s">
        <v>46</v>
      </c>
      <c r="AB245" s="66" t="s">
        <v>46</v>
      </c>
      <c r="AC245" s="321" t="s">
        <v>422</v>
      </c>
      <c r="AG245" s="75"/>
      <c r="AJ245" s="79" t="s">
        <v>46</v>
      </c>
      <c r="AK245" s="79">
        <v>0</v>
      </c>
      <c r="BB245" s="322" t="s">
        <v>67</v>
      </c>
      <c r="BM245" s="75">
        <f t="shared" si="33"/>
        <v>0</v>
      </c>
      <c r="BN245" s="75">
        <f t="shared" si="34"/>
        <v>0</v>
      </c>
      <c r="BO245" s="75">
        <f t="shared" si="35"/>
        <v>0</v>
      </c>
      <c r="BP245" s="75">
        <f t="shared" si="36"/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4301031225</v>
      </c>
      <c r="D246" s="596">
        <v>4680115884021</v>
      </c>
      <c r="E246" s="596"/>
      <c r="F246" s="59">
        <v>0.3</v>
      </c>
      <c r="G246" s="35">
        <v>6</v>
      </c>
      <c r="H246" s="59">
        <v>1.8</v>
      </c>
      <c r="I246" s="59">
        <v>1.9</v>
      </c>
      <c r="J246" s="35">
        <v>234</v>
      </c>
      <c r="K246" s="35" t="s">
        <v>82</v>
      </c>
      <c r="L246" s="35" t="s">
        <v>46</v>
      </c>
      <c r="M246" s="36" t="s">
        <v>81</v>
      </c>
      <c r="N246" s="36"/>
      <c r="O246" s="35">
        <v>40</v>
      </c>
      <c r="P246" s="74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46" s="598"/>
      <c r="R246" s="598"/>
      <c r="S246" s="598"/>
      <c r="T246" s="599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2"/>
        <v>0</v>
      </c>
      <c r="Z246" s="39" t="str">
        <f>IFERROR(IF(Y246=0,"",ROUNDUP(Y246/H246,0)*0.00502),"")</f>
        <v/>
      </c>
      <c r="AA246" s="65" t="s">
        <v>46</v>
      </c>
      <c r="AB246" s="66" t="s">
        <v>46</v>
      </c>
      <c r="AC246" s="323" t="s">
        <v>425</v>
      </c>
      <c r="AG246" s="75"/>
      <c r="AJ246" s="79" t="s">
        <v>46</v>
      </c>
      <c r="AK246" s="79">
        <v>0</v>
      </c>
      <c r="BB246" s="324" t="s">
        <v>67</v>
      </c>
      <c r="BM246" s="75">
        <f t="shared" si="33"/>
        <v>0</v>
      </c>
      <c r="BN246" s="75">
        <f t="shared" si="34"/>
        <v>0</v>
      </c>
      <c r="BO246" s="75">
        <f t="shared" si="35"/>
        <v>0</v>
      </c>
      <c r="BP246" s="75">
        <f t="shared" si="36"/>
        <v>0</v>
      </c>
    </row>
    <row r="247" spans="1:68" hidden="1" x14ac:dyDescent="0.2">
      <c r="A247" s="603"/>
      <c r="B247" s="603"/>
      <c r="C247" s="603"/>
      <c r="D247" s="603"/>
      <c r="E247" s="603"/>
      <c r="F247" s="603"/>
      <c r="G247" s="603"/>
      <c r="H247" s="603"/>
      <c r="I247" s="603"/>
      <c r="J247" s="603"/>
      <c r="K247" s="603"/>
      <c r="L247" s="603"/>
      <c r="M247" s="603"/>
      <c r="N247" s="603"/>
      <c r="O247" s="604"/>
      <c r="P247" s="600" t="s">
        <v>40</v>
      </c>
      <c r="Q247" s="601"/>
      <c r="R247" s="601"/>
      <c r="S247" s="601"/>
      <c r="T247" s="601"/>
      <c r="U247" s="601"/>
      <c r="V247" s="602"/>
      <c r="W247" s="40" t="s">
        <v>39</v>
      </c>
      <c r="X247" s="41">
        <f>IFERROR(X239/H239,"0")+IFERROR(X240/H240,"0")+IFERROR(X241/H241,"0")+IFERROR(X242/H242,"0")+IFERROR(X243/H243,"0")+IFERROR(X244/H244,"0")+IFERROR(X245/H245,"0")+IFERROR(X246/H246,"0")</f>
        <v>0</v>
      </c>
      <c r="Y247" s="41">
        <f>IFERROR(Y239/H239,"0")+IFERROR(Y240/H240,"0")+IFERROR(Y241/H241,"0")+IFERROR(Y242/H242,"0")+IFERROR(Y243/H243,"0")+IFERROR(Y244/H244,"0")+IFERROR(Y245/H245,"0")+IFERROR(Y246/H246,"0")</f>
        <v>0</v>
      </c>
      <c r="Z247" s="41">
        <f>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"/>
      <c r="AB247" s="64"/>
      <c r="AC247" s="64"/>
    </row>
    <row r="248" spans="1:68" hidden="1" x14ac:dyDescent="0.2">
      <c r="A248" s="603"/>
      <c r="B248" s="603"/>
      <c r="C248" s="603"/>
      <c r="D248" s="603"/>
      <c r="E248" s="603"/>
      <c r="F248" s="603"/>
      <c r="G248" s="603"/>
      <c r="H248" s="603"/>
      <c r="I248" s="603"/>
      <c r="J248" s="603"/>
      <c r="K248" s="603"/>
      <c r="L248" s="603"/>
      <c r="M248" s="603"/>
      <c r="N248" s="603"/>
      <c r="O248" s="604"/>
      <c r="P248" s="600" t="s">
        <v>40</v>
      </c>
      <c r="Q248" s="601"/>
      <c r="R248" s="601"/>
      <c r="S248" s="601"/>
      <c r="T248" s="601"/>
      <c r="U248" s="601"/>
      <c r="V248" s="602"/>
      <c r="W248" s="40" t="s">
        <v>0</v>
      </c>
      <c r="X248" s="41">
        <f>IFERROR(SUM(X239:X246),"0")</f>
        <v>0</v>
      </c>
      <c r="Y248" s="41">
        <f>IFERROR(SUM(Y239:Y246),"0")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595" t="s">
        <v>86</v>
      </c>
      <c r="B249" s="595"/>
      <c r="C249" s="595"/>
      <c r="D249" s="595"/>
      <c r="E249" s="595"/>
      <c r="F249" s="595"/>
      <c r="G249" s="595"/>
      <c r="H249" s="595"/>
      <c r="I249" s="595"/>
      <c r="J249" s="595"/>
      <c r="K249" s="595"/>
      <c r="L249" s="595"/>
      <c r="M249" s="595"/>
      <c r="N249" s="595"/>
      <c r="O249" s="595"/>
      <c r="P249" s="595"/>
      <c r="Q249" s="595"/>
      <c r="R249" s="595"/>
      <c r="S249" s="595"/>
      <c r="T249" s="595"/>
      <c r="U249" s="595"/>
      <c r="V249" s="595"/>
      <c r="W249" s="595"/>
      <c r="X249" s="595"/>
      <c r="Y249" s="595"/>
      <c r="Z249" s="595"/>
      <c r="AA249" s="63"/>
      <c r="AB249" s="63"/>
      <c r="AC249" s="63"/>
    </row>
    <row r="250" spans="1:68" ht="27" hidden="1" customHeight="1" x14ac:dyDescent="0.25">
      <c r="A250" s="60" t="s">
        <v>434</v>
      </c>
      <c r="B250" s="60" t="s">
        <v>435</v>
      </c>
      <c r="C250" s="34">
        <v>4301051408</v>
      </c>
      <c r="D250" s="596">
        <v>4680115881594</v>
      </c>
      <c r="E250" s="596"/>
      <c r="F250" s="59">
        <v>1.35</v>
      </c>
      <c r="G250" s="35">
        <v>6</v>
      </c>
      <c r="H250" s="59">
        <v>8.1</v>
      </c>
      <c r="I250" s="59">
        <v>8.5939999999999994</v>
      </c>
      <c r="J250" s="35">
        <v>64</v>
      </c>
      <c r="K250" s="35" t="s">
        <v>133</v>
      </c>
      <c r="L250" s="35" t="s">
        <v>46</v>
      </c>
      <c r="M250" s="36" t="s">
        <v>90</v>
      </c>
      <c r="N250" s="36"/>
      <c r="O250" s="35">
        <v>40</v>
      </c>
      <c r="P250" s="73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50" s="598"/>
      <c r="R250" s="598"/>
      <c r="S250" s="598"/>
      <c r="T250" s="599"/>
      <c r="U250" s="37" t="s">
        <v>46</v>
      </c>
      <c r="V250" s="37" t="s">
        <v>46</v>
      </c>
      <c r="W250" s="38" t="s">
        <v>0</v>
      </c>
      <c r="X250" s="56">
        <v>0</v>
      </c>
      <c r="Y250" s="53">
        <f t="shared" ref="Y250:Y261" si="37">IFERROR(IF(X250="",0,CEILING((X250/$H250),1)*$H250),"")</f>
        <v>0</v>
      </c>
      <c r="Z250" s="39" t="str">
        <f>IFERROR(IF(Y250=0,"",ROUNDUP(Y250/H250,0)*0.01898),"")</f>
        <v/>
      </c>
      <c r="AA250" s="65" t="s">
        <v>46</v>
      </c>
      <c r="AB250" s="66" t="s">
        <v>46</v>
      </c>
      <c r="AC250" s="325" t="s">
        <v>436</v>
      </c>
      <c r="AG250" s="75"/>
      <c r="AJ250" s="79" t="s">
        <v>46</v>
      </c>
      <c r="AK250" s="79">
        <v>0</v>
      </c>
      <c r="BB250" s="326" t="s">
        <v>67</v>
      </c>
      <c r="BM250" s="75">
        <f t="shared" ref="BM250:BM261" si="38">IFERROR(X250*I250/H250,"0")</f>
        <v>0</v>
      </c>
      <c r="BN250" s="75">
        <f t="shared" ref="BN250:BN261" si="39">IFERROR(Y250*I250/H250,"0")</f>
        <v>0</v>
      </c>
      <c r="BO250" s="75">
        <f t="shared" ref="BO250:BO261" si="40">IFERROR(1/J250*(X250/H250),"0")</f>
        <v>0</v>
      </c>
      <c r="BP250" s="75">
        <f t="shared" ref="BP250:BP261" si="41">IFERROR(1/J250*(Y250/H250),"0")</f>
        <v>0</v>
      </c>
    </row>
    <row r="251" spans="1:68" ht="27" hidden="1" customHeight="1" x14ac:dyDescent="0.25">
      <c r="A251" s="60" t="s">
        <v>437</v>
      </c>
      <c r="B251" s="60" t="s">
        <v>438</v>
      </c>
      <c r="C251" s="34">
        <v>4301051411</v>
      </c>
      <c r="D251" s="596">
        <v>4680115881617</v>
      </c>
      <c r="E251" s="596"/>
      <c r="F251" s="59">
        <v>1.35</v>
      </c>
      <c r="G251" s="35">
        <v>6</v>
      </c>
      <c r="H251" s="59">
        <v>8.1</v>
      </c>
      <c r="I251" s="59">
        <v>8.5760000000000005</v>
      </c>
      <c r="J251" s="35">
        <v>64</v>
      </c>
      <c r="K251" s="35" t="s">
        <v>133</v>
      </c>
      <c r="L251" s="35" t="s">
        <v>46</v>
      </c>
      <c r="M251" s="36" t="s">
        <v>90</v>
      </c>
      <c r="N251" s="36"/>
      <c r="O251" s="35">
        <v>40</v>
      </c>
      <c r="P251" s="74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51" s="598"/>
      <c r="R251" s="598"/>
      <c r="S251" s="598"/>
      <c r="T251" s="599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si="37"/>
        <v>0</v>
      </c>
      <c r="Z251" s="39" t="str">
        <f>IFERROR(IF(Y251=0,"",ROUNDUP(Y251/H251,0)*0.01898),"")</f>
        <v/>
      </c>
      <c r="AA251" s="65" t="s">
        <v>46</v>
      </c>
      <c r="AB251" s="66" t="s">
        <v>46</v>
      </c>
      <c r="AC251" s="327" t="s">
        <v>439</v>
      </c>
      <c r="AG251" s="75"/>
      <c r="AJ251" s="79" t="s">
        <v>46</v>
      </c>
      <c r="AK251" s="79">
        <v>0</v>
      </c>
      <c r="BB251" s="328" t="s">
        <v>67</v>
      </c>
      <c r="BM251" s="75">
        <f t="shared" si="38"/>
        <v>0</v>
      </c>
      <c r="BN251" s="75">
        <f t="shared" si="39"/>
        <v>0</v>
      </c>
      <c r="BO251" s="75">
        <f t="shared" si="40"/>
        <v>0</v>
      </c>
      <c r="BP251" s="75">
        <f t="shared" si="41"/>
        <v>0</v>
      </c>
    </row>
    <row r="252" spans="1:68" ht="27" hidden="1" customHeight="1" x14ac:dyDescent="0.25">
      <c r="A252" s="60" t="s">
        <v>440</v>
      </c>
      <c r="B252" s="60" t="s">
        <v>441</v>
      </c>
      <c r="C252" s="34">
        <v>4301051656</v>
      </c>
      <c r="D252" s="596">
        <v>4680115880573</v>
      </c>
      <c r="E252" s="596"/>
      <c r="F252" s="59">
        <v>1.45</v>
      </c>
      <c r="G252" s="35">
        <v>6</v>
      </c>
      <c r="H252" s="59">
        <v>8.6999999999999993</v>
      </c>
      <c r="I252" s="59">
        <v>9.1940000000000008</v>
      </c>
      <c r="J252" s="35">
        <v>64</v>
      </c>
      <c r="K252" s="35" t="s">
        <v>133</v>
      </c>
      <c r="L252" s="35" t="s">
        <v>46</v>
      </c>
      <c r="M252" s="36" t="s">
        <v>90</v>
      </c>
      <c r="N252" s="36"/>
      <c r="O252" s="35">
        <v>45</v>
      </c>
      <c r="P252" s="74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52" s="598"/>
      <c r="R252" s="598"/>
      <c r="S252" s="598"/>
      <c r="T252" s="599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7"/>
        <v>0</v>
      </c>
      <c r="Z252" s="39" t="str">
        <f>IFERROR(IF(Y252=0,"",ROUNDUP(Y252/H252,0)*0.01898),"")</f>
        <v/>
      </c>
      <c r="AA252" s="65" t="s">
        <v>46</v>
      </c>
      <c r="AB252" s="66" t="s">
        <v>46</v>
      </c>
      <c r="AC252" s="329" t="s">
        <v>442</v>
      </c>
      <c r="AG252" s="75"/>
      <c r="AJ252" s="79" t="s">
        <v>46</v>
      </c>
      <c r="AK252" s="79">
        <v>0</v>
      </c>
      <c r="BB252" s="330" t="s">
        <v>67</v>
      </c>
      <c r="BM252" s="75">
        <f t="shared" si="38"/>
        <v>0</v>
      </c>
      <c r="BN252" s="75">
        <f t="shared" si="39"/>
        <v>0</v>
      </c>
      <c r="BO252" s="75">
        <f t="shared" si="40"/>
        <v>0</v>
      </c>
      <c r="BP252" s="75">
        <f t="shared" si="41"/>
        <v>0</v>
      </c>
    </row>
    <row r="253" spans="1:68" ht="27" hidden="1" customHeight="1" x14ac:dyDescent="0.25">
      <c r="A253" s="60" t="s">
        <v>443</v>
      </c>
      <c r="B253" s="60" t="s">
        <v>444</v>
      </c>
      <c r="C253" s="34">
        <v>4301051407</v>
      </c>
      <c r="D253" s="596">
        <v>4680115882195</v>
      </c>
      <c r="E253" s="596"/>
      <c r="F253" s="59">
        <v>0.4</v>
      </c>
      <c r="G253" s="35">
        <v>6</v>
      </c>
      <c r="H253" s="59">
        <v>2.4</v>
      </c>
      <c r="I253" s="59">
        <v>2.67</v>
      </c>
      <c r="J253" s="35">
        <v>182</v>
      </c>
      <c r="K253" s="35" t="s">
        <v>91</v>
      </c>
      <c r="L253" s="35" t="s">
        <v>46</v>
      </c>
      <c r="M253" s="36" t="s">
        <v>90</v>
      </c>
      <c r="N253" s="36"/>
      <c r="O253" s="35">
        <v>40</v>
      </c>
      <c r="P253" s="7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53" s="598"/>
      <c r="R253" s="598"/>
      <c r="S253" s="598"/>
      <c r="T253" s="599"/>
      <c r="U253" s="37" t="s">
        <v>46</v>
      </c>
      <c r="V253" s="37" t="s">
        <v>46</v>
      </c>
      <c r="W253" s="38" t="s">
        <v>0</v>
      </c>
      <c r="X253" s="56">
        <v>0</v>
      </c>
      <c r="Y253" s="53">
        <f t="shared" si="37"/>
        <v>0</v>
      </c>
      <c r="Z253" s="39" t="str">
        <f>IFERROR(IF(Y253=0,"",ROUNDUP(Y253/H253,0)*0.00651),"")</f>
        <v/>
      </c>
      <c r="AA253" s="65" t="s">
        <v>46</v>
      </c>
      <c r="AB253" s="66" t="s">
        <v>46</v>
      </c>
      <c r="AC253" s="331" t="s">
        <v>436</v>
      </c>
      <c r="AG253" s="75"/>
      <c r="AJ253" s="79" t="s">
        <v>46</v>
      </c>
      <c r="AK253" s="79">
        <v>0</v>
      </c>
      <c r="BB253" s="332" t="s">
        <v>67</v>
      </c>
      <c r="BM253" s="75">
        <f t="shared" si="38"/>
        <v>0</v>
      </c>
      <c r="BN253" s="75">
        <f t="shared" si="39"/>
        <v>0</v>
      </c>
      <c r="BO253" s="75">
        <f t="shared" si="40"/>
        <v>0</v>
      </c>
      <c r="BP253" s="75">
        <f t="shared" si="41"/>
        <v>0</v>
      </c>
    </row>
    <row r="254" spans="1:68" ht="27" hidden="1" customHeight="1" x14ac:dyDescent="0.25">
      <c r="A254" s="60" t="s">
        <v>445</v>
      </c>
      <c r="B254" s="60" t="s">
        <v>446</v>
      </c>
      <c r="C254" s="34">
        <v>4301051752</v>
      </c>
      <c r="D254" s="596">
        <v>4680115882607</v>
      </c>
      <c r="E254" s="596"/>
      <c r="F254" s="59">
        <v>0.3</v>
      </c>
      <c r="G254" s="35">
        <v>6</v>
      </c>
      <c r="H254" s="59">
        <v>1.8</v>
      </c>
      <c r="I254" s="59">
        <v>2.052</v>
      </c>
      <c r="J254" s="35">
        <v>182</v>
      </c>
      <c r="K254" s="35" t="s">
        <v>91</v>
      </c>
      <c r="L254" s="35" t="s">
        <v>46</v>
      </c>
      <c r="M254" s="36" t="s">
        <v>97</v>
      </c>
      <c r="N254" s="36"/>
      <c r="O254" s="35">
        <v>45</v>
      </c>
      <c r="P254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54" s="598"/>
      <c r="R254" s="598"/>
      <c r="S254" s="598"/>
      <c r="T254" s="599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7"/>
        <v>0</v>
      </c>
      <c r="Z254" s="39" t="str">
        <f>IFERROR(IF(Y254=0,"",ROUNDUP(Y254/H254,0)*0.00651),"")</f>
        <v/>
      </c>
      <c r="AA254" s="65" t="s">
        <v>46</v>
      </c>
      <c r="AB254" s="66" t="s">
        <v>46</v>
      </c>
      <c r="AC254" s="333" t="s">
        <v>442</v>
      </c>
      <c r="AG254" s="75"/>
      <c r="AJ254" s="79" t="s">
        <v>46</v>
      </c>
      <c r="AK254" s="79">
        <v>0</v>
      </c>
      <c r="BB254" s="334" t="s">
        <v>67</v>
      </c>
      <c r="BM254" s="75">
        <f t="shared" si="38"/>
        <v>0</v>
      </c>
      <c r="BN254" s="75">
        <f t="shared" si="39"/>
        <v>0</v>
      </c>
      <c r="BO254" s="75">
        <f t="shared" si="40"/>
        <v>0</v>
      </c>
      <c r="BP254" s="75">
        <f t="shared" si="41"/>
        <v>0</v>
      </c>
    </row>
    <row r="255" spans="1:68" ht="27" hidden="1" customHeight="1" x14ac:dyDescent="0.25">
      <c r="A255" s="60" t="s">
        <v>447</v>
      </c>
      <c r="B255" s="60" t="s">
        <v>448</v>
      </c>
      <c r="C255" s="34">
        <v>4301052143</v>
      </c>
      <c r="D255" s="596">
        <v>4680115882607</v>
      </c>
      <c r="E255" s="596"/>
      <c r="F255" s="59">
        <v>0.3</v>
      </c>
      <c r="G255" s="35">
        <v>6</v>
      </c>
      <c r="H255" s="59">
        <v>1.8</v>
      </c>
      <c r="I255" s="59">
        <v>2.0619999999999998</v>
      </c>
      <c r="J255" s="35">
        <v>132</v>
      </c>
      <c r="K255" s="35" t="s">
        <v>140</v>
      </c>
      <c r="L255" s="35" t="s">
        <v>46</v>
      </c>
      <c r="M255" s="36" t="s">
        <v>90</v>
      </c>
      <c r="N255" s="36"/>
      <c r="O255" s="35">
        <v>45</v>
      </c>
      <c r="P255" s="73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55" s="598"/>
      <c r="R255" s="598"/>
      <c r="S255" s="598"/>
      <c r="T255" s="599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7"/>
        <v>0</v>
      </c>
      <c r="Z255" s="39" t="str">
        <f>IFERROR(IF(Y255=0,"",ROUNDUP(Y255/H255,0)*0.00902),"")</f>
        <v/>
      </c>
      <c r="AA255" s="65" t="s">
        <v>46</v>
      </c>
      <c r="AB255" s="66" t="s">
        <v>46</v>
      </c>
      <c r="AC255" s="335" t="s">
        <v>449</v>
      </c>
      <c r="AG255" s="75"/>
      <c r="AJ255" s="79" t="s">
        <v>46</v>
      </c>
      <c r="AK255" s="79">
        <v>0</v>
      </c>
      <c r="BB255" s="336" t="s">
        <v>67</v>
      </c>
      <c r="BM255" s="75">
        <f t="shared" si="38"/>
        <v>0</v>
      </c>
      <c r="BN255" s="75">
        <f t="shared" si="39"/>
        <v>0</v>
      </c>
      <c r="BO255" s="75">
        <f t="shared" si="40"/>
        <v>0</v>
      </c>
      <c r="BP255" s="75">
        <f t="shared" si="41"/>
        <v>0</v>
      </c>
    </row>
    <row r="256" spans="1:68" ht="27" customHeight="1" x14ac:dyDescent="0.25">
      <c r="A256" s="60" t="s">
        <v>450</v>
      </c>
      <c r="B256" s="60" t="s">
        <v>451</v>
      </c>
      <c r="C256" s="34">
        <v>4301051666</v>
      </c>
      <c r="D256" s="596">
        <v>4680115880092</v>
      </c>
      <c r="E256" s="596"/>
      <c r="F256" s="59">
        <v>0.4</v>
      </c>
      <c r="G256" s="35">
        <v>6</v>
      </c>
      <c r="H256" s="59">
        <v>2.4</v>
      </c>
      <c r="I256" s="59">
        <v>2.6520000000000001</v>
      </c>
      <c r="J256" s="35">
        <v>182</v>
      </c>
      <c r="K256" s="35" t="s">
        <v>91</v>
      </c>
      <c r="L256" s="35" t="s">
        <v>46</v>
      </c>
      <c r="M256" s="36" t="s">
        <v>90</v>
      </c>
      <c r="N256" s="36"/>
      <c r="O256" s="35">
        <v>45</v>
      </c>
      <c r="P256" s="73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56" s="598"/>
      <c r="R256" s="598"/>
      <c r="S256" s="598"/>
      <c r="T256" s="599"/>
      <c r="U256" s="37" t="s">
        <v>46</v>
      </c>
      <c r="V256" s="37" t="s">
        <v>46</v>
      </c>
      <c r="W256" s="38" t="s">
        <v>0</v>
      </c>
      <c r="X256" s="56">
        <v>8</v>
      </c>
      <c r="Y256" s="53">
        <f t="shared" si="37"/>
        <v>9.6</v>
      </c>
      <c r="Z256" s="39">
        <f>IFERROR(IF(Y256=0,"",ROUNDUP(Y256/H256,0)*0.00651),"")</f>
        <v>2.6040000000000001E-2</v>
      </c>
      <c r="AA256" s="65" t="s">
        <v>46</v>
      </c>
      <c r="AB256" s="66" t="s">
        <v>46</v>
      </c>
      <c r="AC256" s="337" t="s">
        <v>442</v>
      </c>
      <c r="AG256" s="75"/>
      <c r="AJ256" s="79" t="s">
        <v>46</v>
      </c>
      <c r="AK256" s="79">
        <v>0</v>
      </c>
      <c r="BB256" s="338" t="s">
        <v>67</v>
      </c>
      <c r="BM256" s="75">
        <f t="shared" si="38"/>
        <v>8.8400000000000016</v>
      </c>
      <c r="BN256" s="75">
        <f t="shared" si="39"/>
        <v>10.608000000000001</v>
      </c>
      <c r="BO256" s="75">
        <f t="shared" si="40"/>
        <v>1.8315018315018316E-2</v>
      </c>
      <c r="BP256" s="75">
        <f t="shared" si="41"/>
        <v>2.197802197802198E-2</v>
      </c>
    </row>
    <row r="257" spans="1:68" ht="27" hidden="1" customHeight="1" x14ac:dyDescent="0.25">
      <c r="A257" s="60" t="s">
        <v>452</v>
      </c>
      <c r="B257" s="60" t="s">
        <v>453</v>
      </c>
      <c r="C257" s="34">
        <v>4301052214</v>
      </c>
      <c r="D257" s="596">
        <v>4680115889064</v>
      </c>
      <c r="E257" s="596"/>
      <c r="F257" s="59">
        <v>0.7</v>
      </c>
      <c r="G257" s="35">
        <v>6</v>
      </c>
      <c r="H257" s="59">
        <v>4.2</v>
      </c>
      <c r="I257" s="59">
        <v>4.6159999999999997</v>
      </c>
      <c r="J257" s="35">
        <v>104</v>
      </c>
      <c r="K257" s="35" t="s">
        <v>133</v>
      </c>
      <c r="L257" s="35" t="s">
        <v>46</v>
      </c>
      <c r="M257" s="36" t="s">
        <v>90</v>
      </c>
      <c r="N257" s="36"/>
      <c r="O257" s="35">
        <v>45</v>
      </c>
      <c r="P257" s="73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57" s="598"/>
      <c r="R257" s="598"/>
      <c r="S257" s="598"/>
      <c r="T257" s="599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7"/>
        <v>0</v>
      </c>
      <c r="Z257" s="39" t="str">
        <f>IFERROR(IF(Y257=0,"",ROUNDUP(Y257/H257,0)*0.01196),"")</f>
        <v/>
      </c>
      <c r="AA257" s="65" t="s">
        <v>46</v>
      </c>
      <c r="AB257" s="66" t="s">
        <v>46</v>
      </c>
      <c r="AC257" s="339" t="s">
        <v>449</v>
      </c>
      <c r="AG257" s="75"/>
      <c r="AJ257" s="79" t="s">
        <v>46</v>
      </c>
      <c r="AK257" s="79">
        <v>0</v>
      </c>
      <c r="BB257" s="340" t="s">
        <v>67</v>
      </c>
      <c r="BM257" s="75">
        <f t="shared" si="38"/>
        <v>0</v>
      </c>
      <c r="BN257" s="75">
        <f t="shared" si="39"/>
        <v>0</v>
      </c>
      <c r="BO257" s="75">
        <f t="shared" si="40"/>
        <v>0</v>
      </c>
      <c r="BP257" s="75">
        <f t="shared" si="41"/>
        <v>0</v>
      </c>
    </row>
    <row r="258" spans="1:68" ht="27" hidden="1" customHeight="1" x14ac:dyDescent="0.25">
      <c r="A258" s="60" t="s">
        <v>454</v>
      </c>
      <c r="B258" s="60" t="s">
        <v>455</v>
      </c>
      <c r="C258" s="34">
        <v>4301051668</v>
      </c>
      <c r="D258" s="596">
        <v>4680115880221</v>
      </c>
      <c r="E258" s="596"/>
      <c r="F258" s="59">
        <v>0.4</v>
      </c>
      <c r="G258" s="35">
        <v>6</v>
      </c>
      <c r="H258" s="59">
        <v>2.4</v>
      </c>
      <c r="I258" s="59">
        <v>2.6520000000000001</v>
      </c>
      <c r="J258" s="35">
        <v>182</v>
      </c>
      <c r="K258" s="35" t="s">
        <v>91</v>
      </c>
      <c r="L258" s="35" t="s">
        <v>46</v>
      </c>
      <c r="M258" s="36" t="s">
        <v>90</v>
      </c>
      <c r="N258" s="36"/>
      <c r="O258" s="35">
        <v>45</v>
      </c>
      <c r="P258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58" s="598"/>
      <c r="R258" s="598"/>
      <c r="S258" s="598"/>
      <c r="T258" s="599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7"/>
        <v>0</v>
      </c>
      <c r="Z258" s="39" t="str">
        <f>IFERROR(IF(Y258=0,"",ROUNDUP(Y258/H258,0)*0.00651),"")</f>
        <v/>
      </c>
      <c r="AA258" s="65" t="s">
        <v>46</v>
      </c>
      <c r="AB258" s="66" t="s">
        <v>46</v>
      </c>
      <c r="AC258" s="341" t="s">
        <v>442</v>
      </c>
      <c r="AG258" s="75"/>
      <c r="AJ258" s="79" t="s">
        <v>46</v>
      </c>
      <c r="AK258" s="79">
        <v>0</v>
      </c>
      <c r="BB258" s="342" t="s">
        <v>67</v>
      </c>
      <c r="BM258" s="75">
        <f t="shared" si="38"/>
        <v>0</v>
      </c>
      <c r="BN258" s="75">
        <f t="shared" si="39"/>
        <v>0</v>
      </c>
      <c r="BO258" s="75">
        <f t="shared" si="40"/>
        <v>0</v>
      </c>
      <c r="BP258" s="75">
        <f t="shared" si="41"/>
        <v>0</v>
      </c>
    </row>
    <row r="259" spans="1:68" ht="27" hidden="1" customHeight="1" x14ac:dyDescent="0.25">
      <c r="A259" s="60" t="s">
        <v>456</v>
      </c>
      <c r="B259" s="60" t="s">
        <v>457</v>
      </c>
      <c r="C259" s="34">
        <v>4301051945</v>
      </c>
      <c r="D259" s="596">
        <v>4680115880504</v>
      </c>
      <c r="E259" s="596"/>
      <c r="F259" s="59">
        <v>0.4</v>
      </c>
      <c r="G259" s="35">
        <v>6</v>
      </c>
      <c r="H259" s="59">
        <v>2.4</v>
      </c>
      <c r="I259" s="59">
        <v>2.6520000000000001</v>
      </c>
      <c r="J259" s="35">
        <v>182</v>
      </c>
      <c r="K259" s="35" t="s">
        <v>91</v>
      </c>
      <c r="L259" s="35" t="s">
        <v>46</v>
      </c>
      <c r="M259" s="36" t="s">
        <v>97</v>
      </c>
      <c r="N259" s="36"/>
      <c r="O259" s="35">
        <v>40</v>
      </c>
      <c r="P259" s="73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59" s="598"/>
      <c r="R259" s="598"/>
      <c r="S259" s="598"/>
      <c r="T259" s="599"/>
      <c r="U259" s="37" t="s">
        <v>46</v>
      </c>
      <c r="V259" s="37" t="s">
        <v>46</v>
      </c>
      <c r="W259" s="38" t="s">
        <v>0</v>
      </c>
      <c r="X259" s="56">
        <v>0</v>
      </c>
      <c r="Y259" s="53">
        <f t="shared" si="37"/>
        <v>0</v>
      </c>
      <c r="Z259" s="39" t="str">
        <f>IFERROR(IF(Y259=0,"",ROUNDUP(Y259/H259,0)*0.00651),"")</f>
        <v/>
      </c>
      <c r="AA259" s="65" t="s">
        <v>46</v>
      </c>
      <c r="AB259" s="66" t="s">
        <v>46</v>
      </c>
      <c r="AC259" s="343" t="s">
        <v>458</v>
      </c>
      <c r="AG259" s="75"/>
      <c r="AJ259" s="79" t="s">
        <v>46</v>
      </c>
      <c r="AK259" s="79">
        <v>0</v>
      </c>
      <c r="BB259" s="344" t="s">
        <v>67</v>
      </c>
      <c r="BM259" s="75">
        <f t="shared" si="38"/>
        <v>0</v>
      </c>
      <c r="BN259" s="75">
        <f t="shared" si="39"/>
        <v>0</v>
      </c>
      <c r="BO259" s="75">
        <f t="shared" si="40"/>
        <v>0</v>
      </c>
      <c r="BP259" s="75">
        <f t="shared" si="41"/>
        <v>0</v>
      </c>
    </row>
    <row r="260" spans="1:68" ht="27" hidden="1" customHeight="1" x14ac:dyDescent="0.25">
      <c r="A260" s="60" t="s">
        <v>459</v>
      </c>
      <c r="B260" s="60" t="s">
        <v>460</v>
      </c>
      <c r="C260" s="34">
        <v>4301051410</v>
      </c>
      <c r="D260" s="596">
        <v>4680115882164</v>
      </c>
      <c r="E260" s="596"/>
      <c r="F260" s="59">
        <v>0.4</v>
      </c>
      <c r="G260" s="35">
        <v>6</v>
      </c>
      <c r="H260" s="59">
        <v>2.4</v>
      </c>
      <c r="I260" s="59">
        <v>2.6579999999999999</v>
      </c>
      <c r="J260" s="35">
        <v>182</v>
      </c>
      <c r="K260" s="35" t="s">
        <v>91</v>
      </c>
      <c r="L260" s="35" t="s">
        <v>46</v>
      </c>
      <c r="M260" s="36" t="s">
        <v>90</v>
      </c>
      <c r="N260" s="36"/>
      <c r="O260" s="35">
        <v>40</v>
      </c>
      <c r="P260" s="73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60" s="598"/>
      <c r="R260" s="598"/>
      <c r="S260" s="598"/>
      <c r="T260" s="599"/>
      <c r="U260" s="37" t="s">
        <v>46</v>
      </c>
      <c r="V260" s="37" t="s">
        <v>46</v>
      </c>
      <c r="W260" s="38" t="s">
        <v>0</v>
      </c>
      <c r="X260" s="56">
        <v>0</v>
      </c>
      <c r="Y260" s="53">
        <f t="shared" si="37"/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5" t="s">
        <v>461</v>
      </c>
      <c r="AG260" s="75"/>
      <c r="AJ260" s="79" t="s">
        <v>46</v>
      </c>
      <c r="AK260" s="79">
        <v>0</v>
      </c>
      <c r="BB260" s="346" t="s">
        <v>67</v>
      </c>
      <c r="BM260" s="75">
        <f t="shared" si="38"/>
        <v>0</v>
      </c>
      <c r="BN260" s="75">
        <f t="shared" si="39"/>
        <v>0</v>
      </c>
      <c r="BO260" s="75">
        <f t="shared" si="40"/>
        <v>0</v>
      </c>
      <c r="BP260" s="75">
        <f t="shared" si="41"/>
        <v>0</v>
      </c>
    </row>
    <row r="261" spans="1:68" ht="27" hidden="1" customHeight="1" x14ac:dyDescent="0.25">
      <c r="A261" s="60" t="s">
        <v>462</v>
      </c>
      <c r="B261" s="60" t="s">
        <v>463</v>
      </c>
      <c r="C261" s="34">
        <v>4301052180</v>
      </c>
      <c r="D261" s="596">
        <v>4680115888340</v>
      </c>
      <c r="E261" s="596"/>
      <c r="F261" s="59">
        <v>0.4</v>
      </c>
      <c r="G261" s="35">
        <v>6</v>
      </c>
      <c r="H261" s="59">
        <v>2.4</v>
      </c>
      <c r="I261" s="59">
        <v>2.6520000000000001</v>
      </c>
      <c r="J261" s="35">
        <v>182</v>
      </c>
      <c r="K261" s="35" t="s">
        <v>91</v>
      </c>
      <c r="L261" s="35" t="s">
        <v>46</v>
      </c>
      <c r="M261" s="36" t="s">
        <v>90</v>
      </c>
      <c r="N261" s="36"/>
      <c r="O261" s="35">
        <v>45</v>
      </c>
      <c r="P261" s="73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61" s="598"/>
      <c r="R261" s="598"/>
      <c r="S261" s="598"/>
      <c r="T261" s="599"/>
      <c r="U261" s="37" t="s">
        <v>46</v>
      </c>
      <c r="V261" s="37" t="s">
        <v>46</v>
      </c>
      <c r="W261" s="38" t="s">
        <v>0</v>
      </c>
      <c r="X261" s="56">
        <v>0</v>
      </c>
      <c r="Y261" s="53">
        <f t="shared" si="37"/>
        <v>0</v>
      </c>
      <c r="Z261" s="39" t="str">
        <f>IFERROR(IF(Y261=0,"",ROUNDUP(Y261/H261,0)*0.00651),"")</f>
        <v/>
      </c>
      <c r="AA261" s="65" t="s">
        <v>46</v>
      </c>
      <c r="AB261" s="66" t="s">
        <v>46</v>
      </c>
      <c r="AC261" s="347" t="s">
        <v>464</v>
      </c>
      <c r="AG261" s="75"/>
      <c r="AJ261" s="79" t="s">
        <v>46</v>
      </c>
      <c r="AK261" s="79">
        <v>0</v>
      </c>
      <c r="BB261" s="348" t="s">
        <v>67</v>
      </c>
      <c r="BM261" s="75">
        <f t="shared" si="38"/>
        <v>0</v>
      </c>
      <c r="BN261" s="75">
        <f t="shared" si="39"/>
        <v>0</v>
      </c>
      <c r="BO261" s="75">
        <f t="shared" si="40"/>
        <v>0</v>
      </c>
      <c r="BP261" s="75">
        <f t="shared" si="41"/>
        <v>0</v>
      </c>
    </row>
    <row r="262" spans="1:68" x14ac:dyDescent="0.2">
      <c r="A262" s="603"/>
      <c r="B262" s="603"/>
      <c r="C262" s="603"/>
      <c r="D262" s="603"/>
      <c r="E262" s="603"/>
      <c r="F262" s="603"/>
      <c r="G262" s="603"/>
      <c r="H262" s="603"/>
      <c r="I262" s="603"/>
      <c r="J262" s="603"/>
      <c r="K262" s="603"/>
      <c r="L262" s="603"/>
      <c r="M262" s="603"/>
      <c r="N262" s="603"/>
      <c r="O262" s="604"/>
      <c r="P262" s="600" t="s">
        <v>40</v>
      </c>
      <c r="Q262" s="601"/>
      <c r="R262" s="601"/>
      <c r="S262" s="601"/>
      <c r="T262" s="601"/>
      <c r="U262" s="601"/>
      <c r="V262" s="602"/>
      <c r="W262" s="40" t="s">
        <v>39</v>
      </c>
      <c r="X262" s="41">
        <f>IFERROR(X250/H250,"0")+IFERROR(X251/H251,"0")+IFERROR(X252/H252,"0")+IFERROR(X253/H253,"0")+IFERROR(X254/H254,"0")+IFERROR(X255/H255,"0")+IFERROR(X256/H256,"0")+IFERROR(X257/H257,"0")+IFERROR(X258/H258,"0")+IFERROR(X259/H259,"0")+IFERROR(X260/H260,"0")+IFERROR(X261/H261,"0")</f>
        <v>3.3333333333333335</v>
      </c>
      <c r="Y262" s="41">
        <f>IFERROR(Y250/H250,"0")+IFERROR(Y251/H251,"0")+IFERROR(Y252/H252,"0")+IFERROR(Y253/H253,"0")+IFERROR(Y254/H254,"0")+IFERROR(Y255/H255,"0")+IFERROR(Y256/H256,"0")+IFERROR(Y257/H257,"0")+IFERROR(Y258/H258,"0")+IFERROR(Y259/H259,"0")+IFERROR(Y260/H260,"0")+IFERROR(Y261/H261,"0")</f>
        <v>4</v>
      </c>
      <c r="Z262" s="41">
        <f>IFERROR(IF(Z250="",0,Z250),"0")+IFERROR(IF(Z251="",0,Z251),"0")+IFERROR(IF(Z252="",0,Z252),"0")+IFERROR(IF(Z253="",0,Z253),"0")+IFERROR(IF(Z254="",0,Z254),"0")+IFERROR(IF(Z255="",0,Z255),"0")+IFERROR(IF(Z256="",0,Z256),"0")+IFERROR(IF(Z257="",0,Z257),"0")+IFERROR(IF(Z258="",0,Z258),"0")+IFERROR(IF(Z259="",0,Z259),"0")+IFERROR(IF(Z260="",0,Z260),"0")+IFERROR(IF(Z261="",0,Z261),"0")</f>
        <v>2.6040000000000001E-2</v>
      </c>
      <c r="AA262" s="64"/>
      <c r="AB262" s="64"/>
      <c r="AC262" s="64"/>
    </row>
    <row r="263" spans="1:68" x14ac:dyDescent="0.2">
      <c r="A263" s="603"/>
      <c r="B263" s="603"/>
      <c r="C263" s="603"/>
      <c r="D263" s="603"/>
      <c r="E263" s="603"/>
      <c r="F263" s="603"/>
      <c r="G263" s="603"/>
      <c r="H263" s="603"/>
      <c r="I263" s="603"/>
      <c r="J263" s="603"/>
      <c r="K263" s="603"/>
      <c r="L263" s="603"/>
      <c r="M263" s="603"/>
      <c r="N263" s="603"/>
      <c r="O263" s="604"/>
      <c r="P263" s="600" t="s">
        <v>40</v>
      </c>
      <c r="Q263" s="601"/>
      <c r="R263" s="601"/>
      <c r="S263" s="601"/>
      <c r="T263" s="601"/>
      <c r="U263" s="601"/>
      <c r="V263" s="602"/>
      <c r="W263" s="40" t="s">
        <v>0</v>
      </c>
      <c r="X263" s="41">
        <f>IFERROR(SUM(X250:X261),"0")</f>
        <v>8</v>
      </c>
      <c r="Y263" s="41">
        <f>IFERROR(SUM(Y250:Y261),"0")</f>
        <v>9.6</v>
      </c>
      <c r="Z263" s="40"/>
      <c r="AA263" s="64"/>
      <c r="AB263" s="64"/>
      <c r="AC263" s="64"/>
    </row>
    <row r="264" spans="1:68" ht="14.25" hidden="1" customHeight="1" x14ac:dyDescent="0.25">
      <c r="A264" s="595" t="s">
        <v>180</v>
      </c>
      <c r="B264" s="595"/>
      <c r="C264" s="595"/>
      <c r="D264" s="595"/>
      <c r="E264" s="595"/>
      <c r="F264" s="595"/>
      <c r="G264" s="595"/>
      <c r="H264" s="595"/>
      <c r="I264" s="595"/>
      <c r="J264" s="595"/>
      <c r="K264" s="595"/>
      <c r="L264" s="595"/>
      <c r="M264" s="595"/>
      <c r="N264" s="595"/>
      <c r="O264" s="595"/>
      <c r="P264" s="595"/>
      <c r="Q264" s="595"/>
      <c r="R264" s="595"/>
      <c r="S264" s="595"/>
      <c r="T264" s="595"/>
      <c r="U264" s="595"/>
      <c r="V264" s="595"/>
      <c r="W264" s="595"/>
      <c r="X264" s="595"/>
      <c r="Y264" s="595"/>
      <c r="Z264" s="595"/>
      <c r="AA264" s="63"/>
      <c r="AB264" s="63"/>
      <c r="AC264" s="63"/>
    </row>
    <row r="265" spans="1:68" ht="27" hidden="1" customHeight="1" x14ac:dyDescent="0.25">
      <c r="A265" s="60" t="s">
        <v>465</v>
      </c>
      <c r="B265" s="60" t="s">
        <v>466</v>
      </c>
      <c r="C265" s="34">
        <v>4301060463</v>
      </c>
      <c r="D265" s="596">
        <v>4680115880818</v>
      </c>
      <c r="E265" s="596"/>
      <c r="F265" s="59">
        <v>0.4</v>
      </c>
      <c r="G265" s="35">
        <v>6</v>
      </c>
      <c r="H265" s="59">
        <v>2.4</v>
      </c>
      <c r="I265" s="59">
        <v>2.6520000000000001</v>
      </c>
      <c r="J265" s="35">
        <v>182</v>
      </c>
      <c r="K265" s="35" t="s">
        <v>91</v>
      </c>
      <c r="L265" s="35" t="s">
        <v>46</v>
      </c>
      <c r="M265" s="36" t="s">
        <v>97</v>
      </c>
      <c r="N265" s="36"/>
      <c r="O265" s="35">
        <v>40</v>
      </c>
      <c r="P265" s="72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65" s="598"/>
      <c r="R265" s="598"/>
      <c r="S265" s="598"/>
      <c r="T265" s="59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9" t="s">
        <v>467</v>
      </c>
      <c r="AG265" s="75"/>
      <c r="AJ265" s="79" t="s">
        <v>46</v>
      </c>
      <c r="AK265" s="79">
        <v>0</v>
      </c>
      <c r="BB265" s="350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27" hidden="1" customHeight="1" x14ac:dyDescent="0.25">
      <c r="A266" s="60" t="s">
        <v>468</v>
      </c>
      <c r="B266" s="60" t="s">
        <v>469</v>
      </c>
      <c r="C266" s="34">
        <v>4301060389</v>
      </c>
      <c r="D266" s="596">
        <v>4680115880801</v>
      </c>
      <c r="E266" s="596"/>
      <c r="F266" s="59">
        <v>0.4</v>
      </c>
      <c r="G266" s="35">
        <v>6</v>
      </c>
      <c r="H266" s="59">
        <v>2.4</v>
      </c>
      <c r="I266" s="59">
        <v>2.6520000000000001</v>
      </c>
      <c r="J266" s="35">
        <v>182</v>
      </c>
      <c r="K266" s="35" t="s">
        <v>91</v>
      </c>
      <c r="L266" s="35" t="s">
        <v>46</v>
      </c>
      <c r="M266" s="36" t="s">
        <v>90</v>
      </c>
      <c r="N266" s="36"/>
      <c r="O266" s="35">
        <v>40</v>
      </c>
      <c r="P266" s="73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66" s="598"/>
      <c r="R266" s="598"/>
      <c r="S266" s="598"/>
      <c r="T266" s="599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51" t="s">
        <v>470</v>
      </c>
      <c r="AG266" s="75"/>
      <c r="AJ266" s="79" t="s">
        <v>46</v>
      </c>
      <c r="AK266" s="79">
        <v>0</v>
      </c>
      <c r="BB266" s="352" t="s">
        <v>67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idden="1" x14ac:dyDescent="0.2">
      <c r="A267" s="603"/>
      <c r="B267" s="603"/>
      <c r="C267" s="603"/>
      <c r="D267" s="603"/>
      <c r="E267" s="603"/>
      <c r="F267" s="603"/>
      <c r="G267" s="603"/>
      <c r="H267" s="603"/>
      <c r="I267" s="603"/>
      <c r="J267" s="603"/>
      <c r="K267" s="603"/>
      <c r="L267" s="603"/>
      <c r="M267" s="603"/>
      <c r="N267" s="603"/>
      <c r="O267" s="604"/>
      <c r="P267" s="600" t="s">
        <v>40</v>
      </c>
      <c r="Q267" s="601"/>
      <c r="R267" s="601"/>
      <c r="S267" s="601"/>
      <c r="T267" s="601"/>
      <c r="U267" s="601"/>
      <c r="V267" s="602"/>
      <c r="W267" s="40" t="s">
        <v>39</v>
      </c>
      <c r="X267" s="41">
        <f>IFERROR(X265/H265,"0")+IFERROR(X266/H266,"0")</f>
        <v>0</v>
      </c>
      <c r="Y267" s="41">
        <f>IFERROR(Y265/H265,"0")+IFERROR(Y266/H266,"0")</f>
        <v>0</v>
      </c>
      <c r="Z267" s="41">
        <f>IFERROR(IF(Z265="",0,Z265),"0")+IFERROR(IF(Z266="",0,Z266),"0")</f>
        <v>0</v>
      </c>
      <c r="AA267" s="64"/>
      <c r="AB267" s="64"/>
      <c r="AC267" s="64"/>
    </row>
    <row r="268" spans="1:68" hidden="1" x14ac:dyDescent="0.2">
      <c r="A268" s="603"/>
      <c r="B268" s="603"/>
      <c r="C268" s="603"/>
      <c r="D268" s="603"/>
      <c r="E268" s="603"/>
      <c r="F268" s="603"/>
      <c r="G268" s="603"/>
      <c r="H268" s="603"/>
      <c r="I268" s="603"/>
      <c r="J268" s="603"/>
      <c r="K268" s="603"/>
      <c r="L268" s="603"/>
      <c r="M268" s="603"/>
      <c r="N268" s="603"/>
      <c r="O268" s="604"/>
      <c r="P268" s="600" t="s">
        <v>40</v>
      </c>
      <c r="Q268" s="601"/>
      <c r="R268" s="601"/>
      <c r="S268" s="601"/>
      <c r="T268" s="601"/>
      <c r="U268" s="601"/>
      <c r="V268" s="602"/>
      <c r="W268" s="40" t="s">
        <v>0</v>
      </c>
      <c r="X268" s="41">
        <f>IFERROR(SUM(X265:X266),"0")</f>
        <v>0</v>
      </c>
      <c r="Y268" s="41">
        <f>IFERROR(SUM(Y265:Y266),"0")</f>
        <v>0</v>
      </c>
      <c r="Z268" s="40"/>
      <c r="AA268" s="64"/>
      <c r="AB268" s="64"/>
      <c r="AC268" s="64"/>
    </row>
    <row r="269" spans="1:68" ht="16.5" hidden="1" customHeight="1" x14ac:dyDescent="0.25">
      <c r="A269" s="611" t="s">
        <v>471</v>
      </c>
      <c r="B269" s="611"/>
      <c r="C269" s="611"/>
      <c r="D269" s="611"/>
      <c r="E269" s="611"/>
      <c r="F269" s="611"/>
      <c r="G269" s="611"/>
      <c r="H269" s="611"/>
      <c r="I269" s="611"/>
      <c r="J269" s="611"/>
      <c r="K269" s="611"/>
      <c r="L269" s="611"/>
      <c r="M269" s="611"/>
      <c r="N269" s="611"/>
      <c r="O269" s="611"/>
      <c r="P269" s="611"/>
      <c r="Q269" s="611"/>
      <c r="R269" s="611"/>
      <c r="S269" s="611"/>
      <c r="T269" s="611"/>
      <c r="U269" s="611"/>
      <c r="V269" s="611"/>
      <c r="W269" s="611"/>
      <c r="X269" s="611"/>
      <c r="Y269" s="611"/>
      <c r="Z269" s="611"/>
      <c r="AA269" s="62"/>
      <c r="AB269" s="62"/>
      <c r="AC269" s="62"/>
    </row>
    <row r="270" spans="1:68" ht="14.25" hidden="1" customHeight="1" x14ac:dyDescent="0.25">
      <c r="A270" s="595" t="s">
        <v>128</v>
      </c>
      <c r="B270" s="595"/>
      <c r="C270" s="595"/>
      <c r="D270" s="595"/>
      <c r="E270" s="595"/>
      <c r="F270" s="595"/>
      <c r="G270" s="595"/>
      <c r="H270" s="595"/>
      <c r="I270" s="595"/>
      <c r="J270" s="595"/>
      <c r="K270" s="595"/>
      <c r="L270" s="595"/>
      <c r="M270" s="595"/>
      <c r="N270" s="595"/>
      <c r="O270" s="595"/>
      <c r="P270" s="595"/>
      <c r="Q270" s="595"/>
      <c r="R270" s="595"/>
      <c r="S270" s="595"/>
      <c r="T270" s="595"/>
      <c r="U270" s="595"/>
      <c r="V270" s="595"/>
      <c r="W270" s="595"/>
      <c r="X270" s="595"/>
      <c r="Y270" s="595"/>
      <c r="Z270" s="595"/>
      <c r="AA270" s="63"/>
      <c r="AB270" s="63"/>
      <c r="AC270" s="63"/>
    </row>
    <row r="271" spans="1:68" ht="27" hidden="1" customHeight="1" x14ac:dyDescent="0.25">
      <c r="A271" s="60" t="s">
        <v>472</v>
      </c>
      <c r="B271" s="60" t="s">
        <v>473</v>
      </c>
      <c r="C271" s="34">
        <v>4301011826</v>
      </c>
      <c r="D271" s="596">
        <v>4680115884137</v>
      </c>
      <c r="E271" s="596"/>
      <c r="F271" s="59">
        <v>1.45</v>
      </c>
      <c r="G271" s="35">
        <v>8</v>
      </c>
      <c r="H271" s="59">
        <v>11.6</v>
      </c>
      <c r="I271" s="59">
        <v>12.01</v>
      </c>
      <c r="J271" s="35">
        <v>64</v>
      </c>
      <c r="K271" s="35" t="s">
        <v>133</v>
      </c>
      <c r="L271" s="35" t="s">
        <v>46</v>
      </c>
      <c r="M271" s="36" t="s">
        <v>132</v>
      </c>
      <c r="N271" s="36"/>
      <c r="O271" s="35">
        <v>55</v>
      </c>
      <c r="P271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71" s="598"/>
      <c r="R271" s="598"/>
      <c r="S271" s="598"/>
      <c r="T271" s="59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ref="Y271:Y277" si="42">IFERROR(IF(X271="",0,CEILING((X271/$H271),1)*$H271),"")</f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53" t="s">
        <v>474</v>
      </c>
      <c r="AG271" s="75"/>
      <c r="AJ271" s="79" t="s">
        <v>46</v>
      </c>
      <c r="AK271" s="79">
        <v>0</v>
      </c>
      <c r="BB271" s="354" t="s">
        <v>67</v>
      </c>
      <c r="BM271" s="75">
        <f t="shared" ref="BM271:BM277" si="43">IFERROR(X271*I271/H271,"0")</f>
        <v>0</v>
      </c>
      <c r="BN271" s="75">
        <f t="shared" ref="BN271:BN277" si="44">IFERROR(Y271*I271/H271,"0")</f>
        <v>0</v>
      </c>
      <c r="BO271" s="75">
        <f t="shared" ref="BO271:BO277" si="45">IFERROR(1/J271*(X271/H271),"0")</f>
        <v>0</v>
      </c>
      <c r="BP271" s="75">
        <f t="shared" ref="BP271:BP277" si="46">IFERROR(1/J271*(Y271/H271),"0")</f>
        <v>0</v>
      </c>
    </row>
    <row r="272" spans="1:68" ht="27" hidden="1" customHeight="1" x14ac:dyDescent="0.25">
      <c r="A272" s="60" t="s">
        <v>475</v>
      </c>
      <c r="B272" s="60" t="s">
        <v>476</v>
      </c>
      <c r="C272" s="34">
        <v>4301011724</v>
      </c>
      <c r="D272" s="596">
        <v>4680115884236</v>
      </c>
      <c r="E272" s="596"/>
      <c r="F272" s="59">
        <v>1.45</v>
      </c>
      <c r="G272" s="35">
        <v>8</v>
      </c>
      <c r="H272" s="59">
        <v>11.6</v>
      </c>
      <c r="I272" s="59">
        <v>12.01</v>
      </c>
      <c r="J272" s="35">
        <v>64</v>
      </c>
      <c r="K272" s="35" t="s">
        <v>133</v>
      </c>
      <c r="L272" s="35" t="s">
        <v>46</v>
      </c>
      <c r="M272" s="36" t="s">
        <v>132</v>
      </c>
      <c r="N272" s="36"/>
      <c r="O272" s="35">
        <v>55</v>
      </c>
      <c r="P272" s="72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72" s="598"/>
      <c r="R272" s="598"/>
      <c r="S272" s="598"/>
      <c r="T272" s="59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42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55" t="s">
        <v>477</v>
      </c>
      <c r="AG272" s="75"/>
      <c r="AJ272" s="79" t="s">
        <v>46</v>
      </c>
      <c r="AK272" s="79">
        <v>0</v>
      </c>
      <c r="BB272" s="356" t="s">
        <v>67</v>
      </c>
      <c r="BM272" s="75">
        <f t="shared" si="43"/>
        <v>0</v>
      </c>
      <c r="BN272" s="75">
        <f t="shared" si="44"/>
        <v>0</v>
      </c>
      <c r="BO272" s="75">
        <f t="shared" si="45"/>
        <v>0</v>
      </c>
      <c r="BP272" s="75">
        <f t="shared" si="46"/>
        <v>0</v>
      </c>
    </row>
    <row r="273" spans="1:68" ht="27" hidden="1" customHeight="1" x14ac:dyDescent="0.25">
      <c r="A273" s="60" t="s">
        <v>478</v>
      </c>
      <c r="B273" s="60" t="s">
        <v>479</v>
      </c>
      <c r="C273" s="34">
        <v>4301011721</v>
      </c>
      <c r="D273" s="596">
        <v>4680115884175</v>
      </c>
      <c r="E273" s="596"/>
      <c r="F273" s="59">
        <v>1.45</v>
      </c>
      <c r="G273" s="35">
        <v>8</v>
      </c>
      <c r="H273" s="59">
        <v>11.6</v>
      </c>
      <c r="I273" s="59">
        <v>12.01</v>
      </c>
      <c r="J273" s="35">
        <v>64</v>
      </c>
      <c r="K273" s="35" t="s">
        <v>133</v>
      </c>
      <c r="L273" s="35" t="s">
        <v>46</v>
      </c>
      <c r="M273" s="36" t="s">
        <v>132</v>
      </c>
      <c r="N273" s="36"/>
      <c r="O273" s="35">
        <v>55</v>
      </c>
      <c r="P273" s="72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73" s="598"/>
      <c r="R273" s="598"/>
      <c r="S273" s="598"/>
      <c r="T273" s="59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2"/>
        <v>0</v>
      </c>
      <c r="Z273" s="39" t="str">
        <f>IFERROR(IF(Y273=0,"",ROUNDUP(Y273/H273,0)*0.01898),"")</f>
        <v/>
      </c>
      <c r="AA273" s="65" t="s">
        <v>46</v>
      </c>
      <c r="AB273" s="66" t="s">
        <v>46</v>
      </c>
      <c r="AC273" s="357" t="s">
        <v>332</v>
      </c>
      <c r="AG273" s="75"/>
      <c r="AJ273" s="79" t="s">
        <v>46</v>
      </c>
      <c r="AK273" s="79">
        <v>0</v>
      </c>
      <c r="BB273" s="358" t="s">
        <v>67</v>
      </c>
      <c r="BM273" s="75">
        <f t="shared" si="43"/>
        <v>0</v>
      </c>
      <c r="BN273" s="75">
        <f t="shared" si="44"/>
        <v>0</v>
      </c>
      <c r="BO273" s="75">
        <f t="shared" si="45"/>
        <v>0</v>
      </c>
      <c r="BP273" s="75">
        <f t="shared" si="46"/>
        <v>0</v>
      </c>
    </row>
    <row r="274" spans="1:68" ht="27" hidden="1" customHeight="1" x14ac:dyDescent="0.25">
      <c r="A274" s="60" t="s">
        <v>480</v>
      </c>
      <c r="B274" s="60" t="s">
        <v>481</v>
      </c>
      <c r="C274" s="34">
        <v>4301011824</v>
      </c>
      <c r="D274" s="596">
        <v>4680115884144</v>
      </c>
      <c r="E274" s="596"/>
      <c r="F274" s="59">
        <v>0.4</v>
      </c>
      <c r="G274" s="35">
        <v>10</v>
      </c>
      <c r="H274" s="59">
        <v>4</v>
      </c>
      <c r="I274" s="59">
        <v>4.1900000000000004</v>
      </c>
      <c r="J274" s="35">
        <v>132</v>
      </c>
      <c r="K274" s="35" t="s">
        <v>140</v>
      </c>
      <c r="L274" s="35" t="s">
        <v>46</v>
      </c>
      <c r="M274" s="36" t="s">
        <v>132</v>
      </c>
      <c r="N274" s="36"/>
      <c r="O274" s="35">
        <v>55</v>
      </c>
      <c r="P274" s="72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74" s="598"/>
      <c r="R274" s="598"/>
      <c r="S274" s="598"/>
      <c r="T274" s="59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2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474</v>
      </c>
      <c r="AG274" s="75"/>
      <c r="AJ274" s="79" t="s">
        <v>46</v>
      </c>
      <c r="AK274" s="79">
        <v>0</v>
      </c>
      <c r="BB274" s="360" t="s">
        <v>67</v>
      </c>
      <c r="BM274" s="75">
        <f t="shared" si="43"/>
        <v>0</v>
      </c>
      <c r="BN274" s="75">
        <f t="shared" si="44"/>
        <v>0</v>
      </c>
      <c r="BO274" s="75">
        <f t="shared" si="45"/>
        <v>0</v>
      </c>
      <c r="BP274" s="75">
        <f t="shared" si="46"/>
        <v>0</v>
      </c>
    </row>
    <row r="275" spans="1:68" ht="27" hidden="1" customHeight="1" x14ac:dyDescent="0.25">
      <c r="A275" s="60" t="s">
        <v>482</v>
      </c>
      <c r="B275" s="60" t="s">
        <v>483</v>
      </c>
      <c r="C275" s="34">
        <v>4301012149</v>
      </c>
      <c r="D275" s="596">
        <v>4680115886551</v>
      </c>
      <c r="E275" s="596"/>
      <c r="F275" s="59">
        <v>0.4</v>
      </c>
      <c r="G275" s="35">
        <v>10</v>
      </c>
      <c r="H275" s="59">
        <v>4</v>
      </c>
      <c r="I275" s="59">
        <v>4.1900000000000004</v>
      </c>
      <c r="J275" s="35">
        <v>132</v>
      </c>
      <c r="K275" s="35" t="s">
        <v>140</v>
      </c>
      <c r="L275" s="35" t="s">
        <v>46</v>
      </c>
      <c r="M275" s="36" t="s">
        <v>132</v>
      </c>
      <c r="N275" s="36"/>
      <c r="O275" s="35">
        <v>55</v>
      </c>
      <c r="P275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75" s="598"/>
      <c r="R275" s="598"/>
      <c r="S275" s="598"/>
      <c r="T275" s="59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2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484</v>
      </c>
      <c r="AG275" s="75"/>
      <c r="AJ275" s="79" t="s">
        <v>46</v>
      </c>
      <c r="AK275" s="79">
        <v>0</v>
      </c>
      <c r="BB275" s="362" t="s">
        <v>67</v>
      </c>
      <c r="BM275" s="75">
        <f t="shared" si="43"/>
        <v>0</v>
      </c>
      <c r="BN275" s="75">
        <f t="shared" si="44"/>
        <v>0</v>
      </c>
      <c r="BO275" s="75">
        <f t="shared" si="45"/>
        <v>0</v>
      </c>
      <c r="BP275" s="75">
        <f t="shared" si="46"/>
        <v>0</v>
      </c>
    </row>
    <row r="276" spans="1:68" ht="27" hidden="1" customHeight="1" x14ac:dyDescent="0.25">
      <c r="A276" s="60" t="s">
        <v>485</v>
      </c>
      <c r="B276" s="60" t="s">
        <v>486</v>
      </c>
      <c r="C276" s="34">
        <v>4301012228</v>
      </c>
      <c r="D276" s="596">
        <v>4680115887282</v>
      </c>
      <c r="E276" s="596"/>
      <c r="F276" s="59">
        <v>0.4</v>
      </c>
      <c r="G276" s="35">
        <v>6</v>
      </c>
      <c r="H276" s="59">
        <v>2.4</v>
      </c>
      <c r="I276" s="59">
        <v>2.58</v>
      </c>
      <c r="J276" s="35">
        <v>182</v>
      </c>
      <c r="K276" s="35" t="s">
        <v>91</v>
      </c>
      <c r="L276" s="35" t="s">
        <v>46</v>
      </c>
      <c r="M276" s="36" t="s">
        <v>132</v>
      </c>
      <c r="N276" s="36"/>
      <c r="O276" s="35">
        <v>55</v>
      </c>
      <c r="P276" s="72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76" s="598"/>
      <c r="R276" s="598"/>
      <c r="S276" s="598"/>
      <c r="T276" s="59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2"/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63" t="s">
        <v>487</v>
      </c>
      <c r="AG276" s="75"/>
      <c r="AJ276" s="79" t="s">
        <v>46</v>
      </c>
      <c r="AK276" s="79">
        <v>0</v>
      </c>
      <c r="BB276" s="364" t="s">
        <v>67</v>
      </c>
      <c r="BM276" s="75">
        <f t="shared" si="43"/>
        <v>0</v>
      </c>
      <c r="BN276" s="75">
        <f t="shared" si="44"/>
        <v>0</v>
      </c>
      <c r="BO276" s="75">
        <f t="shared" si="45"/>
        <v>0</v>
      </c>
      <c r="BP276" s="75">
        <f t="shared" si="46"/>
        <v>0</v>
      </c>
    </row>
    <row r="277" spans="1:68" ht="27" hidden="1" customHeight="1" x14ac:dyDescent="0.25">
      <c r="A277" s="60" t="s">
        <v>488</v>
      </c>
      <c r="B277" s="60" t="s">
        <v>489</v>
      </c>
      <c r="C277" s="34">
        <v>4301011722</v>
      </c>
      <c r="D277" s="596">
        <v>4680115884205</v>
      </c>
      <c r="E277" s="596"/>
      <c r="F277" s="59">
        <v>0.4</v>
      </c>
      <c r="G277" s="35">
        <v>10</v>
      </c>
      <c r="H277" s="59">
        <v>4</v>
      </c>
      <c r="I277" s="59">
        <v>4.1900000000000004</v>
      </c>
      <c r="J277" s="35">
        <v>132</v>
      </c>
      <c r="K277" s="35" t="s">
        <v>140</v>
      </c>
      <c r="L277" s="35" t="s">
        <v>46</v>
      </c>
      <c r="M277" s="36" t="s">
        <v>132</v>
      </c>
      <c r="N277" s="36"/>
      <c r="O277" s="35">
        <v>55</v>
      </c>
      <c r="P277" s="72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77" s="598"/>
      <c r="R277" s="598"/>
      <c r="S277" s="598"/>
      <c r="T277" s="599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2"/>
        <v>0</v>
      </c>
      <c r="Z277" s="39" t="str">
        <f>IFERROR(IF(Y277=0,"",ROUNDUP(Y277/H277,0)*0.00902),"")</f>
        <v/>
      </c>
      <c r="AA277" s="65" t="s">
        <v>46</v>
      </c>
      <c r="AB277" s="66" t="s">
        <v>46</v>
      </c>
      <c r="AC277" s="365" t="s">
        <v>332</v>
      </c>
      <c r="AG277" s="75"/>
      <c r="AJ277" s="79" t="s">
        <v>46</v>
      </c>
      <c r="AK277" s="79">
        <v>0</v>
      </c>
      <c r="BB277" s="366" t="s">
        <v>67</v>
      </c>
      <c r="BM277" s="75">
        <f t="shared" si="43"/>
        <v>0</v>
      </c>
      <c r="BN277" s="75">
        <f t="shared" si="44"/>
        <v>0</v>
      </c>
      <c r="BO277" s="75">
        <f t="shared" si="45"/>
        <v>0</v>
      </c>
      <c r="BP277" s="75">
        <f t="shared" si="46"/>
        <v>0</v>
      </c>
    </row>
    <row r="278" spans="1:68" hidden="1" x14ac:dyDescent="0.2">
      <c r="A278" s="603"/>
      <c r="B278" s="603"/>
      <c r="C278" s="603"/>
      <c r="D278" s="603"/>
      <c r="E278" s="603"/>
      <c r="F278" s="603"/>
      <c r="G278" s="603"/>
      <c r="H278" s="603"/>
      <c r="I278" s="603"/>
      <c r="J278" s="603"/>
      <c r="K278" s="603"/>
      <c r="L278" s="603"/>
      <c r="M278" s="603"/>
      <c r="N278" s="603"/>
      <c r="O278" s="604"/>
      <c r="P278" s="600" t="s">
        <v>40</v>
      </c>
      <c r="Q278" s="601"/>
      <c r="R278" s="601"/>
      <c r="S278" s="601"/>
      <c r="T278" s="601"/>
      <c r="U278" s="601"/>
      <c r="V278" s="602"/>
      <c r="W278" s="40" t="s">
        <v>39</v>
      </c>
      <c r="X278" s="41">
        <f>IFERROR(X271/H271,"0")+IFERROR(X272/H272,"0")+IFERROR(X273/H273,"0")+IFERROR(X274/H274,"0")+IFERROR(X275/H275,"0")+IFERROR(X276/H276,"0")+IFERROR(X277/H277,"0")</f>
        <v>0</v>
      </c>
      <c r="Y278" s="41">
        <f>IFERROR(Y271/H271,"0")+IFERROR(Y272/H272,"0")+IFERROR(Y273/H273,"0")+IFERROR(Y274/H274,"0")+IFERROR(Y275/H275,"0")+IFERROR(Y276/H276,"0")+IFERROR(Y277/H277,"0")</f>
        <v>0</v>
      </c>
      <c r="Z278" s="41">
        <f>IFERROR(IF(Z271="",0,Z271),"0")+IFERROR(IF(Z272="",0,Z272),"0")+IFERROR(IF(Z273="",0,Z273),"0")+IFERROR(IF(Z274="",0,Z274),"0")+IFERROR(IF(Z275="",0,Z275),"0")+IFERROR(IF(Z276="",0,Z276),"0")+IFERROR(IF(Z277="",0,Z277),"0")</f>
        <v>0</v>
      </c>
      <c r="AA278" s="64"/>
      <c r="AB278" s="64"/>
      <c r="AC278" s="64"/>
    </row>
    <row r="279" spans="1:68" hidden="1" x14ac:dyDescent="0.2">
      <c r="A279" s="603"/>
      <c r="B279" s="603"/>
      <c r="C279" s="603"/>
      <c r="D279" s="603"/>
      <c r="E279" s="603"/>
      <c r="F279" s="603"/>
      <c r="G279" s="603"/>
      <c r="H279" s="603"/>
      <c r="I279" s="603"/>
      <c r="J279" s="603"/>
      <c r="K279" s="603"/>
      <c r="L279" s="603"/>
      <c r="M279" s="603"/>
      <c r="N279" s="603"/>
      <c r="O279" s="604"/>
      <c r="P279" s="600" t="s">
        <v>40</v>
      </c>
      <c r="Q279" s="601"/>
      <c r="R279" s="601"/>
      <c r="S279" s="601"/>
      <c r="T279" s="601"/>
      <c r="U279" s="601"/>
      <c r="V279" s="602"/>
      <c r="W279" s="40" t="s">
        <v>0</v>
      </c>
      <c r="X279" s="41">
        <f>IFERROR(SUM(X271:X277),"0")</f>
        <v>0</v>
      </c>
      <c r="Y279" s="41">
        <f>IFERROR(SUM(Y271:Y277),"0")</f>
        <v>0</v>
      </c>
      <c r="Z279" s="40"/>
      <c r="AA279" s="64"/>
      <c r="AB279" s="64"/>
      <c r="AC279" s="64"/>
    </row>
    <row r="280" spans="1:68" ht="14.25" hidden="1" customHeight="1" x14ac:dyDescent="0.25">
      <c r="A280" s="595" t="s">
        <v>163</v>
      </c>
      <c r="B280" s="595"/>
      <c r="C280" s="595"/>
      <c r="D280" s="595"/>
      <c r="E280" s="595"/>
      <c r="F280" s="595"/>
      <c r="G280" s="595"/>
      <c r="H280" s="595"/>
      <c r="I280" s="595"/>
      <c r="J280" s="595"/>
      <c r="K280" s="595"/>
      <c r="L280" s="595"/>
      <c r="M280" s="595"/>
      <c r="N280" s="595"/>
      <c r="O280" s="595"/>
      <c r="P280" s="595"/>
      <c r="Q280" s="595"/>
      <c r="R280" s="595"/>
      <c r="S280" s="595"/>
      <c r="T280" s="595"/>
      <c r="U280" s="595"/>
      <c r="V280" s="595"/>
      <c r="W280" s="595"/>
      <c r="X280" s="595"/>
      <c r="Y280" s="595"/>
      <c r="Z280" s="595"/>
      <c r="AA280" s="63"/>
      <c r="AB280" s="63"/>
      <c r="AC280" s="63"/>
    </row>
    <row r="281" spans="1:68" ht="27" hidden="1" customHeight="1" x14ac:dyDescent="0.25">
      <c r="A281" s="60" t="s">
        <v>490</v>
      </c>
      <c r="B281" s="60" t="s">
        <v>491</v>
      </c>
      <c r="C281" s="34">
        <v>4301020377</v>
      </c>
      <c r="D281" s="596">
        <v>4680115885981</v>
      </c>
      <c r="E281" s="596"/>
      <c r="F281" s="59">
        <v>0.33</v>
      </c>
      <c r="G281" s="35">
        <v>6</v>
      </c>
      <c r="H281" s="59">
        <v>1.98</v>
      </c>
      <c r="I281" s="59">
        <v>2.08</v>
      </c>
      <c r="J281" s="35">
        <v>234</v>
      </c>
      <c r="K281" s="35" t="s">
        <v>82</v>
      </c>
      <c r="L281" s="35" t="s">
        <v>46</v>
      </c>
      <c r="M281" s="36" t="s">
        <v>90</v>
      </c>
      <c r="N281" s="36"/>
      <c r="O281" s="35">
        <v>50</v>
      </c>
      <c r="P281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81" s="598"/>
      <c r="R281" s="598"/>
      <c r="S281" s="598"/>
      <c r="T281" s="599"/>
      <c r="U281" s="37" t="s">
        <v>46</v>
      </c>
      <c r="V281" s="37" t="s">
        <v>46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IFERROR(IF(Y281=0,"",ROUNDUP(Y281/H281,0)*0.00502),"")</f>
        <v/>
      </c>
      <c r="AA281" s="65" t="s">
        <v>46</v>
      </c>
      <c r="AB281" s="66" t="s">
        <v>46</v>
      </c>
      <c r="AC281" s="367" t="s">
        <v>492</v>
      </c>
      <c r="AG281" s="75"/>
      <c r="AJ281" s="79" t="s">
        <v>46</v>
      </c>
      <c r="AK281" s="79">
        <v>0</v>
      </c>
      <c r="BB281" s="368" t="s">
        <v>67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hidden="1" x14ac:dyDescent="0.2">
      <c r="A282" s="603"/>
      <c r="B282" s="603"/>
      <c r="C282" s="603"/>
      <c r="D282" s="603"/>
      <c r="E282" s="603"/>
      <c r="F282" s="603"/>
      <c r="G282" s="603"/>
      <c r="H282" s="603"/>
      <c r="I282" s="603"/>
      <c r="J282" s="603"/>
      <c r="K282" s="603"/>
      <c r="L282" s="603"/>
      <c r="M282" s="603"/>
      <c r="N282" s="603"/>
      <c r="O282" s="604"/>
      <c r="P282" s="600" t="s">
        <v>40</v>
      </c>
      <c r="Q282" s="601"/>
      <c r="R282" s="601"/>
      <c r="S282" s="601"/>
      <c r="T282" s="601"/>
      <c r="U282" s="601"/>
      <c r="V282" s="602"/>
      <c r="W282" s="40" t="s">
        <v>39</v>
      </c>
      <c r="X282" s="41">
        <f>IFERROR(X281/H281,"0")</f>
        <v>0</v>
      </c>
      <c r="Y282" s="41">
        <f>IFERROR(Y281/H281,"0")</f>
        <v>0</v>
      </c>
      <c r="Z282" s="41">
        <f>IFERROR(IF(Z281="",0,Z281),"0")</f>
        <v>0</v>
      </c>
      <c r="AA282" s="64"/>
      <c r="AB282" s="64"/>
      <c r="AC282" s="64"/>
    </row>
    <row r="283" spans="1:68" hidden="1" x14ac:dyDescent="0.2">
      <c r="A283" s="603"/>
      <c r="B283" s="603"/>
      <c r="C283" s="603"/>
      <c r="D283" s="603"/>
      <c r="E283" s="603"/>
      <c r="F283" s="603"/>
      <c r="G283" s="603"/>
      <c r="H283" s="603"/>
      <c r="I283" s="603"/>
      <c r="J283" s="603"/>
      <c r="K283" s="603"/>
      <c r="L283" s="603"/>
      <c r="M283" s="603"/>
      <c r="N283" s="603"/>
      <c r="O283" s="604"/>
      <c r="P283" s="600" t="s">
        <v>40</v>
      </c>
      <c r="Q283" s="601"/>
      <c r="R283" s="601"/>
      <c r="S283" s="601"/>
      <c r="T283" s="601"/>
      <c r="U283" s="601"/>
      <c r="V283" s="602"/>
      <c r="W283" s="40" t="s">
        <v>0</v>
      </c>
      <c r="X283" s="41">
        <f>IFERROR(SUM(X281:X281),"0")</f>
        <v>0</v>
      </c>
      <c r="Y283" s="41">
        <f>IFERROR(SUM(Y281:Y281),"0")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595" t="s">
        <v>493</v>
      </c>
      <c r="B284" s="595"/>
      <c r="C284" s="595"/>
      <c r="D284" s="595"/>
      <c r="E284" s="595"/>
      <c r="F284" s="595"/>
      <c r="G284" s="595"/>
      <c r="H284" s="595"/>
      <c r="I284" s="595"/>
      <c r="J284" s="595"/>
      <c r="K284" s="595"/>
      <c r="L284" s="595"/>
      <c r="M284" s="595"/>
      <c r="N284" s="595"/>
      <c r="O284" s="595"/>
      <c r="P284" s="595"/>
      <c r="Q284" s="595"/>
      <c r="R284" s="595"/>
      <c r="S284" s="595"/>
      <c r="T284" s="595"/>
      <c r="U284" s="595"/>
      <c r="V284" s="595"/>
      <c r="W284" s="595"/>
      <c r="X284" s="595"/>
      <c r="Y284" s="595"/>
      <c r="Z284" s="595"/>
      <c r="AA284" s="63"/>
      <c r="AB284" s="63"/>
      <c r="AC284" s="63"/>
    </row>
    <row r="285" spans="1:68" ht="27" hidden="1" customHeight="1" x14ac:dyDescent="0.25">
      <c r="A285" s="60" t="s">
        <v>494</v>
      </c>
      <c r="B285" s="60" t="s">
        <v>495</v>
      </c>
      <c r="C285" s="34">
        <v>4301040362</v>
      </c>
      <c r="D285" s="596">
        <v>4680115886803</v>
      </c>
      <c r="E285" s="596"/>
      <c r="F285" s="59">
        <v>0.12</v>
      </c>
      <c r="G285" s="35">
        <v>15</v>
      </c>
      <c r="H285" s="59">
        <v>1.8</v>
      </c>
      <c r="I285" s="59">
        <v>1.9750000000000001</v>
      </c>
      <c r="J285" s="35">
        <v>216</v>
      </c>
      <c r="K285" s="35" t="s">
        <v>315</v>
      </c>
      <c r="L285" s="35" t="s">
        <v>46</v>
      </c>
      <c r="M285" s="36" t="s">
        <v>314</v>
      </c>
      <c r="N285" s="36"/>
      <c r="O285" s="35">
        <v>45</v>
      </c>
      <c r="P285" s="7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85" s="598"/>
      <c r="R285" s="598"/>
      <c r="S285" s="598"/>
      <c r="T285" s="599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IFERROR(IF(Y285=0,"",ROUNDUP(Y285/H285,0)*0.0059),"")</f>
        <v/>
      </c>
      <c r="AA285" s="65" t="s">
        <v>46</v>
      </c>
      <c r="AB285" s="66" t="s">
        <v>46</v>
      </c>
      <c r="AC285" s="369" t="s">
        <v>496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idden="1" x14ac:dyDescent="0.2">
      <c r="A286" s="603"/>
      <c r="B286" s="603"/>
      <c r="C286" s="603"/>
      <c r="D286" s="603"/>
      <c r="E286" s="603"/>
      <c r="F286" s="603"/>
      <c r="G286" s="603"/>
      <c r="H286" s="603"/>
      <c r="I286" s="603"/>
      <c r="J286" s="603"/>
      <c r="K286" s="603"/>
      <c r="L286" s="603"/>
      <c r="M286" s="603"/>
      <c r="N286" s="603"/>
      <c r="O286" s="604"/>
      <c r="P286" s="600" t="s">
        <v>40</v>
      </c>
      <c r="Q286" s="601"/>
      <c r="R286" s="601"/>
      <c r="S286" s="601"/>
      <c r="T286" s="601"/>
      <c r="U286" s="601"/>
      <c r="V286" s="602"/>
      <c r="W286" s="40" t="s">
        <v>39</v>
      </c>
      <c r="X286" s="41">
        <f>IFERROR(X285/H285,"0")</f>
        <v>0</v>
      </c>
      <c r="Y286" s="41">
        <f>IFERROR(Y285/H285,"0")</f>
        <v>0</v>
      </c>
      <c r="Z286" s="41">
        <f>IFERROR(IF(Z285="",0,Z285),"0")</f>
        <v>0</v>
      </c>
      <c r="AA286" s="64"/>
      <c r="AB286" s="64"/>
      <c r="AC286" s="64"/>
    </row>
    <row r="287" spans="1:68" hidden="1" x14ac:dyDescent="0.2">
      <c r="A287" s="603"/>
      <c r="B287" s="603"/>
      <c r="C287" s="603"/>
      <c r="D287" s="603"/>
      <c r="E287" s="603"/>
      <c r="F287" s="603"/>
      <c r="G287" s="603"/>
      <c r="H287" s="603"/>
      <c r="I287" s="603"/>
      <c r="J287" s="603"/>
      <c r="K287" s="603"/>
      <c r="L287" s="603"/>
      <c r="M287" s="603"/>
      <c r="N287" s="603"/>
      <c r="O287" s="604"/>
      <c r="P287" s="600" t="s">
        <v>40</v>
      </c>
      <c r="Q287" s="601"/>
      <c r="R287" s="601"/>
      <c r="S287" s="601"/>
      <c r="T287" s="601"/>
      <c r="U287" s="601"/>
      <c r="V287" s="602"/>
      <c r="W287" s="40" t="s">
        <v>0</v>
      </c>
      <c r="X287" s="41">
        <f>IFERROR(SUM(X285:X285),"0")</f>
        <v>0</v>
      </c>
      <c r="Y287" s="41">
        <f>IFERROR(SUM(Y285:Y285),"0")</f>
        <v>0</v>
      </c>
      <c r="Z287" s="40"/>
      <c r="AA287" s="64"/>
      <c r="AB287" s="64"/>
      <c r="AC287" s="64"/>
    </row>
    <row r="288" spans="1:68" ht="14.25" hidden="1" customHeight="1" x14ac:dyDescent="0.25">
      <c r="A288" s="595" t="s">
        <v>319</v>
      </c>
      <c r="B288" s="595"/>
      <c r="C288" s="595"/>
      <c r="D288" s="595"/>
      <c r="E288" s="595"/>
      <c r="F288" s="595"/>
      <c r="G288" s="595"/>
      <c r="H288" s="595"/>
      <c r="I288" s="595"/>
      <c r="J288" s="595"/>
      <c r="K288" s="595"/>
      <c r="L288" s="595"/>
      <c r="M288" s="595"/>
      <c r="N288" s="595"/>
      <c r="O288" s="595"/>
      <c r="P288" s="595"/>
      <c r="Q288" s="595"/>
      <c r="R288" s="595"/>
      <c r="S288" s="595"/>
      <c r="T288" s="595"/>
      <c r="U288" s="595"/>
      <c r="V288" s="595"/>
      <c r="W288" s="595"/>
      <c r="X288" s="595"/>
      <c r="Y288" s="595"/>
      <c r="Z288" s="595"/>
      <c r="AA288" s="63"/>
      <c r="AB288" s="63"/>
      <c r="AC288" s="63"/>
    </row>
    <row r="289" spans="1:68" ht="27" hidden="1" customHeight="1" x14ac:dyDescent="0.25">
      <c r="A289" s="60" t="s">
        <v>497</v>
      </c>
      <c r="B289" s="60" t="s">
        <v>498</v>
      </c>
      <c r="C289" s="34">
        <v>4301041004</v>
      </c>
      <c r="D289" s="596">
        <v>4680115886704</v>
      </c>
      <c r="E289" s="596"/>
      <c r="F289" s="59">
        <v>5.5E-2</v>
      </c>
      <c r="G289" s="35">
        <v>18</v>
      </c>
      <c r="H289" s="59">
        <v>0.99</v>
      </c>
      <c r="I289" s="59">
        <v>1.18</v>
      </c>
      <c r="J289" s="35">
        <v>216</v>
      </c>
      <c r="K289" s="35" t="s">
        <v>315</v>
      </c>
      <c r="L289" s="35" t="s">
        <v>46</v>
      </c>
      <c r="M289" s="36" t="s">
        <v>314</v>
      </c>
      <c r="N289" s="36"/>
      <c r="O289" s="35">
        <v>90</v>
      </c>
      <c r="P289" s="71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89" s="598"/>
      <c r="R289" s="598"/>
      <c r="S289" s="598"/>
      <c r="T289" s="599"/>
      <c r="U289" s="37" t="s">
        <v>46</v>
      </c>
      <c r="V289" s="37" t="s">
        <v>46</v>
      </c>
      <c r="W289" s="38" t="s">
        <v>0</v>
      </c>
      <c r="X289" s="56">
        <v>0</v>
      </c>
      <c r="Y289" s="53">
        <f>IFERROR(IF(X289="",0,CEILING((X289/$H289),1)*$H289),"")</f>
        <v>0</v>
      </c>
      <c r="Z289" s="39" t="str">
        <f>IFERROR(IF(Y289=0,"",ROUNDUP(Y289/H289,0)*0.0059),"")</f>
        <v/>
      </c>
      <c r="AA289" s="65" t="s">
        <v>46</v>
      </c>
      <c r="AB289" s="66" t="s">
        <v>46</v>
      </c>
      <c r="AC289" s="371" t="s">
        <v>499</v>
      </c>
      <c r="AG289" s="75"/>
      <c r="AJ289" s="79" t="s">
        <v>46</v>
      </c>
      <c r="AK289" s="79">
        <v>0</v>
      </c>
      <c r="BB289" s="372" t="s">
        <v>67</v>
      </c>
      <c r="BM289" s="75">
        <f>IFERROR(X289*I289/H289,"0")</f>
        <v>0</v>
      </c>
      <c r="BN289" s="75">
        <f>IFERROR(Y289*I289/H289,"0")</f>
        <v>0</v>
      </c>
      <c r="BO289" s="75">
        <f>IFERROR(1/J289*(X289/H289),"0")</f>
        <v>0</v>
      </c>
      <c r="BP289" s="75">
        <f>IFERROR(1/J289*(Y289/H289),"0")</f>
        <v>0</v>
      </c>
    </row>
    <row r="290" spans="1:68" ht="27" hidden="1" customHeight="1" x14ac:dyDescent="0.25">
      <c r="A290" s="60" t="s">
        <v>500</v>
      </c>
      <c r="B290" s="60" t="s">
        <v>501</v>
      </c>
      <c r="C290" s="34">
        <v>4301041008</v>
      </c>
      <c r="D290" s="596">
        <v>4680115886681</v>
      </c>
      <c r="E290" s="596"/>
      <c r="F290" s="59">
        <v>0.12</v>
      </c>
      <c r="G290" s="35">
        <v>15</v>
      </c>
      <c r="H290" s="59">
        <v>1.8</v>
      </c>
      <c r="I290" s="59">
        <v>1.9750000000000001</v>
      </c>
      <c r="J290" s="35">
        <v>216</v>
      </c>
      <c r="K290" s="35" t="s">
        <v>315</v>
      </c>
      <c r="L290" s="35" t="s">
        <v>46</v>
      </c>
      <c r="M290" s="36" t="s">
        <v>314</v>
      </c>
      <c r="N290" s="36"/>
      <c r="O290" s="35">
        <v>90</v>
      </c>
      <c r="P290" s="7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90" s="598"/>
      <c r="R290" s="598"/>
      <c r="S290" s="598"/>
      <c r="T290" s="599"/>
      <c r="U290" s="37" t="s">
        <v>46</v>
      </c>
      <c r="V290" s="37" t="s">
        <v>46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IFERROR(IF(Y290=0,"",ROUNDUP(Y290/H290,0)*0.0059),"")</f>
        <v/>
      </c>
      <c r="AA290" s="65" t="s">
        <v>46</v>
      </c>
      <c r="AB290" s="66" t="s">
        <v>46</v>
      </c>
      <c r="AC290" s="373" t="s">
        <v>499</v>
      </c>
      <c r="AG290" s="75"/>
      <c r="AJ290" s="79" t="s">
        <v>46</v>
      </c>
      <c r="AK290" s="79">
        <v>0</v>
      </c>
      <c r="BB290" s="374" t="s">
        <v>67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ht="27" hidden="1" customHeight="1" x14ac:dyDescent="0.25">
      <c r="A291" s="60" t="s">
        <v>502</v>
      </c>
      <c r="B291" s="60" t="s">
        <v>503</v>
      </c>
      <c r="C291" s="34">
        <v>4301041007</v>
      </c>
      <c r="D291" s="596">
        <v>4680115886735</v>
      </c>
      <c r="E291" s="596"/>
      <c r="F291" s="59">
        <v>0.05</v>
      </c>
      <c r="G291" s="35">
        <v>18</v>
      </c>
      <c r="H291" s="59">
        <v>0.9</v>
      </c>
      <c r="I291" s="59">
        <v>1.0900000000000001</v>
      </c>
      <c r="J291" s="35">
        <v>216</v>
      </c>
      <c r="K291" s="35" t="s">
        <v>315</v>
      </c>
      <c r="L291" s="35" t="s">
        <v>46</v>
      </c>
      <c r="M291" s="36" t="s">
        <v>314</v>
      </c>
      <c r="N291" s="36"/>
      <c r="O291" s="35">
        <v>90</v>
      </c>
      <c r="P291" s="7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91" s="598"/>
      <c r="R291" s="598"/>
      <c r="S291" s="598"/>
      <c r="T291" s="599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IFERROR(IF(Y291=0,"",ROUNDUP(Y291/H291,0)*0.0059),"")</f>
        <v/>
      </c>
      <c r="AA291" s="65" t="s">
        <v>46</v>
      </c>
      <c r="AB291" s="66" t="s">
        <v>46</v>
      </c>
      <c r="AC291" s="375" t="s">
        <v>499</v>
      </c>
      <c r="AG291" s="75"/>
      <c r="AJ291" s="79" t="s">
        <v>46</v>
      </c>
      <c r="AK291" s="79">
        <v>0</v>
      </c>
      <c r="BB291" s="376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idden="1" x14ac:dyDescent="0.2">
      <c r="A292" s="603"/>
      <c r="B292" s="603"/>
      <c r="C292" s="603"/>
      <c r="D292" s="603"/>
      <c r="E292" s="603"/>
      <c r="F292" s="603"/>
      <c r="G292" s="603"/>
      <c r="H292" s="603"/>
      <c r="I292" s="603"/>
      <c r="J292" s="603"/>
      <c r="K292" s="603"/>
      <c r="L292" s="603"/>
      <c r="M292" s="603"/>
      <c r="N292" s="603"/>
      <c r="O292" s="604"/>
      <c r="P292" s="600" t="s">
        <v>40</v>
      </c>
      <c r="Q292" s="601"/>
      <c r="R292" s="601"/>
      <c r="S292" s="601"/>
      <c r="T292" s="601"/>
      <c r="U292" s="601"/>
      <c r="V292" s="602"/>
      <c r="W292" s="40" t="s">
        <v>39</v>
      </c>
      <c r="X292" s="41">
        <f>IFERROR(X289/H289,"0")+IFERROR(X290/H290,"0")+IFERROR(X291/H291,"0")</f>
        <v>0</v>
      </c>
      <c r="Y292" s="41">
        <f>IFERROR(Y289/H289,"0")+IFERROR(Y290/H290,"0")+IFERROR(Y291/H291,"0")</f>
        <v>0</v>
      </c>
      <c r="Z292" s="41">
        <f>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03"/>
      <c r="B293" s="603"/>
      <c r="C293" s="603"/>
      <c r="D293" s="603"/>
      <c r="E293" s="603"/>
      <c r="F293" s="603"/>
      <c r="G293" s="603"/>
      <c r="H293" s="603"/>
      <c r="I293" s="603"/>
      <c r="J293" s="603"/>
      <c r="K293" s="603"/>
      <c r="L293" s="603"/>
      <c r="M293" s="603"/>
      <c r="N293" s="603"/>
      <c r="O293" s="604"/>
      <c r="P293" s="600" t="s">
        <v>40</v>
      </c>
      <c r="Q293" s="601"/>
      <c r="R293" s="601"/>
      <c r="S293" s="601"/>
      <c r="T293" s="601"/>
      <c r="U293" s="601"/>
      <c r="V293" s="602"/>
      <c r="W293" s="40" t="s">
        <v>0</v>
      </c>
      <c r="X293" s="41">
        <f>IFERROR(SUM(X289:X291),"0")</f>
        <v>0</v>
      </c>
      <c r="Y293" s="41">
        <f>IFERROR(SUM(Y289:Y291),"0")</f>
        <v>0</v>
      </c>
      <c r="Z293" s="40"/>
      <c r="AA293" s="64"/>
      <c r="AB293" s="64"/>
      <c r="AC293" s="64"/>
    </row>
    <row r="294" spans="1:68" ht="16.5" hidden="1" customHeight="1" x14ac:dyDescent="0.25">
      <c r="A294" s="611" t="s">
        <v>504</v>
      </c>
      <c r="B294" s="611"/>
      <c r="C294" s="611"/>
      <c r="D294" s="611"/>
      <c r="E294" s="611"/>
      <c r="F294" s="611"/>
      <c r="G294" s="611"/>
      <c r="H294" s="611"/>
      <c r="I294" s="611"/>
      <c r="J294" s="611"/>
      <c r="K294" s="611"/>
      <c r="L294" s="611"/>
      <c r="M294" s="611"/>
      <c r="N294" s="611"/>
      <c r="O294" s="611"/>
      <c r="P294" s="611"/>
      <c r="Q294" s="611"/>
      <c r="R294" s="611"/>
      <c r="S294" s="611"/>
      <c r="T294" s="611"/>
      <c r="U294" s="611"/>
      <c r="V294" s="611"/>
      <c r="W294" s="611"/>
      <c r="X294" s="611"/>
      <c r="Y294" s="611"/>
      <c r="Z294" s="611"/>
      <c r="AA294" s="62"/>
      <c r="AB294" s="62"/>
      <c r="AC294" s="62"/>
    </row>
    <row r="295" spans="1:68" ht="14.25" hidden="1" customHeight="1" x14ac:dyDescent="0.25">
      <c r="A295" s="595" t="s">
        <v>128</v>
      </c>
      <c r="B295" s="595"/>
      <c r="C295" s="595"/>
      <c r="D295" s="595"/>
      <c r="E295" s="595"/>
      <c r="F295" s="595"/>
      <c r="G295" s="595"/>
      <c r="H295" s="595"/>
      <c r="I295" s="595"/>
      <c r="J295" s="595"/>
      <c r="K295" s="595"/>
      <c r="L295" s="595"/>
      <c r="M295" s="595"/>
      <c r="N295" s="595"/>
      <c r="O295" s="595"/>
      <c r="P295" s="595"/>
      <c r="Q295" s="595"/>
      <c r="R295" s="595"/>
      <c r="S295" s="595"/>
      <c r="T295" s="595"/>
      <c r="U295" s="595"/>
      <c r="V295" s="595"/>
      <c r="W295" s="595"/>
      <c r="X295" s="595"/>
      <c r="Y295" s="595"/>
      <c r="Z295" s="595"/>
      <c r="AA295" s="63"/>
      <c r="AB295" s="63"/>
      <c r="AC295" s="63"/>
    </row>
    <row r="296" spans="1:68" ht="27" hidden="1" customHeight="1" x14ac:dyDescent="0.25">
      <c r="A296" s="60" t="s">
        <v>505</v>
      </c>
      <c r="B296" s="60" t="s">
        <v>506</v>
      </c>
      <c r="C296" s="34">
        <v>4301011855</v>
      </c>
      <c r="D296" s="596">
        <v>4680115885837</v>
      </c>
      <c r="E296" s="596"/>
      <c r="F296" s="59">
        <v>1.35</v>
      </c>
      <c r="G296" s="35">
        <v>8</v>
      </c>
      <c r="H296" s="59">
        <v>10.8</v>
      </c>
      <c r="I296" s="59">
        <v>11.21</v>
      </c>
      <c r="J296" s="35">
        <v>64</v>
      </c>
      <c r="K296" s="35" t="s">
        <v>133</v>
      </c>
      <c r="L296" s="35" t="s">
        <v>46</v>
      </c>
      <c r="M296" s="36" t="s">
        <v>132</v>
      </c>
      <c r="N296" s="36"/>
      <c r="O296" s="35">
        <v>55</v>
      </c>
      <c r="P296" s="71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96" s="598"/>
      <c r="R296" s="598"/>
      <c r="S296" s="598"/>
      <c r="T296" s="59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IFERROR(IF(Y296=0,"",ROUNDUP(Y296/H296,0)*0.01898),"")</f>
        <v/>
      </c>
      <c r="AA296" s="65" t="s">
        <v>46</v>
      </c>
      <c r="AB296" s="66" t="s">
        <v>46</v>
      </c>
      <c r="AC296" s="377" t="s">
        <v>507</v>
      </c>
      <c r="AG296" s="75"/>
      <c r="AJ296" s="79" t="s">
        <v>46</v>
      </c>
      <c r="AK296" s="79">
        <v>0</v>
      </c>
      <c r="BB296" s="378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t="37.5" hidden="1" customHeight="1" x14ac:dyDescent="0.25">
      <c r="A297" s="60" t="s">
        <v>508</v>
      </c>
      <c r="B297" s="60" t="s">
        <v>509</v>
      </c>
      <c r="C297" s="34">
        <v>4301012234</v>
      </c>
      <c r="D297" s="596">
        <v>4680115887237</v>
      </c>
      <c r="E297" s="596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133</v>
      </c>
      <c r="L297" s="35" t="s">
        <v>46</v>
      </c>
      <c r="M297" s="36" t="s">
        <v>132</v>
      </c>
      <c r="N297" s="36"/>
      <c r="O297" s="35">
        <v>55</v>
      </c>
      <c r="P297" s="71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297" s="598"/>
      <c r="R297" s="598"/>
      <c r="S297" s="598"/>
      <c r="T297" s="599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46</v>
      </c>
      <c r="AB297" s="66" t="s">
        <v>46</v>
      </c>
      <c r="AC297" s="379" t="s">
        <v>510</v>
      </c>
      <c r="AG297" s="75"/>
      <c r="AJ297" s="79" t="s">
        <v>46</v>
      </c>
      <c r="AK297" s="79">
        <v>0</v>
      </c>
      <c r="BB297" s="380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27" hidden="1" customHeight="1" x14ac:dyDescent="0.25">
      <c r="A298" s="60" t="s">
        <v>511</v>
      </c>
      <c r="B298" s="60" t="s">
        <v>512</v>
      </c>
      <c r="C298" s="34">
        <v>4301011850</v>
      </c>
      <c r="D298" s="596">
        <v>4680115885806</v>
      </c>
      <c r="E298" s="596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133</v>
      </c>
      <c r="L298" s="35" t="s">
        <v>46</v>
      </c>
      <c r="M298" s="36" t="s">
        <v>132</v>
      </c>
      <c r="N298" s="36"/>
      <c r="O298" s="35">
        <v>55</v>
      </c>
      <c r="P298" s="71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98" s="598"/>
      <c r="R298" s="598"/>
      <c r="S298" s="598"/>
      <c r="T298" s="599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81" t="s">
        <v>513</v>
      </c>
      <c r="AG298" s="75"/>
      <c r="AJ298" s="79" t="s">
        <v>46</v>
      </c>
      <c r="AK298" s="79">
        <v>0</v>
      </c>
      <c r="BB298" s="382" t="s">
        <v>67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514</v>
      </c>
      <c r="B299" s="60" t="s">
        <v>515</v>
      </c>
      <c r="C299" s="34">
        <v>4301011852</v>
      </c>
      <c r="D299" s="596">
        <v>4680115885844</v>
      </c>
      <c r="E299" s="596"/>
      <c r="F299" s="59">
        <v>0.4</v>
      </c>
      <c r="G299" s="35">
        <v>10</v>
      </c>
      <c r="H299" s="59">
        <v>4</v>
      </c>
      <c r="I299" s="59">
        <v>4.1900000000000004</v>
      </c>
      <c r="J299" s="35">
        <v>132</v>
      </c>
      <c r="K299" s="35" t="s">
        <v>140</v>
      </c>
      <c r="L299" s="35" t="s">
        <v>46</v>
      </c>
      <c r="M299" s="36" t="s">
        <v>132</v>
      </c>
      <c r="N299" s="36"/>
      <c r="O299" s="35">
        <v>55</v>
      </c>
      <c r="P299" s="71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99" s="598"/>
      <c r="R299" s="598"/>
      <c r="S299" s="598"/>
      <c r="T299" s="599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IFERROR(IF(Y299=0,"",ROUNDUP(Y299/H299,0)*0.00902),"")</f>
        <v/>
      </c>
      <c r="AA299" s="65" t="s">
        <v>46</v>
      </c>
      <c r="AB299" s="66" t="s">
        <v>46</v>
      </c>
      <c r="AC299" s="383" t="s">
        <v>516</v>
      </c>
      <c r="AG299" s="75"/>
      <c r="AJ299" s="79" t="s">
        <v>46</v>
      </c>
      <c r="AK299" s="79">
        <v>0</v>
      </c>
      <c r="BB299" s="384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37.5" hidden="1" customHeight="1" x14ac:dyDescent="0.25">
      <c r="A300" s="60" t="s">
        <v>517</v>
      </c>
      <c r="B300" s="60" t="s">
        <v>518</v>
      </c>
      <c r="C300" s="34">
        <v>4301011851</v>
      </c>
      <c r="D300" s="596">
        <v>4680115885820</v>
      </c>
      <c r="E300" s="596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140</v>
      </c>
      <c r="L300" s="35" t="s">
        <v>46</v>
      </c>
      <c r="M300" s="36" t="s">
        <v>132</v>
      </c>
      <c r="N300" s="36"/>
      <c r="O300" s="35">
        <v>55</v>
      </c>
      <c r="P300" s="71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00" s="598"/>
      <c r="R300" s="598"/>
      <c r="S300" s="598"/>
      <c r="T300" s="599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46</v>
      </c>
      <c r="AB300" s="66" t="s">
        <v>46</v>
      </c>
      <c r="AC300" s="385" t="s">
        <v>519</v>
      </c>
      <c r="AG300" s="75"/>
      <c r="AJ300" s="79" t="s">
        <v>46</v>
      </c>
      <c r="AK300" s="79">
        <v>0</v>
      </c>
      <c r="BB300" s="386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idden="1" x14ac:dyDescent="0.2">
      <c r="A301" s="603"/>
      <c r="B301" s="603"/>
      <c r="C301" s="603"/>
      <c r="D301" s="603"/>
      <c r="E301" s="603"/>
      <c r="F301" s="603"/>
      <c r="G301" s="603"/>
      <c r="H301" s="603"/>
      <c r="I301" s="603"/>
      <c r="J301" s="603"/>
      <c r="K301" s="603"/>
      <c r="L301" s="603"/>
      <c r="M301" s="603"/>
      <c r="N301" s="603"/>
      <c r="O301" s="604"/>
      <c r="P301" s="600" t="s">
        <v>40</v>
      </c>
      <c r="Q301" s="601"/>
      <c r="R301" s="601"/>
      <c r="S301" s="601"/>
      <c r="T301" s="601"/>
      <c r="U301" s="601"/>
      <c r="V301" s="602"/>
      <c r="W301" s="40" t="s">
        <v>39</v>
      </c>
      <c r="X301" s="41">
        <f>IFERROR(X296/H296,"0")+IFERROR(X297/H297,"0")+IFERROR(X298/H298,"0")+IFERROR(X299/H299,"0")+IFERROR(X300/H300,"0")</f>
        <v>0</v>
      </c>
      <c r="Y301" s="41">
        <f>IFERROR(Y296/H296,"0")+IFERROR(Y297/H297,"0")+IFERROR(Y298/H298,"0")+IFERROR(Y299/H299,"0")+IFERROR(Y300/H300,"0")</f>
        <v>0</v>
      </c>
      <c r="Z301" s="41">
        <f>IFERROR(IF(Z296="",0,Z296),"0")+IFERROR(IF(Z297="",0,Z297),"0")+IFERROR(IF(Z298="",0,Z298),"0")+IFERROR(IF(Z299="",0,Z299),"0")+IFERROR(IF(Z300="",0,Z300),"0")</f>
        <v>0</v>
      </c>
      <c r="AA301" s="64"/>
      <c r="AB301" s="64"/>
      <c r="AC301" s="64"/>
    </row>
    <row r="302" spans="1:68" hidden="1" x14ac:dyDescent="0.2">
      <c r="A302" s="603"/>
      <c r="B302" s="603"/>
      <c r="C302" s="603"/>
      <c r="D302" s="603"/>
      <c r="E302" s="603"/>
      <c r="F302" s="603"/>
      <c r="G302" s="603"/>
      <c r="H302" s="603"/>
      <c r="I302" s="603"/>
      <c r="J302" s="603"/>
      <c r="K302" s="603"/>
      <c r="L302" s="603"/>
      <c r="M302" s="603"/>
      <c r="N302" s="603"/>
      <c r="O302" s="604"/>
      <c r="P302" s="600" t="s">
        <v>40</v>
      </c>
      <c r="Q302" s="601"/>
      <c r="R302" s="601"/>
      <c r="S302" s="601"/>
      <c r="T302" s="601"/>
      <c r="U302" s="601"/>
      <c r="V302" s="602"/>
      <c r="W302" s="40" t="s">
        <v>0</v>
      </c>
      <c r="X302" s="41">
        <f>IFERROR(SUM(X296:X300),"0")</f>
        <v>0</v>
      </c>
      <c r="Y302" s="41">
        <f>IFERROR(SUM(Y296:Y300),"0")</f>
        <v>0</v>
      </c>
      <c r="Z302" s="40"/>
      <c r="AA302" s="64"/>
      <c r="AB302" s="64"/>
      <c r="AC302" s="64"/>
    </row>
    <row r="303" spans="1:68" ht="16.5" hidden="1" customHeight="1" x14ac:dyDescent="0.25">
      <c r="A303" s="611" t="s">
        <v>520</v>
      </c>
      <c r="B303" s="611"/>
      <c r="C303" s="611"/>
      <c r="D303" s="611"/>
      <c r="E303" s="611"/>
      <c r="F303" s="611"/>
      <c r="G303" s="611"/>
      <c r="H303" s="611"/>
      <c r="I303" s="611"/>
      <c r="J303" s="611"/>
      <c r="K303" s="611"/>
      <c r="L303" s="611"/>
      <c r="M303" s="611"/>
      <c r="N303" s="611"/>
      <c r="O303" s="611"/>
      <c r="P303" s="611"/>
      <c r="Q303" s="611"/>
      <c r="R303" s="611"/>
      <c r="S303" s="611"/>
      <c r="T303" s="611"/>
      <c r="U303" s="611"/>
      <c r="V303" s="611"/>
      <c r="W303" s="611"/>
      <c r="X303" s="611"/>
      <c r="Y303" s="611"/>
      <c r="Z303" s="611"/>
      <c r="AA303" s="62"/>
      <c r="AB303" s="62"/>
      <c r="AC303" s="62"/>
    </row>
    <row r="304" spans="1:68" ht="14.25" hidden="1" customHeight="1" x14ac:dyDescent="0.25">
      <c r="A304" s="595" t="s">
        <v>86</v>
      </c>
      <c r="B304" s="595"/>
      <c r="C304" s="595"/>
      <c r="D304" s="595"/>
      <c r="E304" s="595"/>
      <c r="F304" s="595"/>
      <c r="G304" s="595"/>
      <c r="H304" s="595"/>
      <c r="I304" s="595"/>
      <c r="J304" s="595"/>
      <c r="K304" s="595"/>
      <c r="L304" s="595"/>
      <c r="M304" s="595"/>
      <c r="N304" s="595"/>
      <c r="O304" s="595"/>
      <c r="P304" s="595"/>
      <c r="Q304" s="595"/>
      <c r="R304" s="595"/>
      <c r="S304" s="595"/>
      <c r="T304" s="595"/>
      <c r="U304" s="595"/>
      <c r="V304" s="595"/>
      <c r="W304" s="595"/>
      <c r="X304" s="595"/>
      <c r="Y304" s="595"/>
      <c r="Z304" s="595"/>
      <c r="AA304" s="63"/>
      <c r="AB304" s="63"/>
      <c r="AC304" s="63"/>
    </row>
    <row r="305" spans="1:68" ht="27" hidden="1" customHeight="1" x14ac:dyDescent="0.25">
      <c r="A305" s="60" t="s">
        <v>521</v>
      </c>
      <c r="B305" s="60" t="s">
        <v>522</v>
      </c>
      <c r="C305" s="34">
        <v>4301051893</v>
      </c>
      <c r="D305" s="596">
        <v>4680115886186</v>
      </c>
      <c r="E305" s="596"/>
      <c r="F305" s="59">
        <v>0.3</v>
      </c>
      <c r="G305" s="35">
        <v>6</v>
      </c>
      <c r="H305" s="59">
        <v>1.8</v>
      </c>
      <c r="I305" s="59">
        <v>1.98</v>
      </c>
      <c r="J305" s="35">
        <v>182</v>
      </c>
      <c r="K305" s="35" t="s">
        <v>91</v>
      </c>
      <c r="L305" s="35" t="s">
        <v>46</v>
      </c>
      <c r="M305" s="36" t="s">
        <v>90</v>
      </c>
      <c r="N305" s="36"/>
      <c r="O305" s="35">
        <v>45</v>
      </c>
      <c r="P305" s="7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05" s="598"/>
      <c r="R305" s="598"/>
      <c r="S305" s="598"/>
      <c r="T305" s="599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IFERROR(IF(Y305=0,"",ROUNDUP(Y305/H305,0)*0.00651),"")</f>
        <v/>
      </c>
      <c r="AA305" s="65" t="s">
        <v>46</v>
      </c>
      <c r="AB305" s="66" t="s">
        <v>46</v>
      </c>
      <c r="AC305" s="387" t="s">
        <v>523</v>
      </c>
      <c r="AG305" s="75"/>
      <c r="AJ305" s="79" t="s">
        <v>46</v>
      </c>
      <c r="AK305" s="79">
        <v>0</v>
      </c>
      <c r="BB305" s="388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t="27" hidden="1" customHeight="1" x14ac:dyDescent="0.25">
      <c r="A306" s="60" t="s">
        <v>524</v>
      </c>
      <c r="B306" s="60" t="s">
        <v>525</v>
      </c>
      <c r="C306" s="34">
        <v>4301051795</v>
      </c>
      <c r="D306" s="596">
        <v>4680115881228</v>
      </c>
      <c r="E306" s="596"/>
      <c r="F306" s="59">
        <v>0.4</v>
      </c>
      <c r="G306" s="35">
        <v>6</v>
      </c>
      <c r="H306" s="59">
        <v>2.4</v>
      </c>
      <c r="I306" s="59">
        <v>2.6520000000000001</v>
      </c>
      <c r="J306" s="35">
        <v>182</v>
      </c>
      <c r="K306" s="35" t="s">
        <v>91</v>
      </c>
      <c r="L306" s="35" t="s">
        <v>46</v>
      </c>
      <c r="M306" s="36" t="s">
        <v>97</v>
      </c>
      <c r="N306" s="36"/>
      <c r="O306" s="35">
        <v>40</v>
      </c>
      <c r="P306" s="7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06" s="598"/>
      <c r="R306" s="598"/>
      <c r="S306" s="598"/>
      <c r="T306" s="599"/>
      <c r="U306" s="37" t="s">
        <v>46</v>
      </c>
      <c r="V306" s="37" t="s">
        <v>46</v>
      </c>
      <c r="W306" s="38" t="s">
        <v>0</v>
      </c>
      <c r="X306" s="56">
        <v>0</v>
      </c>
      <c r="Y306" s="53">
        <f>IFERROR(IF(X306="",0,CEILING((X306/$H306),1)*$H306),"")</f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89" t="s">
        <v>526</v>
      </c>
      <c r="AG306" s="75"/>
      <c r="AJ306" s="79" t="s">
        <v>46</v>
      </c>
      <c r="AK306" s="79">
        <v>0</v>
      </c>
      <c r="BB306" s="390" t="s">
        <v>67</v>
      </c>
      <c r="BM306" s="75">
        <f>IFERROR(X306*I306/H306,"0")</f>
        <v>0</v>
      </c>
      <c r="BN306" s="75">
        <f>IFERROR(Y306*I306/H306,"0")</f>
        <v>0</v>
      </c>
      <c r="BO306" s="75">
        <f>IFERROR(1/J306*(X306/H306),"0")</f>
        <v>0</v>
      </c>
      <c r="BP306" s="75">
        <f>IFERROR(1/J306*(Y306/H306),"0")</f>
        <v>0</v>
      </c>
    </row>
    <row r="307" spans="1:68" ht="27" hidden="1" customHeight="1" x14ac:dyDescent="0.25">
      <c r="A307" s="60" t="s">
        <v>527</v>
      </c>
      <c r="B307" s="60" t="s">
        <v>528</v>
      </c>
      <c r="C307" s="34">
        <v>4301051388</v>
      </c>
      <c r="D307" s="596">
        <v>4680115881211</v>
      </c>
      <c r="E307" s="596"/>
      <c r="F307" s="59">
        <v>0.4</v>
      </c>
      <c r="G307" s="35">
        <v>6</v>
      </c>
      <c r="H307" s="59">
        <v>2.4</v>
      </c>
      <c r="I307" s="59">
        <v>2.58</v>
      </c>
      <c r="J307" s="35">
        <v>182</v>
      </c>
      <c r="K307" s="35" t="s">
        <v>91</v>
      </c>
      <c r="L307" s="35" t="s">
        <v>46</v>
      </c>
      <c r="M307" s="36" t="s">
        <v>90</v>
      </c>
      <c r="N307" s="36"/>
      <c r="O307" s="35">
        <v>45</v>
      </c>
      <c r="P307" s="7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07" s="598"/>
      <c r="R307" s="598"/>
      <c r="S307" s="598"/>
      <c r="T307" s="599"/>
      <c r="U307" s="37" t="s">
        <v>46</v>
      </c>
      <c r="V307" s="37" t="s">
        <v>46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IFERROR(IF(Y307=0,"",ROUNDUP(Y307/H307,0)*0.00651),"")</f>
        <v/>
      </c>
      <c r="AA307" s="65" t="s">
        <v>46</v>
      </c>
      <c r="AB307" s="66" t="s">
        <v>46</v>
      </c>
      <c r="AC307" s="391" t="s">
        <v>523</v>
      </c>
      <c r="AG307" s="75"/>
      <c r="AJ307" s="79" t="s">
        <v>46</v>
      </c>
      <c r="AK307" s="79">
        <v>0</v>
      </c>
      <c r="BB307" s="392" t="s">
        <v>67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hidden="1" x14ac:dyDescent="0.2">
      <c r="A308" s="603"/>
      <c r="B308" s="603"/>
      <c r="C308" s="603"/>
      <c r="D308" s="603"/>
      <c r="E308" s="603"/>
      <c r="F308" s="603"/>
      <c r="G308" s="603"/>
      <c r="H308" s="603"/>
      <c r="I308" s="603"/>
      <c r="J308" s="603"/>
      <c r="K308" s="603"/>
      <c r="L308" s="603"/>
      <c r="M308" s="603"/>
      <c r="N308" s="603"/>
      <c r="O308" s="604"/>
      <c r="P308" s="600" t="s">
        <v>40</v>
      </c>
      <c r="Q308" s="601"/>
      <c r="R308" s="601"/>
      <c r="S308" s="601"/>
      <c r="T308" s="601"/>
      <c r="U308" s="601"/>
      <c r="V308" s="602"/>
      <c r="W308" s="40" t="s">
        <v>39</v>
      </c>
      <c r="X308" s="41">
        <f>IFERROR(X305/H305,"0")+IFERROR(X306/H306,"0")+IFERROR(X307/H307,"0")</f>
        <v>0</v>
      </c>
      <c r="Y308" s="41">
        <f>IFERROR(Y305/H305,"0")+IFERROR(Y306/H306,"0")+IFERROR(Y307/H307,"0")</f>
        <v>0</v>
      </c>
      <c r="Z308" s="41">
        <f>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03"/>
      <c r="B309" s="603"/>
      <c r="C309" s="603"/>
      <c r="D309" s="603"/>
      <c r="E309" s="603"/>
      <c r="F309" s="603"/>
      <c r="G309" s="603"/>
      <c r="H309" s="603"/>
      <c r="I309" s="603"/>
      <c r="J309" s="603"/>
      <c r="K309" s="603"/>
      <c r="L309" s="603"/>
      <c r="M309" s="603"/>
      <c r="N309" s="603"/>
      <c r="O309" s="604"/>
      <c r="P309" s="600" t="s">
        <v>40</v>
      </c>
      <c r="Q309" s="601"/>
      <c r="R309" s="601"/>
      <c r="S309" s="601"/>
      <c r="T309" s="601"/>
      <c r="U309" s="601"/>
      <c r="V309" s="602"/>
      <c r="W309" s="40" t="s">
        <v>0</v>
      </c>
      <c r="X309" s="41">
        <f>IFERROR(SUM(X305:X307),"0")</f>
        <v>0</v>
      </c>
      <c r="Y309" s="41">
        <f>IFERROR(SUM(Y305:Y307),"0")</f>
        <v>0</v>
      </c>
      <c r="Z309" s="40"/>
      <c r="AA309" s="64"/>
      <c r="AB309" s="64"/>
      <c r="AC309" s="64"/>
    </row>
    <row r="310" spans="1:68" ht="16.5" hidden="1" customHeight="1" x14ac:dyDescent="0.25">
      <c r="A310" s="611" t="s">
        <v>529</v>
      </c>
      <c r="B310" s="611"/>
      <c r="C310" s="611"/>
      <c r="D310" s="611"/>
      <c r="E310" s="611"/>
      <c r="F310" s="611"/>
      <c r="G310" s="611"/>
      <c r="H310" s="611"/>
      <c r="I310" s="611"/>
      <c r="J310" s="611"/>
      <c r="K310" s="611"/>
      <c r="L310" s="611"/>
      <c r="M310" s="611"/>
      <c r="N310" s="611"/>
      <c r="O310" s="611"/>
      <c r="P310" s="611"/>
      <c r="Q310" s="611"/>
      <c r="R310" s="611"/>
      <c r="S310" s="611"/>
      <c r="T310" s="611"/>
      <c r="U310" s="611"/>
      <c r="V310" s="611"/>
      <c r="W310" s="611"/>
      <c r="X310" s="611"/>
      <c r="Y310" s="611"/>
      <c r="Z310" s="611"/>
      <c r="AA310" s="62"/>
      <c r="AB310" s="62"/>
      <c r="AC310" s="62"/>
    </row>
    <row r="311" spans="1:68" ht="14.25" hidden="1" customHeight="1" x14ac:dyDescent="0.25">
      <c r="A311" s="595" t="s">
        <v>77</v>
      </c>
      <c r="B311" s="595"/>
      <c r="C311" s="595"/>
      <c r="D311" s="595"/>
      <c r="E311" s="595"/>
      <c r="F311" s="595"/>
      <c r="G311" s="595"/>
      <c r="H311" s="595"/>
      <c r="I311" s="595"/>
      <c r="J311" s="595"/>
      <c r="K311" s="595"/>
      <c r="L311" s="595"/>
      <c r="M311" s="595"/>
      <c r="N311" s="595"/>
      <c r="O311" s="595"/>
      <c r="P311" s="595"/>
      <c r="Q311" s="595"/>
      <c r="R311" s="595"/>
      <c r="S311" s="595"/>
      <c r="T311" s="595"/>
      <c r="U311" s="595"/>
      <c r="V311" s="595"/>
      <c r="W311" s="595"/>
      <c r="X311" s="595"/>
      <c r="Y311" s="595"/>
      <c r="Z311" s="595"/>
      <c r="AA311" s="63"/>
      <c r="AB311" s="63"/>
      <c r="AC311" s="63"/>
    </row>
    <row r="312" spans="1:68" ht="27" hidden="1" customHeight="1" x14ac:dyDescent="0.25">
      <c r="A312" s="60" t="s">
        <v>530</v>
      </c>
      <c r="B312" s="60" t="s">
        <v>531</v>
      </c>
      <c r="C312" s="34">
        <v>4301031445</v>
      </c>
      <c r="D312" s="596">
        <v>4680115888319</v>
      </c>
      <c r="E312" s="596"/>
      <c r="F312" s="59">
        <v>0.35</v>
      </c>
      <c r="G312" s="35">
        <v>6</v>
      </c>
      <c r="H312" s="59">
        <v>2.1</v>
      </c>
      <c r="I312" s="59">
        <v>2.23</v>
      </c>
      <c r="J312" s="35">
        <v>234</v>
      </c>
      <c r="K312" s="35" t="s">
        <v>82</v>
      </c>
      <c r="L312" s="35" t="s">
        <v>46</v>
      </c>
      <c r="M312" s="36" t="s">
        <v>81</v>
      </c>
      <c r="N312" s="36"/>
      <c r="O312" s="35">
        <v>45</v>
      </c>
      <c r="P312" s="7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12" s="598"/>
      <c r="R312" s="598"/>
      <c r="S312" s="598"/>
      <c r="T312" s="599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IFERROR(IF(Y312=0,"",ROUNDUP(Y312/H312,0)*0.00502),"")</f>
        <v/>
      </c>
      <c r="AA312" s="65" t="s">
        <v>46</v>
      </c>
      <c r="AB312" s="66" t="s">
        <v>46</v>
      </c>
      <c r="AC312" s="393" t="s">
        <v>364</v>
      </c>
      <c r="AG312" s="75"/>
      <c r="AJ312" s="79" t="s">
        <v>46</v>
      </c>
      <c r="AK312" s="79">
        <v>0</v>
      </c>
      <c r="BB312" s="394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27" hidden="1" customHeight="1" x14ac:dyDescent="0.25">
      <c r="A313" s="60" t="s">
        <v>532</v>
      </c>
      <c r="B313" s="60" t="s">
        <v>533</v>
      </c>
      <c r="C313" s="34">
        <v>4301031502</v>
      </c>
      <c r="D313" s="596">
        <v>4680115884700</v>
      </c>
      <c r="E313" s="596"/>
      <c r="F313" s="59">
        <v>0.57999999999999996</v>
      </c>
      <c r="G313" s="35">
        <v>4</v>
      </c>
      <c r="H313" s="59">
        <v>2.3199999999999998</v>
      </c>
      <c r="I313" s="59">
        <v>2.42</v>
      </c>
      <c r="J313" s="35">
        <v>234</v>
      </c>
      <c r="K313" s="35" t="s">
        <v>82</v>
      </c>
      <c r="L313" s="35" t="s">
        <v>46</v>
      </c>
      <c r="M313" s="36" t="s">
        <v>81</v>
      </c>
      <c r="N313" s="36"/>
      <c r="O313" s="35">
        <v>40</v>
      </c>
      <c r="P313" s="7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13" s="598"/>
      <c r="R313" s="598"/>
      <c r="S313" s="598"/>
      <c r="T313" s="599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IFERROR(IF(Y313=0,"",ROUNDUP(Y313/H313,0)*0.00502),"")</f>
        <v/>
      </c>
      <c r="AA313" s="65" t="s">
        <v>46</v>
      </c>
      <c r="AB313" s="66" t="s">
        <v>46</v>
      </c>
      <c r="AC313" s="395" t="s">
        <v>534</v>
      </c>
      <c r="AG313" s="75"/>
      <c r="AJ313" s="79" t="s">
        <v>46</v>
      </c>
      <c r="AK313" s="79">
        <v>0</v>
      </c>
      <c r="BB313" s="396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t="27" hidden="1" customHeight="1" x14ac:dyDescent="0.25">
      <c r="A314" s="60" t="s">
        <v>535</v>
      </c>
      <c r="B314" s="60" t="s">
        <v>536</v>
      </c>
      <c r="C314" s="34">
        <v>4301031307</v>
      </c>
      <c r="D314" s="596">
        <v>4680115880344</v>
      </c>
      <c r="E314" s="596"/>
      <c r="F314" s="59">
        <v>0.28000000000000003</v>
      </c>
      <c r="G314" s="35">
        <v>6</v>
      </c>
      <c r="H314" s="59">
        <v>1.68</v>
      </c>
      <c r="I314" s="59">
        <v>1.78</v>
      </c>
      <c r="J314" s="35">
        <v>234</v>
      </c>
      <c r="K314" s="35" t="s">
        <v>82</v>
      </c>
      <c r="L314" s="35" t="s">
        <v>46</v>
      </c>
      <c r="M314" s="36" t="s">
        <v>81</v>
      </c>
      <c r="N314" s="36"/>
      <c r="O314" s="35">
        <v>40</v>
      </c>
      <c r="P314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14" s="598"/>
      <c r="R314" s="598"/>
      <c r="S314" s="598"/>
      <c r="T314" s="599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397" t="s">
        <v>537</v>
      </c>
      <c r="AG314" s="75"/>
      <c r="AJ314" s="79" t="s">
        <v>46</v>
      </c>
      <c r="AK314" s="79">
        <v>0</v>
      </c>
      <c r="BB314" s="398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t="27" hidden="1" customHeight="1" x14ac:dyDescent="0.25">
      <c r="A315" s="60" t="s">
        <v>538</v>
      </c>
      <c r="B315" s="60" t="s">
        <v>539</v>
      </c>
      <c r="C315" s="34">
        <v>4301031501</v>
      </c>
      <c r="D315" s="596">
        <v>4680115886919</v>
      </c>
      <c r="E315" s="596"/>
      <c r="F315" s="59">
        <v>0.4</v>
      </c>
      <c r="G315" s="35">
        <v>6</v>
      </c>
      <c r="H315" s="59">
        <v>2.4</v>
      </c>
      <c r="I315" s="59">
        <v>2.58</v>
      </c>
      <c r="J315" s="35">
        <v>182</v>
      </c>
      <c r="K315" s="35" t="s">
        <v>91</v>
      </c>
      <c r="L315" s="35" t="s">
        <v>46</v>
      </c>
      <c r="M315" s="36" t="s">
        <v>81</v>
      </c>
      <c r="N315" s="36"/>
      <c r="O315" s="35">
        <v>40</v>
      </c>
      <c r="P315" s="7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15" s="598"/>
      <c r="R315" s="598"/>
      <c r="S315" s="598"/>
      <c r="T315" s="59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IFERROR(IF(Y315=0,"",ROUNDUP(Y315/H315,0)*0.00651),"")</f>
        <v/>
      </c>
      <c r="AA315" s="65" t="s">
        <v>46</v>
      </c>
      <c r="AB315" s="66" t="s">
        <v>46</v>
      </c>
      <c r="AC315" s="399" t="s">
        <v>540</v>
      </c>
      <c r="AG315" s="75"/>
      <c r="AJ315" s="79" t="s">
        <v>46</v>
      </c>
      <c r="AK315" s="79">
        <v>0</v>
      </c>
      <c r="BB315" s="400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541</v>
      </c>
      <c r="B316" s="60" t="s">
        <v>542</v>
      </c>
      <c r="C316" s="34">
        <v>4301031246</v>
      </c>
      <c r="D316" s="596">
        <v>4680115883970</v>
      </c>
      <c r="E316" s="596"/>
      <c r="F316" s="59">
        <v>0.28000000000000003</v>
      </c>
      <c r="G316" s="35">
        <v>6</v>
      </c>
      <c r="H316" s="59">
        <v>1.68</v>
      </c>
      <c r="I316" s="59">
        <v>2.5</v>
      </c>
      <c r="J316" s="35">
        <v>234</v>
      </c>
      <c r="K316" s="35" t="s">
        <v>82</v>
      </c>
      <c r="L316" s="35" t="s">
        <v>46</v>
      </c>
      <c r="M316" s="36" t="s">
        <v>81</v>
      </c>
      <c r="N316" s="36"/>
      <c r="O316" s="35">
        <v>40</v>
      </c>
      <c r="P316" s="70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16" s="598"/>
      <c r="R316" s="598"/>
      <c r="S316" s="598"/>
      <c r="T316" s="599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IFERROR(IF(Y316=0,"",ROUNDUP(Y316/H316,0)*0.00502),"")</f>
        <v/>
      </c>
      <c r="AA316" s="65" t="s">
        <v>46</v>
      </c>
      <c r="AB316" s="66" t="s">
        <v>46</v>
      </c>
      <c r="AC316" s="401" t="s">
        <v>543</v>
      </c>
      <c r="AG316" s="75"/>
      <c r="AJ316" s="79" t="s">
        <v>46</v>
      </c>
      <c r="AK316" s="79">
        <v>0</v>
      </c>
      <c r="BB316" s="40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603"/>
      <c r="B317" s="603"/>
      <c r="C317" s="603"/>
      <c r="D317" s="603"/>
      <c r="E317" s="603"/>
      <c r="F317" s="603"/>
      <c r="G317" s="603"/>
      <c r="H317" s="603"/>
      <c r="I317" s="603"/>
      <c r="J317" s="603"/>
      <c r="K317" s="603"/>
      <c r="L317" s="603"/>
      <c r="M317" s="603"/>
      <c r="N317" s="603"/>
      <c r="O317" s="604"/>
      <c r="P317" s="600" t="s">
        <v>40</v>
      </c>
      <c r="Q317" s="601"/>
      <c r="R317" s="601"/>
      <c r="S317" s="601"/>
      <c r="T317" s="601"/>
      <c r="U317" s="601"/>
      <c r="V317" s="602"/>
      <c r="W317" s="40" t="s">
        <v>39</v>
      </c>
      <c r="X317" s="41">
        <f>IFERROR(X312/H312,"0")+IFERROR(X313/H313,"0")+IFERROR(X314/H314,"0")+IFERROR(X315/H315,"0")+IFERROR(X316/H316,"0")</f>
        <v>0</v>
      </c>
      <c r="Y317" s="41">
        <f>IFERROR(Y312/H312,"0")+IFERROR(Y313/H313,"0")+IFERROR(Y314/H314,"0")+IFERROR(Y315/H315,"0")+IFERROR(Y316/H316,"0")</f>
        <v>0</v>
      </c>
      <c r="Z317" s="41">
        <f>IFERROR(IF(Z312="",0,Z312),"0")+IFERROR(IF(Z313="",0,Z313),"0")+IFERROR(IF(Z314="",0,Z314),"0")+IFERROR(IF(Z315="",0,Z315),"0")+IFERROR(IF(Z316="",0,Z316),"0")</f>
        <v>0</v>
      </c>
      <c r="AA317" s="64"/>
      <c r="AB317" s="64"/>
      <c r="AC317" s="64"/>
    </row>
    <row r="318" spans="1:68" hidden="1" x14ac:dyDescent="0.2">
      <c r="A318" s="603"/>
      <c r="B318" s="603"/>
      <c r="C318" s="603"/>
      <c r="D318" s="603"/>
      <c r="E318" s="603"/>
      <c r="F318" s="603"/>
      <c r="G318" s="603"/>
      <c r="H318" s="603"/>
      <c r="I318" s="603"/>
      <c r="J318" s="603"/>
      <c r="K318" s="603"/>
      <c r="L318" s="603"/>
      <c r="M318" s="603"/>
      <c r="N318" s="603"/>
      <c r="O318" s="604"/>
      <c r="P318" s="600" t="s">
        <v>40</v>
      </c>
      <c r="Q318" s="601"/>
      <c r="R318" s="601"/>
      <c r="S318" s="601"/>
      <c r="T318" s="601"/>
      <c r="U318" s="601"/>
      <c r="V318" s="602"/>
      <c r="W318" s="40" t="s">
        <v>0</v>
      </c>
      <c r="X318" s="41">
        <f>IFERROR(SUM(X312:X316),"0")</f>
        <v>0</v>
      </c>
      <c r="Y318" s="41">
        <f>IFERROR(SUM(Y312:Y316),"0")</f>
        <v>0</v>
      </c>
      <c r="Z318" s="40"/>
      <c r="AA318" s="64"/>
      <c r="AB318" s="64"/>
      <c r="AC318" s="64"/>
    </row>
    <row r="319" spans="1:68" ht="14.25" hidden="1" customHeight="1" x14ac:dyDescent="0.25">
      <c r="A319" s="595" t="s">
        <v>86</v>
      </c>
      <c r="B319" s="595"/>
      <c r="C319" s="595"/>
      <c r="D319" s="595"/>
      <c r="E319" s="595"/>
      <c r="F319" s="595"/>
      <c r="G319" s="595"/>
      <c r="H319" s="595"/>
      <c r="I319" s="595"/>
      <c r="J319" s="595"/>
      <c r="K319" s="595"/>
      <c r="L319" s="595"/>
      <c r="M319" s="595"/>
      <c r="N319" s="595"/>
      <c r="O319" s="595"/>
      <c r="P319" s="595"/>
      <c r="Q319" s="595"/>
      <c r="R319" s="595"/>
      <c r="S319" s="595"/>
      <c r="T319" s="595"/>
      <c r="U319" s="595"/>
      <c r="V319" s="595"/>
      <c r="W319" s="595"/>
      <c r="X319" s="595"/>
      <c r="Y319" s="595"/>
      <c r="Z319" s="595"/>
      <c r="AA319" s="63"/>
      <c r="AB319" s="63"/>
      <c r="AC319" s="63"/>
    </row>
    <row r="320" spans="1:68" ht="27" hidden="1" customHeight="1" x14ac:dyDescent="0.25">
      <c r="A320" s="60" t="s">
        <v>544</v>
      </c>
      <c r="B320" s="60" t="s">
        <v>545</v>
      </c>
      <c r="C320" s="34">
        <v>4301051782</v>
      </c>
      <c r="D320" s="596">
        <v>4680115884618</v>
      </c>
      <c r="E320" s="596"/>
      <c r="F320" s="59">
        <v>0.6</v>
      </c>
      <c r="G320" s="35">
        <v>6</v>
      </c>
      <c r="H320" s="59">
        <v>3.6</v>
      </c>
      <c r="I320" s="59">
        <v>3.79</v>
      </c>
      <c r="J320" s="35">
        <v>132</v>
      </c>
      <c r="K320" s="35" t="s">
        <v>140</v>
      </c>
      <c r="L320" s="35" t="s">
        <v>46</v>
      </c>
      <c r="M320" s="36" t="s">
        <v>90</v>
      </c>
      <c r="N320" s="36"/>
      <c r="O320" s="35">
        <v>45</v>
      </c>
      <c r="P320" s="7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20" s="598"/>
      <c r="R320" s="598"/>
      <c r="S320" s="598"/>
      <c r="T320" s="59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3" t="s">
        <v>546</v>
      </c>
      <c r="AG320" s="75"/>
      <c r="AJ320" s="79" t="s">
        <v>46</v>
      </c>
      <c r="AK320" s="79">
        <v>0</v>
      </c>
      <c r="BB320" s="404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547</v>
      </c>
      <c r="B321" s="60" t="s">
        <v>548</v>
      </c>
      <c r="C321" s="34">
        <v>4301052057</v>
      </c>
      <c r="D321" s="596">
        <v>4680115887114</v>
      </c>
      <c r="E321" s="596"/>
      <c r="F321" s="59">
        <v>0.55000000000000004</v>
      </c>
      <c r="G321" s="35">
        <v>6</v>
      </c>
      <c r="H321" s="59">
        <v>3.3</v>
      </c>
      <c r="I321" s="59">
        <v>3.49</v>
      </c>
      <c r="J321" s="35">
        <v>132</v>
      </c>
      <c r="K321" s="35" t="s">
        <v>140</v>
      </c>
      <c r="L321" s="35" t="s">
        <v>46</v>
      </c>
      <c r="M321" s="36" t="s">
        <v>90</v>
      </c>
      <c r="N321" s="36"/>
      <c r="O321" s="35">
        <v>45</v>
      </c>
      <c r="P321" s="70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21" s="598"/>
      <c r="R321" s="598"/>
      <c r="S321" s="598"/>
      <c r="T321" s="59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IFERROR(IF(Y321=0,"",ROUNDUP(Y321/H321,0)*0.00902),"")</f>
        <v/>
      </c>
      <c r="AA321" s="65" t="s">
        <v>46</v>
      </c>
      <c r="AB321" s="66" t="s">
        <v>46</v>
      </c>
      <c r="AC321" s="405" t="s">
        <v>549</v>
      </c>
      <c r="AG321" s="75"/>
      <c r="AJ321" s="79" t="s">
        <v>46</v>
      </c>
      <c r="AK321" s="79">
        <v>0</v>
      </c>
      <c r="BB321" s="406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03"/>
      <c r="B322" s="603"/>
      <c r="C322" s="603"/>
      <c r="D322" s="603"/>
      <c r="E322" s="603"/>
      <c r="F322" s="603"/>
      <c r="G322" s="603"/>
      <c r="H322" s="603"/>
      <c r="I322" s="603"/>
      <c r="J322" s="603"/>
      <c r="K322" s="603"/>
      <c r="L322" s="603"/>
      <c r="M322" s="603"/>
      <c r="N322" s="603"/>
      <c r="O322" s="604"/>
      <c r="P322" s="600" t="s">
        <v>40</v>
      </c>
      <c r="Q322" s="601"/>
      <c r="R322" s="601"/>
      <c r="S322" s="601"/>
      <c r="T322" s="601"/>
      <c r="U322" s="601"/>
      <c r="V322" s="602"/>
      <c r="W322" s="40" t="s">
        <v>39</v>
      </c>
      <c r="X322" s="41">
        <f>IFERROR(X320/H320,"0")+IFERROR(X321/H321,"0")</f>
        <v>0</v>
      </c>
      <c r="Y322" s="41">
        <f>IFERROR(Y320/H320,"0")+IFERROR(Y321/H321,"0")</f>
        <v>0</v>
      </c>
      <c r="Z322" s="41">
        <f>IFERROR(IF(Z320="",0,Z320),"0")+IFERROR(IF(Z321="",0,Z321),"0")</f>
        <v>0</v>
      </c>
      <c r="AA322" s="64"/>
      <c r="AB322" s="64"/>
      <c r="AC322" s="64"/>
    </row>
    <row r="323" spans="1:68" hidden="1" x14ac:dyDescent="0.2">
      <c r="A323" s="603"/>
      <c r="B323" s="603"/>
      <c r="C323" s="603"/>
      <c r="D323" s="603"/>
      <c r="E323" s="603"/>
      <c r="F323" s="603"/>
      <c r="G323" s="603"/>
      <c r="H323" s="603"/>
      <c r="I323" s="603"/>
      <c r="J323" s="603"/>
      <c r="K323" s="603"/>
      <c r="L323" s="603"/>
      <c r="M323" s="603"/>
      <c r="N323" s="603"/>
      <c r="O323" s="604"/>
      <c r="P323" s="600" t="s">
        <v>40</v>
      </c>
      <c r="Q323" s="601"/>
      <c r="R323" s="601"/>
      <c r="S323" s="601"/>
      <c r="T323" s="601"/>
      <c r="U323" s="601"/>
      <c r="V323" s="602"/>
      <c r="W323" s="40" t="s">
        <v>0</v>
      </c>
      <c r="X323" s="41">
        <f>IFERROR(SUM(X320:X321),"0")</f>
        <v>0</v>
      </c>
      <c r="Y323" s="41">
        <f>IFERROR(SUM(Y320:Y321),"0")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11" t="s">
        <v>550</v>
      </c>
      <c r="B324" s="611"/>
      <c r="C324" s="611"/>
      <c r="D324" s="611"/>
      <c r="E324" s="611"/>
      <c r="F324" s="611"/>
      <c r="G324" s="611"/>
      <c r="H324" s="611"/>
      <c r="I324" s="611"/>
      <c r="J324" s="611"/>
      <c r="K324" s="611"/>
      <c r="L324" s="611"/>
      <c r="M324" s="611"/>
      <c r="N324" s="611"/>
      <c r="O324" s="611"/>
      <c r="P324" s="611"/>
      <c r="Q324" s="611"/>
      <c r="R324" s="611"/>
      <c r="S324" s="611"/>
      <c r="T324" s="611"/>
      <c r="U324" s="611"/>
      <c r="V324" s="611"/>
      <c r="W324" s="611"/>
      <c r="X324" s="611"/>
      <c r="Y324" s="611"/>
      <c r="Z324" s="611"/>
      <c r="AA324" s="62"/>
      <c r="AB324" s="62"/>
      <c r="AC324" s="62"/>
    </row>
    <row r="325" spans="1:68" ht="14.25" hidden="1" customHeight="1" x14ac:dyDescent="0.25">
      <c r="A325" s="595" t="s">
        <v>128</v>
      </c>
      <c r="B325" s="595"/>
      <c r="C325" s="595"/>
      <c r="D325" s="595"/>
      <c r="E325" s="595"/>
      <c r="F325" s="595"/>
      <c r="G325" s="595"/>
      <c r="H325" s="595"/>
      <c r="I325" s="595"/>
      <c r="J325" s="595"/>
      <c r="K325" s="595"/>
      <c r="L325" s="595"/>
      <c r="M325" s="595"/>
      <c r="N325" s="595"/>
      <c r="O325" s="595"/>
      <c r="P325" s="595"/>
      <c r="Q325" s="595"/>
      <c r="R325" s="595"/>
      <c r="S325" s="595"/>
      <c r="T325" s="595"/>
      <c r="U325" s="595"/>
      <c r="V325" s="595"/>
      <c r="W325" s="595"/>
      <c r="X325" s="595"/>
      <c r="Y325" s="595"/>
      <c r="Z325" s="595"/>
      <c r="AA325" s="63"/>
      <c r="AB325" s="63"/>
      <c r="AC325" s="63"/>
    </row>
    <row r="326" spans="1:68" ht="27" hidden="1" customHeight="1" x14ac:dyDescent="0.25">
      <c r="A326" s="60" t="s">
        <v>551</v>
      </c>
      <c r="B326" s="60" t="s">
        <v>552</v>
      </c>
      <c r="C326" s="34">
        <v>4301012324</v>
      </c>
      <c r="D326" s="596">
        <v>4680115887947</v>
      </c>
      <c r="E326" s="596"/>
      <c r="F326" s="59">
        <v>1.3</v>
      </c>
      <c r="G326" s="35">
        <v>6</v>
      </c>
      <c r="H326" s="59">
        <v>7.8</v>
      </c>
      <c r="I326" s="59">
        <v>8.2100000000000009</v>
      </c>
      <c r="J326" s="35">
        <v>64</v>
      </c>
      <c r="K326" s="35" t="s">
        <v>133</v>
      </c>
      <c r="L326" s="35" t="s">
        <v>46</v>
      </c>
      <c r="M326" s="36" t="s">
        <v>90</v>
      </c>
      <c r="N326" s="36"/>
      <c r="O326" s="35">
        <v>60</v>
      </c>
      <c r="P326" s="70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26" s="598"/>
      <c r="R326" s="598"/>
      <c r="S326" s="598"/>
      <c r="T326" s="59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07" t="s">
        <v>553</v>
      </c>
      <c r="AG326" s="75"/>
      <c r="AJ326" s="79" t="s">
        <v>46</v>
      </c>
      <c r="AK326" s="79">
        <v>0</v>
      </c>
      <c r="BB326" s="408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554</v>
      </c>
      <c r="B327" s="60" t="s">
        <v>555</v>
      </c>
      <c r="C327" s="34">
        <v>4301012325</v>
      </c>
      <c r="D327" s="596">
        <v>4680115887978</v>
      </c>
      <c r="E327" s="596"/>
      <c r="F327" s="59">
        <v>1.3</v>
      </c>
      <c r="G327" s="35">
        <v>6</v>
      </c>
      <c r="H327" s="59">
        <v>7.8</v>
      </c>
      <c r="I327" s="59">
        <v>8.2100000000000009</v>
      </c>
      <c r="J327" s="35">
        <v>64</v>
      </c>
      <c r="K327" s="35" t="s">
        <v>133</v>
      </c>
      <c r="L327" s="35" t="s">
        <v>46</v>
      </c>
      <c r="M327" s="36" t="s">
        <v>90</v>
      </c>
      <c r="N327" s="36"/>
      <c r="O327" s="35">
        <v>60</v>
      </c>
      <c r="P327" s="7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27" s="598"/>
      <c r="R327" s="598"/>
      <c r="S327" s="598"/>
      <c r="T327" s="59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09" t="s">
        <v>556</v>
      </c>
      <c r="AG327" s="75"/>
      <c r="AJ327" s="79" t="s">
        <v>46</v>
      </c>
      <c r="AK327" s="79">
        <v>0</v>
      </c>
      <c r="BB327" s="410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557</v>
      </c>
      <c r="B328" s="60" t="s">
        <v>558</v>
      </c>
      <c r="C328" s="34">
        <v>4301012327</v>
      </c>
      <c r="D328" s="596">
        <v>4680115887992</v>
      </c>
      <c r="E328" s="596"/>
      <c r="F328" s="59">
        <v>1.3</v>
      </c>
      <c r="G328" s="35">
        <v>6</v>
      </c>
      <c r="H328" s="59">
        <v>7.8</v>
      </c>
      <c r="I328" s="59">
        <v>8.2100000000000009</v>
      </c>
      <c r="J328" s="35">
        <v>64</v>
      </c>
      <c r="K328" s="35" t="s">
        <v>133</v>
      </c>
      <c r="L328" s="35" t="s">
        <v>46</v>
      </c>
      <c r="M328" s="36" t="s">
        <v>90</v>
      </c>
      <c r="N328" s="36"/>
      <c r="O328" s="35">
        <v>60</v>
      </c>
      <c r="P328" s="69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28" s="598"/>
      <c r="R328" s="598"/>
      <c r="S328" s="598"/>
      <c r="T328" s="59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1" t="s">
        <v>559</v>
      </c>
      <c r="AG328" s="75"/>
      <c r="AJ328" s="79" t="s">
        <v>46</v>
      </c>
      <c r="AK328" s="79">
        <v>0</v>
      </c>
      <c r="BB328" s="412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03"/>
      <c r="B329" s="603"/>
      <c r="C329" s="603"/>
      <c r="D329" s="603"/>
      <c r="E329" s="603"/>
      <c r="F329" s="603"/>
      <c r="G329" s="603"/>
      <c r="H329" s="603"/>
      <c r="I329" s="603"/>
      <c r="J329" s="603"/>
      <c r="K329" s="603"/>
      <c r="L329" s="603"/>
      <c r="M329" s="603"/>
      <c r="N329" s="603"/>
      <c r="O329" s="604"/>
      <c r="P329" s="600" t="s">
        <v>40</v>
      </c>
      <c r="Q329" s="601"/>
      <c r="R329" s="601"/>
      <c r="S329" s="601"/>
      <c r="T329" s="601"/>
      <c r="U329" s="601"/>
      <c r="V329" s="602"/>
      <c r="W329" s="40" t="s">
        <v>39</v>
      </c>
      <c r="X329" s="41">
        <f>IFERROR(X326/H326,"0")+IFERROR(X327/H327,"0")+IFERROR(X328/H328,"0")</f>
        <v>0</v>
      </c>
      <c r="Y329" s="41">
        <f>IFERROR(Y326/H326,"0")+IFERROR(Y327/H327,"0")+IFERROR(Y328/H328,"0")</f>
        <v>0</v>
      </c>
      <c r="Z329" s="41">
        <f>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03"/>
      <c r="B330" s="603"/>
      <c r="C330" s="603"/>
      <c r="D330" s="603"/>
      <c r="E330" s="603"/>
      <c r="F330" s="603"/>
      <c r="G330" s="603"/>
      <c r="H330" s="603"/>
      <c r="I330" s="603"/>
      <c r="J330" s="603"/>
      <c r="K330" s="603"/>
      <c r="L330" s="603"/>
      <c r="M330" s="603"/>
      <c r="N330" s="603"/>
      <c r="O330" s="604"/>
      <c r="P330" s="600" t="s">
        <v>40</v>
      </c>
      <c r="Q330" s="601"/>
      <c r="R330" s="601"/>
      <c r="S330" s="601"/>
      <c r="T330" s="601"/>
      <c r="U330" s="601"/>
      <c r="V330" s="602"/>
      <c r="W330" s="40" t="s">
        <v>0</v>
      </c>
      <c r="X330" s="41">
        <f>IFERROR(SUM(X326:X328),"0")</f>
        <v>0</v>
      </c>
      <c r="Y330" s="41">
        <f>IFERROR(SUM(Y326:Y328),"0")</f>
        <v>0</v>
      </c>
      <c r="Z330" s="40"/>
      <c r="AA330" s="64"/>
      <c r="AB330" s="64"/>
      <c r="AC330" s="64"/>
    </row>
    <row r="331" spans="1:68" ht="16.5" hidden="1" customHeight="1" x14ac:dyDescent="0.25">
      <c r="A331" s="611" t="s">
        <v>560</v>
      </c>
      <c r="B331" s="611"/>
      <c r="C331" s="611"/>
      <c r="D331" s="611"/>
      <c r="E331" s="611"/>
      <c r="F331" s="611"/>
      <c r="G331" s="611"/>
      <c r="H331" s="611"/>
      <c r="I331" s="611"/>
      <c r="J331" s="611"/>
      <c r="K331" s="611"/>
      <c r="L331" s="611"/>
      <c r="M331" s="611"/>
      <c r="N331" s="611"/>
      <c r="O331" s="611"/>
      <c r="P331" s="611"/>
      <c r="Q331" s="611"/>
      <c r="R331" s="611"/>
      <c r="S331" s="611"/>
      <c r="T331" s="611"/>
      <c r="U331" s="611"/>
      <c r="V331" s="611"/>
      <c r="W331" s="611"/>
      <c r="X331" s="611"/>
      <c r="Y331" s="611"/>
      <c r="Z331" s="611"/>
      <c r="AA331" s="62"/>
      <c r="AB331" s="62"/>
      <c r="AC331" s="62"/>
    </row>
    <row r="332" spans="1:68" ht="14.25" hidden="1" customHeight="1" x14ac:dyDescent="0.25">
      <c r="A332" s="595" t="s">
        <v>128</v>
      </c>
      <c r="B332" s="595"/>
      <c r="C332" s="595"/>
      <c r="D332" s="595"/>
      <c r="E332" s="595"/>
      <c r="F332" s="595"/>
      <c r="G332" s="595"/>
      <c r="H332" s="595"/>
      <c r="I332" s="595"/>
      <c r="J332" s="595"/>
      <c r="K332" s="595"/>
      <c r="L332" s="595"/>
      <c r="M332" s="595"/>
      <c r="N332" s="595"/>
      <c r="O332" s="595"/>
      <c r="P332" s="595"/>
      <c r="Q332" s="595"/>
      <c r="R332" s="595"/>
      <c r="S332" s="595"/>
      <c r="T332" s="595"/>
      <c r="U332" s="595"/>
      <c r="V332" s="595"/>
      <c r="W332" s="595"/>
      <c r="X332" s="595"/>
      <c r="Y332" s="595"/>
      <c r="Z332" s="595"/>
      <c r="AA332" s="63"/>
      <c r="AB332" s="63"/>
      <c r="AC332" s="63"/>
    </row>
    <row r="333" spans="1:68" ht="27" hidden="1" customHeight="1" x14ac:dyDescent="0.25">
      <c r="A333" s="60" t="s">
        <v>561</v>
      </c>
      <c r="B333" s="60" t="s">
        <v>562</v>
      </c>
      <c r="C333" s="34">
        <v>4301012126</v>
      </c>
      <c r="D333" s="596">
        <v>4607091386004</v>
      </c>
      <c r="E333" s="596"/>
      <c r="F333" s="59">
        <v>1.35</v>
      </c>
      <c r="G333" s="35">
        <v>8</v>
      </c>
      <c r="H333" s="59">
        <v>10.8</v>
      </c>
      <c r="I333" s="59">
        <v>11.21</v>
      </c>
      <c r="J333" s="35">
        <v>64</v>
      </c>
      <c r="K333" s="35" t="s">
        <v>133</v>
      </c>
      <c r="L333" s="35" t="s">
        <v>46</v>
      </c>
      <c r="M333" s="36" t="s">
        <v>132</v>
      </c>
      <c r="N333" s="36"/>
      <c r="O333" s="35">
        <v>55</v>
      </c>
      <c r="P333" s="69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33" s="598"/>
      <c r="R333" s="598"/>
      <c r="S333" s="598"/>
      <c r="T333" s="599"/>
      <c r="U333" s="37" t="s">
        <v>46</v>
      </c>
      <c r="V333" s="37" t="s">
        <v>46</v>
      </c>
      <c r="W333" s="38" t="s">
        <v>0</v>
      </c>
      <c r="X333" s="56">
        <v>0</v>
      </c>
      <c r="Y333" s="53">
        <f t="shared" ref="Y333:Y338" si="47">IFERROR(IF(X333="",0,CEILING((X333/$H333),1)*$H333),"")</f>
        <v>0</v>
      </c>
      <c r="Z333" s="39" t="str">
        <f>IFERROR(IF(Y333=0,"",ROUNDUP(Y333/H333,0)*0.01898),"")</f>
        <v/>
      </c>
      <c r="AA333" s="65" t="s">
        <v>46</v>
      </c>
      <c r="AB333" s="66" t="s">
        <v>46</v>
      </c>
      <c r="AC333" s="413" t="s">
        <v>563</v>
      </c>
      <c r="AG333" s="75"/>
      <c r="AJ333" s="79" t="s">
        <v>46</v>
      </c>
      <c r="AK333" s="79">
        <v>0</v>
      </c>
      <c r="BB333" s="414" t="s">
        <v>67</v>
      </c>
      <c r="BM333" s="75">
        <f t="shared" ref="BM333:BM338" si="48">IFERROR(X333*I333/H333,"0")</f>
        <v>0</v>
      </c>
      <c r="BN333" s="75">
        <f t="shared" ref="BN333:BN338" si="49">IFERROR(Y333*I333/H333,"0")</f>
        <v>0</v>
      </c>
      <c r="BO333" s="75">
        <f t="shared" ref="BO333:BO338" si="50">IFERROR(1/J333*(X333/H333),"0")</f>
        <v>0</v>
      </c>
      <c r="BP333" s="75">
        <f t="shared" ref="BP333:BP338" si="51">IFERROR(1/J333*(Y333/H333),"0")</f>
        <v>0</v>
      </c>
    </row>
    <row r="334" spans="1:68" ht="27" hidden="1" customHeight="1" x14ac:dyDescent="0.25">
      <c r="A334" s="60" t="s">
        <v>564</v>
      </c>
      <c r="B334" s="60" t="s">
        <v>565</v>
      </c>
      <c r="C334" s="34">
        <v>4301012235</v>
      </c>
      <c r="D334" s="596">
        <v>4680115887190</v>
      </c>
      <c r="E334" s="596"/>
      <c r="F334" s="59">
        <v>1.35</v>
      </c>
      <c r="G334" s="35">
        <v>8</v>
      </c>
      <c r="H334" s="59">
        <v>10.8</v>
      </c>
      <c r="I334" s="59">
        <v>11.21</v>
      </c>
      <c r="J334" s="35">
        <v>64</v>
      </c>
      <c r="K334" s="35" t="s">
        <v>133</v>
      </c>
      <c r="L334" s="35" t="s">
        <v>46</v>
      </c>
      <c r="M334" s="36" t="s">
        <v>132</v>
      </c>
      <c r="N334" s="36"/>
      <c r="O334" s="35">
        <v>55</v>
      </c>
      <c r="P334" s="6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34" s="598"/>
      <c r="R334" s="598"/>
      <c r="S334" s="598"/>
      <c r="T334" s="599"/>
      <c r="U334" s="37" t="s">
        <v>46</v>
      </c>
      <c r="V334" s="37" t="s">
        <v>46</v>
      </c>
      <c r="W334" s="38" t="s">
        <v>0</v>
      </c>
      <c r="X334" s="56">
        <v>0</v>
      </c>
      <c r="Y334" s="53">
        <f t="shared" si="47"/>
        <v>0</v>
      </c>
      <c r="Z334" s="39" t="str">
        <f>IFERROR(IF(Y334=0,"",ROUNDUP(Y334/H334,0)*0.01898),"")</f>
        <v/>
      </c>
      <c r="AA334" s="65" t="s">
        <v>46</v>
      </c>
      <c r="AB334" s="66" t="s">
        <v>46</v>
      </c>
      <c r="AC334" s="415" t="s">
        <v>566</v>
      </c>
      <c r="AG334" s="75"/>
      <c r="AJ334" s="79" t="s">
        <v>46</v>
      </c>
      <c r="AK334" s="79">
        <v>0</v>
      </c>
      <c r="BB334" s="416" t="s">
        <v>67</v>
      </c>
      <c r="BM334" s="75">
        <f t="shared" si="48"/>
        <v>0</v>
      </c>
      <c r="BN334" s="75">
        <f t="shared" si="49"/>
        <v>0</v>
      </c>
      <c r="BO334" s="75">
        <f t="shared" si="50"/>
        <v>0</v>
      </c>
      <c r="BP334" s="75">
        <f t="shared" si="51"/>
        <v>0</v>
      </c>
    </row>
    <row r="335" spans="1:68" ht="37.5" hidden="1" customHeight="1" x14ac:dyDescent="0.25">
      <c r="A335" s="60" t="s">
        <v>567</v>
      </c>
      <c r="B335" s="60" t="s">
        <v>568</v>
      </c>
      <c r="C335" s="34">
        <v>4301012233</v>
      </c>
      <c r="D335" s="596">
        <v>4680115887138</v>
      </c>
      <c r="E335" s="596"/>
      <c r="F335" s="59">
        <v>1.35</v>
      </c>
      <c r="G335" s="35">
        <v>8</v>
      </c>
      <c r="H335" s="59">
        <v>10.8</v>
      </c>
      <c r="I335" s="59">
        <v>11.21</v>
      </c>
      <c r="J335" s="35">
        <v>64</v>
      </c>
      <c r="K335" s="35" t="s">
        <v>133</v>
      </c>
      <c r="L335" s="35" t="s">
        <v>46</v>
      </c>
      <c r="M335" s="36" t="s">
        <v>132</v>
      </c>
      <c r="N335" s="36"/>
      <c r="O335" s="35">
        <v>55</v>
      </c>
      <c r="P335" s="6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35" s="598"/>
      <c r="R335" s="598"/>
      <c r="S335" s="598"/>
      <c r="T335" s="599"/>
      <c r="U335" s="37" t="s">
        <v>46</v>
      </c>
      <c r="V335" s="37" t="s">
        <v>46</v>
      </c>
      <c r="W335" s="38" t="s">
        <v>0</v>
      </c>
      <c r="X335" s="56">
        <v>0</v>
      </c>
      <c r="Y335" s="53">
        <f t="shared" si="47"/>
        <v>0</v>
      </c>
      <c r="Z335" s="39" t="str">
        <f>IFERROR(IF(Y335=0,"",ROUNDUP(Y335/H335,0)*0.01898),"")</f>
        <v/>
      </c>
      <c r="AA335" s="65" t="s">
        <v>46</v>
      </c>
      <c r="AB335" s="66" t="s">
        <v>46</v>
      </c>
      <c r="AC335" s="417" t="s">
        <v>569</v>
      </c>
      <c r="AG335" s="75"/>
      <c r="AJ335" s="79" t="s">
        <v>46</v>
      </c>
      <c r="AK335" s="79">
        <v>0</v>
      </c>
      <c r="BB335" s="418" t="s">
        <v>67</v>
      </c>
      <c r="BM335" s="75">
        <f t="shared" si="48"/>
        <v>0</v>
      </c>
      <c r="BN335" s="75">
        <f t="shared" si="49"/>
        <v>0</v>
      </c>
      <c r="BO335" s="75">
        <f t="shared" si="50"/>
        <v>0</v>
      </c>
      <c r="BP335" s="75">
        <f t="shared" si="51"/>
        <v>0</v>
      </c>
    </row>
    <row r="336" spans="1:68" ht="27" hidden="1" customHeight="1" x14ac:dyDescent="0.25">
      <c r="A336" s="60" t="s">
        <v>570</v>
      </c>
      <c r="B336" s="60" t="s">
        <v>571</v>
      </c>
      <c r="C336" s="34">
        <v>4301012016</v>
      </c>
      <c r="D336" s="596">
        <v>4680115885554</v>
      </c>
      <c r="E336" s="596"/>
      <c r="F336" s="59">
        <v>1.35</v>
      </c>
      <c r="G336" s="35">
        <v>8</v>
      </c>
      <c r="H336" s="59">
        <v>10.8</v>
      </c>
      <c r="I336" s="59">
        <v>11.21</v>
      </c>
      <c r="J336" s="35">
        <v>64</v>
      </c>
      <c r="K336" s="35" t="s">
        <v>133</v>
      </c>
      <c r="L336" s="35" t="s">
        <v>46</v>
      </c>
      <c r="M336" s="36" t="s">
        <v>90</v>
      </c>
      <c r="N336" s="36"/>
      <c r="O336" s="35">
        <v>55</v>
      </c>
      <c r="P336" s="69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36" s="598"/>
      <c r="R336" s="598"/>
      <c r="S336" s="598"/>
      <c r="T336" s="599"/>
      <c r="U336" s="37" t="s">
        <v>46</v>
      </c>
      <c r="V336" s="37" t="s">
        <v>46</v>
      </c>
      <c r="W336" s="38" t="s">
        <v>0</v>
      </c>
      <c r="X336" s="56">
        <v>0</v>
      </c>
      <c r="Y336" s="53">
        <f t="shared" si="47"/>
        <v>0</v>
      </c>
      <c r="Z336" s="39" t="str">
        <f>IFERROR(IF(Y336=0,"",ROUNDUP(Y336/H336,0)*0.01898),"")</f>
        <v/>
      </c>
      <c r="AA336" s="65" t="s">
        <v>46</v>
      </c>
      <c r="AB336" s="66" t="s">
        <v>46</v>
      </c>
      <c r="AC336" s="419" t="s">
        <v>572</v>
      </c>
      <c r="AG336" s="75"/>
      <c r="AJ336" s="79" t="s">
        <v>46</v>
      </c>
      <c r="AK336" s="79">
        <v>0</v>
      </c>
      <c r="BB336" s="420" t="s">
        <v>67</v>
      </c>
      <c r="BM336" s="75">
        <f t="shared" si="48"/>
        <v>0</v>
      </c>
      <c r="BN336" s="75">
        <f t="shared" si="49"/>
        <v>0</v>
      </c>
      <c r="BO336" s="75">
        <f t="shared" si="50"/>
        <v>0</v>
      </c>
      <c r="BP336" s="75">
        <f t="shared" si="51"/>
        <v>0</v>
      </c>
    </row>
    <row r="337" spans="1:68" ht="27" hidden="1" customHeight="1" x14ac:dyDescent="0.25">
      <c r="A337" s="60" t="s">
        <v>573</v>
      </c>
      <c r="B337" s="60" t="s">
        <v>574</v>
      </c>
      <c r="C337" s="34">
        <v>4301012236</v>
      </c>
      <c r="D337" s="596">
        <v>4680115887220</v>
      </c>
      <c r="E337" s="596"/>
      <c r="F337" s="59">
        <v>0.4</v>
      </c>
      <c r="G337" s="35">
        <v>10</v>
      </c>
      <c r="H337" s="59">
        <v>4</v>
      </c>
      <c r="I337" s="59">
        <v>4.1900000000000004</v>
      </c>
      <c r="J337" s="35">
        <v>132</v>
      </c>
      <c r="K337" s="35" t="s">
        <v>140</v>
      </c>
      <c r="L337" s="35" t="s">
        <v>46</v>
      </c>
      <c r="M337" s="36" t="s">
        <v>132</v>
      </c>
      <c r="N337" s="36"/>
      <c r="O337" s="35">
        <v>55</v>
      </c>
      <c r="P337" s="69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37" s="598"/>
      <c r="R337" s="598"/>
      <c r="S337" s="598"/>
      <c r="T337" s="599"/>
      <c r="U337" s="37" t="s">
        <v>46</v>
      </c>
      <c r="V337" s="37" t="s">
        <v>46</v>
      </c>
      <c r="W337" s="38" t="s">
        <v>0</v>
      </c>
      <c r="X337" s="56">
        <v>0</v>
      </c>
      <c r="Y337" s="53">
        <f t="shared" si="47"/>
        <v>0</v>
      </c>
      <c r="Z337" s="39" t="str">
        <f>IFERROR(IF(Y337=0,"",ROUNDUP(Y337/H337,0)*0.00902),"")</f>
        <v/>
      </c>
      <c r="AA337" s="65" t="s">
        <v>46</v>
      </c>
      <c r="AB337" s="66" t="s">
        <v>46</v>
      </c>
      <c r="AC337" s="421" t="s">
        <v>566</v>
      </c>
      <c r="AG337" s="75"/>
      <c r="AJ337" s="79" t="s">
        <v>46</v>
      </c>
      <c r="AK337" s="79">
        <v>0</v>
      </c>
      <c r="BB337" s="422" t="s">
        <v>67</v>
      </c>
      <c r="BM337" s="75">
        <f t="shared" si="48"/>
        <v>0</v>
      </c>
      <c r="BN337" s="75">
        <f t="shared" si="49"/>
        <v>0</v>
      </c>
      <c r="BO337" s="75">
        <f t="shared" si="50"/>
        <v>0</v>
      </c>
      <c r="BP337" s="75">
        <f t="shared" si="51"/>
        <v>0</v>
      </c>
    </row>
    <row r="338" spans="1:68" ht="27" hidden="1" customHeight="1" x14ac:dyDescent="0.25">
      <c r="A338" s="60" t="s">
        <v>575</v>
      </c>
      <c r="B338" s="60" t="s">
        <v>576</v>
      </c>
      <c r="C338" s="34">
        <v>4301011859</v>
      </c>
      <c r="D338" s="596">
        <v>4680115885608</v>
      </c>
      <c r="E338" s="596"/>
      <c r="F338" s="59">
        <v>0.4</v>
      </c>
      <c r="G338" s="35">
        <v>10</v>
      </c>
      <c r="H338" s="59">
        <v>4</v>
      </c>
      <c r="I338" s="59">
        <v>4.1900000000000004</v>
      </c>
      <c r="J338" s="35">
        <v>132</v>
      </c>
      <c r="K338" s="35" t="s">
        <v>140</v>
      </c>
      <c r="L338" s="35" t="s">
        <v>46</v>
      </c>
      <c r="M338" s="36" t="s">
        <v>132</v>
      </c>
      <c r="N338" s="36"/>
      <c r="O338" s="35">
        <v>55</v>
      </c>
      <c r="P338" s="6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8" s="598"/>
      <c r="R338" s="598"/>
      <c r="S338" s="598"/>
      <c r="T338" s="599"/>
      <c r="U338" s="37" t="s">
        <v>46</v>
      </c>
      <c r="V338" s="37" t="s">
        <v>46</v>
      </c>
      <c r="W338" s="38" t="s">
        <v>0</v>
      </c>
      <c r="X338" s="56">
        <v>0</v>
      </c>
      <c r="Y338" s="53">
        <f t="shared" si="47"/>
        <v>0</v>
      </c>
      <c r="Z338" s="39" t="str">
        <f>IFERROR(IF(Y338=0,"",ROUNDUP(Y338/H338,0)*0.00902),"")</f>
        <v/>
      </c>
      <c r="AA338" s="65" t="s">
        <v>46</v>
      </c>
      <c r="AB338" s="66" t="s">
        <v>46</v>
      </c>
      <c r="AC338" s="423" t="s">
        <v>577</v>
      </c>
      <c r="AG338" s="75"/>
      <c r="AJ338" s="79" t="s">
        <v>46</v>
      </c>
      <c r="AK338" s="79">
        <v>0</v>
      </c>
      <c r="BB338" s="424" t="s">
        <v>67</v>
      </c>
      <c r="BM338" s="75">
        <f t="shared" si="48"/>
        <v>0</v>
      </c>
      <c r="BN338" s="75">
        <f t="shared" si="49"/>
        <v>0</v>
      </c>
      <c r="BO338" s="75">
        <f t="shared" si="50"/>
        <v>0</v>
      </c>
      <c r="BP338" s="75">
        <f t="shared" si="51"/>
        <v>0</v>
      </c>
    </row>
    <row r="339" spans="1:68" hidden="1" x14ac:dyDescent="0.2">
      <c r="A339" s="603"/>
      <c r="B339" s="603"/>
      <c r="C339" s="603"/>
      <c r="D339" s="603"/>
      <c r="E339" s="603"/>
      <c r="F339" s="603"/>
      <c r="G339" s="603"/>
      <c r="H339" s="603"/>
      <c r="I339" s="603"/>
      <c r="J339" s="603"/>
      <c r="K339" s="603"/>
      <c r="L339" s="603"/>
      <c r="M339" s="603"/>
      <c r="N339" s="603"/>
      <c r="O339" s="604"/>
      <c r="P339" s="600" t="s">
        <v>40</v>
      </c>
      <c r="Q339" s="601"/>
      <c r="R339" s="601"/>
      <c r="S339" s="601"/>
      <c r="T339" s="601"/>
      <c r="U339" s="601"/>
      <c r="V339" s="602"/>
      <c r="W339" s="40" t="s">
        <v>39</v>
      </c>
      <c r="X339" s="41">
        <f>IFERROR(X333/H333,"0")+IFERROR(X334/H334,"0")+IFERROR(X335/H335,"0")+IFERROR(X336/H336,"0")+IFERROR(X337/H337,"0")+IFERROR(X338/H338,"0")</f>
        <v>0</v>
      </c>
      <c r="Y339" s="41">
        <f>IFERROR(Y333/H333,"0")+IFERROR(Y334/H334,"0")+IFERROR(Y335/H335,"0")+IFERROR(Y336/H336,"0")+IFERROR(Y337/H337,"0")+IFERROR(Y338/H338,"0")</f>
        <v>0</v>
      </c>
      <c r="Z339" s="41">
        <f>IFERROR(IF(Z333="",0,Z333),"0")+IFERROR(IF(Z334="",0,Z334),"0")+IFERROR(IF(Z335="",0,Z335),"0")+IFERROR(IF(Z336="",0,Z336),"0")+IFERROR(IF(Z337="",0,Z337),"0")+IFERROR(IF(Z338="",0,Z338),"0")</f>
        <v>0</v>
      </c>
      <c r="AA339" s="64"/>
      <c r="AB339" s="64"/>
      <c r="AC339" s="64"/>
    </row>
    <row r="340" spans="1:68" hidden="1" x14ac:dyDescent="0.2">
      <c r="A340" s="603"/>
      <c r="B340" s="603"/>
      <c r="C340" s="603"/>
      <c r="D340" s="603"/>
      <c r="E340" s="603"/>
      <c r="F340" s="603"/>
      <c r="G340" s="603"/>
      <c r="H340" s="603"/>
      <c r="I340" s="603"/>
      <c r="J340" s="603"/>
      <c r="K340" s="603"/>
      <c r="L340" s="603"/>
      <c r="M340" s="603"/>
      <c r="N340" s="603"/>
      <c r="O340" s="604"/>
      <c r="P340" s="600" t="s">
        <v>40</v>
      </c>
      <c r="Q340" s="601"/>
      <c r="R340" s="601"/>
      <c r="S340" s="601"/>
      <c r="T340" s="601"/>
      <c r="U340" s="601"/>
      <c r="V340" s="602"/>
      <c r="W340" s="40" t="s">
        <v>0</v>
      </c>
      <c r="X340" s="41">
        <f>IFERROR(SUM(X333:X338),"0")</f>
        <v>0</v>
      </c>
      <c r="Y340" s="41">
        <f>IFERROR(SUM(Y333:Y338),"0")</f>
        <v>0</v>
      </c>
      <c r="Z340" s="40"/>
      <c r="AA340" s="64"/>
      <c r="AB340" s="64"/>
      <c r="AC340" s="64"/>
    </row>
    <row r="341" spans="1:68" ht="14.25" hidden="1" customHeight="1" x14ac:dyDescent="0.25">
      <c r="A341" s="595" t="s">
        <v>77</v>
      </c>
      <c r="B341" s="595"/>
      <c r="C341" s="595"/>
      <c r="D341" s="595"/>
      <c r="E341" s="595"/>
      <c r="F341" s="595"/>
      <c r="G341" s="595"/>
      <c r="H341" s="595"/>
      <c r="I341" s="595"/>
      <c r="J341" s="595"/>
      <c r="K341" s="595"/>
      <c r="L341" s="595"/>
      <c r="M341" s="595"/>
      <c r="N341" s="595"/>
      <c r="O341" s="595"/>
      <c r="P341" s="595"/>
      <c r="Q341" s="595"/>
      <c r="R341" s="595"/>
      <c r="S341" s="595"/>
      <c r="T341" s="595"/>
      <c r="U341" s="595"/>
      <c r="V341" s="595"/>
      <c r="W341" s="595"/>
      <c r="X341" s="595"/>
      <c r="Y341" s="595"/>
      <c r="Z341" s="595"/>
      <c r="AA341" s="63"/>
      <c r="AB341" s="63"/>
      <c r="AC341" s="63"/>
    </row>
    <row r="342" spans="1:68" ht="27" hidden="1" customHeight="1" x14ac:dyDescent="0.25">
      <c r="A342" s="60" t="s">
        <v>578</v>
      </c>
      <c r="B342" s="60" t="s">
        <v>579</v>
      </c>
      <c r="C342" s="34">
        <v>4301030878</v>
      </c>
      <c r="D342" s="596">
        <v>4607091387193</v>
      </c>
      <c r="E342" s="596"/>
      <c r="F342" s="59">
        <v>0.7</v>
      </c>
      <c r="G342" s="35">
        <v>6</v>
      </c>
      <c r="H342" s="59">
        <v>4.2</v>
      </c>
      <c r="I342" s="59">
        <v>4.45</v>
      </c>
      <c r="J342" s="35">
        <v>132</v>
      </c>
      <c r="K342" s="35" t="s">
        <v>140</v>
      </c>
      <c r="L342" s="35" t="s">
        <v>46</v>
      </c>
      <c r="M342" s="36" t="s">
        <v>81</v>
      </c>
      <c r="N342" s="36"/>
      <c r="O342" s="35">
        <v>35</v>
      </c>
      <c r="P342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42" s="598"/>
      <c r="R342" s="598"/>
      <c r="S342" s="598"/>
      <c r="T342" s="599"/>
      <c r="U342" s="37" t="s">
        <v>46</v>
      </c>
      <c r="V342" s="37" t="s">
        <v>46</v>
      </c>
      <c r="W342" s="38" t="s">
        <v>0</v>
      </c>
      <c r="X342" s="56">
        <v>0</v>
      </c>
      <c r="Y342" s="53">
        <f t="shared" ref="Y342:Y348" si="52">IFERROR(IF(X342="",0,CEILING((X342/$H342),1)*$H342),"")</f>
        <v>0</v>
      </c>
      <c r="Z342" s="39" t="str">
        <f>IFERROR(IF(Y342=0,"",ROUNDUP(Y342/H342,0)*0.00902),"")</f>
        <v/>
      </c>
      <c r="AA342" s="65" t="s">
        <v>46</v>
      </c>
      <c r="AB342" s="66" t="s">
        <v>46</v>
      </c>
      <c r="AC342" s="425" t="s">
        <v>580</v>
      </c>
      <c r="AG342" s="75"/>
      <c r="AJ342" s="79" t="s">
        <v>46</v>
      </c>
      <c r="AK342" s="79">
        <v>0</v>
      </c>
      <c r="BB342" s="426" t="s">
        <v>67</v>
      </c>
      <c r="BM342" s="75">
        <f t="shared" ref="BM342:BM348" si="53">IFERROR(X342*I342/H342,"0")</f>
        <v>0</v>
      </c>
      <c r="BN342" s="75">
        <f t="shared" ref="BN342:BN348" si="54">IFERROR(Y342*I342/H342,"0")</f>
        <v>0</v>
      </c>
      <c r="BO342" s="75">
        <f t="shared" ref="BO342:BO348" si="55">IFERROR(1/J342*(X342/H342),"0")</f>
        <v>0</v>
      </c>
      <c r="BP342" s="75">
        <f t="shared" ref="BP342:BP348" si="56">IFERROR(1/J342*(Y342/H342),"0")</f>
        <v>0</v>
      </c>
    </row>
    <row r="343" spans="1:68" ht="27" hidden="1" customHeight="1" x14ac:dyDescent="0.25">
      <c r="A343" s="60" t="s">
        <v>581</v>
      </c>
      <c r="B343" s="60" t="s">
        <v>582</v>
      </c>
      <c r="C343" s="34">
        <v>4301031153</v>
      </c>
      <c r="D343" s="596">
        <v>4607091387230</v>
      </c>
      <c r="E343" s="596"/>
      <c r="F343" s="59">
        <v>0.7</v>
      </c>
      <c r="G343" s="35">
        <v>6</v>
      </c>
      <c r="H343" s="59">
        <v>4.2</v>
      </c>
      <c r="I343" s="59">
        <v>4.45</v>
      </c>
      <c r="J343" s="35">
        <v>132</v>
      </c>
      <c r="K343" s="35" t="s">
        <v>140</v>
      </c>
      <c r="L343" s="35" t="s">
        <v>46</v>
      </c>
      <c r="M343" s="36" t="s">
        <v>81</v>
      </c>
      <c r="N343" s="36"/>
      <c r="O343" s="35">
        <v>40</v>
      </c>
      <c r="P343" s="69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43" s="598"/>
      <c r="R343" s="598"/>
      <c r="S343" s="598"/>
      <c r="T343" s="599"/>
      <c r="U343" s="37" t="s">
        <v>46</v>
      </c>
      <c r="V343" s="37" t="s">
        <v>46</v>
      </c>
      <c r="W343" s="38" t="s">
        <v>0</v>
      </c>
      <c r="X343" s="56">
        <v>0</v>
      </c>
      <c r="Y343" s="53">
        <f t="shared" si="52"/>
        <v>0</v>
      </c>
      <c r="Z343" s="39" t="str">
        <f>IFERROR(IF(Y343=0,"",ROUNDUP(Y343/H343,0)*0.00902),"")</f>
        <v/>
      </c>
      <c r="AA343" s="65" t="s">
        <v>46</v>
      </c>
      <c r="AB343" s="66" t="s">
        <v>46</v>
      </c>
      <c r="AC343" s="427" t="s">
        <v>583</v>
      </c>
      <c r="AG343" s="75"/>
      <c r="AJ343" s="79" t="s">
        <v>46</v>
      </c>
      <c r="AK343" s="79">
        <v>0</v>
      </c>
      <c r="BB343" s="428" t="s">
        <v>67</v>
      </c>
      <c r="BM343" s="75">
        <f t="shared" si="53"/>
        <v>0</v>
      </c>
      <c r="BN343" s="75">
        <f t="shared" si="54"/>
        <v>0</v>
      </c>
      <c r="BO343" s="75">
        <f t="shared" si="55"/>
        <v>0</v>
      </c>
      <c r="BP343" s="75">
        <f t="shared" si="56"/>
        <v>0</v>
      </c>
    </row>
    <row r="344" spans="1:68" ht="27" hidden="1" customHeight="1" x14ac:dyDescent="0.25">
      <c r="A344" s="60" t="s">
        <v>584</v>
      </c>
      <c r="B344" s="60" t="s">
        <v>585</v>
      </c>
      <c r="C344" s="34">
        <v>4301031154</v>
      </c>
      <c r="D344" s="596">
        <v>4607091387292</v>
      </c>
      <c r="E344" s="596"/>
      <c r="F344" s="59">
        <v>0.73</v>
      </c>
      <c r="G344" s="35">
        <v>6</v>
      </c>
      <c r="H344" s="59">
        <v>4.38</v>
      </c>
      <c r="I344" s="59">
        <v>4.63</v>
      </c>
      <c r="J344" s="35">
        <v>132</v>
      </c>
      <c r="K344" s="35" t="s">
        <v>140</v>
      </c>
      <c r="L344" s="35" t="s">
        <v>46</v>
      </c>
      <c r="M344" s="36" t="s">
        <v>81</v>
      </c>
      <c r="N344" s="36"/>
      <c r="O344" s="35">
        <v>45</v>
      </c>
      <c r="P344" s="69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44" s="598"/>
      <c r="R344" s="598"/>
      <c r="S344" s="598"/>
      <c r="T344" s="599"/>
      <c r="U344" s="37" t="s">
        <v>46</v>
      </c>
      <c r="V344" s="37" t="s">
        <v>46</v>
      </c>
      <c r="W344" s="38" t="s">
        <v>0</v>
      </c>
      <c r="X344" s="56">
        <v>0</v>
      </c>
      <c r="Y344" s="53">
        <f t="shared" si="52"/>
        <v>0</v>
      </c>
      <c r="Z344" s="39" t="str">
        <f>IFERROR(IF(Y344=0,"",ROUNDUP(Y344/H344,0)*0.00902),"")</f>
        <v/>
      </c>
      <c r="AA344" s="65" t="s">
        <v>46</v>
      </c>
      <c r="AB344" s="66" t="s">
        <v>46</v>
      </c>
      <c r="AC344" s="429" t="s">
        <v>586</v>
      </c>
      <c r="AG344" s="75"/>
      <c r="AJ344" s="79" t="s">
        <v>46</v>
      </c>
      <c r="AK344" s="79">
        <v>0</v>
      </c>
      <c r="BB344" s="430" t="s">
        <v>67</v>
      </c>
      <c r="BM344" s="75">
        <f t="shared" si="53"/>
        <v>0</v>
      </c>
      <c r="BN344" s="75">
        <f t="shared" si="54"/>
        <v>0</v>
      </c>
      <c r="BO344" s="75">
        <f t="shared" si="55"/>
        <v>0</v>
      </c>
      <c r="BP344" s="75">
        <f t="shared" si="56"/>
        <v>0</v>
      </c>
    </row>
    <row r="345" spans="1:68" ht="27" hidden="1" customHeight="1" x14ac:dyDescent="0.25">
      <c r="A345" s="60" t="s">
        <v>587</v>
      </c>
      <c r="B345" s="60" t="s">
        <v>588</v>
      </c>
      <c r="C345" s="34">
        <v>4301031152</v>
      </c>
      <c r="D345" s="596">
        <v>4607091387285</v>
      </c>
      <c r="E345" s="596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40</v>
      </c>
      <c r="P345" s="68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45" s="598"/>
      <c r="R345" s="598"/>
      <c r="S345" s="598"/>
      <c r="T345" s="599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si="52"/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1" t="s">
        <v>583</v>
      </c>
      <c r="AG345" s="75"/>
      <c r="AJ345" s="79" t="s">
        <v>46</v>
      </c>
      <c r="AK345" s="79">
        <v>0</v>
      </c>
      <c r="BB345" s="432" t="s">
        <v>67</v>
      </c>
      <c r="BM345" s="75">
        <f t="shared" si="53"/>
        <v>0</v>
      </c>
      <c r="BN345" s="75">
        <f t="shared" si="54"/>
        <v>0</v>
      </c>
      <c r="BO345" s="75">
        <f t="shared" si="55"/>
        <v>0</v>
      </c>
      <c r="BP345" s="75">
        <f t="shared" si="56"/>
        <v>0</v>
      </c>
    </row>
    <row r="346" spans="1:68" ht="27" customHeight="1" x14ac:dyDescent="0.25">
      <c r="A346" s="60" t="s">
        <v>589</v>
      </c>
      <c r="B346" s="60" t="s">
        <v>590</v>
      </c>
      <c r="C346" s="34">
        <v>4301031305</v>
      </c>
      <c r="D346" s="596">
        <v>4607091389845</v>
      </c>
      <c r="E346" s="596"/>
      <c r="F346" s="59">
        <v>0.35</v>
      </c>
      <c r="G346" s="35">
        <v>6</v>
      </c>
      <c r="H346" s="59">
        <v>2.1</v>
      </c>
      <c r="I346" s="59">
        <v>2.2000000000000002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68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46" s="598"/>
      <c r="R346" s="598"/>
      <c r="S346" s="598"/>
      <c r="T346" s="599"/>
      <c r="U346" s="37" t="s">
        <v>46</v>
      </c>
      <c r="V346" s="37" t="s">
        <v>46</v>
      </c>
      <c r="W346" s="38" t="s">
        <v>0</v>
      </c>
      <c r="X346" s="56">
        <v>10</v>
      </c>
      <c r="Y346" s="53">
        <f t="shared" si="52"/>
        <v>10.5</v>
      </c>
      <c r="Z346" s="39">
        <f>IFERROR(IF(Y346=0,"",ROUNDUP(Y346/H346,0)*0.00502),"")</f>
        <v>2.5100000000000001E-2</v>
      </c>
      <c r="AA346" s="65" t="s">
        <v>46</v>
      </c>
      <c r="AB346" s="66" t="s">
        <v>46</v>
      </c>
      <c r="AC346" s="433" t="s">
        <v>591</v>
      </c>
      <c r="AG346" s="75"/>
      <c r="AJ346" s="79" t="s">
        <v>46</v>
      </c>
      <c r="AK346" s="79">
        <v>0</v>
      </c>
      <c r="BB346" s="434" t="s">
        <v>67</v>
      </c>
      <c r="BM346" s="75">
        <f t="shared" si="53"/>
        <v>10.476190476190476</v>
      </c>
      <c r="BN346" s="75">
        <f t="shared" si="54"/>
        <v>11</v>
      </c>
      <c r="BO346" s="75">
        <f t="shared" si="55"/>
        <v>2.0350020350020353E-2</v>
      </c>
      <c r="BP346" s="75">
        <f t="shared" si="56"/>
        <v>2.1367521367521368E-2</v>
      </c>
    </row>
    <row r="347" spans="1:68" ht="27" hidden="1" customHeight="1" x14ac:dyDescent="0.25">
      <c r="A347" s="60" t="s">
        <v>592</v>
      </c>
      <c r="B347" s="60" t="s">
        <v>593</v>
      </c>
      <c r="C347" s="34">
        <v>4301031460</v>
      </c>
      <c r="D347" s="596">
        <v>4680115887442</v>
      </c>
      <c r="E347" s="596"/>
      <c r="F347" s="59">
        <v>0.73</v>
      </c>
      <c r="G347" s="35">
        <v>6</v>
      </c>
      <c r="H347" s="59">
        <v>4.38</v>
      </c>
      <c r="I347" s="59">
        <v>4.63</v>
      </c>
      <c r="J347" s="35">
        <v>132</v>
      </c>
      <c r="K347" s="35" t="s">
        <v>140</v>
      </c>
      <c r="L347" s="35" t="s">
        <v>46</v>
      </c>
      <c r="M347" s="36" t="s">
        <v>81</v>
      </c>
      <c r="N347" s="36"/>
      <c r="O347" s="35">
        <v>45</v>
      </c>
      <c r="P347" s="68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47" s="598"/>
      <c r="R347" s="598"/>
      <c r="S347" s="598"/>
      <c r="T347" s="599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52"/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35" t="s">
        <v>586</v>
      </c>
      <c r="AG347" s="75"/>
      <c r="AJ347" s="79" t="s">
        <v>46</v>
      </c>
      <c r="AK347" s="79">
        <v>0</v>
      </c>
      <c r="BB347" s="436" t="s">
        <v>67</v>
      </c>
      <c r="BM347" s="75">
        <f t="shared" si="53"/>
        <v>0</v>
      </c>
      <c r="BN347" s="75">
        <f t="shared" si="54"/>
        <v>0</v>
      </c>
      <c r="BO347" s="75">
        <f t="shared" si="55"/>
        <v>0</v>
      </c>
      <c r="BP347" s="75">
        <f t="shared" si="56"/>
        <v>0</v>
      </c>
    </row>
    <row r="348" spans="1:68" ht="27" hidden="1" customHeight="1" x14ac:dyDescent="0.25">
      <c r="A348" s="60" t="s">
        <v>594</v>
      </c>
      <c r="B348" s="60" t="s">
        <v>595</v>
      </c>
      <c r="C348" s="34">
        <v>4301031066</v>
      </c>
      <c r="D348" s="596">
        <v>4607091383836</v>
      </c>
      <c r="E348" s="596"/>
      <c r="F348" s="59">
        <v>0.3</v>
      </c>
      <c r="G348" s="35">
        <v>6</v>
      </c>
      <c r="H348" s="59">
        <v>1.8</v>
      </c>
      <c r="I348" s="59">
        <v>2.028</v>
      </c>
      <c r="J348" s="35">
        <v>182</v>
      </c>
      <c r="K348" s="35" t="s">
        <v>91</v>
      </c>
      <c r="L348" s="35" t="s">
        <v>46</v>
      </c>
      <c r="M348" s="36" t="s">
        <v>81</v>
      </c>
      <c r="N348" s="36"/>
      <c r="O348" s="35">
        <v>40</v>
      </c>
      <c r="P348" s="68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48" s="598"/>
      <c r="R348" s="598"/>
      <c r="S348" s="598"/>
      <c r="T348" s="599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52"/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37" t="s">
        <v>596</v>
      </c>
      <c r="AG348" s="75"/>
      <c r="AJ348" s="79" t="s">
        <v>46</v>
      </c>
      <c r="AK348" s="79">
        <v>0</v>
      </c>
      <c r="BB348" s="438" t="s">
        <v>67</v>
      </c>
      <c r="BM348" s="75">
        <f t="shared" si="53"/>
        <v>0</v>
      </c>
      <c r="BN348" s="75">
        <f t="shared" si="54"/>
        <v>0</v>
      </c>
      <c r="BO348" s="75">
        <f t="shared" si="55"/>
        <v>0</v>
      </c>
      <c r="BP348" s="75">
        <f t="shared" si="56"/>
        <v>0</v>
      </c>
    </row>
    <row r="349" spans="1:68" x14ac:dyDescent="0.2">
      <c r="A349" s="603"/>
      <c r="B349" s="603"/>
      <c r="C349" s="603"/>
      <c r="D349" s="603"/>
      <c r="E349" s="603"/>
      <c r="F349" s="603"/>
      <c r="G349" s="603"/>
      <c r="H349" s="603"/>
      <c r="I349" s="603"/>
      <c r="J349" s="603"/>
      <c r="K349" s="603"/>
      <c r="L349" s="603"/>
      <c r="M349" s="603"/>
      <c r="N349" s="603"/>
      <c r="O349" s="604"/>
      <c r="P349" s="600" t="s">
        <v>40</v>
      </c>
      <c r="Q349" s="601"/>
      <c r="R349" s="601"/>
      <c r="S349" s="601"/>
      <c r="T349" s="601"/>
      <c r="U349" s="601"/>
      <c r="V349" s="602"/>
      <c r="W349" s="40" t="s">
        <v>39</v>
      </c>
      <c r="X349" s="41">
        <f>IFERROR(X342/H342,"0")+IFERROR(X343/H343,"0")+IFERROR(X344/H344,"0")+IFERROR(X345/H345,"0")+IFERROR(X346/H346,"0")+IFERROR(X347/H347,"0")+IFERROR(X348/H348,"0")</f>
        <v>4.7619047619047619</v>
      </c>
      <c r="Y349" s="41">
        <f>IFERROR(Y342/H342,"0")+IFERROR(Y343/H343,"0")+IFERROR(Y344/H344,"0")+IFERROR(Y345/H345,"0")+IFERROR(Y346/H346,"0")+IFERROR(Y347/H347,"0")+IFERROR(Y348/H348,"0")</f>
        <v>5</v>
      </c>
      <c r="Z349" s="41">
        <f>IFERROR(IF(Z342="",0,Z342),"0")+IFERROR(IF(Z343="",0,Z343),"0")+IFERROR(IF(Z344="",0,Z344),"0")+IFERROR(IF(Z345="",0,Z345),"0")+IFERROR(IF(Z346="",0,Z346),"0")+IFERROR(IF(Z347="",0,Z347),"0")+IFERROR(IF(Z348="",0,Z348),"0")</f>
        <v>2.5100000000000001E-2</v>
      </c>
      <c r="AA349" s="64"/>
      <c r="AB349" s="64"/>
      <c r="AC349" s="64"/>
    </row>
    <row r="350" spans="1:68" x14ac:dyDescent="0.2">
      <c r="A350" s="603"/>
      <c r="B350" s="603"/>
      <c r="C350" s="603"/>
      <c r="D350" s="603"/>
      <c r="E350" s="603"/>
      <c r="F350" s="603"/>
      <c r="G350" s="603"/>
      <c r="H350" s="603"/>
      <c r="I350" s="603"/>
      <c r="J350" s="603"/>
      <c r="K350" s="603"/>
      <c r="L350" s="603"/>
      <c r="M350" s="603"/>
      <c r="N350" s="603"/>
      <c r="O350" s="604"/>
      <c r="P350" s="600" t="s">
        <v>40</v>
      </c>
      <c r="Q350" s="601"/>
      <c r="R350" s="601"/>
      <c r="S350" s="601"/>
      <c r="T350" s="601"/>
      <c r="U350" s="601"/>
      <c r="V350" s="602"/>
      <c r="W350" s="40" t="s">
        <v>0</v>
      </c>
      <c r="X350" s="41">
        <f>IFERROR(SUM(X342:X348),"0")</f>
        <v>10</v>
      </c>
      <c r="Y350" s="41">
        <f>IFERROR(SUM(Y342:Y348),"0")</f>
        <v>10.5</v>
      </c>
      <c r="Z350" s="40"/>
      <c r="AA350" s="64"/>
      <c r="AB350" s="64"/>
      <c r="AC350" s="64"/>
    </row>
    <row r="351" spans="1:68" ht="14.25" hidden="1" customHeight="1" x14ac:dyDescent="0.25">
      <c r="A351" s="595" t="s">
        <v>86</v>
      </c>
      <c r="B351" s="595"/>
      <c r="C351" s="595"/>
      <c r="D351" s="595"/>
      <c r="E351" s="595"/>
      <c r="F351" s="595"/>
      <c r="G351" s="595"/>
      <c r="H351" s="595"/>
      <c r="I351" s="595"/>
      <c r="J351" s="595"/>
      <c r="K351" s="595"/>
      <c r="L351" s="595"/>
      <c r="M351" s="595"/>
      <c r="N351" s="595"/>
      <c r="O351" s="595"/>
      <c r="P351" s="595"/>
      <c r="Q351" s="595"/>
      <c r="R351" s="595"/>
      <c r="S351" s="595"/>
      <c r="T351" s="595"/>
      <c r="U351" s="595"/>
      <c r="V351" s="595"/>
      <c r="W351" s="595"/>
      <c r="X351" s="595"/>
      <c r="Y351" s="595"/>
      <c r="Z351" s="595"/>
      <c r="AA351" s="63"/>
      <c r="AB351" s="63"/>
      <c r="AC351" s="63"/>
    </row>
    <row r="352" spans="1:68" ht="27" hidden="1" customHeight="1" x14ac:dyDescent="0.25">
      <c r="A352" s="60" t="s">
        <v>597</v>
      </c>
      <c r="B352" s="60" t="s">
        <v>598</v>
      </c>
      <c r="C352" s="34">
        <v>4301051100</v>
      </c>
      <c r="D352" s="596">
        <v>4607091387766</v>
      </c>
      <c r="E352" s="596"/>
      <c r="F352" s="59">
        <v>1.3</v>
      </c>
      <c r="G352" s="35">
        <v>6</v>
      </c>
      <c r="H352" s="59">
        <v>7.8</v>
      </c>
      <c r="I352" s="59">
        <v>8.2880000000000003</v>
      </c>
      <c r="J352" s="35">
        <v>64</v>
      </c>
      <c r="K352" s="35" t="s">
        <v>133</v>
      </c>
      <c r="L352" s="35" t="s">
        <v>46</v>
      </c>
      <c r="M352" s="36" t="s">
        <v>90</v>
      </c>
      <c r="N352" s="36"/>
      <c r="O352" s="35">
        <v>40</v>
      </c>
      <c r="P352" s="68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52" s="598"/>
      <c r="R352" s="598"/>
      <c r="S352" s="598"/>
      <c r="T352" s="599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39" t="s">
        <v>599</v>
      </c>
      <c r="AG352" s="75"/>
      <c r="AJ352" s="79" t="s">
        <v>46</v>
      </c>
      <c r="AK352" s="79">
        <v>0</v>
      </c>
      <c r="BB352" s="440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600</v>
      </c>
      <c r="B353" s="60" t="s">
        <v>601</v>
      </c>
      <c r="C353" s="34">
        <v>4301051818</v>
      </c>
      <c r="D353" s="596">
        <v>4607091387957</v>
      </c>
      <c r="E353" s="596"/>
      <c r="F353" s="59">
        <v>1.3</v>
      </c>
      <c r="G353" s="35">
        <v>6</v>
      </c>
      <c r="H353" s="59">
        <v>7.8</v>
      </c>
      <c r="I353" s="59">
        <v>8.2940000000000005</v>
      </c>
      <c r="J353" s="35">
        <v>64</v>
      </c>
      <c r="K353" s="35" t="s">
        <v>133</v>
      </c>
      <c r="L353" s="35" t="s">
        <v>46</v>
      </c>
      <c r="M353" s="36" t="s">
        <v>90</v>
      </c>
      <c r="N353" s="36"/>
      <c r="O353" s="35">
        <v>40</v>
      </c>
      <c r="P353" s="68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53" s="598"/>
      <c r="R353" s="598"/>
      <c r="S353" s="598"/>
      <c r="T353" s="599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1" t="s">
        <v>602</v>
      </c>
      <c r="AG353" s="75"/>
      <c r="AJ353" s="79" t="s">
        <v>46</v>
      </c>
      <c r="AK353" s="79">
        <v>0</v>
      </c>
      <c r="BB353" s="442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603</v>
      </c>
      <c r="B354" s="60" t="s">
        <v>604</v>
      </c>
      <c r="C354" s="34">
        <v>4301051819</v>
      </c>
      <c r="D354" s="596">
        <v>4607091387964</v>
      </c>
      <c r="E354" s="596"/>
      <c r="F354" s="59">
        <v>1.35</v>
      </c>
      <c r="G354" s="35">
        <v>6</v>
      </c>
      <c r="H354" s="59">
        <v>8.1</v>
      </c>
      <c r="I354" s="59">
        <v>8.5760000000000005</v>
      </c>
      <c r="J354" s="35">
        <v>64</v>
      </c>
      <c r="K354" s="35" t="s">
        <v>133</v>
      </c>
      <c r="L354" s="35" t="s">
        <v>46</v>
      </c>
      <c r="M354" s="36" t="s">
        <v>90</v>
      </c>
      <c r="N354" s="36"/>
      <c r="O354" s="35">
        <v>40</v>
      </c>
      <c r="P354" s="68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54" s="598"/>
      <c r="R354" s="598"/>
      <c r="S354" s="598"/>
      <c r="T354" s="599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3" t="s">
        <v>605</v>
      </c>
      <c r="AG354" s="75"/>
      <c r="AJ354" s="79" t="s">
        <v>46</v>
      </c>
      <c r="AK354" s="79">
        <v>0</v>
      </c>
      <c r="BB354" s="444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t="27" hidden="1" customHeight="1" x14ac:dyDescent="0.25">
      <c r="A355" s="60" t="s">
        <v>606</v>
      </c>
      <c r="B355" s="60" t="s">
        <v>607</v>
      </c>
      <c r="C355" s="34">
        <v>4301051734</v>
      </c>
      <c r="D355" s="596">
        <v>4680115884588</v>
      </c>
      <c r="E355" s="596"/>
      <c r="F355" s="59">
        <v>0.5</v>
      </c>
      <c r="G355" s="35">
        <v>6</v>
      </c>
      <c r="H355" s="59">
        <v>3</v>
      </c>
      <c r="I355" s="59">
        <v>3.246</v>
      </c>
      <c r="J355" s="35">
        <v>182</v>
      </c>
      <c r="K355" s="35" t="s">
        <v>91</v>
      </c>
      <c r="L355" s="35" t="s">
        <v>46</v>
      </c>
      <c r="M355" s="36" t="s">
        <v>90</v>
      </c>
      <c r="N355" s="36"/>
      <c r="O355" s="35">
        <v>40</v>
      </c>
      <c r="P355" s="6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55" s="598"/>
      <c r="R355" s="598"/>
      <c r="S355" s="598"/>
      <c r="T355" s="599"/>
      <c r="U355" s="37" t="s">
        <v>46</v>
      </c>
      <c r="V355" s="37" t="s">
        <v>46</v>
      </c>
      <c r="W355" s="38" t="s">
        <v>0</v>
      </c>
      <c r="X355" s="56">
        <v>0</v>
      </c>
      <c r="Y355" s="53">
        <f>IFERROR(IF(X355="",0,CEILING((X355/$H355),1)*$H355),"")</f>
        <v>0</v>
      </c>
      <c r="Z355" s="39" t="str">
        <f>IFERROR(IF(Y355=0,"",ROUNDUP(Y355/H355,0)*0.00651),"")</f>
        <v/>
      </c>
      <c r="AA355" s="65" t="s">
        <v>46</v>
      </c>
      <c r="AB355" s="66" t="s">
        <v>46</v>
      </c>
      <c r="AC355" s="445" t="s">
        <v>599</v>
      </c>
      <c r="AG355" s="75"/>
      <c r="AJ355" s="79" t="s">
        <v>46</v>
      </c>
      <c r="AK355" s="79">
        <v>0</v>
      </c>
      <c r="BB355" s="446" t="s">
        <v>67</v>
      </c>
      <c r="BM355" s="75">
        <f>IFERROR(X355*I355/H355,"0")</f>
        <v>0</v>
      </c>
      <c r="BN355" s="75">
        <f>IFERROR(Y355*I355/H355,"0")</f>
        <v>0</v>
      </c>
      <c r="BO355" s="75">
        <f>IFERROR(1/J355*(X355/H355),"0")</f>
        <v>0</v>
      </c>
      <c r="BP355" s="75">
        <f>IFERROR(1/J355*(Y355/H355),"0")</f>
        <v>0</v>
      </c>
    </row>
    <row r="356" spans="1:68" hidden="1" x14ac:dyDescent="0.2">
      <c r="A356" s="603"/>
      <c r="B356" s="603"/>
      <c r="C356" s="603"/>
      <c r="D356" s="603"/>
      <c r="E356" s="603"/>
      <c r="F356" s="603"/>
      <c r="G356" s="603"/>
      <c r="H356" s="603"/>
      <c r="I356" s="603"/>
      <c r="J356" s="603"/>
      <c r="K356" s="603"/>
      <c r="L356" s="603"/>
      <c r="M356" s="603"/>
      <c r="N356" s="603"/>
      <c r="O356" s="604"/>
      <c r="P356" s="600" t="s">
        <v>40</v>
      </c>
      <c r="Q356" s="601"/>
      <c r="R356" s="601"/>
      <c r="S356" s="601"/>
      <c r="T356" s="601"/>
      <c r="U356" s="601"/>
      <c r="V356" s="602"/>
      <c r="W356" s="40" t="s">
        <v>39</v>
      </c>
      <c r="X356" s="41">
        <f>IFERROR(X352/H352,"0")+IFERROR(X353/H353,"0")+IFERROR(X354/H354,"0")+IFERROR(X355/H355,"0")</f>
        <v>0</v>
      </c>
      <c r="Y356" s="41">
        <f>IFERROR(Y352/H352,"0")+IFERROR(Y353/H353,"0")+IFERROR(Y354/H354,"0")+IFERROR(Y355/H355,"0")</f>
        <v>0</v>
      </c>
      <c r="Z356" s="41">
        <f>IFERROR(IF(Z352="",0,Z352),"0")+IFERROR(IF(Z353="",0,Z353),"0")+IFERROR(IF(Z354="",0,Z354),"0")+IFERROR(IF(Z355="",0,Z355),"0")</f>
        <v>0</v>
      </c>
      <c r="AA356" s="64"/>
      <c r="AB356" s="64"/>
      <c r="AC356" s="64"/>
    </row>
    <row r="357" spans="1:68" hidden="1" x14ac:dyDescent="0.2">
      <c r="A357" s="603"/>
      <c r="B357" s="603"/>
      <c r="C357" s="603"/>
      <c r="D357" s="603"/>
      <c r="E357" s="603"/>
      <c r="F357" s="603"/>
      <c r="G357" s="603"/>
      <c r="H357" s="603"/>
      <c r="I357" s="603"/>
      <c r="J357" s="603"/>
      <c r="K357" s="603"/>
      <c r="L357" s="603"/>
      <c r="M357" s="603"/>
      <c r="N357" s="603"/>
      <c r="O357" s="604"/>
      <c r="P357" s="600" t="s">
        <v>40</v>
      </c>
      <c r="Q357" s="601"/>
      <c r="R357" s="601"/>
      <c r="S357" s="601"/>
      <c r="T357" s="601"/>
      <c r="U357" s="601"/>
      <c r="V357" s="602"/>
      <c r="W357" s="40" t="s">
        <v>0</v>
      </c>
      <c r="X357" s="41">
        <f>IFERROR(SUM(X352:X355),"0")</f>
        <v>0</v>
      </c>
      <c r="Y357" s="41">
        <f>IFERROR(SUM(Y352:Y355),"0")</f>
        <v>0</v>
      </c>
      <c r="Z357" s="40"/>
      <c r="AA357" s="64"/>
      <c r="AB357" s="64"/>
      <c r="AC357" s="64"/>
    </row>
    <row r="358" spans="1:68" ht="14.25" hidden="1" customHeight="1" x14ac:dyDescent="0.25">
      <c r="A358" s="595" t="s">
        <v>180</v>
      </c>
      <c r="B358" s="595"/>
      <c r="C358" s="595"/>
      <c r="D358" s="595"/>
      <c r="E358" s="595"/>
      <c r="F358" s="595"/>
      <c r="G358" s="595"/>
      <c r="H358" s="595"/>
      <c r="I358" s="595"/>
      <c r="J358" s="595"/>
      <c r="K358" s="595"/>
      <c r="L358" s="595"/>
      <c r="M358" s="595"/>
      <c r="N358" s="595"/>
      <c r="O358" s="595"/>
      <c r="P358" s="595"/>
      <c r="Q358" s="595"/>
      <c r="R358" s="595"/>
      <c r="S358" s="595"/>
      <c r="T358" s="595"/>
      <c r="U358" s="595"/>
      <c r="V358" s="595"/>
      <c r="W358" s="595"/>
      <c r="X358" s="595"/>
      <c r="Y358" s="595"/>
      <c r="Z358" s="595"/>
      <c r="AA358" s="63"/>
      <c r="AB358" s="63"/>
      <c r="AC358" s="63"/>
    </row>
    <row r="359" spans="1:68" ht="27" hidden="1" customHeight="1" x14ac:dyDescent="0.25">
      <c r="A359" s="60" t="s">
        <v>608</v>
      </c>
      <c r="B359" s="60" t="s">
        <v>609</v>
      </c>
      <c r="C359" s="34">
        <v>4301060387</v>
      </c>
      <c r="D359" s="596">
        <v>4607091380880</v>
      </c>
      <c r="E359" s="596"/>
      <c r="F359" s="59">
        <v>1.4</v>
      </c>
      <c r="G359" s="35">
        <v>6</v>
      </c>
      <c r="H359" s="59">
        <v>8.4</v>
      </c>
      <c r="I359" s="59">
        <v>8.8940000000000001</v>
      </c>
      <c r="J359" s="35">
        <v>64</v>
      </c>
      <c r="K359" s="35" t="s">
        <v>133</v>
      </c>
      <c r="L359" s="35" t="s">
        <v>46</v>
      </c>
      <c r="M359" s="36" t="s">
        <v>90</v>
      </c>
      <c r="N359" s="36"/>
      <c r="O359" s="35">
        <v>30</v>
      </c>
      <c r="P359" s="6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9" s="598"/>
      <c r="R359" s="598"/>
      <c r="S359" s="598"/>
      <c r="T359" s="599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47" t="s">
        <v>610</v>
      </c>
      <c r="AG359" s="75"/>
      <c r="AJ359" s="79" t="s">
        <v>46</v>
      </c>
      <c r="AK359" s="79">
        <v>0</v>
      </c>
      <c r="BB359" s="448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611</v>
      </c>
      <c r="B360" s="60" t="s">
        <v>612</v>
      </c>
      <c r="C360" s="34">
        <v>4301060406</v>
      </c>
      <c r="D360" s="596">
        <v>4607091384482</v>
      </c>
      <c r="E360" s="596"/>
      <c r="F360" s="59">
        <v>1.3</v>
      </c>
      <c r="G360" s="35">
        <v>6</v>
      </c>
      <c r="H360" s="59">
        <v>7.8</v>
      </c>
      <c r="I360" s="59">
        <v>8.2940000000000005</v>
      </c>
      <c r="J360" s="35">
        <v>64</v>
      </c>
      <c r="K360" s="35" t="s">
        <v>133</v>
      </c>
      <c r="L360" s="35" t="s">
        <v>46</v>
      </c>
      <c r="M360" s="36" t="s">
        <v>90</v>
      </c>
      <c r="N360" s="36"/>
      <c r="O360" s="35">
        <v>30</v>
      </c>
      <c r="P360" s="6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60" s="598"/>
      <c r="R360" s="598"/>
      <c r="S360" s="598"/>
      <c r="T360" s="599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49" t="s">
        <v>613</v>
      </c>
      <c r="AG360" s="75"/>
      <c r="AJ360" s="79" t="s">
        <v>46</v>
      </c>
      <c r="AK360" s="79">
        <v>0</v>
      </c>
      <c r="BB360" s="450" t="s">
        <v>67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16.5" hidden="1" customHeight="1" x14ac:dyDescent="0.25">
      <c r="A361" s="60" t="s">
        <v>614</v>
      </c>
      <c r="B361" s="60" t="s">
        <v>615</v>
      </c>
      <c r="C361" s="34">
        <v>4301060484</v>
      </c>
      <c r="D361" s="596">
        <v>4607091380897</v>
      </c>
      <c r="E361" s="596"/>
      <c r="F361" s="59">
        <v>1.4</v>
      </c>
      <c r="G361" s="35">
        <v>6</v>
      </c>
      <c r="H361" s="59">
        <v>8.4</v>
      </c>
      <c r="I361" s="59">
        <v>8.8940000000000001</v>
      </c>
      <c r="J361" s="35">
        <v>64</v>
      </c>
      <c r="K361" s="35" t="s">
        <v>133</v>
      </c>
      <c r="L361" s="35" t="s">
        <v>46</v>
      </c>
      <c r="M361" s="36" t="s">
        <v>97</v>
      </c>
      <c r="N361" s="36"/>
      <c r="O361" s="35">
        <v>30</v>
      </c>
      <c r="P361" s="68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61" s="598"/>
      <c r="R361" s="598"/>
      <c r="S361" s="598"/>
      <c r="T361" s="599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1" t="s">
        <v>616</v>
      </c>
      <c r="AG361" s="75"/>
      <c r="AJ361" s="79" t="s">
        <v>46</v>
      </c>
      <c r="AK361" s="79">
        <v>0</v>
      </c>
      <c r="BB361" s="452" t="s">
        <v>67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603"/>
      <c r="B362" s="603"/>
      <c r="C362" s="603"/>
      <c r="D362" s="603"/>
      <c r="E362" s="603"/>
      <c r="F362" s="603"/>
      <c r="G362" s="603"/>
      <c r="H362" s="603"/>
      <c r="I362" s="603"/>
      <c r="J362" s="603"/>
      <c r="K362" s="603"/>
      <c r="L362" s="603"/>
      <c r="M362" s="603"/>
      <c r="N362" s="603"/>
      <c r="O362" s="604"/>
      <c r="P362" s="600" t="s">
        <v>40</v>
      </c>
      <c r="Q362" s="601"/>
      <c r="R362" s="601"/>
      <c r="S362" s="601"/>
      <c r="T362" s="601"/>
      <c r="U362" s="601"/>
      <c r="V362" s="602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603"/>
      <c r="B363" s="603"/>
      <c r="C363" s="603"/>
      <c r="D363" s="603"/>
      <c r="E363" s="603"/>
      <c r="F363" s="603"/>
      <c r="G363" s="603"/>
      <c r="H363" s="603"/>
      <c r="I363" s="603"/>
      <c r="J363" s="603"/>
      <c r="K363" s="603"/>
      <c r="L363" s="603"/>
      <c r="M363" s="603"/>
      <c r="N363" s="603"/>
      <c r="O363" s="604"/>
      <c r="P363" s="600" t="s">
        <v>40</v>
      </c>
      <c r="Q363" s="601"/>
      <c r="R363" s="601"/>
      <c r="S363" s="601"/>
      <c r="T363" s="601"/>
      <c r="U363" s="601"/>
      <c r="V363" s="602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4.25" hidden="1" customHeight="1" x14ac:dyDescent="0.25">
      <c r="A364" s="595" t="s">
        <v>107</v>
      </c>
      <c r="B364" s="595"/>
      <c r="C364" s="595"/>
      <c r="D364" s="595"/>
      <c r="E364" s="595"/>
      <c r="F364" s="595"/>
      <c r="G364" s="595"/>
      <c r="H364" s="595"/>
      <c r="I364" s="595"/>
      <c r="J364" s="595"/>
      <c r="K364" s="595"/>
      <c r="L364" s="595"/>
      <c r="M364" s="595"/>
      <c r="N364" s="595"/>
      <c r="O364" s="595"/>
      <c r="P364" s="595"/>
      <c r="Q364" s="595"/>
      <c r="R364" s="595"/>
      <c r="S364" s="595"/>
      <c r="T364" s="595"/>
      <c r="U364" s="595"/>
      <c r="V364" s="595"/>
      <c r="W364" s="595"/>
      <c r="X364" s="595"/>
      <c r="Y364" s="595"/>
      <c r="Z364" s="595"/>
      <c r="AA364" s="63"/>
      <c r="AB364" s="63"/>
      <c r="AC364" s="63"/>
    </row>
    <row r="365" spans="1:68" ht="27" hidden="1" customHeight="1" x14ac:dyDescent="0.25">
      <c r="A365" s="60" t="s">
        <v>617</v>
      </c>
      <c r="B365" s="60" t="s">
        <v>618</v>
      </c>
      <c r="C365" s="34">
        <v>4301030235</v>
      </c>
      <c r="D365" s="596">
        <v>4607091388381</v>
      </c>
      <c r="E365" s="596"/>
      <c r="F365" s="59">
        <v>0.38</v>
      </c>
      <c r="G365" s="35">
        <v>8</v>
      </c>
      <c r="H365" s="59">
        <v>3.04</v>
      </c>
      <c r="I365" s="59">
        <v>3.31</v>
      </c>
      <c r="J365" s="35">
        <v>132</v>
      </c>
      <c r="K365" s="35" t="s">
        <v>140</v>
      </c>
      <c r="L365" s="35" t="s">
        <v>46</v>
      </c>
      <c r="M365" s="36" t="s">
        <v>112</v>
      </c>
      <c r="N365" s="36"/>
      <c r="O365" s="35">
        <v>180</v>
      </c>
      <c r="P365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65" s="598"/>
      <c r="R365" s="598"/>
      <c r="S365" s="598"/>
      <c r="T365" s="599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3" t="s">
        <v>619</v>
      </c>
      <c r="AG365" s="75"/>
      <c r="AJ365" s="79" t="s">
        <v>46</v>
      </c>
      <c r="AK365" s="79">
        <v>0</v>
      </c>
      <c r="BB365" s="454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620</v>
      </c>
      <c r="B366" s="60" t="s">
        <v>621</v>
      </c>
      <c r="C366" s="34">
        <v>4301030232</v>
      </c>
      <c r="D366" s="596">
        <v>4607091388374</v>
      </c>
      <c r="E366" s="596"/>
      <c r="F366" s="59">
        <v>0.38</v>
      </c>
      <c r="G366" s="35">
        <v>8</v>
      </c>
      <c r="H366" s="59">
        <v>3.04</v>
      </c>
      <c r="I366" s="59">
        <v>3.27</v>
      </c>
      <c r="J366" s="35">
        <v>132</v>
      </c>
      <c r="K366" s="35" t="s">
        <v>140</v>
      </c>
      <c r="L366" s="35" t="s">
        <v>46</v>
      </c>
      <c r="M366" s="36" t="s">
        <v>112</v>
      </c>
      <c r="N366" s="36"/>
      <c r="O366" s="35">
        <v>180</v>
      </c>
      <c r="P366" s="67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66" s="598"/>
      <c r="R366" s="598"/>
      <c r="S366" s="598"/>
      <c r="T366" s="599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5" t="s">
        <v>619</v>
      </c>
      <c r="AG366" s="75"/>
      <c r="AJ366" s="79" t="s">
        <v>46</v>
      </c>
      <c r="AK366" s="79">
        <v>0</v>
      </c>
      <c r="BB366" s="456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622</v>
      </c>
      <c r="B367" s="60" t="s">
        <v>623</v>
      </c>
      <c r="C367" s="34">
        <v>4301032015</v>
      </c>
      <c r="D367" s="596">
        <v>4607091383102</v>
      </c>
      <c r="E367" s="596"/>
      <c r="F367" s="59">
        <v>0.17</v>
      </c>
      <c r="G367" s="35">
        <v>15</v>
      </c>
      <c r="H367" s="59">
        <v>2.5499999999999998</v>
      </c>
      <c r="I367" s="59">
        <v>2.9550000000000001</v>
      </c>
      <c r="J367" s="35">
        <v>182</v>
      </c>
      <c r="K367" s="35" t="s">
        <v>91</v>
      </c>
      <c r="L367" s="35" t="s">
        <v>46</v>
      </c>
      <c r="M367" s="36" t="s">
        <v>112</v>
      </c>
      <c r="N367" s="36"/>
      <c r="O367" s="35">
        <v>180</v>
      </c>
      <c r="P367" s="6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67" s="598"/>
      <c r="R367" s="598"/>
      <c r="S367" s="598"/>
      <c r="T367" s="599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57" t="s">
        <v>619</v>
      </c>
      <c r="AG367" s="75"/>
      <c r="AJ367" s="79" t="s">
        <v>46</v>
      </c>
      <c r="AK367" s="79">
        <v>0</v>
      </c>
      <c r="BB367" s="458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624</v>
      </c>
      <c r="B368" s="60" t="s">
        <v>625</v>
      </c>
      <c r="C368" s="34">
        <v>4301030233</v>
      </c>
      <c r="D368" s="596">
        <v>4607091388404</v>
      </c>
      <c r="E368" s="596"/>
      <c r="F368" s="59">
        <v>0.17</v>
      </c>
      <c r="G368" s="35">
        <v>15</v>
      </c>
      <c r="H368" s="59">
        <v>2.5499999999999998</v>
      </c>
      <c r="I368" s="59">
        <v>2.88</v>
      </c>
      <c r="J368" s="35">
        <v>182</v>
      </c>
      <c r="K368" s="35" t="s">
        <v>91</v>
      </c>
      <c r="L368" s="35" t="s">
        <v>46</v>
      </c>
      <c r="M368" s="36" t="s">
        <v>112</v>
      </c>
      <c r="N368" s="36"/>
      <c r="O368" s="35">
        <v>180</v>
      </c>
      <c r="P368" s="6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8" s="598"/>
      <c r="R368" s="598"/>
      <c r="S368" s="598"/>
      <c r="T368" s="599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9" t="s">
        <v>619</v>
      </c>
      <c r="AG368" s="75"/>
      <c r="AJ368" s="79" t="s">
        <v>46</v>
      </c>
      <c r="AK368" s="79">
        <v>0</v>
      </c>
      <c r="BB368" s="460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idden="1" x14ac:dyDescent="0.2">
      <c r="A369" s="603"/>
      <c r="B369" s="603"/>
      <c r="C369" s="603"/>
      <c r="D369" s="603"/>
      <c r="E369" s="603"/>
      <c r="F369" s="603"/>
      <c r="G369" s="603"/>
      <c r="H369" s="603"/>
      <c r="I369" s="603"/>
      <c r="J369" s="603"/>
      <c r="K369" s="603"/>
      <c r="L369" s="603"/>
      <c r="M369" s="603"/>
      <c r="N369" s="603"/>
      <c r="O369" s="604"/>
      <c r="P369" s="600" t="s">
        <v>40</v>
      </c>
      <c r="Q369" s="601"/>
      <c r="R369" s="601"/>
      <c r="S369" s="601"/>
      <c r="T369" s="601"/>
      <c r="U369" s="601"/>
      <c r="V369" s="602"/>
      <c r="W369" s="40" t="s">
        <v>39</v>
      </c>
      <c r="X369" s="41">
        <f>IFERROR(X365/H365,"0")+IFERROR(X366/H366,"0")+IFERROR(X367/H367,"0")+IFERROR(X368/H368,"0")</f>
        <v>0</v>
      </c>
      <c r="Y369" s="41">
        <f>IFERROR(Y365/H365,"0")+IFERROR(Y366/H366,"0")+IFERROR(Y367/H367,"0")+IFERROR(Y368/H368,"0")</f>
        <v>0</v>
      </c>
      <c r="Z369" s="41">
        <f>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03"/>
      <c r="B370" s="603"/>
      <c r="C370" s="603"/>
      <c r="D370" s="603"/>
      <c r="E370" s="603"/>
      <c r="F370" s="603"/>
      <c r="G370" s="603"/>
      <c r="H370" s="603"/>
      <c r="I370" s="603"/>
      <c r="J370" s="603"/>
      <c r="K370" s="603"/>
      <c r="L370" s="603"/>
      <c r="M370" s="603"/>
      <c r="N370" s="603"/>
      <c r="O370" s="604"/>
      <c r="P370" s="600" t="s">
        <v>40</v>
      </c>
      <c r="Q370" s="601"/>
      <c r="R370" s="601"/>
      <c r="S370" s="601"/>
      <c r="T370" s="601"/>
      <c r="U370" s="601"/>
      <c r="V370" s="602"/>
      <c r="W370" s="40" t="s">
        <v>0</v>
      </c>
      <c r="X370" s="41">
        <f>IFERROR(SUM(X365:X368),"0")</f>
        <v>0</v>
      </c>
      <c r="Y370" s="41">
        <f>IFERROR(SUM(Y365:Y368),"0")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595" t="s">
        <v>626</v>
      </c>
      <c r="B371" s="595"/>
      <c r="C371" s="595"/>
      <c r="D371" s="595"/>
      <c r="E371" s="595"/>
      <c r="F371" s="595"/>
      <c r="G371" s="595"/>
      <c r="H371" s="595"/>
      <c r="I371" s="595"/>
      <c r="J371" s="595"/>
      <c r="K371" s="595"/>
      <c r="L371" s="595"/>
      <c r="M371" s="595"/>
      <c r="N371" s="595"/>
      <c r="O371" s="595"/>
      <c r="P371" s="595"/>
      <c r="Q371" s="595"/>
      <c r="R371" s="595"/>
      <c r="S371" s="595"/>
      <c r="T371" s="595"/>
      <c r="U371" s="595"/>
      <c r="V371" s="595"/>
      <c r="W371" s="595"/>
      <c r="X371" s="595"/>
      <c r="Y371" s="595"/>
      <c r="Z371" s="595"/>
      <c r="AA371" s="63"/>
      <c r="AB371" s="63"/>
      <c r="AC371" s="63"/>
    </row>
    <row r="372" spans="1:68" ht="16.5" hidden="1" customHeight="1" x14ac:dyDescent="0.25">
      <c r="A372" s="60" t="s">
        <v>627</v>
      </c>
      <c r="B372" s="60" t="s">
        <v>628</v>
      </c>
      <c r="C372" s="34">
        <v>4301180007</v>
      </c>
      <c r="D372" s="596">
        <v>4680115881808</v>
      </c>
      <c r="E372" s="596"/>
      <c r="F372" s="59">
        <v>0.1</v>
      </c>
      <c r="G372" s="35">
        <v>20</v>
      </c>
      <c r="H372" s="59">
        <v>2</v>
      </c>
      <c r="I372" s="59">
        <v>2.2400000000000002</v>
      </c>
      <c r="J372" s="35">
        <v>238</v>
      </c>
      <c r="K372" s="35" t="s">
        <v>91</v>
      </c>
      <c r="L372" s="35" t="s">
        <v>46</v>
      </c>
      <c r="M372" s="36" t="s">
        <v>630</v>
      </c>
      <c r="N372" s="36"/>
      <c r="O372" s="35">
        <v>731</v>
      </c>
      <c r="P372" s="67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72" s="598"/>
      <c r="R372" s="598"/>
      <c r="S372" s="598"/>
      <c r="T372" s="599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IFERROR(IF(Y372=0,"",ROUNDUP(Y372/H372,0)*0.00474),"")</f>
        <v/>
      </c>
      <c r="AA372" s="65" t="s">
        <v>46</v>
      </c>
      <c r="AB372" s="66" t="s">
        <v>46</v>
      </c>
      <c r="AC372" s="461" t="s">
        <v>629</v>
      </c>
      <c r="AG372" s="75"/>
      <c r="AJ372" s="79" t="s">
        <v>46</v>
      </c>
      <c r="AK372" s="79">
        <v>0</v>
      </c>
      <c r="BB372" s="462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631</v>
      </c>
      <c r="B373" s="60" t="s">
        <v>632</v>
      </c>
      <c r="C373" s="34">
        <v>4301180006</v>
      </c>
      <c r="D373" s="596">
        <v>4680115881822</v>
      </c>
      <c r="E373" s="596"/>
      <c r="F373" s="59">
        <v>0.1</v>
      </c>
      <c r="G373" s="35">
        <v>20</v>
      </c>
      <c r="H373" s="59">
        <v>2</v>
      </c>
      <c r="I373" s="59">
        <v>2.2400000000000002</v>
      </c>
      <c r="J373" s="35">
        <v>238</v>
      </c>
      <c r="K373" s="35" t="s">
        <v>91</v>
      </c>
      <c r="L373" s="35" t="s">
        <v>46</v>
      </c>
      <c r="M373" s="36" t="s">
        <v>630</v>
      </c>
      <c r="N373" s="36"/>
      <c r="O373" s="35">
        <v>731</v>
      </c>
      <c r="P373" s="67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73" s="598"/>
      <c r="R373" s="598"/>
      <c r="S373" s="598"/>
      <c r="T373" s="599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IFERROR(IF(Y373=0,"",ROUNDUP(Y373/H373,0)*0.00474),"")</f>
        <v/>
      </c>
      <c r="AA373" s="65" t="s">
        <v>46</v>
      </c>
      <c r="AB373" s="66" t="s">
        <v>46</v>
      </c>
      <c r="AC373" s="463" t="s">
        <v>629</v>
      </c>
      <c r="AG373" s="75"/>
      <c r="AJ373" s="79" t="s">
        <v>46</v>
      </c>
      <c r="AK373" s="79">
        <v>0</v>
      </c>
      <c r="BB373" s="464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633</v>
      </c>
      <c r="B374" s="60" t="s">
        <v>634</v>
      </c>
      <c r="C374" s="34">
        <v>4301180001</v>
      </c>
      <c r="D374" s="596">
        <v>4680115880016</v>
      </c>
      <c r="E374" s="596"/>
      <c r="F374" s="59">
        <v>0.1</v>
      </c>
      <c r="G374" s="35">
        <v>20</v>
      </c>
      <c r="H374" s="59">
        <v>2</v>
      </c>
      <c r="I374" s="59">
        <v>2.2400000000000002</v>
      </c>
      <c r="J374" s="35">
        <v>238</v>
      </c>
      <c r="K374" s="35" t="s">
        <v>91</v>
      </c>
      <c r="L374" s="35" t="s">
        <v>46</v>
      </c>
      <c r="M374" s="36" t="s">
        <v>630</v>
      </c>
      <c r="N374" s="36"/>
      <c r="O374" s="35">
        <v>731</v>
      </c>
      <c r="P374" s="67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74" s="598"/>
      <c r="R374" s="598"/>
      <c r="S374" s="598"/>
      <c r="T374" s="599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IFERROR(IF(Y374=0,"",ROUNDUP(Y374/H374,0)*0.00474),"")</f>
        <v/>
      </c>
      <c r="AA374" s="65" t="s">
        <v>46</v>
      </c>
      <c r="AB374" s="66" t="s">
        <v>46</v>
      </c>
      <c r="AC374" s="465" t="s">
        <v>629</v>
      </c>
      <c r="AG374" s="75"/>
      <c r="AJ374" s="79" t="s">
        <v>46</v>
      </c>
      <c r="AK374" s="79">
        <v>0</v>
      </c>
      <c r="BB374" s="466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idden="1" x14ac:dyDescent="0.2">
      <c r="A375" s="603"/>
      <c r="B375" s="603"/>
      <c r="C375" s="603"/>
      <c r="D375" s="603"/>
      <c r="E375" s="603"/>
      <c r="F375" s="603"/>
      <c r="G375" s="603"/>
      <c r="H375" s="603"/>
      <c r="I375" s="603"/>
      <c r="J375" s="603"/>
      <c r="K375" s="603"/>
      <c r="L375" s="603"/>
      <c r="M375" s="603"/>
      <c r="N375" s="603"/>
      <c r="O375" s="604"/>
      <c r="P375" s="600" t="s">
        <v>40</v>
      </c>
      <c r="Q375" s="601"/>
      <c r="R375" s="601"/>
      <c r="S375" s="601"/>
      <c r="T375" s="601"/>
      <c r="U375" s="601"/>
      <c r="V375" s="602"/>
      <c r="W375" s="40" t="s">
        <v>39</v>
      </c>
      <c r="X375" s="41">
        <f>IFERROR(X372/H372,"0")+IFERROR(X373/H373,"0")+IFERROR(X374/H374,"0")</f>
        <v>0</v>
      </c>
      <c r="Y375" s="41">
        <f>IFERROR(Y372/H372,"0")+IFERROR(Y373/H373,"0")+IFERROR(Y374/H374,"0")</f>
        <v>0</v>
      </c>
      <c r="Z375" s="41">
        <f>IFERROR(IF(Z372="",0,Z372),"0")+IFERROR(IF(Z373="",0,Z373),"0")+IFERROR(IF(Z374="",0,Z374),"0")</f>
        <v>0</v>
      </c>
      <c r="AA375" s="64"/>
      <c r="AB375" s="64"/>
      <c r="AC375" s="64"/>
    </row>
    <row r="376" spans="1:68" hidden="1" x14ac:dyDescent="0.2">
      <c r="A376" s="603"/>
      <c r="B376" s="603"/>
      <c r="C376" s="603"/>
      <c r="D376" s="603"/>
      <c r="E376" s="603"/>
      <c r="F376" s="603"/>
      <c r="G376" s="603"/>
      <c r="H376" s="603"/>
      <c r="I376" s="603"/>
      <c r="J376" s="603"/>
      <c r="K376" s="603"/>
      <c r="L376" s="603"/>
      <c r="M376" s="603"/>
      <c r="N376" s="603"/>
      <c r="O376" s="604"/>
      <c r="P376" s="600" t="s">
        <v>40</v>
      </c>
      <c r="Q376" s="601"/>
      <c r="R376" s="601"/>
      <c r="S376" s="601"/>
      <c r="T376" s="601"/>
      <c r="U376" s="601"/>
      <c r="V376" s="602"/>
      <c r="W376" s="40" t="s">
        <v>0</v>
      </c>
      <c r="X376" s="41">
        <f>IFERROR(SUM(X372:X374),"0")</f>
        <v>0</v>
      </c>
      <c r="Y376" s="41">
        <f>IFERROR(SUM(Y372:Y374),"0")</f>
        <v>0</v>
      </c>
      <c r="Z376" s="40"/>
      <c r="AA376" s="64"/>
      <c r="AB376" s="64"/>
      <c r="AC376" s="64"/>
    </row>
    <row r="377" spans="1:68" ht="16.5" hidden="1" customHeight="1" x14ac:dyDescent="0.25">
      <c r="A377" s="611" t="s">
        <v>635</v>
      </c>
      <c r="B377" s="611"/>
      <c r="C377" s="611"/>
      <c r="D377" s="611"/>
      <c r="E377" s="611"/>
      <c r="F377" s="611"/>
      <c r="G377" s="611"/>
      <c r="H377" s="611"/>
      <c r="I377" s="611"/>
      <c r="J377" s="611"/>
      <c r="K377" s="611"/>
      <c r="L377" s="611"/>
      <c r="M377" s="611"/>
      <c r="N377" s="611"/>
      <c r="O377" s="611"/>
      <c r="P377" s="611"/>
      <c r="Q377" s="611"/>
      <c r="R377" s="611"/>
      <c r="S377" s="611"/>
      <c r="T377" s="611"/>
      <c r="U377" s="611"/>
      <c r="V377" s="611"/>
      <c r="W377" s="611"/>
      <c r="X377" s="611"/>
      <c r="Y377" s="611"/>
      <c r="Z377" s="611"/>
      <c r="AA377" s="62"/>
      <c r="AB377" s="62"/>
      <c r="AC377" s="62"/>
    </row>
    <row r="378" spans="1:68" ht="14.25" hidden="1" customHeight="1" x14ac:dyDescent="0.25">
      <c r="A378" s="595" t="s">
        <v>86</v>
      </c>
      <c r="B378" s="595"/>
      <c r="C378" s="595"/>
      <c r="D378" s="595"/>
      <c r="E378" s="595"/>
      <c r="F378" s="595"/>
      <c r="G378" s="595"/>
      <c r="H378" s="595"/>
      <c r="I378" s="595"/>
      <c r="J378" s="595"/>
      <c r="K378" s="595"/>
      <c r="L378" s="595"/>
      <c r="M378" s="595"/>
      <c r="N378" s="595"/>
      <c r="O378" s="595"/>
      <c r="P378" s="595"/>
      <c r="Q378" s="595"/>
      <c r="R378" s="595"/>
      <c r="S378" s="595"/>
      <c r="T378" s="595"/>
      <c r="U378" s="595"/>
      <c r="V378" s="595"/>
      <c r="W378" s="595"/>
      <c r="X378" s="595"/>
      <c r="Y378" s="595"/>
      <c r="Z378" s="595"/>
      <c r="AA378" s="63"/>
      <c r="AB378" s="63"/>
      <c r="AC378" s="63"/>
    </row>
    <row r="379" spans="1:68" ht="27" hidden="1" customHeight="1" x14ac:dyDescent="0.25">
      <c r="A379" s="60" t="s">
        <v>636</v>
      </c>
      <c r="B379" s="60" t="s">
        <v>637</v>
      </c>
      <c r="C379" s="34">
        <v>4301051489</v>
      </c>
      <c r="D379" s="596">
        <v>4607091387919</v>
      </c>
      <c r="E379" s="596"/>
      <c r="F379" s="59">
        <v>1.35</v>
      </c>
      <c r="G379" s="35">
        <v>6</v>
      </c>
      <c r="H379" s="59">
        <v>8.1</v>
      </c>
      <c r="I379" s="59">
        <v>8.5939999999999994</v>
      </c>
      <c r="J379" s="35">
        <v>64</v>
      </c>
      <c r="K379" s="35" t="s">
        <v>133</v>
      </c>
      <c r="L379" s="35" t="s">
        <v>46</v>
      </c>
      <c r="M379" s="36" t="s">
        <v>97</v>
      </c>
      <c r="N379" s="36"/>
      <c r="O379" s="35">
        <v>45</v>
      </c>
      <c r="P379" s="67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9" s="598"/>
      <c r="R379" s="598"/>
      <c r="S379" s="598"/>
      <c r="T379" s="599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67" t="s">
        <v>638</v>
      </c>
      <c r="AG379" s="75"/>
      <c r="AJ379" s="79" t="s">
        <v>46</v>
      </c>
      <c r="AK379" s="79">
        <v>0</v>
      </c>
      <c r="BB379" s="468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639</v>
      </c>
      <c r="B380" s="60" t="s">
        <v>640</v>
      </c>
      <c r="C380" s="34">
        <v>4301051461</v>
      </c>
      <c r="D380" s="596">
        <v>4680115883604</v>
      </c>
      <c r="E380" s="596"/>
      <c r="F380" s="59">
        <v>0.35</v>
      </c>
      <c r="G380" s="35">
        <v>6</v>
      </c>
      <c r="H380" s="59">
        <v>2.1</v>
      </c>
      <c r="I380" s="59">
        <v>2.3519999999999999</v>
      </c>
      <c r="J380" s="35">
        <v>182</v>
      </c>
      <c r="K380" s="35" t="s">
        <v>91</v>
      </c>
      <c r="L380" s="35" t="s">
        <v>46</v>
      </c>
      <c r="M380" s="36" t="s">
        <v>90</v>
      </c>
      <c r="N380" s="36"/>
      <c r="O380" s="35">
        <v>45</v>
      </c>
      <c r="P380" s="66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80" s="598"/>
      <c r="R380" s="598"/>
      <c r="S380" s="598"/>
      <c r="T380" s="599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9" t="s">
        <v>641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642</v>
      </c>
      <c r="B381" s="60" t="s">
        <v>643</v>
      </c>
      <c r="C381" s="34">
        <v>4301051864</v>
      </c>
      <c r="D381" s="596">
        <v>4680115883567</v>
      </c>
      <c r="E381" s="596"/>
      <c r="F381" s="59">
        <v>0.35</v>
      </c>
      <c r="G381" s="35">
        <v>6</v>
      </c>
      <c r="H381" s="59">
        <v>2.1</v>
      </c>
      <c r="I381" s="59">
        <v>2.34</v>
      </c>
      <c r="J381" s="35">
        <v>182</v>
      </c>
      <c r="K381" s="35" t="s">
        <v>91</v>
      </c>
      <c r="L381" s="35" t="s">
        <v>46</v>
      </c>
      <c r="M381" s="36" t="s">
        <v>97</v>
      </c>
      <c r="N381" s="36"/>
      <c r="O381" s="35">
        <v>40</v>
      </c>
      <c r="P381" s="6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81" s="598"/>
      <c r="R381" s="598"/>
      <c r="S381" s="598"/>
      <c r="T381" s="599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71" t="s">
        <v>644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idden="1" x14ac:dyDescent="0.2">
      <c r="A382" s="603"/>
      <c r="B382" s="603"/>
      <c r="C382" s="603"/>
      <c r="D382" s="603"/>
      <c r="E382" s="603"/>
      <c r="F382" s="603"/>
      <c r="G382" s="603"/>
      <c r="H382" s="603"/>
      <c r="I382" s="603"/>
      <c r="J382" s="603"/>
      <c r="K382" s="603"/>
      <c r="L382" s="603"/>
      <c r="M382" s="603"/>
      <c r="N382" s="603"/>
      <c r="O382" s="604"/>
      <c r="P382" s="600" t="s">
        <v>40</v>
      </c>
      <c r="Q382" s="601"/>
      <c r="R382" s="601"/>
      <c r="S382" s="601"/>
      <c r="T382" s="601"/>
      <c r="U382" s="601"/>
      <c r="V382" s="602"/>
      <c r="W382" s="40" t="s">
        <v>39</v>
      </c>
      <c r="X382" s="41">
        <f>IFERROR(X379/H379,"0")+IFERROR(X380/H380,"0")+IFERROR(X381/H381,"0")</f>
        <v>0</v>
      </c>
      <c r="Y382" s="41">
        <f>IFERROR(Y379/H379,"0")+IFERROR(Y380/H380,"0")+IFERROR(Y381/H381,"0")</f>
        <v>0</v>
      </c>
      <c r="Z382" s="41">
        <f>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03"/>
      <c r="B383" s="603"/>
      <c r="C383" s="603"/>
      <c r="D383" s="603"/>
      <c r="E383" s="603"/>
      <c r="F383" s="603"/>
      <c r="G383" s="603"/>
      <c r="H383" s="603"/>
      <c r="I383" s="603"/>
      <c r="J383" s="603"/>
      <c r="K383" s="603"/>
      <c r="L383" s="603"/>
      <c r="M383" s="603"/>
      <c r="N383" s="603"/>
      <c r="O383" s="604"/>
      <c r="P383" s="600" t="s">
        <v>40</v>
      </c>
      <c r="Q383" s="601"/>
      <c r="R383" s="601"/>
      <c r="S383" s="601"/>
      <c r="T383" s="601"/>
      <c r="U383" s="601"/>
      <c r="V383" s="602"/>
      <c r="W383" s="40" t="s">
        <v>0</v>
      </c>
      <c r="X383" s="41">
        <f>IFERROR(SUM(X379:X381),"0")</f>
        <v>0</v>
      </c>
      <c r="Y383" s="41">
        <f>IFERROR(SUM(Y379:Y381),"0")</f>
        <v>0</v>
      </c>
      <c r="Z383" s="40"/>
      <c r="AA383" s="64"/>
      <c r="AB383" s="64"/>
      <c r="AC383" s="64"/>
    </row>
    <row r="384" spans="1:68" ht="27.75" hidden="1" customHeight="1" x14ac:dyDescent="0.2">
      <c r="A384" s="616" t="s">
        <v>645</v>
      </c>
      <c r="B384" s="616"/>
      <c r="C384" s="616"/>
      <c r="D384" s="616"/>
      <c r="E384" s="616"/>
      <c r="F384" s="616"/>
      <c r="G384" s="616"/>
      <c r="H384" s="616"/>
      <c r="I384" s="616"/>
      <c r="J384" s="616"/>
      <c r="K384" s="616"/>
      <c r="L384" s="616"/>
      <c r="M384" s="616"/>
      <c r="N384" s="616"/>
      <c r="O384" s="616"/>
      <c r="P384" s="616"/>
      <c r="Q384" s="616"/>
      <c r="R384" s="616"/>
      <c r="S384" s="616"/>
      <c r="T384" s="616"/>
      <c r="U384" s="616"/>
      <c r="V384" s="616"/>
      <c r="W384" s="616"/>
      <c r="X384" s="616"/>
      <c r="Y384" s="616"/>
      <c r="Z384" s="616"/>
      <c r="AA384" s="52"/>
      <c r="AB384" s="52"/>
      <c r="AC384" s="52"/>
    </row>
    <row r="385" spans="1:68" ht="16.5" hidden="1" customHeight="1" x14ac:dyDescent="0.25">
      <c r="A385" s="611" t="s">
        <v>646</v>
      </c>
      <c r="B385" s="611"/>
      <c r="C385" s="611"/>
      <c r="D385" s="611"/>
      <c r="E385" s="611"/>
      <c r="F385" s="611"/>
      <c r="G385" s="611"/>
      <c r="H385" s="611"/>
      <c r="I385" s="611"/>
      <c r="J385" s="611"/>
      <c r="K385" s="611"/>
      <c r="L385" s="611"/>
      <c r="M385" s="611"/>
      <c r="N385" s="611"/>
      <c r="O385" s="611"/>
      <c r="P385" s="611"/>
      <c r="Q385" s="611"/>
      <c r="R385" s="611"/>
      <c r="S385" s="611"/>
      <c r="T385" s="611"/>
      <c r="U385" s="611"/>
      <c r="V385" s="611"/>
      <c r="W385" s="611"/>
      <c r="X385" s="611"/>
      <c r="Y385" s="611"/>
      <c r="Z385" s="611"/>
      <c r="AA385" s="62"/>
      <c r="AB385" s="62"/>
      <c r="AC385" s="62"/>
    </row>
    <row r="386" spans="1:68" ht="14.25" hidden="1" customHeight="1" x14ac:dyDescent="0.25">
      <c r="A386" s="595" t="s">
        <v>128</v>
      </c>
      <c r="B386" s="595"/>
      <c r="C386" s="595"/>
      <c r="D386" s="595"/>
      <c r="E386" s="595"/>
      <c r="F386" s="595"/>
      <c r="G386" s="595"/>
      <c r="H386" s="595"/>
      <c r="I386" s="595"/>
      <c r="J386" s="595"/>
      <c r="K386" s="595"/>
      <c r="L386" s="595"/>
      <c r="M386" s="595"/>
      <c r="N386" s="595"/>
      <c r="O386" s="595"/>
      <c r="P386" s="595"/>
      <c r="Q386" s="595"/>
      <c r="R386" s="595"/>
      <c r="S386" s="595"/>
      <c r="T386" s="595"/>
      <c r="U386" s="595"/>
      <c r="V386" s="595"/>
      <c r="W386" s="595"/>
      <c r="X386" s="595"/>
      <c r="Y386" s="595"/>
      <c r="Z386" s="595"/>
      <c r="AA386" s="63"/>
      <c r="AB386" s="63"/>
      <c r="AC386" s="63"/>
    </row>
    <row r="387" spans="1:68" ht="27" hidden="1" customHeight="1" x14ac:dyDescent="0.25">
      <c r="A387" s="60" t="s">
        <v>647</v>
      </c>
      <c r="B387" s="60" t="s">
        <v>648</v>
      </c>
      <c r="C387" s="34">
        <v>4301012332</v>
      </c>
      <c r="D387" s="596">
        <v>4680115888401</v>
      </c>
      <c r="E387" s="596"/>
      <c r="F387" s="59">
        <v>2.5</v>
      </c>
      <c r="G387" s="35">
        <v>6</v>
      </c>
      <c r="H387" s="59">
        <v>15</v>
      </c>
      <c r="I387" s="59">
        <v>15.47</v>
      </c>
      <c r="J387" s="35">
        <v>48</v>
      </c>
      <c r="K387" s="35" t="s">
        <v>133</v>
      </c>
      <c r="L387" s="35" t="s">
        <v>46</v>
      </c>
      <c r="M387" s="36" t="s">
        <v>97</v>
      </c>
      <c r="N387" s="36"/>
      <c r="O387" s="35">
        <v>60</v>
      </c>
      <c r="P387" s="66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87" s="598"/>
      <c r="R387" s="598"/>
      <c r="S387" s="598"/>
      <c r="T387" s="599"/>
      <c r="U387" s="37" t="s">
        <v>46</v>
      </c>
      <c r="V387" s="37" t="s">
        <v>46</v>
      </c>
      <c r="W387" s="38" t="s">
        <v>0</v>
      </c>
      <c r="X387" s="56">
        <v>0</v>
      </c>
      <c r="Y387" s="53">
        <f t="shared" ref="Y387:Y394" si="57">IFERROR(IF(X387="",0,CEILING((X387/$H387),1)*$H387),"")</f>
        <v>0</v>
      </c>
      <c r="Z387" s="39" t="str">
        <f>IFERROR(IF(Y387=0,"",ROUNDUP(Y387/H387,0)*0.02175),"")</f>
        <v/>
      </c>
      <c r="AA387" s="65" t="s">
        <v>46</v>
      </c>
      <c r="AB387" s="66" t="s">
        <v>46</v>
      </c>
      <c r="AC387" s="473" t="s">
        <v>649</v>
      </c>
      <c r="AG387" s="75"/>
      <c r="AJ387" s="79" t="s">
        <v>46</v>
      </c>
      <c r="AK387" s="79">
        <v>0</v>
      </c>
      <c r="BB387" s="474" t="s">
        <v>67</v>
      </c>
      <c r="BM387" s="75">
        <f t="shared" ref="BM387:BM394" si="58">IFERROR(X387*I387/H387,"0")</f>
        <v>0</v>
      </c>
      <c r="BN387" s="75">
        <f t="shared" ref="BN387:BN394" si="59">IFERROR(Y387*I387/H387,"0")</f>
        <v>0</v>
      </c>
      <c r="BO387" s="75">
        <f t="shared" ref="BO387:BO394" si="60">IFERROR(1/J387*(X387/H387),"0")</f>
        <v>0</v>
      </c>
      <c r="BP387" s="75">
        <f t="shared" ref="BP387:BP394" si="61">IFERROR(1/J387*(Y387/H387),"0")</f>
        <v>0</v>
      </c>
    </row>
    <row r="388" spans="1:68" ht="37.5" hidden="1" customHeight="1" x14ac:dyDescent="0.25">
      <c r="A388" s="60" t="s">
        <v>650</v>
      </c>
      <c r="B388" s="60" t="s">
        <v>651</v>
      </c>
      <c r="C388" s="34">
        <v>4301011869</v>
      </c>
      <c r="D388" s="596">
        <v>4680115884847</v>
      </c>
      <c r="E388" s="596"/>
      <c r="F388" s="59">
        <v>2.5</v>
      </c>
      <c r="G388" s="35">
        <v>6</v>
      </c>
      <c r="H388" s="59">
        <v>15</v>
      </c>
      <c r="I388" s="59">
        <v>15.47</v>
      </c>
      <c r="J388" s="35">
        <v>48</v>
      </c>
      <c r="K388" s="35" t="s">
        <v>133</v>
      </c>
      <c r="L388" s="35" t="s">
        <v>46</v>
      </c>
      <c r="M388" s="36" t="s">
        <v>81</v>
      </c>
      <c r="N388" s="36"/>
      <c r="O388" s="35">
        <v>60</v>
      </c>
      <c r="P388" s="66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8" s="598"/>
      <c r="R388" s="598"/>
      <c r="S388" s="598"/>
      <c r="T388" s="599"/>
      <c r="U388" s="37" t="s">
        <v>46</v>
      </c>
      <c r="V388" s="37" t="s">
        <v>46</v>
      </c>
      <c r="W388" s="38" t="s">
        <v>0</v>
      </c>
      <c r="X388" s="56">
        <v>0</v>
      </c>
      <c r="Y388" s="53">
        <f t="shared" si="57"/>
        <v>0</v>
      </c>
      <c r="Z388" s="39" t="str">
        <f>IFERROR(IF(Y388=0,"",ROUNDUP(Y388/H388,0)*0.02175),"")</f>
        <v/>
      </c>
      <c r="AA388" s="65" t="s">
        <v>46</v>
      </c>
      <c r="AB388" s="66" t="s">
        <v>46</v>
      </c>
      <c r="AC388" s="475" t="s">
        <v>652</v>
      </c>
      <c r="AG388" s="75"/>
      <c r="AJ388" s="79" t="s">
        <v>46</v>
      </c>
      <c r="AK388" s="79">
        <v>0</v>
      </c>
      <c r="BB388" s="476" t="s">
        <v>67</v>
      </c>
      <c r="BM388" s="75">
        <f t="shared" si="58"/>
        <v>0</v>
      </c>
      <c r="BN388" s="75">
        <f t="shared" si="59"/>
        <v>0</v>
      </c>
      <c r="BO388" s="75">
        <f t="shared" si="60"/>
        <v>0</v>
      </c>
      <c r="BP388" s="75">
        <f t="shared" si="61"/>
        <v>0</v>
      </c>
    </row>
    <row r="389" spans="1:68" ht="27" hidden="1" customHeight="1" x14ac:dyDescent="0.25">
      <c r="A389" s="60" t="s">
        <v>653</v>
      </c>
      <c r="B389" s="60" t="s">
        <v>654</v>
      </c>
      <c r="C389" s="34">
        <v>4301012083</v>
      </c>
      <c r="D389" s="596">
        <v>4680115884854</v>
      </c>
      <c r="E389" s="596"/>
      <c r="F389" s="59">
        <v>2.5</v>
      </c>
      <c r="G389" s="35">
        <v>6</v>
      </c>
      <c r="H389" s="59">
        <v>15</v>
      </c>
      <c r="I389" s="59">
        <v>15.47</v>
      </c>
      <c r="J389" s="35">
        <v>48</v>
      </c>
      <c r="K389" s="35" t="s">
        <v>133</v>
      </c>
      <c r="L389" s="35" t="s">
        <v>46</v>
      </c>
      <c r="M389" s="36" t="s">
        <v>132</v>
      </c>
      <c r="N389" s="36"/>
      <c r="O389" s="35">
        <v>60</v>
      </c>
      <c r="P389" s="66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9" s="598"/>
      <c r="R389" s="598"/>
      <c r="S389" s="598"/>
      <c r="T389" s="599"/>
      <c r="U389" s="37" t="s">
        <v>46</v>
      </c>
      <c r="V389" s="37" t="s">
        <v>46</v>
      </c>
      <c r="W389" s="38" t="s">
        <v>0</v>
      </c>
      <c r="X389" s="56">
        <v>0</v>
      </c>
      <c r="Y389" s="53">
        <f t="shared" si="57"/>
        <v>0</v>
      </c>
      <c r="Z389" s="39" t="str">
        <f>IFERROR(IF(Y389=0,"",ROUNDUP(Y389/H389,0)*0.02175),"")</f>
        <v/>
      </c>
      <c r="AA389" s="65" t="s">
        <v>46</v>
      </c>
      <c r="AB389" s="66" t="s">
        <v>46</v>
      </c>
      <c r="AC389" s="477" t="s">
        <v>655</v>
      </c>
      <c r="AG389" s="75"/>
      <c r="AJ389" s="79" t="s">
        <v>46</v>
      </c>
      <c r="AK389" s="79">
        <v>0</v>
      </c>
      <c r="BB389" s="478" t="s">
        <v>67</v>
      </c>
      <c r="BM389" s="75">
        <f t="shared" si="58"/>
        <v>0</v>
      </c>
      <c r="BN389" s="75">
        <f t="shared" si="59"/>
        <v>0</v>
      </c>
      <c r="BO389" s="75">
        <f t="shared" si="60"/>
        <v>0</v>
      </c>
      <c r="BP389" s="75">
        <f t="shared" si="61"/>
        <v>0</v>
      </c>
    </row>
    <row r="390" spans="1:68" ht="27" hidden="1" customHeight="1" x14ac:dyDescent="0.25">
      <c r="A390" s="60" t="s">
        <v>656</v>
      </c>
      <c r="B390" s="60" t="s">
        <v>657</v>
      </c>
      <c r="C390" s="34">
        <v>4301011867</v>
      </c>
      <c r="D390" s="596">
        <v>4680115884830</v>
      </c>
      <c r="E390" s="596"/>
      <c r="F390" s="59">
        <v>2.5</v>
      </c>
      <c r="G390" s="35">
        <v>6</v>
      </c>
      <c r="H390" s="59">
        <v>15</v>
      </c>
      <c r="I390" s="59">
        <v>15.47</v>
      </c>
      <c r="J390" s="35">
        <v>48</v>
      </c>
      <c r="K390" s="35" t="s">
        <v>133</v>
      </c>
      <c r="L390" s="35" t="s">
        <v>46</v>
      </c>
      <c r="M390" s="36" t="s">
        <v>81</v>
      </c>
      <c r="N390" s="36"/>
      <c r="O390" s="35">
        <v>60</v>
      </c>
      <c r="P390" s="66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90" s="598"/>
      <c r="R390" s="598"/>
      <c r="S390" s="598"/>
      <c r="T390" s="599"/>
      <c r="U390" s="37" t="s">
        <v>46</v>
      </c>
      <c r="V390" s="37" t="s">
        <v>46</v>
      </c>
      <c r="W390" s="38" t="s">
        <v>0</v>
      </c>
      <c r="X390" s="56">
        <v>0</v>
      </c>
      <c r="Y390" s="53">
        <f t="shared" si="57"/>
        <v>0</v>
      </c>
      <c r="Z390" s="39" t="str">
        <f>IFERROR(IF(Y390=0,"",ROUNDUP(Y390/H390,0)*0.02175),"")</f>
        <v/>
      </c>
      <c r="AA390" s="65" t="s">
        <v>46</v>
      </c>
      <c r="AB390" s="66" t="s">
        <v>46</v>
      </c>
      <c r="AC390" s="479" t="s">
        <v>658</v>
      </c>
      <c r="AG390" s="75"/>
      <c r="AJ390" s="79" t="s">
        <v>46</v>
      </c>
      <c r="AK390" s="79">
        <v>0</v>
      </c>
      <c r="BB390" s="480" t="s">
        <v>67</v>
      </c>
      <c r="BM390" s="75">
        <f t="shared" si="58"/>
        <v>0</v>
      </c>
      <c r="BN390" s="75">
        <f t="shared" si="59"/>
        <v>0</v>
      </c>
      <c r="BO390" s="75">
        <f t="shared" si="60"/>
        <v>0</v>
      </c>
      <c r="BP390" s="75">
        <f t="shared" si="61"/>
        <v>0</v>
      </c>
    </row>
    <row r="391" spans="1:68" ht="27" hidden="1" customHeight="1" x14ac:dyDescent="0.25">
      <c r="A391" s="60" t="s">
        <v>659</v>
      </c>
      <c r="B391" s="60" t="s">
        <v>660</v>
      </c>
      <c r="C391" s="34">
        <v>4301012356</v>
      </c>
      <c r="D391" s="596">
        <v>4680115889231</v>
      </c>
      <c r="E391" s="596"/>
      <c r="F391" s="59">
        <v>2.5</v>
      </c>
      <c r="G391" s="35">
        <v>6</v>
      </c>
      <c r="H391" s="59">
        <v>15</v>
      </c>
      <c r="I391" s="59">
        <v>15.47</v>
      </c>
      <c r="J391" s="35">
        <v>48</v>
      </c>
      <c r="K391" s="35" t="s">
        <v>133</v>
      </c>
      <c r="L391" s="35" t="s">
        <v>46</v>
      </c>
      <c r="M391" s="36" t="s">
        <v>97</v>
      </c>
      <c r="N391" s="36"/>
      <c r="O391" s="35">
        <v>60</v>
      </c>
      <c r="P391" s="6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391" s="598"/>
      <c r="R391" s="598"/>
      <c r="S391" s="598"/>
      <c r="T391" s="599"/>
      <c r="U391" s="37" t="s">
        <v>46</v>
      </c>
      <c r="V391" s="37" t="s">
        <v>46</v>
      </c>
      <c r="W391" s="38" t="s">
        <v>0</v>
      </c>
      <c r="X391" s="56">
        <v>0</v>
      </c>
      <c r="Y391" s="53">
        <f t="shared" si="57"/>
        <v>0</v>
      </c>
      <c r="Z391" s="39" t="str">
        <f>IFERROR(IF(Y391=0,"",ROUNDUP(Y391/H391,0)*0.02175),"")</f>
        <v/>
      </c>
      <c r="AA391" s="65" t="s">
        <v>46</v>
      </c>
      <c r="AB391" s="66" t="s">
        <v>46</v>
      </c>
      <c r="AC391" s="481" t="s">
        <v>661</v>
      </c>
      <c r="AG391" s="75"/>
      <c r="AJ391" s="79" t="s">
        <v>46</v>
      </c>
      <c r="AK391" s="79">
        <v>0</v>
      </c>
      <c r="BB391" s="482" t="s">
        <v>67</v>
      </c>
      <c r="BM391" s="75">
        <f t="shared" si="58"/>
        <v>0</v>
      </c>
      <c r="BN391" s="75">
        <f t="shared" si="59"/>
        <v>0</v>
      </c>
      <c r="BO391" s="75">
        <f t="shared" si="60"/>
        <v>0</v>
      </c>
      <c r="BP391" s="75">
        <f t="shared" si="61"/>
        <v>0</v>
      </c>
    </row>
    <row r="392" spans="1:68" ht="27" hidden="1" customHeight="1" x14ac:dyDescent="0.25">
      <c r="A392" s="60" t="s">
        <v>662</v>
      </c>
      <c r="B392" s="60" t="s">
        <v>663</v>
      </c>
      <c r="C392" s="34">
        <v>4301011433</v>
      </c>
      <c r="D392" s="596">
        <v>4680115882638</v>
      </c>
      <c r="E392" s="596"/>
      <c r="F392" s="59">
        <v>0.4</v>
      </c>
      <c r="G392" s="35">
        <v>10</v>
      </c>
      <c r="H392" s="59">
        <v>4</v>
      </c>
      <c r="I392" s="59">
        <v>4.1900000000000004</v>
      </c>
      <c r="J392" s="35">
        <v>132</v>
      </c>
      <c r="K392" s="35" t="s">
        <v>140</v>
      </c>
      <c r="L392" s="35" t="s">
        <v>46</v>
      </c>
      <c r="M392" s="36" t="s">
        <v>132</v>
      </c>
      <c r="N392" s="36"/>
      <c r="O392" s="35">
        <v>90</v>
      </c>
      <c r="P392" s="6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2" s="598"/>
      <c r="R392" s="598"/>
      <c r="S392" s="598"/>
      <c r="T392" s="599"/>
      <c r="U392" s="37" t="s">
        <v>46</v>
      </c>
      <c r="V392" s="37" t="s">
        <v>46</v>
      </c>
      <c r="W392" s="38" t="s">
        <v>0</v>
      </c>
      <c r="X392" s="56">
        <v>0</v>
      </c>
      <c r="Y392" s="53">
        <f t="shared" si="57"/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83" t="s">
        <v>664</v>
      </c>
      <c r="AG392" s="75"/>
      <c r="AJ392" s="79" t="s">
        <v>46</v>
      </c>
      <c r="AK392" s="79">
        <v>0</v>
      </c>
      <c r="BB392" s="484" t="s">
        <v>67</v>
      </c>
      <c r="BM392" s="75">
        <f t="shared" si="58"/>
        <v>0</v>
      </c>
      <c r="BN392" s="75">
        <f t="shared" si="59"/>
        <v>0</v>
      </c>
      <c r="BO392" s="75">
        <f t="shared" si="60"/>
        <v>0</v>
      </c>
      <c r="BP392" s="75">
        <f t="shared" si="61"/>
        <v>0</v>
      </c>
    </row>
    <row r="393" spans="1:68" ht="27" hidden="1" customHeight="1" x14ac:dyDescent="0.25">
      <c r="A393" s="60" t="s">
        <v>665</v>
      </c>
      <c r="B393" s="60" t="s">
        <v>666</v>
      </c>
      <c r="C393" s="34">
        <v>4301011952</v>
      </c>
      <c r="D393" s="596">
        <v>4680115884922</v>
      </c>
      <c r="E393" s="596"/>
      <c r="F393" s="59">
        <v>0.5</v>
      </c>
      <c r="G393" s="35">
        <v>10</v>
      </c>
      <c r="H393" s="59">
        <v>5</v>
      </c>
      <c r="I393" s="59">
        <v>5.19</v>
      </c>
      <c r="J393" s="35">
        <v>132</v>
      </c>
      <c r="K393" s="35" t="s">
        <v>140</v>
      </c>
      <c r="L393" s="35" t="s">
        <v>46</v>
      </c>
      <c r="M393" s="36" t="s">
        <v>81</v>
      </c>
      <c r="N393" s="36"/>
      <c r="O393" s="35">
        <v>60</v>
      </c>
      <c r="P393" s="6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3" s="598"/>
      <c r="R393" s="598"/>
      <c r="S393" s="598"/>
      <c r="T393" s="599"/>
      <c r="U393" s="37" t="s">
        <v>46</v>
      </c>
      <c r="V393" s="37" t="s">
        <v>46</v>
      </c>
      <c r="W393" s="38" t="s">
        <v>0</v>
      </c>
      <c r="X393" s="56">
        <v>0</v>
      </c>
      <c r="Y393" s="53">
        <f t="shared" si="57"/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85" t="s">
        <v>667</v>
      </c>
      <c r="AG393" s="75"/>
      <c r="AJ393" s="79" t="s">
        <v>46</v>
      </c>
      <c r="AK393" s="79">
        <v>0</v>
      </c>
      <c r="BB393" s="486" t="s">
        <v>67</v>
      </c>
      <c r="BM393" s="75">
        <f t="shared" si="58"/>
        <v>0</v>
      </c>
      <c r="BN393" s="75">
        <f t="shared" si="59"/>
        <v>0</v>
      </c>
      <c r="BO393" s="75">
        <f t="shared" si="60"/>
        <v>0</v>
      </c>
      <c r="BP393" s="75">
        <f t="shared" si="61"/>
        <v>0</v>
      </c>
    </row>
    <row r="394" spans="1:68" ht="37.5" hidden="1" customHeight="1" x14ac:dyDescent="0.25">
      <c r="A394" s="60" t="s">
        <v>668</v>
      </c>
      <c r="B394" s="60" t="s">
        <v>669</v>
      </c>
      <c r="C394" s="34">
        <v>4301011868</v>
      </c>
      <c r="D394" s="596">
        <v>4680115884861</v>
      </c>
      <c r="E394" s="596"/>
      <c r="F394" s="59">
        <v>0.5</v>
      </c>
      <c r="G394" s="35">
        <v>10</v>
      </c>
      <c r="H394" s="59">
        <v>5</v>
      </c>
      <c r="I394" s="59">
        <v>5.19</v>
      </c>
      <c r="J394" s="35">
        <v>132</v>
      </c>
      <c r="K394" s="35" t="s">
        <v>140</v>
      </c>
      <c r="L394" s="35" t="s">
        <v>46</v>
      </c>
      <c r="M394" s="36" t="s">
        <v>81</v>
      </c>
      <c r="N394" s="36"/>
      <c r="O394" s="35">
        <v>60</v>
      </c>
      <c r="P394" s="6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4" s="598"/>
      <c r="R394" s="598"/>
      <c r="S394" s="598"/>
      <c r="T394" s="599"/>
      <c r="U394" s="37" t="s">
        <v>46</v>
      </c>
      <c r="V394" s="37" t="s">
        <v>46</v>
      </c>
      <c r="W394" s="38" t="s">
        <v>0</v>
      </c>
      <c r="X394" s="56">
        <v>0</v>
      </c>
      <c r="Y394" s="53">
        <f t="shared" si="57"/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87" t="s">
        <v>670</v>
      </c>
      <c r="AG394" s="75"/>
      <c r="AJ394" s="79" t="s">
        <v>46</v>
      </c>
      <c r="AK394" s="79">
        <v>0</v>
      </c>
      <c r="BB394" s="488" t="s">
        <v>67</v>
      </c>
      <c r="BM394" s="75">
        <f t="shared" si="58"/>
        <v>0</v>
      </c>
      <c r="BN394" s="75">
        <f t="shared" si="59"/>
        <v>0</v>
      </c>
      <c r="BO394" s="75">
        <f t="shared" si="60"/>
        <v>0</v>
      </c>
      <c r="BP394" s="75">
        <f t="shared" si="61"/>
        <v>0</v>
      </c>
    </row>
    <row r="395" spans="1:68" hidden="1" x14ac:dyDescent="0.2">
      <c r="A395" s="603"/>
      <c r="B395" s="603"/>
      <c r="C395" s="603"/>
      <c r="D395" s="603"/>
      <c r="E395" s="603"/>
      <c r="F395" s="603"/>
      <c r="G395" s="603"/>
      <c r="H395" s="603"/>
      <c r="I395" s="603"/>
      <c r="J395" s="603"/>
      <c r="K395" s="603"/>
      <c r="L395" s="603"/>
      <c r="M395" s="603"/>
      <c r="N395" s="603"/>
      <c r="O395" s="604"/>
      <c r="P395" s="600" t="s">
        <v>40</v>
      </c>
      <c r="Q395" s="601"/>
      <c r="R395" s="601"/>
      <c r="S395" s="601"/>
      <c r="T395" s="601"/>
      <c r="U395" s="601"/>
      <c r="V395" s="602"/>
      <c r="W395" s="40" t="s">
        <v>39</v>
      </c>
      <c r="X395" s="41">
        <f>IFERROR(X387/H387,"0")+IFERROR(X388/H388,"0")+IFERROR(X389/H389,"0")+IFERROR(X390/H390,"0")+IFERROR(X391/H391,"0")+IFERROR(X392/H392,"0")+IFERROR(X393/H393,"0")+IFERROR(X394/H394,"0")</f>
        <v>0</v>
      </c>
      <c r="Y395" s="41">
        <f>IFERROR(Y387/H387,"0")+IFERROR(Y388/H388,"0")+IFERROR(Y389/H389,"0")+IFERROR(Y390/H390,"0")+IFERROR(Y391/H391,"0")+IFERROR(Y392/H392,"0")+IFERROR(Y393/H393,"0")+IFERROR(Y394/H394,"0")</f>
        <v>0</v>
      </c>
      <c r="Z395" s="41">
        <f>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603"/>
      <c r="B396" s="603"/>
      <c r="C396" s="603"/>
      <c r="D396" s="603"/>
      <c r="E396" s="603"/>
      <c r="F396" s="603"/>
      <c r="G396" s="603"/>
      <c r="H396" s="603"/>
      <c r="I396" s="603"/>
      <c r="J396" s="603"/>
      <c r="K396" s="603"/>
      <c r="L396" s="603"/>
      <c r="M396" s="603"/>
      <c r="N396" s="603"/>
      <c r="O396" s="604"/>
      <c r="P396" s="600" t="s">
        <v>40</v>
      </c>
      <c r="Q396" s="601"/>
      <c r="R396" s="601"/>
      <c r="S396" s="601"/>
      <c r="T396" s="601"/>
      <c r="U396" s="601"/>
      <c r="V396" s="602"/>
      <c r="W396" s="40" t="s">
        <v>0</v>
      </c>
      <c r="X396" s="41">
        <f>IFERROR(SUM(X387:X394),"0")</f>
        <v>0</v>
      </c>
      <c r="Y396" s="41">
        <f>IFERROR(SUM(Y387:Y394),"0")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595" t="s">
        <v>163</v>
      </c>
      <c r="B397" s="595"/>
      <c r="C397" s="595"/>
      <c r="D397" s="595"/>
      <c r="E397" s="595"/>
      <c r="F397" s="595"/>
      <c r="G397" s="595"/>
      <c r="H397" s="595"/>
      <c r="I397" s="595"/>
      <c r="J397" s="595"/>
      <c r="K397" s="595"/>
      <c r="L397" s="595"/>
      <c r="M397" s="595"/>
      <c r="N397" s="595"/>
      <c r="O397" s="595"/>
      <c r="P397" s="595"/>
      <c r="Q397" s="595"/>
      <c r="R397" s="595"/>
      <c r="S397" s="595"/>
      <c r="T397" s="595"/>
      <c r="U397" s="595"/>
      <c r="V397" s="595"/>
      <c r="W397" s="595"/>
      <c r="X397" s="595"/>
      <c r="Y397" s="595"/>
      <c r="Z397" s="595"/>
      <c r="AA397" s="63"/>
      <c r="AB397" s="63"/>
      <c r="AC397" s="63"/>
    </row>
    <row r="398" spans="1:68" ht="27" customHeight="1" x14ac:dyDescent="0.25">
      <c r="A398" s="60" t="s">
        <v>671</v>
      </c>
      <c r="B398" s="60" t="s">
        <v>672</v>
      </c>
      <c r="C398" s="34">
        <v>4301020178</v>
      </c>
      <c r="D398" s="596">
        <v>4607091383980</v>
      </c>
      <c r="E398" s="596"/>
      <c r="F398" s="59">
        <v>2.5</v>
      </c>
      <c r="G398" s="35">
        <v>6</v>
      </c>
      <c r="H398" s="59">
        <v>15</v>
      </c>
      <c r="I398" s="59">
        <v>15.47</v>
      </c>
      <c r="J398" s="35">
        <v>48</v>
      </c>
      <c r="K398" s="35" t="s">
        <v>133</v>
      </c>
      <c r="L398" s="35" t="s">
        <v>46</v>
      </c>
      <c r="M398" s="36" t="s">
        <v>132</v>
      </c>
      <c r="N398" s="36"/>
      <c r="O398" s="35">
        <v>50</v>
      </c>
      <c r="P398" s="6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8" s="598"/>
      <c r="R398" s="598"/>
      <c r="S398" s="598"/>
      <c r="T398" s="599"/>
      <c r="U398" s="37" t="s">
        <v>46</v>
      </c>
      <c r="V398" s="37" t="s">
        <v>46</v>
      </c>
      <c r="W398" s="38" t="s">
        <v>0</v>
      </c>
      <c r="X398" s="56">
        <v>500</v>
      </c>
      <c r="Y398" s="53">
        <f>IFERROR(IF(X398="",0,CEILING((X398/$H398),1)*$H398),"")</f>
        <v>510</v>
      </c>
      <c r="Z398" s="39">
        <f>IFERROR(IF(Y398=0,"",ROUNDUP(Y398/H398,0)*0.02175),"")</f>
        <v>0.73949999999999994</v>
      </c>
      <c r="AA398" s="65" t="s">
        <v>46</v>
      </c>
      <c r="AB398" s="66" t="s">
        <v>46</v>
      </c>
      <c r="AC398" s="489" t="s">
        <v>673</v>
      </c>
      <c r="AG398" s="75"/>
      <c r="AJ398" s="79" t="s">
        <v>46</v>
      </c>
      <c r="AK398" s="79">
        <v>0</v>
      </c>
      <c r="BB398" s="490" t="s">
        <v>67</v>
      </c>
      <c r="BM398" s="75">
        <f>IFERROR(X398*I398/H398,"0")</f>
        <v>515.66666666666663</v>
      </c>
      <c r="BN398" s="75">
        <f>IFERROR(Y398*I398/H398,"0")</f>
        <v>525.98</v>
      </c>
      <c r="BO398" s="75">
        <f>IFERROR(1/J398*(X398/H398),"0")</f>
        <v>0.69444444444444442</v>
      </c>
      <c r="BP398" s="75">
        <f>IFERROR(1/J398*(Y398/H398),"0")</f>
        <v>0.70833333333333326</v>
      </c>
    </row>
    <row r="399" spans="1:68" ht="27" hidden="1" customHeight="1" x14ac:dyDescent="0.25">
      <c r="A399" s="60" t="s">
        <v>674</v>
      </c>
      <c r="B399" s="60" t="s">
        <v>675</v>
      </c>
      <c r="C399" s="34">
        <v>4301020355</v>
      </c>
      <c r="D399" s="596">
        <v>4680115888425</v>
      </c>
      <c r="E399" s="596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133</v>
      </c>
      <c r="L399" s="35" t="s">
        <v>46</v>
      </c>
      <c r="M399" s="36" t="s">
        <v>132</v>
      </c>
      <c r="N399" s="36"/>
      <c r="O399" s="35">
        <v>50</v>
      </c>
      <c r="P399" s="65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399" s="598"/>
      <c r="R399" s="598"/>
      <c r="S399" s="598"/>
      <c r="T399" s="599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91" t="s">
        <v>676</v>
      </c>
      <c r="AG399" s="75"/>
      <c r="AJ399" s="79" t="s">
        <v>46</v>
      </c>
      <c r="AK399" s="79">
        <v>0</v>
      </c>
      <c r="BB399" s="49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677</v>
      </c>
      <c r="B400" s="60" t="s">
        <v>678</v>
      </c>
      <c r="C400" s="34">
        <v>4301020179</v>
      </c>
      <c r="D400" s="596">
        <v>4607091384178</v>
      </c>
      <c r="E400" s="596"/>
      <c r="F400" s="59">
        <v>0.4</v>
      </c>
      <c r="G400" s="35">
        <v>10</v>
      </c>
      <c r="H400" s="59">
        <v>4</v>
      </c>
      <c r="I400" s="59">
        <v>4.1900000000000004</v>
      </c>
      <c r="J400" s="35">
        <v>132</v>
      </c>
      <c r="K400" s="35" t="s">
        <v>140</v>
      </c>
      <c r="L400" s="35" t="s">
        <v>46</v>
      </c>
      <c r="M400" s="36" t="s">
        <v>132</v>
      </c>
      <c r="N400" s="36"/>
      <c r="O400" s="35">
        <v>50</v>
      </c>
      <c r="P400" s="66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00" s="598"/>
      <c r="R400" s="598"/>
      <c r="S400" s="598"/>
      <c r="T400" s="599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IFERROR(IF(Y400=0,"",ROUNDUP(Y400/H400,0)*0.00902),"")</f>
        <v/>
      </c>
      <c r="AA400" s="65" t="s">
        <v>46</v>
      </c>
      <c r="AB400" s="66" t="s">
        <v>46</v>
      </c>
      <c r="AC400" s="493" t="s">
        <v>679</v>
      </c>
      <c r="AG400" s="75"/>
      <c r="AJ400" s="79" t="s">
        <v>46</v>
      </c>
      <c r="AK400" s="79">
        <v>0</v>
      </c>
      <c r="BB400" s="49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x14ac:dyDescent="0.2">
      <c r="A401" s="603"/>
      <c r="B401" s="603"/>
      <c r="C401" s="603"/>
      <c r="D401" s="603"/>
      <c r="E401" s="603"/>
      <c r="F401" s="603"/>
      <c r="G401" s="603"/>
      <c r="H401" s="603"/>
      <c r="I401" s="603"/>
      <c r="J401" s="603"/>
      <c r="K401" s="603"/>
      <c r="L401" s="603"/>
      <c r="M401" s="603"/>
      <c r="N401" s="603"/>
      <c r="O401" s="604"/>
      <c r="P401" s="600" t="s">
        <v>40</v>
      </c>
      <c r="Q401" s="601"/>
      <c r="R401" s="601"/>
      <c r="S401" s="601"/>
      <c r="T401" s="601"/>
      <c r="U401" s="601"/>
      <c r="V401" s="602"/>
      <c r="W401" s="40" t="s">
        <v>39</v>
      </c>
      <c r="X401" s="41">
        <f>IFERROR(X398/H398,"0")+IFERROR(X399/H399,"0")+IFERROR(X400/H400,"0")</f>
        <v>33.333333333333336</v>
      </c>
      <c r="Y401" s="41">
        <f>IFERROR(Y398/H398,"0")+IFERROR(Y399/H399,"0")+IFERROR(Y400/H400,"0")</f>
        <v>34</v>
      </c>
      <c r="Z401" s="41">
        <f>IFERROR(IF(Z398="",0,Z398),"0")+IFERROR(IF(Z399="",0,Z399),"0")+IFERROR(IF(Z400="",0,Z400),"0")</f>
        <v>0.73949999999999994</v>
      </c>
      <c r="AA401" s="64"/>
      <c r="AB401" s="64"/>
      <c r="AC401" s="64"/>
    </row>
    <row r="402" spans="1:68" x14ac:dyDescent="0.2">
      <c r="A402" s="603"/>
      <c r="B402" s="603"/>
      <c r="C402" s="603"/>
      <c r="D402" s="603"/>
      <c r="E402" s="603"/>
      <c r="F402" s="603"/>
      <c r="G402" s="603"/>
      <c r="H402" s="603"/>
      <c r="I402" s="603"/>
      <c r="J402" s="603"/>
      <c r="K402" s="603"/>
      <c r="L402" s="603"/>
      <c r="M402" s="603"/>
      <c r="N402" s="603"/>
      <c r="O402" s="604"/>
      <c r="P402" s="600" t="s">
        <v>40</v>
      </c>
      <c r="Q402" s="601"/>
      <c r="R402" s="601"/>
      <c r="S402" s="601"/>
      <c r="T402" s="601"/>
      <c r="U402" s="601"/>
      <c r="V402" s="602"/>
      <c r="W402" s="40" t="s">
        <v>0</v>
      </c>
      <c r="X402" s="41">
        <f>IFERROR(SUM(X398:X400),"0")</f>
        <v>500</v>
      </c>
      <c r="Y402" s="41">
        <f>IFERROR(SUM(Y398:Y400),"0")</f>
        <v>510</v>
      </c>
      <c r="Z402" s="40"/>
      <c r="AA402" s="64"/>
      <c r="AB402" s="64"/>
      <c r="AC402" s="64"/>
    </row>
    <row r="403" spans="1:68" ht="14.25" hidden="1" customHeight="1" x14ac:dyDescent="0.25">
      <c r="A403" s="595" t="s">
        <v>86</v>
      </c>
      <c r="B403" s="595"/>
      <c r="C403" s="595"/>
      <c r="D403" s="595"/>
      <c r="E403" s="595"/>
      <c r="F403" s="595"/>
      <c r="G403" s="595"/>
      <c r="H403" s="595"/>
      <c r="I403" s="595"/>
      <c r="J403" s="595"/>
      <c r="K403" s="595"/>
      <c r="L403" s="595"/>
      <c r="M403" s="595"/>
      <c r="N403" s="595"/>
      <c r="O403" s="595"/>
      <c r="P403" s="595"/>
      <c r="Q403" s="595"/>
      <c r="R403" s="595"/>
      <c r="S403" s="595"/>
      <c r="T403" s="595"/>
      <c r="U403" s="595"/>
      <c r="V403" s="595"/>
      <c r="W403" s="595"/>
      <c r="X403" s="595"/>
      <c r="Y403" s="595"/>
      <c r="Z403" s="595"/>
      <c r="AA403" s="63"/>
      <c r="AB403" s="63"/>
      <c r="AC403" s="63"/>
    </row>
    <row r="404" spans="1:68" ht="27" hidden="1" customHeight="1" x14ac:dyDescent="0.25">
      <c r="A404" s="60" t="s">
        <v>680</v>
      </c>
      <c r="B404" s="60" t="s">
        <v>681</v>
      </c>
      <c r="C404" s="34">
        <v>4301051903</v>
      </c>
      <c r="D404" s="596">
        <v>4607091383928</v>
      </c>
      <c r="E404" s="596"/>
      <c r="F404" s="59">
        <v>1.5</v>
      </c>
      <c r="G404" s="35">
        <v>6</v>
      </c>
      <c r="H404" s="59">
        <v>9</v>
      </c>
      <c r="I404" s="59">
        <v>9.5</v>
      </c>
      <c r="J404" s="35">
        <v>64</v>
      </c>
      <c r="K404" s="35" t="s">
        <v>133</v>
      </c>
      <c r="L404" s="35" t="s">
        <v>46</v>
      </c>
      <c r="M404" s="36" t="s">
        <v>90</v>
      </c>
      <c r="N404" s="36"/>
      <c r="O404" s="35">
        <v>40</v>
      </c>
      <c r="P404" s="65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04" s="598"/>
      <c r="R404" s="598"/>
      <c r="S404" s="598"/>
      <c r="T404" s="59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 t="s">
        <v>46</v>
      </c>
      <c r="AB404" s="66" t="s">
        <v>46</v>
      </c>
      <c r="AC404" s="495" t="s">
        <v>682</v>
      </c>
      <c r="AG404" s="75"/>
      <c r="AJ404" s="79" t="s">
        <v>46</v>
      </c>
      <c r="AK404" s="79">
        <v>0</v>
      </c>
      <c r="BB404" s="49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683</v>
      </c>
      <c r="B405" s="60" t="s">
        <v>684</v>
      </c>
      <c r="C405" s="34">
        <v>4301051897</v>
      </c>
      <c r="D405" s="596">
        <v>4607091384260</v>
      </c>
      <c r="E405" s="596"/>
      <c r="F405" s="59">
        <v>1.5</v>
      </c>
      <c r="G405" s="35">
        <v>6</v>
      </c>
      <c r="H405" s="59">
        <v>9</v>
      </c>
      <c r="I405" s="59">
        <v>9.4939999999999998</v>
      </c>
      <c r="J405" s="35">
        <v>64</v>
      </c>
      <c r="K405" s="35" t="s">
        <v>133</v>
      </c>
      <c r="L405" s="35" t="s">
        <v>46</v>
      </c>
      <c r="M405" s="36" t="s">
        <v>90</v>
      </c>
      <c r="N405" s="36"/>
      <c r="O405" s="35">
        <v>40</v>
      </c>
      <c r="P405" s="65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05" s="598"/>
      <c r="R405" s="598"/>
      <c r="S405" s="598"/>
      <c r="T405" s="599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46</v>
      </c>
      <c r="AB405" s="66" t="s">
        <v>46</v>
      </c>
      <c r="AC405" s="497" t="s">
        <v>685</v>
      </c>
      <c r="AG405" s="75"/>
      <c r="AJ405" s="79" t="s">
        <v>46</v>
      </c>
      <c r="AK405" s="79">
        <v>0</v>
      </c>
      <c r="BB405" s="49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603"/>
      <c r="B406" s="603"/>
      <c r="C406" s="603"/>
      <c r="D406" s="603"/>
      <c r="E406" s="603"/>
      <c r="F406" s="603"/>
      <c r="G406" s="603"/>
      <c r="H406" s="603"/>
      <c r="I406" s="603"/>
      <c r="J406" s="603"/>
      <c r="K406" s="603"/>
      <c r="L406" s="603"/>
      <c r="M406" s="603"/>
      <c r="N406" s="603"/>
      <c r="O406" s="604"/>
      <c r="P406" s="600" t="s">
        <v>40</v>
      </c>
      <c r="Q406" s="601"/>
      <c r="R406" s="601"/>
      <c r="S406" s="601"/>
      <c r="T406" s="601"/>
      <c r="U406" s="601"/>
      <c r="V406" s="602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hidden="1" x14ac:dyDescent="0.2">
      <c r="A407" s="603"/>
      <c r="B407" s="603"/>
      <c r="C407" s="603"/>
      <c r="D407" s="603"/>
      <c r="E407" s="603"/>
      <c r="F407" s="603"/>
      <c r="G407" s="603"/>
      <c r="H407" s="603"/>
      <c r="I407" s="603"/>
      <c r="J407" s="603"/>
      <c r="K407" s="603"/>
      <c r="L407" s="603"/>
      <c r="M407" s="603"/>
      <c r="N407" s="603"/>
      <c r="O407" s="604"/>
      <c r="P407" s="600" t="s">
        <v>40</v>
      </c>
      <c r="Q407" s="601"/>
      <c r="R407" s="601"/>
      <c r="S407" s="601"/>
      <c r="T407" s="601"/>
      <c r="U407" s="601"/>
      <c r="V407" s="602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4.25" hidden="1" customHeight="1" x14ac:dyDescent="0.25">
      <c r="A408" s="595" t="s">
        <v>180</v>
      </c>
      <c r="B408" s="595"/>
      <c r="C408" s="595"/>
      <c r="D408" s="595"/>
      <c r="E408" s="595"/>
      <c r="F408" s="595"/>
      <c r="G408" s="595"/>
      <c r="H408" s="595"/>
      <c r="I408" s="595"/>
      <c r="J408" s="595"/>
      <c r="K408" s="595"/>
      <c r="L408" s="595"/>
      <c r="M408" s="595"/>
      <c r="N408" s="595"/>
      <c r="O408" s="595"/>
      <c r="P408" s="595"/>
      <c r="Q408" s="595"/>
      <c r="R408" s="595"/>
      <c r="S408" s="595"/>
      <c r="T408" s="595"/>
      <c r="U408" s="595"/>
      <c r="V408" s="595"/>
      <c r="W408" s="595"/>
      <c r="X408" s="595"/>
      <c r="Y408" s="595"/>
      <c r="Z408" s="595"/>
      <c r="AA408" s="63"/>
      <c r="AB408" s="63"/>
      <c r="AC408" s="63"/>
    </row>
    <row r="409" spans="1:68" ht="16.5" hidden="1" customHeight="1" x14ac:dyDescent="0.25">
      <c r="A409" s="60" t="s">
        <v>686</v>
      </c>
      <c r="B409" s="60" t="s">
        <v>687</v>
      </c>
      <c r="C409" s="34">
        <v>4301060524</v>
      </c>
      <c r="D409" s="596">
        <v>4607091384673</v>
      </c>
      <c r="E409" s="596"/>
      <c r="F409" s="59">
        <v>1.5</v>
      </c>
      <c r="G409" s="35">
        <v>6</v>
      </c>
      <c r="H409" s="59">
        <v>9</v>
      </c>
      <c r="I409" s="59">
        <v>9.4939999999999998</v>
      </c>
      <c r="J409" s="35">
        <v>64</v>
      </c>
      <c r="K409" s="35" t="s">
        <v>133</v>
      </c>
      <c r="L409" s="35" t="s">
        <v>46</v>
      </c>
      <c r="M409" s="36" t="s">
        <v>90</v>
      </c>
      <c r="N409" s="36"/>
      <c r="O409" s="35">
        <v>40</v>
      </c>
      <c r="P409" s="6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09" s="598"/>
      <c r="R409" s="598"/>
      <c r="S409" s="598"/>
      <c r="T409" s="59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IFERROR(IF(Y409=0,"",ROUNDUP(Y409/H409,0)*0.01898),"")</f>
        <v/>
      </c>
      <c r="AA409" s="65" t="s">
        <v>46</v>
      </c>
      <c r="AB409" s="66" t="s">
        <v>46</v>
      </c>
      <c r="AC409" s="499" t="s">
        <v>688</v>
      </c>
      <c r="AG409" s="75"/>
      <c r="AJ409" s="79" t="s">
        <v>46</v>
      </c>
      <c r="AK409" s="79">
        <v>0</v>
      </c>
      <c r="BB409" s="500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idden="1" x14ac:dyDescent="0.2">
      <c r="A410" s="603"/>
      <c r="B410" s="603"/>
      <c r="C410" s="603"/>
      <c r="D410" s="603"/>
      <c r="E410" s="603"/>
      <c r="F410" s="603"/>
      <c r="G410" s="603"/>
      <c r="H410" s="603"/>
      <c r="I410" s="603"/>
      <c r="J410" s="603"/>
      <c r="K410" s="603"/>
      <c r="L410" s="603"/>
      <c r="M410" s="603"/>
      <c r="N410" s="603"/>
      <c r="O410" s="604"/>
      <c r="P410" s="600" t="s">
        <v>40</v>
      </c>
      <c r="Q410" s="601"/>
      <c r="R410" s="601"/>
      <c r="S410" s="601"/>
      <c r="T410" s="601"/>
      <c r="U410" s="601"/>
      <c r="V410" s="602"/>
      <c r="W410" s="40" t="s">
        <v>39</v>
      </c>
      <c r="X410" s="41">
        <f>IFERROR(X409/H409,"0")</f>
        <v>0</v>
      </c>
      <c r="Y410" s="41">
        <f>IFERROR(Y409/H409,"0")</f>
        <v>0</v>
      </c>
      <c r="Z410" s="41">
        <f>IFERROR(IF(Z409="",0,Z409),"0")</f>
        <v>0</v>
      </c>
      <c r="AA410" s="64"/>
      <c r="AB410" s="64"/>
      <c r="AC410" s="64"/>
    </row>
    <row r="411" spans="1:68" hidden="1" x14ac:dyDescent="0.2">
      <c r="A411" s="603"/>
      <c r="B411" s="603"/>
      <c r="C411" s="603"/>
      <c r="D411" s="603"/>
      <c r="E411" s="603"/>
      <c r="F411" s="603"/>
      <c r="G411" s="603"/>
      <c r="H411" s="603"/>
      <c r="I411" s="603"/>
      <c r="J411" s="603"/>
      <c r="K411" s="603"/>
      <c r="L411" s="603"/>
      <c r="M411" s="603"/>
      <c r="N411" s="603"/>
      <c r="O411" s="604"/>
      <c r="P411" s="600" t="s">
        <v>40</v>
      </c>
      <c r="Q411" s="601"/>
      <c r="R411" s="601"/>
      <c r="S411" s="601"/>
      <c r="T411" s="601"/>
      <c r="U411" s="601"/>
      <c r="V411" s="602"/>
      <c r="W411" s="40" t="s">
        <v>0</v>
      </c>
      <c r="X411" s="41">
        <f>IFERROR(SUM(X409:X409),"0")</f>
        <v>0</v>
      </c>
      <c r="Y411" s="41">
        <f>IFERROR(SUM(Y409:Y409),"0")</f>
        <v>0</v>
      </c>
      <c r="Z411" s="40"/>
      <c r="AA411" s="64"/>
      <c r="AB411" s="64"/>
      <c r="AC411" s="64"/>
    </row>
    <row r="412" spans="1:68" ht="16.5" hidden="1" customHeight="1" x14ac:dyDescent="0.25">
      <c r="A412" s="611" t="s">
        <v>689</v>
      </c>
      <c r="B412" s="611"/>
      <c r="C412" s="611"/>
      <c r="D412" s="611"/>
      <c r="E412" s="611"/>
      <c r="F412" s="611"/>
      <c r="G412" s="611"/>
      <c r="H412" s="611"/>
      <c r="I412" s="611"/>
      <c r="J412" s="611"/>
      <c r="K412" s="611"/>
      <c r="L412" s="611"/>
      <c r="M412" s="611"/>
      <c r="N412" s="611"/>
      <c r="O412" s="611"/>
      <c r="P412" s="611"/>
      <c r="Q412" s="611"/>
      <c r="R412" s="611"/>
      <c r="S412" s="611"/>
      <c r="T412" s="611"/>
      <c r="U412" s="611"/>
      <c r="V412" s="611"/>
      <c r="W412" s="611"/>
      <c r="X412" s="611"/>
      <c r="Y412" s="611"/>
      <c r="Z412" s="611"/>
      <c r="AA412" s="62"/>
      <c r="AB412" s="62"/>
      <c r="AC412" s="62"/>
    </row>
    <row r="413" spans="1:68" ht="14.25" hidden="1" customHeight="1" x14ac:dyDescent="0.25">
      <c r="A413" s="595" t="s">
        <v>128</v>
      </c>
      <c r="B413" s="595"/>
      <c r="C413" s="595"/>
      <c r="D413" s="595"/>
      <c r="E413" s="595"/>
      <c r="F413" s="595"/>
      <c r="G413" s="595"/>
      <c r="H413" s="595"/>
      <c r="I413" s="595"/>
      <c r="J413" s="595"/>
      <c r="K413" s="595"/>
      <c r="L413" s="595"/>
      <c r="M413" s="595"/>
      <c r="N413" s="595"/>
      <c r="O413" s="595"/>
      <c r="P413" s="595"/>
      <c r="Q413" s="595"/>
      <c r="R413" s="595"/>
      <c r="S413" s="595"/>
      <c r="T413" s="595"/>
      <c r="U413" s="595"/>
      <c r="V413" s="595"/>
      <c r="W413" s="595"/>
      <c r="X413" s="595"/>
      <c r="Y413" s="595"/>
      <c r="Z413" s="595"/>
      <c r="AA413" s="63"/>
      <c r="AB413" s="63"/>
      <c r="AC413" s="63"/>
    </row>
    <row r="414" spans="1:68" ht="27" customHeight="1" x14ac:dyDescent="0.25">
      <c r="A414" s="60" t="s">
        <v>690</v>
      </c>
      <c r="B414" s="60" t="s">
        <v>691</v>
      </c>
      <c r="C414" s="34">
        <v>4301011875</v>
      </c>
      <c r="D414" s="596">
        <v>4680115884885</v>
      </c>
      <c r="E414" s="596"/>
      <c r="F414" s="59">
        <v>0.8</v>
      </c>
      <c r="G414" s="35">
        <v>15</v>
      </c>
      <c r="H414" s="59">
        <v>12</v>
      </c>
      <c r="I414" s="59">
        <v>12.41</v>
      </c>
      <c r="J414" s="35">
        <v>64</v>
      </c>
      <c r="K414" s="35" t="s">
        <v>133</v>
      </c>
      <c r="L414" s="35" t="s">
        <v>46</v>
      </c>
      <c r="M414" s="36" t="s">
        <v>81</v>
      </c>
      <c r="N414" s="36"/>
      <c r="O414" s="35">
        <v>60</v>
      </c>
      <c r="P414" s="6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598"/>
      <c r="R414" s="598"/>
      <c r="S414" s="598"/>
      <c r="T414" s="599"/>
      <c r="U414" s="37" t="s">
        <v>46</v>
      </c>
      <c r="V414" s="37" t="s">
        <v>46</v>
      </c>
      <c r="W414" s="38" t="s">
        <v>0</v>
      </c>
      <c r="X414" s="56">
        <v>120</v>
      </c>
      <c r="Y414" s="53">
        <f>IFERROR(IF(X414="",0,CEILING((X414/$H414),1)*$H414),"")</f>
        <v>120</v>
      </c>
      <c r="Z414" s="39">
        <f>IFERROR(IF(Y414=0,"",ROUNDUP(Y414/H414,0)*0.01898),"")</f>
        <v>0.1898</v>
      </c>
      <c r="AA414" s="65" t="s">
        <v>46</v>
      </c>
      <c r="AB414" s="66" t="s">
        <v>46</v>
      </c>
      <c r="AC414" s="501" t="s">
        <v>692</v>
      </c>
      <c r="AG414" s="75"/>
      <c r="AJ414" s="79" t="s">
        <v>46</v>
      </c>
      <c r="AK414" s="79">
        <v>0</v>
      </c>
      <c r="BB414" s="502" t="s">
        <v>67</v>
      </c>
      <c r="BM414" s="75">
        <f>IFERROR(X414*I414/H414,"0")</f>
        <v>124.10000000000001</v>
      </c>
      <c r="BN414" s="75">
        <f>IFERROR(Y414*I414/H414,"0")</f>
        <v>124.10000000000001</v>
      </c>
      <c r="BO414" s="75">
        <f>IFERROR(1/J414*(X414/H414),"0")</f>
        <v>0.15625</v>
      </c>
      <c r="BP414" s="75">
        <f>IFERROR(1/J414*(Y414/H414),"0")</f>
        <v>0.15625</v>
      </c>
    </row>
    <row r="415" spans="1:68" ht="37.5" hidden="1" customHeight="1" x14ac:dyDescent="0.25">
      <c r="A415" s="60" t="s">
        <v>693</v>
      </c>
      <c r="B415" s="60" t="s">
        <v>694</v>
      </c>
      <c r="C415" s="34">
        <v>4301011871</v>
      </c>
      <c r="D415" s="596">
        <v>4680115884908</v>
      </c>
      <c r="E415" s="596"/>
      <c r="F415" s="59">
        <v>0.4</v>
      </c>
      <c r="G415" s="35">
        <v>10</v>
      </c>
      <c r="H415" s="59">
        <v>4</v>
      </c>
      <c r="I415" s="59">
        <v>4.1900000000000004</v>
      </c>
      <c r="J415" s="35">
        <v>132</v>
      </c>
      <c r="K415" s="35" t="s">
        <v>140</v>
      </c>
      <c r="L415" s="35" t="s">
        <v>46</v>
      </c>
      <c r="M415" s="36" t="s">
        <v>81</v>
      </c>
      <c r="N415" s="36"/>
      <c r="O415" s="35">
        <v>60</v>
      </c>
      <c r="P415" s="6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598"/>
      <c r="R415" s="598"/>
      <c r="S415" s="598"/>
      <c r="T415" s="59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IFERROR(IF(Y415=0,"",ROUNDUP(Y415/H415,0)*0.00902),"")</f>
        <v/>
      </c>
      <c r="AA415" s="65" t="s">
        <v>46</v>
      </c>
      <c r="AB415" s="66" t="s">
        <v>46</v>
      </c>
      <c r="AC415" s="503" t="s">
        <v>692</v>
      </c>
      <c r="AG415" s="75"/>
      <c r="AJ415" s="79" t="s">
        <v>46</v>
      </c>
      <c r="AK415" s="79">
        <v>0</v>
      </c>
      <c r="BB415" s="504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x14ac:dyDescent="0.2">
      <c r="A416" s="603"/>
      <c r="B416" s="603"/>
      <c r="C416" s="603"/>
      <c r="D416" s="603"/>
      <c r="E416" s="603"/>
      <c r="F416" s="603"/>
      <c r="G416" s="603"/>
      <c r="H416" s="603"/>
      <c r="I416" s="603"/>
      <c r="J416" s="603"/>
      <c r="K416" s="603"/>
      <c r="L416" s="603"/>
      <c r="M416" s="603"/>
      <c r="N416" s="603"/>
      <c r="O416" s="604"/>
      <c r="P416" s="600" t="s">
        <v>40</v>
      </c>
      <c r="Q416" s="601"/>
      <c r="R416" s="601"/>
      <c r="S416" s="601"/>
      <c r="T416" s="601"/>
      <c r="U416" s="601"/>
      <c r="V416" s="602"/>
      <c r="W416" s="40" t="s">
        <v>39</v>
      </c>
      <c r="X416" s="41">
        <f>IFERROR(X414/H414,"0")+IFERROR(X415/H415,"0")</f>
        <v>10</v>
      </c>
      <c r="Y416" s="41">
        <f>IFERROR(Y414/H414,"0")+IFERROR(Y415/H415,"0")</f>
        <v>10</v>
      </c>
      <c r="Z416" s="41">
        <f>IFERROR(IF(Z414="",0,Z414),"0")+IFERROR(IF(Z415="",0,Z415),"0")</f>
        <v>0.1898</v>
      </c>
      <c r="AA416" s="64"/>
      <c r="AB416" s="64"/>
      <c r="AC416" s="64"/>
    </row>
    <row r="417" spans="1:68" x14ac:dyDescent="0.2">
      <c r="A417" s="603"/>
      <c r="B417" s="603"/>
      <c r="C417" s="603"/>
      <c r="D417" s="603"/>
      <c r="E417" s="603"/>
      <c r="F417" s="603"/>
      <c r="G417" s="603"/>
      <c r="H417" s="603"/>
      <c r="I417" s="603"/>
      <c r="J417" s="603"/>
      <c r="K417" s="603"/>
      <c r="L417" s="603"/>
      <c r="M417" s="603"/>
      <c r="N417" s="603"/>
      <c r="O417" s="604"/>
      <c r="P417" s="600" t="s">
        <v>40</v>
      </c>
      <c r="Q417" s="601"/>
      <c r="R417" s="601"/>
      <c r="S417" s="601"/>
      <c r="T417" s="601"/>
      <c r="U417" s="601"/>
      <c r="V417" s="602"/>
      <c r="W417" s="40" t="s">
        <v>0</v>
      </c>
      <c r="X417" s="41">
        <f>IFERROR(SUM(X414:X415),"0")</f>
        <v>120</v>
      </c>
      <c r="Y417" s="41">
        <f>IFERROR(SUM(Y414:Y415),"0")</f>
        <v>120</v>
      </c>
      <c r="Z417" s="40"/>
      <c r="AA417" s="64"/>
      <c r="AB417" s="64"/>
      <c r="AC417" s="64"/>
    </row>
    <row r="418" spans="1:68" ht="14.25" hidden="1" customHeight="1" x14ac:dyDescent="0.25">
      <c r="A418" s="595" t="s">
        <v>77</v>
      </c>
      <c r="B418" s="595"/>
      <c r="C418" s="595"/>
      <c r="D418" s="595"/>
      <c r="E418" s="595"/>
      <c r="F418" s="595"/>
      <c r="G418" s="595"/>
      <c r="H418" s="595"/>
      <c r="I418" s="595"/>
      <c r="J418" s="595"/>
      <c r="K418" s="595"/>
      <c r="L418" s="595"/>
      <c r="M418" s="595"/>
      <c r="N418" s="595"/>
      <c r="O418" s="595"/>
      <c r="P418" s="595"/>
      <c r="Q418" s="595"/>
      <c r="R418" s="595"/>
      <c r="S418" s="595"/>
      <c r="T418" s="595"/>
      <c r="U418" s="595"/>
      <c r="V418" s="595"/>
      <c r="W418" s="595"/>
      <c r="X418" s="595"/>
      <c r="Y418" s="595"/>
      <c r="Z418" s="595"/>
      <c r="AA418" s="63"/>
      <c r="AB418" s="63"/>
      <c r="AC418" s="63"/>
    </row>
    <row r="419" spans="1:68" ht="27" hidden="1" customHeight="1" x14ac:dyDescent="0.25">
      <c r="A419" s="60" t="s">
        <v>695</v>
      </c>
      <c r="B419" s="60" t="s">
        <v>696</v>
      </c>
      <c r="C419" s="34">
        <v>4301031457</v>
      </c>
      <c r="D419" s="596">
        <v>4607091384802</v>
      </c>
      <c r="E419" s="596"/>
      <c r="F419" s="59">
        <v>0.7</v>
      </c>
      <c r="G419" s="35">
        <v>6</v>
      </c>
      <c r="H419" s="59">
        <v>4.2</v>
      </c>
      <c r="I419" s="59">
        <v>4.45</v>
      </c>
      <c r="J419" s="35">
        <v>132</v>
      </c>
      <c r="K419" s="35" t="s">
        <v>140</v>
      </c>
      <c r="L419" s="35" t="s">
        <v>46</v>
      </c>
      <c r="M419" s="36" t="s">
        <v>81</v>
      </c>
      <c r="N419" s="36"/>
      <c r="O419" s="35">
        <v>50</v>
      </c>
      <c r="P419" s="65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19" s="598"/>
      <c r="R419" s="598"/>
      <c r="S419" s="598"/>
      <c r="T419" s="599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IFERROR(IF(Y419=0,"",ROUNDUP(Y419/H419,0)*0.00902),"")</f>
        <v/>
      </c>
      <c r="AA419" s="65" t="s">
        <v>46</v>
      </c>
      <c r="AB419" s="66" t="s">
        <v>46</v>
      </c>
      <c r="AC419" s="505" t="s">
        <v>697</v>
      </c>
      <c r="AG419" s="75"/>
      <c r="AJ419" s="79" t="s">
        <v>46</v>
      </c>
      <c r="AK419" s="79">
        <v>0</v>
      </c>
      <c r="BB419" s="506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603"/>
      <c r="B420" s="603"/>
      <c r="C420" s="603"/>
      <c r="D420" s="603"/>
      <c r="E420" s="603"/>
      <c r="F420" s="603"/>
      <c r="G420" s="603"/>
      <c r="H420" s="603"/>
      <c r="I420" s="603"/>
      <c r="J420" s="603"/>
      <c r="K420" s="603"/>
      <c r="L420" s="603"/>
      <c r="M420" s="603"/>
      <c r="N420" s="603"/>
      <c r="O420" s="604"/>
      <c r="P420" s="600" t="s">
        <v>40</v>
      </c>
      <c r="Q420" s="601"/>
      <c r="R420" s="601"/>
      <c r="S420" s="601"/>
      <c r="T420" s="601"/>
      <c r="U420" s="601"/>
      <c r="V420" s="602"/>
      <c r="W420" s="40" t="s">
        <v>39</v>
      </c>
      <c r="X420" s="41">
        <f>IFERROR(X419/H419,"0")</f>
        <v>0</v>
      </c>
      <c r="Y420" s="41">
        <f>IFERROR(Y419/H419,"0")</f>
        <v>0</v>
      </c>
      <c r="Z420" s="41">
        <f>IFERROR(IF(Z419="",0,Z419),"0")</f>
        <v>0</v>
      </c>
      <c r="AA420" s="64"/>
      <c r="AB420" s="64"/>
      <c r="AC420" s="64"/>
    </row>
    <row r="421" spans="1:68" hidden="1" x14ac:dyDescent="0.2">
      <c r="A421" s="603"/>
      <c r="B421" s="603"/>
      <c r="C421" s="603"/>
      <c r="D421" s="603"/>
      <c r="E421" s="603"/>
      <c r="F421" s="603"/>
      <c r="G421" s="603"/>
      <c r="H421" s="603"/>
      <c r="I421" s="603"/>
      <c r="J421" s="603"/>
      <c r="K421" s="603"/>
      <c r="L421" s="603"/>
      <c r="M421" s="603"/>
      <c r="N421" s="603"/>
      <c r="O421" s="604"/>
      <c r="P421" s="600" t="s">
        <v>40</v>
      </c>
      <c r="Q421" s="601"/>
      <c r="R421" s="601"/>
      <c r="S421" s="601"/>
      <c r="T421" s="601"/>
      <c r="U421" s="601"/>
      <c r="V421" s="602"/>
      <c r="W421" s="40" t="s">
        <v>0</v>
      </c>
      <c r="X421" s="41">
        <f>IFERROR(SUM(X419:X419),"0")</f>
        <v>0</v>
      </c>
      <c r="Y421" s="41">
        <f>IFERROR(SUM(Y419:Y419),"0")</f>
        <v>0</v>
      </c>
      <c r="Z421" s="40"/>
      <c r="AA421" s="64"/>
      <c r="AB421" s="64"/>
      <c r="AC421" s="64"/>
    </row>
    <row r="422" spans="1:68" ht="14.25" hidden="1" customHeight="1" x14ac:dyDescent="0.25">
      <c r="A422" s="595" t="s">
        <v>86</v>
      </c>
      <c r="B422" s="595"/>
      <c r="C422" s="595"/>
      <c r="D422" s="595"/>
      <c r="E422" s="595"/>
      <c r="F422" s="595"/>
      <c r="G422" s="595"/>
      <c r="H422" s="595"/>
      <c r="I422" s="595"/>
      <c r="J422" s="595"/>
      <c r="K422" s="595"/>
      <c r="L422" s="595"/>
      <c r="M422" s="595"/>
      <c r="N422" s="595"/>
      <c r="O422" s="595"/>
      <c r="P422" s="595"/>
      <c r="Q422" s="595"/>
      <c r="R422" s="595"/>
      <c r="S422" s="595"/>
      <c r="T422" s="595"/>
      <c r="U422" s="595"/>
      <c r="V422" s="595"/>
      <c r="W422" s="595"/>
      <c r="X422" s="595"/>
      <c r="Y422" s="595"/>
      <c r="Z422" s="595"/>
      <c r="AA422" s="63"/>
      <c r="AB422" s="63"/>
      <c r="AC422" s="63"/>
    </row>
    <row r="423" spans="1:68" ht="27" customHeight="1" x14ac:dyDescent="0.25">
      <c r="A423" s="60" t="s">
        <v>698</v>
      </c>
      <c r="B423" s="60" t="s">
        <v>699</v>
      </c>
      <c r="C423" s="34">
        <v>4301051899</v>
      </c>
      <c r="D423" s="596">
        <v>4607091384246</v>
      </c>
      <c r="E423" s="596"/>
      <c r="F423" s="59">
        <v>1.5</v>
      </c>
      <c r="G423" s="35">
        <v>6</v>
      </c>
      <c r="H423" s="59">
        <v>9</v>
      </c>
      <c r="I423" s="59">
        <v>9.4939999999999998</v>
      </c>
      <c r="J423" s="35">
        <v>64</v>
      </c>
      <c r="K423" s="35" t="s">
        <v>133</v>
      </c>
      <c r="L423" s="35" t="s">
        <v>46</v>
      </c>
      <c r="M423" s="36" t="s">
        <v>90</v>
      </c>
      <c r="N423" s="36"/>
      <c r="O423" s="35">
        <v>40</v>
      </c>
      <c r="P423" s="64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598"/>
      <c r="R423" s="598"/>
      <c r="S423" s="598"/>
      <c r="T423" s="599"/>
      <c r="U423" s="37" t="s">
        <v>46</v>
      </c>
      <c r="V423" s="37" t="s">
        <v>46</v>
      </c>
      <c r="W423" s="38" t="s">
        <v>0</v>
      </c>
      <c r="X423" s="56">
        <v>3500</v>
      </c>
      <c r="Y423" s="53">
        <f>IFERROR(IF(X423="",0,CEILING((X423/$H423),1)*$H423),"")</f>
        <v>3501</v>
      </c>
      <c r="Z423" s="39">
        <f>IFERROR(IF(Y423=0,"",ROUNDUP(Y423/H423,0)*0.01898),"")</f>
        <v>7.3832200000000006</v>
      </c>
      <c r="AA423" s="65" t="s">
        <v>46</v>
      </c>
      <c r="AB423" s="66" t="s">
        <v>46</v>
      </c>
      <c r="AC423" s="507" t="s">
        <v>700</v>
      </c>
      <c r="AG423" s="75"/>
      <c r="AJ423" s="79" t="s">
        <v>46</v>
      </c>
      <c r="AK423" s="79">
        <v>0</v>
      </c>
      <c r="BB423" s="508" t="s">
        <v>67</v>
      </c>
      <c r="BM423" s="75">
        <f>IFERROR(X423*I423/H423,"0")</f>
        <v>3692.1111111111113</v>
      </c>
      <c r="BN423" s="75">
        <f>IFERROR(Y423*I423/H423,"0")</f>
        <v>3693.1659999999997</v>
      </c>
      <c r="BO423" s="75">
        <f>IFERROR(1/J423*(X423/H423),"0")</f>
        <v>6.0763888888888893</v>
      </c>
      <c r="BP423" s="75">
        <f>IFERROR(1/J423*(Y423/H423),"0")</f>
        <v>6.078125</v>
      </c>
    </row>
    <row r="424" spans="1:68" ht="27" customHeight="1" x14ac:dyDescent="0.25">
      <c r="A424" s="60" t="s">
        <v>701</v>
      </c>
      <c r="B424" s="60" t="s">
        <v>702</v>
      </c>
      <c r="C424" s="34">
        <v>4301051660</v>
      </c>
      <c r="D424" s="596">
        <v>4607091384253</v>
      </c>
      <c r="E424" s="596"/>
      <c r="F424" s="59">
        <v>0.4</v>
      </c>
      <c r="G424" s="35">
        <v>6</v>
      </c>
      <c r="H424" s="59">
        <v>2.4</v>
      </c>
      <c r="I424" s="59">
        <v>2.6640000000000001</v>
      </c>
      <c r="J424" s="35">
        <v>182</v>
      </c>
      <c r="K424" s="35" t="s">
        <v>91</v>
      </c>
      <c r="L424" s="35" t="s">
        <v>46</v>
      </c>
      <c r="M424" s="36" t="s">
        <v>90</v>
      </c>
      <c r="N424" s="36"/>
      <c r="O424" s="35">
        <v>40</v>
      </c>
      <c r="P424" s="65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4" s="598"/>
      <c r="R424" s="598"/>
      <c r="S424" s="598"/>
      <c r="T424" s="599"/>
      <c r="U424" s="37" t="s">
        <v>46</v>
      </c>
      <c r="V424" s="37" t="s">
        <v>46</v>
      </c>
      <c r="W424" s="38" t="s">
        <v>0</v>
      </c>
      <c r="X424" s="56">
        <v>150</v>
      </c>
      <c r="Y424" s="53">
        <f>IFERROR(IF(X424="",0,CEILING((X424/$H424),1)*$H424),"")</f>
        <v>151.19999999999999</v>
      </c>
      <c r="Z424" s="39">
        <f>IFERROR(IF(Y424=0,"",ROUNDUP(Y424/H424,0)*0.00651),"")</f>
        <v>0.41012999999999999</v>
      </c>
      <c r="AA424" s="65" t="s">
        <v>46</v>
      </c>
      <c r="AB424" s="66" t="s">
        <v>46</v>
      </c>
      <c r="AC424" s="509" t="s">
        <v>700</v>
      </c>
      <c r="AG424" s="75"/>
      <c r="AJ424" s="79" t="s">
        <v>46</v>
      </c>
      <c r="AK424" s="79">
        <v>0</v>
      </c>
      <c r="BB424" s="510" t="s">
        <v>67</v>
      </c>
      <c r="BM424" s="75">
        <f>IFERROR(X424*I424/H424,"0")</f>
        <v>166.50000000000003</v>
      </c>
      <c r="BN424" s="75">
        <f>IFERROR(Y424*I424/H424,"0")</f>
        <v>167.83200000000002</v>
      </c>
      <c r="BO424" s="75">
        <f>IFERROR(1/J424*(X424/H424),"0")</f>
        <v>0.34340659340659341</v>
      </c>
      <c r="BP424" s="75">
        <f>IFERROR(1/J424*(Y424/H424),"0")</f>
        <v>0.3461538461538462</v>
      </c>
    </row>
    <row r="425" spans="1:68" ht="27" hidden="1" customHeight="1" x14ac:dyDescent="0.25">
      <c r="A425" s="60" t="s">
        <v>701</v>
      </c>
      <c r="B425" s="60" t="s">
        <v>703</v>
      </c>
      <c r="C425" s="34">
        <v>4301052069</v>
      </c>
      <c r="D425" s="596">
        <v>4607091384253</v>
      </c>
      <c r="E425" s="596"/>
      <c r="F425" s="59">
        <v>0.4</v>
      </c>
      <c r="G425" s="35">
        <v>6</v>
      </c>
      <c r="H425" s="59">
        <v>2.4</v>
      </c>
      <c r="I425" s="59">
        <v>2.6640000000000001</v>
      </c>
      <c r="J425" s="35">
        <v>182</v>
      </c>
      <c r="K425" s="35" t="s">
        <v>91</v>
      </c>
      <c r="L425" s="35" t="s">
        <v>46</v>
      </c>
      <c r="M425" s="36" t="s">
        <v>90</v>
      </c>
      <c r="N425" s="36"/>
      <c r="O425" s="35">
        <v>40</v>
      </c>
      <c r="P425" s="6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25" s="598"/>
      <c r="R425" s="598"/>
      <c r="S425" s="598"/>
      <c r="T425" s="599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11" t="s">
        <v>704</v>
      </c>
      <c r="AG425" s="75"/>
      <c r="AJ425" s="79" t="s">
        <v>46</v>
      </c>
      <c r="AK425" s="79">
        <v>0</v>
      </c>
      <c r="BB425" s="512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x14ac:dyDescent="0.2">
      <c r="A426" s="603"/>
      <c r="B426" s="603"/>
      <c r="C426" s="603"/>
      <c r="D426" s="603"/>
      <c r="E426" s="603"/>
      <c r="F426" s="603"/>
      <c r="G426" s="603"/>
      <c r="H426" s="603"/>
      <c r="I426" s="603"/>
      <c r="J426" s="603"/>
      <c r="K426" s="603"/>
      <c r="L426" s="603"/>
      <c r="M426" s="603"/>
      <c r="N426" s="603"/>
      <c r="O426" s="604"/>
      <c r="P426" s="600" t="s">
        <v>40</v>
      </c>
      <c r="Q426" s="601"/>
      <c r="R426" s="601"/>
      <c r="S426" s="601"/>
      <c r="T426" s="601"/>
      <c r="U426" s="601"/>
      <c r="V426" s="602"/>
      <c r="W426" s="40" t="s">
        <v>39</v>
      </c>
      <c r="X426" s="41">
        <f>IFERROR(X423/H423,"0")+IFERROR(X424/H424,"0")+IFERROR(X425/H425,"0")</f>
        <v>451.38888888888891</v>
      </c>
      <c r="Y426" s="41">
        <f>IFERROR(Y423/H423,"0")+IFERROR(Y424/H424,"0")+IFERROR(Y425/H425,"0")</f>
        <v>452</v>
      </c>
      <c r="Z426" s="41">
        <f>IFERROR(IF(Z423="",0,Z423),"0")+IFERROR(IF(Z424="",0,Z424),"0")+IFERROR(IF(Z425="",0,Z425),"0")</f>
        <v>7.7933500000000002</v>
      </c>
      <c r="AA426" s="64"/>
      <c r="AB426" s="64"/>
      <c r="AC426" s="64"/>
    </row>
    <row r="427" spans="1:68" x14ac:dyDescent="0.2">
      <c r="A427" s="603"/>
      <c r="B427" s="603"/>
      <c r="C427" s="603"/>
      <c r="D427" s="603"/>
      <c r="E427" s="603"/>
      <c r="F427" s="603"/>
      <c r="G427" s="603"/>
      <c r="H427" s="603"/>
      <c r="I427" s="603"/>
      <c r="J427" s="603"/>
      <c r="K427" s="603"/>
      <c r="L427" s="603"/>
      <c r="M427" s="603"/>
      <c r="N427" s="603"/>
      <c r="O427" s="604"/>
      <c r="P427" s="600" t="s">
        <v>40</v>
      </c>
      <c r="Q427" s="601"/>
      <c r="R427" s="601"/>
      <c r="S427" s="601"/>
      <c r="T427" s="601"/>
      <c r="U427" s="601"/>
      <c r="V427" s="602"/>
      <c r="W427" s="40" t="s">
        <v>0</v>
      </c>
      <c r="X427" s="41">
        <f>IFERROR(SUM(X423:X425),"0")</f>
        <v>3650</v>
      </c>
      <c r="Y427" s="41">
        <f>IFERROR(SUM(Y423:Y425),"0")</f>
        <v>3652.2</v>
      </c>
      <c r="Z427" s="40"/>
      <c r="AA427" s="64"/>
      <c r="AB427" s="64"/>
      <c r="AC427" s="64"/>
    </row>
    <row r="428" spans="1:68" ht="27.75" hidden="1" customHeight="1" x14ac:dyDescent="0.2">
      <c r="A428" s="616" t="s">
        <v>705</v>
      </c>
      <c r="B428" s="616"/>
      <c r="C428" s="616"/>
      <c r="D428" s="616"/>
      <c r="E428" s="616"/>
      <c r="F428" s="616"/>
      <c r="G428" s="616"/>
      <c r="H428" s="616"/>
      <c r="I428" s="616"/>
      <c r="J428" s="616"/>
      <c r="K428" s="616"/>
      <c r="L428" s="616"/>
      <c r="M428" s="616"/>
      <c r="N428" s="616"/>
      <c r="O428" s="616"/>
      <c r="P428" s="616"/>
      <c r="Q428" s="616"/>
      <c r="R428" s="616"/>
      <c r="S428" s="616"/>
      <c r="T428" s="616"/>
      <c r="U428" s="616"/>
      <c r="V428" s="616"/>
      <c r="W428" s="616"/>
      <c r="X428" s="616"/>
      <c r="Y428" s="616"/>
      <c r="Z428" s="616"/>
      <c r="AA428" s="52"/>
      <c r="AB428" s="52"/>
      <c r="AC428" s="52"/>
    </row>
    <row r="429" spans="1:68" ht="16.5" hidden="1" customHeight="1" x14ac:dyDescent="0.25">
      <c r="A429" s="611" t="s">
        <v>706</v>
      </c>
      <c r="B429" s="611"/>
      <c r="C429" s="611"/>
      <c r="D429" s="611"/>
      <c r="E429" s="611"/>
      <c r="F429" s="611"/>
      <c r="G429" s="611"/>
      <c r="H429" s="611"/>
      <c r="I429" s="611"/>
      <c r="J429" s="611"/>
      <c r="K429" s="611"/>
      <c r="L429" s="611"/>
      <c r="M429" s="611"/>
      <c r="N429" s="611"/>
      <c r="O429" s="611"/>
      <c r="P429" s="611"/>
      <c r="Q429" s="611"/>
      <c r="R429" s="611"/>
      <c r="S429" s="611"/>
      <c r="T429" s="611"/>
      <c r="U429" s="611"/>
      <c r="V429" s="611"/>
      <c r="W429" s="611"/>
      <c r="X429" s="611"/>
      <c r="Y429" s="611"/>
      <c r="Z429" s="611"/>
      <c r="AA429" s="62"/>
      <c r="AB429" s="62"/>
      <c r="AC429" s="62"/>
    </row>
    <row r="430" spans="1:68" ht="14.25" hidden="1" customHeight="1" x14ac:dyDescent="0.25">
      <c r="A430" s="595" t="s">
        <v>77</v>
      </c>
      <c r="B430" s="595"/>
      <c r="C430" s="595"/>
      <c r="D430" s="595"/>
      <c r="E430" s="595"/>
      <c r="F430" s="595"/>
      <c r="G430" s="595"/>
      <c r="H430" s="595"/>
      <c r="I430" s="595"/>
      <c r="J430" s="595"/>
      <c r="K430" s="595"/>
      <c r="L430" s="595"/>
      <c r="M430" s="595"/>
      <c r="N430" s="595"/>
      <c r="O430" s="595"/>
      <c r="P430" s="595"/>
      <c r="Q430" s="595"/>
      <c r="R430" s="595"/>
      <c r="S430" s="595"/>
      <c r="T430" s="595"/>
      <c r="U430" s="595"/>
      <c r="V430" s="595"/>
      <c r="W430" s="595"/>
      <c r="X430" s="595"/>
      <c r="Y430" s="595"/>
      <c r="Z430" s="595"/>
      <c r="AA430" s="63"/>
      <c r="AB430" s="63"/>
      <c r="AC430" s="63"/>
    </row>
    <row r="431" spans="1:68" ht="27" hidden="1" customHeight="1" x14ac:dyDescent="0.25">
      <c r="A431" s="60" t="s">
        <v>707</v>
      </c>
      <c r="B431" s="60" t="s">
        <v>708</v>
      </c>
      <c r="C431" s="34">
        <v>4301031405</v>
      </c>
      <c r="D431" s="596">
        <v>4680115886100</v>
      </c>
      <c r="E431" s="596"/>
      <c r="F431" s="59">
        <v>0.9</v>
      </c>
      <c r="G431" s="35">
        <v>6</v>
      </c>
      <c r="H431" s="59">
        <v>5.4</v>
      </c>
      <c r="I431" s="59">
        <v>5.59</v>
      </c>
      <c r="J431" s="35">
        <v>132</v>
      </c>
      <c r="K431" s="35" t="s">
        <v>140</v>
      </c>
      <c r="L431" s="35" t="s">
        <v>46</v>
      </c>
      <c r="M431" s="36" t="s">
        <v>81</v>
      </c>
      <c r="N431" s="36"/>
      <c r="O431" s="35">
        <v>50</v>
      </c>
      <c r="P431" s="64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31" s="598"/>
      <c r="R431" s="598"/>
      <c r="S431" s="598"/>
      <c r="T431" s="599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6" si="62">IFERROR(IF(X431="",0,CEILING((X431/$H431),1)*$H431),"")</f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13" t="s">
        <v>709</v>
      </c>
      <c r="AG431" s="75"/>
      <c r="AJ431" s="79" t="s">
        <v>46</v>
      </c>
      <c r="AK431" s="79">
        <v>0</v>
      </c>
      <c r="BB431" s="514" t="s">
        <v>67</v>
      </c>
      <c r="BM431" s="75">
        <f t="shared" ref="BM431:BM436" si="63">IFERROR(X431*I431/H431,"0")</f>
        <v>0</v>
      </c>
      <c r="BN431" s="75">
        <f t="shared" ref="BN431:BN436" si="64">IFERROR(Y431*I431/H431,"0")</f>
        <v>0</v>
      </c>
      <c r="BO431" s="75">
        <f t="shared" ref="BO431:BO436" si="65">IFERROR(1/J431*(X431/H431),"0")</f>
        <v>0</v>
      </c>
      <c r="BP431" s="75">
        <f t="shared" ref="BP431:BP436" si="66">IFERROR(1/J431*(Y431/H431),"0")</f>
        <v>0</v>
      </c>
    </row>
    <row r="432" spans="1:68" ht="27" hidden="1" customHeight="1" x14ac:dyDescent="0.25">
      <c r="A432" s="60" t="s">
        <v>710</v>
      </c>
      <c r="B432" s="60" t="s">
        <v>711</v>
      </c>
      <c r="C432" s="34">
        <v>4301031402</v>
      </c>
      <c r="D432" s="596">
        <v>4680115886124</v>
      </c>
      <c r="E432" s="596"/>
      <c r="F432" s="59">
        <v>0.9</v>
      </c>
      <c r="G432" s="35">
        <v>6</v>
      </c>
      <c r="H432" s="59">
        <v>5.4</v>
      </c>
      <c r="I432" s="59">
        <v>5.59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64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32" s="598"/>
      <c r="R432" s="598"/>
      <c r="S432" s="598"/>
      <c r="T432" s="599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2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5" t="s">
        <v>712</v>
      </c>
      <c r="AG432" s="75"/>
      <c r="AJ432" s="79" t="s">
        <v>46</v>
      </c>
      <c r="AK432" s="79">
        <v>0</v>
      </c>
      <c r="BB432" s="516" t="s">
        <v>67</v>
      </c>
      <c r="BM432" s="75">
        <f t="shared" si="63"/>
        <v>0</v>
      </c>
      <c r="BN432" s="75">
        <f t="shared" si="64"/>
        <v>0</v>
      </c>
      <c r="BO432" s="75">
        <f t="shared" si="65"/>
        <v>0</v>
      </c>
      <c r="BP432" s="75">
        <f t="shared" si="66"/>
        <v>0</v>
      </c>
    </row>
    <row r="433" spans="1:68" ht="27" hidden="1" customHeight="1" x14ac:dyDescent="0.25">
      <c r="A433" s="60" t="s">
        <v>713</v>
      </c>
      <c r="B433" s="60" t="s">
        <v>714</v>
      </c>
      <c r="C433" s="34">
        <v>4301031362</v>
      </c>
      <c r="D433" s="596">
        <v>4607091384338</v>
      </c>
      <c r="E433" s="596"/>
      <c r="F433" s="59">
        <v>0.35</v>
      </c>
      <c r="G433" s="35">
        <v>6</v>
      </c>
      <c r="H433" s="59">
        <v>2.1</v>
      </c>
      <c r="I433" s="59">
        <v>2.23</v>
      </c>
      <c r="J433" s="35">
        <v>234</v>
      </c>
      <c r="K433" s="35" t="s">
        <v>82</v>
      </c>
      <c r="L433" s="35" t="s">
        <v>46</v>
      </c>
      <c r="M433" s="36" t="s">
        <v>81</v>
      </c>
      <c r="N433" s="36"/>
      <c r="O433" s="35">
        <v>50</v>
      </c>
      <c r="P433" s="6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3" s="598"/>
      <c r="R433" s="598"/>
      <c r="S433" s="598"/>
      <c r="T433" s="599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2"/>
        <v>0</v>
      </c>
      <c r="Z433" s="39" t="str">
        <f>IFERROR(IF(Y433=0,"",ROUNDUP(Y433/H433,0)*0.00502),"")</f>
        <v/>
      </c>
      <c r="AA433" s="65" t="s">
        <v>46</v>
      </c>
      <c r="AB433" s="66" t="s">
        <v>46</v>
      </c>
      <c r="AC433" s="517" t="s">
        <v>709</v>
      </c>
      <c r="AG433" s="75"/>
      <c r="AJ433" s="79" t="s">
        <v>46</v>
      </c>
      <c r="AK433" s="79">
        <v>0</v>
      </c>
      <c r="BB433" s="518" t="s">
        <v>67</v>
      </c>
      <c r="BM433" s="75">
        <f t="shared" si="63"/>
        <v>0</v>
      </c>
      <c r="BN433" s="75">
        <f t="shared" si="64"/>
        <v>0</v>
      </c>
      <c r="BO433" s="75">
        <f t="shared" si="65"/>
        <v>0</v>
      </c>
      <c r="BP433" s="75">
        <f t="shared" si="66"/>
        <v>0</v>
      </c>
    </row>
    <row r="434" spans="1:68" ht="27" hidden="1" customHeight="1" x14ac:dyDescent="0.25">
      <c r="A434" s="60" t="s">
        <v>715</v>
      </c>
      <c r="B434" s="60" t="s">
        <v>716</v>
      </c>
      <c r="C434" s="34">
        <v>4301031364</v>
      </c>
      <c r="D434" s="596">
        <v>4680115883161</v>
      </c>
      <c r="E434" s="596"/>
      <c r="F434" s="59">
        <v>0.28000000000000003</v>
      </c>
      <c r="G434" s="35">
        <v>6</v>
      </c>
      <c r="H434" s="59">
        <v>1.68</v>
      </c>
      <c r="I434" s="59">
        <v>1.81</v>
      </c>
      <c r="J434" s="35">
        <v>234</v>
      </c>
      <c r="K434" s="35" t="s">
        <v>82</v>
      </c>
      <c r="L434" s="35" t="s">
        <v>46</v>
      </c>
      <c r="M434" s="36" t="s">
        <v>81</v>
      </c>
      <c r="N434" s="36"/>
      <c r="O434" s="35">
        <v>50</v>
      </c>
      <c r="P434" s="64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4" s="598"/>
      <c r="R434" s="598"/>
      <c r="S434" s="598"/>
      <c r="T434" s="599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2"/>
        <v>0</v>
      </c>
      <c r="Z434" s="39" t="str">
        <f>IFERROR(IF(Y434=0,"",ROUNDUP(Y434/H434,0)*0.00502),"")</f>
        <v/>
      </c>
      <c r="AA434" s="65" t="s">
        <v>46</v>
      </c>
      <c r="AB434" s="66" t="s">
        <v>46</v>
      </c>
      <c r="AC434" s="519" t="s">
        <v>717</v>
      </c>
      <c r="AG434" s="75"/>
      <c r="AJ434" s="79" t="s">
        <v>46</v>
      </c>
      <c r="AK434" s="79">
        <v>0</v>
      </c>
      <c r="BB434" s="520" t="s">
        <v>67</v>
      </c>
      <c r="BM434" s="75">
        <f t="shared" si="63"/>
        <v>0</v>
      </c>
      <c r="BN434" s="75">
        <f t="shared" si="64"/>
        <v>0</v>
      </c>
      <c r="BO434" s="75">
        <f t="shared" si="65"/>
        <v>0</v>
      </c>
      <c r="BP434" s="75">
        <f t="shared" si="66"/>
        <v>0</v>
      </c>
    </row>
    <row r="435" spans="1:68" ht="27" hidden="1" customHeight="1" x14ac:dyDescent="0.25">
      <c r="A435" s="60" t="s">
        <v>718</v>
      </c>
      <c r="B435" s="60" t="s">
        <v>719</v>
      </c>
      <c r="C435" s="34">
        <v>4301031358</v>
      </c>
      <c r="D435" s="596">
        <v>4607091389531</v>
      </c>
      <c r="E435" s="596"/>
      <c r="F435" s="59">
        <v>0.35</v>
      </c>
      <c r="G435" s="35">
        <v>6</v>
      </c>
      <c r="H435" s="59">
        <v>2.1</v>
      </c>
      <c r="I435" s="59">
        <v>2.23</v>
      </c>
      <c r="J435" s="35">
        <v>234</v>
      </c>
      <c r="K435" s="35" t="s">
        <v>82</v>
      </c>
      <c r="L435" s="35" t="s">
        <v>46</v>
      </c>
      <c r="M435" s="36" t="s">
        <v>81</v>
      </c>
      <c r="N435" s="36"/>
      <c r="O435" s="35">
        <v>50</v>
      </c>
      <c r="P435" s="64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35" s="598"/>
      <c r="R435" s="598"/>
      <c r="S435" s="598"/>
      <c r="T435" s="599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2"/>
        <v>0</v>
      </c>
      <c r="Z435" s="39" t="str">
        <f>IFERROR(IF(Y435=0,"",ROUNDUP(Y435/H435,0)*0.00502),"")</f>
        <v/>
      </c>
      <c r="AA435" s="65" t="s">
        <v>46</v>
      </c>
      <c r="AB435" s="66" t="s">
        <v>46</v>
      </c>
      <c r="AC435" s="521" t="s">
        <v>720</v>
      </c>
      <c r="AG435" s="75"/>
      <c r="AJ435" s="79" t="s">
        <v>46</v>
      </c>
      <c r="AK435" s="79">
        <v>0</v>
      </c>
      <c r="BB435" s="522" t="s">
        <v>67</v>
      </c>
      <c r="BM435" s="75">
        <f t="shared" si="63"/>
        <v>0</v>
      </c>
      <c r="BN435" s="75">
        <f t="shared" si="64"/>
        <v>0</v>
      </c>
      <c r="BO435" s="75">
        <f t="shared" si="65"/>
        <v>0</v>
      </c>
      <c r="BP435" s="75">
        <f t="shared" si="66"/>
        <v>0</v>
      </c>
    </row>
    <row r="436" spans="1:68" ht="37.5" hidden="1" customHeight="1" x14ac:dyDescent="0.25">
      <c r="A436" s="60" t="s">
        <v>721</v>
      </c>
      <c r="B436" s="60" t="s">
        <v>722</v>
      </c>
      <c r="C436" s="34">
        <v>4301031360</v>
      </c>
      <c r="D436" s="596">
        <v>4607091384345</v>
      </c>
      <c r="E436" s="596"/>
      <c r="F436" s="59">
        <v>0.35</v>
      </c>
      <c r="G436" s="35">
        <v>6</v>
      </c>
      <c r="H436" s="59">
        <v>2.1</v>
      </c>
      <c r="I436" s="59">
        <v>2.23</v>
      </c>
      <c r="J436" s="35">
        <v>234</v>
      </c>
      <c r="K436" s="35" t="s">
        <v>82</v>
      </c>
      <c r="L436" s="35" t="s">
        <v>46</v>
      </c>
      <c r="M436" s="36" t="s">
        <v>81</v>
      </c>
      <c r="N436" s="36"/>
      <c r="O436" s="35">
        <v>50</v>
      </c>
      <c r="P436" s="64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36" s="598"/>
      <c r="R436" s="598"/>
      <c r="S436" s="598"/>
      <c r="T436" s="599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2"/>
        <v>0</v>
      </c>
      <c r="Z436" s="39" t="str">
        <f>IFERROR(IF(Y436=0,"",ROUNDUP(Y436/H436,0)*0.00502),"")</f>
        <v/>
      </c>
      <c r="AA436" s="65" t="s">
        <v>46</v>
      </c>
      <c r="AB436" s="66" t="s">
        <v>46</v>
      </c>
      <c r="AC436" s="523" t="s">
        <v>717</v>
      </c>
      <c r="AG436" s="75"/>
      <c r="AJ436" s="79" t="s">
        <v>46</v>
      </c>
      <c r="AK436" s="79">
        <v>0</v>
      </c>
      <c r="BB436" s="524" t="s">
        <v>67</v>
      </c>
      <c r="BM436" s="75">
        <f t="shared" si="63"/>
        <v>0</v>
      </c>
      <c r="BN436" s="75">
        <f t="shared" si="64"/>
        <v>0</v>
      </c>
      <c r="BO436" s="75">
        <f t="shared" si="65"/>
        <v>0</v>
      </c>
      <c r="BP436" s="75">
        <f t="shared" si="66"/>
        <v>0</v>
      </c>
    </row>
    <row r="437" spans="1:68" hidden="1" x14ac:dyDescent="0.2">
      <c r="A437" s="603"/>
      <c r="B437" s="603"/>
      <c r="C437" s="603"/>
      <c r="D437" s="603"/>
      <c r="E437" s="603"/>
      <c r="F437" s="603"/>
      <c r="G437" s="603"/>
      <c r="H437" s="603"/>
      <c r="I437" s="603"/>
      <c r="J437" s="603"/>
      <c r="K437" s="603"/>
      <c r="L437" s="603"/>
      <c r="M437" s="603"/>
      <c r="N437" s="603"/>
      <c r="O437" s="604"/>
      <c r="P437" s="600" t="s">
        <v>40</v>
      </c>
      <c r="Q437" s="601"/>
      <c r="R437" s="601"/>
      <c r="S437" s="601"/>
      <c r="T437" s="601"/>
      <c r="U437" s="601"/>
      <c r="V437" s="602"/>
      <c r="W437" s="40" t="s">
        <v>39</v>
      </c>
      <c r="X437" s="41">
        <f>IFERROR(X431/H431,"0")+IFERROR(X432/H432,"0")+IFERROR(X433/H433,"0")+IFERROR(X434/H434,"0")+IFERROR(X435/H435,"0")+IFERROR(X436/H436,"0")</f>
        <v>0</v>
      </c>
      <c r="Y437" s="41">
        <f>IFERROR(Y431/H431,"0")+IFERROR(Y432/H432,"0")+IFERROR(Y433/H433,"0")+IFERROR(Y434/H434,"0")+IFERROR(Y435/H435,"0")+IFERROR(Y436/H436,"0")</f>
        <v>0</v>
      </c>
      <c r="Z437" s="41">
        <f>IFERROR(IF(Z431="",0,Z431),"0")+IFERROR(IF(Z432="",0,Z432),"0")+IFERROR(IF(Z433="",0,Z433),"0")+IFERROR(IF(Z434="",0,Z434),"0")+IFERROR(IF(Z435="",0,Z435),"0")+IFERROR(IF(Z436="",0,Z436),"0")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603"/>
      <c r="B438" s="603"/>
      <c r="C438" s="603"/>
      <c r="D438" s="603"/>
      <c r="E438" s="603"/>
      <c r="F438" s="603"/>
      <c r="G438" s="603"/>
      <c r="H438" s="603"/>
      <c r="I438" s="603"/>
      <c r="J438" s="603"/>
      <c r="K438" s="603"/>
      <c r="L438" s="603"/>
      <c r="M438" s="603"/>
      <c r="N438" s="603"/>
      <c r="O438" s="604"/>
      <c r="P438" s="600" t="s">
        <v>40</v>
      </c>
      <c r="Q438" s="601"/>
      <c r="R438" s="601"/>
      <c r="S438" s="601"/>
      <c r="T438" s="601"/>
      <c r="U438" s="601"/>
      <c r="V438" s="602"/>
      <c r="W438" s="40" t="s">
        <v>0</v>
      </c>
      <c r="X438" s="41">
        <f>IFERROR(SUM(X431:X436),"0")</f>
        <v>0</v>
      </c>
      <c r="Y438" s="41">
        <f>IFERROR(SUM(Y431:Y436),"0")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595" t="s">
        <v>86</v>
      </c>
      <c r="B439" s="595"/>
      <c r="C439" s="595"/>
      <c r="D439" s="595"/>
      <c r="E439" s="595"/>
      <c r="F439" s="595"/>
      <c r="G439" s="595"/>
      <c r="H439" s="595"/>
      <c r="I439" s="595"/>
      <c r="J439" s="595"/>
      <c r="K439" s="595"/>
      <c r="L439" s="595"/>
      <c r="M439" s="595"/>
      <c r="N439" s="595"/>
      <c r="O439" s="595"/>
      <c r="P439" s="595"/>
      <c r="Q439" s="595"/>
      <c r="R439" s="595"/>
      <c r="S439" s="595"/>
      <c r="T439" s="595"/>
      <c r="U439" s="595"/>
      <c r="V439" s="595"/>
      <c r="W439" s="595"/>
      <c r="X439" s="595"/>
      <c r="Y439" s="595"/>
      <c r="Z439" s="595"/>
      <c r="AA439" s="63"/>
      <c r="AB439" s="63"/>
      <c r="AC439" s="63"/>
    </row>
    <row r="440" spans="1:68" ht="27" hidden="1" customHeight="1" x14ac:dyDescent="0.25">
      <c r="A440" s="60" t="s">
        <v>723</v>
      </c>
      <c r="B440" s="60" t="s">
        <v>724</v>
      </c>
      <c r="C440" s="34">
        <v>4301051284</v>
      </c>
      <c r="D440" s="596">
        <v>4607091384352</v>
      </c>
      <c r="E440" s="596"/>
      <c r="F440" s="59">
        <v>0.6</v>
      </c>
      <c r="G440" s="35">
        <v>4</v>
      </c>
      <c r="H440" s="59">
        <v>2.4</v>
      </c>
      <c r="I440" s="59">
        <v>2.6259999999999999</v>
      </c>
      <c r="J440" s="35">
        <v>132</v>
      </c>
      <c r="K440" s="35" t="s">
        <v>140</v>
      </c>
      <c r="L440" s="35" t="s">
        <v>46</v>
      </c>
      <c r="M440" s="36" t="s">
        <v>90</v>
      </c>
      <c r="N440" s="36"/>
      <c r="O440" s="35">
        <v>45</v>
      </c>
      <c r="P440" s="64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0" s="598"/>
      <c r="R440" s="598"/>
      <c r="S440" s="598"/>
      <c r="T440" s="59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IFERROR(IF(Y440=0,"",ROUNDUP(Y440/H440,0)*0.00902),"")</f>
        <v/>
      </c>
      <c r="AA440" s="65" t="s">
        <v>46</v>
      </c>
      <c r="AB440" s="66" t="s">
        <v>46</v>
      </c>
      <c r="AC440" s="525" t="s">
        <v>725</v>
      </c>
      <c r="AG440" s="75"/>
      <c r="AJ440" s="79" t="s">
        <v>46</v>
      </c>
      <c r="AK440" s="79">
        <v>0</v>
      </c>
      <c r="BB440" s="526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726</v>
      </c>
      <c r="B441" s="60" t="s">
        <v>727</v>
      </c>
      <c r="C441" s="34">
        <v>4301051431</v>
      </c>
      <c r="D441" s="596">
        <v>4607091389654</v>
      </c>
      <c r="E441" s="596"/>
      <c r="F441" s="59">
        <v>0.33</v>
      </c>
      <c r="G441" s="35">
        <v>6</v>
      </c>
      <c r="H441" s="59">
        <v>1.98</v>
      </c>
      <c r="I441" s="59">
        <v>2.238</v>
      </c>
      <c r="J441" s="35">
        <v>182</v>
      </c>
      <c r="K441" s="35" t="s">
        <v>91</v>
      </c>
      <c r="L441" s="35" t="s">
        <v>46</v>
      </c>
      <c r="M441" s="36" t="s">
        <v>90</v>
      </c>
      <c r="N441" s="36"/>
      <c r="O441" s="35">
        <v>45</v>
      </c>
      <c r="P441" s="64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1" s="598"/>
      <c r="R441" s="598"/>
      <c r="S441" s="598"/>
      <c r="T441" s="59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IFERROR(IF(Y441=0,"",ROUNDUP(Y441/H441,0)*0.00651),"")</f>
        <v/>
      </c>
      <c r="AA441" s="65" t="s">
        <v>46</v>
      </c>
      <c r="AB441" s="66" t="s">
        <v>46</v>
      </c>
      <c r="AC441" s="527" t="s">
        <v>728</v>
      </c>
      <c r="AG441" s="75"/>
      <c r="AJ441" s="79" t="s">
        <v>46</v>
      </c>
      <c r="AK441" s="79">
        <v>0</v>
      </c>
      <c r="BB441" s="528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idden="1" x14ac:dyDescent="0.2">
      <c r="A442" s="603"/>
      <c r="B442" s="603"/>
      <c r="C442" s="603"/>
      <c r="D442" s="603"/>
      <c r="E442" s="603"/>
      <c r="F442" s="603"/>
      <c r="G442" s="603"/>
      <c r="H442" s="603"/>
      <c r="I442" s="603"/>
      <c r="J442" s="603"/>
      <c r="K442" s="603"/>
      <c r="L442" s="603"/>
      <c r="M442" s="603"/>
      <c r="N442" s="603"/>
      <c r="O442" s="604"/>
      <c r="P442" s="600" t="s">
        <v>40</v>
      </c>
      <c r="Q442" s="601"/>
      <c r="R442" s="601"/>
      <c r="S442" s="601"/>
      <c r="T442" s="601"/>
      <c r="U442" s="601"/>
      <c r="V442" s="602"/>
      <c r="W442" s="40" t="s">
        <v>39</v>
      </c>
      <c r="X442" s="41">
        <f>IFERROR(X440/H440,"0")+IFERROR(X441/H441,"0")</f>
        <v>0</v>
      </c>
      <c r="Y442" s="41">
        <f>IFERROR(Y440/H440,"0")+IFERROR(Y441/H441,"0")</f>
        <v>0</v>
      </c>
      <c r="Z442" s="41">
        <f>IFERROR(IF(Z440="",0,Z440),"0")+IFERROR(IF(Z441="",0,Z441),"0")</f>
        <v>0</v>
      </c>
      <c r="AA442" s="64"/>
      <c r="AB442" s="64"/>
      <c r="AC442" s="64"/>
    </row>
    <row r="443" spans="1:68" hidden="1" x14ac:dyDescent="0.2">
      <c r="A443" s="603"/>
      <c r="B443" s="603"/>
      <c r="C443" s="603"/>
      <c r="D443" s="603"/>
      <c r="E443" s="603"/>
      <c r="F443" s="603"/>
      <c r="G443" s="603"/>
      <c r="H443" s="603"/>
      <c r="I443" s="603"/>
      <c r="J443" s="603"/>
      <c r="K443" s="603"/>
      <c r="L443" s="603"/>
      <c r="M443" s="603"/>
      <c r="N443" s="603"/>
      <c r="O443" s="604"/>
      <c r="P443" s="600" t="s">
        <v>40</v>
      </c>
      <c r="Q443" s="601"/>
      <c r="R443" s="601"/>
      <c r="S443" s="601"/>
      <c r="T443" s="601"/>
      <c r="U443" s="601"/>
      <c r="V443" s="602"/>
      <c r="W443" s="40" t="s">
        <v>0</v>
      </c>
      <c r="X443" s="41">
        <f>IFERROR(SUM(X440:X441),"0")</f>
        <v>0</v>
      </c>
      <c r="Y443" s="41">
        <f>IFERROR(SUM(Y440:Y441),"0")</f>
        <v>0</v>
      </c>
      <c r="Z443" s="40"/>
      <c r="AA443" s="64"/>
      <c r="AB443" s="64"/>
      <c r="AC443" s="64"/>
    </row>
    <row r="444" spans="1:68" ht="16.5" hidden="1" customHeight="1" x14ac:dyDescent="0.25">
      <c r="A444" s="611" t="s">
        <v>729</v>
      </c>
      <c r="B444" s="611"/>
      <c r="C444" s="611"/>
      <c r="D444" s="611"/>
      <c r="E444" s="611"/>
      <c r="F444" s="611"/>
      <c r="G444" s="611"/>
      <c r="H444" s="611"/>
      <c r="I444" s="611"/>
      <c r="J444" s="611"/>
      <c r="K444" s="611"/>
      <c r="L444" s="611"/>
      <c r="M444" s="611"/>
      <c r="N444" s="611"/>
      <c r="O444" s="611"/>
      <c r="P444" s="611"/>
      <c r="Q444" s="611"/>
      <c r="R444" s="611"/>
      <c r="S444" s="611"/>
      <c r="T444" s="611"/>
      <c r="U444" s="611"/>
      <c r="V444" s="611"/>
      <c r="W444" s="611"/>
      <c r="X444" s="611"/>
      <c r="Y444" s="611"/>
      <c r="Z444" s="611"/>
      <c r="AA444" s="62"/>
      <c r="AB444" s="62"/>
      <c r="AC444" s="62"/>
    </row>
    <row r="445" spans="1:68" ht="14.25" hidden="1" customHeight="1" x14ac:dyDescent="0.25">
      <c r="A445" s="595" t="s">
        <v>163</v>
      </c>
      <c r="B445" s="595"/>
      <c r="C445" s="595"/>
      <c r="D445" s="595"/>
      <c r="E445" s="595"/>
      <c r="F445" s="595"/>
      <c r="G445" s="595"/>
      <c r="H445" s="595"/>
      <c r="I445" s="595"/>
      <c r="J445" s="595"/>
      <c r="K445" s="595"/>
      <c r="L445" s="595"/>
      <c r="M445" s="595"/>
      <c r="N445" s="595"/>
      <c r="O445" s="595"/>
      <c r="P445" s="595"/>
      <c r="Q445" s="595"/>
      <c r="R445" s="595"/>
      <c r="S445" s="595"/>
      <c r="T445" s="595"/>
      <c r="U445" s="595"/>
      <c r="V445" s="595"/>
      <c r="W445" s="595"/>
      <c r="X445" s="595"/>
      <c r="Y445" s="595"/>
      <c r="Z445" s="595"/>
      <c r="AA445" s="63"/>
      <c r="AB445" s="63"/>
      <c r="AC445" s="63"/>
    </row>
    <row r="446" spans="1:68" ht="27" hidden="1" customHeight="1" x14ac:dyDescent="0.25">
      <c r="A446" s="60" t="s">
        <v>730</v>
      </c>
      <c r="B446" s="60" t="s">
        <v>731</v>
      </c>
      <c r="C446" s="34">
        <v>4301020416</v>
      </c>
      <c r="D446" s="596">
        <v>4680115885240</v>
      </c>
      <c r="E446" s="596"/>
      <c r="F446" s="59">
        <v>0.35</v>
      </c>
      <c r="G446" s="35">
        <v>6</v>
      </c>
      <c r="H446" s="59">
        <v>2.1</v>
      </c>
      <c r="I446" s="59">
        <v>2.31</v>
      </c>
      <c r="J446" s="35">
        <v>182</v>
      </c>
      <c r="K446" s="35" t="s">
        <v>91</v>
      </c>
      <c r="L446" s="35" t="s">
        <v>46</v>
      </c>
      <c r="M446" s="36" t="s">
        <v>81</v>
      </c>
      <c r="N446" s="36"/>
      <c r="O446" s="35">
        <v>40</v>
      </c>
      <c r="P446" s="63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46" s="598"/>
      <c r="R446" s="598"/>
      <c r="S446" s="598"/>
      <c r="T446" s="59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IFERROR(IF(Y446=0,"",ROUNDUP(Y446/H446,0)*0.00651),"")</f>
        <v/>
      </c>
      <c r="AA446" s="65" t="s">
        <v>46</v>
      </c>
      <c r="AB446" s="66" t="s">
        <v>46</v>
      </c>
      <c r="AC446" s="529" t="s">
        <v>732</v>
      </c>
      <c r="AG446" s="75"/>
      <c r="AJ446" s="79" t="s">
        <v>46</v>
      </c>
      <c r="AK446" s="79">
        <v>0</v>
      </c>
      <c r="BB446" s="530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idden="1" x14ac:dyDescent="0.2">
      <c r="A447" s="603"/>
      <c r="B447" s="603"/>
      <c r="C447" s="603"/>
      <c r="D447" s="603"/>
      <c r="E447" s="603"/>
      <c r="F447" s="603"/>
      <c r="G447" s="603"/>
      <c r="H447" s="603"/>
      <c r="I447" s="603"/>
      <c r="J447" s="603"/>
      <c r="K447" s="603"/>
      <c r="L447" s="603"/>
      <c r="M447" s="603"/>
      <c r="N447" s="603"/>
      <c r="O447" s="604"/>
      <c r="P447" s="600" t="s">
        <v>40</v>
      </c>
      <c r="Q447" s="601"/>
      <c r="R447" s="601"/>
      <c r="S447" s="601"/>
      <c r="T447" s="601"/>
      <c r="U447" s="601"/>
      <c r="V447" s="602"/>
      <c r="W447" s="40" t="s">
        <v>39</v>
      </c>
      <c r="X447" s="41">
        <f>IFERROR(X446/H446,"0")</f>
        <v>0</v>
      </c>
      <c r="Y447" s="41">
        <f>IFERROR(Y446/H446,"0")</f>
        <v>0</v>
      </c>
      <c r="Z447" s="41">
        <f>IFERROR(IF(Z446="",0,Z446),"0")</f>
        <v>0</v>
      </c>
      <c r="AA447" s="64"/>
      <c r="AB447" s="64"/>
      <c r="AC447" s="64"/>
    </row>
    <row r="448" spans="1:68" hidden="1" x14ac:dyDescent="0.2">
      <c r="A448" s="603"/>
      <c r="B448" s="603"/>
      <c r="C448" s="603"/>
      <c r="D448" s="603"/>
      <c r="E448" s="603"/>
      <c r="F448" s="603"/>
      <c r="G448" s="603"/>
      <c r="H448" s="603"/>
      <c r="I448" s="603"/>
      <c r="J448" s="603"/>
      <c r="K448" s="603"/>
      <c r="L448" s="603"/>
      <c r="M448" s="603"/>
      <c r="N448" s="603"/>
      <c r="O448" s="604"/>
      <c r="P448" s="600" t="s">
        <v>40</v>
      </c>
      <c r="Q448" s="601"/>
      <c r="R448" s="601"/>
      <c r="S448" s="601"/>
      <c r="T448" s="601"/>
      <c r="U448" s="601"/>
      <c r="V448" s="602"/>
      <c r="W448" s="40" t="s">
        <v>0</v>
      </c>
      <c r="X448" s="41">
        <f>IFERROR(SUM(X446:X446),"0")</f>
        <v>0</v>
      </c>
      <c r="Y448" s="41">
        <f>IFERROR(SUM(Y446:Y446),"0")</f>
        <v>0</v>
      </c>
      <c r="Z448" s="40"/>
      <c r="AA448" s="64"/>
      <c r="AB448" s="64"/>
      <c r="AC448" s="64"/>
    </row>
    <row r="449" spans="1:68" ht="14.25" hidden="1" customHeight="1" x14ac:dyDescent="0.25">
      <c r="A449" s="595" t="s">
        <v>77</v>
      </c>
      <c r="B449" s="595"/>
      <c r="C449" s="595"/>
      <c r="D449" s="595"/>
      <c r="E449" s="595"/>
      <c r="F449" s="595"/>
      <c r="G449" s="595"/>
      <c r="H449" s="595"/>
      <c r="I449" s="595"/>
      <c r="J449" s="595"/>
      <c r="K449" s="595"/>
      <c r="L449" s="595"/>
      <c r="M449" s="595"/>
      <c r="N449" s="595"/>
      <c r="O449" s="595"/>
      <c r="P449" s="595"/>
      <c r="Q449" s="595"/>
      <c r="R449" s="595"/>
      <c r="S449" s="595"/>
      <c r="T449" s="595"/>
      <c r="U449" s="595"/>
      <c r="V449" s="595"/>
      <c r="W449" s="595"/>
      <c r="X449" s="595"/>
      <c r="Y449" s="595"/>
      <c r="Z449" s="595"/>
      <c r="AA449" s="63"/>
      <c r="AB449" s="63"/>
      <c r="AC449" s="63"/>
    </row>
    <row r="450" spans="1:68" ht="27" hidden="1" customHeight="1" x14ac:dyDescent="0.25">
      <c r="A450" s="60" t="s">
        <v>733</v>
      </c>
      <c r="B450" s="60" t="s">
        <v>734</v>
      </c>
      <c r="C450" s="34">
        <v>4301031407</v>
      </c>
      <c r="D450" s="596">
        <v>4680115886094</v>
      </c>
      <c r="E450" s="596"/>
      <c r="F450" s="59">
        <v>0.9</v>
      </c>
      <c r="G450" s="35">
        <v>6</v>
      </c>
      <c r="H450" s="59">
        <v>5.4</v>
      </c>
      <c r="I450" s="59">
        <v>5.59</v>
      </c>
      <c r="J450" s="35">
        <v>132</v>
      </c>
      <c r="K450" s="35" t="s">
        <v>140</v>
      </c>
      <c r="L450" s="35" t="s">
        <v>46</v>
      </c>
      <c r="M450" s="36" t="s">
        <v>81</v>
      </c>
      <c r="N450" s="36"/>
      <c r="O450" s="35">
        <v>50</v>
      </c>
      <c r="P450" s="6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50" s="598"/>
      <c r="R450" s="598"/>
      <c r="S450" s="598"/>
      <c r="T450" s="599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IFERROR(IF(Y450=0,"",ROUNDUP(Y450/H450,0)*0.00902),"")</f>
        <v/>
      </c>
      <c r="AA450" s="65" t="s">
        <v>46</v>
      </c>
      <c r="AB450" s="66" t="s">
        <v>46</v>
      </c>
      <c r="AC450" s="531" t="s">
        <v>735</v>
      </c>
      <c r="AG450" s="75"/>
      <c r="AJ450" s="79" t="s">
        <v>46</v>
      </c>
      <c r="AK450" s="79">
        <v>0</v>
      </c>
      <c r="BB450" s="532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hidden="1" customHeight="1" x14ac:dyDescent="0.25">
      <c r="A451" s="60" t="s">
        <v>736</v>
      </c>
      <c r="B451" s="60" t="s">
        <v>737</v>
      </c>
      <c r="C451" s="34">
        <v>4301031373</v>
      </c>
      <c r="D451" s="596">
        <v>4680115880771</v>
      </c>
      <c r="E451" s="596"/>
      <c r="F451" s="59">
        <v>0.28000000000000003</v>
      </c>
      <c r="G451" s="35">
        <v>6</v>
      </c>
      <c r="H451" s="59">
        <v>1.68</v>
      </c>
      <c r="I451" s="59">
        <v>1.81</v>
      </c>
      <c r="J451" s="35">
        <v>234</v>
      </c>
      <c r="K451" s="35" t="s">
        <v>82</v>
      </c>
      <c r="L451" s="35" t="s">
        <v>46</v>
      </c>
      <c r="M451" s="36" t="s">
        <v>81</v>
      </c>
      <c r="N451" s="36"/>
      <c r="O451" s="35">
        <v>50</v>
      </c>
      <c r="P451" s="63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51" s="598"/>
      <c r="R451" s="598"/>
      <c r="S451" s="598"/>
      <c r="T451" s="599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IFERROR(IF(Y451=0,"",ROUNDUP(Y451/H451,0)*0.00502),"")</f>
        <v/>
      </c>
      <c r="AA451" s="65" t="s">
        <v>46</v>
      </c>
      <c r="AB451" s="66" t="s">
        <v>46</v>
      </c>
      <c r="AC451" s="533" t="s">
        <v>738</v>
      </c>
      <c r="AG451" s="75"/>
      <c r="AJ451" s="79" t="s">
        <v>46</v>
      </c>
      <c r="AK451" s="79">
        <v>0</v>
      </c>
      <c r="BB451" s="534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739</v>
      </c>
      <c r="B452" s="60" t="s">
        <v>740</v>
      </c>
      <c r="C452" s="34">
        <v>4301031359</v>
      </c>
      <c r="D452" s="596">
        <v>4607091389500</v>
      </c>
      <c r="E452" s="596"/>
      <c r="F452" s="59">
        <v>0.35</v>
      </c>
      <c r="G452" s="35">
        <v>6</v>
      </c>
      <c r="H452" s="59">
        <v>2.1</v>
      </c>
      <c r="I452" s="59">
        <v>2.23</v>
      </c>
      <c r="J452" s="35">
        <v>234</v>
      </c>
      <c r="K452" s="35" t="s">
        <v>82</v>
      </c>
      <c r="L452" s="35" t="s">
        <v>46</v>
      </c>
      <c r="M452" s="36" t="s">
        <v>81</v>
      </c>
      <c r="N452" s="36"/>
      <c r="O452" s="35">
        <v>50</v>
      </c>
      <c r="P452" s="63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2" s="598"/>
      <c r="R452" s="598"/>
      <c r="S452" s="598"/>
      <c r="T452" s="59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IFERROR(IF(Y452=0,"",ROUNDUP(Y452/H452,0)*0.00502),"")</f>
        <v/>
      </c>
      <c r="AA452" s="65" t="s">
        <v>46</v>
      </c>
      <c r="AB452" s="66" t="s">
        <v>46</v>
      </c>
      <c r="AC452" s="535" t="s">
        <v>738</v>
      </c>
      <c r="AG452" s="75"/>
      <c r="AJ452" s="79" t="s">
        <v>46</v>
      </c>
      <c r="AK452" s="79">
        <v>0</v>
      </c>
      <c r="BB452" s="536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idden="1" x14ac:dyDescent="0.2">
      <c r="A453" s="603"/>
      <c r="B453" s="603"/>
      <c r="C453" s="603"/>
      <c r="D453" s="603"/>
      <c r="E453" s="603"/>
      <c r="F453" s="603"/>
      <c r="G453" s="603"/>
      <c r="H453" s="603"/>
      <c r="I453" s="603"/>
      <c r="J453" s="603"/>
      <c r="K453" s="603"/>
      <c r="L453" s="603"/>
      <c r="M453" s="603"/>
      <c r="N453" s="603"/>
      <c r="O453" s="604"/>
      <c r="P453" s="600" t="s">
        <v>40</v>
      </c>
      <c r="Q453" s="601"/>
      <c r="R453" s="601"/>
      <c r="S453" s="601"/>
      <c r="T453" s="601"/>
      <c r="U453" s="601"/>
      <c r="V453" s="602"/>
      <c r="W453" s="40" t="s">
        <v>39</v>
      </c>
      <c r="X453" s="41">
        <f>IFERROR(X450/H450,"0")+IFERROR(X451/H451,"0")+IFERROR(X452/H452,"0")</f>
        <v>0</v>
      </c>
      <c r="Y453" s="41">
        <f>IFERROR(Y450/H450,"0")+IFERROR(Y451/H451,"0")+IFERROR(Y452/H452,"0")</f>
        <v>0</v>
      </c>
      <c r="Z453" s="41">
        <f>IFERROR(IF(Z450="",0,Z450),"0")+IFERROR(IF(Z451="",0,Z451),"0")+IFERROR(IF(Z452="",0,Z452),"0")</f>
        <v>0</v>
      </c>
      <c r="AA453" s="64"/>
      <c r="AB453" s="64"/>
      <c r="AC453" s="64"/>
    </row>
    <row r="454" spans="1:68" hidden="1" x14ac:dyDescent="0.2">
      <c r="A454" s="603"/>
      <c r="B454" s="603"/>
      <c r="C454" s="603"/>
      <c r="D454" s="603"/>
      <c r="E454" s="603"/>
      <c r="F454" s="603"/>
      <c r="G454" s="603"/>
      <c r="H454" s="603"/>
      <c r="I454" s="603"/>
      <c r="J454" s="603"/>
      <c r="K454" s="603"/>
      <c r="L454" s="603"/>
      <c r="M454" s="603"/>
      <c r="N454" s="603"/>
      <c r="O454" s="604"/>
      <c r="P454" s="600" t="s">
        <v>40</v>
      </c>
      <c r="Q454" s="601"/>
      <c r="R454" s="601"/>
      <c r="S454" s="601"/>
      <c r="T454" s="601"/>
      <c r="U454" s="601"/>
      <c r="V454" s="602"/>
      <c r="W454" s="40" t="s">
        <v>0</v>
      </c>
      <c r="X454" s="41">
        <f>IFERROR(SUM(X450:X452),"0")</f>
        <v>0</v>
      </c>
      <c r="Y454" s="41">
        <f>IFERROR(SUM(Y450:Y452),"0")</f>
        <v>0</v>
      </c>
      <c r="Z454" s="40"/>
      <c r="AA454" s="64"/>
      <c r="AB454" s="64"/>
      <c r="AC454" s="64"/>
    </row>
    <row r="455" spans="1:68" ht="27.75" hidden="1" customHeight="1" x14ac:dyDescent="0.2">
      <c r="A455" s="616" t="s">
        <v>741</v>
      </c>
      <c r="B455" s="616"/>
      <c r="C455" s="616"/>
      <c r="D455" s="616"/>
      <c r="E455" s="616"/>
      <c r="F455" s="616"/>
      <c r="G455" s="616"/>
      <c r="H455" s="616"/>
      <c r="I455" s="616"/>
      <c r="J455" s="616"/>
      <c r="K455" s="616"/>
      <c r="L455" s="616"/>
      <c r="M455" s="616"/>
      <c r="N455" s="616"/>
      <c r="O455" s="616"/>
      <c r="P455" s="616"/>
      <c r="Q455" s="616"/>
      <c r="R455" s="616"/>
      <c r="S455" s="616"/>
      <c r="T455" s="616"/>
      <c r="U455" s="616"/>
      <c r="V455" s="616"/>
      <c r="W455" s="616"/>
      <c r="X455" s="616"/>
      <c r="Y455" s="616"/>
      <c r="Z455" s="616"/>
      <c r="AA455" s="52"/>
      <c r="AB455" s="52"/>
      <c r="AC455" s="52"/>
    </row>
    <row r="456" spans="1:68" ht="16.5" hidden="1" customHeight="1" x14ac:dyDescent="0.25">
      <c r="A456" s="611" t="s">
        <v>741</v>
      </c>
      <c r="B456" s="611"/>
      <c r="C456" s="611"/>
      <c r="D456" s="611"/>
      <c r="E456" s="611"/>
      <c r="F456" s="611"/>
      <c r="G456" s="611"/>
      <c r="H456" s="611"/>
      <c r="I456" s="611"/>
      <c r="J456" s="611"/>
      <c r="K456" s="611"/>
      <c r="L456" s="611"/>
      <c r="M456" s="611"/>
      <c r="N456" s="611"/>
      <c r="O456" s="611"/>
      <c r="P456" s="611"/>
      <c r="Q456" s="611"/>
      <c r="R456" s="611"/>
      <c r="S456" s="611"/>
      <c r="T456" s="611"/>
      <c r="U456" s="611"/>
      <c r="V456" s="611"/>
      <c r="W456" s="611"/>
      <c r="X456" s="611"/>
      <c r="Y456" s="611"/>
      <c r="Z456" s="611"/>
      <c r="AA456" s="62"/>
      <c r="AB456" s="62"/>
      <c r="AC456" s="62"/>
    </row>
    <row r="457" spans="1:68" ht="14.25" hidden="1" customHeight="1" x14ac:dyDescent="0.25">
      <c r="A457" s="595" t="s">
        <v>128</v>
      </c>
      <c r="B457" s="595"/>
      <c r="C457" s="595"/>
      <c r="D457" s="595"/>
      <c r="E457" s="595"/>
      <c r="F457" s="595"/>
      <c r="G457" s="595"/>
      <c r="H457" s="595"/>
      <c r="I457" s="595"/>
      <c r="J457" s="595"/>
      <c r="K457" s="595"/>
      <c r="L457" s="595"/>
      <c r="M457" s="595"/>
      <c r="N457" s="595"/>
      <c r="O457" s="595"/>
      <c r="P457" s="595"/>
      <c r="Q457" s="595"/>
      <c r="R457" s="595"/>
      <c r="S457" s="595"/>
      <c r="T457" s="595"/>
      <c r="U457" s="595"/>
      <c r="V457" s="595"/>
      <c r="W457" s="595"/>
      <c r="X457" s="595"/>
      <c r="Y457" s="595"/>
      <c r="Z457" s="595"/>
      <c r="AA457" s="63"/>
      <c r="AB457" s="63"/>
      <c r="AC457" s="63"/>
    </row>
    <row r="458" spans="1:68" ht="27" hidden="1" customHeight="1" x14ac:dyDescent="0.25">
      <c r="A458" s="60" t="s">
        <v>742</v>
      </c>
      <c r="B458" s="60" t="s">
        <v>743</v>
      </c>
      <c r="C458" s="34">
        <v>4301011769</v>
      </c>
      <c r="D458" s="596">
        <v>4607091389067</v>
      </c>
      <c r="E458" s="596"/>
      <c r="F458" s="59">
        <v>0.88</v>
      </c>
      <c r="G458" s="35">
        <v>6</v>
      </c>
      <c r="H458" s="59">
        <v>5.28</v>
      </c>
      <c r="I458" s="59">
        <v>5.63</v>
      </c>
      <c r="J458" s="35">
        <v>104</v>
      </c>
      <c r="K458" s="35" t="s">
        <v>133</v>
      </c>
      <c r="L458" s="35" t="s">
        <v>46</v>
      </c>
      <c r="M458" s="36" t="s">
        <v>90</v>
      </c>
      <c r="N458" s="36"/>
      <c r="O458" s="35">
        <v>60</v>
      </c>
      <c r="P458" s="6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58" s="598"/>
      <c r="R458" s="598"/>
      <c r="S458" s="598"/>
      <c r="T458" s="599"/>
      <c r="U458" s="37" t="s">
        <v>46</v>
      </c>
      <c r="V458" s="37" t="s">
        <v>46</v>
      </c>
      <c r="W458" s="38" t="s">
        <v>0</v>
      </c>
      <c r="X458" s="56">
        <v>0</v>
      </c>
      <c r="Y458" s="53">
        <f t="shared" ref="Y458:Y466" si="67">IFERROR(IF(X458="",0,CEILING((X458/$H458),1)*$H458),"")</f>
        <v>0</v>
      </c>
      <c r="Z458" s="39" t="str">
        <f t="shared" ref="Z458:Z463" si="68">IFERROR(IF(Y458=0,"",ROUNDUP(Y458/H458,0)*0.01196),"")</f>
        <v/>
      </c>
      <c r="AA458" s="65" t="s">
        <v>46</v>
      </c>
      <c r="AB458" s="66" t="s">
        <v>46</v>
      </c>
      <c r="AC458" s="537" t="s">
        <v>131</v>
      </c>
      <c r="AG458" s="75"/>
      <c r="AJ458" s="79" t="s">
        <v>46</v>
      </c>
      <c r="AK458" s="79">
        <v>0</v>
      </c>
      <c r="BB458" s="538" t="s">
        <v>67</v>
      </c>
      <c r="BM458" s="75">
        <f t="shared" ref="BM458:BM466" si="69">IFERROR(X458*I458/H458,"0")</f>
        <v>0</v>
      </c>
      <c r="BN458" s="75">
        <f t="shared" ref="BN458:BN466" si="70">IFERROR(Y458*I458/H458,"0")</f>
        <v>0</v>
      </c>
      <c r="BO458" s="75">
        <f t="shared" ref="BO458:BO466" si="71">IFERROR(1/J458*(X458/H458),"0")</f>
        <v>0</v>
      </c>
      <c r="BP458" s="75">
        <f t="shared" ref="BP458:BP466" si="72">IFERROR(1/J458*(Y458/H458),"0")</f>
        <v>0</v>
      </c>
    </row>
    <row r="459" spans="1:68" ht="27" hidden="1" customHeight="1" x14ac:dyDescent="0.25">
      <c r="A459" s="60" t="s">
        <v>744</v>
      </c>
      <c r="B459" s="60" t="s">
        <v>745</v>
      </c>
      <c r="C459" s="34">
        <v>4301012210</v>
      </c>
      <c r="D459" s="596">
        <v>4607091383522</v>
      </c>
      <c r="E459" s="596"/>
      <c r="F459" s="59">
        <v>0.88</v>
      </c>
      <c r="G459" s="35">
        <v>6</v>
      </c>
      <c r="H459" s="59">
        <v>5.28</v>
      </c>
      <c r="I459" s="59">
        <v>5.63</v>
      </c>
      <c r="J459" s="35">
        <v>104</v>
      </c>
      <c r="K459" s="35" t="s">
        <v>133</v>
      </c>
      <c r="L459" s="35" t="s">
        <v>46</v>
      </c>
      <c r="M459" s="36" t="s">
        <v>132</v>
      </c>
      <c r="N459" s="36"/>
      <c r="O459" s="35">
        <v>60</v>
      </c>
      <c r="P459" s="634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59" s="598"/>
      <c r="R459" s="598"/>
      <c r="S459" s="598"/>
      <c r="T459" s="599"/>
      <c r="U459" s="37" t="s">
        <v>46</v>
      </c>
      <c r="V459" s="37" t="s">
        <v>46</v>
      </c>
      <c r="W459" s="38" t="s">
        <v>0</v>
      </c>
      <c r="X459" s="56">
        <v>0</v>
      </c>
      <c r="Y459" s="53">
        <f t="shared" si="67"/>
        <v>0</v>
      </c>
      <c r="Z459" s="39" t="str">
        <f t="shared" si="68"/>
        <v/>
      </c>
      <c r="AA459" s="65" t="s">
        <v>46</v>
      </c>
      <c r="AB459" s="66" t="s">
        <v>46</v>
      </c>
      <c r="AC459" s="539" t="s">
        <v>746</v>
      </c>
      <c r="AG459" s="75"/>
      <c r="AJ459" s="79" t="s">
        <v>46</v>
      </c>
      <c r="AK459" s="79">
        <v>0</v>
      </c>
      <c r="BB459" s="540" t="s">
        <v>67</v>
      </c>
      <c r="BM459" s="75">
        <f t="shared" si="69"/>
        <v>0</v>
      </c>
      <c r="BN459" s="75">
        <f t="shared" si="70"/>
        <v>0</v>
      </c>
      <c r="BO459" s="75">
        <f t="shared" si="71"/>
        <v>0</v>
      </c>
      <c r="BP459" s="75">
        <f t="shared" si="72"/>
        <v>0</v>
      </c>
    </row>
    <row r="460" spans="1:68" ht="27" hidden="1" customHeight="1" x14ac:dyDescent="0.25">
      <c r="A460" s="60" t="s">
        <v>747</v>
      </c>
      <c r="B460" s="60" t="s">
        <v>748</v>
      </c>
      <c r="C460" s="34">
        <v>4301011961</v>
      </c>
      <c r="D460" s="596">
        <v>4680115885271</v>
      </c>
      <c r="E460" s="596"/>
      <c r="F460" s="59">
        <v>0.88</v>
      </c>
      <c r="G460" s="35">
        <v>6</v>
      </c>
      <c r="H460" s="59">
        <v>5.28</v>
      </c>
      <c r="I460" s="59">
        <v>5.63</v>
      </c>
      <c r="J460" s="35">
        <v>104</v>
      </c>
      <c r="K460" s="35" t="s">
        <v>133</v>
      </c>
      <c r="L460" s="35" t="s">
        <v>46</v>
      </c>
      <c r="M460" s="36" t="s">
        <v>132</v>
      </c>
      <c r="N460" s="36"/>
      <c r="O460" s="35">
        <v>60</v>
      </c>
      <c r="P460" s="6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60" s="598"/>
      <c r="R460" s="598"/>
      <c r="S460" s="598"/>
      <c r="T460" s="599"/>
      <c r="U460" s="37" t="s">
        <v>46</v>
      </c>
      <c r="V460" s="37" t="s">
        <v>46</v>
      </c>
      <c r="W460" s="38" t="s">
        <v>0</v>
      </c>
      <c r="X460" s="56">
        <v>0</v>
      </c>
      <c r="Y460" s="53">
        <f t="shared" si="67"/>
        <v>0</v>
      </c>
      <c r="Z460" s="39" t="str">
        <f t="shared" si="68"/>
        <v/>
      </c>
      <c r="AA460" s="65" t="s">
        <v>46</v>
      </c>
      <c r="AB460" s="66" t="s">
        <v>46</v>
      </c>
      <c r="AC460" s="541" t="s">
        <v>749</v>
      </c>
      <c r="AG460" s="75"/>
      <c r="AJ460" s="79" t="s">
        <v>46</v>
      </c>
      <c r="AK460" s="79">
        <v>0</v>
      </c>
      <c r="BB460" s="542" t="s">
        <v>67</v>
      </c>
      <c r="BM460" s="75">
        <f t="shared" si="69"/>
        <v>0</v>
      </c>
      <c r="BN460" s="75">
        <f t="shared" si="70"/>
        <v>0</v>
      </c>
      <c r="BO460" s="75">
        <f t="shared" si="71"/>
        <v>0</v>
      </c>
      <c r="BP460" s="75">
        <f t="shared" si="72"/>
        <v>0</v>
      </c>
    </row>
    <row r="461" spans="1:68" ht="27" hidden="1" customHeight="1" x14ac:dyDescent="0.25">
      <c r="A461" s="60" t="s">
        <v>750</v>
      </c>
      <c r="B461" s="60" t="s">
        <v>751</v>
      </c>
      <c r="C461" s="34">
        <v>4301011369</v>
      </c>
      <c r="D461" s="596">
        <v>4680115885226</v>
      </c>
      <c r="E461" s="596"/>
      <c r="F461" s="59">
        <v>0.88</v>
      </c>
      <c r="G461" s="35">
        <v>6</v>
      </c>
      <c r="H461" s="59">
        <v>5.28</v>
      </c>
      <c r="I461" s="59">
        <v>5.63</v>
      </c>
      <c r="J461" s="35">
        <v>104</v>
      </c>
      <c r="K461" s="35" t="s">
        <v>133</v>
      </c>
      <c r="L461" s="35" t="s">
        <v>46</v>
      </c>
      <c r="M461" s="36" t="s">
        <v>132</v>
      </c>
      <c r="N461" s="36"/>
      <c r="O461" s="35">
        <v>60</v>
      </c>
      <c r="P461" s="6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61" s="598"/>
      <c r="R461" s="598"/>
      <c r="S461" s="598"/>
      <c r="T461" s="599"/>
      <c r="U461" s="37" t="s">
        <v>46</v>
      </c>
      <c r="V461" s="37" t="s">
        <v>46</v>
      </c>
      <c r="W461" s="38" t="s">
        <v>0</v>
      </c>
      <c r="X461" s="56">
        <v>0</v>
      </c>
      <c r="Y461" s="53">
        <f t="shared" si="67"/>
        <v>0</v>
      </c>
      <c r="Z461" s="39" t="str">
        <f t="shared" si="68"/>
        <v/>
      </c>
      <c r="AA461" s="65" t="s">
        <v>46</v>
      </c>
      <c r="AB461" s="66" t="s">
        <v>46</v>
      </c>
      <c r="AC461" s="543" t="s">
        <v>752</v>
      </c>
      <c r="AG461" s="75"/>
      <c r="AJ461" s="79" t="s">
        <v>46</v>
      </c>
      <c r="AK461" s="79">
        <v>0</v>
      </c>
      <c r="BB461" s="544" t="s">
        <v>67</v>
      </c>
      <c r="BM461" s="75">
        <f t="shared" si="69"/>
        <v>0</v>
      </c>
      <c r="BN461" s="75">
        <f t="shared" si="70"/>
        <v>0</v>
      </c>
      <c r="BO461" s="75">
        <f t="shared" si="71"/>
        <v>0</v>
      </c>
      <c r="BP461" s="75">
        <f t="shared" si="72"/>
        <v>0</v>
      </c>
    </row>
    <row r="462" spans="1:68" ht="16.5" hidden="1" customHeight="1" x14ac:dyDescent="0.25">
      <c r="A462" s="60" t="s">
        <v>753</v>
      </c>
      <c r="B462" s="60" t="s">
        <v>754</v>
      </c>
      <c r="C462" s="34">
        <v>4301011797</v>
      </c>
      <c r="D462" s="596">
        <v>4680115884502</v>
      </c>
      <c r="E462" s="596"/>
      <c r="F462" s="59">
        <v>0.88</v>
      </c>
      <c r="G462" s="35">
        <v>6</v>
      </c>
      <c r="H462" s="59">
        <v>5.28</v>
      </c>
      <c r="I462" s="59">
        <v>5.63</v>
      </c>
      <c r="J462" s="35">
        <v>104</v>
      </c>
      <c r="K462" s="35" t="s">
        <v>133</v>
      </c>
      <c r="L462" s="35" t="s">
        <v>46</v>
      </c>
      <c r="M462" s="36" t="s">
        <v>90</v>
      </c>
      <c r="N462" s="36"/>
      <c r="O462" s="35">
        <v>60</v>
      </c>
      <c r="P462" s="62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62" s="598"/>
      <c r="R462" s="598"/>
      <c r="S462" s="598"/>
      <c r="T462" s="599"/>
      <c r="U462" s="37" t="s">
        <v>46</v>
      </c>
      <c r="V462" s="37" t="s">
        <v>46</v>
      </c>
      <c r="W462" s="38" t="s">
        <v>0</v>
      </c>
      <c r="X462" s="56">
        <v>0</v>
      </c>
      <c r="Y462" s="53">
        <f t="shared" si="67"/>
        <v>0</v>
      </c>
      <c r="Z462" s="39" t="str">
        <f t="shared" si="68"/>
        <v/>
      </c>
      <c r="AA462" s="65" t="s">
        <v>46</v>
      </c>
      <c r="AB462" s="66" t="s">
        <v>46</v>
      </c>
      <c r="AC462" s="545" t="s">
        <v>755</v>
      </c>
      <c r="AG462" s="75"/>
      <c r="AJ462" s="79" t="s">
        <v>46</v>
      </c>
      <c r="AK462" s="79">
        <v>0</v>
      </c>
      <c r="BB462" s="546" t="s">
        <v>67</v>
      </c>
      <c r="BM462" s="75">
        <f t="shared" si="69"/>
        <v>0</v>
      </c>
      <c r="BN462" s="75">
        <f t="shared" si="70"/>
        <v>0</v>
      </c>
      <c r="BO462" s="75">
        <f t="shared" si="71"/>
        <v>0</v>
      </c>
      <c r="BP462" s="75">
        <f t="shared" si="72"/>
        <v>0</v>
      </c>
    </row>
    <row r="463" spans="1:68" ht="27" hidden="1" customHeight="1" x14ac:dyDescent="0.25">
      <c r="A463" s="60" t="s">
        <v>756</v>
      </c>
      <c r="B463" s="60" t="s">
        <v>757</v>
      </c>
      <c r="C463" s="34">
        <v>4301011771</v>
      </c>
      <c r="D463" s="596">
        <v>4607091389104</v>
      </c>
      <c r="E463" s="596"/>
      <c r="F463" s="59">
        <v>0.88</v>
      </c>
      <c r="G463" s="35">
        <v>6</v>
      </c>
      <c r="H463" s="59">
        <v>5.28</v>
      </c>
      <c r="I463" s="59">
        <v>5.63</v>
      </c>
      <c r="J463" s="35">
        <v>104</v>
      </c>
      <c r="K463" s="35" t="s">
        <v>133</v>
      </c>
      <c r="L463" s="35" t="s">
        <v>46</v>
      </c>
      <c r="M463" s="36" t="s">
        <v>132</v>
      </c>
      <c r="N463" s="36"/>
      <c r="O463" s="35">
        <v>60</v>
      </c>
      <c r="P463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63" s="598"/>
      <c r="R463" s="598"/>
      <c r="S463" s="598"/>
      <c r="T463" s="599"/>
      <c r="U463" s="37" t="s">
        <v>46</v>
      </c>
      <c r="V463" s="37" t="s">
        <v>46</v>
      </c>
      <c r="W463" s="38" t="s">
        <v>0</v>
      </c>
      <c r="X463" s="56">
        <v>0</v>
      </c>
      <c r="Y463" s="53">
        <f t="shared" si="67"/>
        <v>0</v>
      </c>
      <c r="Z463" s="39" t="str">
        <f t="shared" si="68"/>
        <v/>
      </c>
      <c r="AA463" s="65" t="s">
        <v>46</v>
      </c>
      <c r="AB463" s="66" t="s">
        <v>46</v>
      </c>
      <c r="AC463" s="547" t="s">
        <v>758</v>
      </c>
      <c r="AG463" s="75"/>
      <c r="AJ463" s="79" t="s">
        <v>46</v>
      </c>
      <c r="AK463" s="79">
        <v>0</v>
      </c>
      <c r="BB463" s="548" t="s">
        <v>67</v>
      </c>
      <c r="BM463" s="75">
        <f t="shared" si="69"/>
        <v>0</v>
      </c>
      <c r="BN463" s="75">
        <f t="shared" si="70"/>
        <v>0</v>
      </c>
      <c r="BO463" s="75">
        <f t="shared" si="71"/>
        <v>0</v>
      </c>
      <c r="BP463" s="75">
        <f t="shared" si="72"/>
        <v>0</v>
      </c>
    </row>
    <row r="464" spans="1:68" ht="27" hidden="1" customHeight="1" x14ac:dyDescent="0.25">
      <c r="A464" s="60" t="s">
        <v>759</v>
      </c>
      <c r="B464" s="60" t="s">
        <v>760</v>
      </c>
      <c r="C464" s="34">
        <v>4301012125</v>
      </c>
      <c r="D464" s="596">
        <v>4680115886391</v>
      </c>
      <c r="E464" s="596"/>
      <c r="F464" s="59">
        <v>0.4</v>
      </c>
      <c r="G464" s="35">
        <v>6</v>
      </c>
      <c r="H464" s="59">
        <v>2.4</v>
      </c>
      <c r="I464" s="59">
        <v>2.58</v>
      </c>
      <c r="J464" s="35">
        <v>182</v>
      </c>
      <c r="K464" s="35" t="s">
        <v>91</v>
      </c>
      <c r="L464" s="35" t="s">
        <v>46</v>
      </c>
      <c r="M464" s="36" t="s">
        <v>90</v>
      </c>
      <c r="N464" s="36"/>
      <c r="O464" s="35">
        <v>60</v>
      </c>
      <c r="P464" s="6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64" s="598"/>
      <c r="R464" s="598"/>
      <c r="S464" s="598"/>
      <c r="T464" s="599"/>
      <c r="U464" s="37" t="s">
        <v>46</v>
      </c>
      <c r="V464" s="37" t="s">
        <v>46</v>
      </c>
      <c r="W464" s="38" t="s">
        <v>0</v>
      </c>
      <c r="X464" s="56">
        <v>0</v>
      </c>
      <c r="Y464" s="53">
        <f t="shared" si="67"/>
        <v>0</v>
      </c>
      <c r="Z464" s="39" t="str">
        <f>IFERROR(IF(Y464=0,"",ROUNDUP(Y464/H464,0)*0.00651),"")</f>
        <v/>
      </c>
      <c r="AA464" s="65" t="s">
        <v>46</v>
      </c>
      <c r="AB464" s="66" t="s">
        <v>46</v>
      </c>
      <c r="AC464" s="549" t="s">
        <v>131</v>
      </c>
      <c r="AG464" s="75"/>
      <c r="AJ464" s="79" t="s">
        <v>46</v>
      </c>
      <c r="AK464" s="79">
        <v>0</v>
      </c>
      <c r="BB464" s="550" t="s">
        <v>67</v>
      </c>
      <c r="BM464" s="75">
        <f t="shared" si="69"/>
        <v>0</v>
      </c>
      <c r="BN464" s="75">
        <f t="shared" si="70"/>
        <v>0</v>
      </c>
      <c r="BO464" s="75">
        <f t="shared" si="71"/>
        <v>0</v>
      </c>
      <c r="BP464" s="75">
        <f t="shared" si="72"/>
        <v>0</v>
      </c>
    </row>
    <row r="465" spans="1:68" ht="27" hidden="1" customHeight="1" x14ac:dyDescent="0.25">
      <c r="A465" s="60" t="s">
        <v>761</v>
      </c>
      <c r="B465" s="60" t="s">
        <v>762</v>
      </c>
      <c r="C465" s="34">
        <v>4301012048</v>
      </c>
      <c r="D465" s="596">
        <v>4680115880603</v>
      </c>
      <c r="E465" s="596"/>
      <c r="F465" s="59">
        <v>0.6</v>
      </c>
      <c r="G465" s="35">
        <v>8</v>
      </c>
      <c r="H465" s="59">
        <v>4.8</v>
      </c>
      <c r="I465" s="59">
        <v>6.91</v>
      </c>
      <c r="J465" s="35">
        <v>132</v>
      </c>
      <c r="K465" s="35" t="s">
        <v>140</v>
      </c>
      <c r="L465" s="35" t="s">
        <v>46</v>
      </c>
      <c r="M465" s="36" t="s">
        <v>90</v>
      </c>
      <c r="N465" s="36"/>
      <c r="O465" s="35">
        <v>60</v>
      </c>
      <c r="P465" s="63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65" s="598"/>
      <c r="R465" s="598"/>
      <c r="S465" s="598"/>
      <c r="T465" s="599"/>
      <c r="U465" s="37" t="s">
        <v>46</v>
      </c>
      <c r="V465" s="37" t="s">
        <v>46</v>
      </c>
      <c r="W465" s="38" t="s">
        <v>0</v>
      </c>
      <c r="X465" s="56">
        <v>0</v>
      </c>
      <c r="Y465" s="53">
        <f t="shared" si="67"/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51" t="s">
        <v>131</v>
      </c>
      <c r="AG465" s="75"/>
      <c r="AJ465" s="79" t="s">
        <v>46</v>
      </c>
      <c r="AK465" s="79">
        <v>0</v>
      </c>
      <c r="BB465" s="552" t="s">
        <v>67</v>
      </c>
      <c r="BM465" s="75">
        <f t="shared" si="69"/>
        <v>0</v>
      </c>
      <c r="BN465" s="75">
        <f t="shared" si="70"/>
        <v>0</v>
      </c>
      <c r="BO465" s="75">
        <f t="shared" si="71"/>
        <v>0</v>
      </c>
      <c r="BP465" s="75">
        <f t="shared" si="72"/>
        <v>0</v>
      </c>
    </row>
    <row r="466" spans="1:68" ht="27" hidden="1" customHeight="1" x14ac:dyDescent="0.25">
      <c r="A466" s="60" t="s">
        <v>763</v>
      </c>
      <c r="B466" s="60" t="s">
        <v>764</v>
      </c>
      <c r="C466" s="34">
        <v>4301012034</v>
      </c>
      <c r="D466" s="596">
        <v>4607091389982</v>
      </c>
      <c r="E466" s="596"/>
      <c r="F466" s="59">
        <v>0.6</v>
      </c>
      <c r="G466" s="35">
        <v>8</v>
      </c>
      <c r="H466" s="59">
        <v>4.8</v>
      </c>
      <c r="I466" s="59">
        <v>6.91</v>
      </c>
      <c r="J466" s="35">
        <v>132</v>
      </c>
      <c r="K466" s="35" t="s">
        <v>140</v>
      </c>
      <c r="L466" s="35" t="s">
        <v>46</v>
      </c>
      <c r="M466" s="36" t="s">
        <v>132</v>
      </c>
      <c r="N466" s="36"/>
      <c r="O466" s="35">
        <v>60</v>
      </c>
      <c r="P466" s="6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66" s="598"/>
      <c r="R466" s="598"/>
      <c r="S466" s="598"/>
      <c r="T466" s="599"/>
      <c r="U466" s="37" t="s">
        <v>46</v>
      </c>
      <c r="V466" s="37" t="s">
        <v>46</v>
      </c>
      <c r="W466" s="38" t="s">
        <v>0</v>
      </c>
      <c r="X466" s="56">
        <v>0</v>
      </c>
      <c r="Y466" s="53">
        <f t="shared" si="67"/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53" t="s">
        <v>758</v>
      </c>
      <c r="AG466" s="75"/>
      <c r="AJ466" s="79" t="s">
        <v>46</v>
      </c>
      <c r="AK466" s="79">
        <v>0</v>
      </c>
      <c r="BB466" s="554" t="s">
        <v>67</v>
      </c>
      <c r="BM466" s="75">
        <f t="shared" si="69"/>
        <v>0</v>
      </c>
      <c r="BN466" s="75">
        <f t="shared" si="70"/>
        <v>0</v>
      </c>
      <c r="BO466" s="75">
        <f t="shared" si="71"/>
        <v>0</v>
      </c>
      <c r="BP466" s="75">
        <f t="shared" si="72"/>
        <v>0</v>
      </c>
    </row>
    <row r="467" spans="1:68" hidden="1" x14ac:dyDescent="0.2">
      <c r="A467" s="603"/>
      <c r="B467" s="603"/>
      <c r="C467" s="603"/>
      <c r="D467" s="603"/>
      <c r="E467" s="603"/>
      <c r="F467" s="603"/>
      <c r="G467" s="603"/>
      <c r="H467" s="603"/>
      <c r="I467" s="603"/>
      <c r="J467" s="603"/>
      <c r="K467" s="603"/>
      <c r="L467" s="603"/>
      <c r="M467" s="603"/>
      <c r="N467" s="603"/>
      <c r="O467" s="604"/>
      <c r="P467" s="600" t="s">
        <v>40</v>
      </c>
      <c r="Q467" s="601"/>
      <c r="R467" s="601"/>
      <c r="S467" s="601"/>
      <c r="T467" s="601"/>
      <c r="U467" s="601"/>
      <c r="V467" s="602"/>
      <c r="W467" s="40" t="s">
        <v>39</v>
      </c>
      <c r="X467" s="41">
        <f>IFERROR(X458/H458,"0")+IFERROR(X459/H459,"0")+IFERROR(X460/H460,"0")+IFERROR(X461/H461,"0")+IFERROR(X462/H462,"0")+IFERROR(X463/H463,"0")+IFERROR(X464/H464,"0")+IFERROR(X465/H465,"0")+IFERROR(X466/H466,"0")</f>
        <v>0</v>
      </c>
      <c r="Y467" s="41">
        <f>IFERROR(Y458/H458,"0")+IFERROR(Y459/H459,"0")+IFERROR(Y460/H460,"0")+IFERROR(Y461/H461,"0")+IFERROR(Y462/H462,"0")+IFERROR(Y463/H463,"0")+IFERROR(Y464/H464,"0")+IFERROR(Y465/H465,"0")+IFERROR(Y466/H466,"0")</f>
        <v>0</v>
      </c>
      <c r="Z467" s="41">
        <f>IFERROR(IF(Z458="",0,Z458),"0")+IFERROR(IF(Z459="",0,Z459),"0")+IFERROR(IF(Z460="",0,Z460),"0")+IFERROR(IF(Z461="",0,Z461),"0")+IFERROR(IF(Z462="",0,Z462),"0")+IFERROR(IF(Z463="",0,Z463),"0")+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603"/>
      <c r="B468" s="603"/>
      <c r="C468" s="603"/>
      <c r="D468" s="603"/>
      <c r="E468" s="603"/>
      <c r="F468" s="603"/>
      <c r="G468" s="603"/>
      <c r="H468" s="603"/>
      <c r="I468" s="603"/>
      <c r="J468" s="603"/>
      <c r="K468" s="603"/>
      <c r="L468" s="603"/>
      <c r="M468" s="603"/>
      <c r="N468" s="603"/>
      <c r="O468" s="604"/>
      <c r="P468" s="600" t="s">
        <v>40</v>
      </c>
      <c r="Q468" s="601"/>
      <c r="R468" s="601"/>
      <c r="S468" s="601"/>
      <c r="T468" s="601"/>
      <c r="U468" s="601"/>
      <c r="V468" s="602"/>
      <c r="W468" s="40" t="s">
        <v>0</v>
      </c>
      <c r="X468" s="41">
        <f>IFERROR(SUM(X458:X466),"0")</f>
        <v>0</v>
      </c>
      <c r="Y468" s="41">
        <f>IFERROR(SUM(Y458:Y466),"0")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595" t="s">
        <v>163</v>
      </c>
      <c r="B469" s="595"/>
      <c r="C469" s="595"/>
      <c r="D469" s="595"/>
      <c r="E469" s="595"/>
      <c r="F469" s="595"/>
      <c r="G469" s="595"/>
      <c r="H469" s="595"/>
      <c r="I469" s="595"/>
      <c r="J469" s="595"/>
      <c r="K469" s="595"/>
      <c r="L469" s="595"/>
      <c r="M469" s="595"/>
      <c r="N469" s="595"/>
      <c r="O469" s="595"/>
      <c r="P469" s="595"/>
      <c r="Q469" s="595"/>
      <c r="R469" s="595"/>
      <c r="S469" s="595"/>
      <c r="T469" s="595"/>
      <c r="U469" s="595"/>
      <c r="V469" s="595"/>
      <c r="W469" s="595"/>
      <c r="X469" s="595"/>
      <c r="Y469" s="595"/>
      <c r="Z469" s="595"/>
      <c r="AA469" s="63"/>
      <c r="AB469" s="63"/>
      <c r="AC469" s="63"/>
    </row>
    <row r="470" spans="1:68" ht="16.5" hidden="1" customHeight="1" x14ac:dyDescent="0.25">
      <c r="A470" s="60" t="s">
        <v>765</v>
      </c>
      <c r="B470" s="60" t="s">
        <v>766</v>
      </c>
      <c r="C470" s="34">
        <v>4301020334</v>
      </c>
      <c r="D470" s="596">
        <v>4607091388930</v>
      </c>
      <c r="E470" s="596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133</v>
      </c>
      <c r="L470" s="35" t="s">
        <v>46</v>
      </c>
      <c r="M470" s="36" t="s">
        <v>90</v>
      </c>
      <c r="N470" s="36"/>
      <c r="O470" s="35">
        <v>70</v>
      </c>
      <c r="P470" s="62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70" s="598"/>
      <c r="R470" s="598"/>
      <c r="S470" s="598"/>
      <c r="T470" s="599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IFERROR(IF(Y470=0,"",ROUNDUP(Y470/H470,0)*0.01196),"")</f>
        <v/>
      </c>
      <c r="AA470" s="65" t="s">
        <v>46</v>
      </c>
      <c r="AB470" s="66" t="s">
        <v>46</v>
      </c>
      <c r="AC470" s="555" t="s">
        <v>767</v>
      </c>
      <c r="AG470" s="75"/>
      <c r="AJ470" s="79" t="s">
        <v>46</v>
      </c>
      <c r="AK470" s="79">
        <v>0</v>
      </c>
      <c r="BB470" s="556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16.5" hidden="1" customHeight="1" x14ac:dyDescent="0.25">
      <c r="A471" s="60" t="s">
        <v>768</v>
      </c>
      <c r="B471" s="60" t="s">
        <v>769</v>
      </c>
      <c r="C471" s="34">
        <v>4301020374</v>
      </c>
      <c r="D471" s="596">
        <v>4680115886407</v>
      </c>
      <c r="E471" s="596"/>
      <c r="F471" s="59">
        <v>0.4</v>
      </c>
      <c r="G471" s="35">
        <v>6</v>
      </c>
      <c r="H471" s="59">
        <v>2.4</v>
      </c>
      <c r="I471" s="59">
        <v>2.58</v>
      </c>
      <c r="J471" s="35">
        <v>182</v>
      </c>
      <c r="K471" s="35" t="s">
        <v>91</v>
      </c>
      <c r="L471" s="35" t="s">
        <v>46</v>
      </c>
      <c r="M471" s="36" t="s">
        <v>132</v>
      </c>
      <c r="N471" s="36"/>
      <c r="O471" s="35">
        <v>70</v>
      </c>
      <c r="P471" s="62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71" s="598"/>
      <c r="R471" s="598"/>
      <c r="S471" s="598"/>
      <c r="T471" s="599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57" t="s">
        <v>767</v>
      </c>
      <c r="AG471" s="75"/>
      <c r="AJ471" s="79" t="s">
        <v>46</v>
      </c>
      <c r="AK471" s="79">
        <v>0</v>
      </c>
      <c r="BB471" s="558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16.5" hidden="1" customHeight="1" x14ac:dyDescent="0.25">
      <c r="A472" s="60" t="s">
        <v>770</v>
      </c>
      <c r="B472" s="60" t="s">
        <v>771</v>
      </c>
      <c r="C472" s="34">
        <v>4301020385</v>
      </c>
      <c r="D472" s="596">
        <v>4680115880054</v>
      </c>
      <c r="E472" s="596"/>
      <c r="F472" s="59">
        <v>0.6</v>
      </c>
      <c r="G472" s="35">
        <v>8</v>
      </c>
      <c r="H472" s="59">
        <v>4.8</v>
      </c>
      <c r="I472" s="59">
        <v>6.91</v>
      </c>
      <c r="J472" s="35">
        <v>132</v>
      </c>
      <c r="K472" s="35" t="s">
        <v>140</v>
      </c>
      <c r="L472" s="35" t="s">
        <v>46</v>
      </c>
      <c r="M472" s="36" t="s">
        <v>132</v>
      </c>
      <c r="N472" s="36"/>
      <c r="O472" s="35">
        <v>70</v>
      </c>
      <c r="P472" s="62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72" s="598"/>
      <c r="R472" s="598"/>
      <c r="S472" s="598"/>
      <c r="T472" s="599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59" t="s">
        <v>767</v>
      </c>
      <c r="AG472" s="75"/>
      <c r="AJ472" s="79" t="s">
        <v>46</v>
      </c>
      <c r="AK472" s="79">
        <v>0</v>
      </c>
      <c r="BB472" s="560" t="s">
        <v>67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603"/>
      <c r="B473" s="603"/>
      <c r="C473" s="603"/>
      <c r="D473" s="603"/>
      <c r="E473" s="603"/>
      <c r="F473" s="603"/>
      <c r="G473" s="603"/>
      <c r="H473" s="603"/>
      <c r="I473" s="603"/>
      <c r="J473" s="603"/>
      <c r="K473" s="603"/>
      <c r="L473" s="603"/>
      <c r="M473" s="603"/>
      <c r="N473" s="603"/>
      <c r="O473" s="604"/>
      <c r="P473" s="600" t="s">
        <v>40</v>
      </c>
      <c r="Q473" s="601"/>
      <c r="R473" s="601"/>
      <c r="S473" s="601"/>
      <c r="T473" s="601"/>
      <c r="U473" s="601"/>
      <c r="V473" s="602"/>
      <c r="W473" s="40" t="s">
        <v>39</v>
      </c>
      <c r="X473" s="41">
        <f>IFERROR(X470/H470,"0")+IFERROR(X471/H471,"0")+IFERROR(X472/H472,"0")</f>
        <v>0</v>
      </c>
      <c r="Y473" s="41">
        <f>IFERROR(Y470/H470,"0")+IFERROR(Y471/H471,"0")+IFERROR(Y472/H472,"0")</f>
        <v>0</v>
      </c>
      <c r="Z473" s="41">
        <f>IFERROR(IF(Z470="",0,Z470),"0")+IFERROR(IF(Z471="",0,Z471),"0")+IFERROR(IF(Z472="",0,Z472),"0")</f>
        <v>0</v>
      </c>
      <c r="AA473" s="64"/>
      <c r="AB473" s="64"/>
      <c r="AC473" s="64"/>
    </row>
    <row r="474" spans="1:68" hidden="1" x14ac:dyDescent="0.2">
      <c r="A474" s="603"/>
      <c r="B474" s="603"/>
      <c r="C474" s="603"/>
      <c r="D474" s="603"/>
      <c r="E474" s="603"/>
      <c r="F474" s="603"/>
      <c r="G474" s="603"/>
      <c r="H474" s="603"/>
      <c r="I474" s="603"/>
      <c r="J474" s="603"/>
      <c r="K474" s="603"/>
      <c r="L474" s="603"/>
      <c r="M474" s="603"/>
      <c r="N474" s="603"/>
      <c r="O474" s="604"/>
      <c r="P474" s="600" t="s">
        <v>40</v>
      </c>
      <c r="Q474" s="601"/>
      <c r="R474" s="601"/>
      <c r="S474" s="601"/>
      <c r="T474" s="601"/>
      <c r="U474" s="601"/>
      <c r="V474" s="602"/>
      <c r="W474" s="40" t="s">
        <v>0</v>
      </c>
      <c r="X474" s="41">
        <f>IFERROR(SUM(X470:X472),"0")</f>
        <v>0</v>
      </c>
      <c r="Y474" s="41">
        <f>IFERROR(SUM(Y470:Y472),"0")</f>
        <v>0</v>
      </c>
      <c r="Z474" s="40"/>
      <c r="AA474" s="64"/>
      <c r="AB474" s="64"/>
      <c r="AC474" s="64"/>
    </row>
    <row r="475" spans="1:68" ht="14.25" hidden="1" customHeight="1" x14ac:dyDescent="0.25">
      <c r="A475" s="595" t="s">
        <v>77</v>
      </c>
      <c r="B475" s="595"/>
      <c r="C475" s="595"/>
      <c r="D475" s="595"/>
      <c r="E475" s="595"/>
      <c r="F475" s="595"/>
      <c r="G475" s="595"/>
      <c r="H475" s="595"/>
      <c r="I475" s="595"/>
      <c r="J475" s="595"/>
      <c r="K475" s="595"/>
      <c r="L475" s="595"/>
      <c r="M475" s="595"/>
      <c r="N475" s="595"/>
      <c r="O475" s="595"/>
      <c r="P475" s="595"/>
      <c r="Q475" s="595"/>
      <c r="R475" s="595"/>
      <c r="S475" s="595"/>
      <c r="T475" s="595"/>
      <c r="U475" s="595"/>
      <c r="V475" s="595"/>
      <c r="W475" s="595"/>
      <c r="X475" s="595"/>
      <c r="Y475" s="595"/>
      <c r="Z475" s="595"/>
      <c r="AA475" s="63"/>
      <c r="AB475" s="63"/>
      <c r="AC475" s="63"/>
    </row>
    <row r="476" spans="1:68" ht="27" hidden="1" customHeight="1" x14ac:dyDescent="0.25">
      <c r="A476" s="60" t="s">
        <v>772</v>
      </c>
      <c r="B476" s="60" t="s">
        <v>773</v>
      </c>
      <c r="C476" s="34">
        <v>4301031349</v>
      </c>
      <c r="D476" s="596">
        <v>4680115883116</v>
      </c>
      <c r="E476" s="596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70</v>
      </c>
      <c r="P476" s="62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76" s="598"/>
      <c r="R476" s="598"/>
      <c r="S476" s="598"/>
      <c r="T476" s="599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ref="Y476:Y482" si="73">IFERROR(IF(X476="",0,CEILING((X476/$H476),1)*$H476),"")</f>
        <v>0</v>
      </c>
      <c r="Z476" s="39" t="str">
        <f>IFERROR(IF(Y476=0,"",ROUNDUP(Y476/H476,0)*0.01196),"")</f>
        <v/>
      </c>
      <c r="AA476" s="65" t="s">
        <v>46</v>
      </c>
      <c r="AB476" s="66" t="s">
        <v>46</v>
      </c>
      <c r="AC476" s="561" t="s">
        <v>774</v>
      </c>
      <c r="AG476" s="75"/>
      <c r="AJ476" s="79" t="s">
        <v>46</v>
      </c>
      <c r="AK476" s="79">
        <v>0</v>
      </c>
      <c r="BB476" s="562" t="s">
        <v>67</v>
      </c>
      <c r="BM476" s="75">
        <f t="shared" ref="BM476:BM482" si="74">IFERROR(X476*I476/H476,"0")</f>
        <v>0</v>
      </c>
      <c r="BN476" s="75">
        <f t="shared" ref="BN476:BN482" si="75">IFERROR(Y476*I476/H476,"0")</f>
        <v>0</v>
      </c>
      <c r="BO476" s="75">
        <f t="shared" ref="BO476:BO482" si="76">IFERROR(1/J476*(X476/H476),"0")</f>
        <v>0</v>
      </c>
      <c r="BP476" s="75">
        <f t="shared" ref="BP476:BP482" si="77">IFERROR(1/J476*(Y476/H476),"0")</f>
        <v>0</v>
      </c>
    </row>
    <row r="477" spans="1:68" ht="27" hidden="1" customHeight="1" x14ac:dyDescent="0.25">
      <c r="A477" s="60" t="s">
        <v>775</v>
      </c>
      <c r="B477" s="60" t="s">
        <v>776</v>
      </c>
      <c r="C477" s="34">
        <v>4301031350</v>
      </c>
      <c r="D477" s="596">
        <v>4680115883093</v>
      </c>
      <c r="E477" s="596"/>
      <c r="F477" s="59">
        <v>0.88</v>
      </c>
      <c r="G477" s="35">
        <v>6</v>
      </c>
      <c r="H477" s="59">
        <v>5.28</v>
      </c>
      <c r="I477" s="59">
        <v>5.63</v>
      </c>
      <c r="J477" s="35">
        <v>104</v>
      </c>
      <c r="K477" s="35" t="s">
        <v>133</v>
      </c>
      <c r="L477" s="35" t="s">
        <v>46</v>
      </c>
      <c r="M477" s="36" t="s">
        <v>81</v>
      </c>
      <c r="N477" s="36"/>
      <c r="O477" s="35">
        <v>70</v>
      </c>
      <c r="P477" s="62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77" s="598"/>
      <c r="R477" s="598"/>
      <c r="S477" s="598"/>
      <c r="T477" s="599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IFERROR(IF(Y477=0,"",ROUNDUP(Y477/H477,0)*0.01196),"")</f>
        <v/>
      </c>
      <c r="AA477" s="65" t="s">
        <v>46</v>
      </c>
      <c r="AB477" s="66" t="s">
        <v>46</v>
      </c>
      <c r="AC477" s="563" t="s">
        <v>777</v>
      </c>
      <c r="AG477" s="75"/>
      <c r="AJ477" s="79" t="s">
        <v>46</v>
      </c>
      <c r="AK477" s="79">
        <v>0</v>
      </c>
      <c r="BB477" s="564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778</v>
      </c>
      <c r="B478" s="60" t="s">
        <v>779</v>
      </c>
      <c r="C478" s="34">
        <v>4301031353</v>
      </c>
      <c r="D478" s="596">
        <v>4680115883109</v>
      </c>
      <c r="E478" s="596"/>
      <c r="F478" s="59">
        <v>0.88</v>
      </c>
      <c r="G478" s="35">
        <v>6</v>
      </c>
      <c r="H478" s="59">
        <v>5.28</v>
      </c>
      <c r="I478" s="59">
        <v>5.63</v>
      </c>
      <c r="J478" s="35">
        <v>104</v>
      </c>
      <c r="K478" s="35" t="s">
        <v>133</v>
      </c>
      <c r="L478" s="35" t="s">
        <v>46</v>
      </c>
      <c r="M478" s="36" t="s">
        <v>81</v>
      </c>
      <c r="N478" s="36"/>
      <c r="O478" s="35">
        <v>70</v>
      </c>
      <c r="P478" s="62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78" s="598"/>
      <c r="R478" s="598"/>
      <c r="S478" s="598"/>
      <c r="T478" s="599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IFERROR(IF(Y478=0,"",ROUNDUP(Y478/H478,0)*0.01196),"")</f>
        <v/>
      </c>
      <c r="AA478" s="65" t="s">
        <v>46</v>
      </c>
      <c r="AB478" s="66" t="s">
        <v>46</v>
      </c>
      <c r="AC478" s="565" t="s">
        <v>780</v>
      </c>
      <c r="AG478" s="75"/>
      <c r="AJ478" s="79" t="s">
        <v>46</v>
      </c>
      <c r="AK478" s="79">
        <v>0</v>
      </c>
      <c r="BB478" s="566" t="s">
        <v>67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781</v>
      </c>
      <c r="B479" s="60" t="s">
        <v>782</v>
      </c>
      <c r="C479" s="34">
        <v>4301031419</v>
      </c>
      <c r="D479" s="596">
        <v>4680115882072</v>
      </c>
      <c r="E479" s="596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70</v>
      </c>
      <c r="P479" s="61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9" s="598"/>
      <c r="R479" s="598"/>
      <c r="S479" s="598"/>
      <c r="T479" s="599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67" t="s">
        <v>774</v>
      </c>
      <c r="AG479" s="75"/>
      <c r="AJ479" s="79" t="s">
        <v>46</v>
      </c>
      <c r="AK479" s="79">
        <v>0</v>
      </c>
      <c r="BB479" s="568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783</v>
      </c>
      <c r="B480" s="60" t="s">
        <v>784</v>
      </c>
      <c r="C480" s="34">
        <v>4301031352</v>
      </c>
      <c r="D480" s="596">
        <v>4680115882102</v>
      </c>
      <c r="E480" s="596"/>
      <c r="F480" s="59">
        <v>0.6</v>
      </c>
      <c r="G480" s="35">
        <v>6</v>
      </c>
      <c r="H480" s="59">
        <v>3.6</v>
      </c>
      <c r="I480" s="59">
        <v>3.79</v>
      </c>
      <c r="J480" s="35">
        <v>132</v>
      </c>
      <c r="K480" s="35" t="s">
        <v>140</v>
      </c>
      <c r="L480" s="35" t="s">
        <v>46</v>
      </c>
      <c r="M480" s="36" t="s">
        <v>81</v>
      </c>
      <c r="N480" s="36"/>
      <c r="O480" s="35">
        <v>70</v>
      </c>
      <c r="P480" s="6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80" s="598"/>
      <c r="R480" s="598"/>
      <c r="S480" s="598"/>
      <c r="T480" s="599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IFERROR(IF(Y480=0,"",ROUNDUP(Y480/H480,0)*0.00902),"")</f>
        <v/>
      </c>
      <c r="AA480" s="65" t="s">
        <v>46</v>
      </c>
      <c r="AB480" s="66" t="s">
        <v>46</v>
      </c>
      <c r="AC480" s="569" t="s">
        <v>777</v>
      </c>
      <c r="AG480" s="75"/>
      <c r="AJ480" s="79" t="s">
        <v>46</v>
      </c>
      <c r="AK480" s="79">
        <v>0</v>
      </c>
      <c r="BB480" s="570" t="s">
        <v>67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783</v>
      </c>
      <c r="B481" s="60" t="s">
        <v>785</v>
      </c>
      <c r="C481" s="34">
        <v>4301031418</v>
      </c>
      <c r="D481" s="596">
        <v>4680115882102</v>
      </c>
      <c r="E481" s="596"/>
      <c r="F481" s="59">
        <v>0.6</v>
      </c>
      <c r="G481" s="35">
        <v>8</v>
      </c>
      <c r="H481" s="59">
        <v>4.8</v>
      </c>
      <c r="I481" s="59">
        <v>6.67</v>
      </c>
      <c r="J481" s="35">
        <v>132</v>
      </c>
      <c r="K481" s="35" t="s">
        <v>140</v>
      </c>
      <c r="L481" s="35" t="s">
        <v>46</v>
      </c>
      <c r="M481" s="36" t="s">
        <v>81</v>
      </c>
      <c r="N481" s="36"/>
      <c r="O481" s="35">
        <v>70</v>
      </c>
      <c r="P481" s="62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81" s="598"/>
      <c r="R481" s="598"/>
      <c r="S481" s="598"/>
      <c r="T481" s="599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1" t="s">
        <v>777</v>
      </c>
      <c r="AG481" s="75"/>
      <c r="AJ481" s="79" t="s">
        <v>46</v>
      </c>
      <c r="AK481" s="79">
        <v>0</v>
      </c>
      <c r="BB481" s="572" t="s">
        <v>67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27" hidden="1" customHeight="1" x14ac:dyDescent="0.25">
      <c r="A482" s="60" t="s">
        <v>786</v>
      </c>
      <c r="B482" s="60" t="s">
        <v>787</v>
      </c>
      <c r="C482" s="34">
        <v>4301031417</v>
      </c>
      <c r="D482" s="596">
        <v>4680115882096</v>
      </c>
      <c r="E482" s="596"/>
      <c r="F482" s="59">
        <v>0.6</v>
      </c>
      <c r="G482" s="35">
        <v>8</v>
      </c>
      <c r="H482" s="59">
        <v>4.8</v>
      </c>
      <c r="I482" s="59">
        <v>6.67</v>
      </c>
      <c r="J482" s="35">
        <v>132</v>
      </c>
      <c r="K482" s="35" t="s">
        <v>140</v>
      </c>
      <c r="L482" s="35" t="s">
        <v>46</v>
      </c>
      <c r="M482" s="36" t="s">
        <v>81</v>
      </c>
      <c r="N482" s="36"/>
      <c r="O482" s="35">
        <v>70</v>
      </c>
      <c r="P482" s="62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82" s="598"/>
      <c r="R482" s="598"/>
      <c r="S482" s="598"/>
      <c r="T482" s="599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IFERROR(IF(Y482=0,"",ROUNDUP(Y482/H482,0)*0.00902),"")</f>
        <v/>
      </c>
      <c r="AA482" s="65" t="s">
        <v>46</v>
      </c>
      <c r="AB482" s="66" t="s">
        <v>46</v>
      </c>
      <c r="AC482" s="573" t="s">
        <v>780</v>
      </c>
      <c r="AG482" s="75"/>
      <c r="AJ482" s="79" t="s">
        <v>46</v>
      </c>
      <c r="AK482" s="79">
        <v>0</v>
      </c>
      <c r="BB482" s="574" t="s">
        <v>67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idden="1" x14ac:dyDescent="0.2">
      <c r="A483" s="603"/>
      <c r="B483" s="603"/>
      <c r="C483" s="603"/>
      <c r="D483" s="603"/>
      <c r="E483" s="603"/>
      <c r="F483" s="603"/>
      <c r="G483" s="603"/>
      <c r="H483" s="603"/>
      <c r="I483" s="603"/>
      <c r="J483" s="603"/>
      <c r="K483" s="603"/>
      <c r="L483" s="603"/>
      <c r="M483" s="603"/>
      <c r="N483" s="603"/>
      <c r="O483" s="604"/>
      <c r="P483" s="600" t="s">
        <v>40</v>
      </c>
      <c r="Q483" s="601"/>
      <c r="R483" s="601"/>
      <c r="S483" s="601"/>
      <c r="T483" s="601"/>
      <c r="U483" s="601"/>
      <c r="V483" s="602"/>
      <c r="W483" s="40" t="s">
        <v>39</v>
      </c>
      <c r="X483" s="41">
        <f>IFERROR(X476/H476,"0")+IFERROR(X477/H477,"0")+IFERROR(X478/H478,"0")+IFERROR(X479/H479,"0")+IFERROR(X480/H480,"0")+IFERROR(X481/H481,"0")+IFERROR(X482/H482,"0")</f>
        <v>0</v>
      </c>
      <c r="Y483" s="41">
        <f>IFERROR(Y476/H476,"0")+IFERROR(Y477/H477,"0")+IFERROR(Y478/H478,"0")+IFERROR(Y479/H479,"0")+IFERROR(Y480/H480,"0")+IFERROR(Y481/H481,"0")+IFERROR(Y482/H482,"0")</f>
        <v>0</v>
      </c>
      <c r="Z483" s="41">
        <f>IFERROR(IF(Z476="",0,Z476),"0")+IFERROR(IF(Z477="",0,Z477),"0")+IFERROR(IF(Z478="",0,Z478),"0")+IFERROR(IF(Z479="",0,Z479),"0")+IFERROR(IF(Z480="",0,Z480),"0")+IFERROR(IF(Z481="",0,Z481),"0")+IFERROR(IF(Z482="",0,Z482),"0")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603"/>
      <c r="B484" s="603"/>
      <c r="C484" s="603"/>
      <c r="D484" s="603"/>
      <c r="E484" s="603"/>
      <c r="F484" s="603"/>
      <c r="G484" s="603"/>
      <c r="H484" s="603"/>
      <c r="I484" s="603"/>
      <c r="J484" s="603"/>
      <c r="K484" s="603"/>
      <c r="L484" s="603"/>
      <c r="M484" s="603"/>
      <c r="N484" s="603"/>
      <c r="O484" s="604"/>
      <c r="P484" s="600" t="s">
        <v>40</v>
      </c>
      <c r="Q484" s="601"/>
      <c r="R484" s="601"/>
      <c r="S484" s="601"/>
      <c r="T484" s="601"/>
      <c r="U484" s="601"/>
      <c r="V484" s="602"/>
      <c r="W484" s="40" t="s">
        <v>0</v>
      </c>
      <c r="X484" s="41">
        <f>IFERROR(SUM(X476:X482),"0")</f>
        <v>0</v>
      </c>
      <c r="Y484" s="41">
        <f>IFERROR(SUM(Y476:Y482),"0")</f>
        <v>0</v>
      </c>
      <c r="Z484" s="40"/>
      <c r="AA484" s="64"/>
      <c r="AB484" s="64"/>
      <c r="AC484" s="64"/>
    </row>
    <row r="485" spans="1:68" ht="27.75" hidden="1" customHeight="1" x14ac:dyDescent="0.2">
      <c r="A485" s="616" t="s">
        <v>788</v>
      </c>
      <c r="B485" s="616"/>
      <c r="C485" s="616"/>
      <c r="D485" s="616"/>
      <c r="E485" s="616"/>
      <c r="F485" s="616"/>
      <c r="G485" s="616"/>
      <c r="H485" s="616"/>
      <c r="I485" s="616"/>
      <c r="J485" s="616"/>
      <c r="K485" s="616"/>
      <c r="L485" s="616"/>
      <c r="M485" s="616"/>
      <c r="N485" s="616"/>
      <c r="O485" s="616"/>
      <c r="P485" s="616"/>
      <c r="Q485" s="616"/>
      <c r="R485" s="616"/>
      <c r="S485" s="616"/>
      <c r="T485" s="616"/>
      <c r="U485" s="616"/>
      <c r="V485" s="616"/>
      <c r="W485" s="616"/>
      <c r="X485" s="616"/>
      <c r="Y485" s="616"/>
      <c r="Z485" s="616"/>
      <c r="AA485" s="52"/>
      <c r="AB485" s="52"/>
      <c r="AC485" s="52"/>
    </row>
    <row r="486" spans="1:68" ht="16.5" hidden="1" customHeight="1" x14ac:dyDescent="0.25">
      <c r="A486" s="611" t="s">
        <v>788</v>
      </c>
      <c r="B486" s="611"/>
      <c r="C486" s="611"/>
      <c r="D486" s="611"/>
      <c r="E486" s="611"/>
      <c r="F486" s="611"/>
      <c r="G486" s="611"/>
      <c r="H486" s="611"/>
      <c r="I486" s="611"/>
      <c r="J486" s="611"/>
      <c r="K486" s="611"/>
      <c r="L486" s="611"/>
      <c r="M486" s="611"/>
      <c r="N486" s="611"/>
      <c r="O486" s="611"/>
      <c r="P486" s="611"/>
      <c r="Q486" s="611"/>
      <c r="R486" s="611"/>
      <c r="S486" s="611"/>
      <c r="T486" s="611"/>
      <c r="U486" s="611"/>
      <c r="V486" s="611"/>
      <c r="W486" s="611"/>
      <c r="X486" s="611"/>
      <c r="Y486" s="611"/>
      <c r="Z486" s="611"/>
      <c r="AA486" s="62"/>
      <c r="AB486" s="62"/>
      <c r="AC486" s="62"/>
    </row>
    <row r="487" spans="1:68" ht="14.25" hidden="1" customHeight="1" x14ac:dyDescent="0.25">
      <c r="A487" s="595" t="s">
        <v>128</v>
      </c>
      <c r="B487" s="595"/>
      <c r="C487" s="595"/>
      <c r="D487" s="595"/>
      <c r="E487" s="595"/>
      <c r="F487" s="595"/>
      <c r="G487" s="595"/>
      <c r="H487" s="595"/>
      <c r="I487" s="595"/>
      <c r="J487" s="595"/>
      <c r="K487" s="595"/>
      <c r="L487" s="595"/>
      <c r="M487" s="595"/>
      <c r="N487" s="595"/>
      <c r="O487" s="595"/>
      <c r="P487" s="595"/>
      <c r="Q487" s="595"/>
      <c r="R487" s="595"/>
      <c r="S487" s="595"/>
      <c r="T487" s="595"/>
      <c r="U487" s="595"/>
      <c r="V487" s="595"/>
      <c r="W487" s="595"/>
      <c r="X487" s="595"/>
      <c r="Y487" s="595"/>
      <c r="Z487" s="595"/>
      <c r="AA487" s="63"/>
      <c r="AB487" s="63"/>
      <c r="AC487" s="63"/>
    </row>
    <row r="488" spans="1:68" ht="27" hidden="1" customHeight="1" x14ac:dyDescent="0.25">
      <c r="A488" s="60" t="s">
        <v>789</v>
      </c>
      <c r="B488" s="60" t="s">
        <v>790</v>
      </c>
      <c r="C488" s="34">
        <v>4301011584</v>
      </c>
      <c r="D488" s="596">
        <v>4640242180564</v>
      </c>
      <c r="E488" s="596"/>
      <c r="F488" s="59">
        <v>1.5</v>
      </c>
      <c r="G488" s="35">
        <v>8</v>
      </c>
      <c r="H488" s="59">
        <v>12</v>
      </c>
      <c r="I488" s="59">
        <v>12.41</v>
      </c>
      <c r="J488" s="35">
        <v>64</v>
      </c>
      <c r="K488" s="35" t="s">
        <v>133</v>
      </c>
      <c r="L488" s="35" t="s">
        <v>46</v>
      </c>
      <c r="M488" s="36" t="s">
        <v>132</v>
      </c>
      <c r="N488" s="36"/>
      <c r="O488" s="35">
        <v>50</v>
      </c>
      <c r="P488" s="61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8" s="598"/>
      <c r="R488" s="598"/>
      <c r="S488" s="598"/>
      <c r="T488" s="599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IFERROR(IF(Y488=0,"",ROUNDUP(Y488/H488,0)*0.01898),"")</f>
        <v/>
      </c>
      <c r="AA488" s="65" t="s">
        <v>46</v>
      </c>
      <c r="AB488" s="66" t="s">
        <v>46</v>
      </c>
      <c r="AC488" s="575" t="s">
        <v>791</v>
      </c>
      <c r="AG488" s="75"/>
      <c r="AJ488" s="79" t="s">
        <v>46</v>
      </c>
      <c r="AK488" s="79">
        <v>0</v>
      </c>
      <c r="BB488" s="576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603"/>
      <c r="B489" s="603"/>
      <c r="C489" s="603"/>
      <c r="D489" s="603"/>
      <c r="E489" s="603"/>
      <c r="F489" s="603"/>
      <c r="G489" s="603"/>
      <c r="H489" s="603"/>
      <c r="I489" s="603"/>
      <c r="J489" s="603"/>
      <c r="K489" s="603"/>
      <c r="L489" s="603"/>
      <c r="M489" s="603"/>
      <c r="N489" s="603"/>
      <c r="O489" s="604"/>
      <c r="P489" s="600" t="s">
        <v>40</v>
      </c>
      <c r="Q489" s="601"/>
      <c r="R489" s="601"/>
      <c r="S489" s="601"/>
      <c r="T489" s="601"/>
      <c r="U489" s="601"/>
      <c r="V489" s="602"/>
      <c r="W489" s="40" t="s">
        <v>39</v>
      </c>
      <c r="X489" s="41">
        <f>IFERROR(X488/H488,"0")</f>
        <v>0</v>
      </c>
      <c r="Y489" s="41">
        <f>IFERROR(Y488/H488,"0")</f>
        <v>0</v>
      </c>
      <c r="Z489" s="41">
        <f>IFERROR(IF(Z488="",0,Z488),"0")</f>
        <v>0</v>
      </c>
      <c r="AA489" s="64"/>
      <c r="AB489" s="64"/>
      <c r="AC489" s="64"/>
    </row>
    <row r="490" spans="1:68" hidden="1" x14ac:dyDescent="0.2">
      <c r="A490" s="603"/>
      <c r="B490" s="603"/>
      <c r="C490" s="603"/>
      <c r="D490" s="603"/>
      <c r="E490" s="603"/>
      <c r="F490" s="603"/>
      <c r="G490" s="603"/>
      <c r="H490" s="603"/>
      <c r="I490" s="603"/>
      <c r="J490" s="603"/>
      <c r="K490" s="603"/>
      <c r="L490" s="603"/>
      <c r="M490" s="603"/>
      <c r="N490" s="603"/>
      <c r="O490" s="604"/>
      <c r="P490" s="600" t="s">
        <v>40</v>
      </c>
      <c r="Q490" s="601"/>
      <c r="R490" s="601"/>
      <c r="S490" s="601"/>
      <c r="T490" s="601"/>
      <c r="U490" s="601"/>
      <c r="V490" s="602"/>
      <c r="W490" s="40" t="s">
        <v>0</v>
      </c>
      <c r="X490" s="41">
        <f>IFERROR(SUM(X488:X488),"0")</f>
        <v>0</v>
      </c>
      <c r="Y490" s="41">
        <f>IFERROR(SUM(Y488:Y488),"0")</f>
        <v>0</v>
      </c>
      <c r="Z490" s="40"/>
      <c r="AA490" s="64"/>
      <c r="AB490" s="64"/>
      <c r="AC490" s="64"/>
    </row>
    <row r="491" spans="1:68" ht="14.25" hidden="1" customHeight="1" x14ac:dyDescent="0.25">
      <c r="A491" s="595" t="s">
        <v>163</v>
      </c>
      <c r="B491" s="595"/>
      <c r="C491" s="595"/>
      <c r="D491" s="595"/>
      <c r="E491" s="595"/>
      <c r="F491" s="595"/>
      <c r="G491" s="595"/>
      <c r="H491" s="595"/>
      <c r="I491" s="595"/>
      <c r="J491" s="595"/>
      <c r="K491" s="595"/>
      <c r="L491" s="595"/>
      <c r="M491" s="595"/>
      <c r="N491" s="595"/>
      <c r="O491" s="595"/>
      <c r="P491" s="595"/>
      <c r="Q491" s="595"/>
      <c r="R491" s="595"/>
      <c r="S491" s="595"/>
      <c r="T491" s="595"/>
      <c r="U491" s="595"/>
      <c r="V491" s="595"/>
      <c r="W491" s="595"/>
      <c r="X491" s="595"/>
      <c r="Y491" s="595"/>
      <c r="Z491" s="595"/>
      <c r="AA491" s="63"/>
      <c r="AB491" s="63"/>
      <c r="AC491" s="63"/>
    </row>
    <row r="492" spans="1:68" ht="27" hidden="1" customHeight="1" x14ac:dyDescent="0.25">
      <c r="A492" s="60" t="s">
        <v>792</v>
      </c>
      <c r="B492" s="60" t="s">
        <v>793</v>
      </c>
      <c r="C492" s="34">
        <v>4301020400</v>
      </c>
      <c r="D492" s="596">
        <v>4640242180519</v>
      </c>
      <c r="E492" s="596"/>
      <c r="F492" s="59">
        <v>1.5</v>
      </c>
      <c r="G492" s="35">
        <v>8</v>
      </c>
      <c r="H492" s="59">
        <v>12</v>
      </c>
      <c r="I492" s="59">
        <v>12.41</v>
      </c>
      <c r="J492" s="35">
        <v>64</v>
      </c>
      <c r="K492" s="35" t="s">
        <v>133</v>
      </c>
      <c r="L492" s="35" t="s">
        <v>46</v>
      </c>
      <c r="M492" s="36" t="s">
        <v>132</v>
      </c>
      <c r="N492" s="36"/>
      <c r="O492" s="35">
        <v>50</v>
      </c>
      <c r="P492" s="61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92" s="598"/>
      <c r="R492" s="598"/>
      <c r="S492" s="598"/>
      <c r="T492" s="599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IFERROR(IF(Y492=0,"",ROUNDUP(Y492/H492,0)*0.01898),"")</f>
        <v/>
      </c>
      <c r="AA492" s="65" t="s">
        <v>46</v>
      </c>
      <c r="AB492" s="66" t="s">
        <v>46</v>
      </c>
      <c r="AC492" s="577" t="s">
        <v>794</v>
      </c>
      <c r="AG492" s="75"/>
      <c r="AJ492" s="79" t="s">
        <v>46</v>
      </c>
      <c r="AK492" s="79">
        <v>0</v>
      </c>
      <c r="BB492" s="57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603"/>
      <c r="B493" s="603"/>
      <c r="C493" s="603"/>
      <c r="D493" s="603"/>
      <c r="E493" s="603"/>
      <c r="F493" s="603"/>
      <c r="G493" s="603"/>
      <c r="H493" s="603"/>
      <c r="I493" s="603"/>
      <c r="J493" s="603"/>
      <c r="K493" s="603"/>
      <c r="L493" s="603"/>
      <c r="M493" s="603"/>
      <c r="N493" s="603"/>
      <c r="O493" s="604"/>
      <c r="P493" s="600" t="s">
        <v>40</v>
      </c>
      <c r="Q493" s="601"/>
      <c r="R493" s="601"/>
      <c r="S493" s="601"/>
      <c r="T493" s="601"/>
      <c r="U493" s="601"/>
      <c r="V493" s="602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603"/>
      <c r="B494" s="603"/>
      <c r="C494" s="603"/>
      <c r="D494" s="603"/>
      <c r="E494" s="603"/>
      <c r="F494" s="603"/>
      <c r="G494" s="603"/>
      <c r="H494" s="603"/>
      <c r="I494" s="603"/>
      <c r="J494" s="603"/>
      <c r="K494" s="603"/>
      <c r="L494" s="603"/>
      <c r="M494" s="603"/>
      <c r="N494" s="603"/>
      <c r="O494" s="604"/>
      <c r="P494" s="600" t="s">
        <v>40</v>
      </c>
      <c r="Q494" s="601"/>
      <c r="R494" s="601"/>
      <c r="S494" s="601"/>
      <c r="T494" s="601"/>
      <c r="U494" s="601"/>
      <c r="V494" s="602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595" t="s">
        <v>77</v>
      </c>
      <c r="B495" s="595"/>
      <c r="C495" s="595"/>
      <c r="D495" s="595"/>
      <c r="E495" s="595"/>
      <c r="F495" s="595"/>
      <c r="G495" s="595"/>
      <c r="H495" s="595"/>
      <c r="I495" s="595"/>
      <c r="J495" s="595"/>
      <c r="K495" s="595"/>
      <c r="L495" s="595"/>
      <c r="M495" s="595"/>
      <c r="N495" s="595"/>
      <c r="O495" s="595"/>
      <c r="P495" s="595"/>
      <c r="Q495" s="595"/>
      <c r="R495" s="595"/>
      <c r="S495" s="595"/>
      <c r="T495" s="595"/>
      <c r="U495" s="595"/>
      <c r="V495" s="595"/>
      <c r="W495" s="595"/>
      <c r="X495" s="595"/>
      <c r="Y495" s="595"/>
      <c r="Z495" s="595"/>
      <c r="AA495" s="63"/>
      <c r="AB495" s="63"/>
      <c r="AC495" s="63"/>
    </row>
    <row r="496" spans="1:68" ht="27" hidden="1" customHeight="1" x14ac:dyDescent="0.25">
      <c r="A496" s="60" t="s">
        <v>795</v>
      </c>
      <c r="B496" s="60" t="s">
        <v>796</v>
      </c>
      <c r="C496" s="34">
        <v>4301031467</v>
      </c>
      <c r="D496" s="596">
        <v>4640242180595</v>
      </c>
      <c r="E496" s="596"/>
      <c r="F496" s="59">
        <v>0.8</v>
      </c>
      <c r="G496" s="35">
        <v>6</v>
      </c>
      <c r="H496" s="59">
        <v>4.8</v>
      </c>
      <c r="I496" s="59">
        <v>5.05</v>
      </c>
      <c r="J496" s="35">
        <v>132</v>
      </c>
      <c r="K496" s="35" t="s">
        <v>140</v>
      </c>
      <c r="L496" s="35" t="s">
        <v>46</v>
      </c>
      <c r="M496" s="36" t="s">
        <v>81</v>
      </c>
      <c r="N496" s="36"/>
      <c r="O496" s="35">
        <v>40</v>
      </c>
      <c r="P496" s="61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96" s="598"/>
      <c r="R496" s="598"/>
      <c r="S496" s="598"/>
      <c r="T496" s="599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79" t="s">
        <v>797</v>
      </c>
      <c r="AG496" s="75"/>
      <c r="AJ496" s="79" t="s">
        <v>46</v>
      </c>
      <c r="AK496" s="79">
        <v>0</v>
      </c>
      <c r="BB496" s="58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795</v>
      </c>
      <c r="B497" s="60" t="s">
        <v>798</v>
      </c>
      <c r="C497" s="34">
        <v>4301031500</v>
      </c>
      <c r="D497" s="596">
        <v>4640242180595</v>
      </c>
      <c r="E497" s="596"/>
      <c r="F497" s="59">
        <v>0.7</v>
      </c>
      <c r="G497" s="35">
        <v>6</v>
      </c>
      <c r="H497" s="59">
        <v>4.2</v>
      </c>
      <c r="I497" s="59">
        <v>4.45</v>
      </c>
      <c r="J497" s="35">
        <v>132</v>
      </c>
      <c r="K497" s="35" t="s">
        <v>140</v>
      </c>
      <c r="L497" s="35" t="s">
        <v>46</v>
      </c>
      <c r="M497" s="36" t="s">
        <v>81</v>
      </c>
      <c r="N497" s="36"/>
      <c r="O497" s="35">
        <v>40</v>
      </c>
      <c r="P497" s="61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97" s="598"/>
      <c r="R497" s="598"/>
      <c r="S497" s="598"/>
      <c r="T497" s="599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81" t="s">
        <v>799</v>
      </c>
      <c r="AG497" s="75"/>
      <c r="AJ497" s="79" t="s">
        <v>46</v>
      </c>
      <c r="AK497" s="79">
        <v>0</v>
      </c>
      <c r="BB497" s="58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idden="1" x14ac:dyDescent="0.2">
      <c r="A498" s="603"/>
      <c r="B498" s="603"/>
      <c r="C498" s="603"/>
      <c r="D498" s="603"/>
      <c r="E498" s="603"/>
      <c r="F498" s="603"/>
      <c r="G498" s="603"/>
      <c r="H498" s="603"/>
      <c r="I498" s="603"/>
      <c r="J498" s="603"/>
      <c r="K498" s="603"/>
      <c r="L498" s="603"/>
      <c r="M498" s="603"/>
      <c r="N498" s="603"/>
      <c r="O498" s="604"/>
      <c r="P498" s="600" t="s">
        <v>40</v>
      </c>
      <c r="Q498" s="601"/>
      <c r="R498" s="601"/>
      <c r="S498" s="601"/>
      <c r="T498" s="601"/>
      <c r="U498" s="601"/>
      <c r="V498" s="602"/>
      <c r="W498" s="40" t="s">
        <v>39</v>
      </c>
      <c r="X498" s="41">
        <f>IFERROR(X496/H496,"0")+IFERROR(X497/H497,"0")</f>
        <v>0</v>
      </c>
      <c r="Y498" s="41">
        <f>IFERROR(Y496/H496,"0")+IFERROR(Y497/H497,"0")</f>
        <v>0</v>
      </c>
      <c r="Z498" s="41">
        <f>IFERROR(IF(Z496="",0,Z496),"0")+IFERROR(IF(Z497="",0,Z497),"0")</f>
        <v>0</v>
      </c>
      <c r="AA498" s="64"/>
      <c r="AB498" s="64"/>
      <c r="AC498" s="64"/>
    </row>
    <row r="499" spans="1:68" hidden="1" x14ac:dyDescent="0.2">
      <c r="A499" s="603"/>
      <c r="B499" s="603"/>
      <c r="C499" s="603"/>
      <c r="D499" s="603"/>
      <c r="E499" s="603"/>
      <c r="F499" s="603"/>
      <c r="G499" s="603"/>
      <c r="H499" s="603"/>
      <c r="I499" s="603"/>
      <c r="J499" s="603"/>
      <c r="K499" s="603"/>
      <c r="L499" s="603"/>
      <c r="M499" s="603"/>
      <c r="N499" s="603"/>
      <c r="O499" s="604"/>
      <c r="P499" s="600" t="s">
        <v>40</v>
      </c>
      <c r="Q499" s="601"/>
      <c r="R499" s="601"/>
      <c r="S499" s="601"/>
      <c r="T499" s="601"/>
      <c r="U499" s="601"/>
      <c r="V499" s="602"/>
      <c r="W499" s="40" t="s">
        <v>0</v>
      </c>
      <c r="X499" s="41">
        <f>IFERROR(SUM(X496:X497),"0")</f>
        <v>0</v>
      </c>
      <c r="Y499" s="41">
        <f>IFERROR(SUM(Y496:Y497),"0")</f>
        <v>0</v>
      </c>
      <c r="Z499" s="40"/>
      <c r="AA499" s="64"/>
      <c r="AB499" s="64"/>
      <c r="AC499" s="64"/>
    </row>
    <row r="500" spans="1:68" ht="14.25" hidden="1" customHeight="1" x14ac:dyDescent="0.25">
      <c r="A500" s="595" t="s">
        <v>86</v>
      </c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95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A500" s="63"/>
      <c r="AB500" s="63"/>
      <c r="AC500" s="63"/>
    </row>
    <row r="501" spans="1:68" ht="27" hidden="1" customHeight="1" x14ac:dyDescent="0.25">
      <c r="A501" s="60" t="s">
        <v>800</v>
      </c>
      <c r="B501" s="60" t="s">
        <v>801</v>
      </c>
      <c r="C501" s="34">
        <v>4301052043</v>
      </c>
      <c r="D501" s="596">
        <v>4640242180533</v>
      </c>
      <c r="E501" s="596"/>
      <c r="F501" s="59">
        <v>1.5</v>
      </c>
      <c r="G501" s="35">
        <v>6</v>
      </c>
      <c r="H501" s="59">
        <v>9</v>
      </c>
      <c r="I501" s="59">
        <v>9.4939999999999998</v>
      </c>
      <c r="J501" s="35">
        <v>64</v>
      </c>
      <c r="K501" s="35" t="s">
        <v>133</v>
      </c>
      <c r="L501" s="35" t="s">
        <v>46</v>
      </c>
      <c r="M501" s="36" t="s">
        <v>90</v>
      </c>
      <c r="N501" s="36"/>
      <c r="O501" s="35">
        <v>45</v>
      </c>
      <c r="P501" s="6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01" s="598"/>
      <c r="R501" s="598"/>
      <c r="S501" s="598"/>
      <c r="T501" s="599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IFERROR(IF(Y501=0,"",ROUNDUP(Y501/H501,0)*0.01898),"")</f>
        <v/>
      </c>
      <c r="AA501" s="65" t="s">
        <v>46</v>
      </c>
      <c r="AB501" s="66" t="s">
        <v>46</v>
      </c>
      <c r="AC501" s="583" t="s">
        <v>802</v>
      </c>
      <c r="AG501" s="75"/>
      <c r="AJ501" s="79" t="s">
        <v>46</v>
      </c>
      <c r="AK501" s="79">
        <v>0</v>
      </c>
      <c r="BB501" s="584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idden="1" x14ac:dyDescent="0.2">
      <c r="A502" s="603"/>
      <c r="B502" s="603"/>
      <c r="C502" s="603"/>
      <c r="D502" s="603"/>
      <c r="E502" s="603"/>
      <c r="F502" s="603"/>
      <c r="G502" s="603"/>
      <c r="H502" s="603"/>
      <c r="I502" s="603"/>
      <c r="J502" s="603"/>
      <c r="K502" s="603"/>
      <c r="L502" s="603"/>
      <c r="M502" s="603"/>
      <c r="N502" s="603"/>
      <c r="O502" s="604"/>
      <c r="P502" s="600" t="s">
        <v>40</v>
      </c>
      <c r="Q502" s="601"/>
      <c r="R502" s="601"/>
      <c r="S502" s="601"/>
      <c r="T502" s="601"/>
      <c r="U502" s="601"/>
      <c r="V502" s="602"/>
      <c r="W502" s="40" t="s">
        <v>39</v>
      </c>
      <c r="X502" s="41">
        <f>IFERROR(X501/H501,"0")</f>
        <v>0</v>
      </c>
      <c r="Y502" s="41">
        <f>IFERROR(Y501/H501,"0")</f>
        <v>0</v>
      </c>
      <c r="Z502" s="41">
        <f>IFERROR(IF(Z501="",0,Z501),"0")</f>
        <v>0</v>
      </c>
      <c r="AA502" s="64"/>
      <c r="AB502" s="64"/>
      <c r="AC502" s="64"/>
    </row>
    <row r="503" spans="1:68" hidden="1" x14ac:dyDescent="0.2">
      <c r="A503" s="603"/>
      <c r="B503" s="603"/>
      <c r="C503" s="603"/>
      <c r="D503" s="603"/>
      <c r="E503" s="603"/>
      <c r="F503" s="603"/>
      <c r="G503" s="603"/>
      <c r="H503" s="603"/>
      <c r="I503" s="603"/>
      <c r="J503" s="603"/>
      <c r="K503" s="603"/>
      <c r="L503" s="603"/>
      <c r="M503" s="603"/>
      <c r="N503" s="603"/>
      <c r="O503" s="604"/>
      <c r="P503" s="600" t="s">
        <v>40</v>
      </c>
      <c r="Q503" s="601"/>
      <c r="R503" s="601"/>
      <c r="S503" s="601"/>
      <c r="T503" s="601"/>
      <c r="U503" s="601"/>
      <c r="V503" s="602"/>
      <c r="W503" s="40" t="s">
        <v>0</v>
      </c>
      <c r="X503" s="41">
        <f>IFERROR(SUM(X501:X501),"0")</f>
        <v>0</v>
      </c>
      <c r="Y503" s="41">
        <f>IFERROR(SUM(Y501:Y501),"0")</f>
        <v>0</v>
      </c>
      <c r="Z503" s="40"/>
      <c r="AA503" s="64"/>
      <c r="AB503" s="64"/>
      <c r="AC503" s="64"/>
    </row>
    <row r="504" spans="1:68" ht="14.25" hidden="1" customHeight="1" x14ac:dyDescent="0.25">
      <c r="A504" s="595" t="s">
        <v>180</v>
      </c>
      <c r="B504" s="595"/>
      <c r="C504" s="595"/>
      <c r="D504" s="595"/>
      <c r="E504" s="595"/>
      <c r="F504" s="595"/>
      <c r="G504" s="595"/>
      <c r="H504" s="595"/>
      <c r="I504" s="595"/>
      <c r="J504" s="595"/>
      <c r="K504" s="595"/>
      <c r="L504" s="595"/>
      <c r="M504" s="595"/>
      <c r="N504" s="595"/>
      <c r="O504" s="595"/>
      <c r="P504" s="595"/>
      <c r="Q504" s="595"/>
      <c r="R504" s="595"/>
      <c r="S504" s="595"/>
      <c r="T504" s="595"/>
      <c r="U504" s="595"/>
      <c r="V504" s="595"/>
      <c r="W504" s="595"/>
      <c r="X504" s="595"/>
      <c r="Y504" s="595"/>
      <c r="Z504" s="595"/>
      <c r="AA504" s="63"/>
      <c r="AB504" s="63"/>
      <c r="AC504" s="63"/>
    </row>
    <row r="505" spans="1:68" ht="27" hidden="1" customHeight="1" x14ac:dyDescent="0.25">
      <c r="A505" s="60" t="s">
        <v>803</v>
      </c>
      <c r="B505" s="60" t="s">
        <v>804</v>
      </c>
      <c r="C505" s="34">
        <v>4301060535</v>
      </c>
      <c r="D505" s="596">
        <v>4640242180120</v>
      </c>
      <c r="E505" s="596"/>
      <c r="F505" s="59">
        <v>1.5</v>
      </c>
      <c r="G505" s="35">
        <v>6</v>
      </c>
      <c r="H505" s="59">
        <v>9</v>
      </c>
      <c r="I505" s="59">
        <v>9.41</v>
      </c>
      <c r="J505" s="35">
        <v>64</v>
      </c>
      <c r="K505" s="35" t="s">
        <v>133</v>
      </c>
      <c r="L505" s="35" t="s">
        <v>46</v>
      </c>
      <c r="M505" s="36" t="s">
        <v>90</v>
      </c>
      <c r="N505" s="36"/>
      <c r="O505" s="35">
        <v>40</v>
      </c>
      <c r="P505" s="60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05" s="598"/>
      <c r="R505" s="598"/>
      <c r="S505" s="598"/>
      <c r="T505" s="599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5" t="s">
        <v>805</v>
      </c>
      <c r="AG505" s="75"/>
      <c r="AJ505" s="79" t="s">
        <v>46</v>
      </c>
      <c r="AK505" s="79">
        <v>0</v>
      </c>
      <c r="BB505" s="586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t="27" hidden="1" customHeight="1" x14ac:dyDescent="0.25">
      <c r="A506" s="60" t="s">
        <v>806</v>
      </c>
      <c r="B506" s="60" t="s">
        <v>807</v>
      </c>
      <c r="C506" s="34">
        <v>4301060536</v>
      </c>
      <c r="D506" s="596">
        <v>4640242180137</v>
      </c>
      <c r="E506" s="596"/>
      <c r="F506" s="59">
        <v>1.5</v>
      </c>
      <c r="G506" s="35">
        <v>6</v>
      </c>
      <c r="H506" s="59">
        <v>9</v>
      </c>
      <c r="I506" s="59">
        <v>9.41</v>
      </c>
      <c r="J506" s="35">
        <v>64</v>
      </c>
      <c r="K506" s="35" t="s">
        <v>133</v>
      </c>
      <c r="L506" s="35" t="s">
        <v>46</v>
      </c>
      <c r="M506" s="36" t="s">
        <v>90</v>
      </c>
      <c r="N506" s="36"/>
      <c r="O506" s="35">
        <v>40</v>
      </c>
      <c r="P506" s="61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06" s="598"/>
      <c r="R506" s="598"/>
      <c r="S506" s="598"/>
      <c r="T506" s="599"/>
      <c r="U506" s="37" t="s">
        <v>46</v>
      </c>
      <c r="V506" s="37" t="s">
        <v>46</v>
      </c>
      <c r="W506" s="38" t="s">
        <v>0</v>
      </c>
      <c r="X506" s="56">
        <v>0</v>
      </c>
      <c r="Y506" s="53">
        <f>IFERROR(IF(X506="",0,CEILING((X506/$H506),1)*$H506),"")</f>
        <v>0</v>
      </c>
      <c r="Z506" s="39" t="str">
        <f>IFERROR(IF(Y506=0,"",ROUNDUP(Y506/H506,0)*0.01898),"")</f>
        <v/>
      </c>
      <c r="AA506" s="65" t="s">
        <v>46</v>
      </c>
      <c r="AB506" s="66" t="s">
        <v>46</v>
      </c>
      <c r="AC506" s="587" t="s">
        <v>808</v>
      </c>
      <c r="AG506" s="75"/>
      <c r="AJ506" s="79" t="s">
        <v>46</v>
      </c>
      <c r="AK506" s="79">
        <v>0</v>
      </c>
      <c r="BB506" s="588" t="s">
        <v>67</v>
      </c>
      <c r="BM506" s="75">
        <f>IFERROR(X506*I506/H506,"0")</f>
        <v>0</v>
      </c>
      <c r="BN506" s="75">
        <f>IFERROR(Y506*I506/H506,"0")</f>
        <v>0</v>
      </c>
      <c r="BO506" s="75">
        <f>IFERROR(1/J506*(X506/H506),"0")</f>
        <v>0</v>
      </c>
      <c r="BP506" s="75">
        <f>IFERROR(1/J506*(Y506/H506),"0")</f>
        <v>0</v>
      </c>
    </row>
    <row r="507" spans="1:68" hidden="1" x14ac:dyDescent="0.2">
      <c r="A507" s="603"/>
      <c r="B507" s="603"/>
      <c r="C507" s="603"/>
      <c r="D507" s="603"/>
      <c r="E507" s="603"/>
      <c r="F507" s="603"/>
      <c r="G507" s="603"/>
      <c r="H507" s="603"/>
      <c r="I507" s="603"/>
      <c r="J507" s="603"/>
      <c r="K507" s="603"/>
      <c r="L507" s="603"/>
      <c r="M507" s="603"/>
      <c r="N507" s="603"/>
      <c r="O507" s="604"/>
      <c r="P507" s="600" t="s">
        <v>40</v>
      </c>
      <c r="Q507" s="601"/>
      <c r="R507" s="601"/>
      <c r="S507" s="601"/>
      <c r="T507" s="601"/>
      <c r="U507" s="601"/>
      <c r="V507" s="602"/>
      <c r="W507" s="40" t="s">
        <v>39</v>
      </c>
      <c r="X507" s="41">
        <f>IFERROR(X505/H505,"0")+IFERROR(X506/H506,"0")</f>
        <v>0</v>
      </c>
      <c r="Y507" s="41">
        <f>IFERROR(Y505/H505,"0")+IFERROR(Y506/H506,"0")</f>
        <v>0</v>
      </c>
      <c r="Z507" s="41">
        <f>IFERROR(IF(Z505="",0,Z505),"0")+IFERROR(IF(Z506="",0,Z506),"0")</f>
        <v>0</v>
      </c>
      <c r="AA507" s="64"/>
      <c r="AB507" s="64"/>
      <c r="AC507" s="64"/>
    </row>
    <row r="508" spans="1:68" hidden="1" x14ac:dyDescent="0.2">
      <c r="A508" s="603"/>
      <c r="B508" s="603"/>
      <c r="C508" s="603"/>
      <c r="D508" s="603"/>
      <c r="E508" s="603"/>
      <c r="F508" s="603"/>
      <c r="G508" s="603"/>
      <c r="H508" s="603"/>
      <c r="I508" s="603"/>
      <c r="J508" s="603"/>
      <c r="K508" s="603"/>
      <c r="L508" s="603"/>
      <c r="M508" s="603"/>
      <c r="N508" s="603"/>
      <c r="O508" s="604"/>
      <c r="P508" s="600" t="s">
        <v>40</v>
      </c>
      <c r="Q508" s="601"/>
      <c r="R508" s="601"/>
      <c r="S508" s="601"/>
      <c r="T508" s="601"/>
      <c r="U508" s="601"/>
      <c r="V508" s="602"/>
      <c r="W508" s="40" t="s">
        <v>0</v>
      </c>
      <c r="X508" s="41">
        <f>IFERROR(SUM(X505:X506),"0")</f>
        <v>0</v>
      </c>
      <c r="Y508" s="41">
        <f>IFERROR(SUM(Y505:Y506),"0")</f>
        <v>0</v>
      </c>
      <c r="Z508" s="40"/>
      <c r="AA508" s="64"/>
      <c r="AB508" s="64"/>
      <c r="AC508" s="64"/>
    </row>
    <row r="509" spans="1:68" ht="16.5" hidden="1" customHeight="1" x14ac:dyDescent="0.25">
      <c r="A509" s="611" t="s">
        <v>809</v>
      </c>
      <c r="B509" s="611"/>
      <c r="C509" s="611"/>
      <c r="D509" s="611"/>
      <c r="E509" s="611"/>
      <c r="F509" s="611"/>
      <c r="G509" s="611"/>
      <c r="H509" s="611"/>
      <c r="I509" s="611"/>
      <c r="J509" s="611"/>
      <c r="K509" s="611"/>
      <c r="L509" s="611"/>
      <c r="M509" s="611"/>
      <c r="N509" s="611"/>
      <c r="O509" s="611"/>
      <c r="P509" s="611"/>
      <c r="Q509" s="611"/>
      <c r="R509" s="611"/>
      <c r="S509" s="611"/>
      <c r="T509" s="611"/>
      <c r="U509" s="611"/>
      <c r="V509" s="611"/>
      <c r="W509" s="611"/>
      <c r="X509" s="611"/>
      <c r="Y509" s="611"/>
      <c r="Z509" s="611"/>
      <c r="AA509" s="62"/>
      <c r="AB509" s="62"/>
      <c r="AC509" s="62"/>
    </row>
    <row r="510" spans="1:68" ht="14.25" hidden="1" customHeight="1" x14ac:dyDescent="0.25">
      <c r="A510" s="595" t="s">
        <v>163</v>
      </c>
      <c r="B510" s="595"/>
      <c r="C510" s="595"/>
      <c r="D510" s="595"/>
      <c r="E510" s="595"/>
      <c r="F510" s="595"/>
      <c r="G510" s="595"/>
      <c r="H510" s="595"/>
      <c r="I510" s="595"/>
      <c r="J510" s="595"/>
      <c r="K510" s="595"/>
      <c r="L510" s="595"/>
      <c r="M510" s="595"/>
      <c r="N510" s="595"/>
      <c r="O510" s="595"/>
      <c r="P510" s="595"/>
      <c r="Q510" s="595"/>
      <c r="R510" s="595"/>
      <c r="S510" s="595"/>
      <c r="T510" s="595"/>
      <c r="U510" s="595"/>
      <c r="V510" s="595"/>
      <c r="W510" s="595"/>
      <c r="X510" s="595"/>
      <c r="Y510" s="595"/>
      <c r="Z510" s="595"/>
      <c r="AA510" s="63"/>
      <c r="AB510" s="63"/>
      <c r="AC510" s="63"/>
    </row>
    <row r="511" spans="1:68" ht="27" hidden="1" customHeight="1" x14ac:dyDescent="0.25">
      <c r="A511" s="60" t="s">
        <v>810</v>
      </c>
      <c r="B511" s="60" t="s">
        <v>811</v>
      </c>
      <c r="C511" s="34">
        <v>4301020428</v>
      </c>
      <c r="D511" s="596">
        <v>4640242180090</v>
      </c>
      <c r="E511" s="596"/>
      <c r="F511" s="59">
        <v>1.5</v>
      </c>
      <c r="G511" s="35">
        <v>8</v>
      </c>
      <c r="H511" s="59">
        <v>12</v>
      </c>
      <c r="I511" s="59">
        <v>12.41</v>
      </c>
      <c r="J511" s="35">
        <v>64</v>
      </c>
      <c r="K511" s="35" t="s">
        <v>133</v>
      </c>
      <c r="L511" s="35" t="s">
        <v>46</v>
      </c>
      <c r="M511" s="36" t="s">
        <v>132</v>
      </c>
      <c r="N511" s="36"/>
      <c r="O511" s="35">
        <v>50</v>
      </c>
      <c r="P511" s="59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11" s="598"/>
      <c r="R511" s="598"/>
      <c r="S511" s="598"/>
      <c r="T511" s="599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IFERROR(IF(Y511=0,"",ROUNDUP(Y511/H511,0)*0.01898),"")</f>
        <v/>
      </c>
      <c r="AA511" s="65" t="s">
        <v>46</v>
      </c>
      <c r="AB511" s="66" t="s">
        <v>46</v>
      </c>
      <c r="AC511" s="589" t="s">
        <v>812</v>
      </c>
      <c r="AG511" s="75"/>
      <c r="AJ511" s="79" t="s">
        <v>46</v>
      </c>
      <c r="AK511" s="79">
        <v>0</v>
      </c>
      <c r="BB511" s="59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idden="1" x14ac:dyDescent="0.2">
      <c r="A512" s="603"/>
      <c r="B512" s="603"/>
      <c r="C512" s="603"/>
      <c r="D512" s="603"/>
      <c r="E512" s="603"/>
      <c r="F512" s="603"/>
      <c r="G512" s="603"/>
      <c r="H512" s="603"/>
      <c r="I512" s="603"/>
      <c r="J512" s="603"/>
      <c r="K512" s="603"/>
      <c r="L512" s="603"/>
      <c r="M512" s="603"/>
      <c r="N512" s="603"/>
      <c r="O512" s="604"/>
      <c r="P512" s="600" t="s">
        <v>40</v>
      </c>
      <c r="Q512" s="601"/>
      <c r="R512" s="601"/>
      <c r="S512" s="601"/>
      <c r="T512" s="601"/>
      <c r="U512" s="601"/>
      <c r="V512" s="602"/>
      <c r="W512" s="40" t="s">
        <v>39</v>
      </c>
      <c r="X512" s="41">
        <f>IFERROR(X511/H511,"0")</f>
        <v>0</v>
      </c>
      <c r="Y512" s="41">
        <f>IFERROR(Y511/H511,"0")</f>
        <v>0</v>
      </c>
      <c r="Z512" s="41">
        <f>IFERROR(IF(Z511="",0,Z511),"0")</f>
        <v>0</v>
      </c>
      <c r="AA512" s="64"/>
      <c r="AB512" s="64"/>
      <c r="AC512" s="64"/>
    </row>
    <row r="513" spans="1:32" hidden="1" x14ac:dyDescent="0.2">
      <c r="A513" s="603"/>
      <c r="B513" s="603"/>
      <c r="C513" s="603"/>
      <c r="D513" s="603"/>
      <c r="E513" s="603"/>
      <c r="F513" s="603"/>
      <c r="G513" s="603"/>
      <c r="H513" s="603"/>
      <c r="I513" s="603"/>
      <c r="J513" s="603"/>
      <c r="K513" s="603"/>
      <c r="L513" s="603"/>
      <c r="M513" s="603"/>
      <c r="N513" s="603"/>
      <c r="O513" s="604"/>
      <c r="P513" s="600" t="s">
        <v>40</v>
      </c>
      <c r="Q513" s="601"/>
      <c r="R513" s="601"/>
      <c r="S513" s="601"/>
      <c r="T513" s="601"/>
      <c r="U513" s="601"/>
      <c r="V513" s="602"/>
      <c r="W513" s="40" t="s">
        <v>0</v>
      </c>
      <c r="X513" s="41">
        <f>IFERROR(SUM(X511:X511),"0")</f>
        <v>0</v>
      </c>
      <c r="Y513" s="41">
        <f>IFERROR(SUM(Y511:Y511),"0")</f>
        <v>0</v>
      </c>
      <c r="Z513" s="40"/>
      <c r="AA513" s="64"/>
      <c r="AB513" s="64"/>
      <c r="AC513" s="64"/>
    </row>
    <row r="514" spans="1:32" ht="15" customHeight="1" x14ac:dyDescent="0.2">
      <c r="A514" s="603"/>
      <c r="B514" s="603"/>
      <c r="C514" s="603"/>
      <c r="D514" s="603"/>
      <c r="E514" s="603"/>
      <c r="F514" s="603"/>
      <c r="G514" s="603"/>
      <c r="H514" s="603"/>
      <c r="I514" s="603"/>
      <c r="J514" s="603"/>
      <c r="K514" s="603"/>
      <c r="L514" s="603"/>
      <c r="M514" s="603"/>
      <c r="N514" s="603"/>
      <c r="O514" s="608"/>
      <c r="P514" s="605" t="s">
        <v>33</v>
      </c>
      <c r="Q514" s="606"/>
      <c r="R514" s="606"/>
      <c r="S514" s="606"/>
      <c r="T514" s="606"/>
      <c r="U514" s="606"/>
      <c r="V514" s="607"/>
      <c r="W514" s="40" t="s">
        <v>0</v>
      </c>
      <c r="X514" s="41">
        <f>IFERROR(X25+X34+X38+X47+X56+X67+X74+X79+X84+X92+X99+X110+X120+X127+X131+X139+X145+X149+X163+X169+X174+X178+X187+X192+X209+X216+X222+X226+X232+X237+X248+X263+X268+X279+X283+X287+X293+X302+X309+X318+X323+X330+X340+X350+X357+X363+X370+X376+X383+X396+X402+X407+X411+X417+X421+X427+X438+X443+X448+X454+X468+X474+X484+X490+X494+X499+X503+X508+X513,"0")</f>
        <v>4288</v>
      </c>
      <c r="Y514" s="41">
        <f>IFERROR(Y25+Y34+Y38+Y47+Y56+Y67+Y74+Y79+Y84+Y92+Y99+Y110+Y120+Y127+Y131+Y139+Y145+Y149+Y163+Y169+Y174+Y178+Y187+Y192+Y209+Y216+Y222+Y226+Y232+Y237+Y248+Y263+Y268+Y279+Y283+Y287+Y293+Y302+Y309+Y318+Y323+Y330+Y340+Y350+Y357+Y363+Y370+Y376+Y383+Y396+Y402+Y407+Y411+Y417+Y421+Y427+Y438+Y443+Y448+Y454+Y468+Y474+Y484+Y490+Y494+Y499+Y503+Y508+Y513,"0")</f>
        <v>4302.3</v>
      </c>
      <c r="Z514" s="40"/>
      <c r="AA514" s="64"/>
      <c r="AB514" s="64"/>
      <c r="AC514" s="64"/>
    </row>
    <row r="515" spans="1:32" x14ac:dyDescent="0.2">
      <c r="A515" s="603"/>
      <c r="B515" s="603"/>
      <c r="C515" s="603"/>
      <c r="D515" s="603"/>
      <c r="E515" s="603"/>
      <c r="F515" s="603"/>
      <c r="G515" s="603"/>
      <c r="H515" s="603"/>
      <c r="I515" s="603"/>
      <c r="J515" s="603"/>
      <c r="K515" s="603"/>
      <c r="L515" s="603"/>
      <c r="M515" s="603"/>
      <c r="N515" s="603"/>
      <c r="O515" s="608"/>
      <c r="P515" s="605" t="s">
        <v>34</v>
      </c>
      <c r="Q515" s="606"/>
      <c r="R515" s="606"/>
      <c r="S515" s="606"/>
      <c r="T515" s="606"/>
      <c r="U515" s="606"/>
      <c r="V515" s="607"/>
      <c r="W515" s="40" t="s">
        <v>0</v>
      </c>
      <c r="X515" s="41">
        <f>IFERROR(SUM(BM22:BM511),"0")</f>
        <v>4517.6939682539687</v>
      </c>
      <c r="Y515" s="41">
        <f>IFERROR(SUM(BN22:BN511),"0")</f>
        <v>4532.6859999999997</v>
      </c>
      <c r="Z515" s="40"/>
      <c r="AA515" s="64"/>
      <c r="AB515" s="64"/>
      <c r="AC515" s="64"/>
    </row>
    <row r="516" spans="1:32" x14ac:dyDescent="0.2">
      <c r="A516" s="603"/>
      <c r="B516" s="603"/>
      <c r="C516" s="603"/>
      <c r="D516" s="603"/>
      <c r="E516" s="603"/>
      <c r="F516" s="603"/>
      <c r="G516" s="603"/>
      <c r="H516" s="603"/>
      <c r="I516" s="603"/>
      <c r="J516" s="603"/>
      <c r="K516" s="603"/>
      <c r="L516" s="603"/>
      <c r="M516" s="603"/>
      <c r="N516" s="603"/>
      <c r="O516" s="608"/>
      <c r="P516" s="605" t="s">
        <v>35</v>
      </c>
      <c r="Q516" s="606"/>
      <c r="R516" s="606"/>
      <c r="S516" s="606"/>
      <c r="T516" s="606"/>
      <c r="U516" s="606"/>
      <c r="V516" s="607"/>
      <c r="W516" s="40" t="s">
        <v>20</v>
      </c>
      <c r="X516" s="42">
        <f>ROUNDUP(SUM(BO22:BO511),0)</f>
        <v>8</v>
      </c>
      <c r="Y516" s="42">
        <f>ROUNDUP(SUM(BP22:BP511),0)</f>
        <v>8</v>
      </c>
      <c r="Z516" s="40"/>
      <c r="AA516" s="64"/>
      <c r="AB516" s="64"/>
      <c r="AC516" s="64"/>
    </row>
    <row r="517" spans="1:32" x14ac:dyDescent="0.2">
      <c r="A517" s="603"/>
      <c r="B517" s="603"/>
      <c r="C517" s="603"/>
      <c r="D517" s="603"/>
      <c r="E517" s="603"/>
      <c r="F517" s="603"/>
      <c r="G517" s="603"/>
      <c r="H517" s="603"/>
      <c r="I517" s="603"/>
      <c r="J517" s="603"/>
      <c r="K517" s="603"/>
      <c r="L517" s="603"/>
      <c r="M517" s="603"/>
      <c r="N517" s="603"/>
      <c r="O517" s="608"/>
      <c r="P517" s="605" t="s">
        <v>36</v>
      </c>
      <c r="Q517" s="606"/>
      <c r="R517" s="606"/>
      <c r="S517" s="606"/>
      <c r="T517" s="606"/>
      <c r="U517" s="606"/>
      <c r="V517" s="607"/>
      <c r="W517" s="40" t="s">
        <v>0</v>
      </c>
      <c r="X517" s="41">
        <f>GrossWeightTotal+PalletQtyTotal*25</f>
        <v>4717.6939682539687</v>
      </c>
      <c r="Y517" s="41">
        <f>GrossWeightTotalR+PalletQtyTotalR*25</f>
        <v>4732.6859999999997</v>
      </c>
      <c r="Z517" s="40"/>
      <c r="AA517" s="64"/>
      <c r="AB517" s="64"/>
      <c r="AC517" s="64"/>
    </row>
    <row r="518" spans="1:32" x14ac:dyDescent="0.2">
      <c r="A518" s="603"/>
      <c r="B518" s="603"/>
      <c r="C518" s="603"/>
      <c r="D518" s="603"/>
      <c r="E518" s="603"/>
      <c r="F518" s="603"/>
      <c r="G518" s="603"/>
      <c r="H518" s="603"/>
      <c r="I518" s="603"/>
      <c r="J518" s="603"/>
      <c r="K518" s="603"/>
      <c r="L518" s="603"/>
      <c r="M518" s="603"/>
      <c r="N518" s="603"/>
      <c r="O518" s="608"/>
      <c r="P518" s="605" t="s">
        <v>37</v>
      </c>
      <c r="Q518" s="606"/>
      <c r="R518" s="606"/>
      <c r="S518" s="606"/>
      <c r="T518" s="606"/>
      <c r="U518" s="606"/>
      <c r="V518" s="607"/>
      <c r="W518" s="40" t="s">
        <v>20</v>
      </c>
      <c r="X518" s="41">
        <f>IFERROR(X24+X33+X37+X46+X55+X66+X73+X78+X83+X91+X98+X109+X119+X126+X130+X138+X144+X148+X162+X168+X173+X177+X186+X191+X208+X215+X221+X225+X231+X236+X247+X262+X267+X278+X282+X286+X292+X301+X308+X317+X322+X329+X339+X349+X356+X362+X369+X375+X382+X395+X401+X406+X410+X416+X420+X426+X437+X442+X447+X453+X467+X473+X483+X489+X493+X498+X502+X507+X512,"0")</f>
        <v>502.81746031746036</v>
      </c>
      <c r="Y518" s="41">
        <f>IFERROR(Y24+Y33+Y37+Y46+Y55+Y66+Y73+Y78+Y83+Y91+Y98+Y109+Y119+Y126+Y130+Y138+Y144+Y148+Y162+Y168+Y173+Y177+Y186+Y191+Y208+Y215+Y221+Y225+Y231+Y236+Y247+Y262+Y267+Y278+Y282+Y286+Y292+Y301+Y308+Y317+Y322+Y329+Y339+Y349+Y356+Y362+Y369+Y375+Y382+Y395+Y401+Y406+Y410+Y416+Y420+Y426+Y437+Y442+Y447+Y453+Y467+Y473+Y483+Y489+Y493+Y498+Y502+Y507+Y512,"0")</f>
        <v>505</v>
      </c>
      <c r="Z518" s="40"/>
      <c r="AA518" s="64"/>
      <c r="AB518" s="64"/>
      <c r="AC518" s="64"/>
    </row>
    <row r="519" spans="1:32" ht="14.25" hidden="1" x14ac:dyDescent="0.2">
      <c r="A519" s="603"/>
      <c r="B519" s="603"/>
      <c r="C519" s="603"/>
      <c r="D519" s="603"/>
      <c r="E519" s="603"/>
      <c r="F519" s="603"/>
      <c r="G519" s="603"/>
      <c r="H519" s="603"/>
      <c r="I519" s="603"/>
      <c r="J519" s="603"/>
      <c r="K519" s="603"/>
      <c r="L519" s="603"/>
      <c r="M519" s="603"/>
      <c r="N519" s="603"/>
      <c r="O519" s="608"/>
      <c r="P519" s="605" t="s">
        <v>38</v>
      </c>
      <c r="Q519" s="606"/>
      <c r="R519" s="606"/>
      <c r="S519" s="606"/>
      <c r="T519" s="606"/>
      <c r="U519" s="606"/>
      <c r="V519" s="607"/>
      <c r="W519" s="43" t="s">
        <v>52</v>
      </c>
      <c r="X519" s="40"/>
      <c r="Y519" s="40"/>
      <c r="Z519" s="40">
        <f>IFERROR(Z24+Z33+Z37+Z46+Z55+Z66+Z73+Z78+Z83+Z91+Z98+Z109+Z119+Z126+Z130+Z138+Z144+Z148+Z162+Z168+Z173+Z177+Z186+Z191+Z208+Z215+Z221+Z225+Z231+Z236+Z247+Z262+Z267+Z278+Z282+Z286+Z292+Z301+Z308+Z317+Z322+Z329+Z339+Z349+Z356+Z362+Z369+Z375+Z382+Z395+Z401+Z406+Z410+Z416+Z420+Z426+Z437+Z442+Z447+Z453+Z467+Z473+Z483+Z489+Z493+Z498+Z502+Z507+Z512,"0")</f>
        <v>8.77379</v>
      </c>
      <c r="AA519" s="64"/>
      <c r="AB519" s="64"/>
      <c r="AC519" s="64"/>
    </row>
    <row r="520" spans="1:32" ht="13.5" thickBot="1" x14ac:dyDescent="0.25"/>
    <row r="521" spans="1:32" ht="27" thickTop="1" thickBot="1" x14ac:dyDescent="0.25">
      <c r="A521" s="44" t="s">
        <v>9</v>
      </c>
      <c r="B521" s="80" t="s">
        <v>76</v>
      </c>
      <c r="C521" s="80" t="s">
        <v>45</v>
      </c>
      <c r="D521" s="591" t="s">
        <v>126</v>
      </c>
      <c r="E521" s="591" t="s">
        <v>126</v>
      </c>
      <c r="F521" s="591" t="s">
        <v>126</v>
      </c>
      <c r="G521" s="591" t="s">
        <v>126</v>
      </c>
      <c r="H521" s="591" t="s">
        <v>126</v>
      </c>
      <c r="I521" s="591" t="s">
        <v>126</v>
      </c>
      <c r="J521" s="591" t="s">
        <v>323</v>
      </c>
      <c r="K521" s="591" t="s">
        <v>323</v>
      </c>
      <c r="L521" s="591" t="s">
        <v>323</v>
      </c>
      <c r="M521" s="591" t="s">
        <v>323</v>
      </c>
      <c r="N521" s="592"/>
      <c r="O521" s="591" t="s">
        <v>323</v>
      </c>
      <c r="P521" s="591" t="s">
        <v>323</v>
      </c>
      <c r="Q521" s="591" t="s">
        <v>323</v>
      </c>
      <c r="R521" s="591" t="s">
        <v>323</v>
      </c>
      <c r="S521" s="591" t="s">
        <v>323</v>
      </c>
      <c r="T521" s="591" t="s">
        <v>323</v>
      </c>
      <c r="U521" s="591" t="s">
        <v>645</v>
      </c>
      <c r="V521" s="591" t="s">
        <v>645</v>
      </c>
      <c r="W521" s="591" t="s">
        <v>705</v>
      </c>
      <c r="X521" s="591" t="s">
        <v>705</v>
      </c>
      <c r="Y521" s="80" t="s">
        <v>741</v>
      </c>
      <c r="Z521" s="591" t="s">
        <v>788</v>
      </c>
      <c r="AA521" s="591" t="s">
        <v>788</v>
      </c>
      <c r="AB521" s="9"/>
      <c r="AC521" s="9"/>
      <c r="AF521" s="1"/>
    </row>
    <row r="522" spans="1:32" ht="14.25" customHeight="1" thickTop="1" x14ac:dyDescent="0.2">
      <c r="A522" s="593" t="s">
        <v>10</v>
      </c>
      <c r="B522" s="591" t="s">
        <v>76</v>
      </c>
      <c r="C522" s="591" t="s">
        <v>113</v>
      </c>
      <c r="D522" s="591" t="s">
        <v>127</v>
      </c>
      <c r="E522" s="591" t="s">
        <v>143</v>
      </c>
      <c r="F522" s="591" t="s">
        <v>187</v>
      </c>
      <c r="G522" s="591" t="s">
        <v>208</v>
      </c>
      <c r="H522" s="591" t="s">
        <v>252</v>
      </c>
      <c r="I522" s="591" t="s">
        <v>126</v>
      </c>
      <c r="J522" s="591" t="s">
        <v>324</v>
      </c>
      <c r="K522" s="591" t="s">
        <v>336</v>
      </c>
      <c r="L522" s="591" t="s">
        <v>403</v>
      </c>
      <c r="M522" s="591" t="s">
        <v>471</v>
      </c>
      <c r="N522" s="1"/>
      <c r="O522" s="591" t="s">
        <v>504</v>
      </c>
      <c r="P522" s="591" t="s">
        <v>520</v>
      </c>
      <c r="Q522" s="591" t="s">
        <v>529</v>
      </c>
      <c r="R522" s="591" t="s">
        <v>550</v>
      </c>
      <c r="S522" s="591" t="s">
        <v>560</v>
      </c>
      <c r="T522" s="591" t="s">
        <v>635</v>
      </c>
      <c r="U522" s="591" t="s">
        <v>646</v>
      </c>
      <c r="V522" s="591" t="s">
        <v>689</v>
      </c>
      <c r="W522" s="591" t="s">
        <v>706</v>
      </c>
      <c r="X522" s="591" t="s">
        <v>729</v>
      </c>
      <c r="Y522" s="591" t="s">
        <v>741</v>
      </c>
      <c r="Z522" s="591" t="s">
        <v>788</v>
      </c>
      <c r="AA522" s="591" t="s">
        <v>809</v>
      </c>
      <c r="AB522" s="9"/>
      <c r="AC522" s="9"/>
      <c r="AF522" s="1"/>
    </row>
    <row r="523" spans="1:32" ht="13.5" thickBot="1" x14ac:dyDescent="0.25">
      <c r="A523" s="594"/>
      <c r="B523" s="591"/>
      <c r="C523" s="591"/>
      <c r="D523" s="591"/>
      <c r="E523" s="591"/>
      <c r="F523" s="591"/>
      <c r="G523" s="591"/>
      <c r="H523" s="591"/>
      <c r="I523" s="591"/>
      <c r="J523" s="591"/>
      <c r="K523" s="591"/>
      <c r="L523" s="591"/>
      <c r="M523" s="591"/>
      <c r="N523" s="1"/>
      <c r="O523" s="591"/>
      <c r="P523" s="591"/>
      <c r="Q523" s="591"/>
      <c r="R523" s="591"/>
      <c r="S523" s="591"/>
      <c r="T523" s="591"/>
      <c r="U523" s="591"/>
      <c r="V523" s="591"/>
      <c r="W523" s="591"/>
      <c r="X523" s="591"/>
      <c r="Y523" s="591"/>
      <c r="Z523" s="591"/>
      <c r="AA523" s="591"/>
      <c r="AB523" s="9"/>
      <c r="AC523" s="9"/>
      <c r="AF523" s="1"/>
    </row>
    <row r="524" spans="1:32" ht="18" thickTop="1" thickBot="1" x14ac:dyDescent="0.25">
      <c r="A524" s="44" t="s">
        <v>13</v>
      </c>
      <c r="B524" s="50">
        <f>IFERROR(Y22*1,"0")+IFERROR(Y23*1,"0")+IFERROR(Y27*1,"0")+IFERROR(Y28*1,"0")+IFERROR(Y29*1,"0")+IFERROR(Y30*1,"0")+IFERROR(Y31*1,"0")+IFERROR(Y32*1,"0")+IFERROR(Y36*1,"0")</f>
        <v>0</v>
      </c>
      <c r="C524" s="50">
        <f>IFERROR(Y42*1,"0")+IFERROR(Y43*1,"0")+IFERROR(Y44*1,"0")+IFERROR(Y45*1,"0")</f>
        <v>0</v>
      </c>
      <c r="D524" s="50">
        <f>IFERROR(Y51*1,"0")+IFERROR(Y52*1,"0")+IFERROR(Y53*1,"0")+IFERROR(Y54*1,"0")</f>
        <v>0</v>
      </c>
      <c r="E524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24" s="50">
        <f>IFERROR(Y87*1,"0")+IFERROR(Y88*1,"0")+IFERROR(Y89*1,"0")+IFERROR(Y90*1,"0")+IFERROR(Y94*1,"0")+IFERROR(Y95*1,"0")+IFERROR(Y96*1,"0")+IFERROR(Y97*1,"0")</f>
        <v>0</v>
      </c>
      <c r="G524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24" s="50">
        <f>IFERROR(Y134*1,"0")+IFERROR(Y135*1,"0")+IFERROR(Y136*1,"0")+IFERROR(Y137*1,"0")</f>
        <v>0</v>
      </c>
      <c r="I524" s="50">
        <f>IFERROR(Y142*1,"0")+IFERROR(Y143*1,"0")+IFERROR(Y147*1,"0")+IFERROR(Y151*1,"0")+IFERROR(Y152*1,"0")+IFERROR(Y153*1,"0")+IFERROR(Y154*1,"0")+IFERROR(Y155*1,"0")+IFERROR(Y156*1,"0")+IFERROR(Y157*1,"0")+IFERROR(Y158*1,"0")+IFERROR(Y159*1,"0")+IFERROR(Y160*1,"0")+IFERROR(Y161*1,"0")+IFERROR(Y165*1,"0")+IFERROR(Y166*1,"0")+IFERROR(Y167*1,"0")+IFERROR(Y171*1,"0")+IFERROR(Y172*1,"0")+IFERROR(Y176*1,"0")</f>
        <v>0</v>
      </c>
      <c r="J524" s="50">
        <f>IFERROR(Y182*1,"0")+IFERROR(Y183*1,"0")+IFERROR(Y184*1,"0")+IFERROR(Y185*1,"0")</f>
        <v>0</v>
      </c>
      <c r="K524" s="50">
        <f>IFERROR(Y190*1,"0")+IFERROR(Y194*1,"0")+IFERROR(Y195*1,"0")+IFERROR(Y196*1,"0")+IFERROR(Y197*1,"0")+IFERROR(Y198*1,"0")+IFERROR(Y199*1,"0")+IFERROR(Y200*1,"0")+IFERROR(Y201*1,"0")+IFERROR(Y202*1,"0")+IFERROR(Y203*1,"0")+IFERROR(Y204*1,"0")+IFERROR(Y205*1,"0")+IFERROR(Y206*1,"0")+IFERROR(Y207*1,"0")+IFERROR(Y211*1,"0")+IFERROR(Y212*1,"0")+IFERROR(Y213*1,"0")+IFERROR(Y214*1,"0")+IFERROR(Y218*1,"0")+IFERROR(Y219*1,"0")+IFERROR(Y220*1,"0")+IFERROR(Y224*1,"0")</f>
        <v>0</v>
      </c>
      <c r="L524" s="50">
        <f>IFERROR(Y229*1,"0")+IFERROR(Y230*1,"0")+IFERROR(Y234*1,"0")+IFERROR(Y235*1,"0")+IFERROR(Y239*1,"0")+IFERROR(Y240*1,"0")+IFERROR(Y241*1,"0")+IFERROR(Y242*1,"0")+IFERROR(Y243*1,"0")+IFERROR(Y244*1,"0")+IFERROR(Y245*1,"0")+IFERROR(Y246*1,"0")+IFERROR(Y250*1,"0")+IFERROR(Y251*1,"0")+IFERROR(Y252*1,"0")+IFERROR(Y253*1,"0")+IFERROR(Y254*1,"0")+IFERROR(Y255*1,"0")+IFERROR(Y256*1,"0")+IFERROR(Y257*1,"0")+IFERROR(Y258*1,"0")+IFERROR(Y259*1,"0")+IFERROR(Y260*1,"0")+IFERROR(Y261*1,"0")+IFERROR(Y265*1,"0")+IFERROR(Y266*1,"0")</f>
        <v>9.6</v>
      </c>
      <c r="M524" s="50">
        <f>IFERROR(Y271*1,"0")+IFERROR(Y272*1,"0")+IFERROR(Y273*1,"0")+IFERROR(Y274*1,"0")+IFERROR(Y275*1,"0")+IFERROR(Y276*1,"0")+IFERROR(Y277*1,"0")+IFERROR(Y281*1,"0")+IFERROR(Y285*1,"0")+IFERROR(Y289*1,"0")+IFERROR(Y290*1,"0")+IFERROR(Y291*1,"0")</f>
        <v>0</v>
      </c>
      <c r="N524" s="1"/>
      <c r="O524" s="50">
        <f>IFERROR(Y296*1,"0")+IFERROR(Y297*1,"0")+IFERROR(Y298*1,"0")+IFERROR(Y299*1,"0")+IFERROR(Y300*1,"0")</f>
        <v>0</v>
      </c>
      <c r="P524" s="50">
        <f>IFERROR(Y305*1,"0")+IFERROR(Y306*1,"0")+IFERROR(Y307*1,"0")</f>
        <v>0</v>
      </c>
      <c r="Q524" s="50">
        <f>IFERROR(Y312*1,"0")+IFERROR(Y313*1,"0")+IFERROR(Y314*1,"0")+IFERROR(Y315*1,"0")+IFERROR(Y316*1,"0")+IFERROR(Y320*1,"0")+IFERROR(Y321*1,"0")</f>
        <v>0</v>
      </c>
      <c r="R524" s="50">
        <f>IFERROR(Y326*1,"0")+IFERROR(Y327*1,"0")+IFERROR(Y328*1,"0")</f>
        <v>0</v>
      </c>
      <c r="S524" s="50">
        <f>IFERROR(Y333*1,"0")+IFERROR(Y334*1,"0")+IFERROR(Y335*1,"0")+IFERROR(Y336*1,"0")+IFERROR(Y337*1,"0")+IFERROR(Y338*1,"0")+IFERROR(Y342*1,"0")+IFERROR(Y343*1,"0")+IFERROR(Y344*1,"0")+IFERROR(Y345*1,"0")+IFERROR(Y346*1,"0")+IFERROR(Y347*1,"0")+IFERROR(Y348*1,"0")+IFERROR(Y352*1,"0")+IFERROR(Y353*1,"0")+IFERROR(Y354*1,"0")+IFERROR(Y355*1,"0")+IFERROR(Y359*1,"0")+IFERROR(Y360*1,"0")+IFERROR(Y361*1,"0")+IFERROR(Y365*1,"0")+IFERROR(Y366*1,"0")+IFERROR(Y367*1,"0")+IFERROR(Y368*1,"0")+IFERROR(Y372*1,"0")+IFERROR(Y373*1,"0")+IFERROR(Y374*1,"0")</f>
        <v>10.5</v>
      </c>
      <c r="T524" s="50">
        <f>IFERROR(Y379*1,"0")+IFERROR(Y380*1,"0")+IFERROR(Y381*1,"0")</f>
        <v>0</v>
      </c>
      <c r="U524" s="50">
        <f>IFERROR(Y387*1,"0")+IFERROR(Y388*1,"0")+IFERROR(Y389*1,"0")+IFERROR(Y390*1,"0")+IFERROR(Y391*1,"0")+IFERROR(Y392*1,"0")+IFERROR(Y393*1,"0")+IFERROR(Y394*1,"0")+IFERROR(Y398*1,"0")+IFERROR(Y399*1,"0")+IFERROR(Y400*1,"0")+IFERROR(Y404*1,"0")+IFERROR(Y405*1,"0")+IFERROR(Y409*1,"0")</f>
        <v>510</v>
      </c>
      <c r="V524" s="50">
        <f>IFERROR(Y414*1,"0")+IFERROR(Y415*1,"0")+IFERROR(Y419*1,"0")+IFERROR(Y423*1,"0")+IFERROR(Y424*1,"0")+IFERROR(Y425*1,"0")</f>
        <v>3772.2</v>
      </c>
      <c r="W524" s="50">
        <f>IFERROR(Y431*1,"0")+IFERROR(Y432*1,"0")+IFERROR(Y433*1,"0")+IFERROR(Y434*1,"0")+IFERROR(Y435*1,"0")+IFERROR(Y436*1,"0")+IFERROR(Y440*1,"0")+IFERROR(Y441*1,"0")</f>
        <v>0</v>
      </c>
      <c r="X524" s="50">
        <f>IFERROR(Y446*1,"0")+IFERROR(Y450*1,"0")+IFERROR(Y451*1,"0")+IFERROR(Y452*1,"0")</f>
        <v>0</v>
      </c>
      <c r="Y524" s="50">
        <f>IFERROR(Y458*1,"0")+IFERROR(Y459*1,"0")+IFERROR(Y460*1,"0")+IFERROR(Y461*1,"0")+IFERROR(Y462*1,"0")+IFERROR(Y463*1,"0")+IFERROR(Y464*1,"0")+IFERROR(Y465*1,"0")+IFERROR(Y466*1,"0")+IFERROR(Y470*1,"0")+IFERROR(Y471*1,"0")+IFERROR(Y472*1,"0")+IFERROR(Y476*1,"0")+IFERROR(Y477*1,"0")+IFERROR(Y478*1,"0")+IFERROR(Y479*1,"0")+IFERROR(Y480*1,"0")+IFERROR(Y481*1,"0")+IFERROR(Y482*1,"0")</f>
        <v>0</v>
      </c>
      <c r="Z524" s="50">
        <f>IFERROR(Y488*1,"0")+IFERROR(Y492*1,"0")+IFERROR(Y496*1,"0")+IFERROR(Y497*1,"0")+IFERROR(Y501*1,"0")+IFERROR(Y505*1,"0")+IFERROR(Y506*1,"0")</f>
        <v>0</v>
      </c>
      <c r="AA524" s="50">
        <f>IFERROR(Y511*1,"0")</f>
        <v>0</v>
      </c>
      <c r="AB524" s="9"/>
      <c r="AC524" s="9"/>
      <c r="AF524" s="1"/>
    </row>
  </sheetData>
  <sheetProtection algorithmName="SHA-512" hashValue="afXOS8oXhrZytUQUSUuidLI51CorxT7aS009j+yNSPrXpvKQKXprSq3+onapWtX0kkqUwGUJHEH3j1xyi+t8ZQ==" saltValue="mvF22hvBufX2QFjQda8Gkg==" spinCount="100000" sheet="1" objects="1" scenarios="1" sort="0" autoFilter="0" pivotTables="0"/>
  <autoFilter ref="A18:AF51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20,00"/>
        <filter val="150,00"/>
        <filter val="3 500,00"/>
        <filter val="3 650,00"/>
        <filter val="3,33"/>
        <filter val="33,33"/>
        <filter val="4 288,00"/>
        <filter val="4 517,69"/>
        <filter val="4 717,69"/>
        <filter val="4,76"/>
        <filter val="451,39"/>
        <filter val="500,00"/>
        <filter val="502,82"/>
        <filter val="8"/>
        <filter val="8,00"/>
      </filters>
    </filterColumn>
    <filterColumn colId="29" showButton="0"/>
    <filterColumn colId="30" showButton="0"/>
  </autoFilter>
  <dataConsolidate/>
  <mergeCells count="92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P177:V177"/>
    <mergeCell ref="A177:O178"/>
    <mergeCell ref="P178:V178"/>
    <mergeCell ref="A179:Z179"/>
    <mergeCell ref="A180:Z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A189:Z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P225:V225"/>
    <mergeCell ref="A225:O226"/>
    <mergeCell ref="P226:V226"/>
    <mergeCell ref="A227:Z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A280:Z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P301:V301"/>
    <mergeCell ref="A301:O302"/>
    <mergeCell ref="P302:V302"/>
    <mergeCell ref="A303:Z303"/>
    <mergeCell ref="A304:Z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A311:Z311"/>
    <mergeCell ref="D312:E312"/>
    <mergeCell ref="P312:T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A385:Z385"/>
    <mergeCell ref="A386:Z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D419:E419"/>
    <mergeCell ref="P419:T419"/>
    <mergeCell ref="P420:V420"/>
    <mergeCell ref="A420:O421"/>
    <mergeCell ref="P421:V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A445:Z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A510:Z510"/>
    <mergeCell ref="D511:E511"/>
    <mergeCell ref="P511:T511"/>
    <mergeCell ref="P512:V512"/>
    <mergeCell ref="A512:O513"/>
    <mergeCell ref="P513:V513"/>
    <mergeCell ref="P514:V514"/>
    <mergeCell ref="A514:O519"/>
    <mergeCell ref="P515:V515"/>
    <mergeCell ref="P516:V516"/>
    <mergeCell ref="P517:V517"/>
    <mergeCell ref="P518:V518"/>
    <mergeCell ref="P519:V519"/>
    <mergeCell ref="A522:A523"/>
    <mergeCell ref="B522:B523"/>
    <mergeCell ref="C522:C523"/>
    <mergeCell ref="D522:D523"/>
    <mergeCell ref="E522:E523"/>
    <mergeCell ref="F522:F523"/>
    <mergeCell ref="G522:G523"/>
    <mergeCell ref="H522:H523"/>
    <mergeCell ref="I522:I523"/>
    <mergeCell ref="U522:U523"/>
    <mergeCell ref="V522:V523"/>
    <mergeCell ref="W522:W523"/>
    <mergeCell ref="X522:X523"/>
    <mergeCell ref="Y522:Y523"/>
    <mergeCell ref="Z522:Z523"/>
    <mergeCell ref="AA522:AA523"/>
    <mergeCell ref="D521:I521"/>
    <mergeCell ref="J521:T521"/>
    <mergeCell ref="U521:V521"/>
    <mergeCell ref="W521:X521"/>
    <mergeCell ref="Z521:AA521"/>
    <mergeCell ref="J522:J523"/>
    <mergeCell ref="K522:K523"/>
    <mergeCell ref="L522:L523"/>
    <mergeCell ref="M522:M523"/>
    <mergeCell ref="O522:O523"/>
    <mergeCell ref="P522:P523"/>
    <mergeCell ref="Q522:Q523"/>
    <mergeCell ref="R522:R523"/>
    <mergeCell ref="S522:S523"/>
    <mergeCell ref="T522:T523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813</v>
      </c>
      <c r="H1" s="9"/>
    </row>
    <row r="3" spans="2:8" x14ac:dyDescent="0.2">
      <c r="B3" s="51" t="s">
        <v>814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815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816</v>
      </c>
      <c r="C6" s="51" t="s">
        <v>817</v>
      </c>
      <c r="D6" s="51" t="s">
        <v>818</v>
      </c>
      <c r="E6" s="51" t="s">
        <v>46</v>
      </c>
    </row>
    <row r="7" spans="2:8" x14ac:dyDescent="0.2">
      <c r="B7" s="51" t="s">
        <v>819</v>
      </c>
      <c r="C7" s="51" t="s">
        <v>820</v>
      </c>
      <c r="D7" s="51" t="s">
        <v>821</v>
      </c>
      <c r="E7" s="51" t="s">
        <v>46</v>
      </c>
    </row>
    <row r="9" spans="2:8" x14ac:dyDescent="0.2">
      <c r="B9" s="51" t="s">
        <v>822</v>
      </c>
      <c r="C9" s="51" t="s">
        <v>817</v>
      </c>
      <c r="D9" s="51" t="s">
        <v>46</v>
      </c>
      <c r="E9" s="51" t="s">
        <v>46</v>
      </c>
    </row>
    <row r="11" spans="2:8" x14ac:dyDescent="0.2">
      <c r="B11" s="51" t="s">
        <v>823</v>
      </c>
      <c r="C11" s="51" t="s">
        <v>820</v>
      </c>
      <c r="D11" s="51" t="s">
        <v>46</v>
      </c>
      <c r="E11" s="51" t="s">
        <v>46</v>
      </c>
    </row>
    <row r="13" spans="2:8" x14ac:dyDescent="0.2">
      <c r="B13" s="51" t="s">
        <v>824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825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826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827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828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829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830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831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832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833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834</v>
      </c>
      <c r="C23" s="51" t="s">
        <v>46</v>
      </c>
      <c r="D23" s="51" t="s">
        <v>46</v>
      </c>
      <c r="E23" s="51" t="s">
        <v>46</v>
      </c>
    </row>
  </sheetData>
  <sheetProtection algorithmName="SHA-512" hashValue="4FhWi3yxR4vFfjLscj+0Qa1CMYPZEOHV4N9U3YVYp4rO74Q/Xe8F+njQmX3avae0NP4HZzL9s8sxkHrb2Qg9Ag==" saltValue="y+2l1vhU67mMjCEOr2Ao2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1063</vt:i4>
      </vt:variant>
    </vt:vector>
  </HeadingPairs>
  <TitlesOfParts>
    <vt:vector size="106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2026-07-03T16:18:33Z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