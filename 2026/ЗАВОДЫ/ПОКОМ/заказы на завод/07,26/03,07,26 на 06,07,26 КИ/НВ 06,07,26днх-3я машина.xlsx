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45DA90-0307-4B31-BAF1-AE07635F106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X514" i="1"/>
  <c r="X513" i="1"/>
  <c r="BO512" i="1"/>
  <c r="BM512" i="1"/>
  <c r="Y512" i="1"/>
  <c r="BP512" i="1" s="1"/>
  <c r="P512" i="1"/>
  <c r="BO511" i="1"/>
  <c r="BM511" i="1"/>
  <c r="Y511" i="1"/>
  <c r="Y513" i="1" s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N494" i="1"/>
  <c r="BM494" i="1"/>
  <c r="Y494" i="1"/>
  <c r="BP494" i="1" s="1"/>
  <c r="P494" i="1"/>
  <c r="BO493" i="1"/>
  <c r="BM493" i="1"/>
  <c r="Y493" i="1"/>
  <c r="P493" i="1"/>
  <c r="BO492" i="1"/>
  <c r="BN492" i="1"/>
  <c r="BM492" i="1"/>
  <c r="Z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N478" i="1"/>
  <c r="BM478" i="1"/>
  <c r="Z478" i="1"/>
  <c r="Y478" i="1"/>
  <c r="BP478" i="1" s="1"/>
  <c r="P478" i="1"/>
  <c r="BO477" i="1"/>
  <c r="BM477" i="1"/>
  <c r="Y477" i="1"/>
  <c r="P477" i="1"/>
  <c r="BP476" i="1"/>
  <c r="BO476" i="1"/>
  <c r="BM476" i="1"/>
  <c r="Y476" i="1"/>
  <c r="BN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M466" i="1"/>
  <c r="Z466" i="1"/>
  <c r="Y466" i="1"/>
  <c r="BN466" i="1" s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N447" i="1"/>
  <c r="BM447" i="1"/>
  <c r="Y447" i="1"/>
  <c r="BP447" i="1" s="1"/>
  <c r="P447" i="1"/>
  <c r="BO446" i="1"/>
  <c r="BM446" i="1"/>
  <c r="Y446" i="1"/>
  <c r="P446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X426" i="1"/>
  <c r="Y425" i="1"/>
  <c r="X425" i="1"/>
  <c r="BP424" i="1"/>
  <c r="BO424" i="1"/>
  <c r="BN424" i="1"/>
  <c r="BM424" i="1"/>
  <c r="Y424" i="1"/>
  <c r="Y426" i="1" s="1"/>
  <c r="P424" i="1"/>
  <c r="X422" i="1"/>
  <c r="X421" i="1"/>
  <c r="BO420" i="1"/>
  <c r="BM420" i="1"/>
  <c r="Y420" i="1"/>
  <c r="BP420" i="1" s="1"/>
  <c r="P420" i="1"/>
  <c r="BO419" i="1"/>
  <c r="BM419" i="1"/>
  <c r="Y419" i="1"/>
  <c r="Y421" i="1" s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N404" i="1"/>
  <c r="BM404" i="1"/>
  <c r="Y404" i="1"/>
  <c r="BP404" i="1" s="1"/>
  <c r="P404" i="1"/>
  <c r="BO403" i="1"/>
  <c r="BM403" i="1"/>
  <c r="Y403" i="1"/>
  <c r="P403" i="1"/>
  <c r="BO402" i="1"/>
  <c r="BM402" i="1"/>
  <c r="Y402" i="1"/>
  <c r="BP402" i="1" s="1"/>
  <c r="P402" i="1"/>
  <c r="X398" i="1"/>
  <c r="X397" i="1"/>
  <c r="BO396" i="1"/>
  <c r="BM396" i="1"/>
  <c r="Y396" i="1"/>
  <c r="P396" i="1"/>
  <c r="BO395" i="1"/>
  <c r="BN395" i="1"/>
  <c r="BM395" i="1"/>
  <c r="Y395" i="1"/>
  <c r="BP395" i="1" s="1"/>
  <c r="P395" i="1"/>
  <c r="BO394" i="1"/>
  <c r="BM394" i="1"/>
  <c r="Y394" i="1"/>
  <c r="P394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P383" i="1"/>
  <c r="BP382" i="1"/>
  <c r="BO382" i="1"/>
  <c r="BN382" i="1"/>
  <c r="BM382" i="1"/>
  <c r="Y382" i="1"/>
  <c r="Z382" i="1" s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N370" i="1"/>
  <c r="BM370" i="1"/>
  <c r="Y370" i="1"/>
  <c r="Z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BO358" i="1"/>
  <c r="BN358" i="1"/>
  <c r="BM358" i="1"/>
  <c r="Y358" i="1"/>
  <c r="BP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N350" i="1"/>
  <c r="BM350" i="1"/>
  <c r="Y350" i="1"/>
  <c r="BP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N330" i="1"/>
  <c r="BM330" i="1"/>
  <c r="Z330" i="1"/>
  <c r="Y330" i="1"/>
  <c r="BP330" i="1" s="1"/>
  <c r="P330" i="1"/>
  <c r="BO329" i="1"/>
  <c r="BM329" i="1"/>
  <c r="Y329" i="1"/>
  <c r="P329" i="1"/>
  <c r="BO328" i="1"/>
  <c r="BM328" i="1"/>
  <c r="Y328" i="1"/>
  <c r="P328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N321" i="1" s="1"/>
  <c r="P321" i="1"/>
  <c r="X318" i="1"/>
  <c r="X317" i="1"/>
  <c r="BO316" i="1"/>
  <c r="BM316" i="1"/>
  <c r="Y316" i="1"/>
  <c r="BP316" i="1" s="1"/>
  <c r="P316" i="1"/>
  <c r="BO315" i="1"/>
  <c r="BM315" i="1"/>
  <c r="Y315" i="1"/>
  <c r="P315" i="1"/>
  <c r="BP314" i="1"/>
  <c r="BO314" i="1"/>
  <c r="BN314" i="1"/>
  <c r="BM314" i="1"/>
  <c r="Y314" i="1"/>
  <c r="Z314" i="1" s="1"/>
  <c r="P314" i="1"/>
  <c r="BO313" i="1"/>
  <c r="BM313" i="1"/>
  <c r="Y313" i="1"/>
  <c r="P313" i="1"/>
  <c r="BO312" i="1"/>
  <c r="BM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X284" i="1"/>
  <c r="X283" i="1"/>
  <c r="BO282" i="1"/>
  <c r="BM282" i="1"/>
  <c r="Y282" i="1"/>
  <c r="BP282" i="1" s="1"/>
  <c r="P282" i="1"/>
  <c r="BO281" i="1"/>
  <c r="BM281" i="1"/>
  <c r="Y281" i="1"/>
  <c r="Y283" i="1" s="1"/>
  <c r="P281" i="1"/>
  <c r="X279" i="1"/>
  <c r="X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N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BN266" i="1" s="1"/>
  <c r="P266" i="1"/>
  <c r="X264" i="1"/>
  <c r="X263" i="1"/>
  <c r="BO262" i="1"/>
  <c r="BM262" i="1"/>
  <c r="Y262" i="1"/>
  <c r="P262" i="1"/>
  <c r="BO261" i="1"/>
  <c r="BM261" i="1"/>
  <c r="Y261" i="1"/>
  <c r="P261" i="1"/>
  <c r="BO260" i="1"/>
  <c r="BN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M256" i="1"/>
  <c r="Z256" i="1"/>
  <c r="Y256" i="1"/>
  <c r="BN256" i="1" s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N250" i="1"/>
  <c r="BM250" i="1"/>
  <c r="Y250" i="1"/>
  <c r="P250" i="1"/>
  <c r="X248" i="1"/>
  <c r="X247" i="1"/>
  <c r="BO246" i="1"/>
  <c r="BN246" i="1"/>
  <c r="BM246" i="1"/>
  <c r="Y246" i="1"/>
  <c r="BP246" i="1" s="1"/>
  <c r="P246" i="1"/>
  <c r="BO245" i="1"/>
  <c r="BM245" i="1"/>
  <c r="Y245" i="1"/>
  <c r="Y247" i="1" s="1"/>
  <c r="P245" i="1"/>
  <c r="X242" i="1"/>
  <c r="X241" i="1"/>
  <c r="BO240" i="1"/>
  <c r="BM240" i="1"/>
  <c r="Y240" i="1"/>
  <c r="Y242" i="1" s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X232" i="1"/>
  <c r="X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BO227" i="1"/>
  <c r="BM227" i="1"/>
  <c r="Y227" i="1"/>
  <c r="X225" i="1"/>
  <c r="X224" i="1"/>
  <c r="BO223" i="1"/>
  <c r="BN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P192" i="1"/>
  <c r="X190" i="1"/>
  <c r="X189" i="1"/>
  <c r="BO188" i="1"/>
  <c r="BN188" i="1"/>
  <c r="BM188" i="1"/>
  <c r="Y188" i="1"/>
  <c r="BP188" i="1" s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N176" i="1"/>
  <c r="BM176" i="1"/>
  <c r="Z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O153" i="1"/>
  <c r="BM153" i="1"/>
  <c r="Y153" i="1"/>
  <c r="BN153" i="1" s="1"/>
  <c r="P153" i="1"/>
  <c r="BO152" i="1"/>
  <c r="BM152" i="1"/>
  <c r="Y152" i="1"/>
  <c r="P152" i="1"/>
  <c r="BO151" i="1"/>
  <c r="BM151" i="1"/>
  <c r="Y151" i="1"/>
  <c r="BN151" i="1" s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P144" i="1"/>
  <c r="X142" i="1"/>
  <c r="X141" i="1"/>
  <c r="BO140" i="1"/>
  <c r="BM140" i="1"/>
  <c r="Y140" i="1"/>
  <c r="BN140" i="1" s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N134" i="1"/>
  <c r="BM134" i="1"/>
  <c r="Y134" i="1"/>
  <c r="BP134" i="1" s="1"/>
  <c r="P134" i="1"/>
  <c r="X131" i="1"/>
  <c r="Y130" i="1"/>
  <c r="X130" i="1"/>
  <c r="BO129" i="1"/>
  <c r="BN129" i="1"/>
  <c r="BM129" i="1"/>
  <c r="Z129" i="1"/>
  <c r="Z130" i="1" s="1"/>
  <c r="Y129" i="1"/>
  <c r="Y131" i="1" s="1"/>
  <c r="P129" i="1"/>
  <c r="X127" i="1"/>
  <c r="X126" i="1"/>
  <c r="BO125" i="1"/>
  <c r="BM125" i="1"/>
  <c r="Y125" i="1"/>
  <c r="BN125" i="1" s="1"/>
  <c r="P125" i="1"/>
  <c r="BO124" i="1"/>
  <c r="BM124" i="1"/>
  <c r="Y124" i="1"/>
  <c r="P124" i="1"/>
  <c r="BO123" i="1"/>
  <c r="BM123" i="1"/>
  <c r="Y123" i="1"/>
  <c r="BN123" i="1" s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N117" i="1" s="1"/>
  <c r="P117" i="1"/>
  <c r="BO116" i="1"/>
  <c r="BM116" i="1"/>
  <c r="Y116" i="1"/>
  <c r="P116" i="1"/>
  <c r="BO115" i="1"/>
  <c r="BN115" i="1"/>
  <c r="BM115" i="1"/>
  <c r="Z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Y107" i="1"/>
  <c r="Z107" i="1" s="1"/>
  <c r="P107" i="1"/>
  <c r="BO106" i="1"/>
  <c r="BM106" i="1"/>
  <c r="Y106" i="1"/>
  <c r="BP106" i="1" s="1"/>
  <c r="P106" i="1"/>
  <c r="BO105" i="1"/>
  <c r="BN105" i="1"/>
  <c r="BM105" i="1"/>
  <c r="Y105" i="1"/>
  <c r="P105" i="1"/>
  <c r="BO104" i="1"/>
  <c r="BM104" i="1"/>
  <c r="Y104" i="1"/>
  <c r="BP104" i="1" s="1"/>
  <c r="P104" i="1"/>
  <c r="BP103" i="1"/>
  <c r="BO103" i="1"/>
  <c r="BN103" i="1"/>
  <c r="BM103" i="1"/>
  <c r="Y103" i="1"/>
  <c r="Z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X79" i="1"/>
  <c r="X78" i="1"/>
  <c r="BO77" i="1"/>
  <c r="BN77" i="1"/>
  <c r="BM77" i="1"/>
  <c r="Y77" i="1"/>
  <c r="BP77" i="1" s="1"/>
  <c r="P77" i="1"/>
  <c r="BO76" i="1"/>
  <c r="BM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P69" i="1"/>
  <c r="BO69" i="1"/>
  <c r="BM69" i="1"/>
  <c r="Y69" i="1"/>
  <c r="BN69" i="1" s="1"/>
  <c r="P69" i="1"/>
  <c r="X67" i="1"/>
  <c r="X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Y63" i="1"/>
  <c r="Z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P52" i="1"/>
  <c r="BO52" i="1"/>
  <c r="BM52" i="1"/>
  <c r="Z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P32" i="1" s="1"/>
  <c r="P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36" i="1" l="1"/>
  <c r="Z37" i="1" s="1"/>
  <c r="BP88" i="1"/>
  <c r="BP321" i="1"/>
  <c r="Z451" i="1"/>
  <c r="Y83" i="1"/>
  <c r="BN235" i="1"/>
  <c r="BP370" i="1"/>
  <c r="BN36" i="1"/>
  <c r="Z221" i="1"/>
  <c r="BN451" i="1"/>
  <c r="Z30" i="1"/>
  <c r="Z168" i="1"/>
  <c r="BP221" i="1"/>
  <c r="BN520" i="1"/>
  <c r="Y37" i="1"/>
  <c r="BN172" i="1"/>
  <c r="Z213" i="1"/>
  <c r="BN217" i="1"/>
  <c r="BN229" i="1"/>
  <c r="BN272" i="1"/>
  <c r="BN301" i="1"/>
  <c r="BP129" i="1"/>
  <c r="BN168" i="1"/>
  <c r="BP30" i="1"/>
  <c r="Z69" i="1"/>
  <c r="Y79" i="1"/>
  <c r="BN323" i="1"/>
  <c r="BP213" i="1"/>
  <c r="Y302" i="1"/>
  <c r="BN486" i="1"/>
  <c r="Y34" i="1"/>
  <c r="Z42" i="1"/>
  <c r="Y119" i="1"/>
  <c r="Z293" i="1"/>
  <c r="BN316" i="1"/>
  <c r="Y324" i="1"/>
  <c r="BN420" i="1"/>
  <c r="BN512" i="1"/>
  <c r="BP36" i="1"/>
  <c r="BN42" i="1"/>
  <c r="BN293" i="1"/>
  <c r="Z77" i="1"/>
  <c r="Z94" i="1"/>
  <c r="Z134" i="1"/>
  <c r="Y224" i="1"/>
  <c r="Y346" i="1"/>
  <c r="Z476" i="1"/>
  <c r="Z188" i="1"/>
  <c r="BN258" i="1"/>
  <c r="Z270" i="1"/>
  <c r="BN289" i="1"/>
  <c r="Z376" i="1"/>
  <c r="BN402" i="1"/>
  <c r="BN480" i="1"/>
  <c r="Y146" i="1"/>
  <c r="Y185" i="1"/>
  <c r="Z125" i="1"/>
  <c r="Z321" i="1"/>
  <c r="Z324" i="1" s="1"/>
  <c r="Z88" i="1"/>
  <c r="BN215" i="1"/>
  <c r="BN200" i="1"/>
  <c r="BN282" i="1"/>
  <c r="Z424" i="1"/>
  <c r="Z425" i="1" s="1"/>
  <c r="BP96" i="1"/>
  <c r="Z96" i="1"/>
  <c r="BP113" i="1"/>
  <c r="Z113" i="1"/>
  <c r="BP117" i="1"/>
  <c r="BN170" i="1"/>
  <c r="BP170" i="1"/>
  <c r="Z170" i="1"/>
  <c r="BP182" i="1"/>
  <c r="Z182" i="1"/>
  <c r="BN182" i="1"/>
  <c r="BN360" i="1"/>
  <c r="BP360" i="1"/>
  <c r="Z360" i="1"/>
  <c r="BN388" i="1"/>
  <c r="BP388" i="1"/>
  <c r="Z388" i="1"/>
  <c r="BN414" i="1"/>
  <c r="BP414" i="1"/>
  <c r="Z414" i="1"/>
  <c r="BN449" i="1"/>
  <c r="BP449" i="1"/>
  <c r="Z449" i="1"/>
  <c r="X533" i="1"/>
  <c r="Z28" i="1"/>
  <c r="BP28" i="1"/>
  <c r="BN32" i="1"/>
  <c r="Z44" i="1"/>
  <c r="BP44" i="1"/>
  <c r="D539" i="1"/>
  <c r="Z54" i="1"/>
  <c r="BP54" i="1"/>
  <c r="Z61" i="1"/>
  <c r="BP61" i="1"/>
  <c r="BN65" i="1"/>
  <c r="BN71" i="1"/>
  <c r="Z81" i="1"/>
  <c r="BP81" i="1"/>
  <c r="F539" i="1"/>
  <c r="Z90" i="1"/>
  <c r="BP90" i="1"/>
  <c r="Z117" i="1"/>
  <c r="Z123" i="1"/>
  <c r="BP123" i="1"/>
  <c r="BN144" i="1"/>
  <c r="Z153" i="1"/>
  <c r="BP153" i="1"/>
  <c r="BP158" i="1"/>
  <c r="Z158" i="1"/>
  <c r="BN158" i="1"/>
  <c r="BP198" i="1"/>
  <c r="Z198" i="1"/>
  <c r="BN198" i="1"/>
  <c r="BN305" i="1"/>
  <c r="BP305" i="1"/>
  <c r="Z305" i="1"/>
  <c r="BN352" i="1"/>
  <c r="BP352" i="1"/>
  <c r="Z352" i="1"/>
  <c r="BN368" i="1"/>
  <c r="BP368" i="1"/>
  <c r="Z368" i="1"/>
  <c r="BN439" i="1"/>
  <c r="BP439" i="1"/>
  <c r="Z439" i="1"/>
  <c r="BN455" i="1"/>
  <c r="BP455" i="1"/>
  <c r="Z455" i="1"/>
  <c r="BN474" i="1"/>
  <c r="BP474" i="1"/>
  <c r="Z474" i="1"/>
  <c r="BN96" i="1"/>
  <c r="BP105" i="1"/>
  <c r="Z105" i="1"/>
  <c r="BN113" i="1"/>
  <c r="BP140" i="1"/>
  <c r="BN211" i="1"/>
  <c r="BP211" i="1"/>
  <c r="Z211" i="1"/>
  <c r="BN219" i="1"/>
  <c r="BP219" i="1"/>
  <c r="Z219" i="1"/>
  <c r="BN268" i="1"/>
  <c r="BP268" i="1"/>
  <c r="Z268" i="1"/>
  <c r="BN291" i="1"/>
  <c r="BP291" i="1"/>
  <c r="Z291" i="1"/>
  <c r="BN312" i="1"/>
  <c r="BP312" i="1"/>
  <c r="Z312" i="1"/>
  <c r="BN343" i="1"/>
  <c r="BP343" i="1"/>
  <c r="Z343" i="1"/>
  <c r="BN374" i="1"/>
  <c r="BP374" i="1"/>
  <c r="Z374" i="1"/>
  <c r="Y518" i="1"/>
  <c r="Y517" i="1"/>
  <c r="BN516" i="1"/>
  <c r="BP516" i="1"/>
  <c r="Z516" i="1"/>
  <c r="Z517" i="1" s="1"/>
  <c r="Z32" i="1"/>
  <c r="Z65" i="1"/>
  <c r="Y73" i="1"/>
  <c r="Z71" i="1"/>
  <c r="BN81" i="1"/>
  <c r="BP125" i="1"/>
  <c r="Z140" i="1"/>
  <c r="Z144" i="1"/>
  <c r="BP144" i="1"/>
  <c r="BP151" i="1"/>
  <c r="Z151" i="1"/>
  <c r="BP174" i="1"/>
  <c r="Z174" i="1"/>
  <c r="BN174" i="1"/>
  <c r="Y194" i="1"/>
  <c r="Y193" i="1"/>
  <c r="BN192" i="1"/>
  <c r="BP192" i="1"/>
  <c r="Z192" i="1"/>
  <c r="Z193" i="1" s="1"/>
  <c r="BN262" i="1"/>
  <c r="BP262" i="1"/>
  <c r="Z262" i="1"/>
  <c r="BN276" i="1"/>
  <c r="BP276" i="1"/>
  <c r="Z276" i="1"/>
  <c r="Y299" i="1"/>
  <c r="Y298" i="1"/>
  <c r="BN297" i="1"/>
  <c r="BP297" i="1"/>
  <c r="Z297" i="1"/>
  <c r="Z298" i="1" s="1"/>
  <c r="BN328" i="1"/>
  <c r="BP328" i="1"/>
  <c r="Z328" i="1"/>
  <c r="Y384" i="1"/>
  <c r="BN380" i="1"/>
  <c r="BP380" i="1"/>
  <c r="Z380" i="1"/>
  <c r="BN406" i="1"/>
  <c r="BP406" i="1"/>
  <c r="Z406" i="1"/>
  <c r="Y161" i="1"/>
  <c r="Y179" i="1"/>
  <c r="Y203" i="1"/>
  <c r="Y278" i="1"/>
  <c r="Z200" i="1"/>
  <c r="L539" i="1"/>
  <c r="Z217" i="1"/>
  <c r="Y232" i="1"/>
  <c r="Z229" i="1"/>
  <c r="Y238" i="1"/>
  <c r="Z246" i="1"/>
  <c r="Y252" i="1"/>
  <c r="Z260" i="1"/>
  <c r="Z266" i="1"/>
  <c r="BP266" i="1"/>
  <c r="Z274" i="1"/>
  <c r="Z282" i="1"/>
  <c r="Y295" i="1"/>
  <c r="Z289" i="1"/>
  <c r="Z350" i="1"/>
  <c r="Z358" i="1"/>
  <c r="Z395" i="1"/>
  <c r="Z404" i="1"/>
  <c r="Z420" i="1"/>
  <c r="Z429" i="1"/>
  <c r="Z447" i="1"/>
  <c r="Z480" i="1"/>
  <c r="Z496" i="1"/>
  <c r="Y98" i="1"/>
  <c r="G539" i="1"/>
  <c r="Z215" i="1"/>
  <c r="Z223" i="1"/>
  <c r="Z235" i="1"/>
  <c r="Z250" i="1"/>
  <c r="BP250" i="1"/>
  <c r="Z258" i="1"/>
  <c r="Z272" i="1"/>
  <c r="Z287" i="1"/>
  <c r="BP287" i="1"/>
  <c r="Z301" i="1"/>
  <c r="Z302" i="1" s="1"/>
  <c r="BP301" i="1"/>
  <c r="Y308" i="1"/>
  <c r="Z316" i="1"/>
  <c r="Z323" i="1"/>
  <c r="Z332" i="1"/>
  <c r="Y377" i="1"/>
  <c r="Z402" i="1"/>
  <c r="Z486" i="1"/>
  <c r="Z494" i="1"/>
  <c r="Z512" i="1"/>
  <c r="Z520" i="1"/>
  <c r="F9" i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BP114" i="1"/>
  <c r="BN114" i="1"/>
  <c r="Z114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BP152" i="1"/>
  <c r="BN152" i="1"/>
  <c r="Z152" i="1"/>
  <c r="H9" i="1"/>
  <c r="B539" i="1"/>
  <c r="X530" i="1"/>
  <c r="X532" i="1" s="1"/>
  <c r="X531" i="1"/>
  <c r="Z23" i="1"/>
  <c r="Z24" i="1" s="1"/>
  <c r="BN23" i="1"/>
  <c r="Y24" i="1"/>
  <c r="X529" i="1"/>
  <c r="Z27" i="1"/>
  <c r="BN27" i="1"/>
  <c r="BP27" i="1"/>
  <c r="Z29" i="1"/>
  <c r="BN29" i="1"/>
  <c r="Z31" i="1"/>
  <c r="BN31" i="1"/>
  <c r="C539" i="1"/>
  <c r="Z43" i="1"/>
  <c r="BN43" i="1"/>
  <c r="Z45" i="1"/>
  <c r="BN45" i="1"/>
  <c r="Y46" i="1"/>
  <c r="Z51" i="1"/>
  <c r="BN51" i="1"/>
  <c r="BP51" i="1"/>
  <c r="Z53" i="1"/>
  <c r="BN53" i="1"/>
  <c r="Y56" i="1"/>
  <c r="E539" i="1"/>
  <c r="Z60" i="1"/>
  <c r="BN60" i="1"/>
  <c r="Z62" i="1"/>
  <c r="BN62" i="1"/>
  <c r="Z64" i="1"/>
  <c r="BN64" i="1"/>
  <c r="Y67" i="1"/>
  <c r="Z70" i="1"/>
  <c r="BN70" i="1"/>
  <c r="Z72" i="1"/>
  <c r="BN72" i="1"/>
  <c r="Z76" i="1"/>
  <c r="Z78" i="1" s="1"/>
  <c r="BN76" i="1"/>
  <c r="BP76" i="1"/>
  <c r="Z82" i="1"/>
  <c r="BN82" i="1"/>
  <c r="Z87" i="1"/>
  <c r="BN87" i="1"/>
  <c r="BP87" i="1"/>
  <c r="Z89" i="1"/>
  <c r="BN89" i="1"/>
  <c r="Y92" i="1"/>
  <c r="Z95" i="1"/>
  <c r="Z98" i="1" s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BP116" i="1"/>
  <c r="BN116" i="1"/>
  <c r="Z116" i="1"/>
  <c r="BP124" i="1"/>
  <c r="BN124" i="1"/>
  <c r="Z124" i="1"/>
  <c r="Y141" i="1"/>
  <c r="BP145" i="1"/>
  <c r="BN145" i="1"/>
  <c r="Z145" i="1"/>
  <c r="Z146" i="1" s="1"/>
  <c r="Y147" i="1"/>
  <c r="I539" i="1"/>
  <c r="Y155" i="1"/>
  <c r="BP150" i="1"/>
  <c r="BN150" i="1"/>
  <c r="Z150" i="1"/>
  <c r="Z154" i="1" s="1"/>
  <c r="Y154" i="1"/>
  <c r="H539" i="1"/>
  <c r="Y136" i="1"/>
  <c r="J539" i="1"/>
  <c r="Z159" i="1"/>
  <c r="Z160" i="1" s="1"/>
  <c r="BN159" i="1"/>
  <c r="BP159" i="1"/>
  <c r="Y160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BN181" i="1"/>
  <c r="BP181" i="1"/>
  <c r="Z183" i="1"/>
  <c r="BN183" i="1"/>
  <c r="Y184" i="1"/>
  <c r="Z187" i="1"/>
  <c r="Z189" i="1" s="1"/>
  <c r="BN187" i="1"/>
  <c r="BP187" i="1"/>
  <c r="Y190" i="1"/>
  <c r="K539" i="1"/>
  <c r="Z199" i="1"/>
  <c r="BN199" i="1"/>
  <c r="BP199" i="1"/>
  <c r="Z201" i="1"/>
  <c r="BN201" i="1"/>
  <c r="Y202" i="1"/>
  <c r="Z206" i="1"/>
  <c r="Z207" i="1" s="1"/>
  <c r="BN206" i="1"/>
  <c r="BP206" i="1"/>
  <c r="Y207" i="1"/>
  <c r="Z210" i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Y225" i="1"/>
  <c r="Z227" i="1"/>
  <c r="BN227" i="1"/>
  <c r="BP227" i="1"/>
  <c r="Z228" i="1"/>
  <c r="BN228" i="1"/>
  <c r="Z230" i="1"/>
  <c r="BN230" i="1"/>
  <c r="Y231" i="1"/>
  <c r="Z234" i="1"/>
  <c r="BN234" i="1"/>
  <c r="BP234" i="1"/>
  <c r="Z236" i="1"/>
  <c r="BN236" i="1"/>
  <c r="Y237" i="1"/>
  <c r="Z240" i="1"/>
  <c r="Z241" i="1" s="1"/>
  <c r="BN240" i="1"/>
  <c r="BP240" i="1"/>
  <c r="Y241" i="1"/>
  <c r="Z245" i="1"/>
  <c r="Z247" i="1" s="1"/>
  <c r="BN245" i="1"/>
  <c r="BP251" i="1"/>
  <c r="BN251" i="1"/>
  <c r="Z251" i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BP292" i="1"/>
  <c r="BN292" i="1"/>
  <c r="Z292" i="1"/>
  <c r="Y309" i="1"/>
  <c r="BP313" i="1"/>
  <c r="BN313" i="1"/>
  <c r="Z313" i="1"/>
  <c r="Y317" i="1"/>
  <c r="BP322" i="1"/>
  <c r="BN322" i="1"/>
  <c r="Z322" i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O539" i="1"/>
  <c r="Y208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BP290" i="1"/>
  <c r="BN290" i="1"/>
  <c r="Z290" i="1"/>
  <c r="Y294" i="1"/>
  <c r="BP306" i="1"/>
  <c r="BN306" i="1"/>
  <c r="Z306" i="1"/>
  <c r="BP315" i="1"/>
  <c r="BN315" i="1"/>
  <c r="Z315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Z345" i="1" s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Z371" i="1" s="1"/>
  <c r="Y371" i="1"/>
  <c r="BP375" i="1"/>
  <c r="BN375" i="1"/>
  <c r="Z375" i="1"/>
  <c r="BP383" i="1"/>
  <c r="BN383" i="1"/>
  <c r="Z383" i="1"/>
  <c r="Y385" i="1"/>
  <c r="Y390" i="1"/>
  <c r="BP387" i="1"/>
  <c r="BN387" i="1"/>
  <c r="Z387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AA539" i="1"/>
  <c r="Y523" i="1"/>
  <c r="AB539" i="1"/>
  <c r="Y527" i="1"/>
  <c r="BP526" i="1"/>
  <c r="BN526" i="1"/>
  <c r="Z526" i="1"/>
  <c r="Z527" i="1" s="1"/>
  <c r="Y528" i="1"/>
  <c r="W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Z83" i="1" l="1"/>
  <c r="Z410" i="1"/>
  <c r="Z55" i="1"/>
  <c r="Z73" i="1"/>
  <c r="Z237" i="1"/>
  <c r="Z390" i="1"/>
  <c r="Z308" i="1"/>
  <c r="Z333" i="1"/>
  <c r="Z252" i="1"/>
  <c r="Z377" i="1"/>
  <c r="Z294" i="1"/>
  <c r="Y530" i="1"/>
  <c r="Y532" i="1" s="1"/>
  <c r="Z317" i="1"/>
  <c r="Z202" i="1"/>
  <c r="Z66" i="1"/>
  <c r="Z46" i="1"/>
  <c r="Z231" i="1"/>
  <c r="Z224" i="1"/>
  <c r="Y531" i="1"/>
  <c r="Z482" i="1"/>
  <c r="Z452" i="1"/>
  <c r="Z498" i="1"/>
  <c r="Z441" i="1"/>
  <c r="Z416" i="1"/>
  <c r="Z397" i="1"/>
  <c r="Z384" i="1"/>
  <c r="Z364" i="1"/>
  <c r="Z354" i="1"/>
  <c r="Z263" i="1"/>
  <c r="Z184" i="1"/>
  <c r="Z178" i="1"/>
  <c r="Z119" i="1"/>
  <c r="Z109" i="1"/>
  <c r="Z91" i="1"/>
  <c r="Z33" i="1"/>
  <c r="Y533" i="1"/>
  <c r="Y529" i="1"/>
  <c r="Z468" i="1"/>
  <c r="Z278" i="1"/>
  <c r="Z126" i="1"/>
  <c r="Z534" i="1" l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<sst xmlns="http://schemas.openxmlformats.org/spreadsheetml/2006/main" count="2379" uniqueCount="864">
  <si>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</si>
  <si>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</si>
  <si>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</si>
  <si>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</si>
  <si>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</si>
  <si>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</si>
  <si>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</si>
  <si>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</si>
  <si>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</si>
  <si>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</si>
  <si>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</si>
  <si>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</si>
  <si>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</si>
  <si>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</si>
  <si>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</si>
  <si>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</si>
  <si>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</si>
  <si>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</si>
  <si>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</si>
  <si>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</si>
  <si>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</si>
  <si>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</si>
  <si>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</si>
  <si>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</si>
  <si>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</si>
  <si>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</si>
  <si>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</si>
  <si>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</si>
  <si>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</si>
  <si>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</si>
  <si>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</si>
  <si>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</si>
  <si>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</si>
  <si>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</si>
  <si>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</si>
  <si>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</si>
  <si>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</si>
  <si>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</si>
  <si>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</si>
  <si>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</si>
  <si>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</si>
  <si>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</si>
  <si>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</si>
  <si>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</si>
  <si>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</si>
  <si>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</si>
  <si>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</si>
  <si>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</si>
  <si>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</si>
  <si>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</si>
  <si>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</si>
  <si>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</si>
  <si>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</si>
  <si>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</si>
  <si>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</si>
  <si>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</si>
  <si>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</si>
  <si>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</si>
  <si>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</si>
  <si>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</si>
  <si>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</si>
  <si>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</si>
  <si>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</si>
  <si>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</si>
  <si>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</si>
  <si>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</si>
  <si>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</si>
  <si>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</si>
  <si>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</si>
  <si>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</si>
  <si>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</si>
  <si>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</si>
  <si>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</si>
  <si>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</si>
  <si>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</si>
  <si>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</si>
  <si>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</si>
  <si>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</si>
  <si>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</si>
  <si>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</si>
  <si>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</si>
  <si>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</si>
  <si>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</si>
  <si>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</si>
  <si>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</si>
  <si>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</si>
  <si>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</si>
  <si>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</si>
  <si>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</si>
  <si>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</si>
  <si>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</si>
  <si>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</si>
  <si>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</si>
  <si>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</si>
  <si>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</si>
  <si>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</si>
  <si>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</si>
  <si>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</si>
  <si>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</si>
  <si>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</si>
  <si>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</si>
  <si>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</si>
  <si>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</si>
  <si>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</si>
  <si>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</si>
  <si>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</si>
  <si>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</si>
  <si>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</si>
  <si>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</si>
  <si>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</si>
  <si>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</si>
  <si>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</si>
  <si>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</si>
  <si>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</si>
  <si>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</si>
  <si>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</si>
  <si>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</si>
  <si>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</si>
  <si>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</si>
  <si>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</si>
  <si>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</si>
  <si>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</si>
  <si>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</si>
  <si>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</si>
  <si>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</si>
  <si>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</si>
  <si>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</si>
  <si>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</si>
  <si>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</si>
  <si>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</si>
  <si>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</si>
  <si>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</si>
  <si>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</si>
  <si>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</si>
  <si>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</si>
  <si>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</si>
  <si>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</si>
  <si>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</si>
  <si>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</si>
  <si>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</si>
  <si>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</si>
  <si>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</si>
  <si>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</si>
  <si>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</si>
  <si>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</si>
  <si>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</si>
  <si>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</si>
  <si>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</si>
  <si>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</si>
  <si>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</si>
  <si>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</si>
  <si>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</si>
  <si>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</si>
  <si>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</si>
  <si>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</si>
  <si>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</si>
  <si>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</si>
  <si>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</si>
  <si>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</si>
  <si>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</si>
  <si>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</si>
  <si>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</si>
  <si>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</si>
  <si>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</si>
  <si>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</si>
  <si>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</si>
  <si>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</si>
  <si>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</si>
  <si>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</si>
  <si>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</si>
  <si>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</si>
  <si>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</si>
  <si>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</si>
  <si>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</si>
  <si>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</si>
  <si>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</si>
  <si>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</si>
  <si>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</si>
  <si>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</si>
  <si>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</si>
  <si>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</si>
  <si>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</si>
  <si>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</si>
  <si>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</si>
  <si>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</si>
  <si>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</si>
  <si>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</si>
  <si>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</si>
  <si>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</si>
  <si>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</si>
  <si>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</si>
  <si>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</si>
  <si>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</si>
  <si>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</si>
  <si>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</si>
  <si>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</si>
  <si>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</si>
  <si>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</si>
  <si>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</si>
  <si>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</si>
  <si>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</si>
  <si>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</si>
  <si>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</si>
  <si>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</si>
  <si>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</si>
  <si>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</si>
  <si>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</si>
  <si>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</si>
  <si>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</si>
  <si>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</si>
  <si>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</si>
  <si>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</si>
  <si>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</si>
  <si>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</si>
  <si>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</si>
  <si>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</si>
  <si>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</si>
  <si>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</si>
  <si>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</si>
  <si>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</si>
  <si>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</si>
  <si>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</si>
  <si>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</si>
  <si>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</si>
  <si>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</si>
  <si>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</si>
  <si>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</si>
  <si>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</si>
  <si>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</si>
  <si>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</si>
  <si>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</si>
  <si>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</si>
  <si>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</si>
  <si>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</si>
  <si>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</si>
  <si>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</si>
  <si>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</si>
  <si>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</si>
  <si>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</si>
  <si>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</si>
  <si>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</si>
  <si>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</si>
  <si>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</si>
  <si>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</si>
  <si>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</si>
  <si>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</si>
  <si>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</si>
  <si>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</si>
  <si>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</si>
  <si>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</si>
  <si>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</si>
  <si>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</si>
  <si>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</si>
  <si>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</si>
  <si>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</si>
  <si>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</si>
  <si>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</si>
  <si>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</si>
  <si>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</si>
  <si>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</si>
  <si>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</si>
  <si>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</si>
  <si>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</si>
  <si>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</si>
  <si>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</si>
  <si>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</si>
  <si>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</si>
  <si>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</si>
  <si>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</si>
  <si>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</si>
  <si>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</si>
  <si>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</si>
  <si>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</si>
  <si>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</si>
  <si>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</si>
  <si>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</si>
  <si>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</si>
  <si>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</si>
  <si>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</si>
  <si>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</si>
  <si>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</si>
  <si>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</si>
  <si>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</si>
  <si>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</si>
  <si>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</si>
  <si>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</si>
  <si>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</si>
  <si>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</si>
  <si>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</si>
  <si>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</si>
  <si>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</si>
  <si>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</si>
  <si>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</si>
  <si>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</si>
  <si>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</si>
  <si>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</si>
  <si>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</si>
  <si>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</si>
  <si>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</si>
  <si>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</si>
  <si>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</si>
  <si>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</si>
  <si>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</si>
  <si>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</si>
  <si>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</si>
  <si>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</si>
  <si>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</si>
  <si>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</si>
  <si>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</si>
  <si>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</si>
  <si>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</si>
  <si>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</si>
  <si>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</si>
  <si>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</si>
  <si>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</si>
  <si>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</si>
  <si>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</si>
  <si>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</si>
  <si>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</si>
  <si>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</si>
  <si>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</si>
  <si>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</si>
  <si>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</si>
  <si>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</si>
  <si>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</si>
  <si>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</si>
  <si>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</si>
  <si>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</si>
  <si>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</si>
  <si>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</si>
  <si>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</si>
  <si>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</si>
  <si>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</si>
  <si>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</si>
  <si>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</si>
  <si>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</si>
  <si>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</si>
  <si>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</si>
  <si>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</si>
  <si>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</si>
  <si>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</si>
  <si>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</si>
  <si>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</si>
  <si>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</si>
  <si>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</si>
  <si>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</si>
  <si>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</si>
  <si>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</si>
  <si>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</si>
  <si>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</si>
  <si>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</si>
  <si>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</si>
  <si>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</si>
  <si>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</si>
  <si>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</si>
  <si>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</si>
  <si>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</si>
  <si>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</si>
  <si>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</si>
  <si>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</si>
  <si>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</si>
  <si>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</si>
  <si>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</si>
  <si>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</si>
  <si>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</si>
  <si>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</si>
  <si>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</si>
  <si>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</si>
  <si>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</si>
  <si>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</si>
  <si>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</si>
  <si>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</si>
  <si>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</si>
  <si>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</si>
  <si>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</si>
  <si>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</si>
  <si>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</si>
  <si>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</si>
  <si>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</si>
  <si>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</si>
  <si>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</si>
  <si>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</si>
  <si>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</si>
  <si>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</si>
  <si>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</si>
  <si>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</si>
  <si>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</si>
  <si>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</si>
  <si>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</si>
  <si>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</si>
  <si>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</si>
  <si>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</si>
  <si>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</si>
  <si>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</si>
  <si>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</si>
  <si>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</si>
  <si>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</si>
  <si>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</si>
  <si>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</si>
  <si>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</si>
  <si>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</si>
  <si>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</si>
  <si>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</si>
  <si>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</si>
  <si>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</si>
  <si>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</si>
  <si>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</si>
  <si>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</si>
  <si>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</si>
  <si>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</si>
  <si>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</si>
  <si>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</si>
  <si>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</si>
  <si>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</si>
  <si>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</si>
  <si>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</si>
  <si>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</si>
  <si>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</si>
  <si>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</si>
  <si>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</si>
  <si>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</si>
  <si>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</si>
  <si>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</si>
  <si>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</si>
  <si>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</si>
  <si>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</si>
  <si>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</si>
  <si>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</si>
  <si>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</si>
  <si>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</si>
  <si>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</si>
  <si>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</si>
  <si>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</si>
  <si>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</si>
  <si>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</si>
  <si>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</si>
  <si>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</si>
  <si>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</si>
  <si>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</si>
  <si>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</si>
  <si>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</si>
  <si>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</si>
  <si>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</si>
  <si>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</si>
  <si>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</si>
  <si>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</si>
  <si>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</si>
  <si>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</si>
  <si>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</si>
  <si>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</si>
  <si>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</si>
  <si>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</si>
  <si>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</si>
  <si>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</si>
  <si>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</si>
  <si>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</si>
  <si>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</si>
  <si>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</si>
  <si>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</si>
  <si>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</si>
  <si>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</si>
  <si>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</si>
  <si>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</si>
  <si>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</si>
  <si>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</si>
  <si>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</si>
  <si>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</si>
  <si>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</si>
  <si>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</si>
  <si>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</si>
  <si>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</si>
  <si>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</si>
  <si>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</si>
  <si>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</si>
  <si>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</si>
  <si>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</si>
  <si>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</si>
  <si>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</si>
  <si>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</si>
  <si>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</si>
  <si>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</si>
  <si>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</si>
  <si>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</si>
  <si>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</si>
  <si>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</si>
  <si>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</si>
  <si>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</si>
  <si>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</si>
  <si>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</si>
  <si>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</si>
  <si>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</si>
  <si>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</si>
  <si>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</si>
  <si>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</si>
  <si>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</si>
  <si>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</si>
  <si>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</si>
  <si>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</si>
  <si>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</si>
  <si>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</si>
  <si>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</si>
  <si>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</si>
  <si>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</si>
  <si>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</si>
  <si>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</si>
  <si>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</si>
  <si>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</si>
  <si>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</si>
  <si>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</si>
  <si>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</si>
  <si>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</si>
  <si>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</si>
  <si>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</si>
  <si>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</si>
  <si>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</si>
  <si>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</si>
  <si>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</si>
  <si>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</si>
  <si>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</si>
  <si>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</si>
  <si>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</si>
  <si>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</si>
  <si>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</si>
  <si>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</si>
  <si>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</si>
  <si>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</si>
  <si>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</si>
  <si>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</si>
  <si>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</si>
  <si>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</si>
  <si>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</si>
  <si>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</si>
  <si>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</si>
  <si>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</si>
  <si>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</si>
  <si>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</si>
  <si>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</si>
  <si>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</si>
  <si>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</si>
  <si>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</si>
  <si>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</si>
  <si>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</si>
  <si>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</si>
  <si>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</si>
  <si>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</si>
  <si>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</si>
  <si>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</si>
  <si>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</si>
  <si>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</si>
  <si>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</si>
  <si>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</si>
  <si>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</si>
  <si>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</si>
  <si>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</si>
  <si>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</si>
  <si>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</si>
  <si>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</si>
  <si>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</si>
  <si>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</si>
  <si>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</si>
  <si>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</si>
  <si>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</si>
  <si>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</si>
  <si>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</si>
  <si>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</si>
  <si>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</si>
  <si>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</si>
  <si>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</si>
  <si>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</si>
  <si>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</si>
  <si>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</si>
  <si>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</si>
  <si>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</si>
  <si>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</si>
  <si>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</si>
  <si>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</si>
  <si>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</si>
  <si>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</si>
  <si>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</si>
  <si>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</si>
  <si>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</si>
  <si>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</si>
  <si>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</si>
  <si>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</si>
  <si>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</si>
  <si>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</si>
  <si>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</si>
  <si>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</si>
  <si>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</si>
  <si>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</si>
  <si>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</si>
  <si>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</si>
  <si>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</si>
  <si>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</si>
  <si>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</si>
  <si>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</si>
  <si>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</si>
  <si>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</si>
  <si>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</si>
  <si>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</si>
  <si>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</si>
  <si>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</si>
  <si>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</si>
  <si>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</si>
  <si>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</si>
  <si>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</si>
  <si>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</si>
  <si>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</si>
  <si>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</si>
  <si>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</si>
  <si>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</si>
  <si>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</si>
  <si>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</si>
  <si>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</si>
  <si>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</si>
  <si>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</si>
  <si>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</si>
  <si>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</si>
  <si>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</si>
  <si>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</si>
  <si>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</si>
  <si>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</si>
  <si>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</si>
  <si>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</si>
  <si>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</si>
  <si>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</si>
  <si>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</si>
  <si>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</si>
  <si>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</si>
  <si>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</si>
  <si>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</si>
  <si>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</si>
  <si>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</si>
  <si>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</si>
  <si>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</si>
  <si>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</si>
  <si>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</si>
  <si>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</si>
  <si>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</si>
  <si>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</si>
  <si>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</si>
  <si>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</si>
  <si>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</si>
  <si>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</si>
  <si>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</si>
  <si>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</si>
  <si>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</si>
  <si>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</si>
  <si>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</si>
  <si>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</si>
  <si>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</si>
  <si>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</si>
  <si>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</si>
  <si>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</si>
  <si>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</si>
  <si>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</si>
  <si>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</si>
  <si>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</si>
  <si>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</si>
  <si>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</si>
  <si>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</si>
  <si>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</si>
  <si>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</si>
  <si>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</si>
  <si>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</si>
  <si>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</si>
  <si>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</si>
  <si>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</si>
  <si>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</si>
  <si>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</si>
  <si>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</si>
  <si>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</si>
  <si>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</si>
  <si>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</si>
  <si>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</si>
  <si>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</si>
  <si>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</si>
  <si>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</si>
  <si>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</si>
  <si>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</si>
  <si>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</si>
  <si>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</si>
  <si>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</si>
  <si>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</si>
  <si>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</si>
  <si>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</si>
  <si>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</si>
  <si>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</si>
  <si>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</si>
  <si>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</si>
  <si>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</si>
  <si>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</si>
  <si>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</si>
  <si>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</si>
  <si>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</si>
  <si>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</si>
  <si>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</si>
  <si>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</si>
  <si>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</si>
  <si>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</si>
  <si>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</si>
  <si>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</si>
  <si>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</si>
  <si>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</si>
  <si>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</si>
  <si>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</si>
  <si>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</si>
  <si>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</si>
  <si>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</si>
  <si>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</si>
  <si>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</si>
  <si>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</si>
  <si>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</si>
  <si>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</si>
  <si>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</si>
  <si>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</si>
  <si>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</si>
  <si>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</si>
  <si>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</si>
  <si>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</si>
  <si>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</si>
  <si>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</si>
  <si>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</si>
  <si>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</si>
  <si>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</si>
  <si>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</si>
  <si>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</si>
  <si>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</si>
  <si>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</si>
  <si>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</si>
  <si>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</si>
  <si>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</si>
  <si>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</si>
  <si>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</si>
  <si>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</si>
  <si>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</si>
  <si>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</si>
  <si>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</si>
  <si>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</si>
  <si>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</si>
  <si>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</si>
  <si>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</si>
  <si>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</si>
  <si>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</si>
  <si>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</si>
  <si>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</si>
  <si>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</si>
  <si>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</si>
  <si>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</si>
  <si>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</si>
  <si>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</si>
  <si>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</si>
  <si>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</si>
  <si>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</si>
  <si>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</si>
  <si>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</si>
  <si>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</si>
  <si>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</si>
  <si>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</si>
  <si>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</si>
  <si>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</si>
  <si>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</si>
  <si>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</si>
  <si>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</si>
  <si>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</si>
  <si>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</si>
  <si>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</si>
  <si>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</si>
  <si>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</si>
  <si>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</si>
  <si>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</si>
  <si>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</si>
  <si>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</si>
  <si>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</si>
  <si>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</si>
  <si>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</si>
  <si>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</si>
  <si>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</si>
  <si>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</si>
  <si>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</si>
  <si>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</si>
  <si>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</si>
  <si>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</si>
  <si>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</si>
  <si>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</si>
  <si>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</si>
  <si>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</si>
  <si>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</si>
  <si>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</si>
  <si>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</si>
  <si>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</si>
  <si>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</si>
  <si>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</si>
  <si>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</si>
  <si>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</si>
  <si>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</si>
  <si>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</si>
  <si>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</si>
  <si>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</si>
  <si>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</si>
  <si>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</si>
  <si>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</si>
  <si>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</si>
  <si>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</si>
  <si>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</si>
  <si>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</si>
  <si>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</si>
  <si>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</si>
  <si>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</si>
  <si>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</si>
  <si>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</si>
  <si>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</si>
  <si>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</si>
  <si>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</si>
  <si>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</si>
  <si>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</si>
  <si>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</si>
  <si>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</si>
  <si>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</si>
  <si>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</si>
  <si>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</si>
  <si>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</si>
  <si>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</si>
  <si>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</si>
  <si>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</si>
  <si>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</si>
  <si>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</si>
  <si>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</si>
  <si>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</si>
  <si>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</si>
  <si>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</si>
  <si>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</si>
  <si>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</si>
  <si>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</si>
  <si>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</si>
  <si>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</si>
  <si>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</si>
  <si>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</si>
  <si>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</si>
  <si>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</si>
  <si>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</si>
  <si>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</si>
  <si>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</si>
  <si>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</si>
  <si>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</si>
  <si>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</si>
  <si>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</si>
  <si>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</si>
  <si>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</si>
  <si>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</si>
  <si>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</si>
  <si>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</si>
  <si>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</si>
  <si>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</si>
  <si>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</si>
  <si>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</si>
  <si>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</si>
  <si>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</si>
  <si>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</si>
  <si>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</si>
  <si>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</si>
  <si>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</si>
  <si>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</si>
  <si>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28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</si>
</sst>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 t="s">
        <v>863</v>
      </c>
      <c r="I5" s="857"/>
      <c r="J5" s="857"/>
      <c r="K5" s="857"/>
      <c r="L5" s="857"/>
      <c r="M5" s="687"/>
      <c r="N5" s="58"/>
      <c r="P5" s="24" t="s">
        <v>10</v>
      </c>
      <c r="Q5" s="898">
        <v>46209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 t="s">
        <v>836</v>
      </c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 t="str">
        <f>IFERROR(VLOOKUP(DeliveryAddress,Table,3,0),1)</f>
        <v>5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0.45833333333333331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hidden="1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hidden="1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3</v>
      </c>
      <c r="Y30" s="598">
        <f t="shared" si="0"/>
        <v>3.6</v>
      </c>
      <c r="Z30" s="36">
        <f t="shared" si="1"/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5.3000000000000007</v>
      </c>
      <c r="BN30" s="64">
        <f t="shared" si="3"/>
        <v>6.36</v>
      </c>
      <c r="BO30" s="64">
        <f t="shared" si="4"/>
        <v>9.1575091575091579E-3</v>
      </c>
      <c r="BP30" s="64">
        <f t="shared" si="5"/>
        <v>1.098901098901099E-2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1.6666666666666665</v>
      </c>
      <c r="Y33" s="599">
        <f>IFERROR(Y27/H27,"0")+IFERROR(Y28/H28,"0")+IFERROR(Y29/H29,"0")+IFERROR(Y30/H30,"0")+IFERROR(Y31/H31,"0")+IFERROR(Y32/H32,"0")</f>
        <v>2</v>
      </c>
      <c r="Z33" s="599">
        <f>IFERROR(IF(Z27="",0,Z27),"0")+IFERROR(IF(Z28="",0,Z28),"0")+IFERROR(IF(Z29="",0,Z29),"0")+IFERROR(IF(Z30="",0,Z30),"0")+IFERROR(IF(Z31="",0,Z31),"0")+IFERROR(IF(Z32="",0,Z32),"0")</f>
        <v>1.302E-2</v>
      </c>
      <c r="AA33" s="600"/>
      <c r="AB33" s="600"/>
      <c r="AC33" s="600"/>
    </row>
    <row r="34" spans="1:68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3</v>
      </c>
      <c r="Y34" s="599">
        <f>IFERROR(SUM(Y27:Y32),"0")</f>
        <v>3.6</v>
      </c>
      <c r="Z34" s="37"/>
      <c r="AA34" s="600"/>
      <c r="AB34" s="600"/>
      <c r="AC34" s="600"/>
    </row>
    <row r="35" spans="1:68" ht="14.25" hidden="1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hidden="1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hidden="1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hidden="1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hidden="1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280</v>
      </c>
      <c r="Y51" s="598">
        <f>IFERROR(IF(X51="",0,CEILING((X51/$H51),1)*$H51),"")</f>
        <v>280.8</v>
      </c>
      <c r="Z51" s="36">
        <f>IFERROR(IF(Y51=0,"",ROUNDUP(Y51/H51,0)*0.01898),"")</f>
        <v>0.49348000000000003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290.62962962962962</v>
      </c>
      <c r="BN51" s="64">
        <f>IFERROR(Y51*I51/H51,"0")</f>
        <v>291.46000000000004</v>
      </c>
      <c r="BO51" s="64">
        <f>IFERROR(1/J51*(X51/H51),"0")</f>
        <v>0.40509259259259256</v>
      </c>
      <c r="BP51" s="64">
        <f>IFERROR(1/J51*(Y51/H51),"0")</f>
        <v>0.40625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25.925925925925924</v>
      </c>
      <c r="Y55" s="599">
        <f>IFERROR(Y51/H51,"0")+IFERROR(Y52/H52,"0")+IFERROR(Y53/H53,"0")+IFERROR(Y54/H54,"0")</f>
        <v>26</v>
      </c>
      <c r="Z55" s="599">
        <f>IFERROR(IF(Z51="",0,Z51),"0")+IFERROR(IF(Z52="",0,Z52),"0")+IFERROR(IF(Z53="",0,Z53),"0")+IFERROR(IF(Z54="",0,Z54),"0")</f>
        <v>0.49348000000000003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280</v>
      </c>
      <c r="Y56" s="599">
        <f>IFERROR(SUM(Y51:Y54),"0")</f>
        <v>280.8</v>
      </c>
      <c r="Z56" s="37"/>
      <c r="AA56" s="600"/>
      <c r="AB56" s="600"/>
      <c r="AC56" s="600"/>
    </row>
    <row r="57" spans="1:68" ht="16.5" hidden="1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hidden="1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127</v>
      </c>
      <c r="Y59" s="598">
        <f t="shared" ref="Y59:Y65" si="6">IFERROR(IF(X59="",0,CEILING((X59/$H59),1)*$H59),"")</f>
        <v>134.39999999999998</v>
      </c>
      <c r="Z59" s="36">
        <f>IFERROR(IF(Y59=0,"",ROUNDUP(Y59/H59,0)*0.01898),"")</f>
        <v>0.22776000000000002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131.64910714285716</v>
      </c>
      <c r="BN59" s="64">
        <f t="shared" ref="BN59:BN65" si="8">IFERROR(Y59*I59/H59,"0")</f>
        <v>139.31999999999996</v>
      </c>
      <c r="BO59" s="64">
        <f t="shared" ref="BO59:BO65" si="9">IFERROR(1/J59*(X59/H59),"0")</f>
        <v>0.1771763392857143</v>
      </c>
      <c r="BP59" s="64">
        <f t="shared" ref="BP59:BP65" si="10">IFERROR(1/J59*(Y59/H59),"0")</f>
        <v>0.18749999999999997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267</v>
      </c>
      <c r="Y61" s="598">
        <f t="shared" si="6"/>
        <v>270</v>
      </c>
      <c r="Z61" s="36">
        <f>IFERROR(IF(Y61=0,"",ROUNDUP(Y61/H61,0)*0.01898),"")</f>
        <v>0.47450000000000003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277.13611111111112</v>
      </c>
      <c r="BN61" s="64">
        <f t="shared" si="8"/>
        <v>280.25</v>
      </c>
      <c r="BO61" s="64">
        <f t="shared" si="9"/>
        <v>0.38628472222222221</v>
      </c>
      <c r="BP61" s="64">
        <f t="shared" si="10"/>
        <v>0.390625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113</v>
      </c>
      <c r="Y65" s="598">
        <f t="shared" si="6"/>
        <v>117</v>
      </c>
      <c r="Z65" s="36">
        <f>IFERROR(IF(Y65=0,"",ROUNDUP(Y65/H65,0)*0.00902),"")</f>
        <v>0.23452000000000001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117.77111111111111</v>
      </c>
      <c r="BN65" s="64">
        <f t="shared" si="8"/>
        <v>121.94</v>
      </c>
      <c r="BO65" s="64">
        <f t="shared" si="9"/>
        <v>0.19023569023569023</v>
      </c>
      <c r="BP65" s="64">
        <f t="shared" si="10"/>
        <v>0.19696969696969696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61.172619047619051</v>
      </c>
      <c r="Y66" s="599">
        <f>IFERROR(Y59/H59,"0")+IFERROR(Y60/H60,"0")+IFERROR(Y61/H61,"0")+IFERROR(Y62/H62,"0")+IFERROR(Y63/H63,"0")+IFERROR(Y64/H64,"0")+IFERROR(Y65/H65,"0")</f>
        <v>63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0.93678000000000017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507</v>
      </c>
      <c r="Y67" s="599">
        <f>IFERROR(SUM(Y59:Y65),"0")</f>
        <v>521.4</v>
      </c>
      <c r="Z67" s="37"/>
      <c r="AA67" s="600"/>
      <c r="AB67" s="600"/>
      <c r="AC67" s="600"/>
    </row>
    <row r="68" spans="1:68" ht="14.25" hidden="1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30</v>
      </c>
      <c r="Y69" s="598">
        <f>IFERROR(IF(X69="",0,CEILING((X69/$H69),1)*$H69),"")</f>
        <v>32.400000000000006</v>
      </c>
      <c r="Z69" s="36">
        <f>IFERROR(IF(Y69=0,"",ROUNDUP(Y69/H69,0)*0.01898),"")</f>
        <v>5.6940000000000004E-2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31.138888888888889</v>
      </c>
      <c r="BN69" s="64">
        <f>IFERROR(Y69*I69/H69,"0")</f>
        <v>33.630000000000003</v>
      </c>
      <c r="BO69" s="64">
        <f>IFERROR(1/J69*(X69/H69),"0")</f>
        <v>4.3402777777777776E-2</v>
      </c>
      <c r="BP69" s="64">
        <f>IFERROR(1/J69*(Y69/H69),"0")</f>
        <v>4.6875000000000007E-2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2.7777777777777777</v>
      </c>
      <c r="Y73" s="599">
        <f>IFERROR(Y69/H69,"0")+IFERROR(Y70/H70,"0")+IFERROR(Y71/H71,"0")+IFERROR(Y72/H72,"0")</f>
        <v>3.0000000000000004</v>
      </c>
      <c r="Z73" s="599">
        <f>IFERROR(IF(Z69="",0,Z69),"0")+IFERROR(IF(Z70="",0,Z70),"0")+IFERROR(IF(Z71="",0,Z71),"0")+IFERROR(IF(Z72="",0,Z72),"0")</f>
        <v>5.6940000000000004E-2</v>
      </c>
      <c r="AA73" s="600"/>
      <c r="AB73" s="600"/>
      <c r="AC73" s="600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30</v>
      </c>
      <c r="Y74" s="599">
        <f>IFERROR(SUM(Y69:Y72),"0")</f>
        <v>32.400000000000006</v>
      </c>
      <c r="Z74" s="37"/>
      <c r="AA74" s="600"/>
      <c r="AB74" s="600"/>
      <c r="AC74" s="600"/>
    </row>
    <row r="75" spans="1:68" ht="14.25" hidden="1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27</v>
      </c>
      <c r="Y76" s="598">
        <f>IFERROR(IF(X76="",0,CEILING((X76/$H76),1)*$H76),"")</f>
        <v>27</v>
      </c>
      <c r="Z76" s="36">
        <f>IFERROR(IF(Y76=0,"",ROUNDUP(Y76/H76,0)*0.00651),"")</f>
        <v>9.7650000000000001E-2</v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30.689999999999998</v>
      </c>
      <c r="BN76" s="64">
        <f>IFERROR(Y76*I76/H76,"0")</f>
        <v>30.689999999999998</v>
      </c>
      <c r="BO76" s="64">
        <f>IFERROR(1/J76*(X76/H76),"0")</f>
        <v>8.241758241758243E-2</v>
      </c>
      <c r="BP76" s="64">
        <f>IFERROR(1/J76*(Y76/H76),"0")</f>
        <v>8.241758241758243E-2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15</v>
      </c>
      <c r="Y78" s="599">
        <f>IFERROR(Y76/H76,"0")+IFERROR(Y77/H77,"0")</f>
        <v>15</v>
      </c>
      <c r="Z78" s="599">
        <f>IFERROR(IF(Z76="",0,Z76),"0")+IFERROR(IF(Z77="",0,Z77),"0")</f>
        <v>9.7650000000000001E-2</v>
      </c>
      <c r="AA78" s="600"/>
      <c r="AB78" s="600"/>
      <c r="AC78" s="600"/>
    </row>
    <row r="79" spans="1:68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27</v>
      </c>
      <c r="Y79" s="599">
        <f>IFERROR(SUM(Y76:Y77),"0")</f>
        <v>27</v>
      </c>
      <c r="Z79" s="37"/>
      <c r="AA79" s="600"/>
      <c r="AB79" s="600"/>
      <c r="AC79" s="600"/>
    </row>
    <row r="80" spans="1:68" ht="14.25" hidden="1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340</v>
      </c>
      <c r="Y81" s="598">
        <f>IFERROR(IF(X81="",0,CEILING((X81/$H81),1)*$H81),"")</f>
        <v>343.2</v>
      </c>
      <c r="Z81" s="36">
        <f>IFERROR(IF(Y81=0,"",ROUNDUP(Y81/H81,0)*0.01898),"")</f>
        <v>0.83511999999999997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357.87179487179492</v>
      </c>
      <c r="BN81" s="64">
        <f>IFERROR(Y81*I81/H81,"0")</f>
        <v>361.24</v>
      </c>
      <c r="BO81" s="64">
        <f>IFERROR(1/J81*(X81/H81),"0")</f>
        <v>0.68108974358974361</v>
      </c>
      <c r="BP81" s="64">
        <f>IFERROR(1/J81*(Y81/H81),"0")</f>
        <v>0.6875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43.589743589743591</v>
      </c>
      <c r="Y83" s="599">
        <f>IFERROR(Y81/H81,"0")+IFERROR(Y82/H82,"0")</f>
        <v>44</v>
      </c>
      <c r="Z83" s="599">
        <f>IFERROR(IF(Z81="",0,Z81),"0")+IFERROR(IF(Z82="",0,Z82),"0")</f>
        <v>0.83511999999999997</v>
      </c>
      <c r="AA83" s="600"/>
      <c r="AB83" s="600"/>
      <c r="AC83" s="600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340</v>
      </c>
      <c r="Y84" s="599">
        <f>IFERROR(SUM(Y81:Y82),"0")</f>
        <v>343.2</v>
      </c>
      <c r="Z84" s="37"/>
      <c r="AA84" s="600"/>
      <c r="AB84" s="600"/>
      <c r="AC84" s="600"/>
    </row>
    <row r="85" spans="1:68" ht="16.5" hidden="1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hidden="1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57</v>
      </c>
      <c r="Y87" s="598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59.163888888888884</v>
      </c>
      <c r="BN87" s="64">
        <f>IFERROR(Y87*I87/H87,"0")</f>
        <v>67.260000000000005</v>
      </c>
      <c r="BO87" s="64">
        <f>IFERROR(1/J87*(X87/H87),"0")</f>
        <v>8.2465277777777776E-2</v>
      </c>
      <c r="BP87" s="64">
        <f>IFERROR(1/J87*(Y87/H87),"0")</f>
        <v>9.3750000000000014E-2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6</v>
      </c>
      <c r="Y88" s="598">
        <f>IFERROR(IF(X88="",0,CEILING((X88/$H88),1)*$H88),"")</f>
        <v>6.8</v>
      </c>
      <c r="Z88" s="36">
        <f>IFERROR(IF(Y88=0,"",ROUNDUP(Y88/H88,0)*0.00726),"")</f>
        <v>2.904E-2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6.3529411764705888</v>
      </c>
      <c r="BN88" s="64">
        <f>IFERROR(Y88*I88/H88,"0")</f>
        <v>7.2</v>
      </c>
      <c r="BO88" s="64">
        <f>IFERROR(1/J88*(X88/H88),"0")</f>
        <v>1.8382352941176468E-2</v>
      </c>
      <c r="BP88" s="64">
        <f>IFERROR(1/J88*(Y88/H88),"0")</f>
        <v>2.0833333333333332E-2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100</v>
      </c>
      <c r="Y90" s="598">
        <f>IFERROR(IF(X90="",0,CEILING((X90/$H90),1)*$H90),"")</f>
        <v>103.5</v>
      </c>
      <c r="Z90" s="36">
        <f>IFERROR(IF(Y90=0,"",ROUNDUP(Y90/H90,0)*0.00902),"")</f>
        <v>0.20746000000000001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104.22222222222223</v>
      </c>
      <c r="BN90" s="64">
        <f>IFERROR(Y90*I90/H90,"0")</f>
        <v>107.87</v>
      </c>
      <c r="BO90" s="64">
        <f>IFERROR(1/J90*(X90/H90),"0")</f>
        <v>0.16835016835016836</v>
      </c>
      <c r="BP90" s="64">
        <f>IFERROR(1/J90*(Y90/H90),"0")</f>
        <v>0.17424242424242425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31.02941176470588</v>
      </c>
      <c r="Y91" s="599">
        <f>IFERROR(Y87/H87,"0")+IFERROR(Y88/H88,"0")+IFERROR(Y89/H89,"0")+IFERROR(Y90/H90,"0")</f>
        <v>33</v>
      </c>
      <c r="Z91" s="599">
        <f>IFERROR(IF(Z87="",0,Z87),"0")+IFERROR(IF(Z88="",0,Z88),"0")+IFERROR(IF(Z89="",0,Z89),"0")+IFERROR(IF(Z90="",0,Z90),"0")</f>
        <v>0.35038000000000002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163</v>
      </c>
      <c r="Y92" s="599">
        <f>IFERROR(SUM(Y87:Y90),"0")</f>
        <v>175.10000000000002</v>
      </c>
      <c r="Z92" s="37"/>
      <c r="AA92" s="600"/>
      <c r="AB92" s="600"/>
      <c r="AC92" s="600"/>
    </row>
    <row r="93" spans="1:68" ht="14.25" hidden="1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251</v>
      </c>
      <c r="Y94" s="598">
        <f>IFERROR(IF(X94="",0,CEILING((X94/$H94),1)*$H94),"")</f>
        <v>251.1</v>
      </c>
      <c r="Z94" s="36">
        <f>IFERROR(IF(Y94=0,"",ROUNDUP(Y94/H94,0)*0.01898),"")</f>
        <v>0.58838000000000001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266.30790123456791</v>
      </c>
      <c r="BN94" s="64">
        <f>IFERROR(Y94*I94/H94,"0")</f>
        <v>266.41399999999999</v>
      </c>
      <c r="BO94" s="64">
        <f>IFERROR(1/J94*(X94/H94),"0")</f>
        <v>0.48418209876543211</v>
      </c>
      <c r="BP94" s="64">
        <f>IFERROR(1/J94*(Y94/H94),"0")</f>
        <v>0.484375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945</v>
      </c>
      <c r="Y96" s="598">
        <f>IFERROR(IF(X96="",0,CEILING((X96/$H96),1)*$H96),"")</f>
        <v>945.00000000000011</v>
      </c>
      <c r="Z96" s="36">
        <f>IFERROR(IF(Y96=0,"",ROUNDUP(Y96/H96,0)*0.00651),"")</f>
        <v>2.2785000000000002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1033.1999999999998</v>
      </c>
      <c r="BN96" s="64">
        <f>IFERROR(Y96*I96/H96,"0")</f>
        <v>1033.2</v>
      </c>
      <c r="BO96" s="64">
        <f>IFERROR(1/J96*(X96/H96),"0")</f>
        <v>1.9230769230769231</v>
      </c>
      <c r="BP96" s="64">
        <f>IFERROR(1/J96*(Y96/H96),"0")</f>
        <v>1.9230769230769231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380.98765432098764</v>
      </c>
      <c r="Y98" s="599">
        <f>IFERROR(Y94/H94,"0")+IFERROR(Y95/H95,"0")+IFERROR(Y96/H96,"0")+IFERROR(Y97/H97,"0")</f>
        <v>381</v>
      </c>
      <c r="Z98" s="599">
        <f>IFERROR(IF(Z94="",0,Z94),"0")+IFERROR(IF(Z95="",0,Z95),"0")+IFERROR(IF(Z96="",0,Z96),"0")+IFERROR(IF(Z97="",0,Z97),"0")</f>
        <v>2.8668800000000001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1196</v>
      </c>
      <c r="Y99" s="599">
        <f>IFERROR(SUM(Y94:Y97),"0")</f>
        <v>1196.1000000000001</v>
      </c>
      <c r="Z99" s="37"/>
      <c r="AA99" s="600"/>
      <c r="AB99" s="600"/>
      <c r="AC99" s="600"/>
    </row>
    <row r="100" spans="1:68" ht="16.5" hidden="1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hidden="1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283</v>
      </c>
      <c r="Y102" s="598">
        <f t="shared" ref="Y102:Y108" si="11">IFERROR(IF(X102="",0,CEILING((X102/$H102),1)*$H102),"")</f>
        <v>291.60000000000002</v>
      </c>
      <c r="Z102" s="36">
        <f>IFERROR(IF(Y102=0,"",ROUNDUP(Y102/H102,0)*0.01898),"")</f>
        <v>0.51246000000000003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293.7435185185185</v>
      </c>
      <c r="BN102" s="64">
        <f t="shared" ref="BN102:BN108" si="13">IFERROR(Y102*I102/H102,"0")</f>
        <v>302.67000000000007</v>
      </c>
      <c r="BO102" s="64">
        <f t="shared" ref="BO102:BO108" si="14">IFERROR(1/J102*(X102/H102),"0")</f>
        <v>0.40943287037037035</v>
      </c>
      <c r="BP102" s="64">
        <f t="shared" ref="BP102:BP108" si="15">IFERROR(1/J102*(Y102/H102),"0")</f>
        <v>0.421875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1</v>
      </c>
      <c r="Y103" s="598">
        <f t="shared" si="11"/>
        <v>1.1000000000000001</v>
      </c>
      <c r="Z103" s="36">
        <f>IFERROR(IF(Y103=0,"",ROUNDUP(Y103/H103,0)*0.00726),"")</f>
        <v>7.26E-3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1.1909090909090909</v>
      </c>
      <c r="BN103" s="64">
        <f t="shared" si="13"/>
        <v>1.31</v>
      </c>
      <c r="BO103" s="64">
        <f t="shared" si="14"/>
        <v>4.7348484848484841E-3</v>
      </c>
      <c r="BP103" s="64">
        <f t="shared" si="15"/>
        <v>5.208333333333333E-3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270</v>
      </c>
      <c r="Y107" s="598">
        <f t="shared" si="11"/>
        <v>270</v>
      </c>
      <c r="Z107" s="36">
        <f>IFERROR(IF(Y107=0,"",ROUNDUP(Y107/H107,0)*0.00902),"")</f>
        <v>0.54120000000000001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281.40000000000003</v>
      </c>
      <c r="BN107" s="64">
        <f t="shared" si="13"/>
        <v>281.40000000000003</v>
      </c>
      <c r="BO107" s="64">
        <f t="shared" si="14"/>
        <v>0.45454545454545459</v>
      </c>
      <c r="BP107" s="64">
        <f t="shared" si="15"/>
        <v>0.45454545454545459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87.112794612794616</v>
      </c>
      <c r="Y109" s="599">
        <f>IFERROR(Y102/H102,"0")+IFERROR(Y103/H103,"0")+IFERROR(Y104/H104,"0")+IFERROR(Y105/H105,"0")+IFERROR(Y106/H106,"0")+IFERROR(Y107/H107,"0")+IFERROR(Y108/H108,"0")</f>
        <v>88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1.0609200000000001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554</v>
      </c>
      <c r="Y110" s="599">
        <f>IFERROR(SUM(Y102:Y108),"0")</f>
        <v>562.70000000000005</v>
      </c>
      <c r="Z110" s="37"/>
      <c r="AA110" s="600"/>
      <c r="AB110" s="600"/>
      <c r="AC110" s="600"/>
    </row>
    <row r="111" spans="1:68" ht="14.25" hidden="1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52</v>
      </c>
      <c r="Y112" s="598">
        <f t="shared" ref="Y112:Y118" si="16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53.974074074074075</v>
      </c>
      <c r="BN112" s="64">
        <f t="shared" ref="BN112:BN118" si="18">IFERROR(Y112*I112/H112,"0")</f>
        <v>56.05</v>
      </c>
      <c r="BO112" s="64">
        <f t="shared" ref="BO112:BO118" si="19">IFERROR(1/J112*(X112/H112),"0")</f>
        <v>7.5231481481481483E-2</v>
      </c>
      <c r="BP112" s="64">
        <f t="shared" ref="BP112:BP118" si="20">IFERROR(1/J112*(Y112/H112),"0")</f>
        <v>7.8125E-2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4.8148148148148149</v>
      </c>
      <c r="Y119" s="599">
        <f>IFERROR(Y112/H112,"0")+IFERROR(Y113/H113,"0")+IFERROR(Y114/H114,"0")+IFERROR(Y115/H115,"0")+IFERROR(Y116/H116,"0")+IFERROR(Y117/H117,"0")+IFERROR(Y118/H118,"0")</f>
        <v>5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9.4899999999999998E-2</v>
      </c>
      <c r="AA119" s="600"/>
      <c r="AB119" s="600"/>
      <c r="AC119" s="600"/>
    </row>
    <row r="120" spans="1:68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52</v>
      </c>
      <c r="Y120" s="599">
        <f>IFERROR(SUM(Y112:Y118),"0")</f>
        <v>54</v>
      </c>
      <c r="Z120" s="37"/>
      <c r="AA120" s="600"/>
      <c r="AB120" s="600"/>
      <c r="AC120" s="600"/>
    </row>
    <row r="121" spans="1:68" ht="14.25" hidden="1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599</v>
      </c>
      <c r="Y122" s="598">
        <f>IFERROR(IF(X122="",0,CEILING((X122/$H122),1)*$H122),"")</f>
        <v>599.4</v>
      </c>
      <c r="Z122" s="36">
        <f>IFERROR(IF(Y122=0,"",ROUNDUP(Y122/H122,0)*0.01898),"")</f>
        <v>1.40452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635.08790123456788</v>
      </c>
      <c r="BN122" s="64">
        <f>IFERROR(Y122*I122/H122,"0")</f>
        <v>635.51199999999994</v>
      </c>
      <c r="BO122" s="64">
        <f>IFERROR(1/J122*(X122/H122),"0")</f>
        <v>1.1554783950617284</v>
      </c>
      <c r="BP122" s="64">
        <f>IFERROR(1/J122*(Y122/H122),"0")</f>
        <v>1.15625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268</v>
      </c>
      <c r="Y124" s="598">
        <f>IFERROR(IF(X124="",0,CEILING((X124/$H124),1)*$H124),"")</f>
        <v>270</v>
      </c>
      <c r="Z124" s="36">
        <f>IFERROR(IF(Y124=0,"",ROUNDUP(Y124/H124,0)*0.00651),"")</f>
        <v>0.65100000000000002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293.01333333333332</v>
      </c>
      <c r="BN124" s="64">
        <f>IFERROR(Y124*I124/H124,"0")</f>
        <v>295.2</v>
      </c>
      <c r="BO124" s="64">
        <f>IFERROR(1/J124*(X124/H124),"0")</f>
        <v>0.54538054538054537</v>
      </c>
      <c r="BP124" s="64">
        <f>IFERROR(1/J124*(Y124/H124),"0")</f>
        <v>0.5494505494505495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173.20987654320987</v>
      </c>
      <c r="Y126" s="599">
        <f>IFERROR(Y122/H122,"0")+IFERROR(Y123/H123,"0")+IFERROR(Y124/H124,"0")+IFERROR(Y125/H125,"0")</f>
        <v>174</v>
      </c>
      <c r="Z126" s="599">
        <f>IFERROR(IF(Z122="",0,Z122),"0")+IFERROR(IF(Z123="",0,Z123),"0")+IFERROR(IF(Z124="",0,Z124),"0")+IFERROR(IF(Z125="",0,Z125),"0")</f>
        <v>2.05552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867</v>
      </c>
      <c r="Y127" s="599">
        <f>IFERROR(SUM(Y122:Y125),"0")</f>
        <v>869.4</v>
      </c>
      <c r="Z127" s="37"/>
      <c r="AA127" s="600"/>
      <c r="AB127" s="600"/>
      <c r="AC127" s="600"/>
    </row>
    <row r="128" spans="1:68" ht="14.25" hidden="1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42</v>
      </c>
      <c r="Y129" s="598">
        <f>IFERROR(IF(X129="",0,CEILING((X129/$H129),1)*$H129),"")</f>
        <v>43.56</v>
      </c>
      <c r="Z129" s="36">
        <f>IFERROR(IF(Y129=0,"",ROUNDUP(Y129/H129,0)*0.00651),"")</f>
        <v>0.14322000000000001</v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47.472727272727269</v>
      </c>
      <c r="BN129" s="64">
        <f>IFERROR(Y129*I129/H129,"0")</f>
        <v>49.235999999999997</v>
      </c>
      <c r="BO129" s="64">
        <f>IFERROR(1/J129*(X129/H129),"0")</f>
        <v>0.11655011655011656</v>
      </c>
      <c r="BP129" s="64">
        <f>IFERROR(1/J129*(Y129/H129),"0")</f>
        <v>0.12087912087912089</v>
      </c>
    </row>
    <row r="130" spans="1:68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21.212121212121211</v>
      </c>
      <c r="Y130" s="599">
        <f>IFERROR(Y129/H129,"0")</f>
        <v>22</v>
      </c>
      <c r="Z130" s="599">
        <f>IFERROR(IF(Z129="",0,Z129),"0")</f>
        <v>0.14322000000000001</v>
      </c>
      <c r="AA130" s="600"/>
      <c r="AB130" s="600"/>
      <c r="AC130" s="600"/>
    </row>
    <row r="131" spans="1:68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42</v>
      </c>
      <c r="Y131" s="599">
        <f>IFERROR(SUM(Y129:Y129),"0")</f>
        <v>43.56</v>
      </c>
      <c r="Z131" s="37"/>
      <c r="AA131" s="600"/>
      <c r="AB131" s="600"/>
      <c r="AC131" s="600"/>
    </row>
    <row r="132" spans="1:68" ht="16.5" hidden="1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hidden="1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hidden="1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hidden="1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hidden="1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hidden="1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hidden="1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hidden="1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hidden="1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hidden="1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hidden="1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hidden="1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hidden="1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hidden="1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hidden="1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hidden="1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92</v>
      </c>
      <c r="Y167" s="598">
        <f t="shared" ref="Y167:Y177" si="21">IFERROR(IF(X167="",0,CEILING((X167/$H167),1)*$H167),"")</f>
        <v>94.5</v>
      </c>
      <c r="Z167" s="36">
        <f>IFERROR(IF(Y167=0,"",ROUNDUP(Y167/H167,0)*0.00902),"")</f>
        <v>0.24354000000000001</v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96.994285714285724</v>
      </c>
      <c r="BN167" s="64">
        <f t="shared" ref="BN167:BN177" si="23">IFERROR(Y167*I167/H167,"0")</f>
        <v>99.63</v>
      </c>
      <c r="BO167" s="64">
        <f t="shared" ref="BO167:BO177" si="24">IFERROR(1/J167*(X167/H167),"0")</f>
        <v>0.19913419913419914</v>
      </c>
      <c r="BP167" s="64">
        <f t="shared" ref="BP167:BP177" si="25">IFERROR(1/J167*(Y167/H167),"0")</f>
        <v>0.20454545454545456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49</v>
      </c>
      <c r="Y169" s="598">
        <f t="shared" si="21"/>
        <v>49</v>
      </c>
      <c r="Z169" s="36">
        <f>IFERROR(IF(Y169=0,"",ROUNDUP(Y169/H169,0)*0.00902),"")</f>
        <v>0.12628</v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51.660000000000004</v>
      </c>
      <c r="BN169" s="64">
        <f t="shared" si="23"/>
        <v>51.660000000000004</v>
      </c>
      <c r="BO169" s="64">
        <f t="shared" si="24"/>
        <v>0.10606060606060606</v>
      </c>
      <c r="BP169" s="64">
        <f t="shared" si="25"/>
        <v>0.10606060606060606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155</v>
      </c>
      <c r="Y170" s="598">
        <f t="shared" si="21"/>
        <v>157.5</v>
      </c>
      <c r="Z170" s="36">
        <f>IFERROR(IF(Y170=0,"",ROUNDUP(Y170/H170,0)*0.00902),"")</f>
        <v>0.40590000000000004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163.41428571428574</v>
      </c>
      <c r="BN170" s="64">
        <f t="shared" si="23"/>
        <v>166.04999999999998</v>
      </c>
      <c r="BO170" s="64">
        <f t="shared" si="24"/>
        <v>0.33549783549783552</v>
      </c>
      <c r="BP170" s="64">
        <f t="shared" si="25"/>
        <v>0.34090909090909094</v>
      </c>
    </row>
    <row r="171" spans="1:68" ht="16.5" hidden="1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22</v>
      </c>
      <c r="Y172" s="598">
        <f t="shared" si="21"/>
        <v>23.52</v>
      </c>
      <c r="Z172" s="36">
        <f>IFERROR(IF(Y172=0,"",ROUNDUP(Y172/H172,0)*0.00502),"")</f>
        <v>7.0280000000000009E-2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23.309523809523814</v>
      </c>
      <c r="BN172" s="64">
        <f t="shared" si="23"/>
        <v>24.92</v>
      </c>
      <c r="BO172" s="64">
        <f t="shared" si="24"/>
        <v>5.596255596255597E-2</v>
      </c>
      <c r="BP172" s="64">
        <f t="shared" si="25"/>
        <v>5.9829059829059839E-2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1</v>
      </c>
      <c r="Y173" s="598">
        <f t="shared" si="21"/>
        <v>1.8</v>
      </c>
      <c r="Z173" s="36">
        <f>IFERROR(IF(Y173=0,"",ROUNDUP(Y173/H173,0)*0.00417),"")</f>
        <v>8.3400000000000002E-3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1.2333333333333334</v>
      </c>
      <c r="BN173" s="64">
        <f t="shared" si="23"/>
        <v>2.2200000000000002</v>
      </c>
      <c r="BO173" s="64">
        <f t="shared" si="24"/>
        <v>3.3068783068783067E-3</v>
      </c>
      <c r="BP173" s="64">
        <f t="shared" si="25"/>
        <v>5.9523809523809521E-3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58</v>
      </c>
      <c r="Y175" s="598">
        <f t="shared" si="21"/>
        <v>58.8</v>
      </c>
      <c r="Z175" s="36">
        <f>IFERROR(IF(Y175=0,"",ROUNDUP(Y175/H175,0)*0.00502),"")</f>
        <v>0.1757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61.452380952380949</v>
      </c>
      <c r="BN175" s="64">
        <f t="shared" si="23"/>
        <v>62.300000000000004</v>
      </c>
      <c r="BO175" s="64">
        <f t="shared" si="24"/>
        <v>0.14753764753764756</v>
      </c>
      <c r="BP175" s="64">
        <f t="shared" si="25"/>
        <v>0.1495726495726496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4</v>
      </c>
      <c r="Y177" s="598">
        <f t="shared" si="21"/>
        <v>5.04</v>
      </c>
      <c r="Z177" s="36">
        <f>IFERROR(IF(Y177=0,"",ROUNDUP(Y177/H177,0)*0.00502),"")</f>
        <v>1.506E-2</v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4.2380952380952381</v>
      </c>
      <c r="BN177" s="64">
        <f t="shared" si="23"/>
        <v>5.34</v>
      </c>
      <c r="BO177" s="64">
        <f t="shared" si="24"/>
        <v>1.0175010175010176E-2</v>
      </c>
      <c r="BP177" s="64">
        <f t="shared" si="25"/>
        <v>1.2820512820512822E-2</v>
      </c>
    </row>
    <row r="178" spans="1:68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135.68253968253967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140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1.0451000000000001</v>
      </c>
      <c r="AA178" s="600"/>
      <c r="AB178" s="600"/>
      <c r="AC178" s="600"/>
    </row>
    <row r="179" spans="1:68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381</v>
      </c>
      <c r="Y179" s="599">
        <f>IFERROR(SUM(Y167:Y177),"0")</f>
        <v>390.16</v>
      </c>
      <c r="Z179" s="37"/>
      <c r="AA179" s="600"/>
      <c r="AB179" s="600"/>
      <c r="AC179" s="600"/>
    </row>
    <row r="180" spans="1:68" ht="14.25" hidden="1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hidden="1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hidden="1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hidden="1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hidden="1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43</v>
      </c>
      <c r="Y212" s="598">
        <f t="shared" si="26"/>
        <v>46.2</v>
      </c>
      <c r="Z212" s="36">
        <f>IFERROR(IF(Y212=0,"",ROUNDUP(Y212/H212,0)*0.00902),"")</f>
        <v>9.9220000000000003E-2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44.945238095238089</v>
      </c>
      <c r="BN212" s="64">
        <f t="shared" si="28"/>
        <v>48.289999999999992</v>
      </c>
      <c r="BO212" s="64">
        <f t="shared" si="29"/>
        <v>7.7561327561327553E-2</v>
      </c>
      <c r="BP212" s="64">
        <f t="shared" si="30"/>
        <v>8.3333333333333343E-2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13</v>
      </c>
      <c r="Y213" s="598">
        <f t="shared" si="26"/>
        <v>13.600000000000001</v>
      </c>
      <c r="Z213" s="36">
        <f>IFERROR(IF(Y213=0,"",ROUNDUP(Y213/H213,0)*0.00556),"")</f>
        <v>9.4519999999999993E-2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15.112499999999999</v>
      </c>
      <c r="BN213" s="64">
        <f t="shared" si="28"/>
        <v>15.81</v>
      </c>
      <c r="BO213" s="64">
        <f t="shared" si="29"/>
        <v>6.4484126984126977E-2</v>
      </c>
      <c r="BP213" s="64">
        <f t="shared" si="30"/>
        <v>6.7460317460317457E-2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27</v>
      </c>
      <c r="Y214" s="598">
        <f t="shared" si="26"/>
        <v>27.3</v>
      </c>
      <c r="Z214" s="36">
        <f t="shared" ref="Z214:Z219" si="31">IFERROR(IF(Y214=0,"",ROUNDUP(Y214/H214,0)*0.00502),"")</f>
        <v>6.5259999999999999E-2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28.671428571428571</v>
      </c>
      <c r="BN214" s="64">
        <f t="shared" si="28"/>
        <v>28.99</v>
      </c>
      <c r="BO214" s="64">
        <f t="shared" si="29"/>
        <v>5.4945054945054944E-2</v>
      </c>
      <c r="BP214" s="64">
        <f t="shared" si="30"/>
        <v>5.5555555555555559E-2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175</v>
      </c>
      <c r="Y221" s="598">
        <f t="shared" si="26"/>
        <v>176.4</v>
      </c>
      <c r="Z221" s="36">
        <f>IFERROR(IF(Y221=0,"",ROUNDUP(Y221/H221,0)*0.00502),"")</f>
        <v>0.42168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183.33333333333334</v>
      </c>
      <c r="BN221" s="64">
        <f t="shared" si="28"/>
        <v>184.8</v>
      </c>
      <c r="BO221" s="64">
        <f t="shared" si="29"/>
        <v>0.35612535612535612</v>
      </c>
      <c r="BP221" s="64">
        <f t="shared" si="30"/>
        <v>0.35897435897435903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122.67857142857142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125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0.68067999999999995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258</v>
      </c>
      <c r="Y225" s="599">
        <f>IFERROR(SUM(Y210:Y223),"0")</f>
        <v>263.5</v>
      </c>
      <c r="Z225" s="37"/>
      <c r="AA225" s="600"/>
      <c r="AB225" s="600"/>
      <c r="AC225" s="600"/>
    </row>
    <row r="226" spans="1:68" ht="14.25" hidden="1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6</v>
      </c>
      <c r="Y235" s="598">
        <f>IFERROR(IF(X235="",0,CEILING((X235/$H235),1)*$H235),"")</f>
        <v>6.3</v>
      </c>
      <c r="Z235" s="36">
        <f>IFERROR(IF(Y235=0,"",ROUNDUP(Y235/H235,0)*0.0059),"")</f>
        <v>2.9499999999999998E-2</v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6.9047619047619042</v>
      </c>
      <c r="BN235" s="64">
        <f>IFERROR(Y235*I235/H235,"0")</f>
        <v>7.25</v>
      </c>
      <c r="BO235" s="64">
        <f>IFERROR(1/J235*(X235/H235),"0")</f>
        <v>2.2045855379188711E-2</v>
      </c>
      <c r="BP235" s="64">
        <f>IFERROR(1/J235*(Y235/H235),"0")</f>
        <v>2.3148148148148147E-2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4.7619047619047619</v>
      </c>
      <c r="Y237" s="599">
        <f>IFERROR(Y234/H234,"0")+IFERROR(Y235/H235,"0")+IFERROR(Y236/H236,"0")</f>
        <v>5</v>
      </c>
      <c r="Z237" s="599">
        <f>IFERROR(IF(Z234="",0,Z234),"0")+IFERROR(IF(Z235="",0,Z235),"0")+IFERROR(IF(Z236="",0,Z236),"0")</f>
        <v>2.9499999999999998E-2</v>
      </c>
      <c r="AA237" s="600"/>
      <c r="AB237" s="600"/>
      <c r="AC237" s="600"/>
    </row>
    <row r="238" spans="1:68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6</v>
      </c>
      <c r="Y238" s="599">
        <f>IFERROR(SUM(Y234:Y236),"0")</f>
        <v>6.3</v>
      </c>
      <c r="Z238" s="37"/>
      <c r="AA238" s="600"/>
      <c r="AB238" s="600"/>
      <c r="AC238" s="600"/>
    </row>
    <row r="239" spans="1:68" ht="14.25" hidden="1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hidden="1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hidden="1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hidden="1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hidden="1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130</v>
      </c>
      <c r="Y255" s="598">
        <f t="shared" ref="Y255:Y262" si="32">IFERROR(IF(X255="",0,CEILING((X255/$H255),1)*$H255),"")</f>
        <v>135</v>
      </c>
      <c r="Z255" s="36">
        <f>IFERROR(IF(Y255=0,"",ROUNDUP(Y255/H255,0)*0.00902),"")</f>
        <v>0.22550000000000001</v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134.57407407407405</v>
      </c>
      <c r="BN255" s="64">
        <f t="shared" ref="BN255:BN262" si="34">IFERROR(Y255*I255/H255,"0")</f>
        <v>139.75</v>
      </c>
      <c r="BO255" s="64">
        <f t="shared" ref="BO255:BO262" si="35">IFERROR(1/J255*(X255/H255),"0")</f>
        <v>0.18237934904601572</v>
      </c>
      <c r="BP255" s="64">
        <f t="shared" ref="BP255:BP262" si="36">IFERROR(1/J255*(Y255/H255),"0")</f>
        <v>0.18939393939393939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0</v>
      </c>
      <c r="Y257" s="598">
        <f t="shared" si="32"/>
        <v>0</v>
      </c>
      <c r="Z257" s="36" t="str">
        <f>IFERROR(IF(Y257=0,"",ROUNDUP(Y257/H257,0)*0.00902),"")</f>
        <v/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13</v>
      </c>
      <c r="Y258" s="598">
        <f t="shared" si="32"/>
        <v>16.200000000000003</v>
      </c>
      <c r="Z258" s="36">
        <f>IFERROR(IF(Y258=0,"",ROUNDUP(Y258/H258,0)*0.00902),"")</f>
        <v>2.7060000000000001E-2</v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13.457407407407407</v>
      </c>
      <c r="BN258" s="64">
        <f t="shared" si="34"/>
        <v>16.77</v>
      </c>
      <c r="BO258" s="64">
        <f t="shared" si="35"/>
        <v>1.8237934904601572E-2</v>
      </c>
      <c r="BP258" s="64">
        <f t="shared" si="36"/>
        <v>2.2727272727272731E-2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45</v>
      </c>
      <c r="Y259" s="598">
        <f t="shared" si="32"/>
        <v>45</v>
      </c>
      <c r="Z259" s="36">
        <f>IFERROR(IF(Y259=0,"",ROUNDUP(Y259/H259,0)*0.00502),"")</f>
        <v>0.1255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48.249999999999993</v>
      </c>
      <c r="BN259" s="64">
        <f t="shared" si="34"/>
        <v>48.249999999999993</v>
      </c>
      <c r="BO259" s="64">
        <f t="shared" si="35"/>
        <v>0.10683760683760685</v>
      </c>
      <c r="BP259" s="64">
        <f t="shared" si="36"/>
        <v>0.10683760683760685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52</v>
      </c>
      <c r="Y260" s="598">
        <f t="shared" si="32"/>
        <v>52.2</v>
      </c>
      <c r="Z260" s="36">
        <f>IFERROR(IF(Y260=0,"",ROUNDUP(Y260/H260,0)*0.00502),"")</f>
        <v>0.14558000000000001</v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54.888888888888886</v>
      </c>
      <c r="BN260" s="64">
        <f t="shared" si="34"/>
        <v>55.1</v>
      </c>
      <c r="BO260" s="64">
        <f t="shared" si="35"/>
        <v>0.12345679012345681</v>
      </c>
      <c r="BP260" s="64">
        <f t="shared" si="36"/>
        <v>0.12393162393162395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11</v>
      </c>
      <c r="Y262" s="598">
        <f t="shared" si="32"/>
        <v>12.6</v>
      </c>
      <c r="Z262" s="36">
        <f>IFERROR(IF(Y262=0,"",ROUNDUP(Y262/H262,0)*0.00502),"")</f>
        <v>3.5140000000000005E-2</v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11.611111111111111</v>
      </c>
      <c r="BN262" s="64">
        <f t="shared" si="34"/>
        <v>13.299999999999999</v>
      </c>
      <c r="BO262" s="64">
        <f t="shared" si="35"/>
        <v>2.6115859449192782E-2</v>
      </c>
      <c r="BP262" s="64">
        <f t="shared" si="36"/>
        <v>2.9914529914529919E-2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86.481481481481481</v>
      </c>
      <c r="Y263" s="599">
        <f>IFERROR(Y255/H255,"0")+IFERROR(Y256/H256,"0")+IFERROR(Y257/H257,"0")+IFERROR(Y258/H258,"0")+IFERROR(Y259/H259,"0")+IFERROR(Y260/H260,"0")+IFERROR(Y261/H261,"0")+IFERROR(Y262/H262,"0")</f>
        <v>89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0.55878000000000005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251</v>
      </c>
      <c r="Y264" s="599">
        <f>IFERROR(SUM(Y255:Y262),"0")</f>
        <v>261</v>
      </c>
      <c r="Z264" s="37"/>
      <c r="AA264" s="600"/>
      <c r="AB264" s="600"/>
      <c r="AC264" s="600"/>
    </row>
    <row r="265" spans="1:68" ht="14.25" hidden="1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hidden="1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145</v>
      </c>
      <c r="Y269" s="598">
        <f t="shared" si="37"/>
        <v>146.4</v>
      </c>
      <c r="Z269" s="36">
        <f>IFERROR(IF(Y269=0,"",ROUNDUP(Y269/H269,0)*0.00651),"")</f>
        <v>0.39711000000000002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161.3125</v>
      </c>
      <c r="BN269" s="64">
        <f t="shared" si="39"/>
        <v>162.87</v>
      </c>
      <c r="BO269" s="64">
        <f t="shared" si="40"/>
        <v>0.331959706959707</v>
      </c>
      <c r="BP269" s="64">
        <f t="shared" si="41"/>
        <v>0.33516483516483525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403</v>
      </c>
      <c r="Y272" s="598">
        <f t="shared" si="37"/>
        <v>403.2</v>
      </c>
      <c r="Z272" s="36">
        <f>IFERROR(IF(Y272=0,"",ROUNDUP(Y272/H272,0)*0.00651),"")</f>
        <v>1.09368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445.31500000000005</v>
      </c>
      <c r="BN272" s="64">
        <f t="shared" si="39"/>
        <v>445.536</v>
      </c>
      <c r="BO272" s="64">
        <f t="shared" si="40"/>
        <v>0.92261904761904778</v>
      </c>
      <c r="BP272" s="64">
        <f t="shared" si="41"/>
        <v>0.92307692307692313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85</v>
      </c>
      <c r="Y274" s="598">
        <f t="shared" si="37"/>
        <v>86.399999999999991</v>
      </c>
      <c r="Z274" s="36">
        <f>IFERROR(IF(Y274=0,"",ROUNDUP(Y274/H274,0)*0.00651),"")</f>
        <v>0.23436000000000001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93.925000000000011</v>
      </c>
      <c r="BN274" s="64">
        <f t="shared" si="39"/>
        <v>95.472000000000008</v>
      </c>
      <c r="BO274" s="64">
        <f t="shared" si="40"/>
        <v>0.19459706959706963</v>
      </c>
      <c r="BP274" s="64">
        <f t="shared" si="41"/>
        <v>0.19780219780219782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94</v>
      </c>
      <c r="Y275" s="598">
        <f t="shared" si="37"/>
        <v>96</v>
      </c>
      <c r="Z275" s="36">
        <f>IFERROR(IF(Y275=0,"",ROUNDUP(Y275/H275,0)*0.00651),"")</f>
        <v>0.26040000000000002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103.87</v>
      </c>
      <c r="BN275" s="64">
        <f t="shared" si="39"/>
        <v>106.08000000000001</v>
      </c>
      <c r="BO275" s="64">
        <f t="shared" si="40"/>
        <v>0.21520146520146524</v>
      </c>
      <c r="BP275" s="64">
        <f t="shared" si="41"/>
        <v>0.2197802197802198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210</v>
      </c>
      <c r="Y276" s="598">
        <f t="shared" si="37"/>
        <v>211.2</v>
      </c>
      <c r="Z276" s="36">
        <f>IFERROR(IF(Y276=0,"",ROUNDUP(Y276/H276,0)*0.00651),"")</f>
        <v>0.57288000000000006</v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232.57499999999999</v>
      </c>
      <c r="BN276" s="64">
        <f t="shared" si="39"/>
        <v>233.904</v>
      </c>
      <c r="BO276" s="64">
        <f t="shared" si="40"/>
        <v>0.48076923076923078</v>
      </c>
      <c r="BP276" s="64">
        <f t="shared" si="41"/>
        <v>0.48351648351648358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390.41666666666674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393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2.5584300000000004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937</v>
      </c>
      <c r="Y279" s="599">
        <f>IFERROR(SUM(Y266:Y277),"0")</f>
        <v>943.2</v>
      </c>
      <c r="Z279" s="37"/>
      <c r="AA279" s="600"/>
      <c r="AB279" s="600"/>
      <c r="AC279" s="600"/>
    </row>
    <row r="280" spans="1:68" ht="14.25" hidden="1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37</v>
      </c>
      <c r="Y281" s="598">
        <f>IFERROR(IF(X281="",0,CEILING((X281/$H281),1)*$H281),"")</f>
        <v>38.4</v>
      </c>
      <c r="Z281" s="36">
        <f>IFERROR(IF(Y281=0,"",ROUNDUP(Y281/H281,0)*0.00651),"")</f>
        <v>0.10416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40.885000000000005</v>
      </c>
      <c r="BN281" s="64">
        <f>IFERROR(Y281*I281/H281,"0")</f>
        <v>42.432000000000002</v>
      </c>
      <c r="BO281" s="64">
        <f>IFERROR(1/J281*(X281/H281),"0")</f>
        <v>8.4706959706959725E-2</v>
      </c>
      <c r="BP281" s="64">
        <f>IFERROR(1/J281*(Y281/H281),"0")</f>
        <v>8.7912087912087919E-2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15.416666666666668</v>
      </c>
      <c r="Y283" s="599">
        <f>IFERROR(Y281/H281,"0")+IFERROR(Y282/H282,"0")</f>
        <v>16</v>
      </c>
      <c r="Z283" s="599">
        <f>IFERROR(IF(Z281="",0,Z281),"0")+IFERROR(IF(Z282="",0,Z282),"0")</f>
        <v>0.10416</v>
      </c>
      <c r="AA283" s="600"/>
      <c r="AB283" s="600"/>
      <c r="AC283" s="600"/>
    </row>
    <row r="284" spans="1:68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37</v>
      </c>
      <c r="Y284" s="599">
        <f>IFERROR(SUM(Y281:Y282),"0")</f>
        <v>38.4</v>
      </c>
      <c r="Z284" s="37"/>
      <c r="AA284" s="600"/>
      <c r="AB284" s="600"/>
      <c r="AC284" s="600"/>
    </row>
    <row r="285" spans="1:68" ht="16.5" hidden="1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hidden="1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hidden="1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idden="1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hidden="1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hidden="1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1</v>
      </c>
      <c r="Y301" s="598">
        <f>IFERROR(IF(X301="",0,CEILING((X301/$H301),1)*$H301),"")</f>
        <v>1.8</v>
      </c>
      <c r="Z301" s="36">
        <f>IFERROR(IF(Y301=0,"",ROUNDUP(Y301/H301,0)*0.0059),"")</f>
        <v>5.8999999999999999E-3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1.0972222222222223</v>
      </c>
      <c r="BN301" s="64">
        <f>IFERROR(Y301*I301/H301,"0")</f>
        <v>1.9750000000000001</v>
      </c>
      <c r="BO301" s="64">
        <f>IFERROR(1/J301*(X301/H301),"0")</f>
        <v>2.5720164609053498E-3</v>
      </c>
      <c r="BP301" s="64">
        <f>IFERROR(1/J301*(Y301/H301),"0")</f>
        <v>4.6296296296296294E-3</v>
      </c>
    </row>
    <row r="302" spans="1:68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0.55555555555555558</v>
      </c>
      <c r="Y302" s="599">
        <f>IFERROR(Y301/H301,"0")</f>
        <v>1</v>
      </c>
      <c r="Z302" s="599">
        <f>IFERROR(IF(Z301="",0,Z301),"0")</f>
        <v>5.8999999999999999E-3</v>
      </c>
      <c r="AA302" s="600"/>
      <c r="AB302" s="600"/>
      <c r="AC302" s="600"/>
    </row>
    <row r="303" spans="1:68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1</v>
      </c>
      <c r="Y303" s="599">
        <f>IFERROR(SUM(Y301:Y301),"0")</f>
        <v>1.8</v>
      </c>
      <c r="Z303" s="37"/>
      <c r="AA303" s="600"/>
      <c r="AB303" s="600"/>
      <c r="AC303" s="600"/>
    </row>
    <row r="304" spans="1:68" ht="14.25" hidden="1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3</v>
      </c>
      <c r="Y307" s="598">
        <f>IFERROR(IF(X307="",0,CEILING((X307/$H307),1)*$H307),"")</f>
        <v>3.6</v>
      </c>
      <c r="Z307" s="36">
        <f>IFERROR(IF(Y307=0,"",ROUNDUP(Y307/H307,0)*0.0059),"")</f>
        <v>2.3599999999999999E-2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3.6333333333333337</v>
      </c>
      <c r="BN307" s="64">
        <f>IFERROR(Y307*I307/H307,"0")</f>
        <v>4.3600000000000003</v>
      </c>
      <c r="BO307" s="64">
        <f>IFERROR(1/J307*(X307/H307),"0")</f>
        <v>1.5432098765432096E-2</v>
      </c>
      <c r="BP307" s="64">
        <f>IFERROR(1/J307*(Y307/H307),"0")</f>
        <v>1.8518518518518517E-2</v>
      </c>
    </row>
    <row r="308" spans="1:68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3.333333333333333</v>
      </c>
      <c r="Y308" s="599">
        <f>IFERROR(Y305/H305,"0")+IFERROR(Y306/H306,"0")+IFERROR(Y307/H307,"0")</f>
        <v>4</v>
      </c>
      <c r="Z308" s="599">
        <f>IFERROR(IF(Z305="",0,Z305),"0")+IFERROR(IF(Z306="",0,Z306),"0")+IFERROR(IF(Z307="",0,Z307),"0")</f>
        <v>2.3599999999999999E-2</v>
      </c>
      <c r="AA308" s="600"/>
      <c r="AB308" s="600"/>
      <c r="AC308" s="600"/>
    </row>
    <row r="309" spans="1:68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3</v>
      </c>
      <c r="Y309" s="599">
        <f>IFERROR(SUM(Y305:Y307),"0")</f>
        <v>3.6</v>
      </c>
      <c r="Z309" s="37"/>
      <c r="AA309" s="600"/>
      <c r="AB309" s="600"/>
      <c r="AC309" s="600"/>
    </row>
    <row r="310" spans="1:68" ht="16.5" hidden="1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hidden="1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hidden="1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hidden="1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hidden="1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120</v>
      </c>
      <c r="Y322" s="598">
        <f>IFERROR(IF(X322="",0,CEILING((X322/$H322),1)*$H322),"")</f>
        <v>120</v>
      </c>
      <c r="Z322" s="36">
        <f>IFERROR(IF(Y322=0,"",ROUNDUP(Y322/H322,0)*0.00651),"")</f>
        <v>0.32550000000000001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132.60000000000002</v>
      </c>
      <c r="BN322" s="64">
        <f>IFERROR(Y322*I322/H322,"0")</f>
        <v>132.60000000000002</v>
      </c>
      <c r="BO322" s="64">
        <f>IFERROR(1/J322*(X322/H322),"0")</f>
        <v>0.27472527472527475</v>
      </c>
      <c r="BP322" s="64">
        <f>IFERROR(1/J322*(Y322/H322),"0")</f>
        <v>0.27472527472527475</v>
      </c>
    </row>
    <row r="323" spans="1:68" ht="27" hidden="1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50</v>
      </c>
      <c r="Y324" s="599">
        <f>IFERROR(Y321/H321,"0")+IFERROR(Y322/H322,"0")+IFERROR(Y323/H323,"0")</f>
        <v>50</v>
      </c>
      <c r="Z324" s="599">
        <f>IFERROR(IF(Z321="",0,Z321),"0")+IFERROR(IF(Z322="",0,Z322),"0")+IFERROR(IF(Z323="",0,Z323),"0")</f>
        <v>0.32550000000000001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120</v>
      </c>
      <c r="Y325" s="599">
        <f>IFERROR(SUM(Y321:Y323),"0")</f>
        <v>120</v>
      </c>
      <c r="Z325" s="37"/>
      <c r="AA325" s="600"/>
      <c r="AB325" s="600"/>
      <c r="AC325" s="600"/>
    </row>
    <row r="326" spans="1:68" ht="16.5" hidden="1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hidden="1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hidden="1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100</v>
      </c>
      <c r="Y342" s="598">
        <f>IFERROR(IF(X342="",0,CEILING((X342/$H342),1)*$H342),"")</f>
        <v>101.39999999999999</v>
      </c>
      <c r="Z342" s="36">
        <f>IFERROR(IF(Y342=0,"",ROUNDUP(Y342/H342,0)*0.01898),"")</f>
        <v>0.24674000000000001</v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105.25641025641028</v>
      </c>
      <c r="BN342" s="64">
        <f>IFERROR(Y342*I342/H342,"0")</f>
        <v>106.73</v>
      </c>
      <c r="BO342" s="64">
        <f>IFERROR(1/J342*(X342/H342),"0")</f>
        <v>0.20032051282051283</v>
      </c>
      <c r="BP342" s="64">
        <f>IFERROR(1/J342*(Y342/H342),"0")</f>
        <v>0.203125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227</v>
      </c>
      <c r="Y343" s="598">
        <f>IFERROR(IF(X343="",0,CEILING((X343/$H343),1)*$H343),"")</f>
        <v>234</v>
      </c>
      <c r="Z343" s="36">
        <f>IFERROR(IF(Y343=0,"",ROUNDUP(Y343/H343,0)*0.01898),"")</f>
        <v>0.56940000000000002</v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238.93205128205133</v>
      </c>
      <c r="BN343" s="64">
        <f>IFERROR(Y343*I343/H343,"0")</f>
        <v>246.3</v>
      </c>
      <c r="BO343" s="64">
        <f>IFERROR(1/J343*(X343/H343),"0")</f>
        <v>0.4547275641025641</v>
      </c>
      <c r="BP343" s="64">
        <f>IFERROR(1/J343*(Y343/H343),"0")</f>
        <v>0.46875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100</v>
      </c>
      <c r="Y344" s="598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105.25641025641028</v>
      </c>
      <c r="BN344" s="64">
        <f>IFERROR(Y344*I344/H344,"0")</f>
        <v>106.73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54.743589743589737</v>
      </c>
      <c r="Y345" s="599">
        <f>IFERROR(Y342/H342,"0")+IFERROR(Y343/H343,"0")+IFERROR(Y344/H344,"0")</f>
        <v>56</v>
      </c>
      <c r="Z345" s="599">
        <f>IFERROR(IF(Z342="",0,Z342),"0")+IFERROR(IF(Z343="",0,Z343),"0")+IFERROR(IF(Z344="",0,Z344),"0")</f>
        <v>1.06288</v>
      </c>
      <c r="AA345" s="600"/>
      <c r="AB345" s="600"/>
      <c r="AC345" s="600"/>
    </row>
    <row r="346" spans="1:68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427</v>
      </c>
      <c r="Y346" s="599">
        <f>IFERROR(SUM(Y342:Y344),"0")</f>
        <v>436.79999999999995</v>
      </c>
      <c r="Z346" s="37"/>
      <c r="AA346" s="600"/>
      <c r="AB346" s="600"/>
      <c r="AC346" s="600"/>
    </row>
    <row r="347" spans="1:68" ht="16.5" hidden="1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hidden="1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6</v>
      </c>
      <c r="Y363" s="598">
        <f t="shared" si="47"/>
        <v>7.2</v>
      </c>
      <c r="Z363" s="36">
        <f>IFERROR(IF(Y363=0,"",ROUNDUP(Y363/H363,0)*0.00651),"")</f>
        <v>2.6040000000000001E-2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6.76</v>
      </c>
      <c r="BN363" s="64">
        <f t="shared" si="49"/>
        <v>8.1120000000000001</v>
      </c>
      <c r="BO363" s="64">
        <f t="shared" si="50"/>
        <v>1.8315018315018316E-2</v>
      </c>
      <c r="BP363" s="64">
        <f t="shared" si="51"/>
        <v>2.197802197802198E-2</v>
      </c>
    </row>
    <row r="364" spans="1:68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3.333333333333333</v>
      </c>
      <c r="Y364" s="599">
        <f>IFERROR(Y357/H357,"0")+IFERROR(Y358/H358,"0")+IFERROR(Y359/H359,"0")+IFERROR(Y360/H360,"0")+IFERROR(Y361/H361,"0")+IFERROR(Y362/H362,"0")+IFERROR(Y363/H363,"0")</f>
        <v>4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2.6040000000000001E-2</v>
      </c>
      <c r="AA364" s="600"/>
      <c r="AB364" s="600"/>
      <c r="AC364" s="600"/>
    </row>
    <row r="365" spans="1:68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6</v>
      </c>
      <c r="Y365" s="599">
        <f>IFERROR(SUM(Y357:Y363),"0")</f>
        <v>7.2</v>
      </c>
      <c r="Z365" s="37"/>
      <c r="AA365" s="600"/>
      <c r="AB365" s="600"/>
      <c r="AC365" s="600"/>
    </row>
    <row r="366" spans="1:68" ht="14.25" hidden="1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hidden="1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700</v>
      </c>
      <c r="Y375" s="598">
        <f>IFERROR(IF(X375="",0,CEILING((X375/$H375),1)*$H375),"")</f>
        <v>702</v>
      </c>
      <c r="Z375" s="36">
        <f>IFERROR(IF(Y375=0,"",ROUNDUP(Y375/H375,0)*0.01898),"")</f>
        <v>1.7081999999999999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744.33333333333337</v>
      </c>
      <c r="BN375" s="64">
        <f>IFERROR(Y375*I375/H375,"0")</f>
        <v>746.46</v>
      </c>
      <c r="BO375" s="64">
        <f>IFERROR(1/J375*(X375/H375),"0")</f>
        <v>1.4022435897435899</v>
      </c>
      <c r="BP375" s="64">
        <f>IFERROR(1/J375*(Y375/H375),"0")</f>
        <v>1.40625</v>
      </c>
    </row>
    <row r="376" spans="1:68" ht="16.5" hidden="1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89.743589743589752</v>
      </c>
      <c r="Y377" s="599">
        <f>IFERROR(Y374/H374,"0")+IFERROR(Y375/H375,"0")+IFERROR(Y376/H376,"0")</f>
        <v>90</v>
      </c>
      <c r="Z377" s="599">
        <f>IFERROR(IF(Z374="",0,Z374),"0")+IFERROR(IF(Z375="",0,Z375),"0")+IFERROR(IF(Z376="",0,Z376),"0")</f>
        <v>1.7081999999999999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700</v>
      </c>
      <c r="Y378" s="599">
        <f>IFERROR(SUM(Y374:Y376),"0")</f>
        <v>702</v>
      </c>
      <c r="Z378" s="37"/>
      <c r="AA378" s="600"/>
      <c r="AB378" s="600"/>
      <c r="AC378" s="600"/>
    </row>
    <row r="379" spans="1:68" ht="14.25" hidden="1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hidden="1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hidden="1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hidden="1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13</v>
      </c>
      <c r="Y389" s="598">
        <f>IFERROR(IF(X389="",0,CEILING((X389/$H389),1)*$H389),"")</f>
        <v>14</v>
      </c>
      <c r="Z389" s="36">
        <f>IFERROR(IF(Y389=0,"",ROUNDUP(Y389/H389,0)*0.00474),"")</f>
        <v>3.3180000000000001E-2</v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14.560000000000002</v>
      </c>
      <c r="BN389" s="64">
        <f>IFERROR(Y389*I389/H389,"0")</f>
        <v>15.680000000000001</v>
      </c>
      <c r="BO389" s="64">
        <f>IFERROR(1/J389*(X389/H389),"0")</f>
        <v>2.7310924369747899E-2</v>
      </c>
      <c r="BP389" s="64">
        <f>IFERROR(1/J389*(Y389/H389),"0")</f>
        <v>2.9411764705882353E-2</v>
      </c>
    </row>
    <row r="390" spans="1:68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6.5</v>
      </c>
      <c r="Y390" s="599">
        <f>IFERROR(Y387/H387,"0")+IFERROR(Y388/H388,"0")+IFERROR(Y389/H389,"0")</f>
        <v>7</v>
      </c>
      <c r="Z390" s="599">
        <f>IFERROR(IF(Z387="",0,Z387),"0")+IFERROR(IF(Z388="",0,Z388),"0")+IFERROR(IF(Z389="",0,Z389),"0")</f>
        <v>3.3180000000000001E-2</v>
      </c>
      <c r="AA390" s="600"/>
      <c r="AB390" s="600"/>
      <c r="AC390" s="600"/>
    </row>
    <row r="391" spans="1:68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13</v>
      </c>
      <c r="Y391" s="599">
        <f>IFERROR(SUM(Y387:Y389),"0")</f>
        <v>14</v>
      </c>
      <c r="Z391" s="37"/>
      <c r="AA391" s="600"/>
      <c r="AB391" s="600"/>
      <c r="AC391" s="600"/>
    </row>
    <row r="392" spans="1:68" ht="16.5" hidden="1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hidden="1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hidden="1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hidden="1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hidden="1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hidden="1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hidden="1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370</v>
      </c>
      <c r="Y403" s="598">
        <f t="shared" si="52"/>
        <v>375</v>
      </c>
      <c r="Z403" s="36">
        <f>IFERROR(IF(Y403=0,"",ROUNDUP(Y403/H403,0)*0.02175),"")</f>
        <v>0.54374999999999996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381.59333333333336</v>
      </c>
      <c r="BN403" s="64">
        <f t="shared" si="54"/>
        <v>386.75</v>
      </c>
      <c r="BO403" s="64">
        <f t="shared" si="55"/>
        <v>0.51388888888888884</v>
      </c>
      <c r="BP403" s="64">
        <f t="shared" si="56"/>
        <v>0.52083333333333326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432</v>
      </c>
      <c r="Y404" s="598">
        <f t="shared" si="52"/>
        <v>435</v>
      </c>
      <c r="Z404" s="36">
        <f>IFERROR(IF(Y404=0,"",ROUNDUP(Y404/H404,0)*0.02175),"")</f>
        <v>0.63074999999999992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445.536</v>
      </c>
      <c r="BN404" s="64">
        <f t="shared" si="54"/>
        <v>448.63000000000005</v>
      </c>
      <c r="BO404" s="64">
        <f t="shared" si="55"/>
        <v>0.6</v>
      </c>
      <c r="BP404" s="64">
        <f t="shared" si="56"/>
        <v>0.60416666666666663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879</v>
      </c>
      <c r="Y405" s="598">
        <f t="shared" si="52"/>
        <v>885</v>
      </c>
      <c r="Z405" s="36">
        <f>IFERROR(IF(Y405=0,"",ROUNDUP(Y405/H405,0)*0.02175),"")</f>
        <v>1.28325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906.54200000000003</v>
      </c>
      <c r="BN405" s="64">
        <f t="shared" si="54"/>
        <v>912.73</v>
      </c>
      <c r="BO405" s="64">
        <f t="shared" si="55"/>
        <v>1.2208333333333332</v>
      </c>
      <c r="BP405" s="64">
        <f t="shared" si="56"/>
        <v>1.2291666666666665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112.06666666666666</v>
      </c>
      <c r="Y410" s="599">
        <f>IFERROR(Y402/H402,"0")+IFERROR(Y403/H403,"0")+IFERROR(Y404/H404,"0")+IFERROR(Y405/H405,"0")+IFERROR(Y406/H406,"0")+IFERROR(Y407/H407,"0")+IFERROR(Y408/H408,"0")+IFERROR(Y409/H409,"0")</f>
        <v>113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2.4577499999999999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1681</v>
      </c>
      <c r="Y411" s="599">
        <f>IFERROR(SUM(Y402:Y409),"0")</f>
        <v>1695</v>
      </c>
      <c r="Z411" s="37"/>
      <c r="AA411" s="600"/>
      <c r="AB411" s="600"/>
      <c r="AC411" s="600"/>
    </row>
    <row r="412" spans="1:68" ht="14.25" hidden="1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228</v>
      </c>
      <c r="Y413" s="598">
        <f>IFERROR(IF(X413="",0,CEILING((X413/$H413),1)*$H413),"")</f>
        <v>240</v>
      </c>
      <c r="Z413" s="36">
        <f>IFERROR(IF(Y413=0,"",ROUNDUP(Y413/H413,0)*0.02175),"")</f>
        <v>0.34799999999999998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235.14400000000003</v>
      </c>
      <c r="BN413" s="64">
        <f>IFERROR(Y413*I413/H413,"0")</f>
        <v>247.52</v>
      </c>
      <c r="BO413" s="64">
        <f>IFERROR(1/J413*(X413/H413),"0")</f>
        <v>0.31666666666666665</v>
      </c>
      <c r="BP413" s="64">
        <f>IFERROR(1/J413*(Y413/H413),"0")</f>
        <v>0.33333333333333331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15.2</v>
      </c>
      <c r="Y416" s="599">
        <f>IFERROR(Y413/H413,"0")+IFERROR(Y414/H414,"0")+IFERROR(Y415/H415,"0")</f>
        <v>16</v>
      </c>
      <c r="Z416" s="599">
        <f>IFERROR(IF(Z413="",0,Z413),"0")+IFERROR(IF(Z414="",0,Z414),"0")+IFERROR(IF(Z415="",0,Z415),"0")</f>
        <v>0.34799999999999998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228</v>
      </c>
      <c r="Y417" s="599">
        <f>IFERROR(SUM(Y413:Y415),"0")</f>
        <v>240</v>
      </c>
      <c r="Z417" s="37"/>
      <c r="AA417" s="600"/>
      <c r="AB417" s="600"/>
      <c r="AC417" s="600"/>
    </row>
    <row r="418" spans="1:68" ht="14.25" hidden="1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hidden="1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hidden="1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hidden="1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hidden="1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hidden="1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hidden="1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hidden="1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120</v>
      </c>
      <c r="Y439" s="598">
        <f>IFERROR(IF(X439="",0,CEILING((X439/$H439),1)*$H439),"")</f>
        <v>120</v>
      </c>
      <c r="Z439" s="36">
        <f>IFERROR(IF(Y439=0,"",ROUNDUP(Y439/H439,0)*0.00651),"")</f>
        <v>0.32550000000000001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133.20000000000002</v>
      </c>
      <c r="BN439" s="64">
        <f>IFERROR(Y439*I439/H439,"0")</f>
        <v>133.20000000000002</v>
      </c>
      <c r="BO439" s="64">
        <f>IFERROR(1/J439*(X439/H439),"0")</f>
        <v>0.27472527472527475</v>
      </c>
      <c r="BP439" s="64">
        <f>IFERROR(1/J439*(Y439/H439),"0")</f>
        <v>0.27472527472527475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50</v>
      </c>
      <c r="Y441" s="599">
        <f>IFERROR(Y438/H438,"0")+IFERROR(Y439/H439,"0")+IFERROR(Y440/H440,"0")</f>
        <v>50</v>
      </c>
      <c r="Z441" s="599">
        <f>IFERROR(IF(Z438="",0,Z438),"0")+IFERROR(IF(Z439="",0,Z439),"0")+IFERROR(IF(Z440="",0,Z440),"0")</f>
        <v>0.32550000000000001</v>
      </c>
      <c r="AA441" s="600"/>
      <c r="AB441" s="600"/>
      <c r="AC441" s="600"/>
    </row>
    <row r="442" spans="1:68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120</v>
      </c>
      <c r="Y442" s="599">
        <f>IFERROR(SUM(Y438:Y440),"0")</f>
        <v>120</v>
      </c>
      <c r="Z442" s="37"/>
      <c r="AA442" s="600"/>
      <c r="AB442" s="600"/>
      <c r="AC442" s="600"/>
    </row>
    <row r="443" spans="1:68" ht="27.75" hidden="1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hidden="1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hidden="1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hidden="1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hidden="1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idden="1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hidden="1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hidden="1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hidden="1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hidden="1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hidden="1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hidden="1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hidden="1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hidden="1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302</v>
      </c>
      <c r="Y473" s="598">
        <f t="shared" ref="Y473:Y481" si="62">IFERROR(IF(X473="",0,CEILING((X473/$H473),1)*$H473),"")</f>
        <v>306.24</v>
      </c>
      <c r="Z473" s="36">
        <f t="shared" ref="Z473:Z478" si="63">IFERROR(IF(Y473=0,"",ROUNDUP(Y473/H473,0)*0.01196),"")</f>
        <v>0.69367999999999996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322.01893939393938</v>
      </c>
      <c r="BN473" s="64">
        <f t="shared" ref="BN473:BN481" si="65">IFERROR(Y473*I473/H473,"0")</f>
        <v>326.53999999999996</v>
      </c>
      <c r="BO473" s="64">
        <f t="shared" ref="BO473:BO481" si="66">IFERROR(1/J473*(X473/H473),"0")</f>
        <v>0.54997086247086246</v>
      </c>
      <c r="BP473" s="64">
        <f t="shared" ref="BP473:BP481" si="67">IFERROR(1/J473*(Y473/H473),"0")</f>
        <v>0.55769230769230771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1517</v>
      </c>
      <c r="Y476" s="598">
        <f t="shared" si="62"/>
        <v>1520.64</v>
      </c>
      <c r="Z476" s="36">
        <f t="shared" si="63"/>
        <v>3.44448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1617.5587121212118</v>
      </c>
      <c r="BN476" s="64">
        <f t="shared" si="65"/>
        <v>1621.4399999999998</v>
      </c>
      <c r="BO476" s="64">
        <f t="shared" si="66"/>
        <v>2.7626019813519815</v>
      </c>
      <c r="BP476" s="64">
        <f t="shared" si="67"/>
        <v>2.7692307692307692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1251</v>
      </c>
      <c r="Y478" s="598">
        <f t="shared" si="62"/>
        <v>1251.3600000000001</v>
      </c>
      <c r="Z478" s="36">
        <f t="shared" si="63"/>
        <v>2.8345199999999999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1333.9261363636363</v>
      </c>
      <c r="BN478" s="64">
        <f t="shared" si="65"/>
        <v>1334.3100000000002</v>
      </c>
      <c r="BO478" s="64">
        <f t="shared" si="66"/>
        <v>2.2781905594405591</v>
      </c>
      <c r="BP478" s="64">
        <f t="shared" si="67"/>
        <v>2.2788461538461542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90</v>
      </c>
      <c r="Y481" s="598">
        <f t="shared" si="62"/>
        <v>91.2</v>
      </c>
      <c r="Z481" s="36">
        <f>IFERROR(IF(Y481=0,"",ROUNDUP(Y481/H481,0)*0.00902),"")</f>
        <v>0.17138</v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129.5625</v>
      </c>
      <c r="BN481" s="64">
        <f t="shared" si="65"/>
        <v>131.29000000000002</v>
      </c>
      <c r="BO481" s="64">
        <f t="shared" si="66"/>
        <v>0.14204545454545456</v>
      </c>
      <c r="BP481" s="64">
        <f t="shared" si="67"/>
        <v>0.14393939393939395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600.18939393939388</v>
      </c>
      <c r="Y482" s="599">
        <f>IFERROR(Y473/H473,"0")+IFERROR(Y474/H474,"0")+IFERROR(Y475/H475,"0")+IFERROR(Y476/H476,"0")+IFERROR(Y477/H477,"0")+IFERROR(Y478/H478,"0")+IFERROR(Y479/H479,"0")+IFERROR(Y480/H480,"0")+IFERROR(Y481/H481,"0")</f>
        <v>602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7.1440600000000005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3160</v>
      </c>
      <c r="Y483" s="599">
        <f>IFERROR(SUM(Y473:Y481),"0")</f>
        <v>3169.44</v>
      </c>
      <c r="Z483" s="37"/>
      <c r="AA483" s="600"/>
      <c r="AB483" s="600"/>
      <c r="AC483" s="600"/>
    </row>
    <row r="484" spans="1:68" ht="14.25" hidden="1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774</v>
      </c>
      <c r="Y485" s="598">
        <f>IFERROR(IF(X485="",0,CEILING((X485/$H485),1)*$H485),"")</f>
        <v>776.16000000000008</v>
      </c>
      <c r="Z485" s="36">
        <f>IFERROR(IF(Y485=0,"",ROUNDUP(Y485/H485,0)*0.01196),"")</f>
        <v>1.7581200000000001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825.30681818181813</v>
      </c>
      <c r="BN485" s="64">
        <f>IFERROR(Y485*I485/H485,"0")</f>
        <v>827.61</v>
      </c>
      <c r="BO485" s="64">
        <f>IFERROR(1/J485*(X485/H485),"0")</f>
        <v>1.4095279720279721</v>
      </c>
      <c r="BP485" s="64">
        <f>IFERROR(1/J485*(Y485/H485),"0")</f>
        <v>1.4134615384615385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780</v>
      </c>
      <c r="Y487" s="598">
        <f>IFERROR(IF(X487="",0,CEILING((X487/$H487),1)*$H487),"")</f>
        <v>782.4</v>
      </c>
      <c r="Z487" s="36">
        <f>IFERROR(IF(Y487=0,"",ROUNDUP(Y487/H487,0)*0.00902),"")</f>
        <v>1.4702600000000001</v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1122.875</v>
      </c>
      <c r="BN487" s="64">
        <f>IFERROR(Y487*I487/H487,"0")</f>
        <v>1126.3300000000002</v>
      </c>
      <c r="BO487" s="64">
        <f>IFERROR(1/J487*(X487/H487),"0")</f>
        <v>1.2310606060606062</v>
      </c>
      <c r="BP487" s="64">
        <f>IFERROR(1/J487*(Y487/H487),"0")</f>
        <v>1.2348484848484849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309.09090909090912</v>
      </c>
      <c r="Y488" s="599">
        <f>IFERROR(Y485/H485,"0")+IFERROR(Y486/H486,"0")+IFERROR(Y487/H487,"0")</f>
        <v>310</v>
      </c>
      <c r="Z488" s="599">
        <f>IFERROR(IF(Z485="",0,Z485),"0")+IFERROR(IF(Z486="",0,Z486),"0")+IFERROR(IF(Z487="",0,Z487),"0")</f>
        <v>3.2283800000000005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1554</v>
      </c>
      <c r="Y489" s="599">
        <f>IFERROR(SUM(Y485:Y487),"0")</f>
        <v>1558.56</v>
      </c>
      <c r="Z489" s="37"/>
      <c r="AA489" s="600"/>
      <c r="AB489" s="600"/>
      <c r="AC489" s="600"/>
    </row>
    <row r="490" spans="1:68" ht="14.25" hidden="1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231</v>
      </c>
      <c r="Y491" s="598">
        <f t="shared" ref="Y491:Y497" si="68">IFERROR(IF(X491="",0,CEILING((X491/$H491),1)*$H491),"")</f>
        <v>232.32000000000002</v>
      </c>
      <c r="Z491" s="36">
        <f>IFERROR(IF(Y491=0,"",ROUNDUP(Y491/H491,0)*0.01196),"")</f>
        <v>0.52624000000000004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246.31249999999997</v>
      </c>
      <c r="BN491" s="64">
        <f t="shared" ref="BN491:BN497" si="70">IFERROR(Y491*I491/H491,"0")</f>
        <v>247.72</v>
      </c>
      <c r="BO491" s="64">
        <f t="shared" ref="BO491:BO497" si="71">IFERROR(1/J491*(X491/H491),"0")</f>
        <v>0.42067307692307693</v>
      </c>
      <c r="BP491" s="64">
        <f t="shared" ref="BP491:BP497" si="72">IFERROR(1/J491*(Y491/H491),"0")</f>
        <v>0.42307692307692313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394</v>
      </c>
      <c r="Y492" s="598">
        <f t="shared" si="68"/>
        <v>396</v>
      </c>
      <c r="Z492" s="36">
        <f>IFERROR(IF(Y492=0,"",ROUNDUP(Y492/H492,0)*0.01196),"")</f>
        <v>0.89700000000000002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420.11742424242419</v>
      </c>
      <c r="BN492" s="64">
        <f t="shared" si="70"/>
        <v>422.25</v>
      </c>
      <c r="BO492" s="64">
        <f t="shared" si="71"/>
        <v>0.71751165501165504</v>
      </c>
      <c r="BP492" s="64">
        <f t="shared" si="72"/>
        <v>0.72115384615384615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458</v>
      </c>
      <c r="Y493" s="598">
        <f t="shared" si="68"/>
        <v>459.36</v>
      </c>
      <c r="Z493" s="36">
        <f>IFERROR(IF(Y493=0,"",ROUNDUP(Y493/H493,0)*0.01196),"")</f>
        <v>1.0405200000000001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488.35984848484844</v>
      </c>
      <c r="BN493" s="64">
        <f t="shared" si="70"/>
        <v>489.81</v>
      </c>
      <c r="BO493" s="64">
        <f t="shared" si="71"/>
        <v>0.83406177156177153</v>
      </c>
      <c r="BP493" s="64">
        <f t="shared" si="72"/>
        <v>0.83653846153846156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205.11363636363637</v>
      </c>
      <c r="Y498" s="599">
        <f>IFERROR(Y491/H491,"0")+IFERROR(Y492/H492,"0")+IFERROR(Y493/H493,"0")+IFERROR(Y494/H494,"0")+IFERROR(Y495/H495,"0")+IFERROR(Y496/H496,"0")+IFERROR(Y497/H497,"0")</f>
        <v>206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2.4637600000000002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1083</v>
      </c>
      <c r="Y499" s="599">
        <f>IFERROR(SUM(Y491:Y497),"0")</f>
        <v>1087.68</v>
      </c>
      <c r="Z499" s="37"/>
      <c r="AA499" s="600"/>
      <c r="AB499" s="600"/>
      <c r="AC499" s="600"/>
    </row>
    <row r="500" spans="1:68" ht="27.75" hidden="1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hidden="1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hidden="1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hidden="1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hidden="1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hidden="1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hidden="1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15027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15167.900000000001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16299.731180754792</v>
      </c>
      <c r="Y530" s="599">
        <f>IFERROR(SUM(BN22:BN526),"0")</f>
        <v>16450.013000000003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28</v>
      </c>
      <c r="Y531" s="38">
        <f>ROUNDUP(SUM(BP22:BP526),0)</f>
        <v>28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16999.731180754792</v>
      </c>
      <c r="Y532" s="599">
        <f>GrossWeightTotalR+PalletQtyTotalR*25</f>
        <v>17150.013000000003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3103.8072447342056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3133</v>
      </c>
      <c r="Z533" s="37"/>
      <c r="AA533" s="600"/>
      <c r="AB533" s="600"/>
      <c r="AC533" s="600"/>
    </row>
    <row r="534" spans="1:32" ht="14.25" hidden="1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33.134210000000003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3.6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280.8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924</v>
      </c>
      <c r="F539" s="46">
        <f>IFERROR(Y87*1,"0")+IFERROR(Y88*1,"0")+IFERROR(Y89*1,"0")+IFERROR(Y90*1,"0")+IFERROR(Y94*1,"0")+IFERROR(Y95*1,"0")+IFERROR(Y96*1,"0")+IFERROR(Y97*1,"0")</f>
        <v>1371.2000000000003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1529.6599999999999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390.16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269.8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1242.5999999999999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5.4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436.79999999999995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723.2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1935</v>
      </c>
      <c r="W539" s="46">
        <f>IFERROR(Y429*1,"0")+IFERROR(Y430*1,"0")+IFERROR(Y434*1,"0")+IFERROR(Y438*1,"0")+IFERROR(Y439*1,"0")+IFERROR(Y440*1,"0")</f>
        <v>120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5815.6799999999994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83,00"/>
        <filter val="1 196,00"/>
        <filter val="1 251,00"/>
        <filter val="1 517,00"/>
        <filter val="1 554,00"/>
        <filter val="1 681,00"/>
        <filter val="1,00"/>
        <filter val="1,67"/>
        <filter val="100,00"/>
        <filter val="11,00"/>
        <filter val="112,07"/>
        <filter val="113,00"/>
        <filter val="120,00"/>
        <filter val="122,68"/>
        <filter val="127,00"/>
        <filter val="13,00"/>
        <filter val="130,00"/>
        <filter val="135,68"/>
        <filter val="145,00"/>
        <filter val="15 027,00"/>
        <filter val="15,00"/>
        <filter val="15,20"/>
        <filter val="15,42"/>
        <filter val="155,00"/>
        <filter val="16 299,73"/>
        <filter val="16 999,73"/>
        <filter val="163,00"/>
        <filter val="173,21"/>
        <filter val="175,00"/>
        <filter val="2,78"/>
        <filter val="205,11"/>
        <filter val="21,21"/>
        <filter val="210,00"/>
        <filter val="22,00"/>
        <filter val="227,00"/>
        <filter val="228,00"/>
        <filter val="231,00"/>
        <filter val="25,93"/>
        <filter val="251,00"/>
        <filter val="258,00"/>
        <filter val="267,00"/>
        <filter val="268,00"/>
        <filter val="27,00"/>
        <filter val="270,00"/>
        <filter val="28"/>
        <filter val="280,00"/>
        <filter val="283,00"/>
        <filter val="3 103,81"/>
        <filter val="3 160,00"/>
        <filter val="3,00"/>
        <filter val="3,33"/>
        <filter val="30,00"/>
        <filter val="302,00"/>
        <filter val="309,09"/>
        <filter val="31,03"/>
        <filter val="340,00"/>
        <filter val="37,00"/>
        <filter val="370,00"/>
        <filter val="380,99"/>
        <filter val="381,00"/>
        <filter val="390,42"/>
        <filter val="394,00"/>
        <filter val="4,00"/>
        <filter val="4,76"/>
        <filter val="4,81"/>
        <filter val="403,00"/>
        <filter val="42,00"/>
        <filter val="427,00"/>
        <filter val="43,00"/>
        <filter val="43,59"/>
        <filter val="432,00"/>
        <filter val="45,00"/>
        <filter val="458,00"/>
        <filter val="49,00"/>
        <filter val="50,00"/>
        <filter val="507,00"/>
        <filter val="52,00"/>
        <filter val="54,74"/>
        <filter val="554,00"/>
        <filter val="57,00"/>
        <filter val="58,00"/>
        <filter val="599,00"/>
        <filter val="6,00"/>
        <filter val="6,50"/>
        <filter val="600,19"/>
        <filter val="61,17"/>
        <filter val="700,00"/>
        <filter val="774,00"/>
        <filter val="780,00"/>
        <filter val="85,00"/>
        <filter val="86,48"/>
        <filter val="867,00"/>
        <filter val="87,11"/>
        <filter val="879,00"/>
        <filter val="89,74"/>
        <filter val="90,00"/>
        <filter val="92,00"/>
        <filter val="937,00"/>
        <filter val="94,00"/>
        <filter val="945,00"/>
      </filters>
    </filterColumn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